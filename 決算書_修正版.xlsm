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ml.chartshapes+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drawings/drawing15.xml" ContentType="application/vnd.openxmlformats-officedocument.drawing+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7102635\Desktop\"/>
    </mc:Choice>
  </mc:AlternateContent>
  <xr:revisionPtr revIDLastSave="0" documentId="13_ncr:1_{595C67E9-4CF5-4F0C-9038-293D0DAAC509}" xr6:coauthVersionLast="47" xr6:coauthVersionMax="47" xr10:uidLastSave="{00000000-0000-0000-0000-000000000000}"/>
  <bookViews>
    <workbookView xWindow="28692" yWindow="-108" windowWidth="29016" windowHeight="15696" tabRatio="500" xr2:uid="{00000000-000D-0000-FFFF-FFFF00000000}"/>
  </bookViews>
  <sheets>
    <sheet name="入力ガイド" sheetId="1" r:id="rId1"/>
    <sheet name="入力セル一覧" sheetId="2" r:id="rId2"/>
    <sheet name="前年度貼付" sheetId="52" r:id="rId3"/>
    <sheet name="チェック" sheetId="53" r:id="rId4"/>
    <sheet name="表紙等" sheetId="3" r:id="rId5"/>
    <sheet name="目次" sheetId="4" r:id="rId6"/>
    <sheet name="報告_概況P1-2" sheetId="5" r:id="rId7"/>
    <sheet name="報告_総括P3-5" sheetId="6" r:id="rId8"/>
    <sheet name="報告_短期P6" sheetId="7" r:id="rId9"/>
    <sheet name="報告_短期P7-10" sheetId="8" r:id="rId10"/>
    <sheet name="報告_短期P11-13" sheetId="9" r:id="rId11"/>
    <sheet name="報告_P8グラフデータ" sheetId="10" r:id="rId12"/>
    <sheet name="報告_厚生年金P14" sheetId="11" r:id="rId13"/>
    <sheet name="報告_退職等年金P15" sheetId="12" r:id="rId14"/>
    <sheet name="報告_経過的長期P16" sheetId="13" r:id="rId15"/>
    <sheet name="報告_預託金P17" sheetId="14" r:id="rId16"/>
    <sheet name="報告_預託金のカメラ" sheetId="15" r:id="rId17"/>
    <sheet name="報告_業務P18" sheetId="16" r:id="rId18"/>
    <sheet name="報告_業務P19" sheetId="17" r:id="rId19"/>
    <sheet name="報告_保健P20-22" sheetId="18" r:id="rId20"/>
    <sheet name="報告_貸付P23-25" sheetId="19" r:id="rId21"/>
    <sheet name="報告_白紙P26" sheetId="20" r:id="rId22"/>
    <sheet name="短期_財務諸表" sheetId="21" r:id="rId23"/>
    <sheet name="短期_附属明細表" sheetId="22" r:id="rId24"/>
    <sheet name="短期_決算精算表" sheetId="23" r:id="rId25"/>
    <sheet name="厚生_貸借・損益" sheetId="24" r:id="rId26"/>
    <sheet name="厚生_預金・立替・未収" sheetId="25" r:id="rId27"/>
    <sheet name="厚生_決算精算表" sheetId="26" r:id="rId28"/>
    <sheet name="厚生_白紙" sheetId="27" r:id="rId29"/>
    <sheet name="退職等_貸借・損益" sheetId="28" r:id="rId30"/>
    <sheet name="退職等_預金・立替・未収" sheetId="29" r:id="rId31"/>
    <sheet name="退職等_決算精算表" sheetId="30" r:id="rId32"/>
    <sheet name="退職等_白紙" sheetId="31" r:id="rId33"/>
    <sheet name="経過的_貸借・損益" sheetId="32" r:id="rId34"/>
    <sheet name="経過的_預金・立替・未収" sheetId="33" r:id="rId35"/>
    <sheet name="経過的_決算精算表" sheetId="34" r:id="rId36"/>
    <sheet name="経過的_白紙" sheetId="35" r:id="rId37"/>
    <sheet name="預託金_貸借・損益" sheetId="36" r:id="rId38"/>
    <sheet name="預託金_預金・未収・貸付・預託金" sheetId="37" r:id="rId39"/>
    <sheet name="預託金_決算精算表" sheetId="38" r:id="rId40"/>
    <sheet name="預託金_白紙" sheetId="39" r:id="rId41"/>
    <sheet name="業務_財務諸表" sheetId="40" r:id="rId42"/>
    <sheet name="業務_附属明細表" sheetId="41" r:id="rId43"/>
    <sheet name="業務_決算精算表" sheetId="42" r:id="rId44"/>
    <sheet name="業務_白紙" sheetId="43" r:id="rId45"/>
    <sheet name="保健_財務諸表" sheetId="44" r:id="rId46"/>
    <sheet name="保健_附属明細表" sheetId="45" r:id="rId47"/>
    <sheet name="保健_決算精算表" sheetId="46" r:id="rId48"/>
    <sheet name="貸付_入力" sheetId="47" r:id="rId49"/>
    <sheet name="貸付_財務諸表" sheetId="48" r:id="rId50"/>
    <sheet name="貸付_附属明細表" sheetId="49" r:id="rId51"/>
    <sheet name="貸付_決算精算表" sheetId="50" r:id="rId52"/>
    <sheet name="貸付_白紙" sheetId="51" r:id="rId53"/>
  </sheets>
  <definedNames>
    <definedName name="_xlnm.Print_Area" localSheetId="43">業務_決算精算表!$A$1:$G$54</definedName>
    <definedName name="_xlnm.Print_Area" localSheetId="44">業務_白紙!$A$1:$I$59</definedName>
    <definedName name="_xlnm.Print_Area" localSheetId="42">業務_附属明細表!$A$1:$X$140</definedName>
    <definedName name="_xlnm.Print_Area" localSheetId="35">経過的_決算精算表!$A$1:$H$23</definedName>
    <definedName name="_xlnm.Print_Area" localSheetId="33">経過的_貸借・損益!$A$1:$N$25</definedName>
    <definedName name="_xlnm.Print_Area" localSheetId="34">経過的_預金・立替・未収!$A$1:$K$23</definedName>
    <definedName name="_xlnm.Print_Area" localSheetId="27">厚生_決算精算表!$A$1:$H$26</definedName>
    <definedName name="_xlnm.Print_Area" localSheetId="25">厚生_貸借・損益!$A$1:$N$26</definedName>
    <definedName name="_xlnm.Print_Area" localSheetId="26">厚生_預金・立替・未収!$A$1:$K$38</definedName>
    <definedName name="_xlnm.Print_Area" localSheetId="51">貸付_決算精算表!$A$1:$G$45</definedName>
    <definedName name="_xlnm.Print_Area" localSheetId="52">貸付_白紙!$A$1:$I$59</definedName>
    <definedName name="_xlnm.Print_Area" localSheetId="50">貸付_附属明細表!$A$1:$X$138</definedName>
    <definedName name="_xlnm.Print_Area" localSheetId="31">退職等_決算精算表!$A$1:$H$26</definedName>
    <definedName name="_xlnm.Print_Area" localSheetId="29">退職等_貸借・損益!$A$1:$N$26</definedName>
    <definedName name="_xlnm.Print_Area" localSheetId="30">退職等_預金・立替・未収!$A$1:$K$49</definedName>
    <definedName name="_xlnm.Print_Area" localSheetId="24">短期_決算精算表!$A$1:$G$70</definedName>
    <definedName name="_xlnm.Print_Area" localSheetId="22">短期_財務諸表!$A$1:$H$67</definedName>
    <definedName name="_xlnm.Print_Area" localSheetId="23">短期_附属明細表!$A$1:$X$120</definedName>
    <definedName name="_xlnm.Print_Area" localSheetId="4">表紙等!$A$1:$R$188</definedName>
    <definedName name="_xlnm.Print_Area" localSheetId="47">保健_決算精算表!$A$1:$G$60</definedName>
    <definedName name="_xlnm.Print_Area" localSheetId="45">保健_財務諸表!$A$1:$H$64</definedName>
    <definedName name="_xlnm.Print_Area" localSheetId="46">保健_附属明細表!$A$1:$Y$168</definedName>
    <definedName name="_xlnm.Print_Area" localSheetId="6">'報告_概況P1-2'!$A$1:$Y$67</definedName>
    <definedName name="_xlnm.Print_Area" localSheetId="17">報告_業務P18!$A$1:$BG$32</definedName>
    <definedName name="_xlnm.Print_Area" localSheetId="18">報告_業務P19!$A$1:$BE$31</definedName>
    <definedName name="_xlnm.Print_Area" localSheetId="14">報告_経過的長期P16!$A$4:$BL$46</definedName>
    <definedName name="_xlnm.Print_Area" localSheetId="12">報告_厚生年金P14!$A$4:$BL$59</definedName>
    <definedName name="_xlnm.Print_Area" localSheetId="7">'報告_総括P3-5'!$A$1:$BA$96</definedName>
    <definedName name="_xlnm.Print_Area" localSheetId="20">'報告_貸付P23-25'!$A$1:$BH$96</definedName>
    <definedName name="_xlnm.Print_Area" localSheetId="13">報告_退職等年金P15!$A$4:$BL$44</definedName>
    <definedName name="_xlnm.Print_Area" localSheetId="10">'報告_短期P11-13'!$A$1:$BI$124</definedName>
    <definedName name="_xlnm.Print_Area" localSheetId="8">報告_短期P6!$A$1:$AT$31</definedName>
    <definedName name="_xlnm.Print_Area" localSheetId="9">'報告_短期P7-10'!$A$1:$GI$160</definedName>
    <definedName name="_xlnm.Print_Area" localSheetId="21">報告_白紙P26!$A$1:$I$59</definedName>
    <definedName name="_xlnm.Print_Area" localSheetId="19">'報告_保健P20-22'!$A$4:$BE$107</definedName>
    <definedName name="_xlnm.Print_Area" localSheetId="5">目次!$A$1:$R$60</definedName>
    <definedName name="_xlnm.Print_Area" localSheetId="39">預託金_決算精算表!$A$1:$H$24</definedName>
    <definedName name="_xlnm.Print_Area" localSheetId="37">預託金_貸借・損益!$A$1:$N$30</definedName>
    <definedName name="_xlnm.Print_Area" localSheetId="38">預託金_預金・未収・貸付・預託金!$A$1:$O$30</definedName>
    <definedName name="入力色表示">入力ガイド!$G$10</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CalcA1ExcelA1"/>
    </ext>
  </extLst>
</workbook>
</file>

<file path=xl/calcChain.xml><?xml version="1.0" encoding="utf-8"?>
<calcChain xmlns="http://schemas.openxmlformats.org/spreadsheetml/2006/main">
  <c r="E36" i="50" l="1"/>
  <c r="E35" i="50"/>
  <c r="G35" i="50" s="1"/>
  <c r="F41" i="48" s="1"/>
  <c r="E34" i="50"/>
  <c r="E38" i="50" s="1"/>
  <c r="C32" i="50"/>
  <c r="A32" i="50" s="1"/>
  <c r="C50" i="48" s="1"/>
  <c r="D49" i="48" s="1"/>
  <c r="C30" i="50"/>
  <c r="A30" i="50" s="1"/>
  <c r="B46" i="48" s="1"/>
  <c r="Y27" i="19" s="1"/>
  <c r="C29" i="50"/>
  <c r="C28" i="50"/>
  <c r="A28" i="50" s="1"/>
  <c r="B44" i="48" s="1"/>
  <c r="Y24" i="19" s="1"/>
  <c r="C27" i="50"/>
  <c r="C26" i="50"/>
  <c r="C25" i="50"/>
  <c r="C24" i="50"/>
  <c r="J114" i="49" s="1"/>
  <c r="C23" i="50"/>
  <c r="J113" i="49" s="1"/>
  <c r="C22" i="50"/>
  <c r="A22" i="50" s="1"/>
  <c r="B38" i="48" s="1"/>
  <c r="Y16" i="19" s="1"/>
  <c r="C21" i="50"/>
  <c r="J112" i="49" s="1"/>
  <c r="O113" i="49"/>
  <c r="M104" i="49"/>
  <c r="M105" i="49" s="1"/>
  <c r="M97" i="49"/>
  <c r="M98" i="49" s="1"/>
  <c r="I97" i="49"/>
  <c r="I98" i="49" s="1"/>
  <c r="H83" i="49"/>
  <c r="P76" i="49" s="1"/>
  <c r="F12" i="50" s="1"/>
  <c r="F83" i="49"/>
  <c r="F84" i="49" s="1"/>
  <c r="J76" i="49"/>
  <c r="J77" i="49" s="1"/>
  <c r="G76" i="49"/>
  <c r="G77" i="49" s="1"/>
  <c r="G69" i="49"/>
  <c r="B34" i="50" s="1"/>
  <c r="G68" i="49"/>
  <c r="G70" i="49" s="1"/>
  <c r="G10" i="48" s="1"/>
  <c r="F164" i="53" s="1"/>
  <c r="G61" i="49"/>
  <c r="G62" i="49" s="1"/>
  <c r="E16" i="50" s="1"/>
  <c r="G16" i="50" s="1"/>
  <c r="G9" i="48" s="1"/>
  <c r="F163" i="53" s="1"/>
  <c r="G54" i="49"/>
  <c r="B25" i="50" s="1"/>
  <c r="G53" i="49"/>
  <c r="G46" i="49"/>
  <c r="B29" i="50" s="1"/>
  <c r="G45" i="49"/>
  <c r="B27" i="50" s="1"/>
  <c r="G44" i="49"/>
  <c r="B26" i="50" s="1"/>
  <c r="G43" i="49"/>
  <c r="B24" i="50" s="1"/>
  <c r="G36" i="49"/>
  <c r="G35" i="49"/>
  <c r="G28" i="49"/>
  <c r="G27" i="49"/>
  <c r="N19" i="49"/>
  <c r="N20" i="49" s="1"/>
  <c r="AD38" i="19" s="1"/>
  <c r="AD39" i="19" s="1"/>
  <c r="J19" i="49"/>
  <c r="J20" i="49" s="1"/>
  <c r="N12" i="49"/>
  <c r="N13" i="49" s="1"/>
  <c r="AD40" i="19" s="1"/>
  <c r="J12" i="49"/>
  <c r="J13" i="49" s="1"/>
  <c r="M5" i="49"/>
  <c r="M6" i="49" s="1"/>
  <c r="C9" i="50" s="1"/>
  <c r="F44" i="48"/>
  <c r="G43" i="48" s="1"/>
  <c r="C44" i="47"/>
  <c r="E97" i="49" s="1"/>
  <c r="C41" i="47"/>
  <c r="E90" i="49" s="1"/>
  <c r="E91" i="49" s="1"/>
  <c r="E18" i="50" s="1"/>
  <c r="C38" i="47"/>
  <c r="E104" i="49" s="1"/>
  <c r="E105" i="49" s="1"/>
  <c r="C33" i="47"/>
  <c r="D76" i="49" s="1"/>
  <c r="C15" i="47"/>
  <c r="F19" i="49" s="1"/>
  <c r="F20" i="49" s="1"/>
  <c r="M38" i="19" s="1"/>
  <c r="M39" i="19" s="1"/>
  <c r="C9" i="47"/>
  <c r="C8" i="47"/>
  <c r="C7" i="47"/>
  <c r="C6" i="47"/>
  <c r="C69" i="47" s="1"/>
  <c r="G3" i="48" s="1"/>
  <c r="D3" i="47"/>
  <c r="D2" i="47"/>
  <c r="A59" i="46"/>
  <c r="A56" i="46"/>
  <c r="C53" i="46"/>
  <c r="G51" i="46"/>
  <c r="G47" i="44" s="1"/>
  <c r="F46" i="46"/>
  <c r="B46" i="46"/>
  <c r="A41" i="46"/>
  <c r="B53" i="44" s="1"/>
  <c r="V61" i="18" s="1"/>
  <c r="B40" i="46"/>
  <c r="A40" i="46" s="1"/>
  <c r="B52" i="44" s="1"/>
  <c r="V60" i="18" s="1"/>
  <c r="B39" i="46"/>
  <c r="A39" i="46" s="1"/>
  <c r="B51" i="44" s="1"/>
  <c r="V59" i="18" s="1"/>
  <c r="B37" i="46"/>
  <c r="A37" i="46" s="1"/>
  <c r="B49" i="44" s="1"/>
  <c r="V57" i="18" s="1"/>
  <c r="F274" i="52" s="1"/>
  <c r="B36" i="46"/>
  <c r="A36" i="46" s="1"/>
  <c r="B48" i="44" s="1"/>
  <c r="B33" i="46"/>
  <c r="A33" i="46" s="1"/>
  <c r="B45" i="44" s="1"/>
  <c r="V53" i="18" s="1"/>
  <c r="A31" i="46"/>
  <c r="B43" i="44" s="1"/>
  <c r="V51" i="18" s="1"/>
  <c r="F268" i="52" s="1"/>
  <c r="B30" i="46"/>
  <c r="A30" i="46" s="1"/>
  <c r="B29" i="46"/>
  <c r="A29" i="46" s="1"/>
  <c r="B41" i="44" s="1"/>
  <c r="V48" i="18" s="1"/>
  <c r="B28" i="46"/>
  <c r="A28" i="46" s="1"/>
  <c r="B40" i="44" s="1"/>
  <c r="A27" i="46"/>
  <c r="B39" i="44" s="1"/>
  <c r="V46" i="18" s="1"/>
  <c r="G24" i="46"/>
  <c r="G21" i="46"/>
  <c r="D4" i="46"/>
  <c r="G160" i="45"/>
  <c r="M156" i="45"/>
  <c r="I156" i="45"/>
  <c r="E156" i="45"/>
  <c r="Q155" i="45"/>
  <c r="Q156" i="45" s="1"/>
  <c r="E147" i="45"/>
  <c r="Q146" i="45"/>
  <c r="F18" i="44" s="1"/>
  <c r="Q145" i="45"/>
  <c r="F16" i="44" s="1"/>
  <c r="G15" i="44" s="1"/>
  <c r="O138" i="45"/>
  <c r="J138" i="45"/>
  <c r="E138" i="45"/>
  <c r="E137" i="45"/>
  <c r="T137" i="45" s="1"/>
  <c r="O136" i="45"/>
  <c r="J136" i="45"/>
  <c r="E136" i="45"/>
  <c r="M130" i="45"/>
  <c r="E130" i="45"/>
  <c r="Q129" i="45"/>
  <c r="Q130" i="45" s="1"/>
  <c r="M123" i="45"/>
  <c r="I123" i="45"/>
  <c r="E123" i="45"/>
  <c r="Q122" i="45"/>
  <c r="Q123" i="45" s="1"/>
  <c r="B20" i="44" s="1"/>
  <c r="C19" i="44" s="1"/>
  <c r="O115" i="45"/>
  <c r="B18" i="44" s="1"/>
  <c r="L115" i="45"/>
  <c r="I115" i="45"/>
  <c r="P94" i="45" s="1"/>
  <c r="F115" i="45"/>
  <c r="R114" i="45"/>
  <c r="R113" i="45"/>
  <c r="R112" i="45"/>
  <c r="R111" i="45"/>
  <c r="R110" i="45"/>
  <c r="R109" i="45"/>
  <c r="R108" i="45"/>
  <c r="R107" i="45"/>
  <c r="O106" i="45"/>
  <c r="B17" i="44" s="1"/>
  <c r="L106" i="45"/>
  <c r="I106" i="45"/>
  <c r="P93" i="45" s="1"/>
  <c r="F16" i="46" s="1"/>
  <c r="F106" i="45"/>
  <c r="R105" i="45"/>
  <c r="O104" i="45"/>
  <c r="L104" i="45"/>
  <c r="I104" i="45"/>
  <c r="F104" i="45"/>
  <c r="R103" i="45"/>
  <c r="R102" i="45"/>
  <c r="R101" i="45"/>
  <c r="J95" i="45"/>
  <c r="G95" i="45"/>
  <c r="D95" i="45"/>
  <c r="M94" i="45"/>
  <c r="C17" i="46" s="1"/>
  <c r="M93" i="45"/>
  <c r="M92" i="45"/>
  <c r="C15" i="46" s="1"/>
  <c r="G86" i="45"/>
  <c r="G10" i="44" s="1"/>
  <c r="G79" i="45"/>
  <c r="G9" i="44" s="1"/>
  <c r="S77" i="45"/>
  <c r="S76" i="45"/>
  <c r="G70" i="45"/>
  <c r="F20" i="46" s="1"/>
  <c r="G20" i="46" s="1"/>
  <c r="S67" i="45"/>
  <c r="G61" i="45"/>
  <c r="F19" i="46" s="1"/>
  <c r="G19" i="46" s="1"/>
  <c r="G43" i="45"/>
  <c r="E139" i="53" s="1"/>
  <c r="G35" i="45"/>
  <c r="C11" i="44" s="1"/>
  <c r="G27" i="45"/>
  <c r="C10" i="44" s="1"/>
  <c r="M20" i="45"/>
  <c r="M13" i="45"/>
  <c r="M6" i="45"/>
  <c r="C9" i="46" s="1"/>
  <c r="C57" i="44"/>
  <c r="V64" i="18" s="1"/>
  <c r="F281" i="52" s="1"/>
  <c r="C56" i="44"/>
  <c r="B50" i="44"/>
  <c r="V58" i="18" s="1"/>
  <c r="B47" i="44"/>
  <c r="V55" i="18" s="1"/>
  <c r="B46" i="44"/>
  <c r="V54" i="18" s="1"/>
  <c r="F44" i="44"/>
  <c r="G43" i="44" s="1"/>
  <c r="B44" i="44"/>
  <c r="F41" i="44"/>
  <c r="G34" i="44"/>
  <c r="G33" i="44"/>
  <c r="B16" i="44"/>
  <c r="C9" i="44"/>
  <c r="F138" i="53" s="1"/>
  <c r="C8" i="44"/>
  <c r="G3" i="44"/>
  <c r="A53" i="42"/>
  <c r="A50" i="42"/>
  <c r="E47" i="42"/>
  <c r="C47" i="42"/>
  <c r="G45" i="42"/>
  <c r="G50" i="40" s="1"/>
  <c r="H49" i="40" s="1"/>
  <c r="G43" i="42"/>
  <c r="F44" i="40" s="1"/>
  <c r="G43" i="40" s="1"/>
  <c r="V29" i="16" s="1"/>
  <c r="G42" i="42"/>
  <c r="G41" i="42"/>
  <c r="G40" i="42"/>
  <c r="F39" i="40" s="1"/>
  <c r="V31" i="16" s="1"/>
  <c r="B39" i="42"/>
  <c r="G39" i="42" s="1"/>
  <c r="F38" i="40" s="1"/>
  <c r="V27" i="16" s="1"/>
  <c r="A37" i="42"/>
  <c r="C54" i="40" s="1"/>
  <c r="A36" i="42"/>
  <c r="V25" i="17" s="1"/>
  <c r="A34" i="42"/>
  <c r="B51" i="40" s="1"/>
  <c r="V21" i="17" s="1"/>
  <c r="A33" i="42"/>
  <c r="B50" i="40" s="1"/>
  <c r="V20" i="17" s="1"/>
  <c r="F241" i="52" s="1"/>
  <c r="B32" i="42"/>
  <c r="A32" i="42" s="1"/>
  <c r="B49" i="40" s="1"/>
  <c r="V19" i="17" s="1"/>
  <c r="F240" i="52" s="1"/>
  <c r="B31" i="42"/>
  <c r="A31" i="42" s="1"/>
  <c r="B48" i="40" s="1"/>
  <c r="V16" i="17" s="1"/>
  <c r="B30" i="42"/>
  <c r="A30" i="42" s="1"/>
  <c r="B47" i="40" s="1"/>
  <c r="V15" i="17" s="1"/>
  <c r="A29" i="42"/>
  <c r="B46" i="40" s="1"/>
  <c r="V14" i="17" s="1"/>
  <c r="B28" i="42"/>
  <c r="A28" i="42" s="1"/>
  <c r="B45" i="40" s="1"/>
  <c r="V13" i="17" s="1"/>
  <c r="B27" i="42"/>
  <c r="A27" i="42" s="1"/>
  <c r="B44" i="40" s="1"/>
  <c r="B26" i="42"/>
  <c r="A26" i="42"/>
  <c r="B43" i="40" s="1"/>
  <c r="V10" i="17" s="1"/>
  <c r="F232" i="52" s="1"/>
  <c r="B25" i="42"/>
  <c r="A24" i="42"/>
  <c r="B41" i="40" s="1"/>
  <c r="V8" i="17" s="1"/>
  <c r="A23" i="42"/>
  <c r="B22" i="42"/>
  <c r="A21" i="42"/>
  <c r="E17" i="42"/>
  <c r="G17" i="42" s="1"/>
  <c r="G10" i="40" s="1"/>
  <c r="F119" i="53" s="1"/>
  <c r="A11" i="42"/>
  <c r="B10" i="42"/>
  <c r="A10" i="42" s="1"/>
  <c r="C8" i="40" s="1"/>
  <c r="F114" i="53" s="1"/>
  <c r="C9" i="42"/>
  <c r="A9" i="42" s="1"/>
  <c r="C7" i="40" s="1"/>
  <c r="F113" i="53" s="1"/>
  <c r="D4" i="42"/>
  <c r="P135" i="41"/>
  <c r="G131" i="41"/>
  <c r="J125" i="41"/>
  <c r="O124" i="41"/>
  <c r="J124" i="41"/>
  <c r="E124" i="41"/>
  <c r="Q145" i="41" s="1"/>
  <c r="J123" i="41"/>
  <c r="E123" i="41"/>
  <c r="O122" i="41"/>
  <c r="J122" i="41"/>
  <c r="E122" i="41"/>
  <c r="M116" i="41"/>
  <c r="E115" i="41"/>
  <c r="M107" i="41"/>
  <c r="I107" i="41"/>
  <c r="E107" i="41"/>
  <c r="Q106" i="41"/>
  <c r="J98" i="41" s="1"/>
  <c r="L100" i="41"/>
  <c r="H100" i="41"/>
  <c r="F100" i="41"/>
  <c r="E91" i="41"/>
  <c r="K85" i="41"/>
  <c r="F122" i="53" s="1"/>
  <c r="H85" i="41"/>
  <c r="P76" i="41" s="1"/>
  <c r="F85" i="41"/>
  <c r="Q84" i="41"/>
  <c r="N84" i="41"/>
  <c r="Q83" i="41"/>
  <c r="N83" i="41"/>
  <c r="J77" i="41"/>
  <c r="G77" i="41"/>
  <c r="D76" i="41"/>
  <c r="D77" i="41" s="1"/>
  <c r="G69" i="41"/>
  <c r="E119" i="53" s="1"/>
  <c r="G62" i="41"/>
  <c r="E16" i="42" s="1"/>
  <c r="G16" i="42" s="1"/>
  <c r="G9" i="40" s="1"/>
  <c r="F118" i="53" s="1"/>
  <c r="G54" i="41"/>
  <c r="F15" i="42" s="1"/>
  <c r="G15" i="42" s="1"/>
  <c r="G8" i="40" s="1"/>
  <c r="F117" i="53" s="1"/>
  <c r="G46" i="41"/>
  <c r="F14" i="42" s="1"/>
  <c r="G14" i="42" s="1"/>
  <c r="G31" i="41"/>
  <c r="S23" i="41"/>
  <c r="P23" i="41"/>
  <c r="G14" i="41"/>
  <c r="M6" i="41"/>
  <c r="E113" i="53" s="1"/>
  <c r="F42" i="40"/>
  <c r="G41" i="40" s="1"/>
  <c r="B40" i="40"/>
  <c r="G33" i="40"/>
  <c r="G32" i="40"/>
  <c r="G3" i="40"/>
  <c r="A23" i="38"/>
  <c r="A21" i="38"/>
  <c r="F19" i="38"/>
  <c r="C19" i="38"/>
  <c r="B19" i="38"/>
  <c r="A17" i="38"/>
  <c r="D27" i="36" s="1"/>
  <c r="E26" i="36" s="1"/>
  <c r="F24" i="36" s="1"/>
  <c r="F30" i="36" s="1"/>
  <c r="F16" i="38"/>
  <c r="E16" i="38"/>
  <c r="C16" i="38"/>
  <c r="B16" i="38"/>
  <c r="G15" i="38"/>
  <c r="G16" i="38" s="1"/>
  <c r="A15" i="38"/>
  <c r="A16" i="38" s="1"/>
  <c r="A8" i="38"/>
  <c r="I29" i="37"/>
  <c r="I21" i="37"/>
  <c r="I22" i="37" s="1"/>
  <c r="F21" i="37"/>
  <c r="F22" i="37" s="1"/>
  <c r="C15" i="37"/>
  <c r="E9" i="36" s="1"/>
  <c r="F97" i="53" s="1"/>
  <c r="F8" i="37"/>
  <c r="E8" i="36" s="1"/>
  <c r="L21" i="36"/>
  <c r="L20" i="36"/>
  <c r="F11" i="36"/>
  <c r="L3" i="36"/>
  <c r="A22" i="34"/>
  <c r="A20" i="34"/>
  <c r="F18" i="34"/>
  <c r="C18" i="34"/>
  <c r="B16" i="34"/>
  <c r="E15" i="34"/>
  <c r="B15" i="34"/>
  <c r="A8" i="34"/>
  <c r="C23" i="33"/>
  <c r="E86" i="53" s="1"/>
  <c r="C16" i="33"/>
  <c r="E8" i="33"/>
  <c r="E8" i="32" s="1"/>
  <c r="F84" i="53" s="1"/>
  <c r="L17" i="32"/>
  <c r="L16" i="32"/>
  <c r="E9" i="32"/>
  <c r="L3" i="32"/>
  <c r="A25" i="30"/>
  <c r="A23" i="30"/>
  <c r="F21" i="30"/>
  <c r="C21" i="30"/>
  <c r="B18" i="30"/>
  <c r="A18" i="30" s="1"/>
  <c r="D24" i="28" s="1"/>
  <c r="F76" i="53" s="1"/>
  <c r="B17" i="30"/>
  <c r="A17" i="30" s="1"/>
  <c r="D23" i="28" s="1"/>
  <c r="F75" i="53" s="1"/>
  <c r="B13" i="30"/>
  <c r="A13" i="30" s="1"/>
  <c r="A8" i="30"/>
  <c r="C34" i="29"/>
  <c r="L9" i="28" s="1"/>
  <c r="C26" i="29"/>
  <c r="L8" i="28" s="1"/>
  <c r="F14" i="30" s="1"/>
  <c r="F16" i="30" s="1"/>
  <c r="F22" i="30" s="1"/>
  <c r="F68" i="53" s="1"/>
  <c r="C16" i="29"/>
  <c r="E9" i="28" s="1"/>
  <c r="E8" i="29"/>
  <c r="E8" i="28" s="1"/>
  <c r="C12" i="30" s="1"/>
  <c r="A12" i="30" s="1"/>
  <c r="L17" i="28"/>
  <c r="L16" i="28"/>
  <c r="L3" i="28"/>
  <c r="A25" i="26"/>
  <c r="A23" i="26"/>
  <c r="F21" i="26"/>
  <c r="C21" i="26"/>
  <c r="B18" i="26"/>
  <c r="B17" i="26"/>
  <c r="A17" i="26" s="1"/>
  <c r="D23" i="24" s="1"/>
  <c r="F59" i="53" s="1"/>
  <c r="B16" i="26"/>
  <c r="A13" i="26"/>
  <c r="A8" i="26"/>
  <c r="C38" i="25"/>
  <c r="L9" i="24" s="1"/>
  <c r="C30" i="25"/>
  <c r="E55" i="53" s="1"/>
  <c r="C19" i="25"/>
  <c r="E9" i="24" s="1"/>
  <c r="F54" i="53" s="1"/>
  <c r="E10" i="25"/>
  <c r="E8" i="25"/>
  <c r="L17" i="24"/>
  <c r="L16" i="24"/>
  <c r="L3" i="24"/>
  <c r="A69" i="23"/>
  <c r="A66" i="23"/>
  <c r="E63" i="23"/>
  <c r="G60" i="23"/>
  <c r="G59" i="21" s="1"/>
  <c r="G58" i="23"/>
  <c r="F55" i="21" s="1"/>
  <c r="CB27" i="8" s="1"/>
  <c r="F78" i="52" s="1"/>
  <c r="G56" i="23"/>
  <c r="G55" i="23"/>
  <c r="F51" i="21" s="1"/>
  <c r="CB23" i="8" s="1"/>
  <c r="F74" i="52" s="1"/>
  <c r="B54" i="23"/>
  <c r="G54" i="23" s="1"/>
  <c r="F50" i="21" s="1"/>
  <c r="G52" i="23"/>
  <c r="F48" i="21" s="1"/>
  <c r="CB17" i="8" s="1"/>
  <c r="F70" i="52" s="1"/>
  <c r="G51" i="23"/>
  <c r="G50" i="23"/>
  <c r="F45" i="21" s="1"/>
  <c r="CB12" i="8" s="1"/>
  <c r="G49" i="23"/>
  <c r="F44" i="21" s="1"/>
  <c r="CB11" i="8" s="1"/>
  <c r="FH11" i="8" s="1"/>
  <c r="I48" i="23"/>
  <c r="F48" i="23"/>
  <c r="G48" i="23" s="1"/>
  <c r="F43" i="21" s="1"/>
  <c r="G47" i="23"/>
  <c r="F42" i="21" s="1"/>
  <c r="CB9" i="8" s="1"/>
  <c r="G46" i="23"/>
  <c r="F41" i="21" s="1"/>
  <c r="G45" i="23"/>
  <c r="G44" i="23"/>
  <c r="B40" i="23"/>
  <c r="A40" i="23" s="1"/>
  <c r="C59" i="21" s="1"/>
  <c r="D58" i="21" s="1"/>
  <c r="B39" i="23"/>
  <c r="A39" i="23" s="1"/>
  <c r="C57" i="21" s="1"/>
  <c r="D56" i="21" s="1"/>
  <c r="B37" i="23"/>
  <c r="B34" i="23"/>
  <c r="A34" i="23"/>
  <c r="B50" i="21" s="1"/>
  <c r="CB97" i="8" s="1"/>
  <c r="A32" i="23"/>
  <c r="B48" i="21" s="1"/>
  <c r="A31" i="23"/>
  <c r="B47" i="21" s="1"/>
  <c r="CB92" i="8" s="1"/>
  <c r="A30" i="23"/>
  <c r="B46" i="21" s="1"/>
  <c r="CB94" i="8" s="1"/>
  <c r="F125" i="52" s="1"/>
  <c r="A28" i="23"/>
  <c r="B44" i="21" s="1"/>
  <c r="F34" i="53" s="1"/>
  <c r="A27" i="23"/>
  <c r="B43" i="21" s="1"/>
  <c r="F33" i="53" s="1"/>
  <c r="B26" i="23"/>
  <c r="B24" i="23"/>
  <c r="B23" i="23"/>
  <c r="F19" i="23"/>
  <c r="B19" i="23"/>
  <c r="F59" i="23" s="1"/>
  <c r="G59" i="23" s="1"/>
  <c r="G57" i="21" s="1"/>
  <c r="B17" i="23"/>
  <c r="G17" i="23" s="1"/>
  <c r="B14" i="23"/>
  <c r="D4" i="23"/>
  <c r="K115" i="22"/>
  <c r="P114" i="22" s="1"/>
  <c r="G106" i="22"/>
  <c r="M102" i="22"/>
  <c r="E101" i="22"/>
  <c r="K110" i="22" s="1"/>
  <c r="E100" i="22"/>
  <c r="E99" i="22"/>
  <c r="O92" i="22"/>
  <c r="R91" i="22"/>
  <c r="E91" i="22"/>
  <c r="R90" i="22"/>
  <c r="E90" i="22"/>
  <c r="R89" i="22"/>
  <c r="E89" i="22"/>
  <c r="G82" i="22"/>
  <c r="E18" i="53" s="1"/>
  <c r="G75" i="22"/>
  <c r="F16" i="23" s="1"/>
  <c r="G63" i="22"/>
  <c r="G56" i="22"/>
  <c r="C15" i="23" s="1"/>
  <c r="A15" i="23" s="1"/>
  <c r="G49" i="22"/>
  <c r="G42" i="22"/>
  <c r="G32" i="22"/>
  <c r="C10" i="21" s="1"/>
  <c r="M25" i="22"/>
  <c r="C9" i="21" s="1"/>
  <c r="F14" i="53" s="1"/>
  <c r="M16" i="22"/>
  <c r="C8" i="21" s="1"/>
  <c r="F13" i="53" s="1"/>
  <c r="M8" i="22"/>
  <c r="M6" i="22"/>
  <c r="C61" i="21"/>
  <c r="D60" i="21" s="1"/>
  <c r="F54" i="21"/>
  <c r="CB25" i="8" s="1"/>
  <c r="F76" i="52" s="1"/>
  <c r="F52" i="21"/>
  <c r="B52" i="21"/>
  <c r="CB99" i="8" s="1"/>
  <c r="F130" i="52" s="1"/>
  <c r="B51" i="21"/>
  <c r="F49" i="21"/>
  <c r="CB18" i="8" s="1"/>
  <c r="B49" i="21"/>
  <c r="CB96" i="8" s="1"/>
  <c r="F127" i="52" s="1"/>
  <c r="F46" i="21"/>
  <c r="CB13" i="8" s="1"/>
  <c r="F66" i="52" s="1"/>
  <c r="B45" i="21"/>
  <c r="B41" i="21"/>
  <c r="F40" i="21"/>
  <c r="CB7" i="8" s="1"/>
  <c r="F39" i="21"/>
  <c r="F39" i="53" s="1"/>
  <c r="G34" i="21"/>
  <c r="G33" i="21"/>
  <c r="G13" i="21"/>
  <c r="H12" i="21" s="1"/>
  <c r="C12" i="21"/>
  <c r="F15" i="53" s="1"/>
  <c r="C11" i="21"/>
  <c r="G8" i="21"/>
  <c r="F19" i="53" s="1"/>
  <c r="G3" i="21"/>
  <c r="Q91" i="19"/>
  <c r="AW91" i="19" s="1"/>
  <c r="M91" i="19"/>
  <c r="AS91" i="19" s="1"/>
  <c r="AG90" i="19"/>
  <c r="AC90" i="19"/>
  <c r="Q89" i="19"/>
  <c r="AW89" i="19" s="1"/>
  <c r="M89" i="19"/>
  <c r="AS89" i="19" s="1"/>
  <c r="Q88" i="19"/>
  <c r="M88" i="19"/>
  <c r="AS88" i="19" s="1"/>
  <c r="Y87" i="19"/>
  <c r="Q87" i="19"/>
  <c r="AW87" i="19" s="1"/>
  <c r="M87" i="19"/>
  <c r="AS87" i="19" s="1"/>
  <c r="Q86" i="19"/>
  <c r="AW86" i="19" s="1"/>
  <c r="M86" i="19"/>
  <c r="AS86" i="19" s="1"/>
  <c r="Q85" i="19"/>
  <c r="M85" i="19"/>
  <c r="AG84" i="19"/>
  <c r="AC84" i="19"/>
  <c r="Q83" i="19"/>
  <c r="AW83" i="19" s="1"/>
  <c r="M83" i="19"/>
  <c r="AS83" i="19" s="1"/>
  <c r="Q82" i="19"/>
  <c r="AW82" i="19" s="1"/>
  <c r="M82" i="19"/>
  <c r="AS82" i="19" s="1"/>
  <c r="Q81" i="19"/>
  <c r="AW81" i="19" s="1"/>
  <c r="M81" i="19"/>
  <c r="AS81" i="19" s="1"/>
  <c r="Q80" i="19"/>
  <c r="M80" i="19"/>
  <c r="AS80" i="19" s="1"/>
  <c r="Q79" i="19"/>
  <c r="M79" i="19"/>
  <c r="AS79" i="19" s="1"/>
  <c r="Q78" i="19"/>
  <c r="AW78" i="19" s="1"/>
  <c r="M78" i="19"/>
  <c r="AS78" i="19" s="1"/>
  <c r="AL41" i="19"/>
  <c r="V38" i="19"/>
  <c r="V36" i="19"/>
  <c r="AQ31" i="19"/>
  <c r="AQ30" i="19"/>
  <c r="AQ29" i="19"/>
  <c r="AZ29" i="19" s="1"/>
  <c r="AH29" i="19"/>
  <c r="AQ28" i="19"/>
  <c r="AZ28" i="19" s="1"/>
  <c r="AH28" i="19"/>
  <c r="AQ27" i="19"/>
  <c r="AQ26" i="19"/>
  <c r="AQ25" i="19"/>
  <c r="AZ25" i="19" s="1"/>
  <c r="AH25" i="19"/>
  <c r="AQ24" i="19"/>
  <c r="AQ23" i="19"/>
  <c r="AZ23" i="19" s="1"/>
  <c r="AH23" i="19"/>
  <c r="AQ22" i="19"/>
  <c r="AQ21" i="19"/>
  <c r="AZ21" i="19" s="1"/>
  <c r="AH21" i="19"/>
  <c r="AQ20" i="19"/>
  <c r="AQ19" i="19"/>
  <c r="AQ18" i="19"/>
  <c r="P18" i="19"/>
  <c r="E114" i="49" s="1"/>
  <c r="AQ17" i="19"/>
  <c r="P17" i="19"/>
  <c r="E113" i="49" s="1"/>
  <c r="AQ16" i="19"/>
  <c r="AQ15" i="19"/>
  <c r="P15" i="19"/>
  <c r="E112" i="49" s="1"/>
  <c r="P9" i="19"/>
  <c r="AQ8" i="19"/>
  <c r="Y8" i="19"/>
  <c r="AH8" i="19" s="1"/>
  <c r="AQ7" i="19"/>
  <c r="AQ6" i="19"/>
  <c r="X97" i="18"/>
  <c r="P97" i="18"/>
  <c r="X92" i="18"/>
  <c r="P92" i="18"/>
  <c r="X89" i="18"/>
  <c r="P89" i="18"/>
  <c r="X85" i="18"/>
  <c r="P85" i="18"/>
  <c r="X83" i="18"/>
  <c r="P83" i="18"/>
  <c r="X72" i="18"/>
  <c r="X81" i="18" s="1"/>
  <c r="P72" i="18"/>
  <c r="P81" i="18" s="1"/>
  <c r="M65" i="18"/>
  <c r="F147" i="53" s="1"/>
  <c r="AN64" i="18"/>
  <c r="AN63" i="18"/>
  <c r="AN62" i="18"/>
  <c r="AN61" i="18"/>
  <c r="AN60" i="18"/>
  <c r="AN59" i="18"/>
  <c r="AN58" i="18"/>
  <c r="AN57" i="18"/>
  <c r="AN56" i="18"/>
  <c r="V56" i="18"/>
  <c r="AE56" i="18" s="1"/>
  <c r="AN55" i="18"/>
  <c r="AN54" i="18"/>
  <c r="AN53" i="18"/>
  <c r="AN52" i="18"/>
  <c r="V52" i="18"/>
  <c r="AE52" i="18" s="1"/>
  <c r="AN51" i="18"/>
  <c r="AN50" i="18"/>
  <c r="AN49" i="18"/>
  <c r="AW49" i="18" s="1"/>
  <c r="AE49" i="18"/>
  <c r="AN48" i="18"/>
  <c r="AN47" i="18"/>
  <c r="AN46" i="18"/>
  <c r="AN41" i="18"/>
  <c r="AN40" i="18"/>
  <c r="AN39" i="18"/>
  <c r="AN32" i="18"/>
  <c r="AN31" i="18"/>
  <c r="AN30" i="18"/>
  <c r="AW30" i="18" s="1"/>
  <c r="AE30" i="18"/>
  <c r="AN29" i="18"/>
  <c r="V29" i="18"/>
  <c r="AN28" i="18"/>
  <c r="AW28" i="18" s="1"/>
  <c r="AE28" i="18"/>
  <c r="AN27" i="18"/>
  <c r="AW27" i="18" s="1"/>
  <c r="AE27" i="18"/>
  <c r="AN26" i="18"/>
  <c r="AW26" i="18" s="1"/>
  <c r="AE26" i="18"/>
  <c r="AN25" i="18"/>
  <c r="AW25" i="18" s="1"/>
  <c r="AE25" i="18"/>
  <c r="V24" i="18"/>
  <c r="E47" i="46" s="1"/>
  <c r="G47" i="46" s="1"/>
  <c r="F40" i="44" s="1"/>
  <c r="M24" i="18"/>
  <c r="AN23" i="18"/>
  <c r="AW23" i="18" s="1"/>
  <c r="AE23" i="18"/>
  <c r="AN22" i="18"/>
  <c r="AW22" i="18" s="1"/>
  <c r="AE22" i="18"/>
  <c r="AN21" i="18"/>
  <c r="AE21" i="18"/>
  <c r="V20" i="18"/>
  <c r="M39" i="18" s="1"/>
  <c r="M20" i="18"/>
  <c r="AE13" i="18"/>
  <c r="AE12" i="18"/>
  <c r="AE11" i="18"/>
  <c r="AE10" i="18"/>
  <c r="AE9" i="18"/>
  <c r="M26" i="17"/>
  <c r="AN25" i="17"/>
  <c r="AN24" i="17"/>
  <c r="AN23" i="17"/>
  <c r="AW22" i="17"/>
  <c r="AE22" i="17"/>
  <c r="AN21" i="17"/>
  <c r="AN20" i="17"/>
  <c r="AN19" i="17"/>
  <c r="AW18" i="17"/>
  <c r="AE18" i="17"/>
  <c r="AN17" i="17"/>
  <c r="AW17" i="17" s="1"/>
  <c r="AE17" i="17"/>
  <c r="AN16" i="17"/>
  <c r="AN15" i="17"/>
  <c r="AN14" i="17"/>
  <c r="AN13" i="17"/>
  <c r="AN12" i="17"/>
  <c r="AW12" i="17" s="1"/>
  <c r="AE12" i="17"/>
  <c r="AN11" i="17"/>
  <c r="V11" i="17"/>
  <c r="F233" i="52" s="1"/>
  <c r="AN10" i="17"/>
  <c r="AN9" i="17"/>
  <c r="AN8" i="17"/>
  <c r="AN7" i="17"/>
  <c r="V7" i="17"/>
  <c r="F229" i="52" s="1"/>
  <c r="AN6" i="17"/>
  <c r="AN5" i="17"/>
  <c r="M32" i="16"/>
  <c r="AN31" i="16"/>
  <c r="AN30" i="16"/>
  <c r="AN29" i="16"/>
  <c r="AN28" i="16"/>
  <c r="AN27" i="16"/>
  <c r="Y21" i="16"/>
  <c r="AU21" i="16" s="1"/>
  <c r="AJ20" i="16"/>
  <c r="Y20" i="16"/>
  <c r="Y11" i="16"/>
  <c r="AU11" i="16" s="1"/>
  <c r="Y10" i="16"/>
  <c r="AU10" i="16" s="1"/>
  <c r="Y9" i="16"/>
  <c r="AU9" i="16" s="1"/>
  <c r="Y8" i="16"/>
  <c r="AU8" i="16" s="1"/>
  <c r="Y7" i="16"/>
  <c r="AU7" i="16" s="1"/>
  <c r="AJ6" i="16"/>
  <c r="AJ5" i="16"/>
  <c r="Y5" i="16"/>
  <c r="D11" i="15"/>
  <c r="J10" i="15"/>
  <c r="L10" i="15" s="1"/>
  <c r="H10" i="15"/>
  <c r="D8" i="15"/>
  <c r="J7" i="15"/>
  <c r="F7" i="15"/>
  <c r="H7" i="15" s="1"/>
  <c r="J6" i="15"/>
  <c r="G25" i="14"/>
  <c r="I18" i="14"/>
  <c r="J18" i="14" s="1"/>
  <c r="H18" i="14"/>
  <c r="G17" i="14"/>
  <c r="G19" i="14" s="1"/>
  <c r="E101" i="53" s="1"/>
  <c r="F17" i="14"/>
  <c r="F19" i="14" s="1"/>
  <c r="F10" i="14"/>
  <c r="I9" i="14"/>
  <c r="J9" i="14" s="1"/>
  <c r="H9" i="14"/>
  <c r="I8" i="14"/>
  <c r="I17" i="14" s="1"/>
  <c r="AQ44" i="13"/>
  <c r="W44" i="13"/>
  <c r="F208" i="52" s="1"/>
  <c r="AQ37" i="13"/>
  <c r="AQ30" i="13"/>
  <c r="BA30" i="13" s="1"/>
  <c r="AG30" i="13"/>
  <c r="AQ29" i="13"/>
  <c r="BA29" i="13" s="1"/>
  <c r="AG29" i="13"/>
  <c r="AQ28" i="13"/>
  <c r="BA28" i="13" s="1"/>
  <c r="AG28" i="13"/>
  <c r="BA27" i="13"/>
  <c r="AQ27" i="13"/>
  <c r="AG27" i="13"/>
  <c r="AQ26" i="13"/>
  <c r="AG26" i="13"/>
  <c r="W25" i="13"/>
  <c r="E17" i="34" s="1"/>
  <c r="G17" i="34" s="1"/>
  <c r="M25" i="13"/>
  <c r="M43" i="13" s="1"/>
  <c r="M45" i="13" s="1"/>
  <c r="A8" i="13"/>
  <c r="AQ42" i="12"/>
  <c r="BA42" i="12" s="1"/>
  <c r="AG42" i="12"/>
  <c r="AQ34" i="12"/>
  <c r="AQ33" i="12"/>
  <c r="AQ32" i="12"/>
  <c r="AQ25" i="12"/>
  <c r="BA25" i="12" s="1"/>
  <c r="AG25" i="12"/>
  <c r="AQ24" i="12"/>
  <c r="BA24" i="12" s="1"/>
  <c r="AG24" i="12"/>
  <c r="AQ23" i="12"/>
  <c r="BA23" i="12" s="1"/>
  <c r="AG23" i="12"/>
  <c r="W22" i="12"/>
  <c r="W33" i="12" s="1"/>
  <c r="M22" i="12"/>
  <c r="M41" i="12" s="1"/>
  <c r="AQ21" i="12"/>
  <c r="AG21" i="12"/>
  <c r="AQ20" i="12"/>
  <c r="BA20" i="12" s="1"/>
  <c r="AG20" i="12"/>
  <c r="W19" i="12"/>
  <c r="E19" i="30" s="1"/>
  <c r="M19" i="12"/>
  <c r="H8" i="12"/>
  <c r="AQ57" i="11"/>
  <c r="BA57" i="11" s="1"/>
  <c r="AG57" i="11"/>
  <c r="AQ49" i="11"/>
  <c r="AQ48" i="11"/>
  <c r="AQ47" i="11"/>
  <c r="AQ40" i="11"/>
  <c r="BA40" i="11" s="1"/>
  <c r="AG40" i="11"/>
  <c r="AQ39" i="11"/>
  <c r="BA39" i="11" s="1"/>
  <c r="AG39" i="11"/>
  <c r="AQ38" i="11"/>
  <c r="BA38" i="11" s="1"/>
  <c r="AG38" i="11"/>
  <c r="W37" i="11"/>
  <c r="M37" i="11"/>
  <c r="AQ36" i="11"/>
  <c r="BA36" i="11" s="1"/>
  <c r="AG36" i="11"/>
  <c r="AQ35" i="11"/>
  <c r="BA35" i="11" s="1"/>
  <c r="AG35" i="11"/>
  <c r="AQ34" i="11"/>
  <c r="BA34" i="11" s="1"/>
  <c r="AG34" i="11"/>
  <c r="AQ33" i="11"/>
  <c r="AG33" i="11"/>
  <c r="W32" i="11"/>
  <c r="W55" i="11" s="1"/>
  <c r="M32" i="11"/>
  <c r="M55" i="11" s="1"/>
  <c r="AG55" i="11" s="1"/>
  <c r="A14" i="11"/>
  <c r="E7" i="11"/>
  <c r="C110" i="9"/>
  <c r="AN91" i="9"/>
  <c r="AN94" i="9" s="1"/>
  <c r="AN89" i="9"/>
  <c r="X89" i="9"/>
  <c r="AO85" i="9"/>
  <c r="Z80" i="9"/>
  <c r="L80" i="9"/>
  <c r="F3" i="10" s="1"/>
  <c r="EY66" i="9"/>
  <c r="EB65" i="9"/>
  <c r="DE65" i="9"/>
  <c r="HT62" i="9"/>
  <c r="HA62" i="9"/>
  <c r="HA61" i="9"/>
  <c r="DL61" i="9"/>
  <c r="DL62" i="9" s="1"/>
  <c r="HA59" i="9"/>
  <c r="FB59" i="9"/>
  <c r="AU58" i="9" s="1"/>
  <c r="DL59" i="9"/>
  <c r="EI58" i="9"/>
  <c r="AF57" i="9" s="1"/>
  <c r="DL58" i="9"/>
  <c r="FB57" i="9"/>
  <c r="AU56" i="9" s="1"/>
  <c r="EI57" i="9"/>
  <c r="DL57" i="9"/>
  <c r="HA56" i="9"/>
  <c r="HP55" i="9"/>
  <c r="FB55" i="9"/>
  <c r="AU55" i="9" s="1"/>
  <c r="EI55" i="9"/>
  <c r="DL55" i="9"/>
  <c r="FB54" i="9"/>
  <c r="EI54" i="9"/>
  <c r="DL54" i="9"/>
  <c r="AU54" i="9"/>
  <c r="AF54" i="9"/>
  <c r="FB53" i="9"/>
  <c r="AU53" i="9" s="1"/>
  <c r="EI53" i="9"/>
  <c r="AF53" i="9" s="1"/>
  <c r="DL53" i="9"/>
  <c r="FB52" i="9"/>
  <c r="EI52" i="9"/>
  <c r="DL52" i="9"/>
  <c r="HA50" i="9"/>
  <c r="FB50" i="9"/>
  <c r="DL50" i="9"/>
  <c r="EI49" i="9"/>
  <c r="AF49" i="9" s="1"/>
  <c r="DL49" i="9"/>
  <c r="FB48" i="9"/>
  <c r="AU48" i="9" s="1"/>
  <c r="EI48" i="9"/>
  <c r="DL48" i="9"/>
  <c r="FB46" i="9"/>
  <c r="AU47" i="9" s="1"/>
  <c r="EI46" i="9"/>
  <c r="DL46" i="9"/>
  <c r="FB45" i="9"/>
  <c r="AU46" i="9" s="1"/>
  <c r="EI45" i="9"/>
  <c r="AF46" i="9" s="1"/>
  <c r="DL45" i="9"/>
  <c r="FB44" i="9"/>
  <c r="AU45" i="9" s="1"/>
  <c r="EI44" i="9"/>
  <c r="AF45" i="9" s="1"/>
  <c r="DL44" i="9"/>
  <c r="Q45" i="9" s="1"/>
  <c r="FB43" i="9"/>
  <c r="AU44" i="9" s="1"/>
  <c r="EI43" i="9"/>
  <c r="AF44" i="9" s="1"/>
  <c r="DL43" i="9"/>
  <c r="EY28" i="9"/>
  <c r="EB27" i="9"/>
  <c r="DE27" i="9"/>
  <c r="DL22" i="9"/>
  <c r="FB20" i="9"/>
  <c r="DL20" i="9"/>
  <c r="EI19" i="9"/>
  <c r="DL19" i="9"/>
  <c r="FB18" i="9"/>
  <c r="EI18" i="9"/>
  <c r="DL18" i="9"/>
  <c r="HT17" i="9"/>
  <c r="HT56" i="9" s="1"/>
  <c r="GD17" i="9"/>
  <c r="GD56" i="9" s="1"/>
  <c r="FB16" i="9"/>
  <c r="Z15" i="9" s="1"/>
  <c r="EI16" i="9"/>
  <c r="DL16" i="9"/>
  <c r="FB15" i="9"/>
  <c r="EI15" i="9"/>
  <c r="DL15" i="9"/>
  <c r="AX14" i="9" s="1"/>
  <c r="FB14" i="9"/>
  <c r="EI14" i="9"/>
  <c r="DL14" i="9"/>
  <c r="FB13" i="9"/>
  <c r="EI13" i="9"/>
  <c r="DL13" i="9"/>
  <c r="AX12" i="9" s="1"/>
  <c r="FB11" i="9"/>
  <c r="DL11" i="9"/>
  <c r="EI10" i="9"/>
  <c r="DL10" i="9"/>
  <c r="FB9" i="9"/>
  <c r="EI9" i="9"/>
  <c r="DL9" i="9"/>
  <c r="HT8" i="9"/>
  <c r="HT47" i="9" s="1"/>
  <c r="HA8" i="9"/>
  <c r="HA47" i="9" s="1"/>
  <c r="GD8" i="9"/>
  <c r="GD47" i="9" s="1"/>
  <c r="FB7" i="9"/>
  <c r="EI7" i="9"/>
  <c r="DL7" i="9"/>
  <c r="FB6" i="9"/>
  <c r="EI6" i="9"/>
  <c r="DL6" i="9"/>
  <c r="AX6" i="9" s="1"/>
  <c r="FB5" i="9"/>
  <c r="EI5" i="9"/>
  <c r="DL5" i="9"/>
  <c r="AX5" i="9" s="1"/>
  <c r="FB4" i="9"/>
  <c r="EI4" i="9"/>
  <c r="DL4" i="9"/>
  <c r="AX4" i="9" s="1"/>
  <c r="S3" i="9"/>
  <c r="BB3" i="9" s="1"/>
  <c r="P3" i="9"/>
  <c r="AX3" i="9" s="1"/>
  <c r="AZ155" i="8"/>
  <c r="DR154" i="8"/>
  <c r="CP154" i="8"/>
  <c r="BW153" i="8"/>
  <c r="AZ153" i="8"/>
  <c r="DR152" i="8"/>
  <c r="GD20" i="9" s="1"/>
  <c r="GD59" i="9" s="1"/>
  <c r="V58" i="9" s="1"/>
  <c r="EO151" i="8"/>
  <c r="HA19" i="9" s="1"/>
  <c r="DR151" i="8"/>
  <c r="GD19" i="9" s="1"/>
  <c r="GD58" i="9" s="1"/>
  <c r="CP151" i="8"/>
  <c r="FH150" i="8"/>
  <c r="HT18" i="9" s="1"/>
  <c r="EO150" i="8"/>
  <c r="HA18" i="9" s="1"/>
  <c r="HA57" i="9" s="1"/>
  <c r="DR150" i="8"/>
  <c r="GD18" i="9" s="1"/>
  <c r="GD57" i="9" s="1"/>
  <c r="FH148" i="8"/>
  <c r="HT16" i="9" s="1"/>
  <c r="EO148" i="8"/>
  <c r="HA16" i="9" s="1"/>
  <c r="HA55" i="9" s="1"/>
  <c r="DR148" i="8"/>
  <c r="GD16" i="9" s="1"/>
  <c r="GD55" i="9" s="1"/>
  <c r="FH147" i="8"/>
  <c r="HT15" i="9" s="1"/>
  <c r="EO147" i="8"/>
  <c r="HA15" i="9" s="1"/>
  <c r="DR147" i="8"/>
  <c r="GD15" i="9" s="1"/>
  <c r="GD54" i="9" s="1"/>
  <c r="FH146" i="8"/>
  <c r="HT14" i="9" s="1"/>
  <c r="EO146" i="8"/>
  <c r="HA14" i="9" s="1"/>
  <c r="DR146" i="8"/>
  <c r="GD14" i="9" s="1"/>
  <c r="FH145" i="8"/>
  <c r="EO145" i="8"/>
  <c r="HA13" i="9" s="1"/>
  <c r="DR145" i="8"/>
  <c r="BW144" i="8"/>
  <c r="AZ144" i="8"/>
  <c r="FH143" i="8"/>
  <c r="HT11" i="9" s="1"/>
  <c r="HT50" i="9" s="1"/>
  <c r="DR143" i="8"/>
  <c r="GD11" i="9" s="1"/>
  <c r="GD50" i="9" s="1"/>
  <c r="EO142" i="8"/>
  <c r="HA10" i="9" s="1"/>
  <c r="HA49" i="9" s="1"/>
  <c r="DR142" i="8"/>
  <c r="GD10" i="9" s="1"/>
  <c r="GD49" i="9" s="1"/>
  <c r="CP142" i="8"/>
  <c r="CP144" i="8" s="1"/>
  <c r="FH141" i="8"/>
  <c r="HT9" i="9" s="1"/>
  <c r="HT48" i="9" s="1"/>
  <c r="EO141" i="8"/>
  <c r="HA9" i="9" s="1"/>
  <c r="HA48" i="9" s="1"/>
  <c r="DR141" i="8"/>
  <c r="GD9" i="9" s="1"/>
  <c r="FH139" i="8"/>
  <c r="HT7" i="9" s="1"/>
  <c r="EO139" i="8"/>
  <c r="HA7" i="9" s="1"/>
  <c r="HA46" i="9" s="1"/>
  <c r="DR139" i="8"/>
  <c r="GD7" i="9" s="1"/>
  <c r="GD46" i="9" s="1"/>
  <c r="FH138" i="8"/>
  <c r="HT6" i="9" s="1"/>
  <c r="EO138" i="8"/>
  <c r="HA6" i="9" s="1"/>
  <c r="HA45" i="9" s="1"/>
  <c r="DR138" i="8"/>
  <c r="GD6" i="9" s="1"/>
  <c r="FH137" i="8"/>
  <c r="HT5" i="9" s="1"/>
  <c r="EO137" i="8"/>
  <c r="HA5" i="9" s="1"/>
  <c r="DR137" i="8"/>
  <c r="GD5" i="9" s="1"/>
  <c r="FH136" i="8"/>
  <c r="HT4" i="9" s="1"/>
  <c r="HT43" i="9" s="1"/>
  <c r="EO136" i="8"/>
  <c r="DR136" i="8"/>
  <c r="GD4" i="9" s="1"/>
  <c r="DR134" i="8"/>
  <c r="GD2" i="9" s="1"/>
  <c r="GD41" i="9" s="1"/>
  <c r="AZ134" i="8"/>
  <c r="DL2" i="9" s="1"/>
  <c r="DL41" i="9" s="1"/>
  <c r="EF109" i="8"/>
  <c r="EF106" i="8"/>
  <c r="CB106" i="8"/>
  <c r="F21" i="10" s="1"/>
  <c r="CB105" i="8"/>
  <c r="C38" i="23" s="1"/>
  <c r="A38" i="23" s="1"/>
  <c r="B54" i="21" s="1"/>
  <c r="AZ105" i="8"/>
  <c r="EF104" i="8"/>
  <c r="FH104" i="8" s="1"/>
  <c r="DD104" i="8"/>
  <c r="EF103" i="8"/>
  <c r="DD103" i="8"/>
  <c r="CB102" i="8"/>
  <c r="AZ102" i="8"/>
  <c r="EF101" i="8"/>
  <c r="FH101" i="8" s="1"/>
  <c r="DD101" i="8"/>
  <c r="EF100" i="8"/>
  <c r="DD100" i="8"/>
  <c r="EF99" i="8"/>
  <c r="EF98" i="8"/>
  <c r="CB98" i="8"/>
  <c r="DD98" i="8" s="1"/>
  <c r="EF97" i="8"/>
  <c r="EF96" i="8"/>
  <c r="EF95" i="8"/>
  <c r="EF94" i="8"/>
  <c r="EF93" i="8"/>
  <c r="CB93" i="8"/>
  <c r="F124" i="52" s="1"/>
  <c r="EF92" i="8"/>
  <c r="EF91" i="8"/>
  <c r="EF90" i="8"/>
  <c r="CB89" i="8"/>
  <c r="E32" i="53" s="1"/>
  <c r="AZ89" i="8"/>
  <c r="EF88" i="8"/>
  <c r="FH88" i="8" s="1"/>
  <c r="DD88" i="8"/>
  <c r="EF87" i="8"/>
  <c r="FH87" i="8" s="1"/>
  <c r="DD87" i="8"/>
  <c r="EF86" i="8"/>
  <c r="FH86" i="8" s="1"/>
  <c r="DD86" i="8"/>
  <c r="EF85" i="8"/>
  <c r="FH85" i="8" s="1"/>
  <c r="DD85" i="8"/>
  <c r="EF84" i="8"/>
  <c r="FH84" i="8" s="1"/>
  <c r="DD84" i="8"/>
  <c r="EF83" i="8"/>
  <c r="FH83" i="8" s="1"/>
  <c r="DD83" i="8"/>
  <c r="EF82" i="8"/>
  <c r="DD82" i="8"/>
  <c r="CB78" i="8"/>
  <c r="AZ78" i="8"/>
  <c r="EF77" i="8"/>
  <c r="FH77" i="8" s="1"/>
  <c r="DD77" i="8"/>
  <c r="EF76" i="8"/>
  <c r="FH76" i="8" s="1"/>
  <c r="DD76" i="8"/>
  <c r="EF75" i="8"/>
  <c r="DD75" i="8"/>
  <c r="CB74" i="8"/>
  <c r="AZ74" i="8"/>
  <c r="EF73" i="8"/>
  <c r="FH73" i="8" s="1"/>
  <c r="DD73" i="8"/>
  <c r="EF72" i="8"/>
  <c r="FH72" i="8" s="1"/>
  <c r="DD72" i="8"/>
  <c r="EF71" i="8"/>
  <c r="FH71" i="8" s="1"/>
  <c r="DD71" i="8"/>
  <c r="EF70" i="8"/>
  <c r="FH70" i="8" s="1"/>
  <c r="DD70" i="8"/>
  <c r="EF69" i="8"/>
  <c r="FH69" i="8" s="1"/>
  <c r="DD69" i="8"/>
  <c r="EF68" i="8"/>
  <c r="FH68" i="8" s="1"/>
  <c r="DD68" i="8"/>
  <c r="EF67" i="8"/>
  <c r="FH67" i="8" s="1"/>
  <c r="DD67" i="8"/>
  <c r="CB66" i="8"/>
  <c r="AZ66" i="8"/>
  <c r="EF65" i="8"/>
  <c r="FH65" i="8" s="1"/>
  <c r="DD65" i="8"/>
  <c r="EF64" i="8"/>
  <c r="FH64" i="8" s="1"/>
  <c r="DD64" i="8"/>
  <c r="EF63" i="8"/>
  <c r="FH63" i="8" s="1"/>
  <c r="DD63" i="8"/>
  <c r="EF62" i="8"/>
  <c r="FH62" i="8" s="1"/>
  <c r="DD62" i="8"/>
  <c r="EF61" i="8"/>
  <c r="FH61" i="8" s="1"/>
  <c r="DD61" i="8"/>
  <c r="EF60" i="8"/>
  <c r="FH60" i="8" s="1"/>
  <c r="DD60" i="8"/>
  <c r="EF59" i="8"/>
  <c r="FH59" i="8" s="1"/>
  <c r="DD59" i="8"/>
  <c r="EF58" i="8"/>
  <c r="FH58" i="8" s="1"/>
  <c r="DD58" i="8"/>
  <c r="EF57" i="8"/>
  <c r="FH57" i="8" s="1"/>
  <c r="DD57" i="8"/>
  <c r="EF56" i="8"/>
  <c r="FH56" i="8" s="1"/>
  <c r="DD56" i="8"/>
  <c r="EF55" i="8"/>
  <c r="FH55" i="8" s="1"/>
  <c r="DD55" i="8"/>
  <c r="EF54" i="8"/>
  <c r="DD54" i="8"/>
  <c r="EF53" i="8"/>
  <c r="FH53" i="8" s="1"/>
  <c r="DD53" i="8"/>
  <c r="EF52" i="8"/>
  <c r="FH52" i="8" s="1"/>
  <c r="DD52" i="8"/>
  <c r="EF51" i="8"/>
  <c r="FH51" i="8" s="1"/>
  <c r="DD51" i="8"/>
  <c r="EF50" i="8"/>
  <c r="FH50" i="8" s="1"/>
  <c r="DD50" i="8"/>
  <c r="EF49" i="8"/>
  <c r="FH49" i="8" s="1"/>
  <c r="DD49" i="8"/>
  <c r="EF41" i="8"/>
  <c r="EF40" i="8"/>
  <c r="EF39" i="8"/>
  <c r="EF38" i="8"/>
  <c r="EF37" i="8"/>
  <c r="EF36" i="8"/>
  <c r="AZ30" i="8"/>
  <c r="EF29" i="8"/>
  <c r="EF28" i="8"/>
  <c r="EF27" i="8"/>
  <c r="EF26" i="8"/>
  <c r="FH26" i="8" s="1"/>
  <c r="DD26" i="8"/>
  <c r="EF25" i="8"/>
  <c r="EF24" i="8"/>
  <c r="CB24" i="8"/>
  <c r="DD24" i="8" s="1"/>
  <c r="EF23" i="8"/>
  <c r="EF22" i="8"/>
  <c r="FH22" i="8" s="1"/>
  <c r="DD22" i="8"/>
  <c r="FH21" i="8"/>
  <c r="DD21" i="8"/>
  <c r="EF20" i="8"/>
  <c r="FH20" i="8" s="1"/>
  <c r="DD20" i="8"/>
  <c r="CB19" i="8"/>
  <c r="AZ19" i="8"/>
  <c r="EF18" i="8"/>
  <c r="EF17" i="8"/>
  <c r="EF16" i="8"/>
  <c r="FH16" i="8" s="1"/>
  <c r="DD16" i="8"/>
  <c r="EF15" i="8"/>
  <c r="FH15" i="8" s="1"/>
  <c r="DD15" i="8"/>
  <c r="EF14" i="8"/>
  <c r="FH14" i="8" s="1"/>
  <c r="DD14" i="8"/>
  <c r="EF13" i="8"/>
  <c r="EF12" i="8"/>
  <c r="EF11" i="8"/>
  <c r="EF10" i="8"/>
  <c r="EF9" i="8"/>
  <c r="EF8" i="8"/>
  <c r="EF7" i="8"/>
  <c r="EF6" i="8"/>
  <c r="FH6" i="8" s="1"/>
  <c r="DD6" i="8"/>
  <c r="EF5" i="8"/>
  <c r="X30" i="7"/>
  <c r="P30" i="7"/>
  <c r="X29" i="7"/>
  <c r="P29" i="7"/>
  <c r="AF27" i="7"/>
  <c r="X27" i="7"/>
  <c r="P27" i="7"/>
  <c r="AF23" i="7"/>
  <c r="AF22" i="7"/>
  <c r="AF21" i="7"/>
  <c r="AF20" i="7"/>
  <c r="AF19" i="7"/>
  <c r="AF12" i="7"/>
  <c r="AF11" i="7"/>
  <c r="AF10" i="7"/>
  <c r="AF9" i="7"/>
  <c r="AF8" i="7"/>
  <c r="AF7" i="7"/>
  <c r="AV94" i="6"/>
  <c r="AH94" i="6"/>
  <c r="AO94" i="6" s="1"/>
  <c r="AA94" i="6"/>
  <c r="T93" i="6"/>
  <c r="M93" i="6"/>
  <c r="AV92" i="6"/>
  <c r="AH92" i="6"/>
  <c r="AO92" i="6" s="1"/>
  <c r="AA92" i="6"/>
  <c r="AV91" i="6"/>
  <c r="AH91" i="6"/>
  <c r="AO91" i="6" s="1"/>
  <c r="AA91" i="6"/>
  <c r="AV90" i="6"/>
  <c r="AH90" i="6"/>
  <c r="AO90" i="6" s="1"/>
  <c r="AA90" i="6"/>
  <c r="AV89" i="6"/>
  <c r="AH89" i="6"/>
  <c r="AO89" i="6" s="1"/>
  <c r="AA89" i="6"/>
  <c r="AV88" i="6"/>
  <c r="AH88" i="6"/>
  <c r="AA88" i="6"/>
  <c r="U78" i="6"/>
  <c r="M78" i="6"/>
  <c r="U77" i="6"/>
  <c r="AC77" i="6" s="1"/>
  <c r="M77" i="6"/>
  <c r="M79" i="6" s="1"/>
  <c r="U76" i="6"/>
  <c r="M76" i="6"/>
  <c r="AL75" i="6"/>
  <c r="AT75" i="6" s="1"/>
  <c r="AC75" i="6"/>
  <c r="AL74" i="6"/>
  <c r="AT74" i="6" s="1"/>
  <c r="AC74" i="6"/>
  <c r="AL73" i="6"/>
  <c r="AT73" i="6" s="1"/>
  <c r="AC73" i="6"/>
  <c r="AL72" i="6"/>
  <c r="AT72" i="6" s="1"/>
  <c r="AC72" i="6"/>
  <c r="AL71" i="6"/>
  <c r="AT71" i="6" s="1"/>
  <c r="AC71" i="6"/>
  <c r="AL70" i="6"/>
  <c r="AT70" i="6" s="1"/>
  <c r="AC70" i="6"/>
  <c r="AL69" i="6"/>
  <c r="AT69" i="6" s="1"/>
  <c r="AC69" i="6"/>
  <c r="AL68" i="6"/>
  <c r="AT68" i="6" s="1"/>
  <c r="AC68" i="6"/>
  <c r="AL67" i="6"/>
  <c r="AT67" i="6" s="1"/>
  <c r="AC67" i="6"/>
  <c r="AL66" i="6"/>
  <c r="AT66" i="6" s="1"/>
  <c r="AC66" i="6"/>
  <c r="AL65" i="6"/>
  <c r="AT65" i="6" s="1"/>
  <c r="AC65" i="6"/>
  <c r="AN51" i="6"/>
  <c r="AU51" i="6" s="1"/>
  <c r="AF51" i="6"/>
  <c r="AA51" i="6"/>
  <c r="T50" i="6"/>
  <c r="AA50" i="6" s="1"/>
  <c r="M50" i="6"/>
  <c r="M53" i="6" s="1"/>
  <c r="T49" i="6"/>
  <c r="M49" i="6"/>
  <c r="M52" i="6" s="1"/>
  <c r="M54" i="6" s="1"/>
  <c r="T48" i="6"/>
  <c r="M48" i="6"/>
  <c r="AN47" i="6"/>
  <c r="AU47" i="6" s="1"/>
  <c r="AF47" i="6"/>
  <c r="AA47" i="6"/>
  <c r="AA48" i="6" s="1"/>
  <c r="AN46" i="6"/>
  <c r="AU46" i="6" s="1"/>
  <c r="AF46" i="6"/>
  <c r="AA46" i="6"/>
  <c r="AN45" i="6"/>
  <c r="AU45" i="6" s="1"/>
  <c r="AF45" i="6"/>
  <c r="AA45" i="6"/>
  <c r="AN44" i="6"/>
  <c r="AU44" i="6" s="1"/>
  <c r="AF44" i="6"/>
  <c r="AA44" i="6"/>
  <c r="AN43" i="6"/>
  <c r="AU43" i="6" s="1"/>
  <c r="AF43" i="6"/>
  <c r="AA43" i="6"/>
  <c r="AN42" i="6"/>
  <c r="AU42" i="6" s="1"/>
  <c r="AF42" i="6"/>
  <c r="AA42" i="6"/>
  <c r="AN41" i="6"/>
  <c r="AU41" i="6" s="1"/>
  <c r="AF41" i="6"/>
  <c r="AA41" i="6"/>
  <c r="AU40" i="6"/>
  <c r="AN40" i="6"/>
  <c r="AF40" i="6"/>
  <c r="AA40" i="6"/>
  <c r="AN39" i="6"/>
  <c r="AU39" i="6" s="1"/>
  <c r="AF39" i="6"/>
  <c r="AA39" i="6"/>
  <c r="AN38" i="6"/>
  <c r="AU38" i="6" s="1"/>
  <c r="AF38" i="6"/>
  <c r="AA38" i="6"/>
  <c r="AN37" i="6"/>
  <c r="AU37" i="6" s="1"/>
  <c r="AF37" i="6"/>
  <c r="AA37" i="6"/>
  <c r="AL26" i="6"/>
  <c r="AT26" i="6" s="1"/>
  <c r="AD26" i="6"/>
  <c r="V25" i="6"/>
  <c r="V27" i="6" s="1"/>
  <c r="N25" i="6"/>
  <c r="N27" i="6" s="1"/>
  <c r="AO24" i="6"/>
  <c r="AW24" i="6" s="1"/>
  <c r="AG24" i="6"/>
  <c r="AL23" i="6"/>
  <c r="AT23" i="6" s="1"/>
  <c r="AD23" i="6"/>
  <c r="AL22" i="6"/>
  <c r="AT22" i="6" s="1"/>
  <c r="AD22" i="6"/>
  <c r="AL21" i="6"/>
  <c r="AT21" i="6" s="1"/>
  <c r="AD21" i="6"/>
  <c r="AL20" i="6"/>
  <c r="AT20" i="6" s="1"/>
  <c r="AD20" i="6"/>
  <c r="AL19" i="6"/>
  <c r="AT19" i="6" s="1"/>
  <c r="AD19" i="6"/>
  <c r="AO18" i="6"/>
  <c r="AW18" i="6" s="1"/>
  <c r="AG18" i="6"/>
  <c r="AL17" i="6"/>
  <c r="AD17" i="6"/>
  <c r="A12" i="6"/>
  <c r="U10" i="6"/>
  <c r="A10" i="6"/>
  <c r="A7" i="6"/>
  <c r="A2" i="6"/>
  <c r="D67" i="5"/>
  <c r="U57" i="5"/>
  <c r="S57" i="5"/>
  <c r="Q57" i="5"/>
  <c r="O57" i="5"/>
  <c r="M57" i="5"/>
  <c r="K57" i="5"/>
  <c r="I57" i="5"/>
  <c r="G57" i="5"/>
  <c r="W55" i="5"/>
  <c r="C52" i="5"/>
  <c r="J49" i="5"/>
  <c r="J46" i="5"/>
  <c r="C28" i="5"/>
  <c r="H1" i="5"/>
  <c r="G4" i="3"/>
  <c r="C206" i="53" s="1"/>
  <c r="E254" i="53"/>
  <c r="D254" i="53"/>
  <c r="C254" i="53"/>
  <c r="B254" i="53"/>
  <c r="E246" i="53"/>
  <c r="D246" i="53"/>
  <c r="C246" i="53"/>
  <c r="B246" i="53"/>
  <c r="E242" i="53"/>
  <c r="D242" i="53"/>
  <c r="C242" i="53"/>
  <c r="B242" i="53"/>
  <c r="E238" i="53"/>
  <c r="D238" i="53"/>
  <c r="C238" i="53"/>
  <c r="B238" i="53"/>
  <c r="E234" i="53"/>
  <c r="D234" i="53"/>
  <c r="C234" i="53"/>
  <c r="B234" i="53"/>
  <c r="E230" i="53"/>
  <c r="D230" i="53"/>
  <c r="C230" i="53"/>
  <c r="B230" i="53"/>
  <c r="E223" i="53"/>
  <c r="D223" i="53"/>
  <c r="C223" i="53"/>
  <c r="B223" i="53"/>
  <c r="E207" i="53"/>
  <c r="D207" i="53"/>
  <c r="C207" i="53"/>
  <c r="B207" i="53"/>
  <c r="E189" i="53"/>
  <c r="E188" i="53"/>
  <c r="H188" i="53" s="1"/>
  <c r="G13" i="1" s="1"/>
  <c r="E163" i="53"/>
  <c r="H163" i="53" s="1"/>
  <c r="E158" i="53"/>
  <c r="F142" i="53"/>
  <c r="E138" i="53"/>
  <c r="F137" i="53"/>
  <c r="E137" i="53"/>
  <c r="E136" i="53"/>
  <c r="F128" i="53"/>
  <c r="F126" i="53"/>
  <c r="E118" i="53"/>
  <c r="E116" i="53"/>
  <c r="E114" i="53"/>
  <c r="F101" i="53"/>
  <c r="E96" i="53"/>
  <c r="E92" i="53"/>
  <c r="F85" i="53"/>
  <c r="E85" i="53"/>
  <c r="E84" i="53"/>
  <c r="E71" i="53"/>
  <c r="E61" i="53"/>
  <c r="E59" i="53"/>
  <c r="F56" i="53"/>
  <c r="E56" i="53"/>
  <c r="E54" i="53"/>
  <c r="E42" i="53"/>
  <c r="F37" i="53"/>
  <c r="E37" i="53"/>
  <c r="E36" i="53"/>
  <c r="E31" i="53"/>
  <c r="E30" i="53"/>
  <c r="F18" i="53"/>
  <c r="E16" i="53"/>
  <c r="E15" i="53"/>
  <c r="E13" i="53"/>
  <c r="L1" i="53"/>
  <c r="D332" i="52"/>
  <c r="D331" i="52"/>
  <c r="D330" i="52"/>
  <c r="D329" i="52"/>
  <c r="D328" i="52"/>
  <c r="D327" i="52"/>
  <c r="F326" i="52"/>
  <c r="D326" i="52"/>
  <c r="F325" i="52"/>
  <c r="D325" i="52"/>
  <c r="F324" i="52"/>
  <c r="D324" i="52"/>
  <c r="F323" i="52"/>
  <c r="D323" i="52"/>
  <c r="F322" i="52"/>
  <c r="D322" i="52"/>
  <c r="F321" i="52"/>
  <c r="D321" i="52"/>
  <c r="F320" i="52"/>
  <c r="D320" i="52"/>
  <c r="F319" i="52"/>
  <c r="D319" i="52"/>
  <c r="F318" i="52"/>
  <c r="D318" i="52"/>
  <c r="F317" i="52"/>
  <c r="D317" i="52"/>
  <c r="F316" i="52"/>
  <c r="D316" i="52"/>
  <c r="F315" i="52"/>
  <c r="D315" i="52"/>
  <c r="F314" i="52"/>
  <c r="D314" i="52"/>
  <c r="F313" i="52"/>
  <c r="D313" i="52"/>
  <c r="F312" i="52"/>
  <c r="D312" i="52"/>
  <c r="F311" i="52"/>
  <c r="D311" i="52"/>
  <c r="F310" i="52"/>
  <c r="D310" i="52"/>
  <c r="F309" i="52"/>
  <c r="D309" i="52"/>
  <c r="F308" i="52"/>
  <c r="D308" i="52"/>
  <c r="F307" i="52"/>
  <c r="D307" i="52"/>
  <c r="F306" i="52"/>
  <c r="D306" i="52"/>
  <c r="F305" i="52"/>
  <c r="D305" i="52"/>
  <c r="F304" i="52"/>
  <c r="D304" i="52"/>
  <c r="F303" i="52"/>
  <c r="D303" i="52"/>
  <c r="D302" i="52"/>
  <c r="D301" i="52"/>
  <c r="F300" i="52"/>
  <c r="D300" i="52"/>
  <c r="F299" i="52"/>
  <c r="D299" i="52"/>
  <c r="D298" i="52"/>
  <c r="D297" i="52"/>
  <c r="F296" i="52"/>
  <c r="D296" i="52"/>
  <c r="D295" i="52"/>
  <c r="F294" i="52"/>
  <c r="D294" i="52"/>
  <c r="D293" i="52"/>
  <c r="F292" i="52"/>
  <c r="D292" i="52"/>
  <c r="D291" i="52"/>
  <c r="D290" i="52"/>
  <c r="D289" i="52"/>
  <c r="D288" i="52"/>
  <c r="D287" i="52"/>
  <c r="D286" i="52"/>
  <c r="D285" i="52"/>
  <c r="D284" i="52"/>
  <c r="D283" i="52"/>
  <c r="D282" i="52"/>
  <c r="D281" i="52"/>
  <c r="D280" i="52"/>
  <c r="D279" i="52"/>
  <c r="D278" i="52"/>
  <c r="D277" i="52"/>
  <c r="D276" i="52"/>
  <c r="F275" i="52"/>
  <c r="D275" i="52"/>
  <c r="D274" i="52"/>
  <c r="D273" i="52"/>
  <c r="D272" i="52"/>
  <c r="D271" i="52"/>
  <c r="D270" i="52"/>
  <c r="F269" i="52"/>
  <c r="D269" i="52"/>
  <c r="D268" i="52"/>
  <c r="D267" i="52"/>
  <c r="F266" i="52"/>
  <c r="D266" i="52"/>
  <c r="D265" i="52"/>
  <c r="D264" i="52"/>
  <c r="D263" i="52"/>
  <c r="D262" i="52"/>
  <c r="D261" i="52"/>
  <c r="D260" i="52"/>
  <c r="D259" i="52"/>
  <c r="D258" i="52"/>
  <c r="F257" i="52"/>
  <c r="D257" i="52"/>
  <c r="F256" i="52"/>
  <c r="D256" i="52"/>
  <c r="F255" i="52"/>
  <c r="D255" i="52"/>
  <c r="F254" i="52"/>
  <c r="D254" i="52"/>
  <c r="F253" i="52"/>
  <c r="D253" i="52"/>
  <c r="F252" i="52"/>
  <c r="D252" i="52"/>
  <c r="F251" i="52"/>
  <c r="D251" i="52"/>
  <c r="F250" i="52"/>
  <c r="D250" i="52"/>
  <c r="F249" i="52"/>
  <c r="D249" i="52"/>
  <c r="D248" i="52"/>
  <c r="D247" i="52"/>
  <c r="D246" i="52"/>
  <c r="D245" i="52"/>
  <c r="D244" i="52"/>
  <c r="D243" i="52"/>
  <c r="D242" i="52"/>
  <c r="D241" i="52"/>
  <c r="D240" i="52"/>
  <c r="F239" i="52"/>
  <c r="D239" i="52"/>
  <c r="D238" i="52"/>
  <c r="D237" i="52"/>
  <c r="D236" i="52"/>
  <c r="D235" i="52"/>
  <c r="F234" i="52"/>
  <c r="D234" i="52"/>
  <c r="D233" i="52"/>
  <c r="D232" i="52"/>
  <c r="D231" i="52"/>
  <c r="D230" i="52"/>
  <c r="D229" i="52"/>
  <c r="D228" i="52"/>
  <c r="D227" i="52"/>
  <c r="D226" i="52"/>
  <c r="D225" i="52"/>
  <c r="D224" i="52"/>
  <c r="D223" i="52"/>
  <c r="D222" i="52"/>
  <c r="F221" i="52"/>
  <c r="D221" i="52"/>
  <c r="F220" i="52"/>
  <c r="D220" i="52"/>
  <c r="F219" i="52"/>
  <c r="D219" i="52"/>
  <c r="F218" i="52"/>
  <c r="D218" i="52"/>
  <c r="F217" i="52"/>
  <c r="D217" i="52"/>
  <c r="F216" i="52"/>
  <c r="D216" i="52"/>
  <c r="F215" i="52"/>
  <c r="D215" i="52"/>
  <c r="D214" i="52"/>
  <c r="D213" i="52"/>
  <c r="F212" i="52"/>
  <c r="D212" i="52"/>
  <c r="F211" i="52"/>
  <c r="D211" i="52"/>
  <c r="D210" i="52"/>
  <c r="D209" i="52"/>
  <c r="D208" i="52"/>
  <c r="F207" i="52"/>
  <c r="D207" i="52"/>
  <c r="F206" i="52"/>
  <c r="D206" i="52"/>
  <c r="F205" i="52"/>
  <c r="D205" i="52"/>
  <c r="F204" i="52"/>
  <c r="D204" i="52"/>
  <c r="F203" i="52"/>
  <c r="D203" i="52"/>
  <c r="D202" i="52"/>
  <c r="D201" i="52"/>
  <c r="D200" i="52"/>
  <c r="F199" i="52"/>
  <c r="D199" i="52"/>
  <c r="F198" i="52"/>
  <c r="D198" i="52"/>
  <c r="F197" i="52"/>
  <c r="D197" i="52"/>
  <c r="F196" i="52"/>
  <c r="D196" i="52"/>
  <c r="F195" i="52"/>
  <c r="D195" i="52"/>
  <c r="F194" i="52"/>
  <c r="D194" i="52"/>
  <c r="D193" i="52"/>
  <c r="D192" i="52"/>
  <c r="D191" i="52"/>
  <c r="F190" i="52"/>
  <c r="D190" i="52"/>
  <c r="F189" i="52"/>
  <c r="D189" i="52"/>
  <c r="F188" i="52"/>
  <c r="D188" i="52"/>
  <c r="F187" i="52"/>
  <c r="D187" i="52"/>
  <c r="F186" i="52"/>
  <c r="D186" i="52"/>
  <c r="F185" i="52"/>
  <c r="D185" i="52"/>
  <c r="F184" i="52"/>
  <c r="D184" i="52"/>
  <c r="F183" i="52"/>
  <c r="D183" i="52"/>
  <c r="D182" i="52"/>
  <c r="D181" i="52"/>
  <c r="D180" i="52"/>
  <c r="D179" i="52"/>
  <c r="F178" i="52"/>
  <c r="D178" i="52"/>
  <c r="F177" i="52"/>
  <c r="D177" i="52"/>
  <c r="F176" i="52"/>
  <c r="D176" i="52"/>
  <c r="F175" i="52"/>
  <c r="D175" i="52"/>
  <c r="F174" i="52"/>
  <c r="D174" i="52"/>
  <c r="F173" i="52"/>
  <c r="D173" i="52"/>
  <c r="F172" i="52"/>
  <c r="D172" i="52"/>
  <c r="F171" i="52"/>
  <c r="D171" i="52"/>
  <c r="F170" i="52"/>
  <c r="D170" i="52"/>
  <c r="F169" i="52"/>
  <c r="D169" i="52"/>
  <c r="F168" i="52"/>
  <c r="D168" i="52"/>
  <c r="F167" i="52"/>
  <c r="D167" i="52"/>
  <c r="F166" i="52"/>
  <c r="D166" i="52"/>
  <c r="F165" i="52"/>
  <c r="D165" i="52"/>
  <c r="F164" i="52"/>
  <c r="D164" i="52"/>
  <c r="F163" i="52"/>
  <c r="D163" i="52"/>
  <c r="F162" i="52"/>
  <c r="D162" i="52"/>
  <c r="F161" i="52"/>
  <c r="D161" i="52"/>
  <c r="F160" i="52"/>
  <c r="D160" i="52"/>
  <c r="F159" i="52"/>
  <c r="D159" i="52"/>
  <c r="F158" i="52"/>
  <c r="D158" i="52"/>
  <c r="F157" i="52"/>
  <c r="D157" i="52"/>
  <c r="F156" i="52"/>
  <c r="D156" i="52"/>
  <c r="F155" i="52"/>
  <c r="D155" i="52"/>
  <c r="F154" i="52"/>
  <c r="D154" i="52"/>
  <c r="F153" i="52"/>
  <c r="D153" i="52"/>
  <c r="F152" i="52"/>
  <c r="D152" i="52"/>
  <c r="F151" i="52"/>
  <c r="D151" i="52"/>
  <c r="F150" i="52"/>
  <c r="D150" i="52"/>
  <c r="F149" i="52"/>
  <c r="D149" i="52"/>
  <c r="F148" i="52"/>
  <c r="D148" i="52"/>
  <c r="F147" i="52"/>
  <c r="D147" i="52"/>
  <c r="F146" i="52"/>
  <c r="D146" i="52"/>
  <c r="F145" i="52"/>
  <c r="D145" i="52"/>
  <c r="F144" i="52"/>
  <c r="D144" i="52"/>
  <c r="F143" i="52"/>
  <c r="D143" i="52"/>
  <c r="F142" i="52"/>
  <c r="D142" i="52"/>
  <c r="F141" i="52"/>
  <c r="D141" i="52"/>
  <c r="F140" i="52"/>
  <c r="D140" i="52"/>
  <c r="F139" i="52"/>
  <c r="D139" i="52"/>
  <c r="F138" i="52"/>
  <c r="D138" i="52"/>
  <c r="F137" i="52"/>
  <c r="D137" i="52"/>
  <c r="D136" i="52"/>
  <c r="F135" i="52"/>
  <c r="D135" i="52"/>
  <c r="F134" i="52"/>
  <c r="D134" i="52"/>
  <c r="F133" i="52"/>
  <c r="D133" i="52"/>
  <c r="F132" i="52"/>
  <c r="D132" i="52"/>
  <c r="F131" i="52"/>
  <c r="D131" i="52"/>
  <c r="D130" i="52"/>
  <c r="D129" i="52"/>
  <c r="D128" i="52"/>
  <c r="D127" i="52"/>
  <c r="D126" i="52"/>
  <c r="D125" i="52"/>
  <c r="D124" i="52"/>
  <c r="D123" i="52"/>
  <c r="D122" i="52"/>
  <c r="D121" i="52"/>
  <c r="F120" i="52"/>
  <c r="D120" i="52"/>
  <c r="F119" i="52"/>
  <c r="D119" i="52"/>
  <c r="F118" i="52"/>
  <c r="D118" i="52"/>
  <c r="F117" i="52"/>
  <c r="D117" i="52"/>
  <c r="F116" i="52"/>
  <c r="D116" i="52"/>
  <c r="F115" i="52"/>
  <c r="D115" i="52"/>
  <c r="F114" i="52"/>
  <c r="D114" i="52"/>
  <c r="F113" i="52"/>
  <c r="D113" i="52"/>
  <c r="F112" i="52"/>
  <c r="D112" i="52"/>
  <c r="F111" i="52"/>
  <c r="D111" i="52"/>
  <c r="F110" i="52"/>
  <c r="D110" i="52"/>
  <c r="F109" i="52"/>
  <c r="D109" i="52"/>
  <c r="F108" i="52"/>
  <c r="D108" i="52"/>
  <c r="F107" i="52"/>
  <c r="D107" i="52"/>
  <c r="F106" i="52"/>
  <c r="D106" i="52"/>
  <c r="F105" i="52"/>
  <c r="D105" i="52"/>
  <c r="F104" i="52"/>
  <c r="D104" i="52"/>
  <c r="F103" i="52"/>
  <c r="D103" i="52"/>
  <c r="F102" i="52"/>
  <c r="D102" i="52"/>
  <c r="F101" i="52"/>
  <c r="D101" i="52"/>
  <c r="F100" i="52"/>
  <c r="D100" i="52"/>
  <c r="F99" i="52"/>
  <c r="D99" i="52"/>
  <c r="F98" i="52"/>
  <c r="D98" i="52"/>
  <c r="F97" i="52"/>
  <c r="D97" i="52"/>
  <c r="F96" i="52"/>
  <c r="D96" i="52"/>
  <c r="F95" i="52"/>
  <c r="D95" i="52"/>
  <c r="F94" i="52"/>
  <c r="D94" i="52"/>
  <c r="F93" i="52"/>
  <c r="D93" i="52"/>
  <c r="F92" i="52"/>
  <c r="D92" i="52"/>
  <c r="F91" i="52"/>
  <c r="D91" i="52"/>
  <c r="F90" i="52"/>
  <c r="D90" i="52"/>
  <c r="F89" i="52"/>
  <c r="D89" i="52"/>
  <c r="F88" i="52"/>
  <c r="D88" i="52"/>
  <c r="F87" i="52"/>
  <c r="D87" i="52"/>
  <c r="D86" i="52"/>
  <c r="D85" i="52"/>
  <c r="D84" i="52"/>
  <c r="D83" i="52"/>
  <c r="D82" i="52"/>
  <c r="D81" i="52"/>
  <c r="D80" i="52"/>
  <c r="D79" i="52"/>
  <c r="D78" i="52"/>
  <c r="F77" i="52"/>
  <c r="D77" i="52"/>
  <c r="D76" i="52"/>
  <c r="F75" i="52"/>
  <c r="D75" i="52"/>
  <c r="D74" i="52"/>
  <c r="F73" i="52"/>
  <c r="D73" i="52"/>
  <c r="F72" i="52"/>
  <c r="D72" i="52"/>
  <c r="D71" i="52"/>
  <c r="D70" i="52"/>
  <c r="F69" i="52"/>
  <c r="D69" i="52"/>
  <c r="F68" i="52"/>
  <c r="D68" i="52"/>
  <c r="F67" i="52"/>
  <c r="D67" i="52"/>
  <c r="D66" i="52"/>
  <c r="D65" i="52"/>
  <c r="D64" i="52"/>
  <c r="D63" i="52"/>
  <c r="D62" i="52"/>
  <c r="D61" i="52"/>
  <c r="D60" i="52"/>
  <c r="F59" i="52"/>
  <c r="D59" i="52"/>
  <c r="D58" i="52"/>
  <c r="F57" i="52"/>
  <c r="D57" i="52"/>
  <c r="F56" i="52"/>
  <c r="D56" i="52"/>
  <c r="F55" i="52"/>
  <c r="D55" i="52"/>
  <c r="F54" i="52"/>
  <c r="D54" i="52"/>
  <c r="F53" i="52"/>
  <c r="D53" i="52"/>
  <c r="F52" i="52"/>
  <c r="D52" i="52"/>
  <c r="F51" i="52"/>
  <c r="D51" i="52"/>
  <c r="F50" i="52"/>
  <c r="D50" i="52"/>
  <c r="F49" i="52"/>
  <c r="D49" i="52"/>
  <c r="F48" i="52"/>
  <c r="D48" i="52"/>
  <c r="F47" i="52"/>
  <c r="D47" i="52"/>
  <c r="F46" i="52"/>
  <c r="D46" i="52"/>
  <c r="F45" i="52"/>
  <c r="D45" i="52"/>
  <c r="F44" i="52"/>
  <c r="D44" i="52"/>
  <c r="F43" i="52"/>
  <c r="D43" i="52"/>
  <c r="F42" i="52"/>
  <c r="D42" i="52"/>
  <c r="F41" i="52"/>
  <c r="D41" i="52"/>
  <c r="F40" i="52"/>
  <c r="D40" i="52"/>
  <c r="F39" i="52"/>
  <c r="D39" i="52"/>
  <c r="F38" i="52"/>
  <c r="D38" i="52"/>
  <c r="F37" i="52"/>
  <c r="D37" i="52"/>
  <c r="F36" i="52"/>
  <c r="D36" i="52"/>
  <c r="F35" i="52"/>
  <c r="D35" i="52"/>
  <c r="F34" i="52"/>
  <c r="D34" i="52"/>
  <c r="F33" i="52"/>
  <c r="D33" i="52"/>
  <c r="F32" i="52"/>
  <c r="D32" i="52"/>
  <c r="F31" i="52"/>
  <c r="D31" i="52"/>
  <c r="F30" i="52"/>
  <c r="D30" i="52"/>
  <c r="F29" i="52"/>
  <c r="D29" i="52"/>
  <c r="F28" i="52"/>
  <c r="D28" i="52"/>
  <c r="F27" i="52"/>
  <c r="D27" i="52"/>
  <c r="F26" i="52"/>
  <c r="D26" i="52"/>
  <c r="F25" i="52"/>
  <c r="D25" i="52"/>
  <c r="F24" i="52"/>
  <c r="D24" i="52"/>
  <c r="F23" i="52"/>
  <c r="D23" i="52"/>
  <c r="F22" i="52"/>
  <c r="D22" i="52"/>
  <c r="F21" i="52"/>
  <c r="D21" i="52"/>
  <c r="F20" i="52"/>
  <c r="D20" i="52"/>
  <c r="F19" i="52"/>
  <c r="D19" i="52"/>
  <c r="F18" i="52"/>
  <c r="D18" i="52"/>
  <c r="F17" i="52"/>
  <c r="D17" i="52"/>
  <c r="F16" i="52"/>
  <c r="D16" i="52"/>
  <c r="F15" i="52"/>
  <c r="D15" i="52"/>
  <c r="F14" i="52"/>
  <c r="D14" i="52"/>
  <c r="F13" i="52"/>
  <c r="D13" i="52"/>
  <c r="F12" i="52"/>
  <c r="D12" i="52"/>
  <c r="F11" i="52"/>
  <c r="D11" i="52"/>
  <c r="F10" i="52"/>
  <c r="D10" i="52"/>
  <c r="F9" i="52"/>
  <c r="D9" i="52"/>
  <c r="F8" i="52"/>
  <c r="D8" i="52"/>
  <c r="G6" i="52"/>
  <c r="A6" i="52"/>
  <c r="G843" i="2"/>
  <c r="E843" i="2"/>
  <c r="C843" i="2"/>
  <c r="E842" i="2"/>
  <c r="G842" i="2" s="1"/>
  <c r="C842" i="2"/>
  <c r="E841" i="2"/>
  <c r="G841" i="2" s="1"/>
  <c r="C841" i="2"/>
  <c r="E840" i="2"/>
  <c r="G840" i="2" s="1"/>
  <c r="C840" i="2"/>
  <c r="E839" i="2"/>
  <c r="G839" i="2" s="1"/>
  <c r="C839" i="2"/>
  <c r="E838" i="2"/>
  <c r="G838" i="2" s="1"/>
  <c r="C838" i="2"/>
  <c r="E837" i="2"/>
  <c r="G837" i="2" s="1"/>
  <c r="C837" i="2"/>
  <c r="E836" i="2"/>
  <c r="G836" i="2" s="1"/>
  <c r="C836" i="2"/>
  <c r="E835" i="2"/>
  <c r="G835" i="2" s="1"/>
  <c r="C835" i="2"/>
  <c r="E834" i="2"/>
  <c r="G834" i="2" s="1"/>
  <c r="C834" i="2"/>
  <c r="E833" i="2"/>
  <c r="G833" i="2" s="1"/>
  <c r="C833" i="2"/>
  <c r="E832" i="2"/>
  <c r="G832" i="2" s="1"/>
  <c r="C832" i="2"/>
  <c r="E831" i="2"/>
  <c r="G831" i="2" s="1"/>
  <c r="C831" i="2"/>
  <c r="E830" i="2"/>
  <c r="G830" i="2" s="1"/>
  <c r="C830" i="2"/>
  <c r="E829" i="2"/>
  <c r="G829" i="2" s="1"/>
  <c r="C829" i="2"/>
  <c r="E828" i="2"/>
  <c r="G828" i="2" s="1"/>
  <c r="C828" i="2"/>
  <c r="E827" i="2"/>
  <c r="G827" i="2" s="1"/>
  <c r="C827" i="2"/>
  <c r="E826" i="2"/>
  <c r="G826" i="2" s="1"/>
  <c r="C826" i="2"/>
  <c r="E825" i="2"/>
  <c r="G825" i="2" s="1"/>
  <c r="C825" i="2"/>
  <c r="E824" i="2"/>
  <c r="G824" i="2" s="1"/>
  <c r="C824" i="2"/>
  <c r="E823" i="2"/>
  <c r="G823" i="2" s="1"/>
  <c r="C823" i="2"/>
  <c r="E822" i="2"/>
  <c r="G822" i="2" s="1"/>
  <c r="C822" i="2"/>
  <c r="E821" i="2"/>
  <c r="G821" i="2" s="1"/>
  <c r="C821" i="2"/>
  <c r="E820" i="2"/>
  <c r="G820" i="2" s="1"/>
  <c r="C820" i="2"/>
  <c r="E819" i="2"/>
  <c r="G819" i="2" s="1"/>
  <c r="C819" i="2"/>
  <c r="E818" i="2"/>
  <c r="G818" i="2" s="1"/>
  <c r="C818" i="2"/>
  <c r="E817" i="2"/>
  <c r="G817" i="2" s="1"/>
  <c r="C817" i="2"/>
  <c r="E816" i="2"/>
  <c r="G816" i="2" s="1"/>
  <c r="C816" i="2"/>
  <c r="E815" i="2"/>
  <c r="G815" i="2" s="1"/>
  <c r="C815" i="2"/>
  <c r="E814" i="2"/>
  <c r="G814" i="2" s="1"/>
  <c r="C814" i="2"/>
  <c r="E813" i="2"/>
  <c r="G813" i="2" s="1"/>
  <c r="C813" i="2"/>
  <c r="E812" i="2"/>
  <c r="G812" i="2" s="1"/>
  <c r="C812" i="2"/>
  <c r="E811" i="2"/>
  <c r="G811" i="2" s="1"/>
  <c r="C811" i="2"/>
  <c r="E810" i="2"/>
  <c r="G810" i="2" s="1"/>
  <c r="C810" i="2"/>
  <c r="E809" i="2"/>
  <c r="G809" i="2" s="1"/>
  <c r="C809" i="2"/>
  <c r="E808" i="2"/>
  <c r="G808" i="2" s="1"/>
  <c r="C808" i="2"/>
  <c r="E807" i="2"/>
  <c r="G807" i="2" s="1"/>
  <c r="C807" i="2"/>
  <c r="E806" i="2"/>
  <c r="G806" i="2" s="1"/>
  <c r="C806" i="2"/>
  <c r="E805" i="2"/>
  <c r="G805" i="2" s="1"/>
  <c r="C805" i="2"/>
  <c r="E804" i="2"/>
  <c r="G804" i="2" s="1"/>
  <c r="C804" i="2"/>
  <c r="E803" i="2"/>
  <c r="G803" i="2" s="1"/>
  <c r="C803" i="2"/>
  <c r="E802" i="2"/>
  <c r="G802" i="2" s="1"/>
  <c r="C802" i="2"/>
  <c r="E801" i="2"/>
  <c r="G801" i="2" s="1"/>
  <c r="C801" i="2"/>
  <c r="E800" i="2"/>
  <c r="G800" i="2" s="1"/>
  <c r="C800" i="2"/>
  <c r="E799" i="2"/>
  <c r="G799" i="2" s="1"/>
  <c r="C799" i="2"/>
  <c r="E798" i="2"/>
  <c r="G798" i="2" s="1"/>
  <c r="C798" i="2"/>
  <c r="G797" i="2"/>
  <c r="E797" i="2"/>
  <c r="C797" i="2"/>
  <c r="E796" i="2"/>
  <c r="G796" i="2" s="1"/>
  <c r="C796" i="2"/>
  <c r="E795" i="2"/>
  <c r="G795" i="2" s="1"/>
  <c r="C795" i="2"/>
  <c r="E794" i="2"/>
  <c r="G794" i="2" s="1"/>
  <c r="C794" i="2"/>
  <c r="E793" i="2"/>
  <c r="G793" i="2" s="1"/>
  <c r="C793" i="2"/>
  <c r="E792" i="2"/>
  <c r="G792" i="2" s="1"/>
  <c r="C792" i="2"/>
  <c r="E791" i="2"/>
  <c r="G791" i="2" s="1"/>
  <c r="C791" i="2"/>
  <c r="E790" i="2"/>
  <c r="G790" i="2" s="1"/>
  <c r="C790" i="2"/>
  <c r="E789" i="2"/>
  <c r="G789" i="2" s="1"/>
  <c r="C789" i="2"/>
  <c r="E788" i="2"/>
  <c r="G788" i="2" s="1"/>
  <c r="C788" i="2"/>
  <c r="E787" i="2"/>
  <c r="G787" i="2" s="1"/>
  <c r="C787" i="2"/>
  <c r="E786" i="2"/>
  <c r="G786" i="2" s="1"/>
  <c r="C786" i="2"/>
  <c r="E785" i="2"/>
  <c r="G785" i="2" s="1"/>
  <c r="C785" i="2"/>
  <c r="E784" i="2"/>
  <c r="G784" i="2" s="1"/>
  <c r="C784" i="2"/>
  <c r="E783" i="2"/>
  <c r="G783" i="2" s="1"/>
  <c r="C783" i="2"/>
  <c r="E782" i="2"/>
  <c r="G782" i="2" s="1"/>
  <c r="C782" i="2"/>
  <c r="E781" i="2"/>
  <c r="G781" i="2" s="1"/>
  <c r="C781" i="2"/>
  <c r="E780" i="2"/>
  <c r="G780" i="2" s="1"/>
  <c r="C780" i="2"/>
  <c r="E779" i="2"/>
  <c r="G779" i="2" s="1"/>
  <c r="C779" i="2"/>
  <c r="E778" i="2"/>
  <c r="G778" i="2" s="1"/>
  <c r="C778" i="2"/>
  <c r="E777" i="2"/>
  <c r="G777" i="2" s="1"/>
  <c r="C777" i="2"/>
  <c r="E776" i="2"/>
  <c r="G776" i="2" s="1"/>
  <c r="C776" i="2"/>
  <c r="E775" i="2"/>
  <c r="G775" i="2" s="1"/>
  <c r="C775" i="2"/>
  <c r="E774" i="2"/>
  <c r="G774" i="2" s="1"/>
  <c r="C774" i="2"/>
  <c r="E773" i="2"/>
  <c r="G773" i="2" s="1"/>
  <c r="C773" i="2"/>
  <c r="E772" i="2"/>
  <c r="G772" i="2" s="1"/>
  <c r="C772" i="2"/>
  <c r="E771" i="2"/>
  <c r="G771" i="2" s="1"/>
  <c r="C771" i="2"/>
  <c r="E770" i="2"/>
  <c r="G770" i="2" s="1"/>
  <c r="C770" i="2"/>
  <c r="E769" i="2"/>
  <c r="G769" i="2" s="1"/>
  <c r="C769" i="2"/>
  <c r="E768" i="2"/>
  <c r="G768" i="2" s="1"/>
  <c r="C768" i="2"/>
  <c r="E767" i="2"/>
  <c r="G767" i="2" s="1"/>
  <c r="C767" i="2"/>
  <c r="E766" i="2"/>
  <c r="G766" i="2" s="1"/>
  <c r="C766" i="2"/>
  <c r="E765" i="2"/>
  <c r="G765" i="2" s="1"/>
  <c r="C765" i="2"/>
  <c r="E764" i="2"/>
  <c r="G764" i="2" s="1"/>
  <c r="C764" i="2"/>
  <c r="G763" i="2"/>
  <c r="E763" i="2"/>
  <c r="C763" i="2"/>
  <c r="E762" i="2"/>
  <c r="G762" i="2" s="1"/>
  <c r="C762" i="2"/>
  <c r="E761" i="2"/>
  <c r="G761" i="2" s="1"/>
  <c r="C761" i="2"/>
  <c r="E760" i="2"/>
  <c r="G760" i="2" s="1"/>
  <c r="C760" i="2"/>
  <c r="E759" i="2"/>
  <c r="G759" i="2" s="1"/>
  <c r="C759" i="2"/>
  <c r="E758" i="2"/>
  <c r="G758" i="2" s="1"/>
  <c r="C758" i="2"/>
  <c r="E757" i="2"/>
  <c r="G757" i="2" s="1"/>
  <c r="C757" i="2"/>
  <c r="E756" i="2"/>
  <c r="G756" i="2" s="1"/>
  <c r="C756" i="2"/>
  <c r="E755" i="2"/>
  <c r="G755" i="2" s="1"/>
  <c r="C755" i="2"/>
  <c r="E754" i="2"/>
  <c r="G754" i="2" s="1"/>
  <c r="C754" i="2"/>
  <c r="E753" i="2"/>
  <c r="G753" i="2" s="1"/>
  <c r="C753" i="2"/>
  <c r="E752" i="2"/>
  <c r="G752" i="2" s="1"/>
  <c r="C752" i="2"/>
  <c r="E751" i="2"/>
  <c r="G751" i="2" s="1"/>
  <c r="C751" i="2"/>
  <c r="E750" i="2"/>
  <c r="G750" i="2" s="1"/>
  <c r="C750" i="2"/>
  <c r="E749" i="2"/>
  <c r="G749" i="2" s="1"/>
  <c r="C749" i="2"/>
  <c r="E748" i="2"/>
  <c r="G748" i="2" s="1"/>
  <c r="C748" i="2"/>
  <c r="E747" i="2"/>
  <c r="G747" i="2" s="1"/>
  <c r="C747" i="2"/>
  <c r="E746" i="2"/>
  <c r="G746" i="2" s="1"/>
  <c r="C746" i="2"/>
  <c r="E745" i="2"/>
  <c r="G745" i="2" s="1"/>
  <c r="C745" i="2"/>
  <c r="E744" i="2"/>
  <c r="G744" i="2" s="1"/>
  <c r="C744" i="2"/>
  <c r="E743" i="2"/>
  <c r="G743" i="2" s="1"/>
  <c r="C743" i="2"/>
  <c r="E742" i="2"/>
  <c r="G742" i="2" s="1"/>
  <c r="C742" i="2"/>
  <c r="E741" i="2"/>
  <c r="G741" i="2" s="1"/>
  <c r="C741" i="2"/>
  <c r="E740" i="2"/>
  <c r="G740" i="2" s="1"/>
  <c r="C740" i="2"/>
  <c r="E739" i="2"/>
  <c r="G739" i="2" s="1"/>
  <c r="C739" i="2"/>
  <c r="E738" i="2"/>
  <c r="G738" i="2" s="1"/>
  <c r="C738" i="2"/>
  <c r="E737" i="2"/>
  <c r="G737" i="2" s="1"/>
  <c r="C737" i="2"/>
  <c r="E736" i="2"/>
  <c r="G736" i="2" s="1"/>
  <c r="C736" i="2"/>
  <c r="E735" i="2"/>
  <c r="G735" i="2" s="1"/>
  <c r="C735" i="2"/>
  <c r="E734" i="2"/>
  <c r="G734" i="2" s="1"/>
  <c r="C734" i="2"/>
  <c r="E733" i="2"/>
  <c r="G733" i="2" s="1"/>
  <c r="C733" i="2"/>
  <c r="E732" i="2"/>
  <c r="G732" i="2" s="1"/>
  <c r="C732" i="2"/>
  <c r="E731" i="2"/>
  <c r="G731" i="2" s="1"/>
  <c r="C731" i="2"/>
  <c r="E730" i="2"/>
  <c r="G730" i="2" s="1"/>
  <c r="C730" i="2"/>
  <c r="E729" i="2"/>
  <c r="G729" i="2" s="1"/>
  <c r="C729" i="2"/>
  <c r="E728" i="2"/>
  <c r="G728" i="2" s="1"/>
  <c r="C728" i="2"/>
  <c r="E727" i="2"/>
  <c r="G727" i="2" s="1"/>
  <c r="C727" i="2"/>
  <c r="E726" i="2"/>
  <c r="G726" i="2" s="1"/>
  <c r="C726" i="2"/>
  <c r="E725" i="2"/>
  <c r="G725" i="2" s="1"/>
  <c r="C725" i="2"/>
  <c r="E724" i="2"/>
  <c r="G724" i="2" s="1"/>
  <c r="C724" i="2"/>
  <c r="E723" i="2"/>
  <c r="G723" i="2" s="1"/>
  <c r="C723" i="2"/>
  <c r="E722" i="2"/>
  <c r="G722" i="2" s="1"/>
  <c r="C722" i="2"/>
  <c r="E721" i="2"/>
  <c r="G721" i="2" s="1"/>
  <c r="C721" i="2"/>
  <c r="E720" i="2"/>
  <c r="G720" i="2" s="1"/>
  <c r="C720" i="2"/>
  <c r="E719" i="2"/>
  <c r="G719" i="2" s="1"/>
  <c r="C719" i="2"/>
  <c r="E718" i="2"/>
  <c r="G718" i="2" s="1"/>
  <c r="C718" i="2"/>
  <c r="E717" i="2"/>
  <c r="G717" i="2" s="1"/>
  <c r="C717" i="2"/>
  <c r="E716" i="2"/>
  <c r="G716" i="2" s="1"/>
  <c r="C716" i="2"/>
  <c r="E715" i="2"/>
  <c r="G715" i="2" s="1"/>
  <c r="C715" i="2"/>
  <c r="E714" i="2"/>
  <c r="G714" i="2" s="1"/>
  <c r="C714" i="2"/>
  <c r="E713" i="2"/>
  <c r="G713" i="2" s="1"/>
  <c r="C713" i="2"/>
  <c r="E712" i="2"/>
  <c r="G712" i="2" s="1"/>
  <c r="C712" i="2"/>
  <c r="E711" i="2"/>
  <c r="G711" i="2" s="1"/>
  <c r="C711" i="2"/>
  <c r="E710" i="2"/>
  <c r="G710" i="2" s="1"/>
  <c r="C710" i="2"/>
  <c r="E709" i="2"/>
  <c r="G709" i="2" s="1"/>
  <c r="C709" i="2"/>
  <c r="E708" i="2"/>
  <c r="G708" i="2" s="1"/>
  <c r="C708" i="2"/>
  <c r="E707" i="2"/>
  <c r="G707" i="2" s="1"/>
  <c r="C707" i="2"/>
  <c r="E706" i="2"/>
  <c r="G706" i="2" s="1"/>
  <c r="C706" i="2"/>
  <c r="E705" i="2"/>
  <c r="G705" i="2" s="1"/>
  <c r="C705" i="2"/>
  <c r="E704" i="2"/>
  <c r="G704" i="2" s="1"/>
  <c r="C704" i="2"/>
  <c r="E703" i="2"/>
  <c r="G703" i="2" s="1"/>
  <c r="C703" i="2"/>
  <c r="E702" i="2"/>
  <c r="G702" i="2" s="1"/>
  <c r="C702" i="2"/>
  <c r="E701" i="2"/>
  <c r="G701" i="2" s="1"/>
  <c r="C701" i="2"/>
  <c r="E700" i="2"/>
  <c r="G700" i="2" s="1"/>
  <c r="C700" i="2"/>
  <c r="E699" i="2"/>
  <c r="G699" i="2" s="1"/>
  <c r="C699" i="2"/>
  <c r="E698" i="2"/>
  <c r="G698" i="2" s="1"/>
  <c r="C698" i="2"/>
  <c r="E697" i="2"/>
  <c r="G697" i="2" s="1"/>
  <c r="C697" i="2"/>
  <c r="E696" i="2"/>
  <c r="G696" i="2" s="1"/>
  <c r="C696" i="2"/>
  <c r="E695" i="2"/>
  <c r="G695" i="2" s="1"/>
  <c r="C695" i="2"/>
  <c r="G694" i="2"/>
  <c r="E694" i="2"/>
  <c r="C694" i="2"/>
  <c r="E693" i="2"/>
  <c r="G693" i="2" s="1"/>
  <c r="C693" i="2"/>
  <c r="E692" i="2"/>
  <c r="G692" i="2" s="1"/>
  <c r="C692" i="2"/>
  <c r="E691" i="2"/>
  <c r="G691" i="2" s="1"/>
  <c r="C691" i="2"/>
  <c r="E690" i="2"/>
  <c r="G690" i="2" s="1"/>
  <c r="C690" i="2"/>
  <c r="E689" i="2"/>
  <c r="G689" i="2" s="1"/>
  <c r="C689" i="2"/>
  <c r="E688" i="2"/>
  <c r="G688" i="2" s="1"/>
  <c r="C688" i="2"/>
  <c r="E687" i="2"/>
  <c r="G687" i="2" s="1"/>
  <c r="C687" i="2"/>
  <c r="E686" i="2"/>
  <c r="G686" i="2" s="1"/>
  <c r="C686" i="2"/>
  <c r="E685" i="2"/>
  <c r="G685" i="2" s="1"/>
  <c r="C685" i="2"/>
  <c r="E684" i="2"/>
  <c r="G684" i="2" s="1"/>
  <c r="C684" i="2"/>
  <c r="E683" i="2"/>
  <c r="G683" i="2" s="1"/>
  <c r="C683" i="2"/>
  <c r="E682" i="2"/>
  <c r="G682" i="2" s="1"/>
  <c r="C682" i="2"/>
  <c r="E681" i="2"/>
  <c r="G681" i="2" s="1"/>
  <c r="C681" i="2"/>
  <c r="E680" i="2"/>
  <c r="G680" i="2" s="1"/>
  <c r="C680" i="2"/>
  <c r="E679" i="2"/>
  <c r="G679" i="2" s="1"/>
  <c r="C679" i="2"/>
  <c r="E678" i="2"/>
  <c r="G678" i="2" s="1"/>
  <c r="C678" i="2"/>
  <c r="E677" i="2"/>
  <c r="G677" i="2" s="1"/>
  <c r="C677" i="2"/>
  <c r="E676" i="2"/>
  <c r="G676" i="2" s="1"/>
  <c r="C676" i="2"/>
  <c r="E675" i="2"/>
  <c r="G675" i="2" s="1"/>
  <c r="C675" i="2"/>
  <c r="E674" i="2"/>
  <c r="G674" i="2" s="1"/>
  <c r="C674" i="2"/>
  <c r="E673" i="2"/>
  <c r="G673" i="2" s="1"/>
  <c r="C673" i="2"/>
  <c r="E672" i="2"/>
  <c r="G672" i="2" s="1"/>
  <c r="C672" i="2"/>
  <c r="E671" i="2"/>
  <c r="G671" i="2" s="1"/>
  <c r="C671" i="2"/>
  <c r="E670" i="2"/>
  <c r="G670" i="2" s="1"/>
  <c r="C670" i="2"/>
  <c r="E669" i="2"/>
  <c r="G669" i="2" s="1"/>
  <c r="C669" i="2"/>
  <c r="E668" i="2"/>
  <c r="G668" i="2" s="1"/>
  <c r="C668" i="2"/>
  <c r="E667" i="2"/>
  <c r="G667" i="2" s="1"/>
  <c r="C667" i="2"/>
  <c r="E666" i="2"/>
  <c r="G666" i="2" s="1"/>
  <c r="C666" i="2"/>
  <c r="E665" i="2"/>
  <c r="G665" i="2" s="1"/>
  <c r="C665" i="2"/>
  <c r="E664" i="2"/>
  <c r="G664" i="2" s="1"/>
  <c r="C664" i="2"/>
  <c r="E663" i="2"/>
  <c r="G663" i="2" s="1"/>
  <c r="C663" i="2"/>
  <c r="E662" i="2"/>
  <c r="G662" i="2" s="1"/>
  <c r="C662" i="2"/>
  <c r="E661" i="2"/>
  <c r="G661" i="2" s="1"/>
  <c r="C661" i="2"/>
  <c r="E660" i="2"/>
  <c r="G660" i="2" s="1"/>
  <c r="C660" i="2"/>
  <c r="E659" i="2"/>
  <c r="G659" i="2" s="1"/>
  <c r="C659" i="2"/>
  <c r="E658" i="2"/>
  <c r="G658" i="2" s="1"/>
  <c r="C658" i="2"/>
  <c r="E657" i="2"/>
  <c r="G657" i="2" s="1"/>
  <c r="C657" i="2"/>
  <c r="E656" i="2"/>
  <c r="G656" i="2" s="1"/>
  <c r="C656" i="2"/>
  <c r="E655" i="2"/>
  <c r="G655" i="2" s="1"/>
  <c r="C655" i="2"/>
  <c r="E654" i="2"/>
  <c r="G654" i="2" s="1"/>
  <c r="C654" i="2"/>
  <c r="E653" i="2"/>
  <c r="G653" i="2" s="1"/>
  <c r="C653" i="2"/>
  <c r="E652" i="2"/>
  <c r="G652" i="2" s="1"/>
  <c r="C652" i="2"/>
  <c r="E651" i="2"/>
  <c r="G651" i="2" s="1"/>
  <c r="C651" i="2"/>
  <c r="E650" i="2"/>
  <c r="G650" i="2" s="1"/>
  <c r="C650" i="2"/>
  <c r="E649" i="2"/>
  <c r="G649" i="2" s="1"/>
  <c r="C649" i="2"/>
  <c r="E648" i="2"/>
  <c r="G648" i="2" s="1"/>
  <c r="C648" i="2"/>
  <c r="E647" i="2"/>
  <c r="G647" i="2" s="1"/>
  <c r="C647" i="2"/>
  <c r="E646" i="2"/>
  <c r="G646" i="2" s="1"/>
  <c r="C646" i="2"/>
  <c r="E645" i="2"/>
  <c r="G645" i="2" s="1"/>
  <c r="C645" i="2"/>
  <c r="E644" i="2"/>
  <c r="G644" i="2" s="1"/>
  <c r="C644" i="2"/>
  <c r="E643" i="2"/>
  <c r="G643" i="2" s="1"/>
  <c r="C643" i="2"/>
  <c r="E642" i="2"/>
  <c r="G642" i="2" s="1"/>
  <c r="C642" i="2"/>
  <c r="E641" i="2"/>
  <c r="G641" i="2" s="1"/>
  <c r="C641" i="2"/>
  <c r="E640" i="2"/>
  <c r="G640" i="2" s="1"/>
  <c r="C640" i="2"/>
  <c r="E639" i="2"/>
  <c r="G639" i="2" s="1"/>
  <c r="C639" i="2"/>
  <c r="E638" i="2"/>
  <c r="G638" i="2" s="1"/>
  <c r="C638" i="2"/>
  <c r="E637" i="2"/>
  <c r="G637" i="2" s="1"/>
  <c r="C637" i="2"/>
  <c r="E636" i="2"/>
  <c r="G636" i="2" s="1"/>
  <c r="C636" i="2"/>
  <c r="E635" i="2"/>
  <c r="G635" i="2" s="1"/>
  <c r="C635" i="2"/>
  <c r="E634" i="2"/>
  <c r="G634" i="2" s="1"/>
  <c r="C634" i="2"/>
  <c r="E633" i="2"/>
  <c r="G633" i="2" s="1"/>
  <c r="C633" i="2"/>
  <c r="E632" i="2"/>
  <c r="G632" i="2" s="1"/>
  <c r="C632" i="2"/>
  <c r="E631" i="2"/>
  <c r="G631" i="2" s="1"/>
  <c r="C631" i="2"/>
  <c r="E630" i="2"/>
  <c r="G630" i="2" s="1"/>
  <c r="C630" i="2"/>
  <c r="E629" i="2"/>
  <c r="G629" i="2" s="1"/>
  <c r="C629" i="2"/>
  <c r="E628" i="2"/>
  <c r="G628" i="2" s="1"/>
  <c r="C628" i="2"/>
  <c r="E627" i="2"/>
  <c r="G627" i="2" s="1"/>
  <c r="C627" i="2"/>
  <c r="E626" i="2"/>
  <c r="G626" i="2" s="1"/>
  <c r="C626" i="2"/>
  <c r="E625" i="2"/>
  <c r="G625" i="2" s="1"/>
  <c r="C625" i="2"/>
  <c r="E624" i="2"/>
  <c r="G624" i="2" s="1"/>
  <c r="C624" i="2"/>
  <c r="E623" i="2"/>
  <c r="G623" i="2" s="1"/>
  <c r="C623" i="2"/>
  <c r="E622" i="2"/>
  <c r="G622" i="2" s="1"/>
  <c r="C622" i="2"/>
  <c r="E621" i="2"/>
  <c r="G621" i="2" s="1"/>
  <c r="C621" i="2"/>
  <c r="E620" i="2"/>
  <c r="G620" i="2" s="1"/>
  <c r="C620" i="2"/>
  <c r="E619" i="2"/>
  <c r="G619" i="2" s="1"/>
  <c r="C619" i="2"/>
  <c r="E618" i="2"/>
  <c r="G618" i="2" s="1"/>
  <c r="C618" i="2"/>
  <c r="E617" i="2"/>
  <c r="G617" i="2" s="1"/>
  <c r="C617" i="2"/>
  <c r="E616" i="2"/>
  <c r="G616" i="2" s="1"/>
  <c r="C616" i="2"/>
  <c r="E615" i="2"/>
  <c r="G615" i="2" s="1"/>
  <c r="C615" i="2"/>
  <c r="E614" i="2"/>
  <c r="G614" i="2" s="1"/>
  <c r="C614" i="2"/>
  <c r="E613" i="2"/>
  <c r="G613" i="2" s="1"/>
  <c r="C613" i="2"/>
  <c r="E612" i="2"/>
  <c r="G612" i="2" s="1"/>
  <c r="C612" i="2"/>
  <c r="E611" i="2"/>
  <c r="G611" i="2" s="1"/>
  <c r="C611" i="2"/>
  <c r="E610" i="2"/>
  <c r="G610" i="2" s="1"/>
  <c r="C610" i="2"/>
  <c r="E609" i="2"/>
  <c r="G609" i="2" s="1"/>
  <c r="C609" i="2"/>
  <c r="E608" i="2"/>
  <c r="G608" i="2" s="1"/>
  <c r="C608" i="2"/>
  <c r="E607" i="2"/>
  <c r="G607" i="2" s="1"/>
  <c r="C607" i="2"/>
  <c r="E606" i="2"/>
  <c r="G606" i="2" s="1"/>
  <c r="C606" i="2"/>
  <c r="E605" i="2"/>
  <c r="G605" i="2" s="1"/>
  <c r="C605" i="2"/>
  <c r="E604" i="2"/>
  <c r="G604" i="2" s="1"/>
  <c r="C604" i="2"/>
  <c r="E603" i="2"/>
  <c r="G603" i="2" s="1"/>
  <c r="C603" i="2"/>
  <c r="E602" i="2"/>
  <c r="G602" i="2" s="1"/>
  <c r="C602" i="2"/>
  <c r="E601" i="2"/>
  <c r="G601" i="2" s="1"/>
  <c r="C601" i="2"/>
  <c r="E600" i="2"/>
  <c r="G600" i="2" s="1"/>
  <c r="C600" i="2"/>
  <c r="E599" i="2"/>
  <c r="G599" i="2" s="1"/>
  <c r="C599" i="2"/>
  <c r="E598" i="2"/>
  <c r="G598" i="2" s="1"/>
  <c r="C598" i="2"/>
  <c r="E597" i="2"/>
  <c r="G597" i="2" s="1"/>
  <c r="C597" i="2"/>
  <c r="E596" i="2"/>
  <c r="G596" i="2" s="1"/>
  <c r="C596" i="2"/>
  <c r="E595" i="2"/>
  <c r="G595" i="2" s="1"/>
  <c r="C595" i="2"/>
  <c r="G594" i="2"/>
  <c r="E594" i="2"/>
  <c r="C594" i="2"/>
  <c r="E593" i="2"/>
  <c r="G593" i="2" s="1"/>
  <c r="C593" i="2"/>
  <c r="E592" i="2"/>
  <c r="G592" i="2" s="1"/>
  <c r="C592" i="2"/>
  <c r="E591" i="2"/>
  <c r="G591" i="2" s="1"/>
  <c r="C591" i="2"/>
  <c r="E590" i="2"/>
  <c r="G590" i="2" s="1"/>
  <c r="C590" i="2"/>
  <c r="E589" i="2"/>
  <c r="G589" i="2" s="1"/>
  <c r="C589" i="2"/>
  <c r="E588" i="2"/>
  <c r="G588" i="2" s="1"/>
  <c r="C588" i="2"/>
  <c r="E587" i="2"/>
  <c r="G587" i="2" s="1"/>
  <c r="C587" i="2"/>
  <c r="E586" i="2"/>
  <c r="G586" i="2" s="1"/>
  <c r="C586" i="2"/>
  <c r="E585" i="2"/>
  <c r="G585" i="2" s="1"/>
  <c r="C585" i="2"/>
  <c r="E584" i="2"/>
  <c r="G584" i="2" s="1"/>
  <c r="C584" i="2"/>
  <c r="E583" i="2"/>
  <c r="G583" i="2" s="1"/>
  <c r="C583" i="2"/>
  <c r="E582" i="2"/>
  <c r="G582" i="2" s="1"/>
  <c r="C582" i="2"/>
  <c r="E581" i="2"/>
  <c r="G581" i="2" s="1"/>
  <c r="C581" i="2"/>
  <c r="E580" i="2"/>
  <c r="G580" i="2" s="1"/>
  <c r="C580" i="2"/>
  <c r="E579" i="2"/>
  <c r="G579" i="2" s="1"/>
  <c r="C579" i="2"/>
  <c r="E578" i="2"/>
  <c r="G578" i="2" s="1"/>
  <c r="C578" i="2"/>
  <c r="E577" i="2"/>
  <c r="G577" i="2" s="1"/>
  <c r="C577" i="2"/>
  <c r="E576" i="2"/>
  <c r="G576" i="2" s="1"/>
  <c r="C576" i="2"/>
  <c r="E575" i="2"/>
  <c r="G575" i="2" s="1"/>
  <c r="C575" i="2"/>
  <c r="E574" i="2"/>
  <c r="G574" i="2" s="1"/>
  <c r="C574" i="2"/>
  <c r="E573" i="2"/>
  <c r="G573" i="2" s="1"/>
  <c r="C573" i="2"/>
  <c r="E572" i="2"/>
  <c r="G572" i="2" s="1"/>
  <c r="C572" i="2"/>
  <c r="E571" i="2"/>
  <c r="G571" i="2" s="1"/>
  <c r="C571" i="2"/>
  <c r="E570" i="2"/>
  <c r="G570" i="2" s="1"/>
  <c r="C570" i="2"/>
  <c r="E569" i="2"/>
  <c r="G569" i="2" s="1"/>
  <c r="C569" i="2"/>
  <c r="E568" i="2"/>
  <c r="G568" i="2" s="1"/>
  <c r="C568" i="2"/>
  <c r="E567" i="2"/>
  <c r="G567" i="2" s="1"/>
  <c r="C567" i="2"/>
  <c r="E566" i="2"/>
  <c r="G566" i="2" s="1"/>
  <c r="C566" i="2"/>
  <c r="E565" i="2"/>
  <c r="G565" i="2" s="1"/>
  <c r="C565" i="2"/>
  <c r="E564" i="2"/>
  <c r="G564" i="2" s="1"/>
  <c r="C564" i="2"/>
  <c r="E563" i="2"/>
  <c r="G563" i="2" s="1"/>
  <c r="C563" i="2"/>
  <c r="E562" i="2"/>
  <c r="G562" i="2" s="1"/>
  <c r="C562" i="2"/>
  <c r="E561" i="2"/>
  <c r="G561" i="2" s="1"/>
  <c r="C561" i="2"/>
  <c r="E560" i="2"/>
  <c r="G560" i="2" s="1"/>
  <c r="C560" i="2"/>
  <c r="E559" i="2"/>
  <c r="G559" i="2" s="1"/>
  <c r="C559" i="2"/>
  <c r="E558" i="2"/>
  <c r="G558" i="2" s="1"/>
  <c r="C558" i="2"/>
  <c r="E557" i="2"/>
  <c r="G557" i="2" s="1"/>
  <c r="C557" i="2"/>
  <c r="E556" i="2"/>
  <c r="G556" i="2" s="1"/>
  <c r="C556" i="2"/>
  <c r="E555" i="2"/>
  <c r="G555" i="2" s="1"/>
  <c r="C555" i="2"/>
  <c r="E554" i="2"/>
  <c r="G554" i="2" s="1"/>
  <c r="C554" i="2"/>
  <c r="E553" i="2"/>
  <c r="G553" i="2" s="1"/>
  <c r="C553" i="2"/>
  <c r="E552" i="2"/>
  <c r="G552" i="2" s="1"/>
  <c r="C552" i="2"/>
  <c r="E551" i="2"/>
  <c r="G551" i="2" s="1"/>
  <c r="C551" i="2"/>
  <c r="E550" i="2"/>
  <c r="G550" i="2" s="1"/>
  <c r="C550" i="2"/>
  <c r="E549" i="2"/>
  <c r="G549" i="2" s="1"/>
  <c r="C549" i="2"/>
  <c r="E548" i="2"/>
  <c r="G548" i="2" s="1"/>
  <c r="C548" i="2"/>
  <c r="E547" i="2"/>
  <c r="G547" i="2" s="1"/>
  <c r="C547" i="2"/>
  <c r="E546" i="2"/>
  <c r="G546" i="2" s="1"/>
  <c r="C546" i="2"/>
  <c r="E545" i="2"/>
  <c r="G545" i="2" s="1"/>
  <c r="C545" i="2"/>
  <c r="E544" i="2"/>
  <c r="G544" i="2" s="1"/>
  <c r="C544" i="2"/>
  <c r="E543" i="2"/>
  <c r="G543" i="2" s="1"/>
  <c r="C543" i="2"/>
  <c r="E542" i="2"/>
  <c r="G542" i="2" s="1"/>
  <c r="C542" i="2"/>
  <c r="E541" i="2"/>
  <c r="G541" i="2" s="1"/>
  <c r="C541" i="2"/>
  <c r="E540" i="2"/>
  <c r="G540" i="2" s="1"/>
  <c r="C540" i="2"/>
  <c r="E539" i="2"/>
  <c r="G539" i="2" s="1"/>
  <c r="C539" i="2"/>
  <c r="E538" i="2"/>
  <c r="G538" i="2" s="1"/>
  <c r="C538" i="2"/>
  <c r="E537" i="2"/>
  <c r="G537" i="2" s="1"/>
  <c r="C537" i="2"/>
  <c r="E536" i="2"/>
  <c r="G536" i="2" s="1"/>
  <c r="C536" i="2"/>
  <c r="E535" i="2"/>
  <c r="G535" i="2" s="1"/>
  <c r="C535" i="2"/>
  <c r="E534" i="2"/>
  <c r="G534" i="2" s="1"/>
  <c r="C534" i="2"/>
  <c r="E533" i="2"/>
  <c r="G533" i="2" s="1"/>
  <c r="C533" i="2"/>
  <c r="E532" i="2"/>
  <c r="G532" i="2" s="1"/>
  <c r="C532" i="2"/>
  <c r="E531" i="2"/>
  <c r="G531" i="2" s="1"/>
  <c r="C531" i="2"/>
  <c r="E530" i="2"/>
  <c r="G530" i="2" s="1"/>
  <c r="C530" i="2"/>
  <c r="E529" i="2"/>
  <c r="G529" i="2" s="1"/>
  <c r="C529" i="2"/>
  <c r="E528" i="2"/>
  <c r="G528" i="2" s="1"/>
  <c r="C528" i="2"/>
  <c r="E527" i="2"/>
  <c r="G527" i="2" s="1"/>
  <c r="C527" i="2"/>
  <c r="E526" i="2"/>
  <c r="G526" i="2" s="1"/>
  <c r="C526" i="2"/>
  <c r="E525" i="2"/>
  <c r="G525" i="2" s="1"/>
  <c r="C525" i="2"/>
  <c r="E524" i="2"/>
  <c r="G524" i="2" s="1"/>
  <c r="C524" i="2"/>
  <c r="E523" i="2"/>
  <c r="G523" i="2" s="1"/>
  <c r="C523" i="2"/>
  <c r="G522" i="2"/>
  <c r="E522" i="2"/>
  <c r="C522" i="2"/>
  <c r="E521" i="2"/>
  <c r="G521" i="2" s="1"/>
  <c r="C521" i="2"/>
  <c r="E520" i="2"/>
  <c r="G520" i="2" s="1"/>
  <c r="C520" i="2"/>
  <c r="E519" i="2"/>
  <c r="G519" i="2" s="1"/>
  <c r="C519" i="2"/>
  <c r="E518" i="2"/>
  <c r="G518" i="2" s="1"/>
  <c r="C518" i="2"/>
  <c r="E517" i="2"/>
  <c r="G517" i="2" s="1"/>
  <c r="C517" i="2"/>
  <c r="E516" i="2"/>
  <c r="G516" i="2" s="1"/>
  <c r="C516" i="2"/>
  <c r="E515" i="2"/>
  <c r="G515" i="2" s="1"/>
  <c r="C515" i="2"/>
  <c r="E514" i="2"/>
  <c r="G514" i="2" s="1"/>
  <c r="C514" i="2"/>
  <c r="E513" i="2"/>
  <c r="G513" i="2" s="1"/>
  <c r="C513" i="2"/>
  <c r="E512" i="2"/>
  <c r="G512" i="2" s="1"/>
  <c r="C512" i="2"/>
  <c r="E511" i="2"/>
  <c r="G511" i="2" s="1"/>
  <c r="C511" i="2"/>
  <c r="E510" i="2"/>
  <c r="G510" i="2" s="1"/>
  <c r="C510" i="2"/>
  <c r="E509" i="2"/>
  <c r="G509" i="2" s="1"/>
  <c r="C509" i="2"/>
  <c r="E508" i="2"/>
  <c r="G508" i="2" s="1"/>
  <c r="C508" i="2"/>
  <c r="E507" i="2"/>
  <c r="G507" i="2" s="1"/>
  <c r="C507" i="2"/>
  <c r="E506" i="2"/>
  <c r="G506" i="2" s="1"/>
  <c r="C506" i="2"/>
  <c r="E505" i="2"/>
  <c r="G505" i="2" s="1"/>
  <c r="C505" i="2"/>
  <c r="E504" i="2"/>
  <c r="G504" i="2" s="1"/>
  <c r="C504" i="2"/>
  <c r="E503" i="2"/>
  <c r="G503" i="2" s="1"/>
  <c r="C503" i="2"/>
  <c r="E502" i="2"/>
  <c r="G502" i="2" s="1"/>
  <c r="C502" i="2"/>
  <c r="E501" i="2"/>
  <c r="G501" i="2" s="1"/>
  <c r="C501" i="2"/>
  <c r="E500" i="2"/>
  <c r="G500" i="2" s="1"/>
  <c r="C500" i="2"/>
  <c r="E499" i="2"/>
  <c r="G499" i="2" s="1"/>
  <c r="C499" i="2"/>
  <c r="E498" i="2"/>
  <c r="G498" i="2" s="1"/>
  <c r="C498" i="2"/>
  <c r="E497" i="2"/>
  <c r="G497" i="2" s="1"/>
  <c r="C497" i="2"/>
  <c r="E496" i="2"/>
  <c r="G496" i="2" s="1"/>
  <c r="C496" i="2"/>
  <c r="G495" i="2"/>
  <c r="E495" i="2"/>
  <c r="C495" i="2"/>
  <c r="E494" i="2"/>
  <c r="G494" i="2" s="1"/>
  <c r="C494" i="2"/>
  <c r="E493" i="2"/>
  <c r="G493" i="2" s="1"/>
  <c r="C493" i="2"/>
  <c r="E492" i="2"/>
  <c r="G492" i="2" s="1"/>
  <c r="C492" i="2"/>
  <c r="E491" i="2"/>
  <c r="G491" i="2" s="1"/>
  <c r="C491" i="2"/>
  <c r="E490" i="2"/>
  <c r="G490" i="2" s="1"/>
  <c r="C490" i="2"/>
  <c r="E489" i="2"/>
  <c r="G489" i="2" s="1"/>
  <c r="C489" i="2"/>
  <c r="E488" i="2"/>
  <c r="G488" i="2" s="1"/>
  <c r="C488" i="2"/>
  <c r="E487" i="2"/>
  <c r="G487" i="2" s="1"/>
  <c r="C487" i="2"/>
  <c r="E486" i="2"/>
  <c r="G486" i="2" s="1"/>
  <c r="C486" i="2"/>
  <c r="E485" i="2"/>
  <c r="G485" i="2" s="1"/>
  <c r="C485" i="2"/>
  <c r="E484" i="2"/>
  <c r="G484" i="2" s="1"/>
  <c r="C484" i="2"/>
  <c r="E483" i="2"/>
  <c r="G483" i="2" s="1"/>
  <c r="C483" i="2"/>
  <c r="E482" i="2"/>
  <c r="G482" i="2" s="1"/>
  <c r="C482" i="2"/>
  <c r="E481" i="2"/>
  <c r="G481" i="2" s="1"/>
  <c r="C481" i="2"/>
  <c r="E480" i="2"/>
  <c r="G480" i="2" s="1"/>
  <c r="C480" i="2"/>
  <c r="E479" i="2"/>
  <c r="G479" i="2" s="1"/>
  <c r="C479" i="2"/>
  <c r="E478" i="2"/>
  <c r="G478" i="2" s="1"/>
  <c r="C478" i="2"/>
  <c r="E477" i="2"/>
  <c r="G477" i="2" s="1"/>
  <c r="C477" i="2"/>
  <c r="E476" i="2"/>
  <c r="G476" i="2" s="1"/>
  <c r="C476" i="2"/>
  <c r="E475" i="2"/>
  <c r="G475" i="2" s="1"/>
  <c r="C475" i="2"/>
  <c r="E474" i="2"/>
  <c r="G474" i="2" s="1"/>
  <c r="C474" i="2"/>
  <c r="E473" i="2"/>
  <c r="G473" i="2" s="1"/>
  <c r="C473" i="2"/>
  <c r="E472" i="2"/>
  <c r="G472" i="2" s="1"/>
  <c r="C472" i="2"/>
  <c r="E471" i="2"/>
  <c r="G471" i="2" s="1"/>
  <c r="C471" i="2"/>
  <c r="E470" i="2"/>
  <c r="G470" i="2" s="1"/>
  <c r="C470" i="2"/>
  <c r="E469" i="2"/>
  <c r="G469" i="2" s="1"/>
  <c r="C469" i="2"/>
  <c r="E468" i="2"/>
  <c r="G468" i="2" s="1"/>
  <c r="C468" i="2"/>
  <c r="E467" i="2"/>
  <c r="G467" i="2" s="1"/>
  <c r="C467" i="2"/>
  <c r="E466" i="2"/>
  <c r="G466" i="2" s="1"/>
  <c r="C466" i="2"/>
  <c r="E465" i="2"/>
  <c r="G465" i="2" s="1"/>
  <c r="C465" i="2"/>
  <c r="E464" i="2"/>
  <c r="G464" i="2" s="1"/>
  <c r="C464" i="2"/>
  <c r="E463" i="2"/>
  <c r="G463" i="2" s="1"/>
  <c r="C463" i="2"/>
  <c r="E462" i="2"/>
  <c r="G462" i="2" s="1"/>
  <c r="C462" i="2"/>
  <c r="E461" i="2"/>
  <c r="G461" i="2" s="1"/>
  <c r="C461" i="2"/>
  <c r="E460" i="2"/>
  <c r="G460" i="2" s="1"/>
  <c r="C460" i="2"/>
  <c r="E459" i="2"/>
  <c r="G459" i="2" s="1"/>
  <c r="C459" i="2"/>
  <c r="E458" i="2"/>
  <c r="G458" i="2" s="1"/>
  <c r="C458" i="2"/>
  <c r="E457" i="2"/>
  <c r="G457" i="2" s="1"/>
  <c r="C457" i="2"/>
  <c r="E456" i="2"/>
  <c r="G456" i="2" s="1"/>
  <c r="C456" i="2"/>
  <c r="E455" i="2"/>
  <c r="G455" i="2" s="1"/>
  <c r="C455" i="2"/>
  <c r="E454" i="2"/>
  <c r="G454" i="2" s="1"/>
  <c r="C454" i="2"/>
  <c r="E453" i="2"/>
  <c r="G453" i="2" s="1"/>
  <c r="C453" i="2"/>
  <c r="E452" i="2"/>
  <c r="G452" i="2" s="1"/>
  <c r="C452" i="2"/>
  <c r="E451" i="2"/>
  <c r="G451" i="2" s="1"/>
  <c r="C451" i="2"/>
  <c r="E450" i="2"/>
  <c r="G450" i="2" s="1"/>
  <c r="C450" i="2"/>
  <c r="E449" i="2"/>
  <c r="G449" i="2" s="1"/>
  <c r="C449" i="2"/>
  <c r="E448" i="2"/>
  <c r="G448" i="2" s="1"/>
  <c r="C448" i="2"/>
  <c r="E447" i="2"/>
  <c r="G447" i="2" s="1"/>
  <c r="C447" i="2"/>
  <c r="E446" i="2"/>
  <c r="G446" i="2" s="1"/>
  <c r="C446" i="2"/>
  <c r="E445" i="2"/>
  <c r="G445" i="2" s="1"/>
  <c r="C445" i="2"/>
  <c r="E444" i="2"/>
  <c r="G444" i="2" s="1"/>
  <c r="C444" i="2"/>
  <c r="E443" i="2"/>
  <c r="G443" i="2" s="1"/>
  <c r="C443" i="2"/>
  <c r="E442" i="2"/>
  <c r="G442" i="2" s="1"/>
  <c r="C442" i="2"/>
  <c r="E441" i="2"/>
  <c r="G441" i="2" s="1"/>
  <c r="C441" i="2"/>
  <c r="E440" i="2"/>
  <c r="G440" i="2" s="1"/>
  <c r="C440" i="2"/>
  <c r="E439" i="2"/>
  <c r="G439" i="2" s="1"/>
  <c r="C439" i="2"/>
  <c r="E438" i="2"/>
  <c r="G438" i="2" s="1"/>
  <c r="C438" i="2"/>
  <c r="E437" i="2"/>
  <c r="G437" i="2" s="1"/>
  <c r="C437" i="2"/>
  <c r="E436" i="2"/>
  <c r="G436" i="2" s="1"/>
  <c r="C436" i="2"/>
  <c r="E435" i="2"/>
  <c r="G435" i="2" s="1"/>
  <c r="C435" i="2"/>
  <c r="E434" i="2"/>
  <c r="G434" i="2" s="1"/>
  <c r="C434" i="2"/>
  <c r="E433" i="2"/>
  <c r="G433" i="2" s="1"/>
  <c r="C433" i="2"/>
  <c r="E432" i="2"/>
  <c r="G432" i="2" s="1"/>
  <c r="C432" i="2"/>
  <c r="E431" i="2"/>
  <c r="G431" i="2" s="1"/>
  <c r="C431" i="2"/>
  <c r="E430" i="2"/>
  <c r="G430" i="2" s="1"/>
  <c r="C430" i="2"/>
  <c r="E429" i="2"/>
  <c r="G429" i="2" s="1"/>
  <c r="C429" i="2"/>
  <c r="E428" i="2"/>
  <c r="G428" i="2" s="1"/>
  <c r="C428" i="2"/>
  <c r="E427" i="2"/>
  <c r="G427" i="2" s="1"/>
  <c r="C427" i="2"/>
  <c r="E426" i="2"/>
  <c r="G426" i="2" s="1"/>
  <c r="C426" i="2"/>
  <c r="E425" i="2"/>
  <c r="G425" i="2" s="1"/>
  <c r="C425" i="2"/>
  <c r="E424" i="2"/>
  <c r="G424" i="2" s="1"/>
  <c r="C424" i="2"/>
  <c r="E423" i="2"/>
  <c r="G423" i="2" s="1"/>
  <c r="C423" i="2"/>
  <c r="E422" i="2"/>
  <c r="G422" i="2" s="1"/>
  <c r="C422" i="2"/>
  <c r="E421" i="2"/>
  <c r="G421" i="2" s="1"/>
  <c r="C421" i="2"/>
  <c r="E420" i="2"/>
  <c r="G420" i="2" s="1"/>
  <c r="C420" i="2"/>
  <c r="E419" i="2"/>
  <c r="G419" i="2" s="1"/>
  <c r="C419" i="2"/>
  <c r="E418" i="2"/>
  <c r="G418" i="2" s="1"/>
  <c r="C418" i="2"/>
  <c r="E417" i="2"/>
  <c r="G417" i="2" s="1"/>
  <c r="C417" i="2"/>
  <c r="E416" i="2"/>
  <c r="G416" i="2" s="1"/>
  <c r="C416" i="2"/>
  <c r="E415" i="2"/>
  <c r="G415" i="2" s="1"/>
  <c r="C415" i="2"/>
  <c r="E414" i="2"/>
  <c r="G414" i="2" s="1"/>
  <c r="C414" i="2"/>
  <c r="E413" i="2"/>
  <c r="G413" i="2" s="1"/>
  <c r="C413" i="2"/>
  <c r="E412" i="2"/>
  <c r="G412" i="2" s="1"/>
  <c r="C412" i="2"/>
  <c r="E411" i="2"/>
  <c r="G411" i="2" s="1"/>
  <c r="C411" i="2"/>
  <c r="E410" i="2"/>
  <c r="G410" i="2" s="1"/>
  <c r="C410" i="2"/>
  <c r="E409" i="2"/>
  <c r="G409" i="2" s="1"/>
  <c r="C409" i="2"/>
  <c r="E408" i="2"/>
  <c r="G408" i="2" s="1"/>
  <c r="C408" i="2"/>
  <c r="E407" i="2"/>
  <c r="G407" i="2" s="1"/>
  <c r="C407" i="2"/>
  <c r="E406" i="2"/>
  <c r="G406" i="2" s="1"/>
  <c r="C406" i="2"/>
  <c r="E405" i="2"/>
  <c r="G405" i="2" s="1"/>
  <c r="C405" i="2"/>
  <c r="E404" i="2"/>
  <c r="G404" i="2" s="1"/>
  <c r="C404" i="2"/>
  <c r="E403" i="2"/>
  <c r="G403" i="2" s="1"/>
  <c r="C403" i="2"/>
  <c r="E402" i="2"/>
  <c r="G402" i="2" s="1"/>
  <c r="C402" i="2"/>
  <c r="E401" i="2"/>
  <c r="G401" i="2" s="1"/>
  <c r="C401" i="2"/>
  <c r="E400" i="2"/>
  <c r="G400" i="2" s="1"/>
  <c r="C400" i="2"/>
  <c r="E399" i="2"/>
  <c r="G399" i="2" s="1"/>
  <c r="C399" i="2"/>
  <c r="E398" i="2"/>
  <c r="G398" i="2" s="1"/>
  <c r="C398" i="2"/>
  <c r="E397" i="2"/>
  <c r="G397" i="2" s="1"/>
  <c r="C397" i="2"/>
  <c r="E396" i="2"/>
  <c r="G396" i="2" s="1"/>
  <c r="C396" i="2"/>
  <c r="E395" i="2"/>
  <c r="G395" i="2" s="1"/>
  <c r="C395" i="2"/>
  <c r="E394" i="2"/>
  <c r="G394" i="2" s="1"/>
  <c r="C394" i="2"/>
  <c r="E393" i="2"/>
  <c r="G393" i="2" s="1"/>
  <c r="C393" i="2"/>
  <c r="E392" i="2"/>
  <c r="G392" i="2" s="1"/>
  <c r="C392" i="2"/>
  <c r="E391" i="2"/>
  <c r="G391" i="2" s="1"/>
  <c r="C391" i="2"/>
  <c r="E390" i="2"/>
  <c r="G390" i="2" s="1"/>
  <c r="C390" i="2"/>
  <c r="E389" i="2"/>
  <c r="G389" i="2" s="1"/>
  <c r="C389" i="2"/>
  <c r="E388" i="2"/>
  <c r="G388" i="2" s="1"/>
  <c r="C388" i="2"/>
  <c r="E387" i="2"/>
  <c r="G387" i="2" s="1"/>
  <c r="C387" i="2"/>
  <c r="G386" i="2"/>
  <c r="E386" i="2"/>
  <c r="C386" i="2"/>
  <c r="E385" i="2"/>
  <c r="G385" i="2" s="1"/>
  <c r="C385" i="2"/>
  <c r="E384" i="2"/>
  <c r="G384" i="2" s="1"/>
  <c r="C384" i="2"/>
  <c r="E383" i="2"/>
  <c r="G383" i="2" s="1"/>
  <c r="C383" i="2"/>
  <c r="E382" i="2"/>
  <c r="G382" i="2" s="1"/>
  <c r="C382" i="2"/>
  <c r="E381" i="2"/>
  <c r="G381" i="2" s="1"/>
  <c r="C381" i="2"/>
  <c r="E380" i="2"/>
  <c r="G380" i="2" s="1"/>
  <c r="C380" i="2"/>
  <c r="E379" i="2"/>
  <c r="G379" i="2" s="1"/>
  <c r="C379" i="2"/>
  <c r="E378" i="2"/>
  <c r="G378" i="2" s="1"/>
  <c r="C378" i="2"/>
  <c r="E377" i="2"/>
  <c r="G377" i="2" s="1"/>
  <c r="C377" i="2"/>
  <c r="E376" i="2"/>
  <c r="G376" i="2" s="1"/>
  <c r="C376" i="2"/>
  <c r="E375" i="2"/>
  <c r="G375" i="2" s="1"/>
  <c r="C375" i="2"/>
  <c r="E374" i="2"/>
  <c r="G374" i="2" s="1"/>
  <c r="C374" i="2"/>
  <c r="E373" i="2"/>
  <c r="G373" i="2" s="1"/>
  <c r="C373" i="2"/>
  <c r="E372" i="2"/>
  <c r="G372" i="2" s="1"/>
  <c r="C372" i="2"/>
  <c r="E371" i="2"/>
  <c r="G371" i="2" s="1"/>
  <c r="C371" i="2"/>
  <c r="E370" i="2"/>
  <c r="G370" i="2" s="1"/>
  <c r="C370" i="2"/>
  <c r="E369" i="2"/>
  <c r="G369" i="2" s="1"/>
  <c r="C369" i="2"/>
  <c r="E368" i="2"/>
  <c r="G368" i="2" s="1"/>
  <c r="C368" i="2"/>
  <c r="E367" i="2"/>
  <c r="G367" i="2" s="1"/>
  <c r="C367" i="2"/>
  <c r="E366" i="2"/>
  <c r="G366" i="2" s="1"/>
  <c r="C366" i="2"/>
  <c r="E365" i="2"/>
  <c r="G365" i="2" s="1"/>
  <c r="C365" i="2"/>
  <c r="E364" i="2"/>
  <c r="G364" i="2" s="1"/>
  <c r="C364" i="2"/>
  <c r="E363" i="2"/>
  <c r="G363" i="2" s="1"/>
  <c r="C363" i="2"/>
  <c r="E362" i="2"/>
  <c r="G362" i="2" s="1"/>
  <c r="C362" i="2"/>
  <c r="E361" i="2"/>
  <c r="G361" i="2" s="1"/>
  <c r="C361" i="2"/>
  <c r="E360" i="2"/>
  <c r="G360" i="2" s="1"/>
  <c r="C360" i="2"/>
  <c r="E359" i="2"/>
  <c r="G359" i="2" s="1"/>
  <c r="C359" i="2"/>
  <c r="E358" i="2"/>
  <c r="G358" i="2" s="1"/>
  <c r="C358" i="2"/>
  <c r="E357" i="2"/>
  <c r="G357" i="2" s="1"/>
  <c r="C357" i="2"/>
  <c r="E356" i="2"/>
  <c r="G356" i="2" s="1"/>
  <c r="C356" i="2"/>
  <c r="E355" i="2"/>
  <c r="G355" i="2" s="1"/>
  <c r="C355" i="2"/>
  <c r="E354" i="2"/>
  <c r="G354" i="2" s="1"/>
  <c r="C354" i="2"/>
  <c r="E353" i="2"/>
  <c r="G353" i="2" s="1"/>
  <c r="C353" i="2"/>
  <c r="E352" i="2"/>
  <c r="G352" i="2" s="1"/>
  <c r="C352" i="2"/>
  <c r="E351" i="2"/>
  <c r="G351" i="2" s="1"/>
  <c r="C351" i="2"/>
  <c r="E350" i="2"/>
  <c r="G350" i="2" s="1"/>
  <c r="C350" i="2"/>
  <c r="E349" i="2"/>
  <c r="G349" i="2" s="1"/>
  <c r="C349" i="2"/>
  <c r="E348" i="2"/>
  <c r="G348" i="2" s="1"/>
  <c r="C348" i="2"/>
  <c r="E347" i="2"/>
  <c r="G347" i="2" s="1"/>
  <c r="C347" i="2"/>
  <c r="E346" i="2"/>
  <c r="G346" i="2" s="1"/>
  <c r="C346" i="2"/>
  <c r="E345" i="2"/>
  <c r="G345" i="2" s="1"/>
  <c r="C345" i="2"/>
  <c r="E344" i="2"/>
  <c r="G344" i="2" s="1"/>
  <c r="C344" i="2"/>
  <c r="E343" i="2"/>
  <c r="G343" i="2" s="1"/>
  <c r="C343" i="2"/>
  <c r="E342" i="2"/>
  <c r="G342" i="2" s="1"/>
  <c r="C342" i="2"/>
  <c r="E341" i="2"/>
  <c r="G341" i="2" s="1"/>
  <c r="C341" i="2"/>
  <c r="E340" i="2"/>
  <c r="G340" i="2" s="1"/>
  <c r="C340" i="2"/>
  <c r="E339" i="2"/>
  <c r="G339" i="2" s="1"/>
  <c r="C339" i="2"/>
  <c r="E338" i="2"/>
  <c r="G338" i="2" s="1"/>
  <c r="C338" i="2"/>
  <c r="E337" i="2"/>
  <c r="G337" i="2" s="1"/>
  <c r="C337" i="2"/>
  <c r="E336" i="2"/>
  <c r="G336" i="2" s="1"/>
  <c r="C336" i="2"/>
  <c r="E335" i="2"/>
  <c r="G335" i="2" s="1"/>
  <c r="C335" i="2"/>
  <c r="E334" i="2"/>
  <c r="G334" i="2" s="1"/>
  <c r="C334" i="2"/>
  <c r="E333" i="2"/>
  <c r="G333" i="2" s="1"/>
  <c r="C333" i="2"/>
  <c r="E332" i="2"/>
  <c r="G332" i="2" s="1"/>
  <c r="C332" i="2"/>
  <c r="E331" i="2"/>
  <c r="G331" i="2" s="1"/>
  <c r="C331" i="2"/>
  <c r="E330" i="2"/>
  <c r="G330" i="2" s="1"/>
  <c r="C330" i="2"/>
  <c r="E329" i="2"/>
  <c r="G329" i="2" s="1"/>
  <c r="C329" i="2"/>
  <c r="E328" i="2"/>
  <c r="G328" i="2" s="1"/>
  <c r="C328" i="2"/>
  <c r="E327" i="2"/>
  <c r="G327" i="2" s="1"/>
  <c r="C327" i="2"/>
  <c r="E326" i="2"/>
  <c r="G326" i="2" s="1"/>
  <c r="C326" i="2"/>
  <c r="E325" i="2"/>
  <c r="G325" i="2" s="1"/>
  <c r="C325" i="2"/>
  <c r="E324" i="2"/>
  <c r="G324" i="2" s="1"/>
  <c r="C324" i="2"/>
  <c r="E323" i="2"/>
  <c r="G323" i="2" s="1"/>
  <c r="C323" i="2"/>
  <c r="E322" i="2"/>
  <c r="G322" i="2" s="1"/>
  <c r="C322" i="2"/>
  <c r="E321" i="2"/>
  <c r="G321" i="2" s="1"/>
  <c r="C321" i="2"/>
  <c r="E320" i="2"/>
  <c r="G320" i="2" s="1"/>
  <c r="C320" i="2"/>
  <c r="E319" i="2"/>
  <c r="G319" i="2" s="1"/>
  <c r="C319" i="2"/>
  <c r="E318" i="2"/>
  <c r="G318" i="2" s="1"/>
  <c r="C318" i="2"/>
  <c r="E317" i="2"/>
  <c r="G317" i="2" s="1"/>
  <c r="C317" i="2"/>
  <c r="E316" i="2"/>
  <c r="G316" i="2" s="1"/>
  <c r="C316" i="2"/>
  <c r="E315" i="2"/>
  <c r="G315" i="2" s="1"/>
  <c r="C315" i="2"/>
  <c r="E314" i="2"/>
  <c r="G314" i="2" s="1"/>
  <c r="C314" i="2"/>
  <c r="E313" i="2"/>
  <c r="G313" i="2" s="1"/>
  <c r="C313" i="2"/>
  <c r="E312" i="2"/>
  <c r="G312" i="2" s="1"/>
  <c r="C312" i="2"/>
  <c r="E311" i="2"/>
  <c r="G311" i="2" s="1"/>
  <c r="C311" i="2"/>
  <c r="E310" i="2"/>
  <c r="G310" i="2" s="1"/>
  <c r="C310" i="2"/>
  <c r="E309" i="2"/>
  <c r="G309" i="2" s="1"/>
  <c r="C309" i="2"/>
  <c r="E308" i="2"/>
  <c r="G308" i="2" s="1"/>
  <c r="C308" i="2"/>
  <c r="E307" i="2"/>
  <c r="G307" i="2" s="1"/>
  <c r="C307" i="2"/>
  <c r="E306" i="2"/>
  <c r="G306" i="2" s="1"/>
  <c r="C306" i="2"/>
  <c r="E305" i="2"/>
  <c r="G305" i="2" s="1"/>
  <c r="C305" i="2"/>
  <c r="E304" i="2"/>
  <c r="G304" i="2" s="1"/>
  <c r="C304" i="2"/>
  <c r="E303" i="2"/>
  <c r="G303" i="2" s="1"/>
  <c r="C303" i="2"/>
  <c r="E302" i="2"/>
  <c r="G302" i="2" s="1"/>
  <c r="C302" i="2"/>
  <c r="E301" i="2"/>
  <c r="G301" i="2" s="1"/>
  <c r="C301" i="2"/>
  <c r="E300" i="2"/>
  <c r="G300" i="2" s="1"/>
  <c r="C300" i="2"/>
  <c r="E299" i="2"/>
  <c r="G299" i="2" s="1"/>
  <c r="C299" i="2"/>
  <c r="G298" i="2"/>
  <c r="E298" i="2"/>
  <c r="C298" i="2"/>
  <c r="E297" i="2"/>
  <c r="G297" i="2" s="1"/>
  <c r="C297" i="2"/>
  <c r="E296" i="2"/>
  <c r="G296" i="2" s="1"/>
  <c r="C296" i="2"/>
  <c r="E295" i="2"/>
  <c r="G295" i="2" s="1"/>
  <c r="C295" i="2"/>
  <c r="E294" i="2"/>
  <c r="G294" i="2" s="1"/>
  <c r="C294" i="2"/>
  <c r="E293" i="2"/>
  <c r="G293" i="2" s="1"/>
  <c r="C293" i="2"/>
  <c r="E292" i="2"/>
  <c r="G292" i="2" s="1"/>
  <c r="C292" i="2"/>
  <c r="E291" i="2"/>
  <c r="G291" i="2" s="1"/>
  <c r="C291" i="2"/>
  <c r="E290" i="2"/>
  <c r="G290" i="2" s="1"/>
  <c r="C290" i="2"/>
  <c r="E289" i="2"/>
  <c r="G289" i="2" s="1"/>
  <c r="C289" i="2"/>
  <c r="E288" i="2"/>
  <c r="G288" i="2" s="1"/>
  <c r="C288" i="2"/>
  <c r="E287" i="2"/>
  <c r="G287" i="2" s="1"/>
  <c r="C287" i="2"/>
  <c r="E286" i="2"/>
  <c r="G286" i="2" s="1"/>
  <c r="C286" i="2"/>
  <c r="E285" i="2"/>
  <c r="G285" i="2" s="1"/>
  <c r="C285" i="2"/>
  <c r="E284" i="2"/>
  <c r="G284" i="2" s="1"/>
  <c r="C284" i="2"/>
  <c r="E283" i="2"/>
  <c r="G283" i="2" s="1"/>
  <c r="C283" i="2"/>
  <c r="E282" i="2"/>
  <c r="G282" i="2" s="1"/>
  <c r="C282" i="2"/>
  <c r="E281" i="2"/>
  <c r="G281" i="2" s="1"/>
  <c r="C281" i="2"/>
  <c r="E280" i="2"/>
  <c r="G280" i="2" s="1"/>
  <c r="C280" i="2"/>
  <c r="E279" i="2"/>
  <c r="G279" i="2" s="1"/>
  <c r="C279" i="2"/>
  <c r="E278" i="2"/>
  <c r="G278" i="2" s="1"/>
  <c r="C278" i="2"/>
  <c r="E277" i="2"/>
  <c r="G277" i="2" s="1"/>
  <c r="C277" i="2"/>
  <c r="E276" i="2"/>
  <c r="G276" i="2" s="1"/>
  <c r="C276" i="2"/>
  <c r="E275" i="2"/>
  <c r="G275" i="2" s="1"/>
  <c r="C275" i="2"/>
  <c r="E274" i="2"/>
  <c r="G274" i="2" s="1"/>
  <c r="C274" i="2"/>
  <c r="E273" i="2"/>
  <c r="G273" i="2" s="1"/>
  <c r="C273" i="2"/>
  <c r="E272" i="2"/>
  <c r="G272" i="2" s="1"/>
  <c r="C272" i="2"/>
  <c r="E271" i="2"/>
  <c r="G271" i="2" s="1"/>
  <c r="C271" i="2"/>
  <c r="E270" i="2"/>
  <c r="G270" i="2" s="1"/>
  <c r="C270" i="2"/>
  <c r="E269" i="2"/>
  <c r="G269" i="2" s="1"/>
  <c r="C269" i="2"/>
  <c r="E268" i="2"/>
  <c r="G268" i="2" s="1"/>
  <c r="C268" i="2"/>
  <c r="E267" i="2"/>
  <c r="G267" i="2" s="1"/>
  <c r="C267" i="2"/>
  <c r="E266" i="2"/>
  <c r="G266" i="2" s="1"/>
  <c r="C266" i="2"/>
  <c r="E265" i="2"/>
  <c r="G265" i="2" s="1"/>
  <c r="C265" i="2"/>
  <c r="E264" i="2"/>
  <c r="G264" i="2" s="1"/>
  <c r="C264" i="2"/>
  <c r="E263" i="2"/>
  <c r="G263" i="2" s="1"/>
  <c r="C263" i="2"/>
  <c r="E262" i="2"/>
  <c r="G262" i="2" s="1"/>
  <c r="C262" i="2"/>
  <c r="E261" i="2"/>
  <c r="G261" i="2" s="1"/>
  <c r="C261" i="2"/>
  <c r="E260" i="2"/>
  <c r="G260" i="2" s="1"/>
  <c r="C260" i="2"/>
  <c r="E259" i="2"/>
  <c r="G259" i="2" s="1"/>
  <c r="C259" i="2"/>
  <c r="E258" i="2"/>
  <c r="G258" i="2" s="1"/>
  <c r="C258" i="2"/>
  <c r="E257" i="2"/>
  <c r="G257" i="2" s="1"/>
  <c r="C257" i="2"/>
  <c r="E256" i="2"/>
  <c r="G256" i="2" s="1"/>
  <c r="C256" i="2"/>
  <c r="E255" i="2"/>
  <c r="G255" i="2" s="1"/>
  <c r="C255" i="2"/>
  <c r="E254" i="2"/>
  <c r="G254" i="2" s="1"/>
  <c r="C254" i="2"/>
  <c r="E253" i="2"/>
  <c r="G253" i="2" s="1"/>
  <c r="C253" i="2"/>
  <c r="E252" i="2"/>
  <c r="G252" i="2" s="1"/>
  <c r="C252" i="2"/>
  <c r="E251" i="2"/>
  <c r="G251" i="2" s="1"/>
  <c r="C251" i="2"/>
  <c r="E250" i="2"/>
  <c r="G250" i="2" s="1"/>
  <c r="C250" i="2"/>
  <c r="E249" i="2"/>
  <c r="G249" i="2" s="1"/>
  <c r="C249" i="2"/>
  <c r="E248" i="2"/>
  <c r="G248" i="2" s="1"/>
  <c r="C248" i="2"/>
  <c r="E247" i="2"/>
  <c r="G247" i="2" s="1"/>
  <c r="C247" i="2"/>
  <c r="E246" i="2"/>
  <c r="G246" i="2" s="1"/>
  <c r="C246" i="2"/>
  <c r="E245" i="2"/>
  <c r="G245" i="2" s="1"/>
  <c r="C245" i="2"/>
  <c r="E244" i="2"/>
  <c r="G244" i="2" s="1"/>
  <c r="C244" i="2"/>
  <c r="E243" i="2"/>
  <c r="G243" i="2" s="1"/>
  <c r="C243" i="2"/>
  <c r="E242" i="2"/>
  <c r="G242" i="2" s="1"/>
  <c r="C242" i="2"/>
  <c r="E241" i="2"/>
  <c r="G241" i="2" s="1"/>
  <c r="C241" i="2"/>
  <c r="E240" i="2"/>
  <c r="G240" i="2" s="1"/>
  <c r="C240" i="2"/>
  <c r="E239" i="2"/>
  <c r="G239" i="2" s="1"/>
  <c r="C239" i="2"/>
  <c r="E238" i="2"/>
  <c r="G238" i="2" s="1"/>
  <c r="C238" i="2"/>
  <c r="E237" i="2"/>
  <c r="G237" i="2" s="1"/>
  <c r="C237" i="2"/>
  <c r="E236" i="2"/>
  <c r="G236" i="2" s="1"/>
  <c r="C236" i="2"/>
  <c r="E235" i="2"/>
  <c r="G235" i="2" s="1"/>
  <c r="C235" i="2"/>
  <c r="E234" i="2"/>
  <c r="G234" i="2" s="1"/>
  <c r="C234" i="2"/>
  <c r="E233" i="2"/>
  <c r="G233" i="2" s="1"/>
  <c r="C233" i="2"/>
  <c r="E232" i="2"/>
  <c r="G232" i="2" s="1"/>
  <c r="C232" i="2"/>
  <c r="E231" i="2"/>
  <c r="G231" i="2" s="1"/>
  <c r="C231" i="2"/>
  <c r="E230" i="2"/>
  <c r="G230" i="2" s="1"/>
  <c r="C230" i="2"/>
  <c r="E229" i="2"/>
  <c r="G229" i="2" s="1"/>
  <c r="C229" i="2"/>
  <c r="E228" i="2"/>
  <c r="G228" i="2" s="1"/>
  <c r="C228" i="2"/>
  <c r="E227" i="2"/>
  <c r="G227" i="2" s="1"/>
  <c r="C227" i="2"/>
  <c r="E226" i="2"/>
  <c r="G226" i="2" s="1"/>
  <c r="C226" i="2"/>
  <c r="E225" i="2"/>
  <c r="G225" i="2" s="1"/>
  <c r="C225" i="2"/>
  <c r="E224" i="2"/>
  <c r="G224" i="2" s="1"/>
  <c r="C224" i="2"/>
  <c r="E223" i="2"/>
  <c r="G223" i="2" s="1"/>
  <c r="C223" i="2"/>
  <c r="E222" i="2"/>
  <c r="G222" i="2" s="1"/>
  <c r="C222" i="2"/>
  <c r="E221" i="2"/>
  <c r="G221" i="2" s="1"/>
  <c r="C221" i="2"/>
  <c r="E220" i="2"/>
  <c r="G220" i="2" s="1"/>
  <c r="C220" i="2"/>
  <c r="E219" i="2"/>
  <c r="G219" i="2" s="1"/>
  <c r="C219" i="2"/>
  <c r="E218" i="2"/>
  <c r="G218" i="2" s="1"/>
  <c r="C218" i="2"/>
  <c r="E217" i="2"/>
  <c r="G217" i="2" s="1"/>
  <c r="C217" i="2"/>
  <c r="E216" i="2"/>
  <c r="G216" i="2" s="1"/>
  <c r="C216" i="2"/>
  <c r="E215" i="2"/>
  <c r="G215" i="2" s="1"/>
  <c r="C215" i="2"/>
  <c r="E214" i="2"/>
  <c r="G214" i="2" s="1"/>
  <c r="C214" i="2"/>
  <c r="E213" i="2"/>
  <c r="G213" i="2" s="1"/>
  <c r="C213" i="2"/>
  <c r="E212" i="2"/>
  <c r="G212" i="2" s="1"/>
  <c r="C212" i="2"/>
  <c r="E211" i="2"/>
  <c r="G211" i="2" s="1"/>
  <c r="C211" i="2"/>
  <c r="E210" i="2"/>
  <c r="G210" i="2" s="1"/>
  <c r="C210" i="2"/>
  <c r="E209" i="2"/>
  <c r="G209" i="2" s="1"/>
  <c r="C209" i="2"/>
  <c r="E208" i="2"/>
  <c r="G208" i="2" s="1"/>
  <c r="C208" i="2"/>
  <c r="E207" i="2"/>
  <c r="G207" i="2" s="1"/>
  <c r="C207" i="2"/>
  <c r="E206" i="2"/>
  <c r="G206" i="2" s="1"/>
  <c r="C206" i="2"/>
  <c r="E205" i="2"/>
  <c r="G205" i="2" s="1"/>
  <c r="C205" i="2"/>
  <c r="E204" i="2"/>
  <c r="G204" i="2" s="1"/>
  <c r="C204" i="2"/>
  <c r="E203" i="2"/>
  <c r="G203" i="2" s="1"/>
  <c r="C203" i="2"/>
  <c r="G202" i="2"/>
  <c r="E202" i="2"/>
  <c r="C202" i="2"/>
  <c r="E201" i="2"/>
  <c r="G201" i="2" s="1"/>
  <c r="C201" i="2"/>
  <c r="E200" i="2"/>
  <c r="G200" i="2" s="1"/>
  <c r="C200" i="2"/>
  <c r="E199" i="2"/>
  <c r="G199" i="2" s="1"/>
  <c r="C199" i="2"/>
  <c r="E198" i="2"/>
  <c r="G198" i="2" s="1"/>
  <c r="C198" i="2"/>
  <c r="E197" i="2"/>
  <c r="G197" i="2" s="1"/>
  <c r="C197" i="2"/>
  <c r="E196" i="2"/>
  <c r="G196" i="2" s="1"/>
  <c r="C196" i="2"/>
  <c r="E195" i="2"/>
  <c r="G195" i="2" s="1"/>
  <c r="C195" i="2"/>
  <c r="E194" i="2"/>
  <c r="G194" i="2" s="1"/>
  <c r="C194" i="2"/>
  <c r="E193" i="2"/>
  <c r="G193" i="2" s="1"/>
  <c r="C193" i="2"/>
  <c r="E192" i="2"/>
  <c r="G192" i="2" s="1"/>
  <c r="C192" i="2"/>
  <c r="E191" i="2"/>
  <c r="G191" i="2" s="1"/>
  <c r="C191" i="2"/>
  <c r="E190" i="2"/>
  <c r="G190" i="2" s="1"/>
  <c r="C190" i="2"/>
  <c r="E189" i="2"/>
  <c r="G189" i="2" s="1"/>
  <c r="C189" i="2"/>
  <c r="E188" i="2"/>
  <c r="G188" i="2" s="1"/>
  <c r="C188" i="2"/>
  <c r="E187" i="2"/>
  <c r="G187" i="2" s="1"/>
  <c r="C187" i="2"/>
  <c r="E186" i="2"/>
  <c r="G186" i="2" s="1"/>
  <c r="C186" i="2"/>
  <c r="E185" i="2"/>
  <c r="G185" i="2" s="1"/>
  <c r="C185" i="2"/>
  <c r="E184" i="2"/>
  <c r="G184" i="2" s="1"/>
  <c r="C184" i="2"/>
  <c r="E183" i="2"/>
  <c r="G183" i="2" s="1"/>
  <c r="C183" i="2"/>
  <c r="E182" i="2"/>
  <c r="G182" i="2" s="1"/>
  <c r="C182" i="2"/>
  <c r="E181" i="2"/>
  <c r="G181" i="2" s="1"/>
  <c r="C181" i="2"/>
  <c r="E180" i="2"/>
  <c r="G180" i="2" s="1"/>
  <c r="C180" i="2"/>
  <c r="E179" i="2"/>
  <c r="G179" i="2" s="1"/>
  <c r="C179" i="2"/>
  <c r="E178" i="2"/>
  <c r="G178" i="2" s="1"/>
  <c r="C178" i="2"/>
  <c r="E177" i="2"/>
  <c r="G177" i="2" s="1"/>
  <c r="C177" i="2"/>
  <c r="E176" i="2"/>
  <c r="G176" i="2" s="1"/>
  <c r="C176" i="2"/>
  <c r="E175" i="2"/>
  <c r="G175" i="2" s="1"/>
  <c r="C175" i="2"/>
  <c r="E174" i="2"/>
  <c r="G174" i="2" s="1"/>
  <c r="C174" i="2"/>
  <c r="E173" i="2"/>
  <c r="G173" i="2" s="1"/>
  <c r="C173" i="2"/>
  <c r="E172" i="2"/>
  <c r="G172" i="2" s="1"/>
  <c r="C172" i="2"/>
  <c r="E171" i="2"/>
  <c r="G171" i="2" s="1"/>
  <c r="C171" i="2"/>
  <c r="E170" i="2"/>
  <c r="G170" i="2" s="1"/>
  <c r="C170" i="2"/>
  <c r="E169" i="2"/>
  <c r="G169" i="2" s="1"/>
  <c r="C169" i="2"/>
  <c r="E168" i="2"/>
  <c r="G168" i="2" s="1"/>
  <c r="C168" i="2"/>
  <c r="E167" i="2"/>
  <c r="G167" i="2" s="1"/>
  <c r="C167" i="2"/>
  <c r="E166" i="2"/>
  <c r="G166" i="2" s="1"/>
  <c r="C166" i="2"/>
  <c r="E165" i="2"/>
  <c r="G165" i="2" s="1"/>
  <c r="C165" i="2"/>
  <c r="E164" i="2"/>
  <c r="G164" i="2" s="1"/>
  <c r="C164" i="2"/>
  <c r="E163" i="2"/>
  <c r="G163" i="2" s="1"/>
  <c r="C163" i="2"/>
  <c r="E162" i="2"/>
  <c r="G162" i="2" s="1"/>
  <c r="C162" i="2"/>
  <c r="E161" i="2"/>
  <c r="G161" i="2" s="1"/>
  <c r="C161" i="2"/>
  <c r="E160" i="2"/>
  <c r="G160" i="2" s="1"/>
  <c r="C160" i="2"/>
  <c r="E159" i="2"/>
  <c r="G159" i="2" s="1"/>
  <c r="C159" i="2"/>
  <c r="E158" i="2"/>
  <c r="G158" i="2" s="1"/>
  <c r="C158" i="2"/>
  <c r="E157" i="2"/>
  <c r="G157" i="2" s="1"/>
  <c r="C157" i="2"/>
  <c r="E156" i="2"/>
  <c r="G156" i="2" s="1"/>
  <c r="C156" i="2"/>
  <c r="E155" i="2"/>
  <c r="G155" i="2" s="1"/>
  <c r="C155" i="2"/>
  <c r="E154" i="2"/>
  <c r="G154" i="2" s="1"/>
  <c r="C154" i="2"/>
  <c r="E153" i="2"/>
  <c r="G153" i="2" s="1"/>
  <c r="C153" i="2"/>
  <c r="E152" i="2"/>
  <c r="G152" i="2" s="1"/>
  <c r="C152" i="2"/>
  <c r="E151" i="2"/>
  <c r="G151" i="2" s="1"/>
  <c r="C151" i="2"/>
  <c r="E150" i="2"/>
  <c r="G150" i="2" s="1"/>
  <c r="C150" i="2"/>
  <c r="E149" i="2"/>
  <c r="G149" i="2" s="1"/>
  <c r="C149" i="2"/>
  <c r="E148" i="2"/>
  <c r="G148" i="2" s="1"/>
  <c r="C148" i="2"/>
  <c r="E147" i="2"/>
  <c r="G147" i="2" s="1"/>
  <c r="C147" i="2"/>
  <c r="E146" i="2"/>
  <c r="G146" i="2" s="1"/>
  <c r="C146" i="2"/>
  <c r="E145" i="2"/>
  <c r="G145" i="2" s="1"/>
  <c r="C145" i="2"/>
  <c r="E144" i="2"/>
  <c r="G144" i="2" s="1"/>
  <c r="C144" i="2"/>
  <c r="E143" i="2"/>
  <c r="G143" i="2" s="1"/>
  <c r="C143" i="2"/>
  <c r="E142" i="2"/>
  <c r="G142" i="2" s="1"/>
  <c r="C142" i="2"/>
  <c r="E141" i="2"/>
  <c r="G141" i="2" s="1"/>
  <c r="C141" i="2"/>
  <c r="E140" i="2"/>
  <c r="G140" i="2" s="1"/>
  <c r="C140" i="2"/>
  <c r="E139" i="2"/>
  <c r="G139" i="2" s="1"/>
  <c r="C139" i="2"/>
  <c r="E138" i="2"/>
  <c r="G138" i="2" s="1"/>
  <c r="C138" i="2"/>
  <c r="E137" i="2"/>
  <c r="G137" i="2" s="1"/>
  <c r="C137" i="2"/>
  <c r="E136" i="2"/>
  <c r="G136" i="2" s="1"/>
  <c r="C136" i="2"/>
  <c r="E135" i="2"/>
  <c r="G135" i="2" s="1"/>
  <c r="C135" i="2"/>
  <c r="E134" i="2"/>
  <c r="G134" i="2" s="1"/>
  <c r="C134" i="2"/>
  <c r="E133" i="2"/>
  <c r="G133" i="2" s="1"/>
  <c r="C133" i="2"/>
  <c r="E132" i="2"/>
  <c r="G132" i="2" s="1"/>
  <c r="C132" i="2"/>
  <c r="E131" i="2"/>
  <c r="G131" i="2" s="1"/>
  <c r="C131" i="2"/>
  <c r="E130" i="2"/>
  <c r="G130" i="2" s="1"/>
  <c r="C130" i="2"/>
  <c r="E129" i="2"/>
  <c r="G129" i="2" s="1"/>
  <c r="C129" i="2"/>
  <c r="E128" i="2"/>
  <c r="G128" i="2" s="1"/>
  <c r="C128" i="2"/>
  <c r="E127" i="2"/>
  <c r="G127" i="2" s="1"/>
  <c r="C127" i="2"/>
  <c r="E126" i="2"/>
  <c r="G126" i="2" s="1"/>
  <c r="C126" i="2"/>
  <c r="E125" i="2"/>
  <c r="G125" i="2" s="1"/>
  <c r="C125" i="2"/>
  <c r="E124" i="2"/>
  <c r="G124" i="2" s="1"/>
  <c r="C124" i="2"/>
  <c r="E123" i="2"/>
  <c r="G123" i="2" s="1"/>
  <c r="C123" i="2"/>
  <c r="E122" i="2"/>
  <c r="G122" i="2" s="1"/>
  <c r="C122" i="2"/>
  <c r="E121" i="2"/>
  <c r="G121" i="2" s="1"/>
  <c r="C121" i="2"/>
  <c r="E120" i="2"/>
  <c r="G120" i="2" s="1"/>
  <c r="C120" i="2"/>
  <c r="E119" i="2"/>
  <c r="G119" i="2" s="1"/>
  <c r="C119" i="2"/>
  <c r="E118" i="2"/>
  <c r="G118" i="2" s="1"/>
  <c r="C118" i="2"/>
  <c r="E117" i="2"/>
  <c r="G117" i="2" s="1"/>
  <c r="C117" i="2"/>
  <c r="E116" i="2"/>
  <c r="G116" i="2" s="1"/>
  <c r="C116" i="2"/>
  <c r="E115" i="2"/>
  <c r="G115" i="2" s="1"/>
  <c r="C115" i="2"/>
  <c r="E114" i="2"/>
  <c r="G114" i="2" s="1"/>
  <c r="C114" i="2"/>
  <c r="E113" i="2"/>
  <c r="G113" i="2" s="1"/>
  <c r="C113" i="2"/>
  <c r="E112" i="2"/>
  <c r="G112" i="2" s="1"/>
  <c r="C112" i="2"/>
  <c r="E111" i="2"/>
  <c r="G111" i="2" s="1"/>
  <c r="C111" i="2"/>
  <c r="E110" i="2"/>
  <c r="G110" i="2" s="1"/>
  <c r="C110" i="2"/>
  <c r="E109" i="2"/>
  <c r="G109" i="2" s="1"/>
  <c r="C109" i="2"/>
  <c r="E108" i="2"/>
  <c r="G108" i="2" s="1"/>
  <c r="C108" i="2"/>
  <c r="E107" i="2"/>
  <c r="G107" i="2" s="1"/>
  <c r="C107" i="2"/>
  <c r="E106" i="2"/>
  <c r="G106" i="2" s="1"/>
  <c r="C106" i="2"/>
  <c r="E105" i="2"/>
  <c r="G105" i="2" s="1"/>
  <c r="C105" i="2"/>
  <c r="E104" i="2"/>
  <c r="G104" i="2" s="1"/>
  <c r="C104" i="2"/>
  <c r="E103" i="2"/>
  <c r="G103" i="2" s="1"/>
  <c r="C103" i="2"/>
  <c r="E102" i="2"/>
  <c r="G102" i="2" s="1"/>
  <c r="C102" i="2"/>
  <c r="E101" i="2"/>
  <c r="G101" i="2" s="1"/>
  <c r="C101" i="2"/>
  <c r="E100" i="2"/>
  <c r="G100" i="2" s="1"/>
  <c r="C100" i="2"/>
  <c r="E99" i="2"/>
  <c r="G99" i="2" s="1"/>
  <c r="C99" i="2"/>
  <c r="E98" i="2"/>
  <c r="G98" i="2" s="1"/>
  <c r="C98" i="2"/>
  <c r="E97" i="2"/>
  <c r="G97" i="2" s="1"/>
  <c r="C97" i="2"/>
  <c r="E96" i="2"/>
  <c r="G96" i="2" s="1"/>
  <c r="C96" i="2"/>
  <c r="E95" i="2"/>
  <c r="G95" i="2" s="1"/>
  <c r="C95" i="2"/>
  <c r="E94" i="2"/>
  <c r="G94" i="2" s="1"/>
  <c r="C94" i="2"/>
  <c r="E93" i="2"/>
  <c r="G93" i="2" s="1"/>
  <c r="C93" i="2"/>
  <c r="E92" i="2"/>
  <c r="G92" i="2" s="1"/>
  <c r="C92" i="2"/>
  <c r="E91" i="2"/>
  <c r="G91" i="2" s="1"/>
  <c r="C91" i="2"/>
  <c r="E90" i="2"/>
  <c r="G90" i="2" s="1"/>
  <c r="C90" i="2"/>
  <c r="E89" i="2"/>
  <c r="G89" i="2" s="1"/>
  <c r="C89" i="2"/>
  <c r="E88" i="2"/>
  <c r="G88" i="2" s="1"/>
  <c r="C88" i="2"/>
  <c r="E87" i="2"/>
  <c r="G87" i="2" s="1"/>
  <c r="C87" i="2"/>
  <c r="E86" i="2"/>
  <c r="G86" i="2" s="1"/>
  <c r="C86" i="2"/>
  <c r="E85" i="2"/>
  <c r="G85" i="2" s="1"/>
  <c r="C85" i="2"/>
  <c r="E84" i="2"/>
  <c r="G84" i="2" s="1"/>
  <c r="C84" i="2"/>
  <c r="E83" i="2"/>
  <c r="G83" i="2" s="1"/>
  <c r="C83" i="2"/>
  <c r="E82" i="2"/>
  <c r="G82" i="2" s="1"/>
  <c r="C82" i="2"/>
  <c r="E81" i="2"/>
  <c r="G81" i="2" s="1"/>
  <c r="C81" i="2"/>
  <c r="E80" i="2"/>
  <c r="G80" i="2" s="1"/>
  <c r="C80" i="2"/>
  <c r="E79" i="2"/>
  <c r="G79" i="2" s="1"/>
  <c r="C79" i="2"/>
  <c r="E78" i="2"/>
  <c r="G78" i="2" s="1"/>
  <c r="C78" i="2"/>
  <c r="E77" i="2"/>
  <c r="G77" i="2" s="1"/>
  <c r="C77" i="2"/>
  <c r="E76" i="2"/>
  <c r="G76" i="2" s="1"/>
  <c r="C76" i="2"/>
  <c r="E75" i="2"/>
  <c r="G75" i="2" s="1"/>
  <c r="C75" i="2"/>
  <c r="E74" i="2"/>
  <c r="G74" i="2" s="1"/>
  <c r="C74" i="2"/>
  <c r="E73" i="2"/>
  <c r="G73" i="2" s="1"/>
  <c r="C73" i="2"/>
  <c r="E72" i="2"/>
  <c r="G72" i="2" s="1"/>
  <c r="C72" i="2"/>
  <c r="E71" i="2"/>
  <c r="G71" i="2" s="1"/>
  <c r="C71" i="2"/>
  <c r="E70" i="2"/>
  <c r="G70" i="2" s="1"/>
  <c r="C70" i="2"/>
  <c r="E69" i="2"/>
  <c r="G69" i="2" s="1"/>
  <c r="C69" i="2"/>
  <c r="E68" i="2"/>
  <c r="G68" i="2" s="1"/>
  <c r="C68" i="2"/>
  <c r="E67" i="2"/>
  <c r="G67" i="2" s="1"/>
  <c r="C67" i="2"/>
  <c r="E66" i="2"/>
  <c r="G66" i="2" s="1"/>
  <c r="C66" i="2"/>
  <c r="E65" i="2"/>
  <c r="G65" i="2" s="1"/>
  <c r="C65" i="2"/>
  <c r="E64" i="2"/>
  <c r="G64" i="2" s="1"/>
  <c r="C64" i="2"/>
  <c r="E63" i="2"/>
  <c r="G63" i="2" s="1"/>
  <c r="C63" i="2"/>
  <c r="E62" i="2"/>
  <c r="G62" i="2" s="1"/>
  <c r="C62" i="2"/>
  <c r="E61" i="2"/>
  <c r="G61" i="2" s="1"/>
  <c r="C61" i="2"/>
  <c r="E60" i="2"/>
  <c r="G60" i="2" s="1"/>
  <c r="C60" i="2"/>
  <c r="E59" i="2"/>
  <c r="G59" i="2" s="1"/>
  <c r="C59" i="2"/>
  <c r="E58" i="2"/>
  <c r="G58" i="2" s="1"/>
  <c r="C58" i="2"/>
  <c r="E57" i="2"/>
  <c r="G57" i="2" s="1"/>
  <c r="C57" i="2"/>
  <c r="E56" i="2"/>
  <c r="G56" i="2" s="1"/>
  <c r="C56" i="2"/>
  <c r="E55" i="2"/>
  <c r="G55" i="2" s="1"/>
  <c r="C55" i="2"/>
  <c r="E54" i="2"/>
  <c r="G54" i="2" s="1"/>
  <c r="C54" i="2"/>
  <c r="E53" i="2"/>
  <c r="G53" i="2" s="1"/>
  <c r="C53" i="2"/>
  <c r="E52" i="2"/>
  <c r="G52" i="2" s="1"/>
  <c r="C52" i="2"/>
  <c r="E51" i="2"/>
  <c r="G51" i="2" s="1"/>
  <c r="C51" i="2"/>
  <c r="E50" i="2"/>
  <c r="G50" i="2" s="1"/>
  <c r="C50" i="2"/>
  <c r="E49" i="2"/>
  <c r="G49" i="2" s="1"/>
  <c r="C49" i="2"/>
  <c r="E48" i="2"/>
  <c r="G48" i="2" s="1"/>
  <c r="C48" i="2"/>
  <c r="E47" i="2"/>
  <c r="G47" i="2" s="1"/>
  <c r="C47" i="2"/>
  <c r="E46" i="2"/>
  <c r="G46" i="2" s="1"/>
  <c r="C46" i="2"/>
  <c r="E45" i="2"/>
  <c r="G45" i="2" s="1"/>
  <c r="C45" i="2"/>
  <c r="E44" i="2"/>
  <c r="G44" i="2" s="1"/>
  <c r="C44" i="2"/>
  <c r="E43" i="2"/>
  <c r="G43" i="2" s="1"/>
  <c r="C43" i="2"/>
  <c r="E42" i="2"/>
  <c r="G42" i="2" s="1"/>
  <c r="C42" i="2"/>
  <c r="E41" i="2"/>
  <c r="G41" i="2" s="1"/>
  <c r="C41" i="2"/>
  <c r="E40" i="2"/>
  <c r="G40" i="2" s="1"/>
  <c r="C40" i="2"/>
  <c r="E39" i="2"/>
  <c r="G39" i="2" s="1"/>
  <c r="C39" i="2"/>
  <c r="E38" i="2"/>
  <c r="G38" i="2" s="1"/>
  <c r="C38" i="2"/>
  <c r="E37" i="2"/>
  <c r="G37" i="2" s="1"/>
  <c r="C37" i="2"/>
  <c r="E36" i="2"/>
  <c r="G36" i="2" s="1"/>
  <c r="C36" i="2"/>
  <c r="E35" i="2"/>
  <c r="G35" i="2" s="1"/>
  <c r="C35" i="2"/>
  <c r="E34" i="2"/>
  <c r="G34" i="2" s="1"/>
  <c r="C34" i="2"/>
  <c r="E33" i="2"/>
  <c r="G33" i="2" s="1"/>
  <c r="C33" i="2"/>
  <c r="E32" i="2"/>
  <c r="G32" i="2" s="1"/>
  <c r="C32" i="2"/>
  <c r="E31" i="2"/>
  <c r="G31" i="2" s="1"/>
  <c r="C31" i="2"/>
  <c r="E30" i="2"/>
  <c r="G30" i="2" s="1"/>
  <c r="C30" i="2"/>
  <c r="E29" i="2"/>
  <c r="G29" i="2" s="1"/>
  <c r="C29" i="2"/>
  <c r="E28" i="2"/>
  <c r="G28" i="2" s="1"/>
  <c r="C28" i="2"/>
  <c r="G27" i="2"/>
  <c r="E27" i="2"/>
  <c r="C27" i="2"/>
  <c r="E26" i="2"/>
  <c r="G26" i="2" s="1"/>
  <c r="C26" i="2"/>
  <c r="E25" i="2"/>
  <c r="G25" i="2" s="1"/>
  <c r="C25" i="2"/>
  <c r="E24" i="2"/>
  <c r="G24" i="2" s="1"/>
  <c r="C24" i="2"/>
  <c r="E23" i="2"/>
  <c r="G23" i="2" s="1"/>
  <c r="C23" i="2"/>
  <c r="E22" i="2"/>
  <c r="G22" i="2" s="1"/>
  <c r="C22" i="2"/>
  <c r="E21" i="2"/>
  <c r="G21" i="2" s="1"/>
  <c r="C21" i="2"/>
  <c r="E20" i="2"/>
  <c r="G20" i="2" s="1"/>
  <c r="C20" i="2"/>
  <c r="E19" i="2"/>
  <c r="G19" i="2" s="1"/>
  <c r="C19" i="2"/>
  <c r="E18" i="2"/>
  <c r="G18" i="2" s="1"/>
  <c r="C18" i="2"/>
  <c r="E17" i="2"/>
  <c r="G17" i="2" s="1"/>
  <c r="C17" i="2"/>
  <c r="E16" i="2"/>
  <c r="G16" i="2" s="1"/>
  <c r="C16" i="2"/>
  <c r="E15" i="2"/>
  <c r="G15" i="2" s="1"/>
  <c r="C15" i="2"/>
  <c r="E14" i="2"/>
  <c r="G14" i="2" s="1"/>
  <c r="C14" i="2"/>
  <c r="E13" i="2"/>
  <c r="G13" i="2" s="1"/>
  <c r="C13" i="2"/>
  <c r="E12" i="2"/>
  <c r="G12" i="2" s="1"/>
  <c r="C12" i="2"/>
  <c r="E11" i="2"/>
  <c r="G11" i="2" s="1"/>
  <c r="C11" i="2"/>
  <c r="E10" i="2"/>
  <c r="G10" i="2" s="1"/>
  <c r="C10" i="2"/>
  <c r="E9" i="2"/>
  <c r="G9" i="2" s="1"/>
  <c r="C9" i="2"/>
  <c r="E8" i="2"/>
  <c r="G8" i="2" s="1"/>
  <c r="C8" i="2"/>
  <c r="E7" i="2"/>
  <c r="G7" i="2" s="1"/>
  <c r="C7" i="2"/>
  <c r="E6" i="2"/>
  <c r="G6" i="2" s="1"/>
  <c r="C6" i="2"/>
  <c r="G4" i="2"/>
  <c r="E4" i="2"/>
  <c r="C4" i="2"/>
  <c r="B4" i="2"/>
  <c r="A4" i="2"/>
  <c r="G2" i="2"/>
  <c r="C114" i="1"/>
  <c r="C113" i="1"/>
  <c r="C112" i="1"/>
  <c r="C111" i="1"/>
  <c r="C110" i="1"/>
  <c r="C109" i="1"/>
  <c r="C108" i="1"/>
  <c r="C107" i="1"/>
  <c r="C106" i="1"/>
  <c r="C101" i="1"/>
  <c r="C100" i="1"/>
  <c r="C99" i="1"/>
  <c r="C98" i="1"/>
  <c r="C97" i="1"/>
  <c r="C96" i="1"/>
  <c r="C95" i="1"/>
  <c r="C94" i="1"/>
  <c r="C93" i="1"/>
  <c r="C92" i="1"/>
  <c r="C91"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H31" i="1"/>
  <c r="G31" i="1"/>
  <c r="H30" i="1"/>
  <c r="G30" i="1"/>
  <c r="F30" i="1"/>
  <c r="D30" i="1"/>
  <c r="H29" i="1"/>
  <c r="G29" i="1"/>
  <c r="F29" i="1"/>
  <c r="D29" i="1"/>
  <c r="H28" i="1"/>
  <c r="G28" i="1"/>
  <c r="F28" i="1"/>
  <c r="D28" i="1"/>
  <c r="H27" i="1"/>
  <c r="G27" i="1"/>
  <c r="F27" i="1"/>
  <c r="D27" i="1"/>
  <c r="H26" i="1"/>
  <c r="G26" i="1"/>
  <c r="F26" i="1"/>
  <c r="D26" i="1"/>
  <c r="H25" i="1"/>
  <c r="G25" i="1"/>
  <c r="F25" i="1"/>
  <c r="D25" i="1"/>
  <c r="H24" i="1"/>
  <c r="G24" i="1"/>
  <c r="F24" i="1"/>
  <c r="D24" i="1"/>
  <c r="H23" i="1"/>
  <c r="G23" i="1"/>
  <c r="F23" i="1"/>
  <c r="D23" i="1"/>
  <c r="H22" i="1"/>
  <c r="G22" i="1"/>
  <c r="F22" i="1"/>
  <c r="D22" i="1"/>
  <c r="H17" i="1"/>
  <c r="H16" i="1"/>
  <c r="H15" i="1"/>
  <c r="H14" i="1"/>
  <c r="H13" i="1"/>
  <c r="H12" i="1"/>
  <c r="G8" i="1"/>
  <c r="G6" i="1"/>
  <c r="F6" i="1"/>
  <c r="H3" i="1"/>
  <c r="G3" i="1"/>
  <c r="E3" i="1"/>
  <c r="C3" i="1"/>
  <c r="A3" i="1"/>
  <c r="A2" i="1"/>
  <c r="G253" i="53"/>
  <c r="G251" i="53"/>
  <c r="G249" i="53"/>
  <c r="G247" i="53"/>
  <c r="G245" i="53"/>
  <c r="G243" i="53"/>
  <c r="G241" i="53"/>
  <c r="G239" i="53"/>
  <c r="G237" i="53"/>
  <c r="G235" i="53"/>
  <c r="G233" i="53"/>
  <c r="G231" i="53"/>
  <c r="G229" i="53"/>
  <c r="G227" i="53"/>
  <c r="G225" i="53"/>
  <c r="G223" i="53"/>
  <c r="G221" i="53"/>
  <c r="G219" i="53"/>
  <c r="G217" i="53"/>
  <c r="G215" i="53"/>
  <c r="G213" i="53"/>
  <c r="G211" i="53"/>
  <c r="G209" i="53"/>
  <c r="G207" i="53"/>
  <c r="G205" i="53"/>
  <c r="G254" i="53"/>
  <c r="G246" i="53"/>
  <c r="G222" i="53"/>
  <c r="G224" i="53"/>
  <c r="G226" i="53"/>
  <c r="G228" i="53"/>
  <c r="G248" i="53"/>
  <c r="G230" i="53"/>
  <c r="G206" i="53"/>
  <c r="G252" i="53"/>
  <c r="G232" i="53"/>
  <c r="G208" i="53"/>
  <c r="G234" i="53"/>
  <c r="G210" i="53"/>
  <c r="G236" i="53"/>
  <c r="G212" i="53"/>
  <c r="G250" i="53"/>
  <c r="G238" i="53"/>
  <c r="G214" i="53"/>
  <c r="G242" i="53"/>
  <c r="G218" i="53"/>
  <c r="G244" i="53"/>
  <c r="G220" i="53"/>
  <c r="G216" i="53"/>
  <c r="G204" i="53"/>
  <c r="G240" i="53"/>
  <c r="E15" i="30" l="1"/>
  <c r="G15" i="30" s="1"/>
  <c r="F72" i="53"/>
  <c r="AE54" i="18"/>
  <c r="F271" i="52"/>
  <c r="L43" i="21"/>
  <c r="F35" i="53"/>
  <c r="DD18" i="8"/>
  <c r="F71" i="52"/>
  <c r="E72" i="53"/>
  <c r="G37" i="53"/>
  <c r="E164" i="53"/>
  <c r="Z12" i="9"/>
  <c r="F178" i="53"/>
  <c r="AL13" i="9"/>
  <c r="D55" i="44"/>
  <c r="Z13" i="9"/>
  <c r="V31" i="18"/>
  <c r="F258" i="52" s="1"/>
  <c r="P17" i="9"/>
  <c r="F71" i="53"/>
  <c r="E97" i="53"/>
  <c r="H97" i="53" s="1"/>
  <c r="T113" i="49"/>
  <c r="E142" i="53"/>
  <c r="AC92" i="19"/>
  <c r="F272" i="52"/>
  <c r="AE55" i="18"/>
  <c r="AE27" i="16"/>
  <c r="F222" i="52"/>
  <c r="F38" i="53"/>
  <c r="CB8" i="8"/>
  <c r="AE13" i="17"/>
  <c r="F235" i="52"/>
  <c r="AE25" i="17"/>
  <c r="F245" i="52"/>
  <c r="E19" i="53"/>
  <c r="CB5" i="8"/>
  <c r="E39" i="53" s="1"/>
  <c r="H39" i="53" s="1"/>
  <c r="C21" i="37"/>
  <c r="M21" i="37" s="1"/>
  <c r="F285" i="52"/>
  <c r="F254" i="53"/>
  <c r="AU49" i="6"/>
  <c r="AU52" i="6" s="1"/>
  <c r="CB95" i="8"/>
  <c r="Q53" i="9"/>
  <c r="C115" i="9"/>
  <c r="EF105" i="8"/>
  <c r="FH105" i="8" s="1"/>
  <c r="H25" i="14"/>
  <c r="A16" i="30"/>
  <c r="G37" i="49"/>
  <c r="Z4" i="9"/>
  <c r="F214" i="52"/>
  <c r="W32" i="12"/>
  <c r="F129" i="52"/>
  <c r="E70" i="53"/>
  <c r="Z5" i="9"/>
  <c r="D206" i="53"/>
  <c r="G21" i="10"/>
  <c r="Q55" i="9"/>
  <c r="C20" i="38"/>
  <c r="E94" i="53" s="1"/>
  <c r="E176" i="53"/>
  <c r="F273" i="52"/>
  <c r="V28" i="6"/>
  <c r="AW54" i="18"/>
  <c r="V63" i="18"/>
  <c r="AE63" i="18" s="1"/>
  <c r="J139" i="45"/>
  <c r="AL15" i="9"/>
  <c r="AN97" i="9"/>
  <c r="D12" i="15"/>
  <c r="DD7" i="8"/>
  <c r="F60" i="52"/>
  <c r="AZ37" i="8"/>
  <c r="CB37" i="8" s="1"/>
  <c r="F263" i="52"/>
  <c r="AE46" i="18"/>
  <c r="F298" i="52"/>
  <c r="AH27" i="19"/>
  <c r="AE29" i="16"/>
  <c r="F224" i="52"/>
  <c r="E206" i="53"/>
  <c r="FH103" i="8"/>
  <c r="F64" i="52"/>
  <c r="E14" i="53"/>
  <c r="H14" i="53" s="1"/>
  <c r="F207" i="53"/>
  <c r="E210" i="53"/>
  <c r="FH18" i="8"/>
  <c r="BA44" i="13"/>
  <c r="H56" i="53"/>
  <c r="EO144" i="8"/>
  <c r="AQ25" i="13"/>
  <c r="AQ31" i="13" s="1"/>
  <c r="AQ43" i="13" s="1"/>
  <c r="AQ45" i="13" s="1"/>
  <c r="AG44" i="13"/>
  <c r="T53" i="6"/>
  <c r="AC76" i="6"/>
  <c r="S17" i="9"/>
  <c r="P12" i="9"/>
  <c r="Q52" i="9"/>
  <c r="A27" i="50"/>
  <c r="B43" i="48" s="1"/>
  <c r="Y22" i="19" s="1"/>
  <c r="B236" i="53"/>
  <c r="DD105" i="8"/>
  <c r="X90" i="9"/>
  <c r="X93" i="9" s="1"/>
  <c r="AW11" i="17"/>
  <c r="G53" i="21"/>
  <c r="H18" i="53"/>
  <c r="D236" i="53"/>
  <c r="AK49" i="9"/>
  <c r="AZ43" i="9"/>
  <c r="Z16" i="9"/>
  <c r="H59" i="53"/>
  <c r="A25" i="50"/>
  <c r="B41" i="48" s="1"/>
  <c r="Y19" i="19" s="1"/>
  <c r="AH19" i="19" s="1"/>
  <c r="H138" i="53"/>
  <c r="AK46" i="9"/>
  <c r="V55" i="9"/>
  <c r="P5" i="9"/>
  <c r="R106" i="45"/>
  <c r="R115" i="45"/>
  <c r="F26" i="53"/>
  <c r="B206" i="53"/>
  <c r="CB108" i="8"/>
  <c r="DD108" i="8" s="1"/>
  <c r="H84" i="53"/>
  <c r="E45" i="53"/>
  <c r="E117" i="53"/>
  <c r="H117" i="53" s="1"/>
  <c r="H142" i="53"/>
  <c r="FH23" i="8"/>
  <c r="BW156" i="8"/>
  <c r="M33" i="18"/>
  <c r="C13" i="21"/>
  <c r="F16" i="53" s="1"/>
  <c r="H16" i="53" s="1"/>
  <c r="AE61" i="18"/>
  <c r="F278" i="52"/>
  <c r="AW16" i="17"/>
  <c r="AE16" i="17"/>
  <c r="F238" i="52"/>
  <c r="B42" i="44"/>
  <c r="V50" i="18" s="1"/>
  <c r="F191" i="53"/>
  <c r="G191" i="53" s="1"/>
  <c r="F62" i="52"/>
  <c r="DD9" i="8"/>
  <c r="F230" i="52"/>
  <c r="AW8" i="17"/>
  <c r="AE8" i="17"/>
  <c r="F6" i="28"/>
  <c r="F12" i="28" s="1"/>
  <c r="E64" i="53" s="1"/>
  <c r="F70" i="53"/>
  <c r="G70" i="53" s="1"/>
  <c r="D53" i="40"/>
  <c r="V24" i="17"/>
  <c r="F6" i="36"/>
  <c r="F15" i="36" s="1"/>
  <c r="E91" i="53" s="1"/>
  <c r="F96" i="53"/>
  <c r="F128" i="52"/>
  <c r="F20" i="10"/>
  <c r="H19" i="53"/>
  <c r="F206" i="53"/>
  <c r="F246" i="53"/>
  <c r="AN24" i="18"/>
  <c r="G71" i="53"/>
  <c r="C236" i="53"/>
  <c r="FH9" i="8"/>
  <c r="DD25" i="8"/>
  <c r="FH94" i="8"/>
  <c r="AZ48" i="9"/>
  <c r="BE48" i="9" s="1"/>
  <c r="V57" i="9"/>
  <c r="BA26" i="13"/>
  <c r="J126" i="41"/>
  <c r="H84" i="49"/>
  <c r="H37" i="53"/>
  <c r="G138" i="53"/>
  <c r="G164" i="53"/>
  <c r="E236" i="53"/>
  <c r="AV93" i="6"/>
  <c r="DD74" i="8"/>
  <c r="FH95" i="8"/>
  <c r="V49" i="9"/>
  <c r="V54" i="9"/>
  <c r="DL51" i="9"/>
  <c r="AE11" i="17"/>
  <c r="AW31" i="18"/>
  <c r="M9" i="22"/>
  <c r="E12" i="53" s="1"/>
  <c r="C73" i="47"/>
  <c r="A44" i="50" s="1"/>
  <c r="B232" i="53"/>
  <c r="AT77" i="6"/>
  <c r="Z7" i="9"/>
  <c r="F6" i="15"/>
  <c r="Y31" i="19"/>
  <c r="F302" i="52" s="1"/>
  <c r="Q107" i="41"/>
  <c r="I104" i="49"/>
  <c r="I105" i="49" s="1"/>
  <c r="C232" i="53"/>
  <c r="F238" i="53"/>
  <c r="DD89" i="8"/>
  <c r="AL7" i="9"/>
  <c r="P14" i="9"/>
  <c r="AW27" i="16"/>
  <c r="AW50" i="18"/>
  <c r="AW56" i="18"/>
  <c r="G13" i="53"/>
  <c r="E18" i="38"/>
  <c r="E19" i="38" s="1"/>
  <c r="E20" i="38" s="1"/>
  <c r="F94" i="53" s="1"/>
  <c r="F116" i="45"/>
  <c r="G163" i="53"/>
  <c r="G16" i="53"/>
  <c r="E140" i="53"/>
  <c r="D232" i="53"/>
  <c r="CB90" i="8"/>
  <c r="DL12" i="9"/>
  <c r="AE57" i="18"/>
  <c r="L8" i="32"/>
  <c r="F86" i="53" s="1"/>
  <c r="G7" i="44"/>
  <c r="F280" i="52"/>
  <c r="E17" i="53"/>
  <c r="E232" i="53"/>
  <c r="CB109" i="8"/>
  <c r="F136" i="52" s="1"/>
  <c r="Z18" i="9"/>
  <c r="EY65" i="9"/>
  <c r="P98" i="18"/>
  <c r="E147" i="53" s="1"/>
  <c r="G147" i="53" s="1"/>
  <c r="G118" i="53"/>
  <c r="G113" i="53"/>
  <c r="R104" i="45"/>
  <c r="F34" i="50"/>
  <c r="G34" i="50" s="1"/>
  <c r="F37" i="48" s="1"/>
  <c r="E69" i="53"/>
  <c r="E141" i="53"/>
  <c r="AF49" i="6"/>
  <c r="CB91" i="8"/>
  <c r="F16" i="10" s="1"/>
  <c r="G16" i="10" s="1"/>
  <c r="V47" i="9"/>
  <c r="DL21" i="9"/>
  <c r="X98" i="18"/>
  <c r="E146" i="53" s="1"/>
  <c r="G8" i="44"/>
  <c r="F141" i="53" s="1"/>
  <c r="S93" i="45"/>
  <c r="F13" i="50"/>
  <c r="F69" i="53"/>
  <c r="H114" i="53"/>
  <c r="G188" i="53"/>
  <c r="DR153" i="8"/>
  <c r="V56" i="9"/>
  <c r="AX21" i="9"/>
  <c r="C16" i="30"/>
  <c r="C22" i="30" s="1"/>
  <c r="E67" i="53" s="1"/>
  <c r="AH93" i="6"/>
  <c r="DD78" i="8"/>
  <c r="FH98" i="8"/>
  <c r="AL5" i="9"/>
  <c r="DL23" i="9"/>
  <c r="G18" i="53"/>
  <c r="G56" i="53"/>
  <c r="G114" i="53"/>
  <c r="H137" i="53"/>
  <c r="AD27" i="6"/>
  <c r="P13" i="9"/>
  <c r="EY27" i="9"/>
  <c r="Q58" i="9"/>
  <c r="M31" i="13"/>
  <c r="G7" i="21"/>
  <c r="F17" i="53" s="1"/>
  <c r="S94" i="45"/>
  <c r="O139" i="45"/>
  <c r="E191" i="53" s="1"/>
  <c r="CB10" i="8"/>
  <c r="G38" i="21"/>
  <c r="AE59" i="18"/>
  <c r="F276" i="52"/>
  <c r="AH22" i="19"/>
  <c r="F293" i="52"/>
  <c r="H72" i="53"/>
  <c r="G72" i="53"/>
  <c r="AE60" i="18"/>
  <c r="F277" i="52"/>
  <c r="FH12" i="8"/>
  <c r="DD12" i="8"/>
  <c r="F65" i="52"/>
  <c r="AW21" i="17"/>
  <c r="AE21" i="17"/>
  <c r="F242" i="52"/>
  <c r="F13" i="42"/>
  <c r="P77" i="41"/>
  <c r="H15" i="53"/>
  <c r="G15" i="53"/>
  <c r="GD44" i="9"/>
  <c r="V45" i="9" s="1"/>
  <c r="AA45" i="9" s="1"/>
  <c r="BB5" i="9"/>
  <c r="FH92" i="8"/>
  <c r="DD92" i="8"/>
  <c r="AH24" i="19"/>
  <c r="AZ24" i="19"/>
  <c r="F295" i="52"/>
  <c r="H56" i="21"/>
  <c r="F45" i="53"/>
  <c r="G45" i="53" s="1"/>
  <c r="AW48" i="18"/>
  <c r="F265" i="52"/>
  <c r="AE48" i="18"/>
  <c r="D31" i="1"/>
  <c r="F123" i="52"/>
  <c r="AW31" i="16"/>
  <c r="F226" i="52"/>
  <c r="AH16" i="19"/>
  <c r="F287" i="52"/>
  <c r="H101" i="53"/>
  <c r="G101" i="53"/>
  <c r="B11" i="50"/>
  <c r="A11" i="50" s="1"/>
  <c r="C9" i="48" s="1"/>
  <c r="F160" i="53" s="1"/>
  <c r="G160" i="53" s="1"/>
  <c r="E160" i="53"/>
  <c r="H86" i="53"/>
  <c r="G86" i="53"/>
  <c r="F102" i="53"/>
  <c r="AW14" i="17"/>
  <c r="F236" i="52"/>
  <c r="AE14" i="17"/>
  <c r="AE53" i="18"/>
  <c r="F270" i="52"/>
  <c r="G40" i="48"/>
  <c r="Y7" i="19"/>
  <c r="AZ7" i="19" s="1"/>
  <c r="HT57" i="9"/>
  <c r="AZ56" i="9" s="1"/>
  <c r="AD16" i="9"/>
  <c r="AH16" i="9" s="1"/>
  <c r="H58" i="21"/>
  <c r="CB29" i="8"/>
  <c r="F10" i="10" s="1"/>
  <c r="G10" i="10" s="1"/>
  <c r="AW15" i="17"/>
  <c r="F237" i="52"/>
  <c r="AE15" i="17"/>
  <c r="G20" i="10"/>
  <c r="AN48" i="6"/>
  <c r="AU48" i="6" s="1"/>
  <c r="DD106" i="8"/>
  <c r="BF5" i="9"/>
  <c r="EI21" i="9"/>
  <c r="Q47" i="9"/>
  <c r="AN80" i="9"/>
  <c r="M48" i="11"/>
  <c r="AE24" i="18"/>
  <c r="AW46" i="18"/>
  <c r="AE51" i="18"/>
  <c r="AW55" i="18"/>
  <c r="AW61" i="18"/>
  <c r="L59" i="21"/>
  <c r="T124" i="41"/>
  <c r="G19" i="53"/>
  <c r="F230" i="53"/>
  <c r="FH5" i="8"/>
  <c r="DD94" i="8"/>
  <c r="Q44" i="9"/>
  <c r="W48" i="11"/>
  <c r="AW51" i="18"/>
  <c r="E18" i="34"/>
  <c r="E19" i="34" s="1"/>
  <c r="F82" i="53" s="1"/>
  <c r="AZ27" i="19"/>
  <c r="G137" i="53"/>
  <c r="T52" i="6"/>
  <c r="T54" i="6" s="1"/>
  <c r="AA54" i="6" s="1"/>
  <c r="U79" i="6"/>
  <c r="AC79" i="6" s="1"/>
  <c r="FH106" i="8"/>
  <c r="AD3" i="9"/>
  <c r="AX22" i="9"/>
  <c r="AL12" i="9"/>
  <c r="FB49" i="9"/>
  <c r="AU49" i="9" s="1"/>
  <c r="Q60" i="9"/>
  <c r="AQ19" i="12"/>
  <c r="L116" i="45"/>
  <c r="G29" i="49"/>
  <c r="A23" i="50"/>
  <c r="B39" i="48" s="1"/>
  <c r="Y17" i="19" s="1"/>
  <c r="H13" i="53"/>
  <c r="T95" i="6"/>
  <c r="AV95" i="6" s="1"/>
  <c r="AA58" i="9"/>
  <c r="AP3" i="9"/>
  <c r="FB10" i="9"/>
  <c r="Z9" i="9" s="1"/>
  <c r="GD13" i="9"/>
  <c r="BB12" i="9" s="1"/>
  <c r="AQ37" i="11"/>
  <c r="AQ56" i="11" s="1"/>
  <c r="AW24" i="17"/>
  <c r="R92" i="22"/>
  <c r="E20" i="53" s="1"/>
  <c r="E19" i="23"/>
  <c r="G19" i="23" s="1"/>
  <c r="E16" i="30"/>
  <c r="I115" i="41"/>
  <c r="I116" i="41" s="1"/>
  <c r="AA49" i="6"/>
  <c r="AA52" i="6" s="1"/>
  <c r="AZ79" i="8"/>
  <c r="AZ107" i="8" s="1"/>
  <c r="AZ110" i="8" s="1"/>
  <c r="AZ111" i="8" s="1"/>
  <c r="DD95" i="8"/>
  <c r="AZ156" i="8"/>
  <c r="Q56" i="9"/>
  <c r="AA56" i="9" s="1"/>
  <c r="AW52" i="18"/>
  <c r="AZ22" i="19"/>
  <c r="AL38" i="19"/>
  <c r="AT38" i="19" s="1"/>
  <c r="BB38" i="19" s="1"/>
  <c r="L8" i="24"/>
  <c r="M6" i="24" s="1"/>
  <c r="M12" i="24" s="1"/>
  <c r="F48" i="53" s="1"/>
  <c r="F20" i="38"/>
  <c r="F95" i="53" s="1"/>
  <c r="M77" i="41"/>
  <c r="E128" i="53" s="1"/>
  <c r="T138" i="45"/>
  <c r="J115" i="49"/>
  <c r="B210" i="53"/>
  <c r="W57" i="5"/>
  <c r="D208" i="53" s="1"/>
  <c r="FH7" i="8"/>
  <c r="FH24" i="8"/>
  <c r="Q54" i="9"/>
  <c r="AA54" i="9" s="1"/>
  <c r="AN32" i="16"/>
  <c r="AE31" i="18"/>
  <c r="I116" i="45"/>
  <c r="F17" i="46"/>
  <c r="G14" i="53"/>
  <c r="G59" i="53"/>
  <c r="H85" i="53"/>
  <c r="H164" i="53"/>
  <c r="C210" i="53"/>
  <c r="AF50" i="6"/>
  <c r="EF89" i="8"/>
  <c r="FH89" i="8" s="1"/>
  <c r="EO153" i="8"/>
  <c r="EO156" i="8" s="1"/>
  <c r="Z6" i="9"/>
  <c r="Q48" i="9"/>
  <c r="EI51" i="9"/>
  <c r="V28" i="16"/>
  <c r="AW25" i="17"/>
  <c r="AW53" i="18"/>
  <c r="AW63" i="18"/>
  <c r="V39" i="19"/>
  <c r="AL39" i="19" s="1"/>
  <c r="AT39" i="19" s="1"/>
  <c r="BB39" i="19" s="1"/>
  <c r="G47" i="21"/>
  <c r="D210" i="53"/>
  <c r="F210" i="53" s="1"/>
  <c r="EF78" i="8"/>
  <c r="FH78" i="8" s="1"/>
  <c r="Q43" i="9"/>
  <c r="AW59" i="18"/>
  <c r="AG92" i="19"/>
  <c r="E173" i="53" s="1"/>
  <c r="A26" i="50"/>
  <c r="B42" i="48" s="1"/>
  <c r="Y20" i="19" s="1"/>
  <c r="G85" i="53"/>
  <c r="AL25" i="6"/>
  <c r="AL28" i="6" s="1"/>
  <c r="AT28" i="6" s="1"/>
  <c r="Z8" i="9"/>
  <c r="V43" i="9"/>
  <c r="Q46" i="9"/>
  <c r="F8" i="15"/>
  <c r="E19" i="26"/>
  <c r="F28" i="37"/>
  <c r="F29" i="37" s="1"/>
  <c r="A19" i="38"/>
  <c r="A20" i="38" s="1"/>
  <c r="E93" i="53" s="1"/>
  <c r="FH97" i="8"/>
  <c r="HA4" i="9"/>
  <c r="HA43" i="9" s="1"/>
  <c r="AK44" i="9" s="1"/>
  <c r="V17" i="9"/>
  <c r="Q57" i="9"/>
  <c r="AA57" i="9" s="1"/>
  <c r="AW29" i="16"/>
  <c r="AW13" i="17"/>
  <c r="M40" i="18"/>
  <c r="V40" i="18" s="1"/>
  <c r="AE40" i="18" s="1"/>
  <c r="AW60" i="18"/>
  <c r="B20" i="38"/>
  <c r="E95" i="53" s="1"/>
  <c r="N85" i="41"/>
  <c r="A29" i="50"/>
  <c r="B45" i="48" s="1"/>
  <c r="Y26" i="19" s="1"/>
  <c r="H118" i="53"/>
  <c r="F242" i="53"/>
  <c r="AF48" i="6"/>
  <c r="DD97" i="8"/>
  <c r="Q49" i="9"/>
  <c r="AZ16" i="19"/>
  <c r="C7" i="44"/>
  <c r="F136" i="53" s="1"/>
  <c r="H136" i="53" s="1"/>
  <c r="B13" i="50"/>
  <c r="E187" i="53"/>
  <c r="E6" i="1"/>
  <c r="E8" i="1"/>
  <c r="G15" i="1"/>
  <c r="H119" i="53"/>
  <c r="G119" i="53"/>
  <c r="A3" i="2"/>
  <c r="E204" i="53" s="1"/>
  <c r="F223" i="53"/>
  <c r="G117" i="53"/>
  <c r="G84" i="53"/>
  <c r="H96" i="53"/>
  <c r="G96" i="53"/>
  <c r="G189" i="53"/>
  <c r="H189" i="53"/>
  <c r="G12" i="1" s="1"/>
  <c r="F31" i="1"/>
  <c r="F234" i="53"/>
  <c r="H54" i="53"/>
  <c r="G54" i="53"/>
  <c r="G97" i="53"/>
  <c r="G142" i="53"/>
  <c r="H71" i="53"/>
  <c r="H113" i="53"/>
  <c r="DD37" i="8"/>
  <c r="AH95" i="6"/>
  <c r="AO95" i="6" s="1"/>
  <c r="AO93" i="6"/>
  <c r="AU50" i="6"/>
  <c r="AU53" i="6" s="1"/>
  <c r="H128" i="53"/>
  <c r="G128" i="53"/>
  <c r="GD43" i="9"/>
  <c r="BB4" i="9"/>
  <c r="BF4" i="9" s="1"/>
  <c r="BB22" i="9"/>
  <c r="BB11" i="9"/>
  <c r="GD12" i="9"/>
  <c r="AD4" i="9"/>
  <c r="AH4" i="9" s="1"/>
  <c r="EF66" i="8"/>
  <c r="HT45" i="9"/>
  <c r="AZ46" i="9" s="1"/>
  <c r="BE46" i="9" s="1"/>
  <c r="AP6" i="9"/>
  <c r="AD6" i="9"/>
  <c r="S14" i="9"/>
  <c r="HA54" i="9"/>
  <c r="AK54" i="9" s="1"/>
  <c r="AP54" i="9" s="1"/>
  <c r="BB6" i="9"/>
  <c r="GD45" i="9"/>
  <c r="V46" i="9" s="1"/>
  <c r="AG19" i="12"/>
  <c r="M26" i="12"/>
  <c r="M40" i="12"/>
  <c r="M43" i="12" s="1"/>
  <c r="AT17" i="6"/>
  <c r="AN49" i="6"/>
  <c r="AN52" i="6" s="1"/>
  <c r="AN54" i="6" s="1"/>
  <c r="DD19" i="8"/>
  <c r="DD23" i="8"/>
  <c r="F9" i="10"/>
  <c r="G9" i="10" s="1"/>
  <c r="DD27" i="8"/>
  <c r="AZ36" i="8"/>
  <c r="F19" i="10"/>
  <c r="G19" i="10" s="1"/>
  <c r="C37" i="23"/>
  <c r="A37" i="23" s="1"/>
  <c r="B53" i="21" s="1"/>
  <c r="F36" i="53" s="1"/>
  <c r="H36" i="53" s="1"/>
  <c r="HT54" i="9"/>
  <c r="AZ54" i="9" s="1"/>
  <c r="BE54" i="9" s="1"/>
  <c r="AP14" i="9"/>
  <c r="AD14" i="9"/>
  <c r="BE56" i="9"/>
  <c r="AL76" i="6"/>
  <c r="AT76" i="6" s="1"/>
  <c r="FH8" i="8"/>
  <c r="EF19" i="8"/>
  <c r="EF30" i="8" s="1"/>
  <c r="FH75" i="8"/>
  <c r="FH90" i="8"/>
  <c r="DD90" i="8"/>
  <c r="DD102" i="8"/>
  <c r="AW64" i="18"/>
  <c r="AE64" i="18"/>
  <c r="FH27" i="8"/>
  <c r="EF74" i="8"/>
  <c r="HT46" i="9"/>
  <c r="AZ47" i="9" s="1"/>
  <c r="BE47" i="9" s="1"/>
  <c r="AP7" i="9"/>
  <c r="AT7" i="9" s="1"/>
  <c r="AD7" i="9"/>
  <c r="AH7" i="9" s="1"/>
  <c r="FB22" i="9"/>
  <c r="Z21" i="9" s="1"/>
  <c r="FB61" i="9"/>
  <c r="AU60" i="9" s="1"/>
  <c r="B20" i="10"/>
  <c r="FH74" i="8"/>
  <c r="AD8" i="9"/>
  <c r="GD48" i="9"/>
  <c r="V48" i="9" s="1"/>
  <c r="AA48" i="9" s="1"/>
  <c r="DR144" i="8"/>
  <c r="DR156" i="8" s="1"/>
  <c r="GD22" i="9"/>
  <c r="DR155" i="8"/>
  <c r="HT55" i="9"/>
  <c r="AZ55" i="9" s="1"/>
  <c r="AP15" i="9"/>
  <c r="AT15" i="9" s="1"/>
  <c r="AD15" i="9"/>
  <c r="AH15" i="9" s="1"/>
  <c r="AF51" i="9"/>
  <c r="AO91" i="19"/>
  <c r="BO88" i="19"/>
  <c r="BO80" i="19"/>
  <c r="AO87" i="19"/>
  <c r="AO83" i="19"/>
  <c r="AO79" i="19"/>
  <c r="BO86" i="19"/>
  <c r="AO85" i="19"/>
  <c r="BO82" i="19"/>
  <c r="BO87" i="19"/>
  <c r="BO90" i="19"/>
  <c r="AO89" i="19"/>
  <c r="AO82" i="19"/>
  <c r="BO83" i="19"/>
  <c r="AO80" i="19"/>
  <c r="AO78" i="19"/>
  <c r="BO84" i="19"/>
  <c r="BO79" i="19"/>
  <c r="AO88" i="19"/>
  <c r="BO89" i="19"/>
  <c r="AO86" i="19"/>
  <c r="BO81" i="19"/>
  <c r="AO81" i="19"/>
  <c r="AO90" i="19"/>
  <c r="AF53" i="6"/>
  <c r="AA53" i="6"/>
  <c r="AT78" i="6"/>
  <c r="AO88" i="6"/>
  <c r="FH13" i="8"/>
  <c r="F8" i="10"/>
  <c r="G8" i="10" s="1"/>
  <c r="DD17" i="8"/>
  <c r="FH82" i="8"/>
  <c r="DD91" i="8"/>
  <c r="FH99" i="8"/>
  <c r="DD99" i="8"/>
  <c r="EI12" i="9"/>
  <c r="P4" i="9"/>
  <c r="AL4" i="9"/>
  <c r="P9" i="9"/>
  <c r="AN50" i="6"/>
  <c r="AN53" i="6" s="1"/>
  <c r="DD13" i="8"/>
  <c r="F17" i="10"/>
  <c r="G17" i="10" s="1"/>
  <c r="S12" i="9"/>
  <c r="V12" i="9" s="1"/>
  <c r="HA52" i="9"/>
  <c r="AK52" i="9" s="1"/>
  <c r="HA21" i="9"/>
  <c r="S6" i="9"/>
  <c r="AL77" i="6"/>
  <c r="AL79" i="6" s="1"/>
  <c r="AT79" i="6" s="1"/>
  <c r="FH17" i="8"/>
  <c r="F7" i="10"/>
  <c r="G7" i="10" s="1"/>
  <c r="FH25" i="8"/>
  <c r="BF12" i="9"/>
  <c r="AP46" i="9"/>
  <c r="N28" i="6"/>
  <c r="AZ38" i="8"/>
  <c r="CB38" i="8" s="1"/>
  <c r="DD38" i="8" s="1"/>
  <c r="FH54" i="8"/>
  <c r="FH66" i="8" s="1"/>
  <c r="FH154" i="8"/>
  <c r="HT22" i="9" s="1"/>
  <c r="FH96" i="8"/>
  <c r="DD96" i="8"/>
  <c r="FH100" i="8"/>
  <c r="EF102" i="8"/>
  <c r="FH102" i="8" s="1"/>
  <c r="S5" i="9"/>
  <c r="HA44" i="9"/>
  <c r="AK45" i="9" s="1"/>
  <c r="AP45" i="9" s="1"/>
  <c r="GD53" i="9"/>
  <c r="V53" i="9" s="1"/>
  <c r="AA53" i="9" s="1"/>
  <c r="BB19" i="9"/>
  <c r="BB13" i="9"/>
  <c r="FB58" i="9"/>
  <c r="AU57" i="9" s="1"/>
  <c r="FB19" i="9"/>
  <c r="FB21" i="9" s="1"/>
  <c r="CP153" i="8"/>
  <c r="CP156" i="8" s="1"/>
  <c r="BF6" i="9"/>
  <c r="AL14" i="9"/>
  <c r="Z14" i="9"/>
  <c r="AA55" i="9"/>
  <c r="C9" i="23"/>
  <c r="C7" i="21"/>
  <c r="AD28" i="6"/>
  <c r="M95" i="6"/>
  <c r="AA95" i="6" s="1"/>
  <c r="AA93" i="6"/>
  <c r="FH109" i="8"/>
  <c r="AD5" i="9"/>
  <c r="AH5" i="9" s="1"/>
  <c r="HT44" i="9"/>
  <c r="AZ45" i="9" s="1"/>
  <c r="BE45" i="9" s="1"/>
  <c r="HA53" i="9"/>
  <c r="AK53" i="9" s="1"/>
  <c r="AP53" i="9" s="1"/>
  <c r="S13" i="9"/>
  <c r="AZ44" i="9"/>
  <c r="BE44" i="9" s="1"/>
  <c r="S9" i="9"/>
  <c r="AP44" i="9"/>
  <c r="M41" i="18"/>
  <c r="V39" i="18"/>
  <c r="AC78" i="6"/>
  <c r="DD11" i="8"/>
  <c r="AZ39" i="8"/>
  <c r="CB39" i="8" s="1"/>
  <c r="DD39" i="8" s="1"/>
  <c r="C24" i="23"/>
  <c r="A24" i="23" s="1"/>
  <c r="B40" i="21" s="1"/>
  <c r="F31" i="53" s="1"/>
  <c r="CB79" i="8"/>
  <c r="CB107" i="8" s="1"/>
  <c r="FH142" i="8"/>
  <c r="HT10" i="9" s="1"/>
  <c r="HT12" i="9" s="1"/>
  <c r="AP13" i="9"/>
  <c r="AT13" i="9" s="1"/>
  <c r="HT53" i="9"/>
  <c r="AZ53" i="9" s="1"/>
  <c r="BE53" i="9" s="1"/>
  <c r="AD13" i="9"/>
  <c r="AH13" i="9" s="1"/>
  <c r="P6" i="9"/>
  <c r="AL6" i="9"/>
  <c r="V47" i="18"/>
  <c r="AW58" i="18"/>
  <c r="AE58" i="18"/>
  <c r="E148" i="45"/>
  <c r="E25" i="46" s="1"/>
  <c r="P162" i="45"/>
  <c r="AD25" i="6"/>
  <c r="AL78" i="6"/>
  <c r="C23" i="23"/>
  <c r="DD66" i="8"/>
  <c r="FH93" i="8"/>
  <c r="DD93" i="8"/>
  <c r="AP5" i="9"/>
  <c r="AT5" i="9" s="1"/>
  <c r="AP49" i="9"/>
  <c r="BE55" i="9"/>
  <c r="HA58" i="9"/>
  <c r="AK57" i="9" s="1"/>
  <c r="AP57" i="9" s="1"/>
  <c r="AW20" i="17"/>
  <c r="AE20" i="17"/>
  <c r="AX13" i="9"/>
  <c r="H8" i="15"/>
  <c r="AW7" i="17"/>
  <c r="AE7" i="17"/>
  <c r="BH20" i="18"/>
  <c r="AN20" i="18"/>
  <c r="T136" i="45"/>
  <c r="T139" i="45" s="1"/>
  <c r="E139" i="45"/>
  <c r="HA12" i="9"/>
  <c r="AF43" i="9"/>
  <c r="Q51" i="9"/>
  <c r="DL60" i="9"/>
  <c r="DL63" i="9" s="1"/>
  <c r="Q59" i="9"/>
  <c r="H17" i="14"/>
  <c r="E10" i="15"/>
  <c r="E6" i="15"/>
  <c r="E11" i="15"/>
  <c r="E7" i="15"/>
  <c r="E12" i="15"/>
  <c r="E9" i="15"/>
  <c r="AW21" i="18"/>
  <c r="AW57" i="18"/>
  <c r="B21" i="10"/>
  <c r="FH151" i="8"/>
  <c r="HT19" i="9" s="1"/>
  <c r="Z3" i="9"/>
  <c r="AX11" i="9"/>
  <c r="GD21" i="9"/>
  <c r="GD60" i="9" s="1"/>
  <c r="AK43" i="9"/>
  <c r="EI60" i="9"/>
  <c r="AF59" i="9" s="1"/>
  <c r="E15" i="26"/>
  <c r="N98" i="41"/>
  <c r="J100" i="41"/>
  <c r="E126" i="41"/>
  <c r="T122" i="41"/>
  <c r="A9" i="50"/>
  <c r="AP4" i="9"/>
  <c r="AU43" i="9"/>
  <c r="W34" i="12"/>
  <c r="W40" i="12"/>
  <c r="AW88" i="19"/>
  <c r="G9" i="21"/>
  <c r="F20" i="53" s="1"/>
  <c r="H20" i="53" s="1"/>
  <c r="E18" i="23"/>
  <c r="A22" i="42"/>
  <c r="O123" i="41"/>
  <c r="DD109" i="8"/>
  <c r="FH152" i="8"/>
  <c r="HT20" i="9" s="1"/>
  <c r="AL3" i="9"/>
  <c r="AX19" i="9"/>
  <c r="GD52" i="9"/>
  <c r="W56" i="11"/>
  <c r="K23" i="32"/>
  <c r="L22" i="32" s="1"/>
  <c r="M20" i="32" s="1"/>
  <c r="M25" i="32" s="1"/>
  <c r="G18" i="34"/>
  <c r="AE31" i="16"/>
  <c r="AQ32" i="19"/>
  <c r="BA19" i="12"/>
  <c r="AN65" i="18"/>
  <c r="AW85" i="19"/>
  <c r="Q90" i="19"/>
  <c r="AW90" i="19" s="1"/>
  <c r="L61" i="21"/>
  <c r="C15" i="44"/>
  <c r="M56" i="11"/>
  <c r="M58" i="11" s="1"/>
  <c r="M41" i="11"/>
  <c r="W41" i="12"/>
  <c r="BA25" i="13"/>
  <c r="H19" i="14"/>
  <c r="BB14" i="9"/>
  <c r="BF14" i="9" s="1"/>
  <c r="AU51" i="9"/>
  <c r="AF52" i="9"/>
  <c r="E20" i="26"/>
  <c r="G20" i="26" s="1"/>
  <c r="K24" i="24" s="1"/>
  <c r="W41" i="11"/>
  <c r="AG37" i="11"/>
  <c r="E20" i="30"/>
  <c r="G20" i="30" s="1"/>
  <c r="K24" i="28" s="1"/>
  <c r="AG22" i="12"/>
  <c r="M33" i="12"/>
  <c r="AG33" i="12" s="1"/>
  <c r="J17" i="14"/>
  <c r="I19" i="14"/>
  <c r="J19" i="14" s="1"/>
  <c r="J8" i="15"/>
  <c r="L7" i="15"/>
  <c r="E110" i="22"/>
  <c r="E22" i="28"/>
  <c r="F20" i="28" s="1"/>
  <c r="F26" i="28" s="1"/>
  <c r="A9" i="46"/>
  <c r="C26" i="23"/>
  <c r="A26" i="23" s="1"/>
  <c r="B42" i="21" s="1"/>
  <c r="F32" i="53" s="1"/>
  <c r="F18" i="10"/>
  <c r="G18" i="10" s="1"/>
  <c r="F15" i="10"/>
  <c r="G15" i="10" s="1"/>
  <c r="HT13" i="9"/>
  <c r="Q61" i="9"/>
  <c r="AN26" i="17"/>
  <c r="AW10" i="17"/>
  <c r="AE10" i="17"/>
  <c r="AQ32" i="11"/>
  <c r="BA33" i="11"/>
  <c r="AW19" i="17"/>
  <c r="AE19" i="17"/>
  <c r="AW29" i="18"/>
  <c r="AE29" i="18"/>
  <c r="AW80" i="19"/>
  <c r="A18" i="26"/>
  <c r="D24" i="24" s="1"/>
  <c r="F60" i="53" s="1"/>
  <c r="B21" i="26"/>
  <c r="B22" i="26" s="1"/>
  <c r="E52" i="53" s="1"/>
  <c r="G7" i="40"/>
  <c r="D77" i="49"/>
  <c r="M76" i="49"/>
  <c r="F5" i="10"/>
  <c r="AU52" i="9"/>
  <c r="AQ40" i="12"/>
  <c r="E8" i="15"/>
  <c r="E46" i="46"/>
  <c r="E53" i="46" s="1"/>
  <c r="AE20" i="18"/>
  <c r="AW24" i="18"/>
  <c r="AZ31" i="19"/>
  <c r="AH31" i="19"/>
  <c r="M84" i="19"/>
  <c r="AS84" i="19" s="1"/>
  <c r="H46" i="44"/>
  <c r="V32" i="18"/>
  <c r="E102" i="22"/>
  <c r="E20" i="23" s="1"/>
  <c r="F44" i="42"/>
  <c r="G32" i="41"/>
  <c r="BA21" i="12"/>
  <c r="I10" i="14"/>
  <c r="Y6" i="16"/>
  <c r="BH24" i="18"/>
  <c r="BQ24" i="18" s="1"/>
  <c r="G37" i="40"/>
  <c r="H36" i="40" s="1"/>
  <c r="A25" i="42"/>
  <c r="B42" i="40" s="1"/>
  <c r="V9" i="17" s="1"/>
  <c r="O125" i="41"/>
  <c r="T125" i="41" s="1"/>
  <c r="C16" i="46"/>
  <c r="A16" i="46" s="1"/>
  <c r="M90" i="19"/>
  <c r="L39" i="21"/>
  <c r="L47" i="21" s="1"/>
  <c r="E98" i="49"/>
  <c r="Q97" i="49"/>
  <c r="M6" i="28"/>
  <c r="F6" i="32"/>
  <c r="A54" i="44"/>
  <c r="C12" i="44"/>
  <c r="B14" i="46"/>
  <c r="A17" i="46"/>
  <c r="O116" i="45"/>
  <c r="A24" i="50"/>
  <c r="B40" i="48" s="1"/>
  <c r="Y18" i="19" s="1"/>
  <c r="O114" i="49"/>
  <c r="T114" i="49" s="1"/>
  <c r="G19" i="30"/>
  <c r="W31" i="13"/>
  <c r="AQ9" i="19"/>
  <c r="E115" i="49"/>
  <c r="A21" i="30"/>
  <c r="A22" i="30" s="1"/>
  <c r="E66" i="53" s="1"/>
  <c r="M6" i="32"/>
  <c r="M12" i="32" s="1"/>
  <c r="F79" i="53" s="1"/>
  <c r="F14" i="34"/>
  <c r="C12" i="34"/>
  <c r="B54" i="44"/>
  <c r="F149" i="53" s="1"/>
  <c r="P77" i="49"/>
  <c r="M47" i="11"/>
  <c r="M49" i="11" s="1"/>
  <c r="AQ22" i="12"/>
  <c r="AQ41" i="12" s="1"/>
  <c r="W26" i="12"/>
  <c r="AS85" i="19"/>
  <c r="B21" i="30"/>
  <c r="S77" i="41"/>
  <c r="E120" i="53" s="1"/>
  <c r="C72" i="47"/>
  <c r="D4" i="50" s="1"/>
  <c r="C71" i="47"/>
  <c r="G32" i="48" s="1"/>
  <c r="C70" i="47"/>
  <c r="G31" i="48" s="1"/>
  <c r="C74" i="47"/>
  <c r="G119" i="49" s="1"/>
  <c r="Q104" i="49"/>
  <c r="W47" i="11"/>
  <c r="I55" i="23"/>
  <c r="Q99" i="22"/>
  <c r="K109" i="22"/>
  <c r="A14" i="23"/>
  <c r="E11" i="25"/>
  <c r="M76" i="41"/>
  <c r="P133" i="41"/>
  <c r="E92" i="41"/>
  <c r="E19" i="42" s="1"/>
  <c r="I129" i="45"/>
  <c r="I130" i="45" s="1"/>
  <c r="E23" i="46"/>
  <c r="AG32" i="11"/>
  <c r="Q84" i="19"/>
  <c r="AW84" i="19" s="1"/>
  <c r="B21" i="50"/>
  <c r="G55" i="49"/>
  <c r="M37" i="13"/>
  <c r="AW79" i="19"/>
  <c r="M41" i="19"/>
  <c r="G14" i="30"/>
  <c r="A16" i="34"/>
  <c r="B18" i="34"/>
  <c r="B19" i="34" s="1"/>
  <c r="E83" i="53" s="1"/>
  <c r="E116" i="41"/>
  <c r="Q115" i="41"/>
  <c r="Q147" i="41"/>
  <c r="Q149" i="41" s="1"/>
  <c r="C38" i="50"/>
  <c r="M32" i="12"/>
  <c r="AG32" i="12" s="1"/>
  <c r="AG25" i="13"/>
  <c r="W37" i="13"/>
  <c r="AZ8" i="19"/>
  <c r="AZ19" i="19"/>
  <c r="G16" i="23"/>
  <c r="B16" i="30"/>
  <c r="B38" i="40"/>
  <c r="B47" i="48"/>
  <c r="F179" i="53" s="1"/>
  <c r="G47" i="49"/>
  <c r="M95" i="45"/>
  <c r="P32" i="19"/>
  <c r="G18" i="38"/>
  <c r="P92" i="45"/>
  <c r="R19" i="49"/>
  <c r="R20" i="49" s="1"/>
  <c r="A41" i="50"/>
  <c r="H147" i="53" l="1"/>
  <c r="S4" i="9"/>
  <c r="P19" i="9"/>
  <c r="F232" i="53"/>
  <c r="AA47" i="9"/>
  <c r="F236" i="53"/>
  <c r="F290" i="52"/>
  <c r="AH8" i="9"/>
  <c r="AA46" i="9"/>
  <c r="AA49" i="9"/>
  <c r="H45" i="53"/>
  <c r="H141" i="53"/>
  <c r="V5" i="9"/>
  <c r="H69" i="53"/>
  <c r="R116" i="45"/>
  <c r="V4" i="9"/>
  <c r="BF22" i="9"/>
  <c r="F58" i="52"/>
  <c r="G39" i="53"/>
  <c r="AP52" i="9"/>
  <c r="V14" i="9"/>
  <c r="H191" i="53"/>
  <c r="DD8" i="8"/>
  <c r="E38" i="53"/>
  <c r="F61" i="52"/>
  <c r="H160" i="53"/>
  <c r="F126" i="52"/>
  <c r="E35" i="53"/>
  <c r="H37" i="21"/>
  <c r="E21" i="26"/>
  <c r="DD5" i="8"/>
  <c r="A21" i="26"/>
  <c r="C22" i="37"/>
  <c r="J9" i="15"/>
  <c r="J11" i="15" s="1"/>
  <c r="E103" i="53"/>
  <c r="F25" i="14"/>
  <c r="I25" i="14" s="1"/>
  <c r="E22" i="24"/>
  <c r="F20" i="24" s="1"/>
  <c r="F26" i="24" s="1"/>
  <c r="E49" i="53" s="1"/>
  <c r="BA22" i="12"/>
  <c r="AH6" i="9"/>
  <c r="H17" i="53"/>
  <c r="G69" i="53"/>
  <c r="EF79" i="8"/>
  <c r="EF107" i="8" s="1"/>
  <c r="AF52" i="6"/>
  <c r="AF54" i="6" s="1"/>
  <c r="Q150" i="41"/>
  <c r="AU54" i="6"/>
  <c r="V13" i="9"/>
  <c r="G19" i="26"/>
  <c r="DL24" i="9"/>
  <c r="B22" i="30"/>
  <c r="E68" i="53" s="1"/>
  <c r="G68" i="53" s="1"/>
  <c r="AU61" i="9"/>
  <c r="H70" i="53"/>
  <c r="H94" i="53"/>
  <c r="G94" i="53"/>
  <c r="AQ26" i="12"/>
  <c r="V9" i="9"/>
  <c r="FB51" i="9"/>
  <c r="FH91" i="8"/>
  <c r="E34" i="53"/>
  <c r="F122" i="52"/>
  <c r="G36" i="53"/>
  <c r="G17" i="53"/>
  <c r="L6" i="15"/>
  <c r="F213" i="52"/>
  <c r="H6" i="15"/>
  <c r="H6" i="44"/>
  <c r="H12" i="44" s="1"/>
  <c r="F140" i="53"/>
  <c r="H6" i="21"/>
  <c r="H15" i="21" s="1"/>
  <c r="AQ43" i="12"/>
  <c r="V6" i="9"/>
  <c r="EI63" i="9"/>
  <c r="G136" i="53"/>
  <c r="AL9" i="9"/>
  <c r="AE50" i="18"/>
  <c r="F267" i="52"/>
  <c r="G141" i="53"/>
  <c r="F121" i="52"/>
  <c r="E33" i="53"/>
  <c r="AE24" i="17"/>
  <c r="F244" i="52"/>
  <c r="G20" i="53"/>
  <c r="D31" i="50"/>
  <c r="A47" i="48"/>
  <c r="E179" i="53"/>
  <c r="B31" i="50"/>
  <c r="A31" i="50" s="1"/>
  <c r="Y30" i="19"/>
  <c r="AF61" i="9"/>
  <c r="AW40" i="18"/>
  <c r="F261" i="52"/>
  <c r="BA37" i="11"/>
  <c r="FH153" i="8"/>
  <c r="E208" i="53"/>
  <c r="E26" i="53"/>
  <c r="F179" i="52"/>
  <c r="AZ17" i="19"/>
  <c r="F288" i="52"/>
  <c r="AH17" i="19"/>
  <c r="BF19" i="9"/>
  <c r="BF11" i="9"/>
  <c r="AZ41" i="8"/>
  <c r="CB41" i="8"/>
  <c r="B208" i="53"/>
  <c r="AN90" i="9"/>
  <c r="EF108" i="8"/>
  <c r="FH108" i="8" s="1"/>
  <c r="CB28" i="8"/>
  <c r="B35" i="42"/>
  <c r="A35" i="42" s="1"/>
  <c r="B52" i="40" s="1"/>
  <c r="E123" i="53"/>
  <c r="B10" i="50"/>
  <c r="A10" i="50" s="1"/>
  <c r="C8" i="48" s="1"/>
  <c r="F159" i="53" s="1"/>
  <c r="E159" i="53"/>
  <c r="C208" i="53"/>
  <c r="F208" i="53" s="1"/>
  <c r="FH29" i="8"/>
  <c r="DD29" i="8"/>
  <c r="F80" i="52"/>
  <c r="AT6" i="9"/>
  <c r="AL27" i="6"/>
  <c r="AH20" i="19"/>
  <c r="F291" i="52"/>
  <c r="AZ20" i="19"/>
  <c r="AW28" i="16"/>
  <c r="AE28" i="16"/>
  <c r="F223" i="52"/>
  <c r="AH26" i="19"/>
  <c r="F297" i="52"/>
  <c r="AZ26" i="19"/>
  <c r="B42" i="46"/>
  <c r="A42" i="46" s="1"/>
  <c r="E149" i="53"/>
  <c r="V62" i="18"/>
  <c r="AH7" i="19"/>
  <c r="F284" i="52"/>
  <c r="M22" i="37"/>
  <c r="F103" i="53"/>
  <c r="AG48" i="11"/>
  <c r="H95" i="53"/>
  <c r="G95" i="53"/>
  <c r="FB12" i="9"/>
  <c r="Z11" i="9" s="1"/>
  <c r="FH10" i="8"/>
  <c r="F63" i="52"/>
  <c r="DD10" i="8"/>
  <c r="G46" i="46"/>
  <c r="F14" i="26"/>
  <c r="F55" i="53"/>
  <c r="HT51" i="9"/>
  <c r="AP11" i="9"/>
  <c r="AD11" i="9"/>
  <c r="Z19" i="9"/>
  <c r="AL19" i="9"/>
  <c r="A9" i="23"/>
  <c r="C22" i="23"/>
  <c r="S19" i="9"/>
  <c r="HA60" i="9"/>
  <c r="AK59" i="9" s="1"/>
  <c r="AP59" i="9" s="1"/>
  <c r="FH37" i="8"/>
  <c r="F82" i="52"/>
  <c r="Q116" i="41"/>
  <c r="F248" i="52"/>
  <c r="O112" i="49"/>
  <c r="A21" i="50"/>
  <c r="S76" i="41"/>
  <c r="F247" i="52" s="1"/>
  <c r="C13" i="42"/>
  <c r="F12" i="32"/>
  <c r="E79" i="53" s="1"/>
  <c r="AW9" i="17"/>
  <c r="AE9" i="17"/>
  <c r="F231" i="52"/>
  <c r="B18" i="10"/>
  <c r="AU59" i="9"/>
  <c r="HT59" i="9"/>
  <c r="AZ58" i="9" s="1"/>
  <c r="BE58" i="9" s="1"/>
  <c r="AD18" i="9"/>
  <c r="S11" i="9"/>
  <c r="HA24" i="9"/>
  <c r="HA51" i="9"/>
  <c r="AT4" i="9"/>
  <c r="B10" i="10"/>
  <c r="B19" i="10"/>
  <c r="B204" i="53"/>
  <c r="C64" i="21"/>
  <c r="G62" i="21"/>
  <c r="P95" i="45"/>
  <c r="F15" i="46"/>
  <c r="S92" i="45"/>
  <c r="S95" i="45" s="1"/>
  <c r="E150" i="53" s="1"/>
  <c r="J83" i="49"/>
  <c r="Q105" i="49"/>
  <c r="A26" i="48" s="1"/>
  <c r="F330" i="52"/>
  <c r="AS90" i="19"/>
  <c r="M92" i="19"/>
  <c r="AS92" i="19" s="1"/>
  <c r="B16" i="10"/>
  <c r="D6" i="44"/>
  <c r="F139" i="53"/>
  <c r="HT52" i="9"/>
  <c r="HT21" i="9"/>
  <c r="AP12" i="9"/>
  <c r="AT12" i="9" s="1"/>
  <c r="AD12" i="9"/>
  <c r="AH12" i="9" s="1"/>
  <c r="CB110" i="8"/>
  <c r="DD107" i="8"/>
  <c r="FB60" i="9"/>
  <c r="FB63" i="9" s="1"/>
  <c r="M12" i="28"/>
  <c r="F64" i="53" s="1"/>
  <c r="G32" i="53"/>
  <c r="H32" i="53"/>
  <c r="C26" i="46"/>
  <c r="C54" i="46" s="1"/>
  <c r="E134" i="53" s="1"/>
  <c r="AZ40" i="8"/>
  <c r="CB36" i="8"/>
  <c r="G21" i="26"/>
  <c r="K23" i="24"/>
  <c r="V59" i="9"/>
  <c r="V52" i="9"/>
  <c r="AA52" i="9" s="1"/>
  <c r="BA40" i="12"/>
  <c r="W43" i="12"/>
  <c r="AG40" i="12"/>
  <c r="E75" i="53"/>
  <c r="AL17" i="9"/>
  <c r="Z17" i="9"/>
  <c r="AT25" i="6"/>
  <c r="AT27" i="6" s="1"/>
  <c r="E209" i="53"/>
  <c r="G19" i="38"/>
  <c r="G20" i="38" s="1"/>
  <c r="F93" i="53" s="1"/>
  <c r="K27" i="36"/>
  <c r="G5" i="10"/>
  <c r="D6" i="21"/>
  <c r="F12" i="53"/>
  <c r="AG37" i="13"/>
  <c r="O126" i="41"/>
  <c r="E190" i="53" s="1"/>
  <c r="HT49" i="9"/>
  <c r="AP9" i="9"/>
  <c r="AD9" i="9"/>
  <c r="AH9" i="9" s="1"/>
  <c r="D204" i="53"/>
  <c r="F204" i="53"/>
  <c r="BA33" i="12"/>
  <c r="F201" i="52"/>
  <c r="A14" i="46"/>
  <c r="AN33" i="18"/>
  <c r="BQ20" i="18"/>
  <c r="BH23" i="18"/>
  <c r="BQ23" i="18" s="1"/>
  <c r="B12" i="42"/>
  <c r="E115" i="53"/>
  <c r="FH38" i="8"/>
  <c r="F83" i="52"/>
  <c r="M77" i="49"/>
  <c r="E178" i="53" s="1"/>
  <c r="S76" i="49"/>
  <c r="C12" i="50"/>
  <c r="F14" i="50"/>
  <c r="E161" i="53"/>
  <c r="BA31" i="13"/>
  <c r="AG31" i="13"/>
  <c r="W43" i="13"/>
  <c r="E87" i="53"/>
  <c r="D14" i="44"/>
  <c r="F150" i="53"/>
  <c r="G36" i="48"/>
  <c r="H35" i="48" s="1"/>
  <c r="Y6" i="19"/>
  <c r="FH144" i="8"/>
  <c r="FH156" i="8" s="1"/>
  <c r="C204" i="53"/>
  <c r="D23" i="32"/>
  <c r="E22" i="32" s="1"/>
  <c r="F20" i="32" s="1"/>
  <c r="F25" i="32" s="1"/>
  <c r="A18" i="34"/>
  <c r="P108" i="22"/>
  <c r="AN95" i="9"/>
  <c r="E109" i="22"/>
  <c r="AW32" i="18"/>
  <c r="AE32" i="18"/>
  <c r="F259" i="52"/>
  <c r="F74" i="53"/>
  <c r="E65" i="53"/>
  <c r="C7" i="48"/>
  <c r="F14" i="10"/>
  <c r="DD79" i="8"/>
  <c r="FH79" i="8"/>
  <c r="FH107" i="8" s="1"/>
  <c r="BE87" i="19"/>
  <c r="F327" i="52"/>
  <c r="B9" i="10"/>
  <c r="M34" i="12"/>
  <c r="AG34" i="12" s="1"/>
  <c r="F19" i="21"/>
  <c r="C111" i="9"/>
  <c r="E21" i="53"/>
  <c r="F42" i="53"/>
  <c r="F180" i="52"/>
  <c r="K23" i="28"/>
  <c r="L22" i="28" s="1"/>
  <c r="M20" i="28" s="1"/>
  <c r="M26" i="28" s="1"/>
  <c r="G21" i="30"/>
  <c r="AW20" i="18"/>
  <c r="AG41" i="11"/>
  <c r="E57" i="53"/>
  <c r="B17" i="10"/>
  <c r="FH19" i="8"/>
  <c r="B8" i="10"/>
  <c r="F15" i="50"/>
  <c r="G15" i="50" s="1"/>
  <c r="G8" i="48" s="1"/>
  <c r="F162" i="53" s="1"/>
  <c r="E162" i="53"/>
  <c r="BA26" i="12"/>
  <c r="AG26" i="12"/>
  <c r="E73" i="53"/>
  <c r="G44" i="42"/>
  <c r="B15" i="10"/>
  <c r="H31" i="53"/>
  <c r="G31" i="53"/>
  <c r="E8" i="24"/>
  <c r="E228" i="53"/>
  <c r="D228" i="53"/>
  <c r="C228" i="53"/>
  <c r="B228" i="53"/>
  <c r="E53" i="53"/>
  <c r="H6" i="40"/>
  <c r="H12" i="40" s="1"/>
  <c r="F116" i="53"/>
  <c r="V19" i="9"/>
  <c r="P11" i="9"/>
  <c r="EI24" i="9"/>
  <c r="GD24" i="9"/>
  <c r="GD63" i="9" s="1"/>
  <c r="GD51" i="9"/>
  <c r="G179" i="53"/>
  <c r="H179" i="53"/>
  <c r="E21" i="30"/>
  <c r="E22" i="30" s="1"/>
  <c r="F67" i="53" s="1"/>
  <c r="B39" i="40"/>
  <c r="V6" i="17" s="1"/>
  <c r="F190" i="53"/>
  <c r="Q98" i="49"/>
  <c r="F332" i="52"/>
  <c r="AQ41" i="11"/>
  <c r="BA41" i="11" s="1"/>
  <c r="AQ55" i="11"/>
  <c r="BA32" i="11"/>
  <c r="G23" i="46"/>
  <c r="E26" i="46"/>
  <c r="E54" i="46" s="1"/>
  <c r="F134" i="53" s="1"/>
  <c r="A12" i="34"/>
  <c r="C15" i="34"/>
  <c r="C19" i="34" s="1"/>
  <c r="E82" i="53" s="1"/>
  <c r="AU6" i="16"/>
  <c r="V33" i="18"/>
  <c r="E22" i="23"/>
  <c r="E64" i="23" s="1"/>
  <c r="F10" i="53" s="1"/>
  <c r="G18" i="23"/>
  <c r="BF13" i="9"/>
  <c r="AW47" i="18"/>
  <c r="AE47" i="18"/>
  <c r="F264" i="52"/>
  <c r="FH39" i="8"/>
  <c r="F84" i="52"/>
  <c r="AH14" i="9"/>
  <c r="B7" i="10"/>
  <c r="G16" i="30"/>
  <c r="H149" i="53"/>
  <c r="G149" i="53"/>
  <c r="V5" i="17"/>
  <c r="F15" i="34"/>
  <c r="F19" i="34" s="1"/>
  <c r="F83" i="53" s="1"/>
  <c r="H83" i="53" s="1"/>
  <c r="G14" i="34"/>
  <c r="G15" i="34" s="1"/>
  <c r="G19" i="34" s="1"/>
  <c r="F81" i="53" s="1"/>
  <c r="AZ18" i="19"/>
  <c r="AH18" i="19"/>
  <c r="F289" i="52"/>
  <c r="T123" i="41"/>
  <c r="T126" i="41" s="1"/>
  <c r="F87" i="53"/>
  <c r="F80" i="53"/>
  <c r="AP17" i="9"/>
  <c r="AD17" i="9"/>
  <c r="HT58" i="9"/>
  <c r="AZ57" i="9" s="1"/>
  <c r="BE57" i="9" s="1"/>
  <c r="AA59" i="9"/>
  <c r="C38" i="44"/>
  <c r="D37" i="44" s="1"/>
  <c r="AT14" i="9"/>
  <c r="V61" i="9"/>
  <c r="AA61" i="9" s="1"/>
  <c r="V51" i="9"/>
  <c r="AA51" i="9" s="1"/>
  <c r="V44" i="9"/>
  <c r="AA44" i="9" s="1"/>
  <c r="E17" i="50"/>
  <c r="F104" i="53"/>
  <c r="F328" i="52"/>
  <c r="F176" i="53"/>
  <c r="E165" i="53"/>
  <c r="AT41" i="19"/>
  <c r="BB41" i="19" s="1"/>
  <c r="F27" i="53"/>
  <c r="BA32" i="12"/>
  <c r="F200" i="52"/>
  <c r="AO84" i="19"/>
  <c r="AO92" i="19" s="1"/>
  <c r="GD61" i="9"/>
  <c r="V60" i="9" s="1"/>
  <c r="AA60" i="9" s="1"/>
  <c r="GD23" i="9"/>
  <c r="GD62" i="9" s="1"/>
  <c r="BB21" i="9"/>
  <c r="BF21" i="9" s="1"/>
  <c r="E20" i="42"/>
  <c r="E48" i="42" s="1"/>
  <c r="F111" i="53" s="1"/>
  <c r="AG47" i="11"/>
  <c r="W49" i="11"/>
  <c r="AG49" i="11" s="1"/>
  <c r="J12" i="15"/>
  <c r="K8" i="15" s="1"/>
  <c r="L8" i="15"/>
  <c r="BA41" i="12"/>
  <c r="AG41" i="12"/>
  <c r="E76" i="53"/>
  <c r="Q92" i="19"/>
  <c r="Y90" i="19" s="1"/>
  <c r="BE90" i="19" s="1"/>
  <c r="BA56" i="11"/>
  <c r="W58" i="11"/>
  <c r="AG56" i="11"/>
  <c r="E60" i="53"/>
  <c r="E16" i="26"/>
  <c r="E22" i="26" s="1"/>
  <c r="F51" i="53" s="1"/>
  <c r="G15" i="26"/>
  <c r="C63" i="23"/>
  <c r="C64" i="23" s="1"/>
  <c r="E10" i="53" s="1"/>
  <c r="A23" i="23"/>
  <c r="AE39" i="18"/>
  <c r="V41" i="18"/>
  <c r="AE41" i="18" s="1"/>
  <c r="AD21" i="9"/>
  <c r="AH21" i="9" s="1"/>
  <c r="HT61" i="9"/>
  <c r="AZ60" i="9" s="1"/>
  <c r="BE60" i="9" s="1"/>
  <c r="H187" i="53"/>
  <c r="G187" i="53"/>
  <c r="A45" i="46" l="1"/>
  <c r="AT9" i="9"/>
  <c r="AH11" i="9"/>
  <c r="G159" i="53"/>
  <c r="H38" i="53"/>
  <c r="G38" i="53"/>
  <c r="C209" i="53"/>
  <c r="D209" i="53"/>
  <c r="FB24" i="9"/>
  <c r="F58" i="53"/>
  <c r="H68" i="53"/>
  <c r="H35" i="53"/>
  <c r="G35" i="53"/>
  <c r="AZ61" i="9"/>
  <c r="BE61" i="9" s="1"/>
  <c r="P22" i="9"/>
  <c r="V11" i="9"/>
  <c r="DD41" i="8"/>
  <c r="F228" i="53"/>
  <c r="C241" i="53"/>
  <c r="E241" i="53"/>
  <c r="AL11" i="9"/>
  <c r="F39" i="44"/>
  <c r="G38" i="44" s="1"/>
  <c r="H37" i="44" s="1"/>
  <c r="C60" i="44" s="1"/>
  <c r="AH30" i="19"/>
  <c r="F301" i="52"/>
  <c r="AZ30" i="19"/>
  <c r="G34" i="53"/>
  <c r="H34" i="53"/>
  <c r="H140" i="53"/>
  <c r="G140" i="53"/>
  <c r="H33" i="53"/>
  <c r="G33" i="53"/>
  <c r="H103" i="53"/>
  <c r="G103" i="53"/>
  <c r="H55" i="53"/>
  <c r="G55" i="53"/>
  <c r="E13" i="36"/>
  <c r="F98" i="53" s="1"/>
  <c r="F9" i="15"/>
  <c r="E98" i="53"/>
  <c r="E104" i="53"/>
  <c r="H104" i="53" s="1"/>
  <c r="F16" i="26"/>
  <c r="F22" i="26" s="1"/>
  <c r="F52" i="53" s="1"/>
  <c r="G14" i="26"/>
  <c r="G16" i="26" s="1"/>
  <c r="G22" i="26" s="1"/>
  <c r="F50" i="53" s="1"/>
  <c r="V23" i="17"/>
  <c r="F123" i="53"/>
  <c r="G123" i="53" s="1"/>
  <c r="F6" i="10"/>
  <c r="DD28" i="8"/>
  <c r="DD30" i="8" s="1"/>
  <c r="F79" i="52"/>
  <c r="FH28" i="8"/>
  <c r="FH30" i="8" s="1"/>
  <c r="CB30" i="8"/>
  <c r="H26" i="53"/>
  <c r="G26" i="53"/>
  <c r="AE62" i="18"/>
  <c r="AW62" i="18"/>
  <c r="F279" i="52"/>
  <c r="V65" i="18"/>
  <c r="B209" i="53"/>
  <c r="F209" i="53" s="1"/>
  <c r="AN93" i="9"/>
  <c r="AN96" i="9" s="1"/>
  <c r="AN92" i="9"/>
  <c r="D241" i="53"/>
  <c r="AT11" i="9"/>
  <c r="BA48" i="11"/>
  <c r="F192" i="52"/>
  <c r="H159" i="53"/>
  <c r="EF110" i="8"/>
  <c r="EF111" i="8" s="1"/>
  <c r="BA34" i="12"/>
  <c r="F202" i="52"/>
  <c r="BA47" i="11"/>
  <c r="F191" i="52"/>
  <c r="G22" i="30"/>
  <c r="B233" i="53" s="1"/>
  <c r="G116" i="53"/>
  <c r="H116" i="53"/>
  <c r="A15" i="46"/>
  <c r="HA63" i="9"/>
  <c r="S22" i="9"/>
  <c r="B235" i="53"/>
  <c r="A28" i="40"/>
  <c r="E122" i="53"/>
  <c r="H60" i="53"/>
  <c r="G60" i="53"/>
  <c r="E80" i="53"/>
  <c r="F88" i="53"/>
  <c r="S77" i="49"/>
  <c r="F329" i="52"/>
  <c r="AG58" i="11"/>
  <c r="E58" i="53"/>
  <c r="BA49" i="11"/>
  <c r="F193" i="52"/>
  <c r="C12" i="47"/>
  <c r="F12" i="49" s="1"/>
  <c r="BN87" i="19"/>
  <c r="BN80" i="19"/>
  <c r="BN83" i="19"/>
  <c r="BN82" i="19"/>
  <c r="BN88" i="19"/>
  <c r="Y91" i="19"/>
  <c r="BE91" i="19" s="1"/>
  <c r="Y78" i="19"/>
  <c r="Y81" i="19"/>
  <c r="E174" i="53"/>
  <c r="AW92" i="19"/>
  <c r="Y88" i="19"/>
  <c r="BE88" i="19" s="1"/>
  <c r="BN81" i="19"/>
  <c r="Y89" i="19"/>
  <c r="BE89" i="19" s="1"/>
  <c r="BN90" i="19"/>
  <c r="BN89" i="19"/>
  <c r="Y83" i="19"/>
  <c r="BE83" i="19" s="1"/>
  <c r="Y85" i="19"/>
  <c r="BE85" i="19" s="1"/>
  <c r="Y80" i="19"/>
  <c r="BE80" i="19" s="1"/>
  <c r="BN79" i="19"/>
  <c r="Y79" i="19"/>
  <c r="BE79" i="19" s="1"/>
  <c r="Y86" i="19"/>
  <c r="BE86" i="19" s="1"/>
  <c r="BN86" i="19"/>
  <c r="Y82" i="19"/>
  <c r="BE82" i="19" s="1"/>
  <c r="BN84" i="19"/>
  <c r="K50" i="44"/>
  <c r="F145" i="53"/>
  <c r="H82" i="53"/>
  <c r="G82" i="53"/>
  <c r="H42" i="53"/>
  <c r="G42" i="53"/>
  <c r="B241" i="53"/>
  <c r="L22" i="24"/>
  <c r="M20" i="24" s="1"/>
  <c r="M26" i="24" s="1"/>
  <c r="F61" i="53"/>
  <c r="C235" i="53"/>
  <c r="G83" i="53"/>
  <c r="D235" i="53"/>
  <c r="B45" i="46"/>
  <c r="B53" i="46" s="1"/>
  <c r="A53" i="46"/>
  <c r="H190" i="53"/>
  <c r="G190" i="53"/>
  <c r="AH17" i="9"/>
  <c r="CB40" i="8"/>
  <c r="DD40" i="8" s="1"/>
  <c r="DD36" i="8"/>
  <c r="B231" i="53"/>
  <c r="C114" i="9"/>
  <c r="I101" i="22"/>
  <c r="B43" i="23"/>
  <c r="A43" i="23" s="1"/>
  <c r="K113" i="22"/>
  <c r="K119" i="22" s="1"/>
  <c r="E235" i="53"/>
  <c r="AT17" i="9"/>
  <c r="C231" i="53"/>
  <c r="F231" i="53" s="1"/>
  <c r="AW39" i="18"/>
  <c r="F260" i="52"/>
  <c r="C37" i="40"/>
  <c r="D36" i="40" s="1"/>
  <c r="B39" i="21"/>
  <c r="G17" i="50"/>
  <c r="G13" i="48" s="1"/>
  <c r="E20" i="50"/>
  <c r="E39" i="50" s="1"/>
  <c r="F156" i="53" s="1"/>
  <c r="G14" i="10"/>
  <c r="F22" i="10"/>
  <c r="G22" i="10" s="1"/>
  <c r="AZ6" i="19"/>
  <c r="Y9" i="19"/>
  <c r="AH6" i="19"/>
  <c r="F283" i="52"/>
  <c r="G75" i="53"/>
  <c r="H75" i="53"/>
  <c r="D231" i="53"/>
  <c r="HT60" i="9"/>
  <c r="AP19" i="9"/>
  <c r="AD19" i="9"/>
  <c r="AH19" i="9" s="1"/>
  <c r="J84" i="49"/>
  <c r="N83" i="49"/>
  <c r="L83" i="49"/>
  <c r="L84" i="49" s="1"/>
  <c r="H79" i="53"/>
  <c r="G79" i="53"/>
  <c r="D25" i="21"/>
  <c r="E7" i="53" s="1"/>
  <c r="AW6" i="17"/>
  <c r="AE6" i="17"/>
  <c r="F228" i="52"/>
  <c r="G47" i="40"/>
  <c r="F62" i="23"/>
  <c r="G62" i="23" s="1"/>
  <c r="E113" i="22"/>
  <c r="H10" i="53"/>
  <c r="G10" i="53"/>
  <c r="AE33" i="18"/>
  <c r="AW33" i="18"/>
  <c r="E144" i="53"/>
  <c r="Z22" i="9"/>
  <c r="AL22" i="9"/>
  <c r="H162" i="53"/>
  <c r="G162" i="53"/>
  <c r="C82" i="47"/>
  <c r="D6" i="48"/>
  <c r="F158" i="53"/>
  <c r="F170" i="53"/>
  <c r="BA37" i="13"/>
  <c r="F209" i="52"/>
  <c r="L26" i="36"/>
  <c r="M24" i="36" s="1"/>
  <c r="M30" i="36" s="1"/>
  <c r="G8" i="14"/>
  <c r="E231" i="53"/>
  <c r="AZ59" i="9"/>
  <c r="BE59" i="9" s="1"/>
  <c r="AZ52" i="9"/>
  <c r="BE52" i="9" s="1"/>
  <c r="C20" i="42"/>
  <c r="C48" i="42" s="1"/>
  <c r="E111" i="53" s="1"/>
  <c r="A13" i="42"/>
  <c r="B14" i="40" s="1"/>
  <c r="HT24" i="9"/>
  <c r="H176" i="53"/>
  <c r="G176" i="53"/>
  <c r="F144" i="53"/>
  <c r="H76" i="53"/>
  <c r="G76" i="53"/>
  <c r="AE5" i="17"/>
  <c r="V26" i="17"/>
  <c r="AW5" i="17"/>
  <c r="F227" i="52"/>
  <c r="AQ58" i="11"/>
  <c r="BA58" i="11" s="1"/>
  <c r="E214" i="53" s="1"/>
  <c r="BA55" i="11"/>
  <c r="H93" i="53"/>
  <c r="G93" i="53"/>
  <c r="BA43" i="12"/>
  <c r="AG43" i="12"/>
  <c r="E74" i="53"/>
  <c r="H64" i="53"/>
  <c r="G64" i="53"/>
  <c r="G139" i="53"/>
  <c r="H139" i="53"/>
  <c r="A15" i="34"/>
  <c r="A19" i="34" s="1"/>
  <c r="E81" i="53" s="1"/>
  <c r="E237" i="53"/>
  <c r="G14" i="50"/>
  <c r="AZ49" i="9"/>
  <c r="BE49" i="9" s="1"/>
  <c r="AZ51" i="9"/>
  <c r="BE51" i="9" s="1"/>
  <c r="DD110" i="8"/>
  <c r="FH110" i="8"/>
  <c r="E28" i="53"/>
  <c r="AW41" i="18"/>
  <c r="F262" i="52"/>
  <c r="C28" i="37"/>
  <c r="K12" i="15"/>
  <c r="K9" i="15"/>
  <c r="K10" i="15"/>
  <c r="K6" i="15"/>
  <c r="K7" i="15"/>
  <c r="K11" i="15"/>
  <c r="F6" i="24"/>
  <c r="C12" i="26"/>
  <c r="F53" i="53"/>
  <c r="H53" i="53" s="1"/>
  <c r="A12" i="50"/>
  <c r="H12" i="53"/>
  <c r="G12" i="53"/>
  <c r="G134" i="53"/>
  <c r="H134" i="53"/>
  <c r="D27" i="44"/>
  <c r="E131" i="53" s="1"/>
  <c r="B37" i="48"/>
  <c r="F192" i="53"/>
  <c r="O115" i="49"/>
  <c r="T112" i="49"/>
  <c r="A22" i="23"/>
  <c r="X91" i="9"/>
  <c r="F21" i="53"/>
  <c r="G21" i="53" s="1"/>
  <c r="H87" i="53"/>
  <c r="G87" i="53"/>
  <c r="G67" i="53"/>
  <c r="H67" i="53"/>
  <c r="F65" i="53"/>
  <c r="G65" i="53" s="1"/>
  <c r="F73" i="53"/>
  <c r="G73" i="53" s="1"/>
  <c r="BA43" i="13"/>
  <c r="W45" i="13"/>
  <c r="AG43" i="13"/>
  <c r="G178" i="53"/>
  <c r="H178" i="53"/>
  <c r="A12" i="42"/>
  <c r="B5" i="10"/>
  <c r="H150" i="53"/>
  <c r="G150" i="53"/>
  <c r="AK51" i="9"/>
  <c r="AP51" i="9" s="1"/>
  <c r="AK61" i="9"/>
  <c r="AP61" i="9" s="1"/>
  <c r="AT19" i="9"/>
  <c r="G50" i="44" l="1"/>
  <c r="V22" i="9"/>
  <c r="C233" i="53"/>
  <c r="F241" i="53"/>
  <c r="G104" i="53"/>
  <c r="D215" i="53"/>
  <c r="AN100" i="9"/>
  <c r="AN98" i="9"/>
  <c r="AN99" i="9"/>
  <c r="C214" i="53"/>
  <c r="FH41" i="8"/>
  <c r="F86" i="52"/>
  <c r="G98" i="53"/>
  <c r="F235" i="53"/>
  <c r="H21" i="53"/>
  <c r="G53" i="53"/>
  <c r="CB111" i="8"/>
  <c r="E29" i="53" s="1"/>
  <c r="E27" i="53"/>
  <c r="L9" i="15"/>
  <c r="H9" i="15"/>
  <c r="F11" i="15"/>
  <c r="H98" i="53"/>
  <c r="G6" i="10"/>
  <c r="F11" i="10"/>
  <c r="H123" i="53"/>
  <c r="AW65" i="18"/>
  <c r="AE65" i="18"/>
  <c r="F146" i="53"/>
  <c r="E145" i="53"/>
  <c r="F243" i="52"/>
  <c r="AW23" i="17"/>
  <c r="AE23" i="17"/>
  <c r="G52" i="53"/>
  <c r="H52" i="53"/>
  <c r="FH36" i="8"/>
  <c r="F81" i="52"/>
  <c r="F13" i="49"/>
  <c r="R12" i="49"/>
  <c r="R13" i="49" s="1"/>
  <c r="C36" i="48"/>
  <c r="D35" i="48" s="1"/>
  <c r="Y15" i="19"/>
  <c r="G81" i="53"/>
  <c r="H81" i="53"/>
  <c r="AH9" i="19"/>
  <c r="AZ9" i="19"/>
  <c r="E170" i="53"/>
  <c r="H12" i="48"/>
  <c r="F165" i="53"/>
  <c r="FH40" i="8"/>
  <c r="F85" i="52"/>
  <c r="H122" i="53"/>
  <c r="G122" i="53"/>
  <c r="HT63" i="9"/>
  <c r="AD22" i="9"/>
  <c r="AH22" i="9" s="1"/>
  <c r="AP22" i="9"/>
  <c r="AT22" i="9" s="1"/>
  <c r="H21" i="10"/>
  <c r="H20" i="10"/>
  <c r="H18" i="10"/>
  <c r="H17" i="10"/>
  <c r="H16" i="10"/>
  <c r="H19" i="10"/>
  <c r="H15" i="10"/>
  <c r="G58" i="53"/>
  <c r="H58" i="53"/>
  <c r="F66" i="53"/>
  <c r="D233" i="53"/>
  <c r="C13" i="40"/>
  <c r="D12" i="40" s="1"/>
  <c r="F120" i="53"/>
  <c r="B14" i="10"/>
  <c r="B22" i="10" s="1"/>
  <c r="H14" i="10"/>
  <c r="C38" i="21"/>
  <c r="F30" i="53"/>
  <c r="Y84" i="19"/>
  <c r="BE84" i="19" s="1"/>
  <c r="BE81" i="19"/>
  <c r="F12" i="24"/>
  <c r="E48" i="53" s="1"/>
  <c r="H74" i="53"/>
  <c r="G74" i="53"/>
  <c r="V30" i="16"/>
  <c r="H46" i="40"/>
  <c r="G54" i="40" s="1"/>
  <c r="E126" i="53"/>
  <c r="E215" i="53"/>
  <c r="F215" i="53" s="1"/>
  <c r="C215" i="53"/>
  <c r="B215" i="53"/>
  <c r="AW26" i="17"/>
  <c r="AE26" i="17"/>
  <c r="E125" i="53"/>
  <c r="H111" i="53"/>
  <c r="G111" i="53"/>
  <c r="G144" i="53"/>
  <c r="H144" i="53"/>
  <c r="D211" i="53"/>
  <c r="G61" i="53"/>
  <c r="H61" i="53"/>
  <c r="BE78" i="19"/>
  <c r="B214" i="53"/>
  <c r="F214" i="53" s="1"/>
  <c r="C9" i="40"/>
  <c r="A20" i="42"/>
  <c r="F125" i="53"/>
  <c r="F92" i="53"/>
  <c r="F100" i="53"/>
  <c r="E119" i="22"/>
  <c r="E25" i="53"/>
  <c r="D59" i="44"/>
  <c r="D62" i="44" s="1"/>
  <c r="E132" i="53" s="1"/>
  <c r="P163" i="45"/>
  <c r="Q167" i="45" s="1"/>
  <c r="I147" i="45"/>
  <c r="E166" i="53"/>
  <c r="X94" i="9"/>
  <c r="X92" i="9"/>
  <c r="Z120" i="9"/>
  <c r="H65" i="53"/>
  <c r="B237" i="53"/>
  <c r="H73" i="53"/>
  <c r="H49" i="44"/>
  <c r="H62" i="44" s="1"/>
  <c r="F132" i="53" s="1"/>
  <c r="F52" i="46"/>
  <c r="A102" i="18"/>
  <c r="M147" i="45"/>
  <c r="M148" i="45" s="1"/>
  <c r="A101" i="18"/>
  <c r="E216" i="53"/>
  <c r="E233" i="53"/>
  <c r="C237" i="53"/>
  <c r="G158" i="53"/>
  <c r="H158" i="53"/>
  <c r="Q101" i="22"/>
  <c r="E44" i="53"/>
  <c r="H80" i="53"/>
  <c r="G80" i="53"/>
  <c r="D214" i="53"/>
  <c r="J8" i="14"/>
  <c r="H8" i="14"/>
  <c r="G10" i="14"/>
  <c r="F210" i="52"/>
  <c r="B14" i="48"/>
  <c r="F49" i="53"/>
  <c r="F57" i="53"/>
  <c r="A26" i="46"/>
  <c r="A54" i="46" s="1"/>
  <c r="E133" i="53" s="1"/>
  <c r="E192" i="53"/>
  <c r="T115" i="49"/>
  <c r="G7" i="48"/>
  <c r="BA45" i="13"/>
  <c r="AG45" i="13"/>
  <c r="D216" i="53" s="1"/>
  <c r="E88" i="53"/>
  <c r="C16" i="26"/>
  <c r="C22" i="26" s="1"/>
  <c r="E51" i="53" s="1"/>
  <c r="A12" i="26"/>
  <c r="M28" i="37"/>
  <c r="C29" i="37"/>
  <c r="E105" i="53"/>
  <c r="D237" i="53"/>
  <c r="F233" i="53" l="1"/>
  <c r="B6" i="10"/>
  <c r="B11" i="10" s="1"/>
  <c r="E193" i="53" s="1"/>
  <c r="G11" i="10"/>
  <c r="C20" i="10"/>
  <c r="H11" i="15"/>
  <c r="F12" i="15"/>
  <c r="L11" i="15"/>
  <c r="H145" i="53"/>
  <c r="G145" i="53"/>
  <c r="G146" i="53"/>
  <c r="H146" i="53"/>
  <c r="G27" i="53"/>
  <c r="H27" i="53"/>
  <c r="H126" i="53"/>
  <c r="G126" i="53"/>
  <c r="B227" i="53"/>
  <c r="B211" i="53"/>
  <c r="E211" i="53"/>
  <c r="C211" i="53"/>
  <c r="F211" i="53" s="1"/>
  <c r="C85" i="47"/>
  <c r="H6" i="48"/>
  <c r="F161" i="53"/>
  <c r="F237" i="53"/>
  <c r="F124" i="53"/>
  <c r="C57" i="40"/>
  <c r="A29" i="17" s="1"/>
  <c r="C227" i="53"/>
  <c r="C21" i="10"/>
  <c r="B216" i="53"/>
  <c r="F216" i="53" s="1"/>
  <c r="G47" i="48"/>
  <c r="F171" i="53"/>
  <c r="C54" i="48"/>
  <c r="H51" i="53"/>
  <c r="G51" i="53"/>
  <c r="F115" i="53"/>
  <c r="D6" i="40"/>
  <c r="J10" i="14"/>
  <c r="H10" i="14"/>
  <c r="E100" i="53"/>
  <c r="G92" i="53"/>
  <c r="H92" i="53"/>
  <c r="AW30" i="16"/>
  <c r="AE30" i="16"/>
  <c r="F225" i="52"/>
  <c r="V32" i="16"/>
  <c r="H48" i="53"/>
  <c r="G48" i="53"/>
  <c r="G66" i="53"/>
  <c r="H66" i="53"/>
  <c r="C24" i="1" s="1"/>
  <c r="E24" i="1" s="1"/>
  <c r="H88" i="53"/>
  <c r="C25" i="1" s="1"/>
  <c r="E25" i="1" s="1"/>
  <c r="G88" i="53"/>
  <c r="H192" i="53"/>
  <c r="G192" i="53"/>
  <c r="C216" i="53"/>
  <c r="G170" i="53"/>
  <c r="H170" i="53"/>
  <c r="H30" i="53"/>
  <c r="G30" i="53"/>
  <c r="D37" i="21"/>
  <c r="L63" i="21"/>
  <c r="L67" i="21" s="1"/>
  <c r="H125" i="53"/>
  <c r="G125" i="53"/>
  <c r="C13" i="48"/>
  <c r="F166" i="53"/>
  <c r="G166" i="53" s="1"/>
  <c r="C84" i="47"/>
  <c r="C14" i="10"/>
  <c r="H22" i="10"/>
  <c r="D134" i="41"/>
  <c r="F46" i="42"/>
  <c r="H53" i="40"/>
  <c r="H59" i="40" s="1"/>
  <c r="F109" i="53" s="1"/>
  <c r="M91" i="41"/>
  <c r="M92" i="41" s="1"/>
  <c r="A30" i="17"/>
  <c r="C15" i="10"/>
  <c r="F21" i="21"/>
  <c r="C116" i="9"/>
  <c r="F25" i="53"/>
  <c r="H25" i="53" s="1"/>
  <c r="F44" i="53"/>
  <c r="H44" i="53" s="1"/>
  <c r="F182" i="52"/>
  <c r="E23" i="53"/>
  <c r="G52" i="46"/>
  <c r="G53" i="46" s="1"/>
  <c r="F53" i="46"/>
  <c r="Y92" i="19"/>
  <c r="BE92" i="19" s="1"/>
  <c r="C16" i="10"/>
  <c r="C13" i="50"/>
  <c r="F175" i="53"/>
  <c r="F173" i="53"/>
  <c r="E167" i="53"/>
  <c r="C86" i="47"/>
  <c r="I148" i="45"/>
  <c r="E148" i="53"/>
  <c r="Q147" i="45"/>
  <c r="C19" i="10"/>
  <c r="M29" i="37"/>
  <c r="F105" i="53"/>
  <c r="H105" i="53" s="1"/>
  <c r="G132" i="53"/>
  <c r="H132" i="53"/>
  <c r="D227" i="53"/>
  <c r="G120" i="53"/>
  <c r="H120" i="53"/>
  <c r="C17" i="10"/>
  <c r="M40" i="19"/>
  <c r="M42" i="19" s="1"/>
  <c r="F174" i="53"/>
  <c r="E175" i="53"/>
  <c r="G49" i="53"/>
  <c r="H49" i="53"/>
  <c r="H165" i="53"/>
  <c r="G165" i="53"/>
  <c r="AZ15" i="19"/>
  <c r="AH15" i="19"/>
  <c r="Y32" i="19"/>
  <c r="F286" i="52"/>
  <c r="A16" i="26"/>
  <c r="A22" i="26" s="1"/>
  <c r="E50" i="53" s="1"/>
  <c r="B229" i="53"/>
  <c r="E229" i="53"/>
  <c r="H57" i="53"/>
  <c r="G57" i="53"/>
  <c r="E227" i="53"/>
  <c r="C18" i="10"/>
  <c r="D217" i="53" l="1"/>
  <c r="F229" i="53"/>
  <c r="G105" i="53"/>
  <c r="H12" i="15"/>
  <c r="G7" i="15"/>
  <c r="G12" i="15"/>
  <c r="G8" i="15"/>
  <c r="G10" i="15"/>
  <c r="G9" i="15"/>
  <c r="L12" i="15"/>
  <c r="G11" i="15"/>
  <c r="G6" i="15"/>
  <c r="E102" i="53"/>
  <c r="F227" i="53"/>
  <c r="C229" i="53"/>
  <c r="D229" i="53"/>
  <c r="H5" i="10"/>
  <c r="H9" i="10"/>
  <c r="F193" i="53"/>
  <c r="H6" i="10"/>
  <c r="H10" i="10"/>
  <c r="H7" i="10"/>
  <c r="H8" i="10"/>
  <c r="D219" i="53"/>
  <c r="G115" i="53"/>
  <c r="H115" i="53"/>
  <c r="D56" i="40"/>
  <c r="D59" i="40" s="1"/>
  <c r="E109" i="53" s="1"/>
  <c r="B38" i="42"/>
  <c r="I91" i="41"/>
  <c r="P134" i="41"/>
  <c r="Q139" i="41" s="1"/>
  <c r="G100" i="53"/>
  <c r="H100" i="53"/>
  <c r="G61" i="21"/>
  <c r="C63" i="21"/>
  <c r="C22" i="10"/>
  <c r="E41" i="53" s="1"/>
  <c r="A13" i="50"/>
  <c r="C20" i="50"/>
  <c r="C39" i="50" s="1"/>
  <c r="F28" i="53"/>
  <c r="B217" i="53"/>
  <c r="X97" i="9"/>
  <c r="Z122" i="9" s="1"/>
  <c r="F23" i="53"/>
  <c r="H23" i="53" s="1"/>
  <c r="D25" i="40"/>
  <c r="E108" i="53" s="1"/>
  <c r="A103" i="18"/>
  <c r="F19" i="44"/>
  <c r="G17" i="44" s="1"/>
  <c r="H14" i="44" s="1"/>
  <c r="F148" i="53"/>
  <c r="H148" i="53" s="1"/>
  <c r="F282" i="52"/>
  <c r="Q148" i="45"/>
  <c r="G50" i="53"/>
  <c r="H50" i="53"/>
  <c r="C23" i="1" s="1"/>
  <c r="E23" i="1" s="1"/>
  <c r="H175" i="53"/>
  <c r="G175" i="53"/>
  <c r="AW32" i="16"/>
  <c r="AE32" i="16"/>
  <c r="E124" i="53"/>
  <c r="H174" i="53"/>
  <c r="G174" i="53"/>
  <c r="G44" i="53"/>
  <c r="H166" i="53"/>
  <c r="D122" i="49"/>
  <c r="F18" i="50"/>
  <c r="D53" i="48"/>
  <c r="D58" i="48" s="1"/>
  <c r="C42" i="47"/>
  <c r="I90" i="49" s="1"/>
  <c r="B33" i="50"/>
  <c r="P122" i="49"/>
  <c r="A95" i="19"/>
  <c r="A94" i="19"/>
  <c r="G161" i="53"/>
  <c r="H161" i="53"/>
  <c r="C217" i="53"/>
  <c r="F25" i="46"/>
  <c r="B25" i="46"/>
  <c r="L8" i="36"/>
  <c r="E99" i="53"/>
  <c r="C240" i="53"/>
  <c r="D240" i="53"/>
  <c r="B240" i="53"/>
  <c r="F240" i="53"/>
  <c r="E240" i="53"/>
  <c r="G25" i="53"/>
  <c r="H16" i="48"/>
  <c r="G173" i="53"/>
  <c r="H173" i="53"/>
  <c r="G46" i="42"/>
  <c r="G47" i="42" s="1"/>
  <c r="F47" i="42"/>
  <c r="AZ32" i="19"/>
  <c r="AH32" i="19"/>
  <c r="E171" i="53"/>
  <c r="H46" i="48"/>
  <c r="H58" i="48" s="1"/>
  <c r="F154" i="53" s="1"/>
  <c r="F37" i="50"/>
  <c r="M90" i="49"/>
  <c r="M91" i="49" s="1"/>
  <c r="E217" i="53"/>
  <c r="F217" i="53" s="1"/>
  <c r="C6" i="10" l="1"/>
  <c r="H102" i="53"/>
  <c r="G102" i="53"/>
  <c r="M6" i="15"/>
  <c r="I6" i="15"/>
  <c r="C8" i="10"/>
  <c r="M11" i="15"/>
  <c r="I11" i="15"/>
  <c r="C7" i="10"/>
  <c r="C10" i="10"/>
  <c r="M9" i="15"/>
  <c r="I9" i="15"/>
  <c r="M10" i="15"/>
  <c r="I10" i="15"/>
  <c r="H193" i="53"/>
  <c r="G193" i="53"/>
  <c r="I8" i="15"/>
  <c r="M8" i="15"/>
  <c r="C9" i="10"/>
  <c r="C5" i="10"/>
  <c r="H11" i="10"/>
  <c r="I7" i="15"/>
  <c r="M7" i="15"/>
  <c r="G148" i="53"/>
  <c r="G25" i="46"/>
  <c r="G26" i="46" s="1"/>
  <c r="G54" i="46" s="1"/>
  <c r="F133" i="53" s="1"/>
  <c r="F26" i="46"/>
  <c r="F54" i="46" s="1"/>
  <c r="F135" i="53" s="1"/>
  <c r="H28" i="53"/>
  <c r="G28" i="53"/>
  <c r="I92" i="41"/>
  <c r="E127" i="53"/>
  <c r="Q91" i="41"/>
  <c r="H21" i="44"/>
  <c r="H27" i="44" s="1"/>
  <c r="F131" i="53" s="1"/>
  <c r="F143" i="53"/>
  <c r="C247" i="53"/>
  <c r="B221" i="53"/>
  <c r="C221" i="53"/>
  <c r="E221" i="53"/>
  <c r="D221" i="53"/>
  <c r="F221" i="53" s="1"/>
  <c r="C80" i="47"/>
  <c r="E156" i="53"/>
  <c r="G109" i="53"/>
  <c r="H109" i="53"/>
  <c r="A38" i="42"/>
  <c r="B19" i="42"/>
  <c r="B47" i="42"/>
  <c r="A33" i="50"/>
  <c r="A38" i="50" s="1"/>
  <c r="B38" i="50"/>
  <c r="H124" i="53"/>
  <c r="G124" i="53"/>
  <c r="B19" i="48"/>
  <c r="A20" i="50"/>
  <c r="I91" i="49"/>
  <c r="L124" i="49" s="1"/>
  <c r="P123" i="49" s="1"/>
  <c r="Q125" i="49" s="1"/>
  <c r="Q90" i="49"/>
  <c r="E219" i="53"/>
  <c r="C219" i="53"/>
  <c r="B219" i="53"/>
  <c r="C78" i="47"/>
  <c r="E154" i="53"/>
  <c r="H41" i="53"/>
  <c r="G41" i="53"/>
  <c r="D62" i="21"/>
  <c r="K112" i="22"/>
  <c r="I100" i="22"/>
  <c r="C107" i="9"/>
  <c r="B42" i="23"/>
  <c r="M6" i="36"/>
  <c r="F99" i="53"/>
  <c r="H99" i="53" s="1"/>
  <c r="E143" i="53"/>
  <c r="D248" i="53"/>
  <c r="B248" i="53"/>
  <c r="C248" i="53"/>
  <c r="F248" i="53" s="1"/>
  <c r="E248" i="53"/>
  <c r="G23" i="53"/>
  <c r="G37" i="50"/>
  <c r="G38" i="50" s="1"/>
  <c r="F19" i="50"/>
  <c r="F20" i="50" s="1"/>
  <c r="B19" i="50"/>
  <c r="G19" i="50" s="1"/>
  <c r="B18" i="50"/>
  <c r="F38" i="50"/>
  <c r="E112" i="22"/>
  <c r="F61" i="23"/>
  <c r="H60" i="21"/>
  <c r="H66" i="21" s="1"/>
  <c r="F8" i="53" s="1"/>
  <c r="H171" i="53"/>
  <c r="G171" i="53"/>
  <c r="B26" i="46"/>
  <c r="B54" i="46" s="1"/>
  <c r="E135" i="53" s="1"/>
  <c r="C249" i="53"/>
  <c r="F219" i="53"/>
  <c r="E218" i="53" l="1"/>
  <c r="D249" i="53"/>
  <c r="B249" i="53"/>
  <c r="F249" i="53" s="1"/>
  <c r="E249" i="53"/>
  <c r="C213" i="53"/>
  <c r="C11" i="10"/>
  <c r="E213" i="53"/>
  <c r="C218" i="53"/>
  <c r="D218" i="53"/>
  <c r="B213" i="53"/>
  <c r="B247" i="53"/>
  <c r="F247" i="53" s="1"/>
  <c r="B218" i="53"/>
  <c r="D247" i="53"/>
  <c r="E247" i="53"/>
  <c r="M15" i="36"/>
  <c r="F91" i="53" s="1"/>
  <c r="G99" i="53"/>
  <c r="A42" i="23"/>
  <c r="A63" i="23" s="1"/>
  <c r="B63" i="23"/>
  <c r="B20" i="42"/>
  <c r="B48" i="42" s="1"/>
  <c r="E112" i="53" s="1"/>
  <c r="C108" i="9"/>
  <c r="I102" i="22"/>
  <c r="E43" i="53"/>
  <c r="Q100" i="22"/>
  <c r="A39" i="50"/>
  <c r="F19" i="42"/>
  <c r="F20" i="42" s="1"/>
  <c r="F48" i="42" s="1"/>
  <c r="F112" i="53" s="1"/>
  <c r="A47" i="42"/>
  <c r="A48" i="42" s="1"/>
  <c r="E110" i="53" s="1"/>
  <c r="Q92" i="41"/>
  <c r="C31" i="17"/>
  <c r="F127" i="53"/>
  <c r="G127" i="53" s="1"/>
  <c r="F246" i="52"/>
  <c r="P111" i="22"/>
  <c r="Q117" i="22" s="1"/>
  <c r="K118" i="22"/>
  <c r="H154" i="53"/>
  <c r="G154" i="53"/>
  <c r="G61" i="23"/>
  <c r="G63" i="23" s="1"/>
  <c r="F63" i="23"/>
  <c r="F20" i="23"/>
  <c r="B20" i="23"/>
  <c r="F29" i="53"/>
  <c r="D66" i="21"/>
  <c r="C81" i="47"/>
  <c r="C18" i="48"/>
  <c r="D12" i="48" s="1"/>
  <c r="AL40" i="19"/>
  <c r="F167" i="53"/>
  <c r="F172" i="53"/>
  <c r="E252" i="53"/>
  <c r="H156" i="53"/>
  <c r="G156" i="53"/>
  <c r="G131" i="53"/>
  <c r="H131" i="53"/>
  <c r="H135" i="53"/>
  <c r="G135" i="53"/>
  <c r="F39" i="50"/>
  <c r="F157" i="53" s="1"/>
  <c r="C43" i="47"/>
  <c r="Q91" i="49"/>
  <c r="B252" i="53" s="1"/>
  <c r="F20" i="48"/>
  <c r="E169" i="53"/>
  <c r="F331" i="52"/>
  <c r="B96" i="19"/>
  <c r="G18" i="50"/>
  <c r="B20" i="50"/>
  <c r="B39" i="50" s="1"/>
  <c r="E157" i="53" s="1"/>
  <c r="H143" i="53"/>
  <c r="G143" i="53"/>
  <c r="E124" i="49"/>
  <c r="E177" i="53"/>
  <c r="H133" i="53"/>
  <c r="G133" i="53"/>
  <c r="C239" i="53" l="1"/>
  <c r="E239" i="53"/>
  <c r="C28" i="1"/>
  <c r="E28" i="1" s="1"/>
  <c r="B239" i="53"/>
  <c r="C252" i="53"/>
  <c r="H127" i="53"/>
  <c r="F218" i="53"/>
  <c r="D239" i="53"/>
  <c r="F239" i="53" s="1"/>
  <c r="E40" i="53"/>
  <c r="D213" i="53"/>
  <c r="F213" i="53" s="1"/>
  <c r="G157" i="53"/>
  <c r="H157" i="53"/>
  <c r="H63" i="23"/>
  <c r="A64" i="23"/>
  <c r="E9" i="53" s="1"/>
  <c r="E155" i="53"/>
  <c r="E121" i="53"/>
  <c r="E244" i="53"/>
  <c r="D244" i="53"/>
  <c r="F244" i="53" s="1"/>
  <c r="C244" i="53"/>
  <c r="B244" i="53"/>
  <c r="F169" i="53"/>
  <c r="G169" i="53" s="1"/>
  <c r="H167" i="53"/>
  <c r="G167" i="53"/>
  <c r="E168" i="53"/>
  <c r="F177" i="53"/>
  <c r="G177" i="53" s="1"/>
  <c r="D252" i="53"/>
  <c r="AT40" i="19"/>
  <c r="BB40" i="19" s="1"/>
  <c r="V40" i="19"/>
  <c r="B222" i="53" s="1"/>
  <c r="AL42" i="19"/>
  <c r="E172" i="53"/>
  <c r="G19" i="42"/>
  <c r="H91" i="53"/>
  <c r="C26" i="1" s="1"/>
  <c r="E26" i="1" s="1"/>
  <c r="G91" i="53"/>
  <c r="D25" i="48"/>
  <c r="E118" i="22"/>
  <c r="E24" i="53"/>
  <c r="I66" i="21"/>
  <c r="E8" i="53"/>
  <c r="G29" i="53"/>
  <c r="H29" i="53"/>
  <c r="F252" i="53"/>
  <c r="B22" i="23"/>
  <c r="B64" i="23" s="1"/>
  <c r="E11" i="53" s="1"/>
  <c r="C112" i="9"/>
  <c r="F20" i="21"/>
  <c r="F24" i="53"/>
  <c r="F43" i="53"/>
  <c r="G43" i="53" s="1"/>
  <c r="F181" i="52"/>
  <c r="E22" i="53"/>
  <c r="Q102" i="22"/>
  <c r="C225" i="53" s="1"/>
  <c r="H112" i="53"/>
  <c r="G112" i="53"/>
  <c r="F22" i="48"/>
  <c r="G19" i="48" s="1"/>
  <c r="H18" i="48" s="1"/>
  <c r="G20" i="50"/>
  <c r="G39" i="50" s="1"/>
  <c r="C253" i="53"/>
  <c r="F22" i="23"/>
  <c r="F64" i="23" s="1"/>
  <c r="G20" i="23"/>
  <c r="G22" i="23" s="1"/>
  <c r="H22" i="23" s="1"/>
  <c r="E220" i="53"/>
  <c r="D220" i="53"/>
  <c r="F220" i="53" s="1"/>
  <c r="C220" i="53"/>
  <c r="B220" i="53"/>
  <c r="E253" i="53" l="1"/>
  <c r="H43" i="53"/>
  <c r="D222" i="53"/>
  <c r="H177" i="53"/>
  <c r="B225" i="53"/>
  <c r="B253" i="53"/>
  <c r="G40" i="53"/>
  <c r="H40" i="53"/>
  <c r="H23" i="48"/>
  <c r="H25" i="48" s="1"/>
  <c r="F153" i="53" s="1"/>
  <c r="C83" i="47"/>
  <c r="F168" i="53"/>
  <c r="H168" i="53" s="1"/>
  <c r="E251" i="53"/>
  <c r="F11" i="53"/>
  <c r="G11" i="53" s="1"/>
  <c r="G24" i="53"/>
  <c r="H24" i="53"/>
  <c r="C118" i="9"/>
  <c r="F225" i="53"/>
  <c r="D225" i="53"/>
  <c r="C222" i="53"/>
  <c r="E222" i="53"/>
  <c r="H169" i="53"/>
  <c r="F16" i="40"/>
  <c r="G20" i="42"/>
  <c r="G48" i="42" s="1"/>
  <c r="F110" i="53" s="1"/>
  <c r="F155" i="53"/>
  <c r="G155" i="53" s="1"/>
  <c r="E153" i="53"/>
  <c r="B205" i="53"/>
  <c r="C205" i="53"/>
  <c r="E205" i="53"/>
  <c r="D205" i="53"/>
  <c r="G64" i="23"/>
  <c r="F9" i="53" s="1"/>
  <c r="H9" i="53" s="1"/>
  <c r="E225" i="53"/>
  <c r="G172" i="53"/>
  <c r="H172" i="53"/>
  <c r="C79" i="47"/>
  <c r="H8" i="53"/>
  <c r="G8" i="53"/>
  <c r="X95" i="9"/>
  <c r="F22" i="53"/>
  <c r="G22" i="53" s="1"/>
  <c r="G18" i="21"/>
  <c r="H17" i="21" s="1"/>
  <c r="D253" i="53"/>
  <c r="F253" i="53" s="1"/>
  <c r="F222" i="53"/>
  <c r="H155" i="53" l="1"/>
  <c r="G168" i="53"/>
  <c r="C77" i="47"/>
  <c r="B251" i="53"/>
  <c r="C251" i="53"/>
  <c r="H11" i="53"/>
  <c r="F251" i="53"/>
  <c r="D251" i="53"/>
  <c r="C226" i="53"/>
  <c r="E226" i="53"/>
  <c r="D226" i="53"/>
  <c r="G110" i="53"/>
  <c r="H110" i="53"/>
  <c r="F226" i="53"/>
  <c r="Z121" i="9"/>
  <c r="X96" i="9"/>
  <c r="H153" i="53"/>
  <c r="C29" i="1" s="1"/>
  <c r="E29" i="1" s="1"/>
  <c r="G153" i="53"/>
  <c r="H22" i="53"/>
  <c r="A3" i="47"/>
  <c r="G14" i="1"/>
  <c r="C245" i="53"/>
  <c r="F205" i="53"/>
  <c r="G15" i="40"/>
  <c r="H14" i="40" s="1"/>
  <c r="F121" i="53"/>
  <c r="H23" i="21"/>
  <c r="H25" i="21" s="1"/>
  <c r="F7" i="53" s="1"/>
  <c r="E245" i="53"/>
  <c r="G9" i="53"/>
  <c r="D245" i="53"/>
  <c r="B245" i="53"/>
  <c r="F245" i="53" s="1"/>
  <c r="B226" i="53"/>
  <c r="C224" i="53" l="1"/>
  <c r="D224" i="53"/>
  <c r="H19" i="40"/>
  <c r="H25" i="40" s="1"/>
  <c r="F108" i="53" s="1"/>
  <c r="D243" i="53"/>
  <c r="E243" i="53"/>
  <c r="C243" i="53"/>
  <c r="B243" i="53"/>
  <c r="X100" i="9"/>
  <c r="X99" i="9"/>
  <c r="X98" i="9"/>
  <c r="H121" i="53"/>
  <c r="G121" i="53"/>
  <c r="C250" i="53"/>
  <c r="B250" i="53"/>
  <c r="F250" i="53"/>
  <c r="E250" i="53"/>
  <c r="D250" i="53"/>
  <c r="F224" i="53"/>
  <c r="E224" i="53"/>
  <c r="H7" i="53"/>
  <c r="G7" i="53"/>
  <c r="B224" i="53"/>
  <c r="F243" i="53" l="1"/>
  <c r="C22" i="1"/>
  <c r="C212" i="53"/>
  <c r="E183" i="53" s="1"/>
  <c r="D212" i="53"/>
  <c r="E184" i="53" s="1"/>
  <c r="B212" i="53"/>
  <c r="E182" i="53" s="1"/>
  <c r="E212" i="53"/>
  <c r="E185" i="53" s="1"/>
  <c r="G108" i="53"/>
  <c r="H108" i="53"/>
  <c r="C27" i="1" s="1"/>
  <c r="E27" i="1" s="1"/>
  <c r="G185" i="53" l="1"/>
  <c r="H185" i="53"/>
  <c r="G182" i="53"/>
  <c r="H182" i="53"/>
  <c r="G184" i="53"/>
  <c r="H184" i="53"/>
  <c r="H183" i="53"/>
  <c r="G183" i="53"/>
  <c r="E22" i="1"/>
  <c r="F212" i="53"/>
  <c r="E186" i="53" s="1"/>
  <c r="H186" i="53" l="1"/>
  <c r="M6" i="53" s="1"/>
  <c r="G186" i="53"/>
  <c r="C30" i="1"/>
  <c r="L6" i="53"/>
  <c r="G16" i="1" l="1"/>
  <c r="D6" i="1"/>
  <c r="A2" i="53"/>
  <c r="A1" i="1"/>
  <c r="E30" i="1"/>
  <c r="C31" i="1"/>
  <c r="E3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9" authorId="0" shapeId="0" xr:uid="{00000000-0006-0000-0400-000001000000}">
      <text>
        <r>
          <rPr>
            <sz val="9"/>
            <color rgb="FF000000"/>
            <rFont val="WenQuanYi Zen Hei"/>
            <family val="2"/>
          </rPr>
          <t>当初役員就任年月日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N28" authorId="0" shapeId="0" xr:uid="{00000000-0006-0000-0500-000003000000}">
      <text>
        <r>
          <rPr>
            <sz val="8"/>
            <color rgb="FF000000"/>
            <rFont val="WenQuanYi Zen Hei"/>
            <family val="2"/>
          </rPr>
          <t>小計から短期組合員、後期高齢者等短期組合員及び市長（７０歳到達）を除いた人数</t>
        </r>
      </text>
    </comment>
    <comment ref="V28" authorId="0" shapeId="0" xr:uid="{00000000-0006-0000-0500-000006000000}">
      <text>
        <r>
          <rPr>
            <sz val="8"/>
            <color rgb="FF000000"/>
            <rFont val="WenQuanYi Zen Hei"/>
            <family val="2"/>
          </rPr>
          <t xml:space="preserve">小計から短期組合員、後期高齢者等短期組合員及び市長（７０歳到達）を除いた人数
</t>
        </r>
      </text>
    </comment>
    <comment ref="AL28" authorId="0" shapeId="0" xr:uid="{00000000-0006-0000-0500-000007000000}">
      <text>
        <r>
          <rPr>
            <sz val="8"/>
            <color rgb="FF000000"/>
            <rFont val="WenQuanYi Zen Hei"/>
            <family val="2"/>
          </rPr>
          <t xml:space="preserve">小計から短期組合員、後期高齢者等短期組合員及び市長、病院副理事長（７０歳到達）を除いた人数
</t>
        </r>
      </text>
    </comment>
    <comment ref="M54" authorId="0" shapeId="0" xr:uid="{00000000-0006-0000-0500-000001000000}">
      <text>
        <r>
          <rPr>
            <sz val="8"/>
            <color rgb="FF000000"/>
            <rFont val="WenQuanYi Zen Hei"/>
            <family val="2"/>
          </rPr>
          <t>長期の合計－市長、病院副理事長（７０歳到達）を除いた額</t>
        </r>
      </text>
    </comment>
    <comment ref="T54" authorId="0" shapeId="0" xr:uid="{00000000-0006-0000-0500-000004000000}">
      <text>
        <r>
          <rPr>
            <sz val="7"/>
            <color rgb="FF000000"/>
            <rFont val="WenQuanYi Zen Hei"/>
            <family val="2"/>
          </rPr>
          <t>長期の合計－市長（７０歳到達）を除いた額</t>
        </r>
      </text>
    </comment>
    <comment ref="AN54" authorId="0" shapeId="0" xr:uid="{00000000-0006-0000-0500-000009000000}">
      <text>
        <r>
          <rPr>
            <sz val="8"/>
            <color rgb="FF000000"/>
            <rFont val="WenQuanYi Zen Hei"/>
            <family val="2"/>
          </rPr>
          <t>長期の合計－病院副理事長（７０歳到達）を除いた額</t>
        </r>
      </text>
    </comment>
    <comment ref="M79" authorId="0" shapeId="0" xr:uid="{00000000-0006-0000-0500-000002000000}">
      <text>
        <r>
          <rPr>
            <sz val="8"/>
            <color rgb="FF000000"/>
            <rFont val="WenQuanYi Zen Hei"/>
            <family val="2"/>
          </rPr>
          <t>長期合計－市長</t>
        </r>
        <r>
          <rPr>
            <sz val="8"/>
            <color rgb="FF000000"/>
            <rFont val="MS P ゴシック"/>
            <family val="3"/>
          </rPr>
          <t>3</t>
        </r>
        <r>
          <rPr>
            <sz val="8"/>
            <color rgb="FF000000"/>
            <rFont val="WenQuanYi Zen Hei"/>
            <family val="2"/>
          </rPr>
          <t>月分</t>
        </r>
      </text>
    </comment>
    <comment ref="U79" authorId="0" shapeId="0" xr:uid="{00000000-0006-0000-0500-000005000000}">
      <text>
        <r>
          <rPr>
            <sz val="8"/>
            <color rgb="FF000000"/>
            <rFont val="WenQuanYi Zen Hei"/>
            <family val="2"/>
          </rPr>
          <t>長期合計－市長（事業報告書の数値と合わせること）</t>
        </r>
      </text>
    </comment>
    <comment ref="AL79" authorId="0" shapeId="0" xr:uid="{00000000-0006-0000-0500-000008000000}">
      <text>
        <r>
          <rPr>
            <sz val="8"/>
            <color rgb="FF000000"/>
            <rFont val="WenQuanYi Zen Hei"/>
            <family val="2"/>
          </rPr>
          <t>長期合計－市長（事業報告書の数値と合わせること）</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P5" authorId="0" shapeId="0" xr:uid="{00000000-0006-0000-0600-000003000000}">
      <text>
        <r>
          <rPr>
            <sz val="9"/>
            <color rgb="FF000000"/>
            <rFont val="MS P ゴシック"/>
            <family val="3"/>
          </rPr>
          <t>R7</t>
        </r>
        <r>
          <rPr>
            <sz val="9"/>
            <color rgb="FF000000"/>
            <rFont val="WenQuanYi Zen Hei"/>
            <family val="2"/>
          </rPr>
          <t xml:space="preserve">予算書から
</t>
        </r>
      </text>
    </comment>
    <comment ref="X5" authorId="0" shapeId="0" xr:uid="{00000000-0006-0000-0600-000006000000}">
      <text>
        <r>
          <rPr>
            <sz val="9"/>
            <color rgb="FF000000"/>
            <rFont val="MS P ゴシック"/>
            <family val="3"/>
          </rPr>
          <t>R7</t>
        </r>
        <r>
          <rPr>
            <sz val="9"/>
            <color rgb="FF000000"/>
            <rFont val="WenQuanYi Zen Hei"/>
            <family val="2"/>
          </rPr>
          <t xml:space="preserve">予算書から
</t>
        </r>
      </text>
    </comment>
    <comment ref="B9" authorId="0" shapeId="0" xr:uid="{00000000-0006-0000-0600-000001000000}">
      <text>
        <r>
          <rPr>
            <sz val="9"/>
            <color rgb="FF000000"/>
            <rFont val="WenQuanYi Zen Hei"/>
            <family val="2"/>
          </rPr>
          <t>市長組合員でよい</t>
        </r>
      </text>
    </comment>
    <comment ref="P17" authorId="0" shapeId="0" xr:uid="{00000000-0006-0000-0600-000004000000}">
      <text>
        <r>
          <rPr>
            <sz val="9"/>
            <color rgb="FF000000"/>
            <rFont val="MS P ゴシック"/>
            <family val="3"/>
          </rPr>
          <t>R7</t>
        </r>
        <r>
          <rPr>
            <sz val="9"/>
            <color rgb="FF000000"/>
            <rFont val="WenQuanYi Zen Hei"/>
            <family val="2"/>
          </rPr>
          <t>予算書から</t>
        </r>
      </text>
    </comment>
    <comment ref="X17" authorId="0" shapeId="0" xr:uid="{00000000-0006-0000-0600-000007000000}">
      <text>
        <r>
          <rPr>
            <sz val="9"/>
            <color rgb="FF000000"/>
            <rFont val="MS P ゴシック"/>
            <family val="3"/>
          </rPr>
          <t>R7</t>
        </r>
        <r>
          <rPr>
            <sz val="9"/>
            <color rgb="FF000000"/>
            <rFont val="WenQuanYi Zen Hei"/>
            <family val="2"/>
          </rPr>
          <t>予算書から</t>
        </r>
      </text>
    </comment>
    <comment ref="B21" authorId="0" shapeId="0" xr:uid="{00000000-0006-0000-0600-000002000000}">
      <text>
        <r>
          <rPr>
            <sz val="9"/>
            <color rgb="FF000000"/>
            <rFont val="WenQuanYi Zen Hei"/>
            <family val="2"/>
          </rPr>
          <t>市長組合員でよい</t>
        </r>
      </text>
    </comment>
    <comment ref="P27" authorId="0" shapeId="0" xr:uid="{00000000-0006-0000-0600-000005000000}">
      <text>
        <r>
          <rPr>
            <sz val="9"/>
            <color rgb="FF000000"/>
            <rFont val="MS P ゴシック"/>
            <family val="3"/>
          </rPr>
          <t>R7</t>
        </r>
        <r>
          <rPr>
            <sz val="9"/>
            <color rgb="FF000000"/>
            <rFont val="WenQuanYi Zen Hei"/>
            <family val="2"/>
          </rPr>
          <t>予算書から</t>
        </r>
      </text>
    </comment>
    <comment ref="X27" authorId="0" shapeId="0" xr:uid="{00000000-0006-0000-0600-000008000000}">
      <text>
        <r>
          <rPr>
            <sz val="9"/>
            <color rgb="FF000000"/>
            <rFont val="MS P ゴシック"/>
            <family val="3"/>
          </rPr>
          <t>R7</t>
        </r>
        <r>
          <rPr>
            <sz val="9"/>
            <color rgb="FF000000"/>
            <rFont val="WenQuanYi Zen Hei"/>
            <family val="2"/>
          </rPr>
          <t>予算書から</t>
        </r>
      </text>
    </comment>
    <comment ref="AF27" authorId="0" shapeId="0" xr:uid="{00000000-0006-0000-0600-000009000000}">
      <text>
        <r>
          <rPr>
            <sz val="9"/>
            <color rgb="FF000000"/>
            <rFont val="MS P ゴシック"/>
            <family val="3"/>
          </rPr>
          <t>R7</t>
        </r>
        <r>
          <rPr>
            <sz val="9"/>
            <color rgb="FF000000"/>
            <rFont val="WenQuanYi Zen Hei"/>
            <family val="2"/>
          </rPr>
          <t>予算書から</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Z3" authorId="0" shapeId="0" xr:uid="{00000000-0006-0000-0700-000006000000}">
      <text>
        <r>
          <rPr>
            <sz val="9"/>
            <color rgb="FF000000"/>
            <rFont val="MS P ゴシック"/>
            <family val="3"/>
          </rPr>
          <t>R7</t>
        </r>
        <r>
          <rPr>
            <sz val="9"/>
            <color rgb="FF000000"/>
            <rFont val="WenQuanYi Zen Hei"/>
            <family val="2"/>
          </rPr>
          <t>予算書から</t>
        </r>
      </text>
    </comment>
    <comment ref="CB3" authorId="0" shapeId="0" xr:uid="{00000000-0006-0000-0700-00000F000000}">
      <text>
        <r>
          <rPr>
            <sz val="9"/>
            <color rgb="FF000000"/>
            <rFont val="WenQuanYi Zen Hei"/>
            <family val="2"/>
          </rPr>
          <t>決算精算書から転記
（短期負担金・公的負担除く）</t>
        </r>
      </text>
    </comment>
    <comment ref="EF4" authorId="0" shapeId="0" xr:uid="{00000000-0006-0000-0700-000020000000}">
      <text>
        <r>
          <rPr>
            <sz val="9"/>
            <color rgb="FF000000"/>
            <rFont val="WenQuanYi Zen Hei"/>
            <family val="2"/>
          </rPr>
          <t>前年度の決算額を転記
左記の決算額の値を貼り付けるとよい</t>
        </r>
      </text>
    </comment>
    <comment ref="CB5" authorId="0" shapeId="0" xr:uid="{00000000-0006-0000-0700-000010000000}">
      <text>
        <r>
          <rPr>
            <sz val="9"/>
            <color rgb="FF000000"/>
            <rFont val="WenQuanYi Zen Hei"/>
            <family val="2"/>
          </rPr>
          <t>短期負担金決算額</t>
        </r>
        <r>
          <rPr>
            <sz val="9"/>
            <color rgb="FF000000"/>
            <rFont val="MS P ゴシック"/>
            <family val="3"/>
          </rPr>
          <t>5,622,054,228</t>
        </r>
        <r>
          <rPr>
            <sz val="9"/>
            <color rgb="FF000000"/>
            <rFont val="WenQuanYi Zen Hei"/>
            <family val="2"/>
          </rPr>
          <t>円</t>
        </r>
        <r>
          <rPr>
            <sz val="9"/>
            <color rgb="FF000000"/>
            <rFont val="MS P ゴシック"/>
            <family val="3"/>
          </rPr>
          <t>-</t>
        </r>
        <r>
          <rPr>
            <sz val="9"/>
            <color rgb="FF000000"/>
            <rFont val="WenQuanYi Zen Hei"/>
            <family val="2"/>
          </rPr>
          <t>公的負担金</t>
        </r>
        <r>
          <rPr>
            <sz val="9"/>
            <color rgb="FF000000"/>
            <rFont val="MS P ゴシック"/>
            <family val="3"/>
          </rPr>
          <t>68,555,495</t>
        </r>
        <r>
          <rPr>
            <sz val="9"/>
            <color rgb="FF000000"/>
            <rFont val="WenQuanYi Zen Hei"/>
            <family val="2"/>
          </rPr>
          <t>円</t>
        </r>
      </text>
    </comment>
    <comment ref="CB6" authorId="0" shapeId="0" xr:uid="{00000000-0006-0000-0700-000011000000}">
      <text>
        <r>
          <rPr>
            <sz val="9"/>
            <color rgb="FF000000"/>
            <rFont val="WenQuanYi Zen Hei"/>
            <family val="2"/>
          </rPr>
          <t>庶務係の作成資料で確認する。</t>
        </r>
      </text>
    </comment>
    <comment ref="AZ19" authorId="0" shapeId="0" xr:uid="{00000000-0006-0000-0700-000007000000}">
      <text>
        <r>
          <rPr>
            <sz val="9"/>
            <color rgb="FF000000"/>
            <rFont val="WenQuanYi Zen Hei"/>
            <family val="2"/>
          </rPr>
          <t>予定損益計算説明書を確認</t>
        </r>
      </text>
    </comment>
    <comment ref="AZ21" authorId="0" shapeId="0" xr:uid="{00000000-0006-0000-0700-000008000000}">
      <text>
        <r>
          <rPr>
            <sz val="9"/>
            <color rgb="FF000000"/>
            <rFont val="WenQuanYi Zen Hei"/>
            <family val="2"/>
          </rPr>
          <t>予定損益計算書説明書を確認</t>
        </r>
      </text>
    </comment>
    <comment ref="CB27" authorId="0" shapeId="0" xr:uid="{00000000-0006-0000-0700-000012000000}">
      <text>
        <r>
          <rPr>
            <sz val="9"/>
            <color rgb="FF000000"/>
            <rFont val="WenQuanYi Zen Hei"/>
            <family val="2"/>
          </rPr>
          <t xml:space="preserve">該当年度の事故による賠償金、前年度以前の事故の賠償金は、前期損益修正益となる
</t>
        </r>
      </text>
    </comment>
    <comment ref="AZ29" authorId="0" shapeId="0" xr:uid="{00000000-0006-0000-0700-000009000000}">
      <text>
        <r>
          <rPr>
            <sz val="9"/>
            <color rgb="FF000000"/>
            <rFont val="WenQuanYi Zen Hei"/>
            <family val="2"/>
          </rPr>
          <t>その他の欄を記載</t>
        </r>
      </text>
    </comment>
    <comment ref="CB30" authorId="0" shapeId="0" xr:uid="{00000000-0006-0000-0700-000013000000}">
      <text>
        <r>
          <rPr>
            <sz val="9"/>
            <color rgb="FF000000"/>
            <rFont val="WenQuanYi Zen Hei"/>
            <family val="2"/>
          </rPr>
          <t xml:space="preserve">決算精算書の小計から当期損失金を引いた額と一致する
</t>
        </r>
      </text>
    </comment>
    <comment ref="AZ34" authorId="0" shapeId="0" xr:uid="{00000000-0006-0000-0700-00000A000000}">
      <text>
        <r>
          <rPr>
            <sz val="9"/>
            <color rgb="FF000000"/>
            <rFont val="WenQuanYi Zen Hei"/>
            <family val="2"/>
          </rPr>
          <t>自動計算</t>
        </r>
      </text>
    </comment>
    <comment ref="CB34" authorId="0" shapeId="0" xr:uid="{00000000-0006-0000-0700-000014000000}">
      <text>
        <r>
          <rPr>
            <sz val="9"/>
            <color rgb="FF000000"/>
            <rFont val="WenQuanYi Zen Hei"/>
            <family val="2"/>
          </rPr>
          <t>自動計算</t>
        </r>
      </text>
    </comment>
    <comment ref="CB38" authorId="0" shapeId="0" xr:uid="{00000000-0006-0000-0700-000015000000}">
      <text>
        <r>
          <rPr>
            <sz val="9"/>
            <color rgb="FF000000"/>
            <rFont val="WenQuanYi Zen Hei"/>
            <family val="2"/>
          </rPr>
          <t>未収金の短期の金額を引く（数式を修正する）　</t>
        </r>
        <r>
          <rPr>
            <sz val="9"/>
            <color rgb="FF000000"/>
            <rFont val="MS P ゴシック"/>
            <family val="3"/>
          </rPr>
          <t>-54,568</t>
        </r>
        <r>
          <rPr>
            <sz val="9"/>
            <color rgb="FF000000"/>
            <rFont val="WenQuanYi Zen Hei"/>
            <family val="2"/>
          </rPr>
          <t>円</t>
        </r>
      </text>
    </comment>
    <comment ref="CB39" authorId="0" shapeId="0" xr:uid="{00000000-0006-0000-0700-000016000000}">
      <text>
        <r>
          <rPr>
            <sz val="9"/>
            <color rgb="FF000000"/>
            <rFont val="WenQuanYi Zen Hei"/>
            <family val="2"/>
          </rPr>
          <t>未収金の介護の金額を引く（数式を修正する）　</t>
        </r>
        <r>
          <rPr>
            <sz val="9"/>
            <color rgb="FF000000"/>
            <rFont val="MS P ゴシック"/>
            <family val="3"/>
          </rPr>
          <t>0</t>
        </r>
        <r>
          <rPr>
            <sz val="9"/>
            <color rgb="FF000000"/>
            <rFont val="WenQuanYi Zen Hei"/>
            <family val="2"/>
          </rPr>
          <t>円</t>
        </r>
      </text>
    </comment>
    <comment ref="AZ47" authorId="0" shapeId="0" xr:uid="{00000000-0006-0000-0700-00000B000000}">
      <text>
        <r>
          <rPr>
            <sz val="9"/>
            <color rgb="FF000000"/>
            <rFont val="WenQuanYi Zen Hei"/>
            <family val="2"/>
          </rPr>
          <t>予定損益計算書説明書から転記</t>
        </r>
      </text>
    </comment>
    <comment ref="CB47" authorId="0" shapeId="0" xr:uid="{00000000-0006-0000-0700-000017000000}">
      <text>
        <r>
          <rPr>
            <sz val="9"/>
            <color rgb="FF000000"/>
            <rFont val="WenQuanYi Zen Hei"/>
            <family val="2"/>
          </rPr>
          <t>決算精算書から転記</t>
        </r>
      </text>
    </comment>
    <comment ref="EF48" authorId="0" shapeId="0" xr:uid="{00000000-0006-0000-0700-000021000000}">
      <text>
        <r>
          <rPr>
            <sz val="9"/>
            <color rgb="FF000000"/>
            <rFont val="WenQuanYi Zen Hei"/>
            <family val="2"/>
          </rPr>
          <t>前年度の決算額を転記
左記の決算額の値を貼り付けるとよい</t>
        </r>
      </text>
    </comment>
    <comment ref="CB66" authorId="0" shapeId="0" xr:uid="{00000000-0006-0000-0700-000018000000}">
      <text>
        <r>
          <rPr>
            <sz val="9"/>
            <color rgb="FF000000"/>
            <rFont val="WenQuanYi Zen Hei"/>
            <family val="2"/>
          </rPr>
          <t>決算精算表の「保健給付」と一致すること</t>
        </r>
      </text>
    </comment>
    <comment ref="AZ80" authorId="0" shapeId="0" xr:uid="{00000000-0006-0000-0700-00000C000000}">
      <text>
        <r>
          <rPr>
            <sz val="9"/>
            <color rgb="FF000000"/>
            <rFont val="WenQuanYi Zen Hei"/>
            <family val="2"/>
          </rPr>
          <t>予定損益計算書説明書から転記</t>
        </r>
      </text>
    </comment>
    <comment ref="CB80" authorId="0" shapeId="0" xr:uid="{00000000-0006-0000-0700-000019000000}">
      <text>
        <r>
          <rPr>
            <sz val="9"/>
            <color rgb="FF000000"/>
            <rFont val="WenQuanYi Zen Hei"/>
            <family val="2"/>
          </rPr>
          <t xml:space="preserve">決算精算書から転記連合会払込金を除く
</t>
        </r>
      </text>
    </comment>
    <comment ref="EF81" authorId="0" shapeId="0" xr:uid="{00000000-0006-0000-0700-000022000000}">
      <text>
        <r>
          <rPr>
            <sz val="9"/>
            <color rgb="FF000000"/>
            <rFont val="WenQuanYi Zen Hei"/>
            <family val="2"/>
          </rPr>
          <t>前年度の決算額を転記
左記の決算額の値を貼り付けるとよい</t>
        </r>
      </text>
    </comment>
    <comment ref="D90" authorId="0" shapeId="0" xr:uid="{00000000-0006-0000-0700-000004000000}">
      <text>
        <r>
          <rPr>
            <sz val="9"/>
            <color rgb="FF000000"/>
            <rFont val="WenQuanYi Zen Hei"/>
            <family val="2"/>
          </rPr>
          <t>事務費拠出金を含む
以下同じ</t>
        </r>
      </text>
    </comment>
    <comment ref="A100" authorId="0" shapeId="0" xr:uid="{00000000-0006-0000-0700-000001000000}">
      <text>
        <r>
          <rPr>
            <sz val="9"/>
            <color rgb="FF000000"/>
            <rFont val="WenQuanYi Zen Hei"/>
            <family val="2"/>
          </rPr>
          <t>予定損益計算書説明書で確認</t>
        </r>
      </text>
    </comment>
    <comment ref="CB100" authorId="0" shapeId="0" xr:uid="{00000000-0006-0000-0700-00001A000000}">
      <text>
        <r>
          <rPr>
            <sz val="9"/>
            <color rgb="FF000000"/>
            <rFont val="WenQuanYi Zen Hei"/>
            <family val="2"/>
          </rPr>
          <t>庶務係の作成資料で確認する</t>
        </r>
      </text>
    </comment>
    <comment ref="CB101" authorId="0" shapeId="0" xr:uid="{00000000-0006-0000-0700-00001B000000}">
      <text>
        <r>
          <rPr>
            <sz val="9"/>
            <color rgb="FF000000"/>
            <rFont val="WenQuanYi Zen Hei"/>
            <family val="2"/>
          </rPr>
          <t>庶務係の作成資料で確認する</t>
        </r>
        <r>
          <rPr>
            <b/>
            <sz val="9"/>
            <color rgb="FF000000"/>
            <rFont val="WenQuanYi Zen Hei"/>
            <family val="2"/>
          </rPr>
          <t>。</t>
        </r>
      </text>
    </comment>
    <comment ref="A103" authorId="0" shapeId="0" xr:uid="{00000000-0006-0000-0700-000002000000}">
      <text>
        <r>
          <rPr>
            <sz val="9"/>
            <color rgb="FF000000"/>
            <rFont val="WenQuanYi Zen Hei"/>
            <family val="2"/>
          </rPr>
          <t>予定損益計算書説明書で確認</t>
        </r>
      </text>
    </comment>
    <comment ref="CB110" authorId="0" shapeId="0" xr:uid="{00000000-0006-0000-0700-00001C000000}">
      <text>
        <r>
          <rPr>
            <sz val="9"/>
            <color rgb="FF000000"/>
            <rFont val="WenQuanYi Zen Hei"/>
            <family val="2"/>
          </rPr>
          <t>決算精算表の小計から当期利益金を引いた額と一致する</t>
        </r>
      </text>
    </comment>
    <comment ref="B112" authorId="0" shapeId="0" xr:uid="{00000000-0006-0000-0700-000003000000}">
      <text>
        <r>
          <rPr>
            <b/>
            <sz val="9"/>
            <color rgb="FF000000"/>
            <rFont val="WenQuanYi Zen Hei"/>
            <family val="2"/>
          </rPr>
          <t>グラフデータにより作成された数値に合わせて、金額とパーセンテージ等を修正する。</t>
        </r>
      </text>
    </comment>
    <comment ref="AZ134" authorId="0" shapeId="0" xr:uid="{00000000-0006-0000-0700-00000D000000}">
      <text>
        <r>
          <rPr>
            <sz val="9"/>
            <color rgb="FF000000"/>
            <rFont val="WenQuanYi Zen Hei"/>
            <family val="2"/>
          </rPr>
          <t>事業報告書の数値を転記</t>
        </r>
      </text>
    </comment>
    <comment ref="DR134" authorId="0" shapeId="0" xr:uid="{00000000-0006-0000-0700-00001E000000}">
      <text>
        <r>
          <rPr>
            <sz val="9"/>
            <color rgb="FF000000"/>
            <rFont val="WenQuanYi Zen Hei"/>
            <family val="2"/>
          </rPr>
          <t>前年度の数値を転記</t>
        </r>
      </text>
    </comment>
    <comment ref="H139" authorId="0" shapeId="0" xr:uid="{00000000-0006-0000-0700-000005000000}">
      <text>
        <r>
          <rPr>
            <sz val="9"/>
            <color rgb="FF000000"/>
            <rFont val="WenQuanYi Zen Hei"/>
            <family val="2"/>
          </rPr>
          <t>一般</t>
        </r>
        <r>
          <rPr>
            <sz val="9"/>
            <color rgb="FF000000"/>
            <rFont val="MS P ゴシック"/>
            <family val="3"/>
          </rPr>
          <t>+</t>
        </r>
        <r>
          <rPr>
            <sz val="9"/>
            <color rgb="FF000000"/>
            <rFont val="WenQuanYi Zen Hei"/>
            <family val="2"/>
          </rPr>
          <t>歯科</t>
        </r>
      </text>
    </comment>
    <comment ref="AZ156" authorId="0" shapeId="0" xr:uid="{00000000-0006-0000-0700-00000E000000}">
      <text>
        <r>
          <rPr>
            <sz val="8"/>
            <color rgb="FF000000"/>
            <rFont val="WenQuanYi Zen Hei"/>
            <family val="2"/>
          </rPr>
          <t>高額療養の給付・高額療養費を除く計</t>
        </r>
      </text>
    </comment>
    <comment ref="CP156" authorId="0" shapeId="0" xr:uid="{00000000-0006-0000-0700-00001D000000}">
      <text>
        <r>
          <rPr>
            <sz val="8"/>
            <color rgb="FF000000"/>
            <rFont val="WenQuanYi Zen Hei"/>
            <family val="2"/>
          </rPr>
          <t>高額療養の給付・高額療養費を含む計</t>
        </r>
      </text>
    </comment>
    <comment ref="DR156" authorId="0" shapeId="0" xr:uid="{00000000-0006-0000-0700-00001F000000}">
      <text>
        <r>
          <rPr>
            <sz val="8"/>
            <color rgb="FF000000"/>
            <rFont val="WenQuanYi Zen Hei"/>
            <family val="2"/>
          </rPr>
          <t>高額療養の給付・高額療養費を除く計</t>
        </r>
      </text>
    </comment>
    <comment ref="FH156" authorId="0" shapeId="0" xr:uid="{00000000-0006-0000-0700-000023000000}">
      <text>
        <r>
          <rPr>
            <sz val="8"/>
            <color rgb="FF000000"/>
            <rFont val="WenQuanYi Zen Hei"/>
            <family val="2"/>
          </rPr>
          <t>高額療養の給付・高額療養費を含む計</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2" authorId="0" shapeId="0" xr:uid="{00000000-0006-0000-0800-000001000000}">
      <text>
        <r>
          <rPr>
            <b/>
            <sz val="9"/>
            <color rgb="FF000000"/>
            <rFont val="WenQuanYi Zen Hei"/>
            <family val="2"/>
          </rPr>
          <t>このページは自動計算</t>
        </r>
      </text>
    </comment>
    <comment ref="BM2" authorId="0" shapeId="0" xr:uid="{00000000-0006-0000-0800-000007000000}">
      <text>
        <r>
          <rPr>
            <sz val="9"/>
            <color rgb="FF000000"/>
            <rFont val="WenQuanYi Zen Hei"/>
            <family val="2"/>
          </rPr>
          <t xml:space="preserve">前ページから自動転記しているはずだが確認はすること
</t>
        </r>
      </text>
    </comment>
    <comment ref="BM27" authorId="0" shapeId="0" xr:uid="{00000000-0006-0000-0800-000008000000}">
      <text>
        <r>
          <rPr>
            <b/>
            <sz val="9"/>
            <color rgb="FF000000"/>
            <rFont val="WenQuanYi Zen Hei"/>
            <family val="2"/>
          </rPr>
          <t>この表は庶務係からもらう平均組合員数の表から転記すること</t>
        </r>
      </text>
    </comment>
    <comment ref="AU61" authorId="0" shapeId="0" xr:uid="{00000000-0006-0000-0800-000006000000}">
      <text>
        <r>
          <rPr>
            <sz val="8"/>
            <color rgb="FF000000"/>
            <rFont val="WenQuanYi Zen Hei"/>
            <family val="2"/>
          </rPr>
          <t>高額療養の給付・高額療養費を除く計／平均組合員数（Ａ）</t>
        </r>
      </text>
    </comment>
    <comment ref="BM65" authorId="0" shapeId="0" xr:uid="{00000000-0006-0000-0800-000009000000}">
      <text>
        <r>
          <rPr>
            <b/>
            <sz val="9"/>
            <color rgb="FF000000"/>
            <rFont val="WenQuanYi Zen Hei"/>
            <family val="2"/>
          </rPr>
          <t>この表は庶務係からもらう平均組合員数の表から転記すること</t>
        </r>
      </text>
    </comment>
    <comment ref="L80" authorId="0" shapeId="0" xr:uid="{00000000-0006-0000-0800-000002000000}">
      <text>
        <r>
          <rPr>
            <sz val="9"/>
            <color rgb="FF000000"/>
            <rFont val="WenQuanYi Zen Hei"/>
            <family val="2"/>
          </rPr>
          <t>庶務係資料から転記
右の表から自動で入力</t>
        </r>
      </text>
    </comment>
    <comment ref="Z80" authorId="0" shapeId="0" xr:uid="{00000000-0006-0000-0800-000004000000}">
      <text>
        <r>
          <rPr>
            <sz val="9"/>
            <color rgb="FF000000"/>
            <rFont val="WenQuanYi Zen Hei"/>
            <family val="2"/>
          </rPr>
          <t>庶務係資料から転記
右の表から自動で入力</t>
        </r>
      </text>
    </comment>
    <comment ref="X89" authorId="0" shapeId="0" xr:uid="{00000000-0006-0000-0800-000003000000}">
      <text>
        <r>
          <rPr>
            <sz val="9"/>
            <color rgb="FF000000"/>
            <rFont val="WenQuanYi Zen Hei"/>
            <family val="2"/>
          </rPr>
          <t>決算精算表から転記</t>
        </r>
      </text>
    </comment>
    <comment ref="AN89" authorId="0" shapeId="0" xr:uid="{00000000-0006-0000-0800-000005000000}">
      <text>
        <r>
          <rPr>
            <sz val="9"/>
            <color rgb="FF000000"/>
            <rFont val="WenQuanYi Zen Hei"/>
            <family val="2"/>
          </rPr>
          <t>前年度決算書から転記</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3" authorId="0" shapeId="0" xr:uid="{00000000-0006-0000-0900-000001000000}">
      <text>
        <r>
          <rPr>
            <b/>
            <sz val="9"/>
            <color rgb="FF000000"/>
            <rFont val="WenQuanYi Zen Hei"/>
            <family val="2"/>
          </rPr>
          <t>合計で</t>
        </r>
        <r>
          <rPr>
            <b/>
            <sz val="9"/>
            <color rgb="FF000000"/>
            <rFont val="MS P ゴシック"/>
            <family val="3"/>
          </rPr>
          <t>100</t>
        </r>
        <r>
          <rPr>
            <b/>
            <sz val="9"/>
            <color rgb="FF000000"/>
            <rFont val="WenQuanYi Zen Hei"/>
            <family val="2"/>
          </rPr>
          <t>になるよう端数を調整</t>
        </r>
      </text>
    </comment>
    <comment ref="C20" authorId="0" shapeId="0" xr:uid="{00000000-0006-0000-0900-000002000000}">
      <text>
        <r>
          <rPr>
            <sz val="9"/>
            <color rgb="FF000000"/>
            <rFont val="WenQuanYi Zen Hei"/>
            <family val="2"/>
          </rPr>
          <t xml:space="preserve">端数調整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Y7" authorId="0" shapeId="0" xr:uid="{00000000-0006-0000-0F00-000001000000}">
      <text>
        <r>
          <rPr>
            <sz val="8"/>
            <color rgb="FF000000"/>
            <rFont val="WenQuanYi Zen Hei"/>
            <family val="2"/>
          </rPr>
          <t>【Ｒ６】</t>
        </r>
        <r>
          <rPr>
            <sz val="8"/>
            <color rgb="FF000000"/>
            <rFont val="MS P ゴシック"/>
            <family val="3"/>
          </rPr>
          <t>(A)+</t>
        </r>
        <r>
          <rPr>
            <sz val="8"/>
            <color rgb="FF000000"/>
            <rFont val="WenQuanYi Zen Hei"/>
            <family val="2"/>
          </rPr>
          <t>　長期事務費決算額</t>
        </r>
        <r>
          <rPr>
            <sz val="8"/>
            <color rgb="FF000000"/>
            <rFont val="MS P ゴシック"/>
            <family val="3"/>
          </rPr>
          <t>÷</t>
        </r>
        <r>
          <rPr>
            <sz val="8"/>
            <color rgb="FF000000"/>
            <rFont val="WenQuanYi Zen Hei"/>
            <family val="2"/>
          </rPr>
          <t>平均組合員（統計システム確定分）
　　</t>
        </r>
        <r>
          <rPr>
            <sz val="8"/>
            <color rgb="FF000000"/>
            <rFont val="MS P ゴシック"/>
            <family val="3"/>
          </rPr>
          <t>47,222,000</t>
        </r>
        <r>
          <rPr>
            <sz val="8"/>
            <color rgb="FF000000"/>
            <rFont val="WenQuanYi Zen Hei"/>
            <family val="2"/>
          </rPr>
          <t xml:space="preserve">円　　 </t>
        </r>
        <r>
          <rPr>
            <sz val="8"/>
            <color rgb="FF000000"/>
            <rFont val="MS P ゴシック"/>
            <family val="3"/>
          </rPr>
          <t>÷12,899</t>
        </r>
        <r>
          <rPr>
            <sz val="8"/>
            <color rgb="FF000000"/>
            <rFont val="WenQuanYi Zen Hei"/>
            <family val="2"/>
          </rPr>
          <t>人　　</t>
        </r>
        <r>
          <rPr>
            <sz val="8"/>
            <color rgb="FF000000"/>
            <rFont val="MS P ゴシック"/>
            <family val="3"/>
          </rPr>
          <t>=</t>
        </r>
        <r>
          <rPr>
            <sz val="8"/>
            <color rgb="FF000000"/>
            <rFont val="WenQuanYi Zen Hei"/>
            <family val="2"/>
          </rPr>
          <t>　　</t>
        </r>
        <r>
          <rPr>
            <sz val="8"/>
            <color rgb="FF000000"/>
            <rFont val="MS P ゴシック"/>
            <family val="3"/>
          </rPr>
          <t>3,661</t>
        </r>
        <r>
          <rPr>
            <sz val="8"/>
            <color rgb="FF000000"/>
            <rFont val="WenQuanYi Zen Hei"/>
            <family val="2"/>
          </rPr>
          <t>円</t>
        </r>
        <r>
          <rPr>
            <sz val="8"/>
            <color rgb="FF000000"/>
            <rFont val="MS P ゴシック"/>
            <family val="3"/>
          </rPr>
          <t>+1,847=5,508</t>
        </r>
        <r>
          <rPr>
            <sz val="8"/>
            <color rgb="FF000000"/>
            <rFont val="WenQuanYi Zen Hei"/>
            <family val="2"/>
          </rPr>
          <t>円</t>
        </r>
      </text>
    </comment>
    <comment ref="AJ7" authorId="0" shapeId="0" xr:uid="{00000000-0006-0000-0F00-000007000000}">
      <text>
        <r>
          <rPr>
            <sz val="8"/>
            <color rgb="FF000000"/>
            <rFont val="WenQuanYi Zen Hei"/>
            <family val="2"/>
          </rPr>
          <t>【Ｒ７】</t>
        </r>
        <r>
          <rPr>
            <sz val="8"/>
            <color rgb="FF000000"/>
            <rFont val="MS P ゴシック"/>
            <family val="3"/>
          </rPr>
          <t>(A)+</t>
        </r>
        <r>
          <rPr>
            <sz val="8"/>
            <color rgb="FF000000"/>
            <rFont val="WenQuanYi Zen Hei"/>
            <family val="2"/>
          </rPr>
          <t>　長期事務費決算額</t>
        </r>
        <r>
          <rPr>
            <sz val="8"/>
            <color rgb="FF000000"/>
            <rFont val="MS P ゴシック"/>
            <family val="3"/>
          </rPr>
          <t>÷</t>
        </r>
        <r>
          <rPr>
            <sz val="8"/>
            <color rgb="FF000000"/>
            <rFont val="WenQuanYi Zen Hei"/>
            <family val="2"/>
          </rPr>
          <t>平均組合員（統計システム確定分）
　</t>
        </r>
        <r>
          <rPr>
            <sz val="8"/>
            <color rgb="FF000000"/>
            <rFont val="MS P ゴシック"/>
            <family val="3"/>
          </rPr>
          <t>54,153,000</t>
        </r>
        <r>
          <rPr>
            <sz val="8"/>
            <color rgb="FF000000"/>
            <rFont val="WenQuanYi Zen Hei"/>
            <family val="2"/>
          </rPr>
          <t xml:space="preserve">円　　 </t>
        </r>
        <r>
          <rPr>
            <sz val="8"/>
            <color rgb="FF000000"/>
            <rFont val="MS P ゴシック"/>
            <family val="3"/>
          </rPr>
          <t>÷12,972</t>
        </r>
        <r>
          <rPr>
            <sz val="8"/>
            <color rgb="FF000000"/>
            <rFont val="WenQuanYi Zen Hei"/>
            <family val="2"/>
          </rPr>
          <t>人　　</t>
        </r>
        <r>
          <rPr>
            <sz val="8"/>
            <color rgb="FF000000"/>
            <rFont val="MS P ゴシック"/>
            <family val="3"/>
          </rPr>
          <t>=</t>
        </r>
        <r>
          <rPr>
            <sz val="8"/>
            <color rgb="FF000000"/>
            <rFont val="WenQuanYi Zen Hei"/>
            <family val="2"/>
          </rPr>
          <t>　　</t>
        </r>
        <r>
          <rPr>
            <sz val="8"/>
            <color rgb="FF000000"/>
            <rFont val="MS P ゴシック"/>
            <family val="3"/>
          </rPr>
          <t>4,175</t>
        </r>
        <r>
          <rPr>
            <sz val="8"/>
            <color rgb="FF000000"/>
            <rFont val="WenQuanYi Zen Hei"/>
            <family val="2"/>
          </rPr>
          <t>円</t>
        </r>
        <r>
          <rPr>
            <sz val="8"/>
            <color rgb="FF000000"/>
            <rFont val="MS P ゴシック"/>
            <family val="3"/>
          </rPr>
          <t>+1,863=6,038</t>
        </r>
        <r>
          <rPr>
            <sz val="8"/>
            <color rgb="FF000000"/>
            <rFont val="WenQuanYi Zen Hei"/>
            <family val="2"/>
          </rPr>
          <t>円</t>
        </r>
      </text>
    </comment>
    <comment ref="Y8" authorId="0" shapeId="0" xr:uid="{00000000-0006-0000-0F00-000002000000}">
      <text>
        <r>
          <rPr>
            <sz val="8"/>
            <color rgb="FF000000"/>
            <rFont val="WenQuanYi Zen Hei"/>
            <family val="2"/>
          </rPr>
          <t>　（Ｒ</t>
        </r>
        <r>
          <rPr>
            <sz val="8"/>
            <color rgb="FF000000"/>
            <rFont val="ＭＳ Ｐゴシック"/>
            <family val="3"/>
          </rPr>
          <t>6</t>
        </r>
        <r>
          <rPr>
            <sz val="8"/>
            <color rgb="FF000000"/>
            <rFont val="WenQuanYi Zen Hei"/>
            <family val="2"/>
          </rPr>
          <t>）短期事務費決算額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34,945,559</t>
        </r>
        <r>
          <rPr>
            <sz val="8"/>
            <color rgb="FF000000"/>
            <rFont val="WenQuanYi Zen Hei"/>
            <family val="2"/>
          </rPr>
          <t xml:space="preserve">円　　 </t>
        </r>
        <r>
          <rPr>
            <sz val="8"/>
            <color rgb="FF000000"/>
            <rFont val="ＭＳ Ｐゴシック"/>
            <family val="3"/>
          </rPr>
          <t>÷18,919</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1,847</t>
        </r>
        <r>
          <rPr>
            <sz val="8"/>
            <color rgb="FF000000"/>
            <rFont val="WenQuanYi Zen Hei"/>
            <family val="2"/>
          </rPr>
          <t>円</t>
        </r>
      </text>
    </comment>
    <comment ref="AJ8" authorId="0" shapeId="0" xr:uid="{00000000-0006-0000-0F00-000008000000}">
      <text>
        <r>
          <rPr>
            <sz val="8"/>
            <color rgb="FF000000"/>
            <rFont val="WenQuanYi Zen Hei"/>
            <family val="2"/>
          </rPr>
          <t>　（Ｒ７）短期事務費決算額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35,502,843</t>
        </r>
        <r>
          <rPr>
            <sz val="8"/>
            <color rgb="FF000000"/>
            <rFont val="WenQuanYi Zen Hei"/>
            <family val="2"/>
          </rPr>
          <t xml:space="preserve">円　　 </t>
        </r>
        <r>
          <rPr>
            <sz val="8"/>
            <color rgb="FF000000"/>
            <rFont val="ＭＳ Ｐゴシック"/>
            <family val="3"/>
          </rPr>
          <t>÷19,060</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1,863</t>
        </r>
        <r>
          <rPr>
            <sz val="8"/>
            <color rgb="FF000000"/>
            <rFont val="WenQuanYi Zen Hei"/>
            <family val="2"/>
          </rPr>
          <t>円</t>
        </r>
      </text>
    </comment>
    <comment ref="Y9" authorId="0" shapeId="0" xr:uid="{00000000-0006-0000-0F00-000003000000}">
      <text>
        <r>
          <rPr>
            <sz val="8"/>
            <color rgb="FF000000"/>
            <rFont val="WenQuanYi Zen Hei"/>
            <family val="2"/>
          </rPr>
          <t>定款第</t>
        </r>
        <r>
          <rPr>
            <sz val="8"/>
            <color rgb="FF000000"/>
            <rFont val="MS P ゴシック"/>
            <family val="3"/>
          </rPr>
          <t>35</t>
        </r>
        <r>
          <rPr>
            <sz val="8"/>
            <color rgb="FF000000"/>
            <rFont val="WenQuanYi Zen Hei"/>
            <family val="2"/>
          </rPr>
          <t>条の</t>
        </r>
        <r>
          <rPr>
            <sz val="8"/>
            <color rgb="FF000000"/>
            <rFont val="MS P ゴシック"/>
            <family val="3"/>
          </rPr>
          <t>2</t>
        </r>
        <r>
          <rPr>
            <sz val="8"/>
            <color rgb="FF000000"/>
            <rFont val="WenQuanYi Zen Hei"/>
            <family val="2"/>
          </rPr>
          <t>に規定する組合員</t>
        </r>
        <r>
          <rPr>
            <sz val="8"/>
            <color rgb="FF000000"/>
            <rFont val="MS P ゴシック"/>
            <family val="3"/>
          </rPr>
          <t>1</t>
        </r>
        <r>
          <rPr>
            <sz val="8"/>
            <color rgb="FF000000"/>
            <rFont val="WenQuanYi Zen Hei"/>
            <family val="2"/>
          </rPr>
          <t>人当たりの繰入額</t>
        </r>
      </text>
    </comment>
    <comment ref="AJ9" authorId="0" shapeId="0" xr:uid="{00000000-0006-0000-0F00-000009000000}">
      <text>
        <r>
          <rPr>
            <sz val="8"/>
            <color rgb="FF000000"/>
            <rFont val="WenQuanYi Zen Hei"/>
            <family val="2"/>
          </rPr>
          <t>定款第</t>
        </r>
        <r>
          <rPr>
            <sz val="8"/>
            <color rgb="FF000000"/>
            <rFont val="MS P ゴシック"/>
            <family val="3"/>
          </rPr>
          <t>35</t>
        </r>
        <r>
          <rPr>
            <sz val="8"/>
            <color rgb="FF000000"/>
            <rFont val="WenQuanYi Zen Hei"/>
            <family val="2"/>
          </rPr>
          <t>条の</t>
        </r>
        <r>
          <rPr>
            <sz val="8"/>
            <color rgb="FF000000"/>
            <rFont val="MS P ゴシック"/>
            <family val="3"/>
          </rPr>
          <t>2</t>
        </r>
        <r>
          <rPr>
            <sz val="8"/>
            <color rgb="FF000000"/>
            <rFont val="WenQuanYi Zen Hei"/>
            <family val="2"/>
          </rPr>
          <t>に規定する組合員</t>
        </r>
        <r>
          <rPr>
            <sz val="8"/>
            <color rgb="FF000000"/>
            <rFont val="MS P ゴシック"/>
            <family val="3"/>
          </rPr>
          <t>1</t>
        </r>
        <r>
          <rPr>
            <sz val="8"/>
            <color rgb="FF000000"/>
            <rFont val="WenQuanYi Zen Hei"/>
            <family val="2"/>
          </rPr>
          <t>人当たりの繰入額</t>
        </r>
      </text>
    </comment>
    <comment ref="Y10" authorId="0" shapeId="0" xr:uid="{00000000-0006-0000-0F00-000004000000}">
      <text>
        <r>
          <rPr>
            <sz val="8"/>
            <color rgb="FF000000"/>
            <rFont val="WenQuanYi Zen Hei"/>
            <family val="2"/>
          </rPr>
          <t>　（Ｒ６）連合会交付金額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18,913,967</t>
        </r>
        <r>
          <rPr>
            <sz val="8"/>
            <color rgb="FF000000"/>
            <rFont val="WenQuanYi Zen Hei"/>
            <family val="2"/>
          </rPr>
          <t xml:space="preserve">円　　 </t>
        </r>
        <r>
          <rPr>
            <sz val="8"/>
            <color rgb="FF000000"/>
            <rFont val="ＭＳ Ｐゴシック"/>
            <family val="3"/>
          </rPr>
          <t>÷12,899</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1,466</t>
        </r>
        <r>
          <rPr>
            <sz val="8"/>
            <color rgb="FF000000"/>
            <rFont val="WenQuanYi Zen Hei"/>
            <family val="2"/>
          </rPr>
          <t>円</t>
        </r>
      </text>
    </comment>
    <comment ref="AJ10" authorId="0" shapeId="0" xr:uid="{00000000-0006-0000-0F00-00000A000000}">
      <text>
        <r>
          <rPr>
            <sz val="8"/>
            <color rgb="FF000000"/>
            <rFont val="WenQuanYi Zen Hei"/>
            <family val="2"/>
          </rPr>
          <t>　（Ｒ７）連合会交付金額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20,957,084</t>
        </r>
        <r>
          <rPr>
            <sz val="8"/>
            <color rgb="FF000000"/>
            <rFont val="WenQuanYi Zen Hei"/>
            <family val="2"/>
          </rPr>
          <t xml:space="preserve">円　　 </t>
        </r>
        <r>
          <rPr>
            <sz val="8"/>
            <color rgb="FF000000"/>
            <rFont val="ＭＳ Ｐゴシック"/>
            <family val="3"/>
          </rPr>
          <t>÷12,972</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1,616</t>
        </r>
        <r>
          <rPr>
            <sz val="8"/>
            <color rgb="FF000000"/>
            <rFont val="WenQuanYi Zen Hei"/>
            <family val="2"/>
          </rPr>
          <t>円</t>
        </r>
      </text>
    </comment>
    <comment ref="Y11" authorId="0" shapeId="0" xr:uid="{00000000-0006-0000-0F00-000005000000}">
      <text>
        <r>
          <rPr>
            <sz val="8"/>
            <color rgb="FF000000"/>
            <rFont val="WenQuanYi Zen Hei"/>
            <family val="2"/>
          </rPr>
          <t>　（Ｒ６）当期損失金</t>
        </r>
        <r>
          <rPr>
            <sz val="8"/>
            <color rgb="FF000000"/>
            <rFont val="ＭＳ Ｐゴシック"/>
            <family val="3"/>
          </rPr>
          <t>÷</t>
        </r>
        <r>
          <rPr>
            <sz val="8"/>
            <color rgb="FF000000"/>
            <rFont val="WenQuanYi Zen Hei"/>
            <family val="2"/>
          </rPr>
          <t xml:space="preserve">平均組合員（統計システム確定分）
</t>
        </r>
        <r>
          <rPr>
            <b/>
            <sz val="8"/>
            <color rgb="FF000000"/>
            <rFont val="WenQuanYi Zen Hei"/>
            <family val="2"/>
          </rPr>
          <t>　　</t>
        </r>
        <r>
          <rPr>
            <sz val="8"/>
            <color rgb="FF000000"/>
            <rFont val="WenQuanYi Zen Hei"/>
            <family val="2"/>
          </rPr>
          <t xml:space="preserve">〇〇〇〇円　　 </t>
        </r>
        <r>
          <rPr>
            <sz val="8"/>
            <color rgb="FF000000"/>
            <rFont val="ＭＳ Ｐゴシック"/>
            <family val="3"/>
          </rPr>
          <t>÷</t>
        </r>
        <r>
          <rPr>
            <sz val="8"/>
            <color rgb="FF000000"/>
            <rFont val="WenQuanYi Zen Hei"/>
            <family val="2"/>
          </rPr>
          <t>　〇〇〇〇人　　</t>
        </r>
        <r>
          <rPr>
            <sz val="8"/>
            <color rgb="FF000000"/>
            <rFont val="ＭＳ Ｐゴシック"/>
            <family val="3"/>
          </rPr>
          <t>=</t>
        </r>
        <r>
          <rPr>
            <sz val="8"/>
            <color rgb="FF000000"/>
            <rFont val="WenQuanYi Zen Hei"/>
            <family val="2"/>
          </rPr>
          <t>　〇〇円</t>
        </r>
      </text>
    </comment>
    <comment ref="AJ11" authorId="0" shapeId="0" xr:uid="{00000000-0006-0000-0F00-00000B000000}">
      <text>
        <r>
          <rPr>
            <sz val="8"/>
            <color rgb="FF000000"/>
            <rFont val="WenQuanYi Zen Hei"/>
            <family val="2"/>
          </rPr>
          <t>　（Ｒ７）当期損失金</t>
        </r>
        <r>
          <rPr>
            <sz val="8"/>
            <color rgb="FF000000"/>
            <rFont val="ＭＳ Ｐゴシック"/>
            <family val="3"/>
          </rPr>
          <t>÷</t>
        </r>
        <r>
          <rPr>
            <sz val="8"/>
            <color rgb="FF000000"/>
            <rFont val="WenQuanYi Zen Hei"/>
            <family val="2"/>
          </rPr>
          <t xml:space="preserve">平均組合員（統計システム確定分）
</t>
        </r>
        <r>
          <rPr>
            <b/>
            <sz val="8"/>
            <color rgb="FF000000"/>
            <rFont val="WenQuanYi Zen Hei"/>
            <family val="2"/>
          </rPr>
          <t>　　</t>
        </r>
        <r>
          <rPr>
            <sz val="8"/>
            <color rgb="FF000000"/>
            <rFont val="WenQuanYi Zen Hei"/>
            <family val="2"/>
          </rPr>
          <t xml:space="preserve">〇〇〇〇円　　 </t>
        </r>
        <r>
          <rPr>
            <sz val="8"/>
            <color rgb="FF000000"/>
            <rFont val="ＭＳ Ｐゴシック"/>
            <family val="3"/>
          </rPr>
          <t>÷</t>
        </r>
        <r>
          <rPr>
            <sz val="8"/>
            <color rgb="FF000000"/>
            <rFont val="WenQuanYi Zen Hei"/>
            <family val="2"/>
          </rPr>
          <t>　〇〇〇〇人　　</t>
        </r>
        <r>
          <rPr>
            <sz val="8"/>
            <color rgb="FF000000"/>
            <rFont val="ＭＳ Ｐゴシック"/>
            <family val="3"/>
          </rPr>
          <t>=</t>
        </r>
        <r>
          <rPr>
            <sz val="8"/>
            <color rgb="FF000000"/>
            <rFont val="WenQuanYi Zen Hei"/>
            <family val="2"/>
          </rPr>
          <t>　〇〇円</t>
        </r>
      </text>
    </comment>
    <comment ref="Y21" authorId="0" shapeId="0" xr:uid="{00000000-0006-0000-0F00-000006000000}">
      <text>
        <r>
          <rPr>
            <sz val="8"/>
            <color rgb="FF000000"/>
            <rFont val="WenQuanYi Zen Hei"/>
            <family val="2"/>
          </rPr>
          <t>（Ｒ６）連合会交付金額（退職等年金分）</t>
        </r>
        <r>
          <rPr>
            <sz val="8"/>
            <color rgb="FF000000"/>
            <rFont val="ＭＳ Ｐゴシック"/>
            <family val="3"/>
          </rPr>
          <t>÷</t>
        </r>
        <r>
          <rPr>
            <sz val="8"/>
            <color rgb="FF000000"/>
            <rFont val="WenQuanYi Zen Hei"/>
            <family val="2"/>
          </rPr>
          <t>平均組合員数（統計システム確定分）
　　  　</t>
        </r>
        <r>
          <rPr>
            <sz val="8"/>
            <color rgb="FF000000"/>
            <rFont val="ＭＳ Ｐゴシック"/>
            <family val="3"/>
          </rPr>
          <t>1,942,627</t>
        </r>
        <r>
          <rPr>
            <sz val="8"/>
            <color rgb="FF000000"/>
            <rFont val="WenQuanYi Zen Hei"/>
            <family val="2"/>
          </rPr>
          <t xml:space="preserve">円　　 </t>
        </r>
        <r>
          <rPr>
            <sz val="8"/>
            <color rgb="FF000000"/>
            <rFont val="ＭＳ Ｐゴシック"/>
            <family val="3"/>
          </rPr>
          <t>÷12,899</t>
        </r>
        <r>
          <rPr>
            <sz val="8"/>
            <color rgb="FF000000"/>
            <rFont val="WenQuanYi Zen Hei"/>
            <family val="2"/>
          </rPr>
          <t>人　　</t>
        </r>
        <r>
          <rPr>
            <sz val="8"/>
            <color rgb="FF000000"/>
            <rFont val="ＭＳ Ｐゴシック"/>
            <family val="3"/>
          </rPr>
          <t>=</t>
        </r>
        <r>
          <rPr>
            <sz val="8"/>
            <color rgb="FF000000"/>
            <rFont val="WenQuanYi Zen Hei"/>
            <family val="2"/>
          </rPr>
          <t xml:space="preserve">　  </t>
        </r>
        <r>
          <rPr>
            <sz val="8"/>
            <color rgb="FF000000"/>
            <rFont val="ＭＳ Ｐゴシック"/>
            <family val="3"/>
          </rPr>
          <t>151</t>
        </r>
        <r>
          <rPr>
            <sz val="8"/>
            <color rgb="FF000000"/>
            <rFont val="WenQuanYi Zen Hei"/>
            <family val="2"/>
          </rPr>
          <t>円　　　　</t>
        </r>
      </text>
    </comment>
    <comment ref="AJ21" authorId="0" shapeId="0" xr:uid="{00000000-0006-0000-0F00-00000C000000}">
      <text>
        <r>
          <rPr>
            <sz val="8"/>
            <color rgb="FF000000"/>
            <rFont val="WenQuanYi Zen Hei"/>
            <family val="2"/>
          </rPr>
          <t>（Ｒ７）連合会交付金額（退職等年金分）</t>
        </r>
        <r>
          <rPr>
            <sz val="8"/>
            <color rgb="FF000000"/>
            <rFont val="ＭＳ Ｐゴシック"/>
            <family val="3"/>
          </rPr>
          <t>÷</t>
        </r>
        <r>
          <rPr>
            <sz val="8"/>
            <color rgb="FF000000"/>
            <rFont val="WenQuanYi Zen Hei"/>
            <family val="2"/>
          </rPr>
          <t xml:space="preserve">平均組合員数（統計システム確定分）
　　 　 </t>
        </r>
        <r>
          <rPr>
            <sz val="8"/>
            <color rgb="FF000000"/>
            <rFont val="ＭＳ Ｐゴシック"/>
            <family val="3"/>
          </rPr>
          <t>2,202,654</t>
        </r>
        <r>
          <rPr>
            <sz val="8"/>
            <color rgb="FF000000"/>
            <rFont val="WenQuanYi Zen Hei"/>
            <family val="2"/>
          </rPr>
          <t xml:space="preserve">円　　 </t>
        </r>
        <r>
          <rPr>
            <sz val="8"/>
            <color rgb="FF000000"/>
            <rFont val="ＭＳ Ｐゴシック"/>
            <family val="3"/>
          </rPr>
          <t>÷12,972</t>
        </r>
        <r>
          <rPr>
            <sz val="8"/>
            <color rgb="FF000000"/>
            <rFont val="WenQuanYi Zen Hei"/>
            <family val="2"/>
          </rPr>
          <t>人　　</t>
        </r>
        <r>
          <rPr>
            <sz val="8"/>
            <color rgb="FF000000"/>
            <rFont val="ＭＳ Ｐゴシック"/>
            <family val="3"/>
          </rPr>
          <t>=</t>
        </r>
        <r>
          <rPr>
            <sz val="8"/>
            <color rgb="FF000000"/>
            <rFont val="WenQuanYi Zen Hei"/>
            <family val="2"/>
          </rPr>
          <t xml:space="preserve">　  </t>
        </r>
        <r>
          <rPr>
            <sz val="8"/>
            <color rgb="FF000000"/>
            <rFont val="ＭＳ Ｐゴシック"/>
            <family val="3"/>
          </rPr>
          <t>170</t>
        </r>
        <r>
          <rPr>
            <sz val="8"/>
            <color rgb="FF000000"/>
            <rFont val="WenQuanYi Zen Hei"/>
            <family val="2"/>
          </rPr>
          <t>円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7" authorId="0" shapeId="0" xr:uid="{00000000-0006-0000-1100-000001000000}">
      <text>
        <r>
          <rPr>
            <sz val="9"/>
            <color rgb="FF000000"/>
            <rFont val="WenQuanYi Zen Hei"/>
            <family val="2"/>
          </rPr>
          <t>予算書から転記</t>
        </r>
      </text>
    </comment>
    <comment ref="B11" authorId="0" shapeId="0" xr:uid="{00000000-0006-0000-1100-000004000000}">
      <text>
        <r>
          <rPr>
            <sz val="9"/>
            <color rgb="FF000000"/>
            <rFont val="WenQuanYi Zen Hei"/>
            <family val="2"/>
          </rPr>
          <t>市長組合員でよい</t>
        </r>
      </text>
    </comment>
    <comment ref="M18" authorId="0" shapeId="0" xr:uid="{00000000-0006-0000-1100-00000A000000}">
      <text>
        <r>
          <rPr>
            <sz val="9"/>
            <color rgb="FF000000"/>
            <rFont val="MS P ゴシック"/>
            <family val="3"/>
          </rPr>
          <t>R7</t>
        </r>
        <r>
          <rPr>
            <sz val="9"/>
            <color rgb="FF000000"/>
            <rFont val="WenQuanYi Zen Hei"/>
            <family val="2"/>
          </rPr>
          <t>予算書から転記</t>
        </r>
      </text>
    </comment>
    <comment ref="V18" authorId="0" shapeId="0" xr:uid="{00000000-0006-0000-1100-00000D000000}">
      <text>
        <r>
          <rPr>
            <sz val="9"/>
            <color rgb="FF000000"/>
            <rFont val="WenQuanYi Zen Hei"/>
            <family val="2"/>
          </rPr>
          <t>決算精算表</t>
        </r>
        <r>
          <rPr>
            <sz val="9"/>
            <color rgb="FF000000"/>
            <rFont val="MS P ゴシック"/>
            <family val="3"/>
          </rPr>
          <t>(</t>
        </r>
        <r>
          <rPr>
            <sz val="9"/>
            <color rgb="FF000000"/>
            <rFont val="WenQuanYi Zen Hei"/>
            <family val="2"/>
          </rPr>
          <t>試算</t>
        </r>
        <r>
          <rPr>
            <sz val="9"/>
            <color rgb="FF000000"/>
            <rFont val="MS P ゴシック"/>
            <family val="3"/>
          </rPr>
          <t>)</t>
        </r>
        <r>
          <rPr>
            <sz val="9"/>
            <color rgb="FF000000"/>
            <rFont val="WenQuanYi Zen Hei"/>
            <family val="2"/>
          </rPr>
          <t>から転記</t>
        </r>
      </text>
    </comment>
    <comment ref="AN19" authorId="0" shapeId="0" xr:uid="{00000000-0006-0000-1100-000013000000}">
      <text>
        <r>
          <rPr>
            <sz val="9"/>
            <color rgb="FF000000"/>
            <rFont val="WenQuanYi Zen Hei"/>
            <family val="2"/>
          </rPr>
          <t>前年度決算額を転記</t>
        </r>
      </text>
    </comment>
    <comment ref="B21" authorId="0" shapeId="0" xr:uid="{00000000-0006-0000-1100-000005000000}">
      <text>
        <r>
          <rPr>
            <sz val="9"/>
            <color rgb="FF000000"/>
            <rFont val="WenQuanYi Zen Hei"/>
            <family val="2"/>
          </rPr>
          <t>庶務係算出</t>
        </r>
      </text>
    </comment>
    <comment ref="B22" authorId="0" shapeId="0" xr:uid="{00000000-0006-0000-1100-000006000000}">
      <text>
        <r>
          <rPr>
            <sz val="9"/>
            <color rgb="FF000000"/>
            <rFont val="WenQuanYi Zen Hei"/>
            <family val="2"/>
          </rPr>
          <t>庶務係算出</t>
        </r>
      </text>
    </comment>
    <comment ref="V23" authorId="0" shapeId="0" xr:uid="{00000000-0006-0000-1100-00000E000000}">
      <text>
        <r>
          <rPr>
            <sz val="9"/>
            <color rgb="FF000000"/>
            <rFont val="WenQuanYi Zen Hei"/>
            <family val="2"/>
          </rPr>
          <t>特定健康診査等負担金</t>
        </r>
        <r>
          <rPr>
            <sz val="9"/>
            <color rgb="FF000000"/>
            <rFont val="MS P ゴシック"/>
            <family val="3"/>
          </rPr>
          <t>+</t>
        </r>
        <r>
          <rPr>
            <sz val="9"/>
            <color rgb="FF000000"/>
            <rFont val="WenQuanYi Zen Hei"/>
            <family val="2"/>
          </rPr>
          <t>定期健康診断負担金</t>
        </r>
        <r>
          <rPr>
            <sz val="9"/>
            <color rgb="FF000000"/>
            <rFont val="MS P ゴシック"/>
            <family val="3"/>
          </rPr>
          <t>+</t>
        </r>
        <r>
          <rPr>
            <sz val="9"/>
            <color rgb="FF000000"/>
            <rFont val="WenQuanYi Zen Hei"/>
            <family val="2"/>
          </rPr>
          <t xml:space="preserve">健診等負担金の合計
</t>
        </r>
      </text>
    </comment>
    <comment ref="V25" authorId="0" shapeId="0" xr:uid="{00000000-0006-0000-1100-00000F000000}">
      <text>
        <r>
          <rPr>
            <sz val="9"/>
            <color rgb="FF000000"/>
            <rFont val="WenQuanYi Zen Hei"/>
            <family val="2"/>
          </rPr>
          <t xml:space="preserve">標準報酬月額掛金
</t>
        </r>
        <r>
          <rPr>
            <sz val="9"/>
            <color rgb="FF000000"/>
            <rFont val="MS P ゴシック"/>
            <family val="3"/>
          </rPr>
          <t>166,178,826</t>
        </r>
        <r>
          <rPr>
            <sz val="9"/>
            <color rgb="FF000000"/>
            <rFont val="WenQuanYi Zen Hei"/>
            <family val="2"/>
          </rPr>
          <t xml:space="preserve">円
短期任意継続掛金
</t>
        </r>
        <r>
          <rPr>
            <sz val="9"/>
            <color rgb="FF000000"/>
            <rFont val="MS P ゴシック"/>
            <family val="3"/>
          </rPr>
          <t>3,814,774</t>
        </r>
        <r>
          <rPr>
            <sz val="9"/>
            <color rgb="FF000000"/>
            <rFont val="WenQuanYi Zen Hei"/>
            <family val="2"/>
          </rPr>
          <t>円　の合計</t>
        </r>
      </text>
    </comment>
    <comment ref="B29" authorId="0" shapeId="0" xr:uid="{00000000-0006-0000-1100-000007000000}">
      <text>
        <r>
          <rPr>
            <sz val="9"/>
            <color rgb="FF000000"/>
            <rFont val="WenQuanYi Zen Hei"/>
            <family val="2"/>
          </rPr>
          <t>その他の項目から転記</t>
        </r>
      </text>
    </comment>
    <comment ref="B31" authorId="0" shapeId="0" xr:uid="{00000000-0006-0000-1100-000008000000}">
      <text>
        <r>
          <rPr>
            <sz val="9"/>
            <color rgb="FF000000"/>
            <rFont val="WenQuanYi Zen Hei"/>
            <family val="2"/>
          </rPr>
          <t>積立等はなし</t>
        </r>
      </text>
    </comment>
    <comment ref="V33" authorId="0" shapeId="0" xr:uid="{00000000-0006-0000-1100-000010000000}">
      <text>
        <r>
          <rPr>
            <sz val="9"/>
            <color rgb="FF000000"/>
            <rFont val="WenQuanYi Zen Hei"/>
            <family val="2"/>
          </rPr>
          <t>経常収益</t>
        </r>
        <r>
          <rPr>
            <sz val="9"/>
            <color rgb="FF000000"/>
            <rFont val="MS P ゴシック"/>
            <family val="3"/>
          </rPr>
          <t>+</t>
        </r>
        <r>
          <rPr>
            <sz val="9"/>
            <color rgb="FF000000"/>
            <rFont val="WenQuanYi Zen Hei"/>
            <family val="2"/>
          </rPr>
          <t>前期損益修正益の合計</t>
        </r>
      </text>
    </comment>
    <comment ref="M44" authorId="0" shapeId="0" xr:uid="{00000000-0006-0000-1100-00000B000000}">
      <text>
        <r>
          <rPr>
            <sz val="9"/>
            <color rgb="FF000000"/>
            <rFont val="WenQuanYi Zen Hei"/>
            <family val="2"/>
          </rPr>
          <t xml:space="preserve">予算書から転記、詳細は、予定損益計算書を参照
</t>
        </r>
        <r>
          <rPr>
            <strike/>
            <sz val="9"/>
            <color rgb="FF000000"/>
            <rFont val="MS P ゴシック"/>
            <family val="3"/>
          </rPr>
          <t>R6</t>
        </r>
        <r>
          <rPr>
            <strike/>
            <sz val="9"/>
            <color rgb="FF000000"/>
            <rFont val="WenQuanYi Zen Hei"/>
            <family val="2"/>
          </rPr>
          <t>年度は予算修正があったため修正後の予算を記載</t>
        </r>
      </text>
    </comment>
    <comment ref="V44" authorId="0" shapeId="0" xr:uid="{00000000-0006-0000-1100-000011000000}">
      <text>
        <r>
          <rPr>
            <sz val="9"/>
            <color rgb="FF000000"/>
            <rFont val="WenQuanYi Zen Hei"/>
            <family val="2"/>
          </rPr>
          <t>決算精算表から転記</t>
        </r>
      </text>
    </comment>
    <comment ref="AN45" authorId="0" shapeId="0" xr:uid="{00000000-0006-0000-1100-000014000000}">
      <text>
        <r>
          <rPr>
            <sz val="9"/>
            <color rgb="FF000000"/>
            <rFont val="WenQuanYi Zen Hei"/>
            <family val="2"/>
          </rPr>
          <t>前年度決算額を転記</t>
        </r>
      </text>
    </comment>
    <comment ref="P70" authorId="0" shapeId="0" xr:uid="{00000000-0006-0000-1100-00000C000000}">
      <text>
        <r>
          <rPr>
            <sz val="9"/>
            <color rgb="FF000000"/>
            <rFont val="WenQuanYi Zen Hei"/>
            <family val="2"/>
          </rPr>
          <t>予算から転記</t>
        </r>
      </text>
    </comment>
    <comment ref="X70" authorId="0" shapeId="0" xr:uid="{00000000-0006-0000-1100-000012000000}">
      <text>
        <r>
          <rPr>
            <sz val="9"/>
            <color rgb="FF000000"/>
            <rFont val="WenQuanYi Zen Hei"/>
            <family val="2"/>
          </rPr>
          <t>事業別決算表から転記</t>
        </r>
      </text>
    </comment>
    <comment ref="A93" authorId="0" shapeId="0" xr:uid="{00000000-0006-0000-1100-000002000000}">
      <text>
        <r>
          <rPr>
            <sz val="9"/>
            <color rgb="FF000000"/>
            <rFont val="MS P ゴシック"/>
            <family val="3"/>
          </rPr>
          <t>R4</t>
        </r>
        <r>
          <rPr>
            <sz val="9"/>
            <color rgb="FF000000"/>
            <rFont val="WenQuanYi Zen Hei"/>
            <family val="2"/>
          </rPr>
          <t>予算要求時の内訳書で確認</t>
        </r>
      </text>
    </comment>
    <comment ref="E96" authorId="0" shapeId="0" xr:uid="{00000000-0006-0000-1100-000009000000}">
      <text>
        <r>
          <rPr>
            <sz val="9"/>
            <color rgb="FF000000"/>
            <rFont val="WenQuanYi Zen Hei"/>
            <family val="2"/>
          </rPr>
          <t>事業別予算（</t>
        </r>
        <r>
          <rPr>
            <sz val="9"/>
            <color rgb="FF000000"/>
            <rFont val="MS P ゴシック"/>
            <family val="3"/>
          </rPr>
          <t>A3</t>
        </r>
        <r>
          <rPr>
            <sz val="9"/>
            <color rgb="FF000000"/>
            <rFont val="WenQuanYi Zen Hei"/>
            <family val="2"/>
          </rPr>
          <t>）
旅費、システム関係、その他の合計</t>
        </r>
      </text>
    </comment>
    <comment ref="A100" authorId="0" shapeId="0" xr:uid="{00000000-0006-0000-1100-000003000000}">
      <text>
        <r>
          <rPr>
            <sz val="9"/>
            <color rgb="FF000000"/>
            <rFont val="WenQuanYi Zen Hei"/>
            <family val="2"/>
          </rPr>
          <t xml:space="preserve">保健経理　貸借対照表と損益計算書を参照して修正する。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E85" authorId="0" shapeId="0" xr:uid="{00000000-0006-0000-1200-000002000000}">
      <text>
        <r>
          <rPr>
            <b/>
            <sz val="9"/>
            <color rgb="FF000000"/>
            <rFont val="MS P ゴシック"/>
            <family val="3"/>
          </rPr>
          <t>△0.00</t>
        </r>
        <r>
          <rPr>
            <b/>
            <sz val="9"/>
            <color rgb="FF000000"/>
            <rFont val="WenQuanYi Zen Hei"/>
            <family val="2"/>
          </rPr>
          <t>であったため、関数変えているので注意（</t>
        </r>
        <r>
          <rPr>
            <b/>
            <sz val="9"/>
            <color rgb="FF000000"/>
            <rFont val="MS P ゴシック"/>
            <family val="3"/>
          </rPr>
          <t>R7.5.16</t>
        </r>
        <r>
          <rPr>
            <b/>
            <sz val="9"/>
            <color rgb="FF000000"/>
            <rFont val="WenQuanYi Zen Hei"/>
            <family val="2"/>
          </rPr>
          <t>）</t>
        </r>
      </text>
    </comment>
    <comment ref="AO87" authorId="0" shapeId="0" xr:uid="{00000000-0006-0000-1200-000001000000}">
      <text>
        <r>
          <rPr>
            <b/>
            <sz val="9"/>
            <color rgb="FF000000"/>
            <rFont val="WenQuanYi Zen Hei"/>
            <family val="2"/>
          </rPr>
          <t>端数調整のため関数変えたので注意（</t>
        </r>
        <r>
          <rPr>
            <b/>
            <sz val="9"/>
            <color rgb="FF000000"/>
            <rFont val="MS P ゴシック"/>
            <family val="3"/>
          </rPr>
          <t>R7.5.16</t>
        </r>
        <r>
          <rPr>
            <b/>
            <sz val="9"/>
            <color rgb="FF000000"/>
            <rFont val="WenQuanYi Zen Hei"/>
            <family val="2"/>
          </rPr>
          <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L41" authorId="0" shapeId="0" xr:uid="{00000000-0006-0000-1400-000001000000}">
      <text>
        <r>
          <rPr>
            <sz val="6"/>
            <color rgb="FF000000"/>
            <rFont val="WenQuanYi Zen Hei"/>
            <family val="2"/>
          </rPr>
          <t xml:space="preserve">令和２年度決算時、補助金の内容が介護分だったにもかかわらず、短期の「その他収入」に計上していたため、令和２年度の介護損失金が誤ったまま計上されたもの。組合会後に判明したため、令和３年度決算にて調整する。
</t>
        </r>
        <r>
          <rPr>
            <sz val="6"/>
            <color rgb="FF000000"/>
            <rFont val="MS P ゴシック"/>
            <family val="3"/>
          </rPr>
          <t>R4</t>
        </r>
        <r>
          <rPr>
            <sz val="6"/>
            <color rgb="FF000000"/>
            <rFont val="WenQuanYi Zen Hei"/>
            <family val="2"/>
          </rPr>
          <t>決算時は何もないため</t>
        </r>
        <r>
          <rPr>
            <sz val="6"/>
            <color rgb="FF000000"/>
            <rFont val="MS P ゴシック"/>
            <family val="3"/>
          </rPr>
          <t>0</t>
        </r>
        <r>
          <rPr>
            <sz val="6"/>
            <color rgb="FF000000"/>
            <rFont val="WenQuanYi Zen Hei"/>
            <family val="2"/>
          </rPr>
          <t>円</t>
        </r>
      </text>
    </comment>
    <comment ref="L65" authorId="0" shapeId="0" xr:uid="{00000000-0006-0000-1400-000002000000}">
      <text>
        <r>
          <rPr>
            <sz val="6"/>
            <color rgb="FF000000"/>
            <rFont val="WenQuanYi Zen Hei"/>
            <family val="2"/>
          </rPr>
          <t xml:space="preserve">令和２年度決算時、補助金の内容が介護分だったにもかかわらず、短期の「その他収入」に計上していたため、令和２年度の短期利益金が誤ったまま計上されたもの。組合会後に判明したため、令和３年度決算にて調整する。
</t>
        </r>
        <r>
          <rPr>
            <sz val="6"/>
            <color rgb="FF000000"/>
            <rFont val="MS P ゴシック"/>
            <family val="3"/>
          </rPr>
          <t>R4</t>
        </r>
        <r>
          <rPr>
            <sz val="6"/>
            <color rgb="FF000000"/>
            <rFont val="WenQuanYi Zen Hei"/>
            <family val="2"/>
          </rPr>
          <t>決算時は何もないため</t>
        </r>
        <r>
          <rPr>
            <sz val="6"/>
            <color rgb="FF000000"/>
            <rFont val="MS P ゴシック"/>
            <family val="3"/>
          </rPr>
          <t>0</t>
        </r>
        <r>
          <rPr>
            <sz val="6"/>
            <color rgb="FF000000"/>
            <rFont val="WenQuanYi Zen Hei"/>
            <family val="2"/>
          </rPr>
          <t>円</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48" authorId="0" shapeId="0" xr:uid="{00000000-0006-0000-1500-000001000000}">
      <text>
        <r>
          <rPr>
            <sz val="9"/>
            <color rgb="FF000000"/>
            <rFont val="WenQuanYi Zen Hei"/>
            <family val="2"/>
          </rPr>
          <t>短期：</t>
        </r>
        <r>
          <rPr>
            <sz val="9"/>
            <color rgb="FF000000"/>
            <rFont val="MS P ゴシック"/>
            <family val="3"/>
          </rPr>
          <t>54568</t>
        </r>
        <r>
          <rPr>
            <sz val="9"/>
            <color rgb="FF000000"/>
            <rFont val="WenQuanYi Zen Hei"/>
            <family val="2"/>
          </rPr>
          <t>円
介護：　　</t>
        </r>
        <r>
          <rPr>
            <sz val="9"/>
            <color rgb="FF000000"/>
            <rFont val="MS P ゴシック"/>
            <family val="3"/>
          </rPr>
          <t>0</t>
        </r>
        <r>
          <rPr>
            <sz val="9"/>
            <color rgb="FF000000"/>
            <rFont val="WenQuanYi Zen Hei"/>
            <family val="2"/>
          </rPr>
          <t xml:space="preserve">円
</t>
        </r>
      </text>
    </comment>
    <comment ref="Q117" authorId="0" shapeId="0" xr:uid="{00000000-0006-0000-1500-000002000000}">
      <text>
        <r>
          <rPr>
            <sz val="9"/>
            <color rgb="FF000000"/>
            <rFont val="WenQuanYi Zen Hei"/>
            <family val="2"/>
          </rPr>
          <t>　利益剰余金　　</t>
        </r>
        <r>
          <rPr>
            <sz val="9"/>
            <color rgb="FF000000"/>
            <rFont val="MS P ゴシック"/>
            <family val="3"/>
          </rPr>
          <t xml:space="preserve">3,050,135,774
</t>
        </r>
        <r>
          <rPr>
            <sz val="9"/>
            <color rgb="FF000000"/>
            <rFont val="WenQuanYi Zen Hei"/>
            <family val="2"/>
          </rPr>
          <t>－欠損補填積立金　</t>
        </r>
        <r>
          <rPr>
            <sz val="9"/>
            <color rgb="FF000000"/>
            <rFont val="MS P ゴシック"/>
            <family val="3"/>
          </rPr>
          <t>533,584,212</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9" authorId="0" shapeId="0" xr:uid="{00000000-0006-0000-1600-000001000000}">
      <text>
        <r>
          <rPr>
            <b/>
            <sz val="9"/>
            <color rgb="FF000000"/>
            <rFont val="MS P ゴシック"/>
            <family val="3"/>
          </rPr>
          <t>I49</t>
        </r>
        <r>
          <rPr>
            <b/>
            <sz val="9"/>
            <color rgb="FF000000"/>
            <rFont val="WenQuanYi Zen Hei"/>
            <family val="2"/>
          </rPr>
          <t>を入力</t>
        </r>
      </text>
    </comment>
    <comment ref="I49" authorId="0" shapeId="0" xr:uid="{00000000-0006-0000-1600-000002000000}">
      <text>
        <r>
          <rPr>
            <b/>
            <sz val="9"/>
            <color rgb="FF000000"/>
            <rFont val="WenQuanYi Zen Hei"/>
            <family val="2"/>
          </rPr>
          <t>精算表の貸方　差引残高</t>
        </r>
      </text>
    </comment>
    <comment ref="I55" authorId="0" shapeId="0" xr:uid="{00000000-0006-0000-1600-000003000000}">
      <text>
        <r>
          <rPr>
            <b/>
            <sz val="9"/>
            <color rgb="FF000000"/>
            <rFont val="WenQuanYi Zen Hei"/>
            <family val="2"/>
          </rPr>
          <t>精算表の貸方　差引残高</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V138" authorId="0" shapeId="0" xr:uid="{00000000-0006-0000-2800-000001000000}">
      <text>
        <r>
          <rPr>
            <sz val="9"/>
            <color rgb="FF000000"/>
            <rFont val="WenQuanYi Zen Hei"/>
            <family val="2"/>
          </rPr>
          <t xml:space="preserve">非表示あり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4" authorId="0" shapeId="0" xr:uid="{00000000-0006-0000-2900-000001000000}">
      <text>
        <r>
          <rPr>
            <b/>
            <sz val="9"/>
            <color rgb="FF000000"/>
            <rFont val="WenQuanYi Zen Hei"/>
            <family val="2"/>
          </rPr>
          <t>立替金含む未払金の合計</t>
        </r>
      </text>
    </comment>
    <comment ref="F19" authorId="0" shapeId="0" xr:uid="{00000000-0006-0000-2900-000002000000}">
      <text>
        <r>
          <rPr>
            <b/>
            <sz val="9"/>
            <color rgb="FF000000"/>
            <rFont val="WenQuanYi Zen Hei"/>
            <family val="2"/>
          </rPr>
          <t>当期利益金の２倍</t>
        </r>
      </text>
    </comment>
    <comment ref="F39" authorId="0" shapeId="0" xr:uid="{00000000-0006-0000-2900-000003000000}">
      <text>
        <r>
          <rPr>
            <b/>
            <sz val="9"/>
            <color rgb="FF000000"/>
            <rFont val="WenQuanYi Zen Hei"/>
            <family val="2"/>
          </rPr>
          <t>未収金</t>
        </r>
      </text>
    </comment>
    <comment ref="F44" authorId="0" shapeId="0" xr:uid="{00000000-0006-0000-2900-000004000000}">
      <text>
        <r>
          <rPr>
            <b/>
            <sz val="9"/>
            <color rgb="FF000000"/>
            <rFont val="WenQuanYi Zen Hei"/>
            <family val="2"/>
          </rPr>
          <t>未収金</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3" authorId="0" shapeId="0" xr:uid="{00000000-0006-0000-2B00-000001000000}">
      <text>
        <r>
          <rPr>
            <b/>
            <sz val="9"/>
            <color rgb="FF000000"/>
            <rFont val="WenQuanYi Zen Hei"/>
            <family val="2"/>
          </rPr>
          <t>決算精算表小科目を参考にする</t>
        </r>
      </text>
    </comment>
    <comment ref="G50" authorId="0" shapeId="0" xr:uid="{00000000-0006-0000-2B00-000002000000}">
      <text>
        <r>
          <rPr>
            <sz val="9"/>
            <color rgb="FF000000"/>
            <rFont val="WenQuanYi Zen Hei"/>
            <family val="2"/>
          </rPr>
          <t>マイナスのため</t>
        </r>
        <r>
          <rPr>
            <sz val="9"/>
            <color rgb="FF000000"/>
            <rFont val="MS P ゴシック"/>
            <family val="3"/>
          </rPr>
          <t xml:space="preserve">0
</t>
        </r>
        <r>
          <rPr>
            <sz val="9"/>
            <color rgb="FF000000"/>
            <rFont val="WenQuanYi Zen Hei"/>
            <family val="2"/>
          </rPr>
          <t xml:space="preserve">損失の場合は
</t>
        </r>
        <r>
          <rPr>
            <sz val="9"/>
            <color rgb="FF000000"/>
            <rFont val="MS P ゴシック"/>
            <family val="3"/>
          </rPr>
          <t>=D37+D55-H37-H46</t>
        </r>
        <r>
          <rPr>
            <sz val="9"/>
            <color rgb="FF000000"/>
            <rFont val="WenQuanYi Zen Hei"/>
            <family val="2"/>
          </rPr>
          <t xml:space="preserve">を入力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59" authorId="0" shapeId="0" xr:uid="{00000000-0006-0000-2C00-000001000000}">
      <text>
        <r>
          <rPr>
            <sz val="9"/>
            <color rgb="FF000000"/>
            <rFont val="WenQuanYi Zen Hei"/>
            <family val="2"/>
          </rPr>
          <t>特定健康診査等負担金</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10" authorId="0" shapeId="0" xr:uid="{00000000-0006-0000-2D00-000001000000}">
      <text>
        <r>
          <rPr>
            <sz val="9"/>
            <color rgb="FF000000"/>
            <rFont val="MS P ゴシック"/>
            <family val="3"/>
          </rPr>
          <t>0</t>
        </r>
        <r>
          <rPr>
            <sz val="9"/>
            <color rgb="FF000000"/>
            <rFont val="WenQuanYi Zen Hei"/>
            <family val="2"/>
          </rPr>
          <t>なので文字色消した</t>
        </r>
      </text>
    </comment>
    <comment ref="C10" authorId="0" shapeId="0" xr:uid="{00000000-0006-0000-2D00-000006000000}">
      <text>
        <r>
          <rPr>
            <sz val="9"/>
            <color rgb="FF000000"/>
            <rFont val="MS P ゴシック"/>
            <family val="3"/>
          </rPr>
          <t>0</t>
        </r>
        <r>
          <rPr>
            <sz val="9"/>
            <color rgb="FF000000"/>
            <rFont val="WenQuanYi Zen Hei"/>
            <family val="2"/>
          </rPr>
          <t xml:space="preserve">なので文字色消した
</t>
        </r>
      </text>
    </comment>
    <comment ref="A11" authorId="0" shapeId="0" xr:uid="{00000000-0006-0000-2D00-000002000000}">
      <text>
        <r>
          <rPr>
            <sz val="9"/>
            <color rgb="FF000000"/>
            <rFont val="MS P ゴシック"/>
            <family val="3"/>
          </rPr>
          <t>0</t>
        </r>
        <r>
          <rPr>
            <sz val="9"/>
            <color rgb="FF000000"/>
            <rFont val="WenQuanYi Zen Hei"/>
            <family val="2"/>
          </rPr>
          <t>なので文字色消した</t>
        </r>
      </text>
    </comment>
    <comment ref="C11" authorId="0" shapeId="0" xr:uid="{00000000-0006-0000-2D00-000007000000}">
      <text>
        <r>
          <rPr>
            <b/>
            <sz val="9"/>
            <color rgb="FF000000"/>
            <rFont val="MS P ゴシック"/>
            <family val="3"/>
          </rPr>
          <t>0</t>
        </r>
        <r>
          <rPr>
            <b/>
            <sz val="9"/>
            <color rgb="FF000000"/>
            <rFont val="WenQuanYi Zen Hei"/>
            <family val="2"/>
          </rPr>
          <t>なので文字色消した</t>
        </r>
      </text>
    </comment>
    <comment ref="A13" authorId="0" shapeId="0" xr:uid="{00000000-0006-0000-2D00-000003000000}">
      <text>
        <r>
          <rPr>
            <b/>
            <sz val="9"/>
            <color rgb="FF000000"/>
            <rFont val="MS P ゴシック"/>
            <family val="3"/>
          </rPr>
          <t>0</t>
        </r>
        <r>
          <rPr>
            <b/>
            <sz val="9"/>
            <color rgb="FF000000"/>
            <rFont val="WenQuanYi Zen Hei"/>
            <family val="2"/>
          </rPr>
          <t>なので文字色消した</t>
        </r>
      </text>
    </comment>
    <comment ref="B13" authorId="0" shapeId="0" xr:uid="{00000000-0006-0000-2D00-000004000000}">
      <text>
        <r>
          <rPr>
            <b/>
            <sz val="9"/>
            <color rgb="FF000000"/>
            <rFont val="MS P ゴシック"/>
            <family val="3"/>
          </rPr>
          <t>0</t>
        </r>
        <r>
          <rPr>
            <b/>
            <sz val="9"/>
            <color rgb="FF000000"/>
            <rFont val="WenQuanYi Zen Hei"/>
            <family val="2"/>
          </rPr>
          <t>なので文字色消した</t>
        </r>
      </text>
    </comment>
    <comment ref="F20" authorId="0" shapeId="0" xr:uid="{00000000-0006-0000-2D00-000009000000}">
      <text>
        <r>
          <rPr>
            <sz val="9"/>
            <color rgb="FF000000"/>
            <rFont val="MS P ゴシック"/>
            <family val="3"/>
          </rPr>
          <t>0</t>
        </r>
        <r>
          <rPr>
            <sz val="9"/>
            <color rgb="FF000000"/>
            <rFont val="WenQuanYi Zen Hei"/>
            <family val="2"/>
          </rPr>
          <t>なので文字色消した</t>
        </r>
      </text>
    </comment>
    <comment ref="G20" authorId="0" shapeId="0" xr:uid="{00000000-0006-0000-2D00-00000B000000}">
      <text>
        <r>
          <rPr>
            <sz val="9"/>
            <color rgb="FF000000"/>
            <rFont val="MS P ゴシック"/>
            <family val="3"/>
          </rPr>
          <t>0</t>
        </r>
        <r>
          <rPr>
            <sz val="9"/>
            <color rgb="FF000000"/>
            <rFont val="WenQuanYi Zen Hei"/>
            <family val="2"/>
          </rPr>
          <t>なので文字色消した</t>
        </r>
      </text>
    </comment>
    <comment ref="G21" authorId="0" shapeId="0" xr:uid="{00000000-0006-0000-2D00-00000C000000}">
      <text>
        <r>
          <rPr>
            <sz val="9"/>
            <color rgb="FF000000"/>
            <rFont val="MS P ゴシック"/>
            <family val="3"/>
          </rPr>
          <t>0</t>
        </r>
        <r>
          <rPr>
            <sz val="9"/>
            <color rgb="FF000000"/>
            <rFont val="WenQuanYi Zen Hei"/>
            <family val="2"/>
          </rPr>
          <t>なので文字色消した</t>
        </r>
      </text>
    </comment>
    <comment ref="G24" authorId="0" shapeId="0" xr:uid="{00000000-0006-0000-2D00-00000D000000}">
      <text>
        <r>
          <rPr>
            <sz val="9"/>
            <color rgb="FF000000"/>
            <rFont val="MS P ゴシック"/>
            <family val="3"/>
          </rPr>
          <t>0</t>
        </r>
        <r>
          <rPr>
            <sz val="9"/>
            <color rgb="FF000000"/>
            <rFont val="WenQuanYi Zen Hei"/>
            <family val="2"/>
          </rPr>
          <t>なので文字色消しました。</t>
        </r>
      </text>
    </comment>
    <comment ref="B46" authorId="0" shapeId="0" xr:uid="{00000000-0006-0000-2D00-000005000000}">
      <text>
        <r>
          <rPr>
            <b/>
            <sz val="9"/>
            <color rgb="FF000000"/>
            <rFont val="MS P ゴシック"/>
            <family val="3"/>
          </rPr>
          <t>0</t>
        </r>
        <r>
          <rPr>
            <b/>
            <sz val="9"/>
            <color rgb="FF000000"/>
            <rFont val="WenQuanYi Zen Hei"/>
            <family val="2"/>
          </rPr>
          <t>なので文字色を白にしました</t>
        </r>
      </text>
    </comment>
    <comment ref="D47" authorId="0" shapeId="0" xr:uid="{00000000-0006-0000-2D00-000008000000}">
      <text>
        <r>
          <rPr>
            <sz val="9"/>
            <color rgb="FF000000"/>
            <rFont val="WenQuanYi Zen Hei"/>
            <family val="2"/>
          </rPr>
          <t>決算精算表の
掛金</t>
        </r>
        <r>
          <rPr>
            <sz val="9"/>
            <color rgb="FF000000"/>
            <rFont val="MS P ゴシック"/>
            <family val="3"/>
          </rPr>
          <t>+</t>
        </r>
        <r>
          <rPr>
            <sz val="9"/>
            <color rgb="FF000000"/>
            <rFont val="WenQuanYi Zen Hei"/>
            <family val="2"/>
          </rPr>
          <t>短期任意継続掛金の合計</t>
        </r>
      </text>
    </comment>
    <comment ref="F52" authorId="0" shapeId="0" xr:uid="{00000000-0006-0000-2D00-00000A000000}">
      <text>
        <r>
          <rPr>
            <b/>
            <sz val="9"/>
            <color rgb="FF000000"/>
            <rFont val="MS P ゴシック"/>
            <family val="3"/>
          </rPr>
          <t>0</t>
        </r>
        <r>
          <rPr>
            <b/>
            <sz val="9"/>
            <color rgb="FF000000"/>
            <rFont val="WenQuanYi Zen Hei"/>
            <family val="2"/>
          </rPr>
          <t>のため文字色を白にしました。</t>
        </r>
      </text>
    </comment>
    <comment ref="G52" authorId="0" shapeId="0" xr:uid="{00000000-0006-0000-2D00-00000E000000}">
      <text>
        <r>
          <rPr>
            <b/>
            <sz val="9"/>
            <color rgb="FF000000"/>
            <rFont val="WenQuanYi Zen Hei"/>
            <family val="2"/>
          </rPr>
          <t xml:space="preserve">マイナスのため計算削除
</t>
        </r>
        <r>
          <rPr>
            <b/>
            <sz val="9"/>
            <color rgb="FF000000"/>
            <rFont val="MS P ゴシック"/>
            <family val="3"/>
          </rPr>
          <t xml:space="preserve">=A27+A28+A29+A30+A31+A32+A33+A34+A35+A36+A37+A38+A39+A40+A41+A42+A43+A44-G46-G47-G48-G49-G50-G51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J12" authorId="0" shapeId="0" xr:uid="{00000000-0006-0000-3000-000002000000}">
      <text>
        <r>
          <rPr>
            <sz val="9"/>
            <color rgb="FF000000"/>
            <rFont val="WenQuanYi Zen Hei"/>
            <family val="2"/>
          </rPr>
          <t>貸付決定通知より</t>
        </r>
      </text>
    </comment>
    <comment ref="N12" authorId="0" shapeId="0" xr:uid="{00000000-0006-0000-3000-000003000000}">
      <text>
        <r>
          <rPr>
            <sz val="9"/>
            <color rgb="FF000000"/>
            <rFont val="WenQuanYi Zen Hei"/>
            <family val="2"/>
          </rPr>
          <t>期末残高があうように、差し引きする</t>
        </r>
      </text>
    </comment>
    <comment ref="S26" authorId="0" shapeId="0" xr:uid="{00000000-0006-0000-3000-000004000000}">
      <text>
        <r>
          <rPr>
            <b/>
            <sz val="9"/>
            <color rgb="FF000000"/>
            <rFont val="WenQuanYi Zen Hei"/>
            <family val="2"/>
          </rPr>
          <t>未収収益算出資料　参照　庶務係＞決算資料＞参考資料＞</t>
        </r>
        <r>
          <rPr>
            <b/>
            <sz val="9"/>
            <color rgb="FF000000"/>
            <rFont val="MS P ゴシック"/>
            <family val="3"/>
          </rPr>
          <t>R7</t>
        </r>
        <r>
          <rPr>
            <b/>
            <sz val="9"/>
            <color rgb="FF000000"/>
            <rFont val="WenQuanYi Zen Hei"/>
            <family val="2"/>
          </rPr>
          <t>決算関係【貸付】</t>
        </r>
      </text>
    </comment>
    <comment ref="I79" authorId="0" shapeId="0" xr:uid="{00000000-0006-0000-3000-000001000000}">
      <text>
        <r>
          <rPr>
            <sz val="8"/>
            <color rgb="FF000000"/>
            <rFont val="ＭＳ Ｐゴシック"/>
            <family val="3"/>
          </rPr>
          <t>H20.4</t>
        </r>
        <r>
          <rPr>
            <sz val="8"/>
            <color rgb="FF000000"/>
            <rFont val="WenQuanYi Zen Hei"/>
            <family val="2"/>
          </rPr>
          <t>から改正予定
　・９５％まで償却
　・翌年以降別算式あり
　・最後　残存簿価</t>
        </r>
        <r>
          <rPr>
            <sz val="8"/>
            <color rgb="FF000000"/>
            <rFont val="ＭＳ Ｐゴシック"/>
            <family val="3"/>
          </rPr>
          <t>1</t>
        </r>
        <r>
          <rPr>
            <sz val="8"/>
            <color rgb="FF000000"/>
            <rFont val="WenQuanYi Zen Hei"/>
            <family val="2"/>
          </rPr>
          <t>円まで償却</t>
        </r>
      </text>
    </comment>
  </commentList>
</comments>
</file>

<file path=xl/sharedStrings.xml><?xml version="1.0" encoding="utf-8"?>
<sst xmlns="http://schemas.openxmlformats.org/spreadsheetml/2006/main" count="9478" uniqueCount="3256">
  <si>
    <t>経理</t>
  </si>
  <si>
    <t>シート</t>
  </si>
  <si>
    <t>共通（総括・概況・表紙）</t>
  </si>
  <si>
    <t>目次</t>
  </si>
  <si>
    <t>事業状況報告書</t>
  </si>
  <si>
    <t>決算報告書</t>
  </si>
  <si>
    <t>財務諸表</t>
  </si>
  <si>
    <t>短期経理</t>
  </si>
  <si>
    <t>厚生年金保険経理</t>
  </si>
  <si>
    <t>退職等年金経理</t>
  </si>
  <si>
    <t>経過的長期経理</t>
  </si>
  <si>
    <t>退職等年金預託金管理経理</t>
  </si>
  <si>
    <t>業務経理</t>
  </si>
  <si>
    <t>保健経理</t>
  </si>
  <si>
    <t>貸付経理</t>
  </si>
  <si>
    <t>一般組合員</t>
  </si>
  <si>
    <t>（</t>
  </si>
  <si>
    <t>短期組合員</t>
  </si>
  <si>
    <t>市長組合員</t>
  </si>
  <si>
    <t>特定消防組合員</t>
  </si>
  <si>
    <t>継続長期組合員</t>
  </si>
  <si>
    <t>〔</t>
  </si>
  <si>
    <t>任意継続組合員</t>
  </si>
  <si>
    <t>長期</t>
  </si>
  <si>
    <t>短期</t>
  </si>
  <si>
    <t>後期高齢者等短期組合員</t>
  </si>
  <si>
    <t>一 般 職</t>
  </si>
  <si>
    <t>調整負担金率</t>
  </si>
  <si>
    <t>公的負担金率</t>
  </si>
  <si>
    <t>短期負担金</t>
  </si>
  <si>
    <t>公的負担金</t>
  </si>
  <si>
    <t>介護負担金</t>
  </si>
  <si>
    <t>短期掛金</t>
  </si>
  <si>
    <t>介護掛金</t>
  </si>
  <si>
    <t>短期任意継続掛金</t>
  </si>
  <si>
    <t>介護任意継続掛金</t>
  </si>
  <si>
    <t>出産育児交付金</t>
  </si>
  <si>
    <t>雑収入</t>
  </si>
  <si>
    <t>連合会交付金</t>
  </si>
  <si>
    <t>調整交付金</t>
  </si>
  <si>
    <t>特別調整交付金</t>
  </si>
  <si>
    <t>高額医療交付金</t>
  </si>
  <si>
    <t>災害給付交付金</t>
  </si>
  <si>
    <t>育児休業支援手当金交付金</t>
  </si>
  <si>
    <t>育児時短勤務手当金交付金</t>
  </si>
  <si>
    <t>調整負担金</t>
  </si>
  <si>
    <t>補助金</t>
  </si>
  <si>
    <t>短期利息及び短期配当金</t>
  </si>
  <si>
    <t>介護利息</t>
  </si>
  <si>
    <t>賠償金</t>
  </si>
  <si>
    <t>前年度繰越支払準備金</t>
  </si>
  <si>
    <t>前期損益修正益</t>
  </si>
  <si>
    <t>療養の給付</t>
  </si>
  <si>
    <t>訪問看護療養の給付</t>
  </si>
  <si>
    <t>家族療養の給付</t>
  </si>
  <si>
    <t>家族訪問看護療養の給付</t>
  </si>
  <si>
    <t>高額療養の給付</t>
  </si>
  <si>
    <t>療養費</t>
  </si>
  <si>
    <t>家族療養費</t>
  </si>
  <si>
    <t>高額療養費</t>
  </si>
  <si>
    <t>高額介護合算療養費</t>
  </si>
  <si>
    <t>薬剤支給</t>
  </si>
  <si>
    <t>移送費</t>
  </si>
  <si>
    <t>家族移送費</t>
  </si>
  <si>
    <t>出産費</t>
  </si>
  <si>
    <t>家族出産費</t>
  </si>
  <si>
    <t>埋葬料</t>
  </si>
  <si>
    <t>家族埋葬料</t>
  </si>
  <si>
    <t>傷病手当金</t>
  </si>
  <si>
    <t>出産手当金</t>
  </si>
  <si>
    <t>休業手当金</t>
  </si>
  <si>
    <t>育児休業手当金</t>
  </si>
  <si>
    <t>育児休業支援手当金</t>
  </si>
  <si>
    <t>介護休業手当金</t>
  </si>
  <si>
    <t>育児時短勤務手当金</t>
  </si>
  <si>
    <t>弔慰金</t>
  </si>
  <si>
    <t>家族弔慰金</t>
  </si>
  <si>
    <t>災害見舞金</t>
  </si>
  <si>
    <t>家族療養費附加金</t>
  </si>
  <si>
    <t>家族訪問看護療養費附加金</t>
  </si>
  <si>
    <t>出産費附加金</t>
  </si>
  <si>
    <t>家族出産費附加金</t>
  </si>
  <si>
    <t>埋葬料附加金</t>
  </si>
  <si>
    <t>家族埋葬料附加金</t>
  </si>
  <si>
    <t>傷病手当金附加金</t>
  </si>
  <si>
    <t>前期高齢者納付金</t>
  </si>
  <si>
    <t>後期高齢者支援金</t>
  </si>
  <si>
    <t>退職者給付拠出金</t>
  </si>
  <si>
    <t>出産育児関係事務費拠出金</t>
  </si>
  <si>
    <t>病床転換支援金</t>
  </si>
  <si>
    <t>介護納付金</t>
  </si>
  <si>
    <t>流行初期医療確保拠出金</t>
  </si>
  <si>
    <t>一部負担金払戻金</t>
  </si>
  <si>
    <t>短期任意継続掛金還付金</t>
  </si>
  <si>
    <t>介護任意継続掛金還付金</t>
  </si>
  <si>
    <t>災害給付払込金</t>
  </si>
  <si>
    <t>財政調整払込金</t>
  </si>
  <si>
    <t>特別調整拠出金</t>
  </si>
  <si>
    <t>業務経理へ繰入</t>
  </si>
  <si>
    <t>次年度繰越支払準備金（Ｂ）</t>
  </si>
  <si>
    <t>入院</t>
  </si>
  <si>
    <t>外来</t>
  </si>
  <si>
    <t>歯科</t>
  </si>
  <si>
    <t>回</t>
  </si>
  <si>
    <t>高額療養の給付・高額療養費</t>
  </si>
  <si>
    <t>掛金・負担金等</t>
  </si>
  <si>
    <t>利息及び配当金</t>
  </si>
  <si>
    <t>交付金</t>
  </si>
  <si>
    <t>その他</t>
  </si>
  <si>
    <t>法定給付</t>
  </si>
  <si>
    <t>退職者給付拠出金・病床転換支援金</t>
  </si>
  <si>
    <t>前期高齢者納付金・後期高齢者支援金等</t>
  </si>
  <si>
    <t>次年度繰越支払準備金</t>
  </si>
  <si>
    <t>附加給付</t>
  </si>
  <si>
    <t>（標準報酬の月額分）</t>
  </si>
  <si>
    <t>（標準期末手当等分）</t>
  </si>
  <si>
    <t>（公的負担金）</t>
  </si>
  <si>
    <t>（追加費用）</t>
  </si>
  <si>
    <t>（旧恩給組合条例給付に係る払込金）</t>
  </si>
  <si>
    <t>預金</t>
  </si>
  <si>
    <t>貸付経理へ貸付金</t>
  </si>
  <si>
    <t>地方公共団体負担金（総額）</t>
  </si>
  <si>
    <t>( A )</t>
  </si>
  <si>
    <t>( B )</t>
  </si>
  <si>
    <t>事務費（連合会交付金）</t>
  </si>
  <si>
    <t>負担金</t>
  </si>
  <si>
    <t>短期経理より繰入</t>
  </si>
  <si>
    <t>役員報酬</t>
  </si>
  <si>
    <t>職員給与</t>
  </si>
  <si>
    <t>厚生費</t>
  </si>
  <si>
    <t>旅費</t>
  </si>
  <si>
    <t>事務費</t>
  </si>
  <si>
    <t>賃金</t>
  </si>
  <si>
    <t>委託費</t>
  </si>
  <si>
    <t>会議費</t>
  </si>
  <si>
    <t>光熱水料</t>
  </si>
  <si>
    <t>修繕費</t>
  </si>
  <si>
    <t>賃借料</t>
  </si>
  <si>
    <t>普及費</t>
  </si>
  <si>
    <t>諸謝金</t>
  </si>
  <si>
    <t>連合会分担金</t>
  </si>
  <si>
    <t>事務費負担金払込金</t>
  </si>
  <si>
    <t>減価償却費</t>
  </si>
  <si>
    <t>前期損益修正損</t>
  </si>
  <si>
    <t>固定資産除却損</t>
  </si>
  <si>
    <t>（特定健診等負担金）</t>
  </si>
  <si>
    <t>特定健康診査等収入</t>
  </si>
  <si>
    <t>施設収入</t>
  </si>
  <si>
    <t>寄附金</t>
  </si>
  <si>
    <t>特定健康診査等費</t>
  </si>
  <si>
    <t>事業用消耗品費</t>
  </si>
  <si>
    <t>洗濯費</t>
  </si>
  <si>
    <t>保険料</t>
  </si>
  <si>
    <t>人間ドック</t>
  </si>
  <si>
    <t>胃がん</t>
  </si>
  <si>
    <t>乳がん</t>
  </si>
  <si>
    <t>子宮がん</t>
  </si>
  <si>
    <t>婦人科検診</t>
  </si>
  <si>
    <t>歯科検診</t>
  </si>
  <si>
    <t>予防接種助成</t>
  </si>
  <si>
    <t>健康相談・カウンセリング</t>
  </si>
  <si>
    <t>保養所「コテージ湯の山」の運営</t>
  </si>
  <si>
    <t>健康組合員・家族表彰</t>
  </si>
  <si>
    <t>保健関係図書</t>
  </si>
  <si>
    <t>医療費通知</t>
  </si>
  <si>
    <t>後発医薬品差額通知</t>
  </si>
  <si>
    <t>特定健康診査</t>
  </si>
  <si>
    <t>特定保健指導</t>
  </si>
  <si>
    <t>産業マッサージ利用助成</t>
  </si>
  <si>
    <t>データヘルス計画事業</t>
  </si>
  <si>
    <t>会員制福利厚生制度</t>
  </si>
  <si>
    <t>事務費等</t>
  </si>
  <si>
    <t>組合員貸付金利息</t>
  </si>
  <si>
    <t>食糧費</t>
  </si>
  <si>
    <t>支払利息</t>
  </si>
  <si>
    <t>連合会払込金</t>
  </si>
  <si>
    <t>雑費</t>
  </si>
  <si>
    <t>×</t>
  </si>
  <si>
    <t>普通貸付</t>
  </si>
  <si>
    <t>住宅貸付</t>
  </si>
  <si>
    <t>在宅介護対応住宅貸付</t>
  </si>
  <si>
    <t>家財</t>
  </si>
  <si>
    <t>住宅</t>
  </si>
  <si>
    <t>再貸付</t>
  </si>
  <si>
    <t>医療</t>
  </si>
  <si>
    <t>入学</t>
  </si>
  <si>
    <t>修学</t>
  </si>
  <si>
    <t>結婚</t>
  </si>
  <si>
    <t>15</t>
  </si>
  <si>
    <t>葬祭</t>
  </si>
  <si>
    <t>出産貸付</t>
  </si>
  <si>
    <t>当期短期損失金</t>
  </si>
  <si>
    <t>当期介護損失金</t>
  </si>
  <si>
    <t>(c′)</t>
  </si>
  <si>
    <t>普通預金</t>
  </si>
  <si>
    <t>一般振替口座</t>
  </si>
  <si>
    <t>掛金</t>
  </si>
  <si>
    <t>支払基金委託金</t>
  </si>
  <si>
    <t>保健給付</t>
  </si>
  <si>
    <t>休業給付</t>
  </si>
  <si>
    <t>預り金</t>
  </si>
  <si>
    <t>欠損金補てん積立金</t>
  </si>
  <si>
    <t>短期積立金</t>
  </si>
  <si>
    <t>介護積立金</t>
  </si>
  <si>
    <t>支払準備金</t>
  </si>
  <si>
    <t>育児休業等給付交付金</t>
  </si>
  <si>
    <t>未収組合員保険料</t>
  </si>
  <si>
    <t>地方公共団体負担金</t>
  </si>
  <si>
    <t>職員団体負担金</t>
  </si>
  <si>
    <t>標準報酬月額保険料</t>
  </si>
  <si>
    <t>標準期末手当等保険料</t>
  </si>
  <si>
    <t>過払金等返還金</t>
  </si>
  <si>
    <t>標準報酬月額掛金</t>
  </si>
  <si>
    <t>標準期末手当等掛金</t>
  </si>
  <si>
    <t>未収収益</t>
  </si>
  <si>
    <t>連合会預託金</t>
  </si>
  <si>
    <t>普 通 預 金</t>
  </si>
  <si>
    <t>立替金</t>
  </si>
  <si>
    <t>非常勤職員手当</t>
  </si>
  <si>
    <t>雇用保険保険料</t>
  </si>
  <si>
    <t>厚生年金保険料</t>
  </si>
  <si>
    <t>受入保証金</t>
  </si>
  <si>
    <t>器具及び備品</t>
  </si>
  <si>
    <t>５年</t>
  </si>
  <si>
    <t>４年</t>
  </si>
  <si>
    <t>積立金</t>
  </si>
  <si>
    <t>６</t>
  </si>
  <si>
    <t>電話加入権</t>
  </si>
  <si>
    <t>－</t>
  </si>
  <si>
    <t>減価償却累計額</t>
  </si>
  <si>
    <t>当期処分額</t>
  </si>
  <si>
    <t>別途積立金取り崩し</t>
  </si>
  <si>
    <t>積立金取り崩し</t>
  </si>
  <si>
    <t>当期損失金</t>
  </si>
  <si>
    <t>定 期 預 金</t>
  </si>
  <si>
    <t>合同運用金銭信託</t>
  </si>
  <si>
    <t>定期預金利息</t>
  </si>
  <si>
    <t>信託収益</t>
  </si>
  <si>
    <t>建物</t>
  </si>
  <si>
    <t>機械及び装置</t>
  </si>
  <si>
    <t>17</t>
  </si>
  <si>
    <t>〃</t>
  </si>
  <si>
    <t>加入金</t>
  </si>
  <si>
    <t>別途積立金</t>
  </si>
  <si>
    <t>退職給与引当金</t>
  </si>
  <si>
    <t>別途積立金を取り崩し積立金へ積立（コテージ湯の山解体）</t>
  </si>
  <si>
    <t>事業状況報告書・決算書</t>
  </si>
  <si>
    <t>広島市職員共済組合</t>
  </si>
  <si>
    <t>目                  次</t>
  </si>
  <si>
    <t>〔１〕 目的及び概況</t>
  </si>
  <si>
    <t>１．  目    的</t>
  </si>
  <si>
    <t xml:space="preserve">  組合は、組合員及びその家族の相互救済の事業を行い、もってこれらの者の生活の安定と福祉の向上に寄与するとともに、公務の能率的運営に資することを目的とする。</t>
  </si>
  <si>
    <t>２．  概    況</t>
  </si>
  <si>
    <t>(1)</t>
  </si>
  <si>
    <t>設立年月日</t>
  </si>
  <si>
    <t>昭和３７年１２月１日</t>
  </si>
  <si>
    <t>(2)</t>
  </si>
  <si>
    <t>根拠法</t>
  </si>
  <si>
    <t>地方公務員等共済組合法</t>
  </si>
  <si>
    <t>(3)</t>
  </si>
  <si>
    <t>主務大臣</t>
  </si>
  <si>
    <t>総務大臣</t>
  </si>
  <si>
    <t>(4)</t>
  </si>
  <si>
    <t>事務所の所在地</t>
  </si>
  <si>
    <t>広島市中区国泰寺町一丁目６番３４号</t>
  </si>
  <si>
    <t>(5)</t>
  </si>
  <si>
    <t xml:space="preserve"> 業務の内容</t>
  </si>
  <si>
    <t>ア　短期給付事業</t>
  </si>
  <si>
    <t>医療給付等に関すること</t>
  </si>
  <si>
    <t>イ　長期給付事業</t>
  </si>
  <si>
    <t>年金給付等に関すること</t>
  </si>
  <si>
    <t>ウ　福  祉  事  業</t>
  </si>
  <si>
    <t>検診、健康相談、特定健康診査及び特定保健指導、貸付等に関すること</t>
  </si>
  <si>
    <t>エ　その他、目的を達成するために必要な事業</t>
  </si>
  <si>
    <r>
      <rPr>
        <sz val="16"/>
        <rFont val="WenQuanYi Zen Hei"/>
        <family val="2"/>
      </rPr>
      <t>〔</t>
    </r>
    <r>
      <rPr>
        <sz val="16"/>
        <rFont val="ＭＳ Ｐ明朝"/>
        <family val="1"/>
      </rPr>
      <t>2</t>
    </r>
    <r>
      <rPr>
        <sz val="16"/>
        <rFont val="WenQuanYi Zen Hei"/>
        <family val="2"/>
      </rPr>
      <t>〕  役員の状況</t>
    </r>
  </si>
  <si>
    <t>１．  定　数</t>
  </si>
  <si>
    <t>理事長</t>
  </si>
  <si>
    <t>１人</t>
  </si>
  <si>
    <t>理事長職務代理者</t>
  </si>
  <si>
    <t>理事</t>
  </si>
  <si>
    <t>６人</t>
  </si>
  <si>
    <t>監事</t>
  </si>
  <si>
    <t>３人</t>
  </si>
  <si>
    <t>役    職</t>
  </si>
  <si>
    <t>氏      名</t>
  </si>
  <si>
    <t>任      期  （ ２ 年 ）</t>
  </si>
  <si>
    <t>役員就任年月日</t>
  </si>
  <si>
    <t>村上　慎一郎</t>
  </si>
  <si>
    <r>
      <rPr>
        <sz val="9"/>
        <rFont val="WenQuanYi Zen Hei"/>
        <family val="2"/>
      </rPr>
      <t>令和</t>
    </r>
    <r>
      <rPr>
        <sz val="9"/>
        <rFont val="ＭＳ Ｐ明朝"/>
        <family val="1"/>
      </rPr>
      <t>7</t>
    </r>
    <r>
      <rPr>
        <sz val="9"/>
        <rFont val="WenQuanYi Zen Hei"/>
        <family val="2"/>
      </rPr>
      <t>年</t>
    </r>
    <r>
      <rPr>
        <sz val="9"/>
        <rFont val="ＭＳ Ｐ明朝"/>
        <family val="1"/>
      </rPr>
      <t>4</t>
    </r>
    <r>
      <rPr>
        <sz val="9"/>
        <rFont val="WenQuanYi Zen Hei"/>
        <family val="2"/>
      </rPr>
      <t>月</t>
    </r>
    <r>
      <rPr>
        <sz val="9"/>
        <rFont val="ＭＳ Ｐ明朝"/>
        <family val="1"/>
      </rPr>
      <t>1</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</si>
  <si>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</si>
  <si>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児玉　晃典</t>
  </si>
  <si>
    <r>
      <rPr>
        <sz val="9"/>
        <rFont val="WenQuanYi Zen Hei"/>
        <family val="2"/>
      </rPr>
      <t>令和</t>
    </r>
    <r>
      <rPr>
        <sz val="9"/>
        <rFont val="ＭＳ Ｐ明朝"/>
        <family val="1"/>
      </rPr>
      <t>6</t>
    </r>
    <r>
      <rPr>
        <sz val="9"/>
        <rFont val="WenQuanYi Zen Hei"/>
        <family val="2"/>
      </rPr>
      <t>年</t>
    </r>
    <r>
      <rPr>
        <sz val="9"/>
        <rFont val="ＭＳ Ｐ明朝"/>
        <family val="1"/>
      </rPr>
      <t>12</t>
    </r>
    <r>
      <rPr>
        <sz val="9"/>
        <rFont val="WenQuanYi Zen Hei"/>
        <family val="2"/>
      </rPr>
      <t>月</t>
    </r>
    <r>
      <rPr>
        <sz val="9"/>
        <rFont val="ＭＳ Ｐ明朝"/>
        <family val="1"/>
      </rPr>
      <t>1</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</si>
  <si>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5</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</si>
  <si>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理  事</t>
  </si>
  <si>
    <t>宝神　　明</t>
  </si>
  <si>
    <t>田尾　雅之</t>
  </si>
  <si>
    <r>
      <rPr>
        <sz val="10"/>
        <rFont val="WenQuanYi Zen Hei"/>
        <family val="2"/>
      </rPr>
      <t xml:space="preserve">令和 </t>
    </r>
    <r>
      <rPr>
        <sz val="10"/>
        <rFont val="ＭＳ Ｐ明朝"/>
        <family val="1"/>
      </rPr>
      <t>6</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</si>
  <si>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山田 八州太郎</t>
  </si>
  <si>
    <r>
      <rPr>
        <sz val="10"/>
        <rFont val="WenQuanYi Zen Hei"/>
        <family val="2"/>
      </rPr>
      <t>平成</t>
    </r>
    <r>
      <rPr>
        <sz val="10"/>
        <rFont val="ＭＳ Ｐ明朝"/>
        <family val="1"/>
      </rPr>
      <t>30</t>
    </r>
    <r>
      <rPr>
        <sz val="10"/>
        <rFont val="WenQuanYi Zen Hei"/>
        <family val="2"/>
      </rPr>
      <t>年</t>
    </r>
    <r>
      <rPr>
        <sz val="10"/>
        <rFont val="ＭＳ Ｐ明朝"/>
        <family val="1"/>
      </rPr>
      <t>12</t>
    </r>
    <r>
      <rPr>
        <sz val="10"/>
        <rFont val="WenQuanYi Zen Hei"/>
        <family val="2"/>
      </rPr>
      <t xml:space="preserve">月 </t>
    </r>
    <r>
      <rPr>
        <sz val="10"/>
        <rFont val="ＭＳ Ｐ明朝"/>
        <family val="1"/>
      </rPr>
      <t>1</t>
    </r>
    <r>
      <rPr>
        <sz val="10"/>
        <rFont val="WenQuanYi Zen Hei"/>
        <family val="2"/>
      </rPr>
      <t>日</t>
    </r>
  </si>
  <si>
    <t>柴野　敏雄</t>
  </si>
  <si>
    <r>
      <rPr>
        <sz val="10"/>
        <rFont val="WenQuanYi Zen Hei"/>
        <family val="2"/>
      </rPr>
      <t>平成</t>
    </r>
    <r>
      <rPr>
        <sz val="10"/>
        <rFont val="ＭＳ Ｐ明朝"/>
        <family val="1"/>
      </rPr>
      <t>31</t>
    </r>
    <r>
      <rPr>
        <sz val="10"/>
        <rFont val="WenQuanYi Zen Hei"/>
        <family val="2"/>
      </rPr>
      <t xml:space="preserve">年 </t>
    </r>
    <r>
      <rPr>
        <sz val="10"/>
        <rFont val="ＭＳ Ｐ明朝"/>
        <family val="1"/>
      </rPr>
      <t>3</t>
    </r>
    <r>
      <rPr>
        <sz val="10"/>
        <rFont val="WenQuanYi Zen Hei"/>
        <family val="2"/>
      </rPr>
      <t>月</t>
    </r>
    <r>
      <rPr>
        <sz val="10"/>
        <rFont val="ＭＳ Ｐ明朝"/>
        <family val="1"/>
      </rPr>
      <t>19</t>
    </r>
    <r>
      <rPr>
        <sz val="10"/>
        <rFont val="WenQuanYi Zen Hei"/>
        <family val="2"/>
      </rPr>
      <t>日</t>
    </r>
  </si>
  <si>
    <t>木下　克己</t>
  </si>
  <si>
    <r>
      <rPr>
        <sz val="10"/>
        <rFont val="WenQuanYi Zen Hei"/>
        <family val="2"/>
      </rPr>
      <t>平成</t>
    </r>
    <r>
      <rPr>
        <sz val="10"/>
        <rFont val="ＭＳ Ｐ明朝"/>
        <family val="1"/>
      </rPr>
      <t>25</t>
    </r>
    <r>
      <rPr>
        <sz val="10"/>
        <rFont val="WenQuanYi Zen Hei"/>
        <family val="2"/>
      </rPr>
      <t xml:space="preserve">年 </t>
    </r>
    <r>
      <rPr>
        <sz val="10"/>
        <rFont val="ＭＳ Ｐ明朝"/>
        <family val="1"/>
      </rPr>
      <t>3</t>
    </r>
    <r>
      <rPr>
        <sz val="10"/>
        <rFont val="WenQuanYi Zen Hei"/>
        <family val="2"/>
      </rPr>
      <t>月</t>
    </r>
    <r>
      <rPr>
        <sz val="10"/>
        <rFont val="ＭＳ Ｐ明朝"/>
        <family val="1"/>
      </rPr>
      <t>18</t>
    </r>
    <r>
      <rPr>
        <sz val="10"/>
        <rFont val="WenQuanYi Zen Hei"/>
        <family val="2"/>
      </rPr>
      <t>日</t>
    </r>
  </si>
  <si>
    <t>濵　喜代子</t>
  </si>
  <si>
    <r>
      <rPr>
        <sz val="10"/>
        <rFont val="WenQuanYi Zen Hei"/>
        <family val="2"/>
      </rPr>
      <t>平成</t>
    </r>
    <r>
      <rPr>
        <sz val="10"/>
        <rFont val="ＭＳ Ｐ明朝"/>
        <family val="1"/>
      </rPr>
      <t>26</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8</t>
    </r>
    <r>
      <rPr>
        <sz val="10"/>
        <rFont val="WenQuanYi Zen Hei"/>
        <family val="2"/>
      </rPr>
      <t>日</t>
    </r>
  </si>
  <si>
    <t>学識経験監事</t>
  </si>
  <si>
    <t>栗栖　一雄</t>
  </si>
  <si>
    <r>
      <rPr>
        <sz val="9"/>
        <rFont val="WenQuanYi Zen Hei"/>
        <family val="2"/>
      </rPr>
      <t>令和</t>
    </r>
    <r>
      <rPr>
        <sz val="9"/>
        <rFont val="ＭＳ Ｐ明朝"/>
        <family val="1"/>
      </rPr>
      <t>7</t>
    </r>
    <r>
      <rPr>
        <sz val="9"/>
        <rFont val="WenQuanYi Zen Hei"/>
        <family val="2"/>
      </rPr>
      <t>年</t>
    </r>
    <r>
      <rPr>
        <sz val="9"/>
        <rFont val="ＭＳ Ｐ明朝"/>
        <family val="1"/>
      </rPr>
      <t>3</t>
    </r>
    <r>
      <rPr>
        <sz val="9"/>
        <rFont val="WenQuanYi Zen Hei"/>
        <family val="2"/>
      </rPr>
      <t>月</t>
    </r>
    <r>
      <rPr>
        <sz val="9"/>
        <rFont val="ＭＳ Ｐ明朝"/>
        <family val="1"/>
      </rPr>
      <t>23</t>
    </r>
    <r>
      <rPr>
        <sz val="9"/>
        <rFont val="WenQuanYi Zen Hei"/>
        <family val="2"/>
      </rPr>
      <t>日～令和</t>
    </r>
    <r>
      <rPr>
        <sz val="9"/>
        <rFont val="ＭＳ Ｐ明朝"/>
        <family val="1"/>
      </rPr>
      <t>9</t>
    </r>
    <r>
      <rPr>
        <sz val="9"/>
        <rFont val="WenQuanYi Zen Hei"/>
        <family val="2"/>
      </rPr>
      <t>年</t>
    </r>
    <r>
      <rPr>
        <sz val="9"/>
        <rFont val="ＭＳ Ｐ明朝"/>
        <family val="1"/>
      </rPr>
      <t>3</t>
    </r>
    <r>
      <rPr>
        <sz val="9"/>
        <rFont val="WenQuanYi Zen Hei"/>
        <family val="2"/>
      </rPr>
      <t>月</t>
    </r>
    <r>
      <rPr>
        <sz val="9"/>
        <rFont val="ＭＳ Ｐ明朝"/>
        <family val="1"/>
      </rPr>
      <t>22</t>
    </r>
    <r>
      <rPr>
        <sz val="9"/>
        <rFont val="WenQuanYi Zen Hei"/>
        <family val="2"/>
      </rPr>
      <t>日</t>
    </r>
  </si>
  <si>
    <r>
      <rPr>
        <sz val="10"/>
        <rFont val="WenQuanYi Zen Hei"/>
        <family val="2"/>
      </rPr>
      <t>平成</t>
    </r>
    <r>
      <rPr>
        <sz val="10"/>
        <rFont val="ＭＳ Ｐ明朝"/>
        <family val="1"/>
      </rPr>
      <t>31</t>
    </r>
    <r>
      <rPr>
        <sz val="10"/>
        <rFont val="WenQuanYi Zen Hei"/>
        <family val="2"/>
      </rPr>
      <t xml:space="preserve">年 </t>
    </r>
    <r>
      <rPr>
        <sz val="10"/>
        <rFont val="ＭＳ Ｐ明朝"/>
        <family val="1"/>
      </rPr>
      <t>3</t>
    </r>
    <r>
      <rPr>
        <sz val="10"/>
        <rFont val="WenQuanYi Zen Hei"/>
        <family val="2"/>
      </rPr>
      <t>月</t>
    </r>
    <r>
      <rPr>
        <sz val="10"/>
        <rFont val="ＭＳ Ｐ明朝"/>
        <family val="1"/>
      </rPr>
      <t>23</t>
    </r>
    <r>
      <rPr>
        <sz val="10"/>
        <rFont val="WenQuanYi Zen Hei"/>
        <family val="2"/>
      </rPr>
      <t>日</t>
    </r>
  </si>
  <si>
    <t>監  事</t>
  </si>
  <si>
    <t>児玉　信之</t>
  </si>
  <si>
    <r>
      <rPr>
        <sz val="9"/>
        <rFont val="WenQuanYi Zen Hei"/>
        <family val="2"/>
      </rPr>
      <t>令和</t>
    </r>
    <r>
      <rPr>
        <sz val="9"/>
        <rFont val="ＭＳ Ｐ明朝"/>
        <family val="1"/>
      </rPr>
      <t>7</t>
    </r>
    <r>
      <rPr>
        <sz val="9"/>
        <rFont val="WenQuanYi Zen Hei"/>
        <family val="2"/>
      </rPr>
      <t>年</t>
    </r>
    <r>
      <rPr>
        <sz val="9"/>
        <rFont val="ＭＳ Ｐ明朝"/>
        <family val="1"/>
      </rPr>
      <t>6</t>
    </r>
    <r>
      <rPr>
        <sz val="9"/>
        <rFont val="WenQuanYi Zen Hei"/>
        <family val="2"/>
      </rPr>
      <t>月</t>
    </r>
    <r>
      <rPr>
        <sz val="9"/>
        <rFont val="ＭＳ Ｐ明朝"/>
        <family val="1"/>
      </rPr>
      <t>27</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</si>
  <si>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6</t>
    </r>
    <r>
      <rPr>
        <sz val="10"/>
        <rFont val="WenQuanYi Zen Hei"/>
        <family val="2"/>
      </rPr>
      <t>月</t>
    </r>
    <r>
      <rPr>
        <sz val="10"/>
        <rFont val="ＭＳ Ｐ明朝"/>
        <family val="1"/>
      </rPr>
      <t>27</t>
    </r>
    <r>
      <rPr>
        <sz val="10"/>
        <rFont val="WenQuanYi Zen Hei"/>
        <family val="2"/>
      </rPr>
      <t>日</t>
    </r>
  </si>
  <si>
    <t>中谷　めぐみ</t>
  </si>
  <si>
    <r>
      <rPr>
        <sz val="9"/>
        <rFont val="WenQuanYi Zen Hei"/>
        <family val="2"/>
      </rPr>
      <t>令和</t>
    </r>
    <r>
      <rPr>
        <sz val="9"/>
        <rFont val="ＭＳ Ｐ明朝"/>
        <family val="1"/>
      </rPr>
      <t>7</t>
    </r>
    <r>
      <rPr>
        <sz val="9"/>
        <rFont val="WenQuanYi Zen Hei"/>
        <family val="2"/>
      </rPr>
      <t>年</t>
    </r>
    <r>
      <rPr>
        <sz val="9"/>
        <rFont val="ＭＳ Ｐ明朝"/>
        <family val="1"/>
      </rPr>
      <t>3</t>
    </r>
    <r>
      <rPr>
        <sz val="9"/>
        <rFont val="WenQuanYi Zen Hei"/>
        <family val="2"/>
      </rPr>
      <t>月</t>
    </r>
    <r>
      <rPr>
        <sz val="9"/>
        <rFont val="ＭＳ Ｐ明朝"/>
        <family val="1"/>
      </rPr>
      <t>19</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</si>
  <si>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3</t>
    </r>
    <r>
      <rPr>
        <sz val="10"/>
        <rFont val="WenQuanYi Zen Hei"/>
        <family val="2"/>
      </rPr>
      <t>月</t>
    </r>
    <r>
      <rPr>
        <sz val="10"/>
        <rFont val="ＭＳ Ｐ明朝"/>
        <family val="1"/>
      </rPr>
      <t>19</t>
    </r>
    <r>
      <rPr>
        <sz val="10"/>
        <rFont val="WenQuanYi Zen Hei"/>
        <family val="2"/>
      </rPr>
      <t>日</t>
    </r>
  </si>
  <si>
    <t>〔３〕 組合会の概要</t>
  </si>
  <si>
    <t>開催年月日</t>
  </si>
  <si>
    <t>組 合 会</t>
  </si>
  <si>
    <t>付　議　事　項</t>
  </si>
  <si>
    <t>第１７３回</t>
  </si>
  <si>
    <t>　　○ 広島市職員共済組合監事の選挙について</t>
  </si>
  <si>
    <t>第１７４回</t>
  </si>
  <si>
    <t>　　○ 広島市職員共済組合定款の一部変更について</t>
  </si>
  <si>
    <t>〔４〕 事務局の概要</t>
  </si>
  <si>
    <t>（単位：人）</t>
  </si>
  <si>
    <t>職  名</t>
  </si>
  <si>
    <t>事務局長</t>
  </si>
  <si>
    <t>担当課長</t>
  </si>
  <si>
    <t>事務局次長</t>
  </si>
  <si>
    <t>係　長</t>
  </si>
  <si>
    <t>主　幹
専門員</t>
  </si>
  <si>
    <t>主　査
主任技師</t>
  </si>
  <si>
    <t>主　事
保健師</t>
  </si>
  <si>
    <r>
      <rPr>
        <sz val="7"/>
        <rFont val="WenQuanYi Zen Hei"/>
        <family val="2"/>
      </rPr>
      <t xml:space="preserve">事務指導員
事務推進員
</t>
    </r>
    <r>
      <rPr>
        <sz val="9"/>
        <rFont val="WenQuanYi Zen Hei"/>
        <family val="2"/>
      </rPr>
      <t xml:space="preserve">看護師
</t>
    </r>
    <r>
      <rPr>
        <sz val="6"/>
        <rFont val="WenQuanYi Zen Hei"/>
        <family val="2"/>
      </rPr>
      <t>レセプト点検員
健康相談員
事務補助員</t>
    </r>
  </si>
  <si>
    <t>合　計</t>
  </si>
  <si>
    <t>人  数</t>
  </si>
  <si>
    <t>前年度
比較増減</t>
  </si>
  <si>
    <t>２．  組　織</t>
  </si>
  <si>
    <t>次　長</t>
  </si>
  <si>
    <t>（庶務係長）</t>
  </si>
  <si>
    <t>庶務係</t>
  </si>
  <si>
    <t xml:space="preserve">  年金係長</t>
  </si>
  <si>
    <t>年金係</t>
  </si>
  <si>
    <t>（保健医療係長）</t>
  </si>
  <si>
    <t>保健医療係</t>
  </si>
  <si>
    <t xml:space="preserve">    ※（　）は次長事務取扱</t>
  </si>
  <si>
    <t>〔５〕 業務の実施状況等</t>
  </si>
  <si>
    <t>〔１〕  総    括</t>
  </si>
  <si>
    <t xml:space="preserve">区      分 </t>
  </si>
  <si>
    <t>市</t>
  </si>
  <si>
    <t>計</t>
  </si>
  <si>
    <t xml:space="preserve"> 年      度</t>
  </si>
  <si>
    <t>（１）組合員数</t>
  </si>
  <si>
    <t>事業計画</t>
  </si>
  <si>
    <t>決  算</t>
  </si>
  <si>
    <t>比 較 増 △ 減</t>
  </si>
  <si>
    <t>前年度決算との比較</t>
  </si>
  <si>
    <t xml:space="preserve"> 種      別</t>
  </si>
  <si>
    <t>前年度決算</t>
  </si>
  <si>
    <t>）</t>
  </si>
  <si>
    <t>後期高齢者等
短期組合員</t>
  </si>
  <si>
    <t>〕</t>
  </si>
  <si>
    <t>小                 計</t>
  </si>
  <si>
    <t>合                 計</t>
  </si>
  <si>
    <t>第３号厚生年金被保険者</t>
  </si>
  <si>
    <t>（注）</t>
  </si>
  <si>
    <t>１  一般組合員欄の（     ）書きは、特別職を表示</t>
  </si>
  <si>
    <t>２　継続長期組合員欄の〔 　 〕書きは、継続長期組合員のうち、公益的法人等への一般職の地方公務員の</t>
  </si>
  <si>
    <t>　派遣等に関する法律（平成１２年法律第５０号）第１０条第２項に規定する退職派遣者の数値を表示</t>
  </si>
  <si>
    <t>３　第３号厚生年金被保険者欄は、長期に係る組合員のうち第３号厚生年金被保険者について再掲</t>
  </si>
  <si>
    <t>（２）標準報酬の月額及び平均標準報酬の月額</t>
  </si>
  <si>
    <t>（単位：千円）</t>
  </si>
  <si>
    <t>事業計画額</t>
  </si>
  <si>
    <t>決  算  額</t>
  </si>
  <si>
    <t>平均標準
報酬の月額
（円）</t>
  </si>
  <si>
    <t>比較増△減</t>
  </si>
  <si>
    <t>前年度決算額との比較</t>
  </si>
  <si>
    <t>前年度決算額</t>
  </si>
  <si>
    <t>一 般 組 合 員</t>
  </si>
  <si>
    <t>小            計</t>
  </si>
  <si>
    <t>合            計</t>
  </si>
  <si>
    <t>第３号厚生
年金被保険者</t>
  </si>
  <si>
    <t>３　　第３号厚生年金被保険者欄は、長期に係る組合員のうち第３号厚生年金被保険者について再掲すること。</t>
  </si>
  <si>
    <t>４　　平均標準報酬の月額欄は、「決算額」を「［１］総括」の２の「（１）組合員数」の「決算」で除して得た数値を表示</t>
  </si>
  <si>
    <r>
      <rPr>
        <sz val="10"/>
        <rFont val="ＭＳ 明朝"/>
        <family val="1"/>
      </rPr>
      <t>(</t>
    </r>
    <r>
      <rPr>
        <sz val="10"/>
        <rFont val="WenQuanYi Zen Hei"/>
        <family val="2"/>
      </rPr>
      <t>２</t>
    </r>
    <r>
      <rPr>
        <sz val="10"/>
        <rFont val="ＭＳ 明朝"/>
        <family val="1"/>
      </rPr>
      <t>)</t>
    </r>
    <r>
      <rPr>
        <sz val="10"/>
        <rFont val="WenQuanYi Zen Hei"/>
        <family val="2"/>
      </rPr>
      <t>－２　標準期末手当等の額の年度累計額</t>
    </r>
  </si>
  <si>
    <t>前年度累計額との比較</t>
  </si>
  <si>
    <t>前年度累計額</t>
  </si>
  <si>
    <t>３　　第３号厚生年金被保険者欄は、長期に係る組合員のうち第３号厚生年金被保険者について再掲</t>
  </si>
  <si>
    <t>（３）被扶養者数</t>
  </si>
  <si>
    <t xml:space="preserve">区        分 </t>
  </si>
  <si>
    <t>決 　算</t>
  </si>
  <si>
    <t>組合員１人
当たりの
被扶養者</t>
  </si>
  <si>
    <t xml:space="preserve"> 種        別</t>
  </si>
  <si>
    <t>小               計</t>
  </si>
  <si>
    <t>合               計</t>
  </si>
  <si>
    <t>〔２〕  短期経理</t>
  </si>
  <si>
    <t>１．掛金・負担金の標準報酬の月額及び標準期末手当等の額に対する割合（短期給付）について</t>
  </si>
  <si>
    <t>（単位：‰）</t>
  </si>
  <si>
    <t xml:space="preserve">財  源  率 </t>
  </si>
  <si>
    <t>掛　　　　金</t>
  </si>
  <si>
    <t>負　　担　　金</t>
  </si>
  <si>
    <t>合　　　　計</t>
  </si>
  <si>
    <t>１－２．掛金・負担金の標準報酬の月額及び標準期末手当等の額に対する割合（介護保険）について</t>
  </si>
  <si>
    <t>２．調整負担金率及び公的負担金率について</t>
  </si>
  <si>
    <t>区　　　　　分</t>
  </si>
  <si>
    <t>　　（注）　　当該事業年度を含む、過去３事業年度分の率を記載すること。</t>
  </si>
  <si>
    <t>３．収入について</t>
  </si>
  <si>
    <t>（単位：円）</t>
  </si>
  <si>
    <t>決     算     額</t>
  </si>
  <si>
    <t>前 年 度 決 算 額 と の 比 較</t>
  </si>
  <si>
    <t xml:space="preserve"> 科      目</t>
  </si>
  <si>
    <t>介護休業手当金交付金</t>
  </si>
  <si>
    <t>合計</t>
  </si>
  <si>
    <t>４．負担金・掛金の納入状況について</t>
  </si>
  <si>
    <t xml:space="preserve"> </t>
  </si>
  <si>
    <t>（単位：円、％）</t>
  </si>
  <si>
    <t>調    定    額</t>
  </si>
  <si>
    <t xml:space="preserve">収 入 済 額 </t>
  </si>
  <si>
    <t>徴    収    率</t>
  </si>
  <si>
    <t>前 年 度 徴 収 率 と の 比 較</t>
  </si>
  <si>
    <t xml:space="preserve">               （Ａ）</t>
  </si>
  <si>
    <t xml:space="preserve">               （Ｂ）</t>
  </si>
  <si>
    <t xml:space="preserve">        （Ｂ／Ａ）</t>
  </si>
  <si>
    <t>前年度徴収率</t>
  </si>
  <si>
    <t>短   　　 期</t>
  </si>
  <si>
    <t>介    　　護</t>
  </si>
  <si>
    <t>掛　金</t>
  </si>
  <si>
    <t>合　　計</t>
  </si>
  <si>
    <t>　短期掛金には短期任意継続掛金を、介護掛金には介護任意継続掛金を、短期負担金には調整負担金及び</t>
  </si>
  <si>
    <t>公的負担金をそれぞれ含む。</t>
  </si>
  <si>
    <t>５．支出について</t>
  </si>
  <si>
    <t>法　　　　　　　　定　　　　　　　　給　　　　　　　　付</t>
  </si>
  <si>
    <t>保　　　　　健　　　　　給　　　　　付</t>
  </si>
  <si>
    <t>入院時食事療養の給付・
入院時生活療養の給付</t>
  </si>
  <si>
    <t>小　　　　　　計</t>
  </si>
  <si>
    <t>休 業 給 付</t>
  </si>
  <si>
    <t>災害給付</t>
  </si>
  <si>
    <t>附　　加　　給　　付</t>
  </si>
  <si>
    <t>払 込 金
連 合 会</t>
  </si>
  <si>
    <t>拠 出 金
連 合 会</t>
  </si>
  <si>
    <t>育児・介護休業
手当金拠出金</t>
  </si>
  <si>
    <t>合    計    （Ａ）</t>
  </si>
  <si>
    <r>
      <rPr>
        <sz val="10"/>
        <color rgb="FF000000"/>
        <rFont val="WenQuanYi Zen Hei"/>
        <family val="2"/>
      </rPr>
      <t>前期損益修正損（</t>
    </r>
    <r>
      <rPr>
        <sz val="10"/>
        <color rgb="FF000000"/>
        <rFont val="ＭＳ Ｐ明朝"/>
        <family val="1"/>
      </rPr>
      <t>C</t>
    </r>
    <r>
      <rPr>
        <sz val="10"/>
        <color rgb="FF000000"/>
        <rFont val="WenQuanYi Zen Hei"/>
        <family val="2"/>
      </rPr>
      <t>）</t>
    </r>
  </si>
  <si>
    <r>
      <rPr>
        <sz val="10"/>
        <color rgb="FF000000"/>
        <rFont val="WenQuanYi Zen Hei"/>
        <family val="2"/>
      </rPr>
      <t>総計（Ａ）＋（Ｂ）＋（</t>
    </r>
    <r>
      <rPr>
        <sz val="10"/>
        <color rgb="FF000000"/>
        <rFont val="ＭＳ Ｐ明朝"/>
        <family val="1"/>
      </rPr>
      <t>C</t>
    </r>
    <r>
      <rPr>
        <sz val="10"/>
        <color rgb="FF000000"/>
        <rFont val="WenQuanYi Zen Hei"/>
        <family val="2"/>
      </rPr>
      <t>）</t>
    </r>
  </si>
  <si>
    <t>収　　　　支　　　　差</t>
  </si>
  <si>
    <t>６．組合員１人当たり年平均収入額及び支出額</t>
  </si>
  <si>
    <t>（収入）</t>
  </si>
  <si>
    <t>（支出）</t>
  </si>
  <si>
    <t>介護納付金の納付に要する費用に係る収入・支出を除く。</t>
  </si>
  <si>
    <t>７．前年度医療給付実績と本年度医療給付実績との比較及び平均扶養率</t>
  </si>
  <si>
    <t>（単位：件、日、円）</t>
  </si>
  <si>
    <t>区                分</t>
  </si>
  <si>
    <t>件        数</t>
  </si>
  <si>
    <t>日        数</t>
  </si>
  <si>
    <t>金        額</t>
  </si>
  <si>
    <t>本</t>
  </si>
  <si>
    <t>人</t>
  </si>
  <si>
    <t>家</t>
  </si>
  <si>
    <t>族</t>
  </si>
  <si>
    <t>合                計</t>
  </si>
  <si>
    <t>件数の「計」及び「合計」欄には、「入院時食事療養の給付・入院時生活療養の給付」「薬剤支給」「訪問</t>
  </si>
  <si>
    <t>看護療養の給付」「高額療養の給付・高額療養費」に係る件数は含めていない。</t>
  </si>
  <si>
    <t>日数の「計」及び「合計」欄には、「入院時食事療養の給付・入院時生活療養の給付」に係る日数及び「薬</t>
  </si>
  <si>
    <t>剤支給」に係る処方箋数は含めていない。</t>
  </si>
  <si>
    <t>（単位：日、円、％）</t>
  </si>
  <si>
    <t>区                    分</t>
  </si>
  <si>
    <t>１件当たり日数</t>
  </si>
  <si>
    <t>１件当たり金額</t>
  </si>
  <si>
    <t>１日当たり金額</t>
  </si>
  <si>
    <t>受　　診　　率</t>
  </si>
  <si>
    <t>前年度
対　比</t>
  </si>
  <si>
    <t>本　　　　　　　　人</t>
  </si>
  <si>
    <t>家　　　　　　　　族</t>
  </si>
  <si>
    <t>-</t>
  </si>
  <si>
    <t>・高額療養費</t>
  </si>
  <si>
    <t>合　　　　　　　　計</t>
  </si>
  <si>
    <t>○　本人（家族）１件当たり日数　＝</t>
  </si>
  <si>
    <t>組合員（被扶養者）診療総日数（４月～３月）</t>
  </si>
  <si>
    <t>組合員（被扶養者）診療総件数（４月～３月）</t>
  </si>
  <si>
    <t>○　本人（家族）１件当たり金額　＝</t>
  </si>
  <si>
    <t>組合員（被扶養者）総診療費（４月～３月）</t>
  </si>
  <si>
    <t>組合員</t>
  </si>
  <si>
    <t>被扶養者</t>
  </si>
  <si>
    <r>
      <rPr>
        <sz val="6"/>
        <color rgb="FF000000"/>
        <rFont val="ＭＳ Ｐ明朝"/>
        <family val="1"/>
      </rPr>
      <t>6</t>
    </r>
    <r>
      <rPr>
        <sz val="6"/>
        <color rgb="FF000000"/>
        <rFont val="WenQuanYi Zen Hei"/>
        <family val="2"/>
      </rPr>
      <t>年度組合員数（延べ）</t>
    </r>
  </si>
  <si>
    <t>○　本人（家族）１日当たり金額　＝</t>
  </si>
  <si>
    <r>
      <rPr>
        <sz val="6"/>
        <color rgb="FF000000"/>
        <rFont val="ＭＳ Ｐ明朝"/>
        <family val="1"/>
      </rPr>
      <t>7</t>
    </r>
    <r>
      <rPr>
        <sz val="6"/>
        <color rgb="FF000000"/>
        <rFont val="WenQuanYi Zen Hei"/>
        <family val="2"/>
      </rPr>
      <t>年度組合員数（延べ）</t>
    </r>
  </si>
  <si>
    <t>○　本人（家族）受診率　＝</t>
  </si>
  <si>
    <t>年間延組合員（被扶養者）数（４月～３月）</t>
  </si>
  <si>
    <t>○　本人（家族）１件当たり日数計　＝</t>
  </si>
  <si>
    <t>入院、外来、歯科に係る給付の合計日数</t>
  </si>
  <si>
    <t>入院、外来、歯科に係る給付の合計件数</t>
  </si>
  <si>
    <t>○　本人（家族）１件当たり金額計　＝</t>
  </si>
  <si>
    <t>入院、外来、歯科、入院時食事療養・入院時生活療養、薬剤支給、訪問看護療養、移送費に係る給付の合計金額</t>
  </si>
  <si>
    <t>○　本人（家族）１日当たり金額計　＝</t>
  </si>
  <si>
    <t>○　本人（家族）受診率計　＝</t>
  </si>
  <si>
    <t>（単位：件、％、日、円）</t>
  </si>
  <si>
    <t>区　　　　　　　　分</t>
  </si>
  <si>
    <t>組　　　　合　　　　員　　　　１　　　　人　　　　当　　　　た　　　　り</t>
  </si>
  <si>
    <t>件　　　　　　　数</t>
  </si>
  <si>
    <t>日　　　　　　　数</t>
  </si>
  <si>
    <t>金　　　　　　　額</t>
  </si>
  <si>
    <t>前年度対比</t>
  </si>
  <si>
    <t>１　入院、外来及び歯科の各欄は、療養の給付、家族療養の給付、療養費及び家族療養費それぞれの合算額</t>
  </si>
  <si>
    <t xml:space="preserve"> ２ 　前年度対比の割合については、小数点以下第３位を切捨て、小数点以下第２位まで算出</t>
  </si>
  <si>
    <r>
      <rPr>
        <sz val="6"/>
        <color rgb="FF000000"/>
        <rFont val="ＭＳ Ｐ明朝"/>
        <family val="1"/>
      </rPr>
      <t>6</t>
    </r>
    <r>
      <rPr>
        <sz val="6"/>
        <color rgb="FF000000"/>
        <rFont val="WenQuanYi Zen Hei"/>
        <family val="2"/>
      </rPr>
      <t>年度組合員数（平均）</t>
    </r>
  </si>
  <si>
    <r>
      <rPr>
        <sz val="6"/>
        <color rgb="FF000000"/>
        <rFont val="ＭＳ Ｐ明朝"/>
        <family val="1"/>
      </rPr>
      <t>7</t>
    </r>
    <r>
      <rPr>
        <sz val="6"/>
        <color rgb="FF000000"/>
        <rFont val="WenQuanYi Zen Hei"/>
        <family val="2"/>
      </rPr>
      <t>年度組合員数（平均）</t>
    </r>
  </si>
  <si>
    <t>○　組合員１人当たり件数（本人・家族）＝</t>
  </si>
  <si>
    <t>平均組合員数</t>
  </si>
  <si>
    <t>○　組合員１人当たり日数（本人・家族）＝</t>
  </si>
  <si>
    <t>○　組合員１人当たり金額（本人・家族）＝</t>
  </si>
  <si>
    <t>○　組合員１人当たり件数計（本人・家族）、合計＝</t>
  </si>
  <si>
    <t>組合員（被扶養者）の入院、外来、歯科に係る給付の合計件数（４月～３月）</t>
  </si>
  <si>
    <t>○　組合員１人当たり日数計（本人・家族）、合計＝</t>
  </si>
  <si>
    <t>組合員（被扶養者）の入院、外来、歯科に係る給付の合計日数（４月～３月）</t>
  </si>
  <si>
    <t>◎平均組合員数＝</t>
  </si>
  <si>
    <t>当該年の４月から翌年３月までの組合員（任意継続組合員を含む）数の合計の平均</t>
  </si>
  <si>
    <t>◎平均被扶養者数＝</t>
  </si>
  <si>
    <t>当該年の４月から翌年３月までの被扶養者（任意継続組合員に係る被扶養者を含む）数の合計の平均</t>
  </si>
  <si>
    <t>区　　　　分</t>
  </si>
  <si>
    <t>平均組合員数Ａ</t>
  </si>
  <si>
    <t>平均被扶養者数Ｂ</t>
  </si>
  <si>
    <t>平均扶養率Ｂ／Ａ</t>
  </si>
  <si>
    <t>８．資金の貸付及び借入れについて</t>
  </si>
  <si>
    <t>貸 付 先</t>
  </si>
  <si>
    <t>前年度末貸付残額</t>
  </si>
  <si>
    <t>本年度貸付額</t>
  </si>
  <si>
    <t>本年度返済額</t>
  </si>
  <si>
    <t>本年度末貸付残額</t>
  </si>
  <si>
    <t>備　　考</t>
  </si>
  <si>
    <t>８．支払準備金・欠損金補てん積立金の状況について</t>
  </si>
  <si>
    <t>区　　　　　　　　　　分</t>
  </si>
  <si>
    <t>法定額</t>
  </si>
  <si>
    <t xml:space="preserve">     計</t>
  </si>
  <si>
    <t>①</t>
  </si>
  <si>
    <t>現 実 額</t>
  </si>
  <si>
    <t>②</t>
  </si>
  <si>
    <t xml:space="preserve">比  較  増  △  減     </t>
  </si>
  <si>
    <t>② ─ ①</t>
  </si>
  <si>
    <t xml:space="preserve">保  有  率    </t>
  </si>
  <si>
    <r>
      <rPr>
        <sz val="10"/>
        <color rgb="FF000000"/>
        <rFont val="ＭＳ Ｐ明朝"/>
        <family val="1"/>
      </rPr>
      <t>②÷①×</t>
    </r>
    <r>
      <rPr>
        <sz val="10"/>
        <color rgb="FF000000"/>
        <rFont val="WenQuanYi Zen Hei"/>
        <family val="2"/>
      </rPr>
      <t>１００</t>
    </r>
  </si>
  <si>
    <t>組合員１人当たり現実額　</t>
  </si>
  <si>
    <r>
      <rPr>
        <sz val="10"/>
        <color rgb="FF000000"/>
        <rFont val="ＭＳ Ｐ明朝"/>
        <family val="1"/>
      </rPr>
      <t>②÷</t>
    </r>
    <r>
      <rPr>
        <sz val="10"/>
        <color rgb="FF000000"/>
        <rFont val="WenQuanYi Zen Hei"/>
        <family val="2"/>
      </rPr>
      <t>組合員数</t>
    </r>
  </si>
  <si>
    <t>１　組合員とは、任意継続組合員を含む短期適用組合員の合計をいう。</t>
  </si>
  <si>
    <t>２　現実額の欄中、積立金は、欠損金が出た場合は繰越欠損金とする。</t>
  </si>
  <si>
    <t>９．利益剰余金について</t>
  </si>
  <si>
    <t>（１）当期短期利益金の処分について</t>
  </si>
  <si>
    <t xml:space="preserve"> 積立金として処分した。</t>
  </si>
  <si>
    <t>（２）当期介護利益金の処分について</t>
  </si>
  <si>
    <r>
      <rPr>
        <sz val="10"/>
        <color rgb="FF000000"/>
        <rFont val="ＭＳ 明朝"/>
        <family val="1"/>
      </rPr>
      <t>(</t>
    </r>
    <r>
      <rPr>
        <sz val="10"/>
        <color rgb="FF000000"/>
        <rFont val="WenQuanYi Zen Hei"/>
        <family val="2"/>
      </rPr>
      <t>内訳</t>
    </r>
    <r>
      <rPr>
        <sz val="10"/>
        <color rgb="FF000000"/>
        <rFont val="ＭＳ 明朝"/>
        <family val="1"/>
      </rPr>
      <t>)</t>
    </r>
  </si>
  <si>
    <t>　 欠損金補てん積立金</t>
  </si>
  <si>
    <t>円</t>
  </si>
  <si>
    <t>　 短期積立金</t>
  </si>
  <si>
    <t>　 介護積立金</t>
  </si>
  <si>
    <t>左表の端数処理（手補正）</t>
  </si>
  <si>
    <t>平均組合員数（ｐ１０の表より）</t>
  </si>
  <si>
    <t>収入</t>
  </si>
  <si>
    <r>
      <rPr>
        <sz val="10"/>
        <rFont val="WenQuanYi Zen Hei"/>
        <family val="2"/>
      </rPr>
      <t>金額（</t>
    </r>
    <r>
      <rPr>
        <sz val="10"/>
        <rFont val="ＭＳ Ｐ明朝"/>
        <family val="1"/>
      </rPr>
      <t>G</t>
    </r>
    <r>
      <rPr>
        <sz val="10"/>
        <rFont val="WenQuanYi Zen Hei"/>
        <family val="2"/>
      </rPr>
      <t>列を手補正）</t>
    </r>
  </si>
  <si>
    <r>
      <rPr>
        <sz val="10"/>
        <rFont val="ＭＳ Ｐ明朝"/>
        <family val="1"/>
      </rPr>
      <t>H</t>
    </r>
    <r>
      <rPr>
        <sz val="10"/>
        <rFont val="WenQuanYi Zen Hei"/>
        <family val="2"/>
      </rPr>
      <t>列を手補正</t>
    </r>
  </si>
  <si>
    <t>金額</t>
  </si>
  <si>
    <t>金額／平均組合員数</t>
  </si>
  <si>
    <t>割合</t>
  </si>
  <si>
    <t>交付金（介護、休業分含む）</t>
  </si>
  <si>
    <t>その他（雑収入、前期損益修正益）</t>
  </si>
  <si>
    <t>支出</t>
  </si>
  <si>
    <t>前期高齢者納付金・後期高齢者支援金</t>
  </si>
  <si>
    <t>その他（払込・拠出金・修正損）</t>
  </si>
  <si>
    <t>緑色のデータを元にグラフが自動作成されます。</t>
  </si>
  <si>
    <t>グラフの最上面にオートシェープが張ってあるので、それを手作成。</t>
  </si>
  <si>
    <t>ただし、自動作成パーセントや、境界線が接近しすぎてグラフがみずらくなるので、グラフ元データ金額を手補正することもある</t>
  </si>
  <si>
    <r>
      <rPr>
        <sz val="10"/>
        <rFont val="ＭＳ Ｐ明朝"/>
        <family val="1"/>
      </rPr>
      <t>H</t>
    </r>
    <r>
      <rPr>
        <sz val="10"/>
        <rFont val="WenQuanYi Zen Hei"/>
        <family val="2"/>
      </rPr>
      <t>列を手補正：基本的には第３位を四捨五入。１００％にならなければ、第４位の数字の大小も勘案すること</t>
    </r>
  </si>
  <si>
    <t>〔３〕  厚生年金保険経理</t>
  </si>
  <si>
    <t>１．標準報酬の月額及び標準期末手当等に対する組合員保険料・負担金の割合について</t>
  </si>
  <si>
    <t>組 合 員 保 険 料</t>
  </si>
  <si>
    <t>１－２．標準報酬の月額及び標準期末手当等に対する基礎年金拠出金に係る公的負担率について</t>
  </si>
  <si>
    <r>
      <rPr>
        <sz val="10"/>
        <rFont val="WenQuanYi Zen Hei"/>
        <family val="2"/>
      </rPr>
      <t>（標準報酬の月額＋標準期末手当等の額）</t>
    </r>
    <r>
      <rPr>
        <sz val="10"/>
        <rFont val="ＭＳ Ｐ明朝"/>
        <family val="1"/>
      </rPr>
      <t>×41.5</t>
    </r>
  </si>
  <si>
    <t>２．標準報酬に対する追加費用の割合について</t>
  </si>
  <si>
    <t>割　　　　　合</t>
  </si>
  <si>
    <t>追　加　費　用</t>
  </si>
  <si>
    <t>（１）収入状況</t>
  </si>
  <si>
    <t xml:space="preserve">区　　　分 </t>
  </si>
  <si>
    <t>事 業 計 画 額</t>
  </si>
  <si>
    <t>決　　算　　額</t>
  </si>
  <si>
    <t xml:space="preserve"> 科　　　目</t>
  </si>
  <si>
    <t>組合員保険料</t>
  </si>
  <si>
    <t>（２）負担金（公的負担金及び追加費用を含む。）・組合員保険料の入金状況</t>
  </si>
  <si>
    <t>調　　定　　額</t>
  </si>
  <si>
    <t>収　入　済　額</t>
  </si>
  <si>
    <t>徴　　収　　率</t>
  </si>
  <si>
    <t>前年度徴収率との比較</t>
  </si>
  <si>
    <r>
      <rPr>
        <sz val="10"/>
        <rFont val="WenQuanYi Zen Hei"/>
        <family val="2"/>
      </rPr>
      <t>（</t>
    </r>
    <r>
      <rPr>
        <sz val="10"/>
        <rFont val="ＭＳ Ｐ明朝"/>
        <family val="1"/>
      </rPr>
      <t>A)</t>
    </r>
  </si>
  <si>
    <r>
      <rPr>
        <sz val="10"/>
        <rFont val="WenQuanYi Zen Hei"/>
        <family val="2"/>
      </rPr>
      <t>（</t>
    </r>
    <r>
      <rPr>
        <sz val="10"/>
        <rFont val="ＭＳ Ｐ明朝"/>
        <family val="1"/>
      </rPr>
      <t>B)</t>
    </r>
  </si>
  <si>
    <r>
      <rPr>
        <sz val="10"/>
        <rFont val="WenQuanYi Zen Hei"/>
        <family val="2"/>
      </rPr>
      <t>（</t>
    </r>
    <r>
      <rPr>
        <sz val="10"/>
        <rFont val="ＭＳ Ｐ明朝"/>
        <family val="1"/>
      </rPr>
      <t>B/A)</t>
    </r>
  </si>
  <si>
    <t>４．支出について</t>
  </si>
  <si>
    <t>負担金払込金</t>
  </si>
  <si>
    <t>組合員保険料払込金</t>
  </si>
  <si>
    <t>〔４〕  退職等年金経理</t>
  </si>
  <si>
    <t>１．標準報酬の月額及び標準期末手当等に対する掛金・負担金の割合について</t>
  </si>
  <si>
    <t>掛　　　　 　金</t>
  </si>
  <si>
    <t>２．収入について</t>
  </si>
  <si>
    <t>（２）負担金・掛金の入金状況</t>
  </si>
  <si>
    <t>３．支出について</t>
  </si>
  <si>
    <t>掛金払込金</t>
  </si>
  <si>
    <t>〔５〕  経過的長期経理</t>
  </si>
  <si>
    <t>１．標準報酬の月額及び標準期末手当等に対する負担金の割合について</t>
  </si>
  <si>
    <t>（２）負担金（追加費用及び旧恩給組合条例給付に係る払込金を含む。）の入金状況</t>
  </si>
  <si>
    <t>〔６〕　退職等年金預託金管理経理</t>
  </si>
  <si>
    <t>１．収入について</t>
  </si>
  <si>
    <t>区  分</t>
  </si>
  <si>
    <t>決算額</t>
  </si>
  <si>
    <t>科  目</t>
  </si>
  <si>
    <t>２．支出について</t>
  </si>
  <si>
    <t>３．資金の貸付について</t>
  </si>
  <si>
    <t>区 分</t>
  </si>
  <si>
    <t>備考</t>
  </si>
  <si>
    <t>４．資産の構成割合について</t>
  </si>
  <si>
    <t>預金等</t>
  </si>
  <si>
    <t>預金等計</t>
  </si>
  <si>
    <t>貸付金</t>
  </si>
  <si>
    <t>貸付金計</t>
  </si>
  <si>
    <t>合　　　　　　　　　　　　計</t>
  </si>
  <si>
    <t>１　「預金等」の「その他」欄は、未収金、未収収益、未達回送金、仮払金等の合算額を記載すること。</t>
  </si>
  <si>
    <t>２　「割合」欄は、資産総額に対する割合で、小数点以下第２位まで算出すること。</t>
  </si>
  <si>
    <t>〔７〕  業務経理</t>
  </si>
  <si>
    <t>１．組合の事務に要する費用に充てるため地方公共団体が負担する金額について</t>
  </si>
  <si>
    <t>（短期、厚生年金保険及び経過的長期分）</t>
  </si>
  <si>
    <t>　組合員１人当たりの額</t>
  </si>
  <si>
    <t>区　　　　　　　　　分</t>
  </si>
  <si>
    <t>比　較　増　△　減</t>
  </si>
  <si>
    <r>
      <rPr>
        <sz val="10"/>
        <rFont val="WenQuanYi Zen Hei"/>
        <family val="2"/>
      </rPr>
      <t xml:space="preserve">事務費 （ Ａ </t>
    </r>
    <r>
      <rPr>
        <sz val="10"/>
        <rFont val="ＭＳ Ｐ明朝"/>
        <family val="1"/>
      </rPr>
      <t>+ B + C + D )</t>
    </r>
  </si>
  <si>
    <t>内　　　訳</t>
  </si>
  <si>
    <t>地方公共団体負担金のうち短期分</t>
  </si>
  <si>
    <r>
      <rPr>
        <sz val="10"/>
        <rFont val="ＭＳ Ｐ明朝"/>
        <family val="1"/>
      </rPr>
      <t xml:space="preserve">( </t>
    </r>
    <r>
      <rPr>
        <sz val="10"/>
        <rFont val="WenQuanYi Zen Hei"/>
        <family val="2"/>
      </rPr>
      <t xml:space="preserve">Ｃ </t>
    </r>
    <r>
      <rPr>
        <sz val="10"/>
        <rFont val="ＭＳ Ｐ明朝"/>
        <family val="1"/>
      </rPr>
      <t>)</t>
    </r>
  </si>
  <si>
    <r>
      <rPr>
        <sz val="10"/>
        <rFont val="ＭＳ Ｐ明朝"/>
        <family val="1"/>
      </rPr>
      <t xml:space="preserve">( </t>
    </r>
    <r>
      <rPr>
        <sz val="10"/>
        <rFont val="WenQuanYi Zen Hei"/>
        <family val="2"/>
      </rPr>
      <t xml:space="preserve">Ｄ </t>
    </r>
    <r>
      <rPr>
        <sz val="10"/>
        <rFont val="ＭＳ Ｐ明朝"/>
        <family val="1"/>
      </rPr>
      <t>)</t>
    </r>
  </si>
  <si>
    <r>
      <rPr>
        <sz val="10"/>
        <rFont val="ＭＳ Ｐ明朝"/>
        <family val="1"/>
      </rPr>
      <t>(</t>
    </r>
    <r>
      <rPr>
        <sz val="10"/>
        <rFont val="WenQuanYi Zen Hei"/>
        <family val="2"/>
      </rPr>
      <t>注</t>
    </r>
    <r>
      <rPr>
        <sz val="10"/>
        <rFont val="ＭＳ Ｐ明朝"/>
        <family val="1"/>
      </rPr>
      <t>)</t>
    </r>
  </si>
  <si>
    <t>１　「短期経理より繰入（Ｂ）」の欄は、定款で定める組合員１人あたりの繰入額</t>
  </si>
  <si>
    <t>２　「連合会交付金（Ｃ）」の欄は、厚生年金保険及び経過的長期給付事務費に係る連合会交付金の額を</t>
  </si>
  <si>
    <t>　 平均組合員数で割った組合員１人当たりの額</t>
  </si>
  <si>
    <r>
      <rPr>
        <sz val="10"/>
        <rFont val="WenQuanYi Zen Hei"/>
        <family val="2"/>
      </rPr>
      <t>３    　「その他</t>
    </r>
    <r>
      <rPr>
        <sz val="10"/>
        <rFont val="ＭＳ Ｐ明朝"/>
        <family val="1"/>
      </rPr>
      <t>(D)</t>
    </r>
    <r>
      <rPr>
        <sz val="10"/>
        <rFont val="WenQuanYi Zen Hei"/>
        <family val="2"/>
      </rPr>
      <t>」の欄は、業務経理の剰余金を取り崩す場合における取崩額を平均組合員数で割った組合員</t>
    </r>
    <r>
      <rPr>
        <sz val="10"/>
        <rFont val="ＭＳ Ｐ明朝"/>
        <family val="1"/>
      </rPr>
      <t>1</t>
    </r>
    <r>
      <rPr>
        <sz val="10"/>
        <rFont val="WenQuanYi Zen Hei"/>
        <family val="2"/>
      </rPr>
      <t>人</t>
    </r>
  </si>
  <si>
    <t>　　当たりの額</t>
  </si>
  <si>
    <t>１－２．退職等年金給付に係る事務費について</t>
  </si>
  <si>
    <t>区　　　　　　分</t>
  </si>
  <si>
    <t>　　　年度</t>
  </si>
  <si>
    <t>表中の数値は、退職等年金給付事務費に係る連合会交付金の額を平均組合員数で割った組合員１人当たりの額</t>
  </si>
  <si>
    <t>内訳</t>
  </si>
  <si>
    <t>　退職等年金給付事務費に係る連合会交付金の額を平均組合員数で割った組合員</t>
  </si>
  <si>
    <t xml:space="preserve">前 年 度 決 算 額 と の 比 較 </t>
  </si>
  <si>
    <t>１人当たりの額を記入すること。</t>
  </si>
  <si>
    <t>合　　　　　　　計</t>
  </si>
  <si>
    <t>４．利益剰余金の処分について</t>
  </si>
  <si>
    <t>当期利益金バージョン</t>
  </si>
  <si>
    <t>　　本年度における収支決算を行った結果、当期利益金として　　円を生じた。</t>
  </si>
  <si>
    <t>　　この利益金に前年度より繰り越した積立金　　円を合わせ、翌年度へ繰り越す積立金は、</t>
  </si>
  <si>
    <t>　　　円となる。</t>
  </si>
  <si>
    <r>
      <rPr>
        <b/>
        <sz val="11"/>
        <rFont val="WenQuanYi Zen Hei"/>
        <family val="2"/>
      </rPr>
      <t>５</t>
    </r>
    <r>
      <rPr>
        <b/>
        <sz val="11"/>
        <rFont val="ＭＳ Ｐ明朝"/>
        <family val="1"/>
      </rPr>
      <t>.</t>
    </r>
    <r>
      <rPr>
        <b/>
        <sz val="11"/>
        <rFont val="WenQuanYi Zen Hei"/>
        <family val="2"/>
      </rPr>
      <t>利益剰余金の処分について</t>
    </r>
  </si>
  <si>
    <t>　本年度における収支決算を行った結果、当期利益金として　　　　　円を生じたが、こ</t>
  </si>
  <si>
    <t>れを次のとおり処分した。</t>
  </si>
  <si>
    <t>　当期処分額</t>
  </si>
  <si>
    <t>○○積立金へ積立</t>
  </si>
  <si>
    <t>　したがって、前年度より繰り越した積立金　　　　　円と当期利益金　　　　　円から</t>
  </si>
  <si>
    <t>当期処分額　　　　　円を差し引いた額　　　　　円を合わせ、翌年度へ繰り越す積立金</t>
  </si>
  <si>
    <t>は、　　　　　円となる。</t>
  </si>
  <si>
    <t>　本年度における収支決算を行った結果、当期損失金として　　　　　円を生じたが、前</t>
  </si>
  <si>
    <t>年度より繰り越した積立金　　　　円を取り崩して補てんした。なお、翌年度へ繰り越す</t>
  </si>
  <si>
    <t>積立金は、　　　　円となる。</t>
  </si>
  <si>
    <t>６．欠損金の処分について</t>
  </si>
  <si>
    <t>　本年度における収支決算を行った結果、当期損失金として　　　　　円を生じ、前年度</t>
  </si>
  <si>
    <t>より繰り越した積立金　　　　円を取り崩して補てんしたが、なお足りず、翌年度へ繰り</t>
  </si>
  <si>
    <t>越す繰越欠損金は、　　　　円となる。</t>
  </si>
  <si>
    <t>より繰り越した繰越欠損金　　　　円と合わせ、翌年度へ繰り越す繰越欠損金は、　　円　　　</t>
  </si>
  <si>
    <t>となる。</t>
  </si>
  <si>
    <r>
      <rPr>
        <sz val="18"/>
        <color rgb="FF000000"/>
        <rFont val="WenQuanYi Zen Hei"/>
        <family val="2"/>
      </rPr>
      <t>〔</t>
    </r>
    <r>
      <rPr>
        <sz val="18"/>
        <color rgb="FF000000"/>
        <rFont val="ＭＳ Ｐ明朝"/>
        <family val="1"/>
      </rPr>
      <t>8</t>
    </r>
    <r>
      <rPr>
        <sz val="18"/>
        <color rgb="FF000000"/>
        <rFont val="WenQuanYi Zen Hei"/>
        <family val="2"/>
      </rPr>
      <t>〕  保健経理</t>
    </r>
  </si>
  <si>
    <t>１．掛金・負担金の標準報酬の月額及び標準期末手当等の額に対する割合（財源率）について</t>
  </si>
  <si>
    <t>掛          金</t>
  </si>
  <si>
    <t>負    担    金</t>
  </si>
  <si>
    <t>合          計</t>
  </si>
  <si>
    <t>（２）負担金・掛金の納入状況</t>
  </si>
  <si>
    <r>
      <rPr>
        <sz val="10"/>
        <color rgb="FF000000"/>
        <rFont val="WenQuanYi Zen Hei"/>
        <family val="2"/>
      </rPr>
      <t>（</t>
    </r>
    <r>
      <rPr>
        <sz val="10"/>
        <color rgb="FF000000"/>
        <rFont val="ＭＳ Ｐ明朝"/>
        <family val="1"/>
      </rPr>
      <t>A)</t>
    </r>
  </si>
  <si>
    <r>
      <rPr>
        <sz val="10"/>
        <color rgb="FF000000"/>
        <rFont val="WenQuanYi Zen Hei"/>
        <family val="2"/>
      </rPr>
      <t>（</t>
    </r>
    <r>
      <rPr>
        <sz val="10"/>
        <color rgb="FF000000"/>
        <rFont val="ＭＳ Ｐ明朝"/>
        <family val="1"/>
      </rPr>
      <t>B)</t>
    </r>
  </si>
  <si>
    <r>
      <rPr>
        <sz val="10"/>
        <color rgb="FF000000"/>
        <rFont val="WenQuanYi Zen Hei"/>
        <family val="2"/>
      </rPr>
      <t>（</t>
    </r>
    <r>
      <rPr>
        <sz val="10"/>
        <color rgb="FF000000"/>
        <rFont val="ＭＳ Ｐ明朝"/>
        <family val="1"/>
      </rPr>
      <t>B/A)</t>
    </r>
  </si>
  <si>
    <t>４．組合員の保健・保養及び教養に資する事業の概要について</t>
  </si>
  <si>
    <t>項　　　　　　　　　　目</t>
  </si>
  <si>
    <t>決　算　額</t>
  </si>
  <si>
    <t>概　　　　　　　　　　　　　要</t>
  </si>
  <si>
    <t>保健関係</t>
  </si>
  <si>
    <t>被扶養者人間ドック、脳ドック含む</t>
  </si>
  <si>
    <t>がん検診</t>
  </si>
  <si>
    <t>家族検診補助</t>
  </si>
  <si>
    <t>健康相談室、電話健康相談</t>
  </si>
  <si>
    <t>保健室の運営</t>
  </si>
  <si>
    <t>小　　　　　　　　計</t>
  </si>
  <si>
    <t>保養関係</t>
  </si>
  <si>
    <t>表彰関係</t>
  </si>
  <si>
    <t>図書・広報関係</t>
  </si>
  <si>
    <t>保健指導
特定健診</t>
  </si>
  <si>
    <t>合　　　　　　　　　　　計</t>
  </si>
  <si>
    <t>５．利益剰余金の処分について</t>
  </si>
  <si>
    <r>
      <rPr>
        <sz val="18"/>
        <rFont val="WenQuanYi Zen Hei"/>
        <family val="2"/>
      </rPr>
      <t>〔</t>
    </r>
    <r>
      <rPr>
        <sz val="18"/>
        <rFont val="ＭＳ Ｐ明朝"/>
        <family val="1"/>
      </rPr>
      <t>9</t>
    </r>
    <r>
      <rPr>
        <sz val="18"/>
        <rFont val="WenQuanYi Zen Hei"/>
        <family val="2"/>
      </rPr>
      <t>〕  貸付経理</t>
    </r>
  </si>
  <si>
    <t>合　　　　　　　　　　計</t>
  </si>
  <si>
    <t>３．貸付資金の増減状況について</t>
  </si>
  <si>
    <t>前 年 度 末
Ａ</t>
  </si>
  <si>
    <t>比　　　　　　　　較</t>
  </si>
  <si>
    <t>増　加　額</t>
  </si>
  <si>
    <t>減　少　額</t>
  </si>
  <si>
    <t>本 年 度 末 Ｂ</t>
  </si>
  <si>
    <t>金 額 （Ｂ－Ａ） Ｃ</t>
  </si>
  <si>
    <t>比　率Ｃ／Ａ</t>
  </si>
  <si>
    <t>借入金</t>
  </si>
  <si>
    <t>退職等年金預託金
管理経理より借入</t>
  </si>
  <si>
    <t>組合員貸付金総額 Ｄ</t>
  </si>
  <si>
    <t>Ｄの額のうち
住宅貸付金 Ｅ</t>
  </si>
  <si>
    <r>
      <rPr>
        <sz val="10"/>
        <rFont val="WenQuanYi Zen Hei"/>
        <family val="2"/>
      </rPr>
      <t>Ｅ／Ｄ</t>
    </r>
    <r>
      <rPr>
        <sz val="10"/>
        <rFont val="ＭＳ Ｐ明朝"/>
        <family val="1"/>
      </rPr>
      <t>×</t>
    </r>
    <r>
      <rPr>
        <sz val="10"/>
        <rFont val="WenQuanYi Zen Hei"/>
        <family val="2"/>
      </rPr>
      <t>１００</t>
    </r>
  </si>
  <si>
    <t>４．貸付の条件について</t>
  </si>
  <si>
    <t>（単位：％、千円、月）</t>
  </si>
  <si>
    <t>種　　　　　　　類</t>
  </si>
  <si>
    <t>利　率（年）</t>
  </si>
  <si>
    <t>最高限度額</t>
  </si>
  <si>
    <t>償還期間</t>
  </si>
  <si>
    <t>借受資格</t>
  </si>
  <si>
    <t>備　　　　　考</t>
  </si>
  <si>
    <r>
      <rPr>
        <sz val="9"/>
        <rFont val="WenQuanYi Zen Hei"/>
        <family val="2"/>
      </rPr>
      <t>～平成</t>
    </r>
    <r>
      <rPr>
        <sz val="9"/>
        <rFont val="ＭＳ 明朝"/>
        <family val="1"/>
      </rPr>
      <t>29</t>
    </r>
    <r>
      <rPr>
        <sz val="9"/>
        <rFont val="WenQuanYi Zen Hei"/>
        <family val="2"/>
      </rPr>
      <t>年</t>
    </r>
    <r>
      <rPr>
        <sz val="9"/>
        <rFont val="ＭＳ 明朝"/>
        <family val="1"/>
      </rPr>
      <t>12</t>
    </r>
    <r>
      <rPr>
        <sz val="9"/>
        <rFont val="WenQuanYi Zen Hei"/>
        <family val="2"/>
      </rPr>
      <t>月</t>
    </r>
  </si>
  <si>
    <t>月以内</t>
  </si>
  <si>
    <t>組合員資格取得日</t>
  </si>
  <si>
    <r>
      <rPr>
        <sz val="9"/>
        <rFont val="WenQuanYi Zen Hei"/>
        <family val="2"/>
      </rPr>
      <t>平成</t>
    </r>
    <r>
      <rPr>
        <sz val="9"/>
        <rFont val="ＭＳ 明朝"/>
        <family val="1"/>
      </rPr>
      <t>30</t>
    </r>
    <r>
      <rPr>
        <sz val="9"/>
        <rFont val="WenQuanYi Zen Hei"/>
        <family val="2"/>
      </rPr>
      <t xml:space="preserve">年 </t>
    </r>
    <r>
      <rPr>
        <sz val="9"/>
        <rFont val="ＭＳ 明朝"/>
        <family val="1"/>
      </rPr>
      <t>1</t>
    </r>
    <r>
      <rPr>
        <sz val="9"/>
        <rFont val="WenQuanYi Zen Hei"/>
        <family val="2"/>
      </rPr>
      <t>月～</t>
    </r>
  </si>
  <si>
    <t>組合員期間１年以上</t>
  </si>
  <si>
    <t>ボーナス併用償還有：</t>
  </si>
  <si>
    <t>元金分割による併用償還</t>
  </si>
  <si>
    <t>住宅・災害貸付に　　 加算できる限度額</t>
  </si>
  <si>
    <t>災害貸付</t>
  </si>
  <si>
    <t>特　　別　　貸　　付</t>
  </si>
  <si>
    <t>修業年限の年数に相当する月数</t>
  </si>
  <si>
    <t>無利息</t>
  </si>
  <si>
    <t>出産費・家族</t>
  </si>
  <si>
    <t>出産費・家族
出産費より償還</t>
  </si>
  <si>
    <t>出産費相当額</t>
  </si>
  <si>
    <t>５．組合員貸付金の状況について</t>
  </si>
  <si>
    <t>（単位：件、円、％）</t>
  </si>
  <si>
    <t>種　　　　　類</t>
  </si>
  <si>
    <t>前　　　年　　　度　　　末</t>
  </si>
  <si>
    <t>本　　　年　　　度　　　末</t>
  </si>
  <si>
    <t>比　　　　　　　　　較</t>
  </si>
  <si>
    <t>件 数</t>
  </si>
  <si>
    <t>金　　　　額</t>
  </si>
  <si>
    <t>割 合</t>
  </si>
  <si>
    <t>Ａ</t>
  </si>
  <si>
    <t>Ｂ</t>
  </si>
  <si>
    <t>Ｃ</t>
  </si>
  <si>
    <t>Ｄ</t>
  </si>
  <si>
    <t>Ｃ－Ａ</t>
  </si>
  <si>
    <t>Ｄ－Ｂ</t>
  </si>
  <si>
    <t>合　　　　　　計</t>
  </si>
  <si>
    <t>６．利益剰余金の処分について</t>
  </si>
  <si>
    <t>　　　</t>
  </si>
  <si>
    <r>
      <rPr>
        <b/>
        <sz val="11"/>
        <rFont val="WenQuanYi Zen Hei"/>
        <family val="2"/>
      </rPr>
      <t>６</t>
    </r>
    <r>
      <rPr>
        <b/>
        <sz val="11"/>
        <rFont val="ＭＳ Ｐ明朝"/>
        <family val="1"/>
      </rPr>
      <t>.</t>
    </r>
    <r>
      <rPr>
        <b/>
        <sz val="11"/>
        <rFont val="WenQuanYi Zen Hei"/>
        <family val="2"/>
      </rPr>
      <t>利益剰余金の処分について</t>
    </r>
  </si>
  <si>
    <t>　本年度における収支決算を行った結果、当期利益金として　　　　　　　円を生じたが、</t>
  </si>
  <si>
    <t>これを次のとおり処分した。</t>
  </si>
  <si>
    <t>　したがって、前年度より繰り越した積立金　　　　　　　円と当期利益金　　　　　円から</t>
  </si>
  <si>
    <t xml:space="preserve">  　本年度における収支決算を行った結果、貸付経理については　　　　　　　円の当期利益金が生じた。</t>
  </si>
  <si>
    <t>　　この利益金に前年度より繰り越した積立金　　　　　　　円を合わせ、翌年度へ繰り越す積立金は、</t>
  </si>
  <si>
    <t>　　　　　　　　　　円となる。</t>
  </si>
  <si>
    <r>
      <rPr>
        <b/>
        <sz val="11"/>
        <rFont val="WenQuanYi Zen Hei"/>
        <family val="2"/>
      </rPr>
      <t>７</t>
    </r>
    <r>
      <rPr>
        <b/>
        <sz val="11"/>
        <rFont val="ＭＳ Ｐ明朝"/>
        <family val="1"/>
      </rPr>
      <t>.</t>
    </r>
    <r>
      <rPr>
        <b/>
        <sz val="11"/>
        <rFont val="WenQuanYi Zen Hei"/>
        <family val="2"/>
      </rPr>
      <t>欠損金の処分について</t>
    </r>
  </si>
  <si>
    <r>
      <rPr>
        <sz val="10"/>
        <rFont val="WenQuanYi Zen Hei"/>
        <family val="2"/>
      </rPr>
      <t xml:space="preserve">  　本年度における収支決算を行った結果、貸付経理については</t>
    </r>
    <r>
      <rPr>
        <sz val="10"/>
        <rFont val="ＭＳ 明朝"/>
        <family val="1"/>
      </rPr>
      <t>217</t>
    </r>
    <r>
      <rPr>
        <sz val="10"/>
        <rFont val="WenQuanYi Zen Hei"/>
        <family val="2"/>
      </rPr>
      <t>万</t>
    </r>
    <r>
      <rPr>
        <sz val="10"/>
        <rFont val="ＭＳ 明朝"/>
        <family val="1"/>
      </rPr>
      <t>8,054</t>
    </r>
    <r>
      <rPr>
        <sz val="10"/>
        <rFont val="WenQuanYi Zen Hei"/>
        <family val="2"/>
      </rPr>
      <t>円の当期損失金が生じたが、</t>
    </r>
  </si>
  <si>
    <r>
      <rPr>
        <sz val="10"/>
        <rFont val="WenQuanYi Zen Hei"/>
        <family val="2"/>
      </rPr>
      <t>　前年度より繰り越した積立金</t>
    </r>
    <r>
      <rPr>
        <sz val="10"/>
        <rFont val="ＭＳ Ｐ明朝"/>
        <family val="1"/>
      </rPr>
      <t>19</t>
    </r>
    <r>
      <rPr>
        <sz val="10"/>
        <rFont val="WenQuanYi Zen Hei"/>
        <family val="2"/>
      </rPr>
      <t>億</t>
    </r>
    <r>
      <rPr>
        <sz val="10"/>
        <rFont val="ＭＳ Ｐ明朝"/>
        <family val="1"/>
      </rPr>
      <t>6,279</t>
    </r>
    <r>
      <rPr>
        <sz val="10"/>
        <rFont val="WenQuanYi Zen Hei"/>
        <family val="2"/>
      </rPr>
      <t>万</t>
    </r>
    <r>
      <rPr>
        <sz val="10"/>
        <rFont val="ＭＳ Ｐ明朝"/>
        <family val="1"/>
      </rPr>
      <t>4,891</t>
    </r>
    <r>
      <rPr>
        <sz val="10"/>
        <rFont val="WenQuanYi Zen Hei"/>
        <family val="2"/>
      </rPr>
      <t>円を取り崩して補てんした。</t>
    </r>
  </si>
  <si>
    <r>
      <rPr>
        <sz val="10"/>
        <rFont val="WenQuanYi Zen Hei"/>
        <family val="2"/>
      </rPr>
      <t>　なお、翌年度へ繰り越す積立金は</t>
    </r>
    <r>
      <rPr>
        <sz val="10"/>
        <rFont val="ＭＳ 明朝"/>
        <family val="1"/>
      </rPr>
      <t>19</t>
    </r>
    <r>
      <rPr>
        <sz val="10"/>
        <rFont val="WenQuanYi Zen Hei"/>
        <family val="2"/>
      </rPr>
      <t>億</t>
    </r>
    <r>
      <rPr>
        <sz val="10"/>
        <rFont val="ＭＳ 明朝"/>
        <family val="1"/>
      </rPr>
      <t>6,061</t>
    </r>
    <r>
      <rPr>
        <sz val="10"/>
        <rFont val="WenQuanYi Zen Hei"/>
        <family val="2"/>
      </rPr>
      <t>万</t>
    </r>
    <r>
      <rPr>
        <sz val="10"/>
        <rFont val="ＭＳ 明朝"/>
        <family val="1"/>
      </rPr>
      <t>6,837</t>
    </r>
    <r>
      <rPr>
        <sz val="10"/>
        <rFont val="WenQuanYi Zen Hei"/>
        <family val="2"/>
      </rPr>
      <t>円となる。</t>
    </r>
  </si>
  <si>
    <t>貸借対照表</t>
  </si>
  <si>
    <t>借                  方</t>
  </si>
  <si>
    <t>貸                   方</t>
  </si>
  <si>
    <t>流 動 資 産</t>
  </si>
  <si>
    <t>流 動 負 債</t>
  </si>
  <si>
    <t>未  払  金</t>
  </si>
  <si>
    <t>預　り　金</t>
  </si>
  <si>
    <t>金 銭 信 託</t>
  </si>
  <si>
    <t>前 受 収 益</t>
  </si>
  <si>
    <t>立  替  金</t>
  </si>
  <si>
    <t>未 収 収 益</t>
  </si>
  <si>
    <t>未　収　金</t>
  </si>
  <si>
    <t>固 定 負 債</t>
  </si>
  <si>
    <t>負債合計</t>
  </si>
  <si>
    <t>剰  余  金</t>
  </si>
  <si>
    <t xml:space="preserve"> 利益剰余金</t>
  </si>
  <si>
    <t>欠損金補てん
積立金</t>
  </si>
  <si>
    <t>純資産合計</t>
  </si>
  <si>
    <t>資     産     合     計</t>
  </si>
  <si>
    <t>負 債  ・  純 資 産 合 計</t>
  </si>
  <si>
    <r>
      <rPr>
        <sz val="8"/>
        <color rgb="FF000000"/>
        <rFont val="WenQuanYi Zen Hei"/>
        <family val="2"/>
      </rPr>
      <t>　（注）支払準備金は、地方公務員等共済組合法施行規程第</t>
    </r>
    <r>
      <rPr>
        <sz val="8"/>
        <color rgb="FF000000"/>
        <rFont val="ＭＳ 明朝"/>
        <family val="1"/>
      </rPr>
      <t>83</t>
    </r>
    <r>
      <rPr>
        <sz val="8"/>
        <color rgb="FF000000"/>
        <rFont val="WenQuanYi Zen Hei"/>
        <family val="2"/>
      </rPr>
      <t>条に基づき、当該事業年度における短期給付請求額の</t>
    </r>
    <r>
      <rPr>
        <sz val="8"/>
        <color rgb="FF000000"/>
        <rFont val="ＭＳ 明朝"/>
        <family val="1"/>
      </rPr>
      <t>2/12</t>
    </r>
    <r>
      <rPr>
        <sz val="8"/>
        <color rgb="FF000000"/>
        <rFont val="WenQuanYi Zen Hei"/>
        <family val="2"/>
      </rPr>
      <t>を計上している。</t>
    </r>
  </si>
  <si>
    <r>
      <rPr>
        <sz val="8"/>
        <color rgb="FF000000"/>
        <rFont val="WenQuanYi Zen Hei"/>
        <family val="2"/>
      </rPr>
      <t>　  欠損金補てん積立金は、地方公務員等共済組合法施行規程第</t>
    </r>
    <r>
      <rPr>
        <sz val="8"/>
        <color rgb="FF000000"/>
        <rFont val="ＭＳ 明朝"/>
        <family val="1"/>
      </rPr>
      <t>87</t>
    </r>
    <r>
      <rPr>
        <sz val="8"/>
        <color rgb="FF000000"/>
        <rFont val="WenQuanYi Zen Hei"/>
        <family val="2"/>
      </rPr>
      <t>条に基づき、当該事業年度以前３事業年度における短期給付の平均　</t>
    </r>
  </si>
  <si>
    <r>
      <rPr>
        <sz val="8"/>
        <color rgb="FF000000"/>
        <rFont val="WenQuanYi Zen Hei"/>
        <family val="2"/>
      </rPr>
      <t>　　 　請求額の</t>
    </r>
    <r>
      <rPr>
        <sz val="8"/>
        <color rgb="FF000000"/>
        <rFont val="ＭＳ 明朝"/>
        <family val="1"/>
      </rPr>
      <t>10/100</t>
    </r>
    <r>
      <rPr>
        <sz val="8"/>
        <color rgb="FF000000"/>
        <rFont val="WenQuanYi Zen Hei"/>
        <family val="2"/>
      </rPr>
      <t>を計上している。</t>
    </r>
  </si>
  <si>
    <t>損益計算書</t>
  </si>
  <si>
    <t>損                    失</t>
  </si>
  <si>
    <t>利                    益</t>
  </si>
  <si>
    <t>介護分</t>
  </si>
  <si>
    <t>経 常 費 用</t>
  </si>
  <si>
    <t>経 常 収 益</t>
  </si>
  <si>
    <t>事業費用</t>
  </si>
  <si>
    <t>事業収益</t>
  </si>
  <si>
    <t>収益</t>
  </si>
  <si>
    <r>
      <rPr>
        <sz val="8"/>
        <color rgb="FF000000"/>
        <rFont val="WenQuanYi Zen Hei"/>
        <family val="2"/>
      </rPr>
      <t xml:space="preserve"> 負担金</t>
    </r>
    <r>
      <rPr>
        <sz val="8"/>
        <color rgb="FF000000"/>
        <rFont val="ＭＳ 明朝"/>
        <family val="1"/>
      </rPr>
      <t>+</t>
    </r>
    <r>
      <rPr>
        <sz val="8"/>
        <color rgb="FF000000"/>
        <rFont val="WenQuanYi Zen Hei"/>
        <family val="2"/>
      </rPr>
      <t>掛金</t>
    </r>
    <r>
      <rPr>
        <sz val="8"/>
        <color rgb="FF000000"/>
        <rFont val="ＭＳ 明朝"/>
        <family val="1"/>
      </rPr>
      <t>+</t>
    </r>
    <r>
      <rPr>
        <sz val="8"/>
        <color rgb="FF000000"/>
        <rFont val="WenQuanYi Zen Hei"/>
        <family val="2"/>
      </rPr>
      <t>任継掛金</t>
    </r>
  </si>
  <si>
    <t>保 健 給 付</t>
  </si>
  <si>
    <t>短期負担金　</t>
  </si>
  <si>
    <t>(A)</t>
  </si>
  <si>
    <t xml:space="preserve"> その他収入（令和２年度分）</t>
  </si>
  <si>
    <t>災 害 給 付</t>
  </si>
  <si>
    <t>短 期 掛 金</t>
  </si>
  <si>
    <t>(A´)</t>
  </si>
  <si>
    <t>附 加 給 付</t>
  </si>
  <si>
    <t>介 護 掛 金</t>
  </si>
  <si>
    <t>費用</t>
  </si>
  <si>
    <t xml:space="preserve"> 介護納付金</t>
  </si>
  <si>
    <t>(B)</t>
  </si>
  <si>
    <t>出産育児関係
事務費拠出金</t>
  </si>
  <si>
    <t>差引</t>
  </si>
  <si>
    <t>(A)-(B)</t>
  </si>
  <si>
    <t>補助金等収入</t>
  </si>
  <si>
    <t>流行初期医療
確保拠出金</t>
  </si>
  <si>
    <t>短期任意継続
掛金還付金</t>
  </si>
  <si>
    <t>介護任意継続
掛金還付金</t>
  </si>
  <si>
    <t>補　助  金</t>
  </si>
  <si>
    <t>事業外収益</t>
  </si>
  <si>
    <t>連合会拠出金</t>
  </si>
  <si>
    <t>短期利息及び
短期配当金</t>
  </si>
  <si>
    <t>賠  償  金</t>
  </si>
  <si>
    <t>繰　入　金</t>
  </si>
  <si>
    <t>短期分</t>
  </si>
  <si>
    <t>特 別 利 益</t>
  </si>
  <si>
    <t>(a)</t>
  </si>
  <si>
    <t>特 別 損 失</t>
  </si>
  <si>
    <t xml:space="preserve"> その他収益計</t>
  </si>
  <si>
    <t>(b)</t>
  </si>
  <si>
    <t>当期利益金</t>
  </si>
  <si>
    <t>当期短期利益金</t>
  </si>
  <si>
    <t>(c)</t>
  </si>
  <si>
    <t>当期介護利益金</t>
  </si>
  <si>
    <t>その他費用（令和２年度分）</t>
  </si>
  <si>
    <t xml:space="preserve">  合                    計</t>
  </si>
  <si>
    <t>(a)+(b)-(C) -(C′)</t>
  </si>
  <si>
    <t>預金明細表</t>
  </si>
  <si>
    <t>取引金融機関等の名称</t>
  </si>
  <si>
    <t>金                額</t>
  </si>
  <si>
    <t>摘                要</t>
  </si>
  <si>
    <t>広島銀行広島市役所支店</t>
  </si>
  <si>
    <t>№１０１２３６３</t>
  </si>
  <si>
    <t>小                計</t>
  </si>
  <si>
    <t>ゆうちょ銀行</t>
  </si>
  <si>
    <t>№０１３９０－１－１１１５７４</t>
  </si>
  <si>
    <t>定期預金明細表</t>
  </si>
  <si>
    <t>金銭信託明細表</t>
  </si>
  <si>
    <t>立替金明細表</t>
  </si>
  <si>
    <t>種                別</t>
  </si>
  <si>
    <t>氏                名</t>
  </si>
  <si>
    <t>広島市職員健康保険組合未回収債権に係る全国健康保険協会への支払</t>
  </si>
  <si>
    <t>未収収益明細表</t>
  </si>
  <si>
    <t>未収金明細表</t>
  </si>
  <si>
    <t>短期任意継続掛金３月分</t>
  </si>
  <si>
    <t>支払基金委託金明細表</t>
  </si>
  <si>
    <t>広島県社会保険診療報酬支払基金</t>
  </si>
  <si>
    <t>未払金明細表</t>
  </si>
  <si>
    <t>３月分</t>
  </si>
  <si>
    <t>全国市町村職員共済組合連合会</t>
  </si>
  <si>
    <r>
      <rPr>
        <sz val="10"/>
        <color rgb="FF000000"/>
        <rFont val="WenQuanYi Zen Hei"/>
        <family val="2"/>
      </rPr>
      <t>共済組合事務費</t>
    </r>
    <r>
      <rPr>
        <sz val="10"/>
        <color rgb="FF000000"/>
        <rFont val="ＭＳ 明朝"/>
        <family val="1"/>
      </rPr>
      <t>25%</t>
    </r>
    <r>
      <rPr>
        <sz val="10"/>
        <color rgb="FF000000"/>
        <rFont val="WenQuanYi Zen Hei"/>
        <family val="2"/>
      </rPr>
      <t>分</t>
    </r>
  </si>
  <si>
    <t>預り金明細表</t>
  </si>
  <si>
    <t>保健給付用資金</t>
  </si>
  <si>
    <t>前受収益明細表</t>
  </si>
  <si>
    <t>摘  要</t>
  </si>
  <si>
    <t>収   　　　  入</t>
  </si>
  <si>
    <t>貸借対照表
計上額</t>
  </si>
  <si>
    <t>備  考</t>
  </si>
  <si>
    <t>年 月 日</t>
  </si>
  <si>
    <t>伝票番号</t>
  </si>
  <si>
    <t>金　　額</t>
  </si>
  <si>
    <r>
      <rPr>
        <sz val="10"/>
        <color rgb="FF000000"/>
        <rFont val="ＭＳ 明朝"/>
        <family val="1"/>
      </rPr>
      <t xml:space="preserve">R8.3.18 </t>
    </r>
    <r>
      <rPr>
        <sz val="10"/>
        <color rgb="FF000000"/>
        <rFont val="WenQuanYi Zen Hei"/>
        <family val="2"/>
      </rPr>
      <t>外</t>
    </r>
  </si>
  <si>
    <r>
      <rPr>
        <sz val="10"/>
        <color rgb="FF000000"/>
        <rFont val="ＭＳ 明朝"/>
        <family val="1"/>
      </rPr>
      <t xml:space="preserve">No.0549 </t>
    </r>
    <r>
      <rPr>
        <sz val="10"/>
        <color rgb="FF000000"/>
        <rFont val="WenQuanYi Zen Hei"/>
        <family val="2"/>
      </rPr>
      <t>外</t>
    </r>
  </si>
  <si>
    <t>子ども・子育て支援任意継続掛金</t>
  </si>
  <si>
    <t>積立金明細表</t>
  </si>
  <si>
    <t>区        分</t>
  </si>
  <si>
    <t>前期繰越額</t>
  </si>
  <si>
    <t>当期増加額</t>
  </si>
  <si>
    <t>当期減少額</t>
  </si>
  <si>
    <t>貸借対照表計上額</t>
  </si>
  <si>
    <t>摘        要</t>
  </si>
  <si>
    <t>合        計</t>
  </si>
  <si>
    <t>利益剰余金計算書</t>
  </si>
  <si>
    <t>１</t>
  </si>
  <si>
    <t>積立金又は欠損金（△）</t>
  </si>
  <si>
    <t>２</t>
  </si>
  <si>
    <t>当期利益金又は当期損失金（△）</t>
  </si>
  <si>
    <t>３</t>
  </si>
  <si>
    <t>欠損金補てん積立金へ積立</t>
  </si>
  <si>
    <t>決算精算表</t>
  </si>
  <si>
    <t>広島市職員共済組合短期経理決算精算表</t>
  </si>
  <si>
    <t>借                 方</t>
  </si>
  <si>
    <t>勘  定  科  目</t>
  </si>
  <si>
    <t>貸                 方</t>
  </si>
  <si>
    <t>差引残高</t>
  </si>
  <si>
    <t>修正増減</t>
  </si>
  <si>
    <t>３月分残高</t>
  </si>
  <si>
    <t xml:space="preserve">普通預金 </t>
  </si>
  <si>
    <t>定期預金</t>
  </si>
  <si>
    <t>金銭信託</t>
  </si>
  <si>
    <t>未収金</t>
  </si>
  <si>
    <t>未払金</t>
  </si>
  <si>
    <t>前受収益</t>
  </si>
  <si>
    <t>利益剰余金</t>
  </si>
  <si>
    <t>欠損金</t>
  </si>
  <si>
    <t>小          計</t>
  </si>
  <si>
    <t>●欠損金補てん積立金</t>
  </si>
  <si>
    <t xml:space="preserve">    出納主任    村井　　慶子</t>
  </si>
  <si>
    <t xml:space="preserve">  この決算精算表を審査したところ事実に相違ないことを証明する。</t>
  </si>
  <si>
    <t>　　出 納 役    榎本　　聡子</t>
  </si>
  <si>
    <t xml:space="preserve">                                                                                      　</t>
  </si>
  <si>
    <t>借　　　　　　　 方</t>
  </si>
  <si>
    <t>金　   額</t>
  </si>
  <si>
    <t>貸　　　　　　 　方</t>
  </si>
  <si>
    <t>金 　　額</t>
  </si>
  <si>
    <t xml:space="preserve">          </t>
  </si>
  <si>
    <t>資　　産　　合　　計</t>
  </si>
  <si>
    <t>負　債　・　純　資　産　合　計</t>
  </si>
  <si>
    <t>損　　　　　     失</t>
  </si>
  <si>
    <t>利　  　　　 　  益</t>
  </si>
  <si>
    <t>金  　額</t>
  </si>
  <si>
    <t>組合員保険料
払込金</t>
  </si>
  <si>
    <t>合　　　　　　   計</t>
  </si>
  <si>
    <t>合 　　　　　    計</t>
  </si>
  <si>
    <t>預　金　明　細　表</t>
  </si>
  <si>
    <t>区  　　  分</t>
  </si>
  <si>
    <t>金   　　額</t>
  </si>
  <si>
    <t>摘　　       要</t>
  </si>
  <si>
    <t>№０８００４５７</t>
  </si>
  <si>
    <t>小計</t>
  </si>
  <si>
    <t>　                　</t>
  </si>
  <si>
    <t>№０１３３０－９－９１３３９</t>
  </si>
  <si>
    <t>　　　　　　　　　　</t>
  </si>
  <si>
    <t xml:space="preserve"> 未 収 金 明 細 表</t>
  </si>
  <si>
    <t>種　　　　  　別</t>
  </si>
  <si>
    <t>金　　　　　額</t>
  </si>
  <si>
    <t>氏　　　  　名</t>
  </si>
  <si>
    <t>摘　　　   　要</t>
  </si>
  <si>
    <t>　　　　　  　　　　　</t>
  </si>
  <si>
    <t>　    　　　</t>
  </si>
  <si>
    <t>未収負担金</t>
  </si>
  <si>
    <t>　　　　　　　　　　　</t>
  </si>
  <si>
    <t>　        　　　　</t>
  </si>
  <si>
    <t>未 払 金 明 細 表</t>
  </si>
  <si>
    <t>合　 　計</t>
  </si>
  <si>
    <t>預 り 金 明 細 表</t>
  </si>
  <si>
    <t>退職等年金 掛金・負担金</t>
  </si>
  <si>
    <t>退職等年金経理へ未振替</t>
  </si>
  <si>
    <r>
      <rPr>
        <sz val="10"/>
        <color rgb="FF000000"/>
        <rFont val="WenQuanYi Zen Hei"/>
        <family val="2"/>
      </rPr>
      <t>年金受給者</t>
    </r>
    <r>
      <rPr>
        <sz val="10"/>
        <color rgb="FF000000"/>
        <rFont val="ＭＳ 明朝"/>
        <family val="1"/>
      </rPr>
      <t>1</t>
    </r>
    <r>
      <rPr>
        <sz val="10"/>
        <color rgb="FF000000"/>
        <rFont val="WenQuanYi Zen Hei"/>
        <family val="2"/>
      </rPr>
      <t>名分</t>
    </r>
  </si>
  <si>
    <t>決　　算　　精　　算　　表</t>
  </si>
  <si>
    <t>広島市職員共済組合厚生年金保険経理決算精算表</t>
  </si>
  <si>
    <t>借          　      　方</t>
  </si>
  <si>
    <t>勘定科目</t>
  </si>
  <si>
    <t>貸　   　            　方</t>
  </si>
  <si>
    <t>　差引残高　</t>
  </si>
  <si>
    <t>　修　　　　正　</t>
  </si>
  <si>
    <t xml:space="preserve"> ３月分残高　</t>
  </si>
  <si>
    <t>　３月分残高　</t>
  </si>
  <si>
    <t xml:space="preserve"> 修　　　　正　</t>
  </si>
  <si>
    <t xml:space="preserve">       </t>
  </si>
  <si>
    <t>　　　　この決算精算表を審査したところ事実に相違ないことを証明する。　　　　</t>
  </si>
  <si>
    <t>　　　　　</t>
  </si>
  <si>
    <t>合 　　　　　　    計</t>
  </si>
  <si>
    <t>金   　　　額</t>
  </si>
  <si>
    <t>摘　　    　   要</t>
  </si>
  <si>
    <t>№３０５１０６１</t>
  </si>
  <si>
    <t>合　  　計</t>
  </si>
  <si>
    <t>未 収 金 明 細 表</t>
  </si>
  <si>
    <t xml:space="preserve"> 未 払 金 明 細 表</t>
  </si>
  <si>
    <t>組合員１名分</t>
  </si>
  <si>
    <t>広島市職員共済組合退職等年金経理決算精算表</t>
  </si>
  <si>
    <t>修正　</t>
  </si>
  <si>
    <t>修正</t>
  </si>
  <si>
    <t>差引残高　</t>
  </si>
  <si>
    <t xml:space="preserve">      　　合　　　　　　   計</t>
  </si>
  <si>
    <t xml:space="preserve">        　  合 　　　　　    計</t>
  </si>
  <si>
    <t>№３０５１０７０</t>
  </si>
  <si>
    <t>合　       　計</t>
  </si>
  <si>
    <t>広島市職員共済組合経過的長期経理決算精算表</t>
  </si>
  <si>
    <t>小     計</t>
  </si>
  <si>
    <t>小　　計</t>
  </si>
  <si>
    <t>合    計</t>
  </si>
  <si>
    <t>固 定 資 産</t>
  </si>
  <si>
    <t>投資その他の資産</t>
  </si>
  <si>
    <t>長期貸付金</t>
  </si>
  <si>
    <t>負　債　・　純　資　産　合　計　</t>
  </si>
  <si>
    <t>運用収入</t>
  </si>
  <si>
    <t>№３０５５９４６</t>
  </si>
  <si>
    <t>未 収 収 益 明 細 表</t>
  </si>
  <si>
    <t>普通預金利息</t>
  </si>
  <si>
    <t>貸 付 金 明 細 表</t>
  </si>
  <si>
    <t>貸 付 区 分</t>
  </si>
  <si>
    <t>貸付先</t>
  </si>
  <si>
    <t>前期繰越高</t>
  </si>
  <si>
    <t>期末残高</t>
  </si>
  <si>
    <t>摘要</t>
  </si>
  <si>
    <t>連 合 会 預 託 金 明 細 表</t>
  </si>
  <si>
    <t>種　　　　　　別</t>
  </si>
  <si>
    <t>広島市職員共済組合退職等年金預託金管理経理決算精算表</t>
  </si>
  <si>
    <t>未払費用</t>
  </si>
  <si>
    <t>有形固定資産</t>
  </si>
  <si>
    <t>積 立 金</t>
  </si>
  <si>
    <r>
      <rPr>
        <sz val="8"/>
        <color rgb="FFFF0000"/>
        <rFont val="WenQuanYi Zen Hei"/>
        <family val="2"/>
      </rPr>
      <t xml:space="preserve">  別途積立金は、地方公務員等共済組合法施行規程第</t>
    </r>
    <r>
      <rPr>
        <sz val="8"/>
        <color rgb="FFFF0000"/>
        <rFont val="ＭＳ 明朝"/>
        <family val="1"/>
      </rPr>
      <t>86</t>
    </r>
    <r>
      <rPr>
        <sz val="8"/>
        <color rgb="FFFF0000"/>
        <rFont val="WenQuanYi Zen Hei"/>
        <family val="2"/>
      </rPr>
      <t>条に基づき、計上している。</t>
    </r>
  </si>
  <si>
    <t>事  業  費  用</t>
  </si>
  <si>
    <t>旅    費</t>
  </si>
  <si>
    <t>事 務 費</t>
  </si>
  <si>
    <t>委 託 費</t>
  </si>
  <si>
    <t xml:space="preserve">  利息及び配当金</t>
  </si>
  <si>
    <t>繰  入  金</t>
  </si>
  <si>
    <t>賃 借 料</t>
  </si>
  <si>
    <t>普 及 費</t>
  </si>
  <si>
    <t>負 担 金</t>
  </si>
  <si>
    <t xml:space="preserve"> 前期損益修正益</t>
  </si>
  <si>
    <t>　 事務費負担金払込金</t>
  </si>
  <si>
    <t xml:space="preserve"> 当期損失金</t>
  </si>
  <si>
    <t xml:space="preserve">  当期利益金</t>
  </si>
  <si>
    <t>合                    計</t>
  </si>
  <si>
    <t>普    通    預    金</t>
  </si>
  <si>
    <t>№０８００４６５</t>
  </si>
  <si>
    <t>全国市町村職員共済組合連合会　</t>
  </si>
  <si>
    <r>
      <rPr>
        <sz val="7"/>
        <rFont val="WenQuanYi Zen Hei"/>
        <family val="2"/>
      </rPr>
      <t>年金過払金等返還金の払込料金（</t>
    </r>
    <r>
      <rPr>
        <sz val="7"/>
        <rFont val="ＭＳ 明朝"/>
        <family val="1"/>
      </rPr>
      <t>4</t>
    </r>
    <r>
      <rPr>
        <sz val="7"/>
        <rFont val="WenQuanYi Zen Hei"/>
        <family val="2"/>
      </rPr>
      <t>月～</t>
    </r>
    <r>
      <rPr>
        <sz val="7"/>
        <rFont val="ＭＳ 明朝"/>
        <family val="1"/>
      </rPr>
      <t>3</t>
    </r>
    <r>
      <rPr>
        <sz val="7"/>
        <rFont val="WenQuanYi Zen Hei"/>
        <family val="2"/>
      </rPr>
      <t>月分）　</t>
    </r>
  </si>
  <si>
    <t>他の経理立替分</t>
  </si>
  <si>
    <t>前払費用明細表</t>
  </si>
  <si>
    <t>科　　目</t>
  </si>
  <si>
    <t>摘　　　　　　　要</t>
  </si>
  <si>
    <t>支　　　　　払</t>
  </si>
  <si>
    <t>貸借対照表
計　上　額</t>
  </si>
  <si>
    <t>賃　借　料</t>
  </si>
  <si>
    <t>保健経理より</t>
  </si>
  <si>
    <t>事務費負担金精算返納分
（特定健康診査等負担金）</t>
  </si>
  <si>
    <t>広島市福利課</t>
  </si>
  <si>
    <t>事務費負担金の精算による追加交付</t>
  </si>
  <si>
    <t>短期経理より</t>
  </si>
  <si>
    <t>組合事務費短期分２５％</t>
  </si>
  <si>
    <r>
      <rPr>
        <sz val="8"/>
        <rFont val="WenQuanYi Zen Hei"/>
        <family val="2"/>
      </rPr>
      <t>年金過払金等返還金の払込料金立替払（</t>
    </r>
    <r>
      <rPr>
        <sz val="8"/>
        <rFont val="ＭＳ 明朝"/>
        <family val="1"/>
      </rPr>
      <t>10</t>
    </r>
    <r>
      <rPr>
        <sz val="8"/>
        <rFont val="WenQuanYi Zen Hei"/>
        <family val="2"/>
      </rPr>
      <t>月～</t>
    </r>
    <r>
      <rPr>
        <sz val="8"/>
        <rFont val="ＭＳ 明朝"/>
        <family val="1"/>
      </rPr>
      <t>3</t>
    </r>
    <r>
      <rPr>
        <sz val="8"/>
        <rFont val="WenQuanYi Zen Hei"/>
        <family val="2"/>
      </rPr>
      <t>月分）</t>
    </r>
  </si>
  <si>
    <r>
      <rPr>
        <sz val="7"/>
        <rFont val="ＭＳ 明朝"/>
        <family val="1"/>
      </rPr>
      <t>(</t>
    </r>
    <r>
      <rPr>
        <sz val="7"/>
        <rFont val="WenQuanYi Zen Hei"/>
        <family val="2"/>
      </rPr>
      <t>一財</t>
    </r>
    <r>
      <rPr>
        <sz val="7"/>
        <rFont val="ＭＳ 明朝"/>
        <family val="1"/>
      </rPr>
      <t>)</t>
    </r>
    <r>
      <rPr>
        <sz val="7"/>
        <rFont val="WenQuanYi Zen Hei"/>
        <family val="2"/>
      </rPr>
      <t>広島市職員互助会　外</t>
    </r>
  </si>
  <si>
    <t>コピー用紙等消耗品購入代分担金等</t>
  </si>
  <si>
    <t>みずほリサーチ＆テクノロジーズ（株）外</t>
  </si>
  <si>
    <t>個別番号管理システム運営及び保守費用　外</t>
  </si>
  <si>
    <t>広島市総務課</t>
  </si>
  <si>
    <r>
      <rPr>
        <sz val="7.5"/>
        <rFont val="WenQuanYi Zen Hei"/>
        <family val="2"/>
      </rPr>
      <t>電気・ガス・水道料金等</t>
    </r>
    <r>
      <rPr>
        <sz val="7.5"/>
        <rFont val="ＭＳ 明朝"/>
        <family val="1"/>
      </rPr>
      <t>10</t>
    </r>
    <r>
      <rPr>
        <sz val="7.5"/>
        <rFont val="WenQuanYi Zen Hei"/>
        <family val="2"/>
      </rPr>
      <t>月～</t>
    </r>
    <r>
      <rPr>
        <sz val="7.5"/>
        <rFont val="ＭＳ 明朝"/>
        <family val="1"/>
      </rPr>
      <t>3</t>
    </r>
    <r>
      <rPr>
        <sz val="7.5"/>
        <rFont val="WenQuanYi Zen Hei"/>
        <family val="2"/>
      </rPr>
      <t>月分</t>
    </r>
  </si>
  <si>
    <r>
      <rPr>
        <sz val="9"/>
        <rFont val="ＭＳ 明朝"/>
        <family val="1"/>
      </rPr>
      <t>J</t>
    </r>
    <r>
      <rPr>
        <sz val="9"/>
        <rFont val="WenQuanYi Zen Hei"/>
        <family val="2"/>
      </rPr>
      <t>　</t>
    </r>
    <r>
      <rPr>
        <sz val="9"/>
        <rFont val="ＭＳ 明朝"/>
        <family val="1"/>
      </rPr>
      <t>E</t>
    </r>
    <r>
      <rPr>
        <sz val="9"/>
        <rFont val="WenQuanYi Zen Hei"/>
        <family val="2"/>
      </rPr>
      <t>　</t>
    </r>
    <r>
      <rPr>
        <sz val="9"/>
        <rFont val="ＭＳ 明朝"/>
        <family val="1"/>
      </rPr>
      <t>C</t>
    </r>
    <r>
      <rPr>
        <sz val="9"/>
        <rFont val="WenQuanYi Zen Hei"/>
        <family val="2"/>
      </rPr>
      <t>　</t>
    </r>
    <r>
      <rPr>
        <sz val="9"/>
        <rFont val="ＭＳ 明朝"/>
        <family val="1"/>
      </rPr>
      <t>C</t>
    </r>
    <r>
      <rPr>
        <sz val="9"/>
        <rFont val="WenQuanYi Zen Hei"/>
        <family val="2"/>
      </rPr>
      <t>㈱　外</t>
    </r>
  </si>
  <si>
    <t>基幹システム用機器等賃貸借料　外</t>
  </si>
  <si>
    <r>
      <rPr>
        <sz val="9"/>
        <rFont val="ＭＳ 明朝"/>
        <family val="1"/>
      </rPr>
      <t>(</t>
    </r>
    <r>
      <rPr>
        <sz val="9"/>
        <rFont val="WenQuanYi Zen Hei"/>
        <family val="2"/>
      </rPr>
      <t>一財</t>
    </r>
    <r>
      <rPr>
        <sz val="9"/>
        <rFont val="ＭＳ 明朝"/>
        <family val="1"/>
      </rPr>
      <t>)</t>
    </r>
    <r>
      <rPr>
        <sz val="9"/>
        <rFont val="WenQuanYi Zen Hei"/>
        <family val="2"/>
      </rPr>
      <t>広島市職員互助会</t>
    </r>
  </si>
  <si>
    <t>厚生だより印刷代分担金</t>
  </si>
  <si>
    <t>厚生労働省　年金局</t>
  </si>
  <si>
    <t>３月分厚生年金保険料等</t>
  </si>
  <si>
    <t>広島市福利課　外</t>
  </si>
  <si>
    <t>事務費負担金の精算による返還　外</t>
  </si>
  <si>
    <t>未払費用明細表</t>
  </si>
  <si>
    <t>非常勤職員１名</t>
  </si>
  <si>
    <t>時間外手当３月分</t>
  </si>
  <si>
    <t>臨時職員２名</t>
  </si>
  <si>
    <t>３月分賃金</t>
  </si>
  <si>
    <t>広島労働局</t>
  </si>
  <si>
    <t>組合職員給与より控除分</t>
  </si>
  <si>
    <t>受入保証金明細表</t>
  </si>
  <si>
    <t>ガリバーインターナショナル㈱</t>
  </si>
  <si>
    <t>療養費支給申請書に係る内容点検及び入力業務</t>
  </si>
  <si>
    <t>固定資産明細表</t>
  </si>
  <si>
    <t>資産の種類</t>
  </si>
  <si>
    <t>期首残高</t>
  </si>
  <si>
    <t>当期償却額</t>
  </si>
  <si>
    <t>差引期末残高</t>
  </si>
  <si>
    <t>適　　用</t>
  </si>
  <si>
    <t>　</t>
  </si>
  <si>
    <t>減価償却費明細表</t>
  </si>
  <si>
    <t>耐用年数</t>
  </si>
  <si>
    <t>取得原価</t>
  </si>
  <si>
    <t>償却累計額</t>
  </si>
  <si>
    <t>当期末残高</t>
  </si>
  <si>
    <t>償却累計率</t>
  </si>
  <si>
    <t>適　　     用</t>
  </si>
  <si>
    <t>％</t>
  </si>
  <si>
    <t>カードプリンタ　　
令和４年７月２９日取得</t>
  </si>
  <si>
    <t>個人番号管理システム
シンクライアント端末
令和５年２月７日取得</t>
  </si>
  <si>
    <t>摘                                  要</t>
  </si>
  <si>
    <t>年</t>
  </si>
  <si>
    <t>パーソナルコンピューター  １台  平成１１年５月２６日取得</t>
  </si>
  <si>
    <t>平成１１年５月２４日取得</t>
  </si>
  <si>
    <t>合      計</t>
  </si>
  <si>
    <t>減価償却累計額明細表</t>
  </si>
  <si>
    <t>器具及び備品の
減価償却費</t>
  </si>
  <si>
    <t>支出実績表</t>
  </si>
  <si>
    <t>科        目</t>
  </si>
  <si>
    <t>予 算 額</t>
  </si>
  <si>
    <t>支出済額</t>
  </si>
  <si>
    <t>支出未済額</t>
  </si>
  <si>
    <t>不     用     額</t>
  </si>
  <si>
    <r>
      <rPr>
        <sz val="9"/>
        <rFont val="WenQuanYi Zen Hei"/>
        <family val="2"/>
      </rPr>
      <t>【参考】</t>
    </r>
    <r>
      <rPr>
        <sz val="9"/>
        <rFont val="ＭＳ 明朝"/>
        <family val="1"/>
      </rPr>
      <t>R3</t>
    </r>
    <r>
      <rPr>
        <sz val="9"/>
        <rFont val="WenQuanYi Zen Hei"/>
        <family val="2"/>
      </rPr>
      <t>事務費（旅費＋事務費）</t>
    </r>
  </si>
  <si>
    <t>　予算額（最高限度額）</t>
  </si>
  <si>
    <t>　支出済額</t>
  </si>
  <si>
    <t>　不用額</t>
  </si>
  <si>
    <t>①－②</t>
  </si>
  <si>
    <t>(A)+(B)</t>
  </si>
  <si>
    <t>広島市職員共済組合業務経理決算精算表</t>
  </si>
  <si>
    <t>前払費用</t>
  </si>
  <si>
    <t>資本剰余金</t>
  </si>
  <si>
    <t xml:space="preserve">    出納主任   村　井　慶　子</t>
  </si>
  <si>
    <t xml:space="preserve">    出 納 役   榎　本　聡　子</t>
  </si>
  <si>
    <t>未 払 費 用</t>
  </si>
  <si>
    <t>前 払 費 用</t>
  </si>
  <si>
    <t>未  収  金</t>
  </si>
  <si>
    <t>建　　物</t>
  </si>
  <si>
    <t>積　立　金</t>
  </si>
  <si>
    <t>加  入  金</t>
  </si>
  <si>
    <t>厚 生 費</t>
  </si>
  <si>
    <t>掛　  金</t>
  </si>
  <si>
    <t>賃　　金</t>
  </si>
  <si>
    <t>修 繕 費</t>
  </si>
  <si>
    <t>洗 濯 費</t>
  </si>
  <si>
    <t>保 険 料</t>
  </si>
  <si>
    <t>№３０２６６０１</t>
  </si>
  <si>
    <t>広島市農業協同組合　　　　</t>
  </si>
  <si>
    <t>定　　期    預    金</t>
  </si>
  <si>
    <t>№２７４１３９３９
大口定期</t>
  </si>
  <si>
    <t>みずほ信託銀行</t>
  </si>
  <si>
    <t>オールウェイズ</t>
  </si>
  <si>
    <t>広島県中小企業共済        協同組合 外</t>
  </si>
  <si>
    <t>直営保養所火災保険料</t>
  </si>
  <si>
    <t>広島市農業協同組合</t>
  </si>
  <si>
    <t>大口定期預金（利息）</t>
  </si>
  <si>
    <t>検診業務受託料等</t>
  </si>
  <si>
    <r>
      <rPr>
        <sz val="10"/>
        <color rgb="FF000000"/>
        <rFont val="ＭＳ 明朝"/>
        <family val="1"/>
      </rPr>
      <t>(</t>
    </r>
    <r>
      <rPr>
        <sz val="10"/>
        <color rgb="FF000000"/>
        <rFont val="WenQuanYi Zen Hei"/>
        <family val="2"/>
      </rPr>
      <t>一財</t>
    </r>
    <r>
      <rPr>
        <sz val="10"/>
        <color rgb="FF000000"/>
        <rFont val="ＭＳ 明朝"/>
        <family val="1"/>
      </rPr>
      <t>)</t>
    </r>
    <r>
      <rPr>
        <sz val="10"/>
        <color rgb="FF000000"/>
        <rFont val="WenQuanYi Zen Hei"/>
        <family val="2"/>
      </rPr>
      <t>広島市職員互助会</t>
    </r>
  </si>
  <si>
    <t>直営保養所事業共催負担金</t>
  </si>
  <si>
    <t>中電病院　外</t>
  </si>
  <si>
    <t>人間ドック業務委託料第４期分等</t>
  </si>
  <si>
    <t>特定健康診査委託料第４期分等</t>
  </si>
  <si>
    <t>西日本電信電話㈱　外</t>
  </si>
  <si>
    <t>健康相談室電話料金等</t>
  </si>
  <si>
    <t>広島市皆賀園</t>
  </si>
  <si>
    <t>鉢購入費</t>
  </si>
  <si>
    <t>㈱法研　外</t>
  </si>
  <si>
    <t>特定健診等システム保守費用３月分等</t>
  </si>
  <si>
    <t>中国電力㈱外</t>
  </si>
  <si>
    <t>コテージ湯の山電気料　３月分等</t>
  </si>
  <si>
    <t>㈱広島リネンサプライ</t>
  </si>
  <si>
    <t>保健室白衣等クリーニング代３月分</t>
  </si>
  <si>
    <t>㈱ＪＥＣＣ</t>
  </si>
  <si>
    <t>特定健康診査等システム賃借料等</t>
  </si>
  <si>
    <t>厚生労働省年金局</t>
  </si>
  <si>
    <t>厚生年金保険料３月分</t>
  </si>
  <si>
    <t>業務経理へ</t>
  </si>
  <si>
    <t>市からの事務費負担金の精算返納</t>
  </si>
  <si>
    <t>㈱赤ちゃんとママ社</t>
  </si>
  <si>
    <t>育児冊子等配付代</t>
  </si>
  <si>
    <t>片岡　茂人</t>
  </si>
  <si>
    <t>㈱ＪＭＤＣ</t>
  </si>
  <si>
    <t>摘      要</t>
  </si>
  <si>
    <t>摘　　要</t>
  </si>
  <si>
    <t>小      計</t>
  </si>
  <si>
    <t>加入金明細表</t>
  </si>
  <si>
    <t>広島県火災共済協同組合への出資</t>
  </si>
  <si>
    <t>コテージ湯の山解体により積立金へ積立</t>
  </si>
  <si>
    <t>引当金明細表</t>
  </si>
  <si>
    <t>積立金又は繰越欠損金（△）</t>
  </si>
  <si>
    <t>欠損金補てん積立金を取り崩し積立金へ積立（コテージ湯の山解体）</t>
  </si>
  <si>
    <t>広島市職員共済組合保健経理決算精算表</t>
  </si>
  <si>
    <r>
      <rPr>
        <sz val="9"/>
        <color rgb="FF000000"/>
        <rFont val="WenQuanYi Zen Hei"/>
        <family val="2"/>
      </rPr>
      <t>利益剰余金</t>
    </r>
    <r>
      <rPr>
        <sz val="9"/>
        <color rgb="FF000000"/>
        <rFont val="ＭＳ 明朝"/>
        <family val="1"/>
      </rPr>
      <t>(</t>
    </r>
    <r>
      <rPr>
        <sz val="9"/>
        <color rgb="FF000000"/>
        <rFont val="WenQuanYi Zen Hei"/>
        <family val="2"/>
      </rPr>
      <t>欠損金）</t>
    </r>
  </si>
  <si>
    <t>【共通】年度・日付</t>
  </si>
  <si>
    <t>各表の「令和７年度分」「令和８年３月３１日現在」「自 令和７年４月１日 至…」に反映</t>
  </si>
  <si>
    <t>決算精算表の日付２か所</t>
  </si>
  <si>
    <t>【預金・貸付金・借入金】</t>
  </si>
  <si>
    <t>預金残高（広島銀行広島市役所支店 普通預金）</t>
  </si>
  <si>
    <t>預金明細表／精算表／貸借対照表</t>
  </si>
  <si>
    <t>貸付金明細表</t>
  </si>
  <si>
    <t>貸付金 当期増加額</t>
  </si>
  <si>
    <t>貸付金 当期減少額</t>
  </si>
  <si>
    <t>借入金 前期繰越高</t>
  </si>
  <si>
    <t>借入金明細表</t>
  </si>
  <si>
    <t>借入金 当期増加額</t>
  </si>
  <si>
    <t>借入金 当期減少額</t>
  </si>
  <si>
    <t>【期末の未収・未払・預り・前受（明細表の金額）】</t>
  </si>
  <si>
    <t>未収収益 組合員貸付金利息</t>
  </si>
  <si>
    <t>未収収益明細表 → 精算表 → 貸借対照表</t>
  </si>
  <si>
    <t>未収収益 組合員貸付金（償還金）</t>
  </si>
  <si>
    <t>未収金 組合員貸付金</t>
  </si>
  <si>
    <t>未収金 組合員貸付金利息</t>
  </si>
  <si>
    <t>未払金 事務費</t>
  </si>
  <si>
    <t>未払金明細表 → 精算表（未払金・事務費）→ 支出実績表</t>
  </si>
  <si>
    <t>未払金 委託費</t>
  </si>
  <si>
    <t>未払金明細表 → 精算表（委託費）</t>
  </si>
  <si>
    <t>未払金 賃借料</t>
  </si>
  <si>
    <t>未払金明細表 → 精算表（賃借料）</t>
  </si>
  <si>
    <t>未払金 負担金</t>
  </si>
  <si>
    <t>未払金明細表 → 精算表（負担金）</t>
  </si>
  <si>
    <t>未払費用 職員給与</t>
  </si>
  <si>
    <t>未払費用明細表 → 精算表 → 支出実績表</t>
  </si>
  <si>
    <t>未払費用 賃金</t>
  </si>
  <si>
    <t>未払費用明細表 → 精算表（賃金）</t>
  </si>
  <si>
    <t>預り金 その他</t>
  </si>
  <si>
    <t>預り金明細表 → 精算表 → 貸借対照表</t>
  </si>
  <si>
    <t>前受収益 組合員貸付金</t>
  </si>
  <si>
    <t>前受収益 組合員貸付金利息</t>
  </si>
  <si>
    <t>【固定資産・減価償却】</t>
  </si>
  <si>
    <t>器具及び備品 期首残高</t>
  </si>
  <si>
    <t>固定資産明細表 → 精算表 → 貸借対照表</t>
  </si>
  <si>
    <t>器具及び備品 当期増加額</t>
  </si>
  <si>
    <t>器具及び備品 当期減少額</t>
  </si>
  <si>
    <t>器具及び備品 当期償却額</t>
  </si>
  <si>
    <t>固定資産明細表／減価償却費明細表／減価償却累計額明細表</t>
  </si>
  <si>
    <t>器具及び備品 取得原価</t>
  </si>
  <si>
    <t>減価償却累計額 前期繰越額</t>
  </si>
  <si>
    <t>減価償却累計額明細表 → 減価償却費明細表 → 貸借対照表（注）</t>
  </si>
  <si>
    <t>減価償却累計額 当期減少額</t>
  </si>
  <si>
    <t>【積立金・引当金】</t>
  </si>
  <si>
    <t>欠損金補てん積立金 前期繰越額</t>
  </si>
  <si>
    <t>積立金明細表 → 精算表（利益剰余金）</t>
  </si>
  <si>
    <t>欠損金補てん積立金 当期増加額</t>
  </si>
  <si>
    <t>貸借対照表（積立金は利益剰余金合計との差額を自動計算）</t>
  </si>
  <si>
    <t>退職給与引当金 前期繰越額</t>
  </si>
  <si>
    <t>退職給与引当金 当期増加額</t>
  </si>
  <si>
    <t>退職給与引当金 当期減少額</t>
  </si>
  <si>
    <t>【予算額】※決算報告書の「事業計画額」と共通</t>
  </si>
  <si>
    <t>予算額 職員給与</t>
  </si>
  <si>
    <t>支出実績表／決算報告書（事業計画額）</t>
  </si>
  <si>
    <t>予算額 旅費</t>
  </si>
  <si>
    <t>予算額 事務費</t>
  </si>
  <si>
    <t>【決算精算表 ３月分残高：費用】（未払分は上の明細で自動加算）</t>
  </si>
  <si>
    <t>精算表 → 損益計算書／決算報告書</t>
  </si>
  <si>
    <t>【決算精算表 ３月分残高：収益】</t>
  </si>
  <si>
    <t>組合員貸付金利息（未収計上前）</t>
  </si>
  <si>
    <t>【自動作成（入力不要）：各表の日付文言】</t>
  </si>
  <si>
    <t>貸借対照表の現在日</t>
  </si>
  <si>
    <t>損益計算書 自</t>
  </si>
  <si>
    <t>損益計算書 至</t>
  </si>
  <si>
    <t>精算表 年度</t>
  </si>
  <si>
    <t>精算表 作成日・審査日</t>
  </si>
  <si>
    <t>利益剰余金計算書の期間</t>
  </si>
  <si>
    <t>貸借対照表：資産合計＝負債・純資産合計</t>
  </si>
  <si>
    <t>損益計算書：借方合計＝貸方合計</t>
  </si>
  <si>
    <t>決算精算表：借方合計＝貸方合計（前受収益は精算表に行がないため貸方へ加算）</t>
  </si>
  <si>
    <t>決算精算表：３月分残高の借方合計＝貸方合計</t>
  </si>
  <si>
    <t>預金：貸借対照表＝預金明細表</t>
  </si>
  <si>
    <t>積立金：貸借対照表の利益剰余金＝積立金明細表の計上額</t>
  </si>
  <si>
    <t>固定資産：差引期末残高＝貸借対照表の器具及び備品</t>
  </si>
  <si>
    <t>未払金・未払費用・預り金・前受収益：貸借対照表＝明細表合計</t>
  </si>
  <si>
    <t>貸付金：決算報告書の種類別内訳（期末）＝附属明細表の期末残高</t>
  </si>
  <si>
    <t>未 払 金</t>
  </si>
  <si>
    <t>未 収 金</t>
  </si>
  <si>
    <t>預 り 金</t>
  </si>
  <si>
    <t>長期借入金</t>
  </si>
  <si>
    <t>組合員貸付金</t>
  </si>
  <si>
    <t>　積立金</t>
  </si>
  <si>
    <r>
      <rPr>
        <sz val="8"/>
        <rFont val="WenQuanYi Zen Hei"/>
        <family val="2"/>
      </rPr>
      <t xml:space="preserve">  　　　　欠損金補てん積立金は、地方公務員等共済組合法施行規程第</t>
    </r>
    <r>
      <rPr>
        <sz val="8"/>
        <rFont val="ＭＳ 明朝"/>
        <family val="1"/>
      </rPr>
      <t>87</t>
    </r>
    <r>
      <rPr>
        <sz val="8"/>
        <rFont val="WenQuanYi Zen Hei"/>
        <family val="2"/>
      </rPr>
      <t>条に基づき、計上している。</t>
    </r>
  </si>
  <si>
    <t>　連合会交付金</t>
  </si>
  <si>
    <r>
      <rPr>
        <sz val="8"/>
        <color rgb="FF000000"/>
        <rFont val="WenQuanYi Zen Hei"/>
        <family val="2"/>
      </rPr>
      <t>　</t>
    </r>
    <r>
      <rPr>
        <sz val="7.5"/>
        <color rgb="FF000000"/>
        <rFont val="WenQuanYi Zen Hei"/>
        <family val="2"/>
      </rPr>
      <t>利息及び配当金</t>
    </r>
  </si>
  <si>
    <t>　 前期損益修正損</t>
  </si>
  <si>
    <t>№０８００５２０</t>
  </si>
  <si>
    <t>貸付区分</t>
  </si>
  <si>
    <t>市長事務部局外</t>
  </si>
  <si>
    <r>
      <rPr>
        <sz val="9"/>
        <rFont val="WenQuanYi Zen Hei"/>
        <family val="2"/>
      </rPr>
      <t xml:space="preserve">住宅貸付等  
</t>
    </r>
    <r>
      <rPr>
        <sz val="9"/>
        <rFont val="ＭＳ 明朝"/>
        <family val="1"/>
      </rPr>
      <t>738</t>
    </r>
    <r>
      <rPr>
        <sz val="9"/>
        <rFont val="WenQuanYi Zen Hei"/>
        <family val="2"/>
      </rPr>
      <t>件</t>
    </r>
  </si>
  <si>
    <t>長　　　期</t>
  </si>
  <si>
    <t>借入区分</t>
  </si>
  <si>
    <t>借入先</t>
  </si>
  <si>
    <r>
      <rPr>
        <sz val="10"/>
        <rFont val="WenQuanYi Zen Hei"/>
        <family val="2"/>
      </rPr>
      <t>期末・勤勉手当分
（住宅貸付</t>
    </r>
    <r>
      <rPr>
        <sz val="10"/>
        <rFont val="ＭＳ 明朝"/>
        <family val="1"/>
      </rPr>
      <t>68</t>
    </r>
    <r>
      <rPr>
        <sz val="10"/>
        <rFont val="WenQuanYi Zen Hei"/>
        <family val="2"/>
      </rPr>
      <t>件）</t>
    </r>
  </si>
  <si>
    <t xml:space="preserve">組合員貸付金利息  </t>
  </si>
  <si>
    <t>　月分貸付償還金</t>
  </si>
  <si>
    <t>貸付償還金</t>
  </si>
  <si>
    <t>貸付金利息</t>
  </si>
  <si>
    <t>㈱広島県官報販売所外</t>
  </si>
  <si>
    <t>官報１～３月分等</t>
  </si>
  <si>
    <t>みずほリサーチ＆テクノロジーズ（株）</t>
  </si>
  <si>
    <t>基幹個別（資格・貸付・短期）システム保守費</t>
  </si>
  <si>
    <r>
      <rPr>
        <sz val="9"/>
        <rFont val="WenQuanYi Zen Hei"/>
        <family val="2"/>
      </rPr>
      <t>㈱</t>
    </r>
    <r>
      <rPr>
        <sz val="9"/>
        <rFont val="ＭＳ 明朝"/>
        <family val="1"/>
      </rPr>
      <t>J  E C C</t>
    </r>
    <r>
      <rPr>
        <sz val="9"/>
        <rFont val="WenQuanYi Zen Hei"/>
        <family val="2"/>
      </rPr>
      <t>　外</t>
    </r>
  </si>
  <si>
    <t>基幹システム用機器賃借料等</t>
  </si>
  <si>
    <t>種              別</t>
  </si>
  <si>
    <t>金              額</t>
  </si>
  <si>
    <t>氏              名</t>
  </si>
  <si>
    <t>摘              要</t>
  </si>
  <si>
    <t>職    員    給    与</t>
  </si>
  <si>
    <t>嘱託職員１名</t>
  </si>
  <si>
    <t>３月分時間外勤務手当</t>
  </si>
  <si>
    <t>賃　　　　　　　金</t>
  </si>
  <si>
    <t>合              計</t>
  </si>
  <si>
    <t>団体信用生命保険特約保証料等</t>
  </si>
  <si>
    <t>４月分貸付償還金　３月受領分</t>
  </si>
  <si>
    <t>４月分貸付金利息　３月受領分</t>
  </si>
  <si>
    <t>書庫</t>
  </si>
  <si>
    <t>１５</t>
  </si>
  <si>
    <t>平行移動書庫  １台  平成１０年７月２８日取得</t>
  </si>
  <si>
    <t>器具及び備品の  減価償却費</t>
  </si>
  <si>
    <t>予      算      額</t>
  </si>
  <si>
    <t>不      用      額</t>
  </si>
  <si>
    <t>職  員  給  与</t>
  </si>
  <si>
    <t>旅        　費</t>
  </si>
  <si>
    <t>事   務   費</t>
  </si>
  <si>
    <t>広島市職員共済組合貸付経理決算精算表</t>
  </si>
  <si>
    <t>小           計</t>
  </si>
  <si>
    <t xml:space="preserve">    出納主任 　村　井　慶　子</t>
  </si>
  <si>
    <t>※手入力するのは、帳票シートの黄色のセル（一覧は「入力セル一覧」）、「貸付_入力」の入力欄、「前年度貼付」のE列だけです。黄色は画面表示用で、印刷・PDF出力には出ません。数式が入っているセルは黄色になりません。数値の手入力セルを選ぶと反映先が表示されます。帳票の印刷設定は変更していません。</t>
  </si>
  <si>
    <t>1. 年度・作成日の設定（各帳票の年度表示に反映されます）</t>
  </si>
  <si>
    <t>整合性チェック</t>
  </si>
  <si>
    <t>手入力セルの入力状況</t>
  </si>
  <si>
    <t>前年度データの貼付状況</t>
  </si>
  <si>
    <t>帳票の期間表示</t>
  </si>
  <si>
    <t>入力</t>
  </si>
  <si>
    <t>対象年度（数字のみ入力）</t>
  </si>
  <si>
    <t>決算精算表・作成年（令和）</t>
  </si>
  <si>
    <t>決算精算表・作成月</t>
  </si>
  <si>
    <t>全8経理の貸借・損益・精算表・明細表を照合</t>
  </si>
  <si>
    <t>前年度決算額・繰越額・徴収率の一括連動</t>
  </si>
  <si>
    <t>決算精算表・作成日</t>
  </si>
  <si>
    <t>STEP 1</t>
  </si>
  <si>
    <t>年度・作成日の入力</t>
  </si>
  <si>
    <t>上の「1. 年度・作成日マスター設定（C6～C9）」に今年度の数字を入力します（全帳票の令和表記が自動更新されます）。</t>
  </si>
  <si>
    <t>STEP 2</t>
  </si>
  <si>
    <t>前年度データの値貼付</t>
  </si>
  <si>
    <t>「前年度貼付」シートのE列（E8:E332）に、前年度ブックのF列（出力欄）をコピーして「値」で貼り付けます（マクロ「来年度へ繰越」でも同じ処理ができます）。</t>
  </si>
  <si>
    <t>STEP 3</t>
  </si>
  <si>
    <t>貸付経理の数値入力</t>
  </si>
  <si>
    <t>貸付経理は「貸付_入力」シートを開き、入力欄（預金・貸付増減・未払・3月分残高など）だけを入力します。</t>
  </si>
  <si>
    <t>STEP 4</t>
  </si>
  <si>
    <t>各経理の数値入力</t>
  </si>
  <si>
    <t>「入力セル一覧」を開き、「決算精算表」→「附属明細表」→「決算報告書」の順にセル番号をクリックして移動・入力します。</t>
  </si>
  <si>
    <t>STEP 5</t>
  </si>
  <si>
    <t>自動チェックの確認</t>
  </si>
  <si>
    <t>下の「3. 経理別チェック結果」および「チェック」シートを開き、全171項目がすべて「OK」になっていることを確認します。</t>
  </si>
  <si>
    <t>STEP 6</t>
  </si>
  <si>
    <t>帳票の印刷・PDF出力</t>
  </si>
  <si>
    <t>各帳票シートを印刷範囲のまま印刷します（マクロで全帳票のPDF出力・印刷プレビューもできます）。</t>
  </si>
  <si>
    <t>印刷・出力可能</t>
  </si>
  <si>
    <t>入力箇所が分からないときは、「入力セル一覧」のC列のセル番地をクリックすると、該当シートの入力セルへ移動します。</t>
  </si>
  <si>
    <t>3. 経理別の整合性チェック結果と帳票へのリンク</t>
  </si>
  <si>
    <t>区分No</t>
  </si>
  <si>
    <t>経理区分</t>
  </si>
  <si>
    <t>NG件数</t>
  </si>
  <si>
    <t>チェック項目数</t>
  </si>
  <si>
    <t>判定状態</t>
  </si>
  <si>
    <t>手入力セル数</t>
  </si>
  <si>
    <t>決算報告書へ移動</t>
  </si>
  <si>
    <t>財務諸表・精算表へ移動</t>
  </si>
  <si>
    <t>ブック全体</t>
  </si>
  <si>
    <t>4. シート一覧（シート名をクリックすると移動します）</t>
  </si>
  <si>
    <t>管理・ナビ</t>
  </si>
  <si>
    <t>統合ダッシュボード・年度設定・全体進捗管理</t>
  </si>
  <si>
    <t>管理用（印刷対象外）</t>
  </si>
  <si>
    <t>最初にここで年度（C6:C9）を設定</t>
  </si>
  <si>
    <t>手入力する全837セルの一覧（セル番地から入力箇所へ移動）</t>
  </si>
  <si>
    <t>セル番地クリックで入力箇所へ移動</t>
  </si>
  <si>
    <t>前年度決算書の数値（325項目）一括貼付シート</t>
  </si>
  <si>
    <t>前年度ブックのF列をE列へ値貼付</t>
  </si>
  <si>
    <t>全171項目の整合性照合・全シート数式エラー検査</t>
  </si>
  <si>
    <t>印刷前にすべてOKか確認</t>
  </si>
  <si>
    <t>表紙・目次</t>
  </si>
  <si>
    <t>決算書一式の表紙および中扉（各経理インデックス）</t>
  </si>
  <si>
    <t>印刷帳票（A4縦）</t>
  </si>
  <si>
    <t>年度表記はC6から自動連動</t>
  </si>
  <si>
    <t>事業状況報告書・決算報告書・財務諸表の目次</t>
  </si>
  <si>
    <t>ページ番号変更時のみ手入力</t>
  </si>
  <si>
    <t>事業状況報告</t>
  </si>
  <si>
    <t>〔1〕目的及び概況 ～ 〔5〕業務の実施状況等（P1-2）</t>
  </si>
  <si>
    <t>事務局職員数（55行目）のみ入力</t>
  </si>
  <si>
    <t>決算報告・総括</t>
  </si>
  <si>
    <t>〔1〕総括（組合員数・標準報酬月額・期末手当・被扶養者数 P3-5）</t>
  </si>
  <si>
    <t>計画額・決算額を入力（再掲は自動）</t>
  </si>
  <si>
    <t>決算報告・短期</t>
  </si>
  <si>
    <t>〔2〕短期経理 1.財源率・2.調整負担金率（P6）</t>
  </si>
  <si>
    <t>掛金率・負担金率を入力</t>
  </si>
  <si>
    <t>〔2〕短期経理 3.収入・4.納入状況・5.支出・6.グラフ・7.医療実績（P7-10）</t>
  </si>
  <si>
    <t>印刷帳票（A4縦/横）</t>
  </si>
  <si>
    <t>決算額多くは精算表から自動連動</t>
  </si>
  <si>
    <t>〔2〕短期経理 1件当たり診査・組合員1人当たり・準備金・剰余金（P11-13）</t>
  </si>
  <si>
    <t>印刷帳票（A4横/縦）</t>
  </si>
  <si>
    <t>延べ・平均組合員数を入力</t>
  </si>
  <si>
    <t>グラフ計算用</t>
  </si>
  <si>
    <t>P8円グラフ作成用の1人当たり金額・構成比自動算出シート</t>
  </si>
  <si>
    <t>内部計算用（非印刷）</t>
  </si>
  <si>
    <t>端数調整・四捨五入まで数式で処理</t>
  </si>
  <si>
    <t>決算報告・年金</t>
  </si>
  <si>
    <t>〔3〕厚生年金保険経理（収入・納入状況・支出 P14）</t>
  </si>
  <si>
    <t>負担金・保険料の内訳を入力</t>
  </si>
  <si>
    <t>〔4〕退職等年金経理（収入・納入状況・支出 P15）</t>
  </si>
  <si>
    <t>負担金・掛金の内訳を入力</t>
  </si>
  <si>
    <t>〔5〕経過的長期経理（収入・納入状況・支出 P16）</t>
  </si>
  <si>
    <t>負担金の内訳を入力</t>
  </si>
  <si>
    <t>〔6〕退職等年金預託金管理経理（収入・支出・貸付・資産構成 P17）</t>
  </si>
  <si>
    <t>カメラ図形で下表を自動表示</t>
  </si>
  <si>
    <t>カメラ元表</t>
  </si>
  <si>
    <t>P17の「4.資産の構成割合」に表示するカメラ元データ表</t>
  </si>
  <si>
    <t>P17の図形に自動反映</t>
  </si>
  <si>
    <t>決算報告・業務</t>
  </si>
  <si>
    <t>〔7〕業務経理 1.地方公共団体負担額・2.収入（P18）</t>
  </si>
  <si>
    <t>1人当たり額・事業計画額を入力</t>
  </si>
  <si>
    <t>〔7〕業務経理 3.支出・4.利益剰余金の処分（P19）</t>
  </si>
  <si>
    <t>支出計画額を入力（決算額は自動）</t>
  </si>
  <si>
    <t>決算報告・保健</t>
  </si>
  <si>
    <t>〔8〕保健経理 1.財源率・2.収入・3.支出・4.事業概要・5.剰余金（P20-22）</t>
  </si>
  <si>
    <t>人間ドック等の事業概要実績を入力</t>
  </si>
  <si>
    <t>決算報告・貸付</t>
  </si>
  <si>
    <t>〔9〕貸付経理 1.収入・2.支出・3.貸付増減・4.条件・5.種類別状況（P23-25）</t>
  </si>
  <si>
    <t>種類別件数・金額を入力</t>
  </si>
  <si>
    <t>白紙調整用</t>
  </si>
  <si>
    <t>両面印刷時のページ調整用白紙シート（P26）</t>
  </si>
  <si>
    <t>白紙（両面印刷調整）</t>
  </si>
  <si>
    <t>入力不要</t>
  </si>
  <si>
    <t>短期経理・財務</t>
  </si>
  <si>
    <t>短期経理 貸借対照表・損益計算書</t>
  </si>
  <si>
    <t>全セル自動連動（手入力ほぼ不要）</t>
  </si>
  <si>
    <t>短期経理 附属明細表（預金・未収・未払・前受・積立金・剰余金計算書）</t>
  </si>
  <si>
    <t>預金残高・未払内訳・前受を入力</t>
  </si>
  <si>
    <t>短期経理 決算精算表</t>
  </si>
  <si>
    <t>3月分残高・修正増減を入力</t>
  </si>
  <si>
    <t>厚生年金・財務</t>
  </si>
  <si>
    <t>厚生年金保険経理 貸借対照表・損益計算書</t>
  </si>
  <si>
    <t>全セル自動計算（入力不要）</t>
  </si>
  <si>
    <t>厚生年金保険経理 附属明細表（預金・未収金・未払金・預り金）</t>
  </si>
  <si>
    <t>預金・未払金・預り金明細を入力</t>
  </si>
  <si>
    <t>厚生年金保険経理 決算精算表</t>
  </si>
  <si>
    <t>払込金の3月分残高を入力</t>
  </si>
  <si>
    <t>厚生年金保険経理 両面印刷調整用白紙シート</t>
  </si>
  <si>
    <t>退職等・財務</t>
  </si>
  <si>
    <t>退職等年金経理 貸借対照表・損益計算書</t>
  </si>
  <si>
    <t>退職等年金経理 附属明細表（預金・未収金・未払金・預り金）</t>
  </si>
  <si>
    <t>預金・未払金明細を入力</t>
  </si>
  <si>
    <t>退職等年金経理 決算精算表</t>
  </si>
  <si>
    <t>退職等年金経理 両面印刷調整用白紙シート</t>
  </si>
  <si>
    <t>経過的・財務</t>
  </si>
  <si>
    <t>経過的長期経理 貸借対照表・損益計算書</t>
  </si>
  <si>
    <t>経過的長期経理 附属明細表（預金・未収金・未払金）</t>
  </si>
  <si>
    <t>経過的長期経理 決算精算表</t>
  </si>
  <si>
    <t>負担金払込金の3月分残高を入力</t>
  </si>
  <si>
    <t>経過的長期経理 両面印刷調整用白紙シート</t>
  </si>
  <si>
    <t>預託金・財務</t>
  </si>
  <si>
    <t>退職等年金預託金管理経理 貸借対照表・損益計算書</t>
  </si>
  <si>
    <t>退職等年金預託金管理経理 附属明細表（預金・未収・貸付・預託金）</t>
  </si>
  <si>
    <t>連合会預託金の減少額等を入力</t>
  </si>
  <si>
    <t>退職等年金預託金管理経理 決算精算表</t>
  </si>
  <si>
    <t>支払利息等の3月分残高を入力</t>
  </si>
  <si>
    <t>預託金管理経理 両面印刷調整用白紙シート</t>
  </si>
  <si>
    <t>業務経理・財務</t>
  </si>
  <si>
    <t>業務経理 貸借対照表・損益計算書</t>
  </si>
  <si>
    <t>業務経理 附属明細表（預金・立替・未収・未払・固定資産・積立金・実績表）</t>
  </si>
  <si>
    <t>預金・未払・固定資産等を入力</t>
  </si>
  <si>
    <t>業務経理 決算精算表</t>
  </si>
  <si>
    <t>各科目の3月分残高を入力</t>
  </si>
  <si>
    <t>業務経理 両面印刷調整用白紙シート</t>
  </si>
  <si>
    <t>保健経理・財務</t>
  </si>
  <si>
    <t>保健経理 貸借対照表・損益計算書</t>
  </si>
  <si>
    <t>保健経理 附属明細表（預金・未収・未払・固定資産・積立金・剰余金計算書）</t>
  </si>
  <si>
    <t>預金・未収・未払・固定資産を入力</t>
  </si>
  <si>
    <t>保健経理 決算精算表</t>
  </si>
  <si>
    <t>貸付経理・入力</t>
  </si>
  <si>
    <t>貸付経理 入力シート（入力欄に入力すると貸付経理の各表へ転記）</t>
  </si>
  <si>
    <t>貸付経理の財務数値はここへ一括入力</t>
  </si>
  <si>
    <t>貸付経理・財務</t>
  </si>
  <si>
    <t>貸付経理 貸借対照表・損益計算書</t>
  </si>
  <si>
    <t>「貸付_入力」から転記</t>
  </si>
  <si>
    <t>貸付経理 附属明細表（預金・貸付金・借入金・未収・未払・積立金等）</t>
  </si>
  <si>
    <t>貸付経理 決算精算表</t>
  </si>
  <si>
    <t>貸付経理 両面印刷調整用白紙シート</t>
  </si>
  <si>
    <t>※元の21ファイルを1つに統合したブックです。シート名の先頭に経理名（短期_/厚生_/退職等_/経過的_/預託金_/業務_/保健_/貸付_/報告_）を付けています。灰色のシートタブは、手入力が不要なシートです。</t>
  </si>
  <si>
    <t>5. 推測を含めて数式化した箇所（会計上の同一性・端数処理の規則を数式化したもの ― 年度更新時に確認）</t>
  </si>
  <si>
    <t>No</t>
  </si>
  <si>
    <t>対象シート</t>
  </si>
  <si>
    <t>セル番地</t>
  </si>
  <si>
    <t>数式化の内容・根拠</t>
  </si>
  <si>
    <t>次年度以降の確認ポイント</t>
  </si>
  <si>
    <t>報告_短期P7-10</t>
  </si>
  <si>
    <t>徴収率＝収入済額÷調定額×100（小数第3位切捨て。現在値99.99/100と一致）</t>
  </si>
  <si>
    <t>今年度の手補正値と一致することを確認済み。来年度も同じ規則でよいか確認</t>
  </si>
  <si>
    <t>報告_貸付P23-25</t>
  </si>
  <si>
    <t>借入金の減少額＝借入金明細表の当期減少額（従来は前期繰越高F20を参照していた。今年度は同額のため値は不変）</t>
  </si>
  <si>
    <t>参照先を正しいセルに修正。値は従来どおり</t>
  </si>
  <si>
    <t>預託金_預金・未収・貸付・預託金</t>
  </si>
  <si>
    <t>貸付金（預託金経理）の前期繰越高＝貸付経理の借入金前期繰越高（同じ貸借）</t>
  </si>
  <si>
    <t>両経理で同じ取引か（相手経理の明細と一致するか）</t>
  </si>
  <si>
    <t>貸付金の当期増加額＝貸付経理の借入金当期増加額（同じ貸借）</t>
  </si>
  <si>
    <t>貸付金の当期減少額＝貸付経理の借入金当期減少額（同じ貸借）</t>
  </si>
  <si>
    <t>業務_附属明細表</t>
  </si>
  <si>
    <t>業務経理の未収金「短期経理より繰入」＝短期経理の未払金「業務経理へ繰入」（同じ繰入取引の両側）</t>
  </si>
  <si>
    <t>報告_P8グラフデータ</t>
  </si>
  <si>
    <t>グラフ用割合：小数第2位に丸め、合計が100.00になるよう端数の大きい順に0.01を配分（シートの注記の手順を式にしたもの）（対象：C5、C6、C7、C8、C9、C10、C14、C15、C16、C17、C18、C19、C20、C21）</t>
  </si>
  <si>
    <t>貸付_入力</t>
  </si>
  <si>
    <t>欠損金補てん積立金の当期増加額＝当期利益金（損失の年の当期減少額＝当期損失金と対称）</t>
  </si>
  <si>
    <t>利益・損失の処分方針が従来どおりか</t>
  </si>
  <si>
    <t>積立金明細表の当期減少額＝当期損失金（貸付経理と同じ考え方）</t>
  </si>
  <si>
    <t>保健_附属明細表</t>
  </si>
  <si>
    <t>積立金の当期減少額＝当期損失金</t>
  </si>
  <si>
    <t>貸付_決算精算表</t>
  </si>
  <si>
    <t>償却額がある年だけ、未使用の「連合会払込金」行の見出しを「減価償却費」に切替（貸付経理で連合会払込金と減価償却費が同じ年に出る場合は行の追加が必要）</t>
  </si>
  <si>
    <t>従来どおりでよいか確認</t>
  </si>
  <si>
    <t>前年度貼付</t>
  </si>
  <si>
    <t>E列・F列</t>
  </si>
  <si>
    <t>前年度欄・前期繰越欄の値は「前年度の同じ行・同じ列の決算額」として対応づけました（例：前期繰越額＝前年度の貸借対照表計上額、前年度徴収率＝前年度の徴収率）。</t>
  </si>
  <si>
    <t>表の行構成を変えた年は、前年度貼付シートの行も合わせて修正</t>
  </si>
  <si>
    <t>6. 点検・修正完了事項（解消・自動化した項目と来年度以降の確認ポイント）</t>
  </si>
  <si>
    <t>点検・自動化の具体的内容</t>
  </si>
  <si>
    <t>現在の状態・今後の対応</t>
  </si>
  <si>
    <t>退職等_貸借・損益</t>
  </si>
  <si>
    <t>預り金：預り金明細表（退職等_預金・立替・未収!C33）に残っていた前年度残4,050円を0円に修正し、貸借対照表L9を明細表合計（C34）への数式連動に変更しました。</t>
  </si>
  <si>
    <t>チェックNG解消済（0円＝0円でOK）。来年度以降も明細表を入力すれば貸借対照表へ自動反映されます。</t>
  </si>
  <si>
    <t>貸付_財務諸表</t>
  </si>
  <si>
    <t>欠損金補てん積立金：貸付_入力!C43および貸借対照表F20を積立金明細表の計上額（貸付_附属明細表!Q90＝1,957,132,740円）に数式連動・再計算し、不一致を解消しました。</t>
  </si>
  <si>
    <t>チェックNG解消済（差額0円でOK）。C43の手入力は不要になりました。</t>
  </si>
  <si>
    <t>支出実績表「事務費」：支出済額（J138）の参照先を決算精算表の３月分残高（C30：513,236円）に修正し、未払金（30,544円）の二重控除を解消しました（不用額T138＝156,220円）。</t>
  </si>
  <si>
    <t>修正済（決算報告書P21の事務費不用額-156,220円とも一致）。チェック項目No.169で自動照合。</t>
  </si>
  <si>
    <t>短期_附属明細表</t>
  </si>
  <si>
    <t>利益剰余金計算書の見出し（E109:E110、E118:E119）：金額の正負に応じて「積立金」「欠損金（-）」を自動切替するIF数式に変更し、＋111,039,759円に対し「介護積立金」と表示させました。</t>
  </si>
  <si>
    <t>修正済（金額の符号に応じて見出しが自動切替されます）。</t>
  </si>
  <si>
    <t>報告_業務P19</t>
  </si>
  <si>
    <t>前年度決算額「減価償却費」：前年度貼付シートからの参照（176,556円）に統一済み。あわせて業務_附属明細表!P135（当期処分額計）も内訳合計式に自動化しました。</t>
  </si>
  <si>
    <t>対応済（来年度以降は前年度貼付シートへの値貼り付けで自動更新されます）。</t>
  </si>
  <si>
    <t>報告_短期P11-13</t>
  </si>
  <si>
    <t>家族・移送費の前年度１件当たり金額（AD18）：0固定から他の行と同じ算出式（=IFERROR(ROUND(HT20/GD20,0),0) → 70,824円）に自動化し、手入力対象から除外しました。</t>
  </si>
  <si>
    <t>修正済（前年度0件の年もIFERRORにより0円で安全に処理されます）。</t>
  </si>
  <si>
    <t>本人・訪問看護の前年度対比（AA49：件数100.00%、AP49：日数85.71%）：0固定から他の行と同じROUNDDOWN算出式に自動化し、手入力対象から除外しました。</t>
  </si>
  <si>
    <t>修正済（報告_貸付P23-25の構成比・対比4セルもROUND式で自動化し手入力から除外済）。</t>
  </si>
  <si>
    <t>報告_総括P3-5</t>
  </si>
  <si>
    <t>第３号厚生年金被保険者の再掲（N28・AL28・M54・T54・AN54・M79・U79・AL79）：特定消防・市長等の除外人数・報酬を控除する式になっています。</t>
  </si>
  <si>
    <t>除外対象者の人数・報酬が変わった年度のみ、数式内の控除値を確認してください。</t>
  </si>
  <si>
    <t>グラフ元データ（B5:B10、B14:B21の14セル）：1人当たり算出値（G列）の四捨五入式（=ROUND(G5,0)等）で自動化し、交付金B8も36,503円（P8吹き出しと一致）に整合させました。</t>
  </si>
  <si>
    <t>自動化済（手入力14セル削減・チェックNo.171で合計自動照合）。P8図形の文字のみ必要に応じ確認。</t>
  </si>
  <si>
    <t>7. マクロ（VBA）一覧</t>
  </si>
  <si>
    <t>マクロはこのブックに組み込み済みです。Alt+F8 から実行できます。「SetupGuideButtons」を1回実行すると、このシートに各マクロのボタンを配置します。「ShowCommandMenu」を実行すると、番号で機能を選べます。</t>
  </si>
  <si>
    <t>マクロNo</t>
  </si>
  <si>
    <t>マクロ名</t>
  </si>
  <si>
    <t>ボタン表示名</t>
  </si>
  <si>
    <t>マクロの内容</t>
  </si>
  <si>
    <t>使う場面</t>
  </si>
  <si>
    <t>SetupGuideButtons</t>
  </si>
  <si>
    <t>ボタン配置</t>
  </si>
  <si>
    <t>「入力ガイド」シートに、各マクロを実行するボタンを配置します。</t>
  </si>
  <si>
    <t>ボタンが必要なときに1回実行</t>
  </si>
  <si>
    <t>ToggleInputHighlight</t>
  </si>
  <si>
    <t>入力セル色付けON/OFF</t>
  </si>
  <si>
    <t>帳票シートの手入力セルの黄色表示を、表示／非表示に切り替えます（入力ガイドG10の 1／0 と同じ）。印刷・PDF出力・印刷プレビューの前には自動で非表示になります。</t>
  </si>
  <si>
    <t>帳票上で入力箇所を探すとき</t>
  </si>
  <si>
    <t>JumpToNextUnfilledCell</t>
  </si>
  <si>
    <t>未入力セルへ移動</t>
  </si>
  <si>
    <t>「入力セル一覧」の「未入力（空欄）」のセルを上から順に探し、該当シートのセルへ移動します。</t>
  </si>
  <si>
    <t>入力漏れを確認するとき</t>
  </si>
  <si>
    <t>RunFullCheckAndDiagnose</t>
  </si>
  <si>
    <t>整合性チェック</t>
  </si>
  <si>
    <t>全シートを再計算し、整合性チェックの結果を表示します。NGがあれば「チェック」シートの該当行へ移動します。</t>
  </si>
  <si>
    <t>入力の途中・完了時の確認</t>
  </si>
  <si>
    <t>ExportFormsToPDF</t>
  </si>
  <si>
    <t>PDF出力</t>
  </si>
  <si>
    <t>管理用シートを除く帳票を、目次の順（表紙・目次・各中扉・事業状況報告書・決算報告書・各経理の財務諸表）に、印刷範囲のままPDFに出力します（色付け表示は解除されます）。</t>
  </si>
  <si>
    <t>決裁・提出・保管用のPDFを作るとき</t>
  </si>
  <si>
    <t>PrintFormsWizard</t>
  </si>
  <si>
    <t>印刷プレビュー</t>
  </si>
  <si>
    <t>帳票を目次の順に印刷プレビューで表示します（両面印刷用の白紙シートを含めるか選べます）。</t>
  </si>
  <si>
    <t>紙で印刷するとき</t>
  </si>
  <si>
    <t>RollOverToNextYear</t>
  </si>
  <si>
    <t>来年度へ繰越</t>
  </si>
  <si>
    <t>ブックのバックアップを保存し、「前年度貼付」のF列の値をE列へ貼り付けて、対象年度を1つ進めます。</t>
  </si>
  <si>
    <t>翌年度の決算書を作り始めるとき（年1回）</t>
  </si>
  <si>
    <t>ToggleSheetProtection</t>
  </si>
  <si>
    <t>シート保護ON/OFF</t>
  </si>
  <si>
    <t>手入力セル以外を編集できないようにします（パスワードなし）。もう一度実行すると解除します。</t>
  </si>
  <si>
    <t>入力担当者が数式を誤って消さないようにするとき</t>
  </si>
  <si>
    <t>手入力セル一覧（837箇所） ― セル番地をクリックすると入力箇所へ移動します</t>
  </si>
  <si>
    <t>※ここに載っているセルだけ手入力します（それ以外の金額セルはすべて数式のため入力不要）。5行目のフィルターで「経理」や「入力状態」を絞り込めます。H列・I列は、入力した金額の反映先です。</t>
  </si>
  <si>
    <t>対象シート名</t>
  </si>
  <si>
    <t>セル番地(移動)</t>
  </si>
  <si>
    <t>項目（行・列見出し）</t>
  </si>
  <si>
    <t>現在の値</t>
  </si>
  <si>
    <t>入力区分</t>
  </si>
  <si>
    <t>入力状態</t>
  </si>
  <si>
    <t>事業状況報告書（番号）</t>
  </si>
  <si>
    <t>目次のページ番号</t>
  </si>
  <si>
    <t>事業状況報告書（ページ）</t>
  </si>
  <si>
    <t>決算報告書（番号）</t>
  </si>
  <si>
    <t>決算報告書（ページ）</t>
  </si>
  <si>
    <t>財務諸表（番号）</t>
  </si>
  <si>
    <t>短期経理（ページ）</t>
  </si>
  <si>
    <t>厚生年金保険経理（ページ）</t>
  </si>
  <si>
    <t>退職等年金経理（ページ）</t>
  </si>
  <si>
    <t>経過的長期経理（ページ）</t>
  </si>
  <si>
    <t>退職等年金預託金管理経理（ページ）</t>
  </si>
  <si>
    <t>業務経理（ページ）</t>
  </si>
  <si>
    <t>保健経理（ページ）</t>
  </si>
  <si>
    <t>貸付経理（ページ）</t>
  </si>
  <si>
    <t>報告_概況P1-2</t>
  </si>
  <si>
    <t>人数／事務局長</t>
  </si>
  <si>
    <t>人数等</t>
  </si>
  <si>
    <t>人数／担当課長</t>
  </si>
  <si>
    <t>人数／事務局次長</t>
  </si>
  <si>
    <t>人数／係長</t>
  </si>
  <si>
    <t>人数／主幹専門員</t>
  </si>
  <si>
    <t>人数／主査主任技師</t>
  </si>
  <si>
    <t>人数／主事保健師</t>
  </si>
  <si>
    <t>人数／事務指導員事務推進員看護師レセプト点検員健康相談員事務補助員</t>
  </si>
  <si>
    <t>令和７年度／市</t>
  </si>
  <si>
    <t>一般組合員／事業計画</t>
  </si>
  <si>
    <t>一般組合員／決算</t>
  </si>
  <si>
    <t>決算（組合員数・標準報酬等）</t>
  </si>
  <si>
    <t>一般組合員（特別職）／事業計画</t>
  </si>
  <si>
    <t>一般組合員（特別職）／決算</t>
  </si>
  <si>
    <t>短期組合員／事業計画</t>
  </si>
  <si>
    <t>短期組合員／決算</t>
  </si>
  <si>
    <t>市長組合員／事業計画</t>
  </si>
  <si>
    <t>市長組合員／決算</t>
  </si>
  <si>
    <t>特定消防組合員／事業計画</t>
  </si>
  <si>
    <t>特定消防組合員／決算</t>
  </si>
  <si>
    <t>後期高齢者等短期組合員／事業計画</t>
  </si>
  <si>
    <t>後期高齢者等短期組合員／決算</t>
  </si>
  <si>
    <t>継続長期組合員／事業計画</t>
  </si>
  <si>
    <t>継続長期組合員／決算</t>
  </si>
  <si>
    <t>継続長期組合員（退職派遣者）／事業計画</t>
  </si>
  <si>
    <t>継続長期組合員（退職派遣者）／決算</t>
  </si>
  <si>
    <t>任意継続組合員／事業計画</t>
  </si>
  <si>
    <t>任意継続組合員／決算</t>
  </si>
  <si>
    <t>一般組合員長期／事業計画額</t>
  </si>
  <si>
    <t>一般組合員長期／決算額</t>
  </si>
  <si>
    <t>一般組合員・長期（特別職）／事業計画額</t>
  </si>
  <si>
    <t>一般組合員・長期（特別職）／決算額</t>
  </si>
  <si>
    <t>一般組合員・短期／事業計画額</t>
  </si>
  <si>
    <t>一般組合員・短期／決算額</t>
  </si>
  <si>
    <t>一般組合員・短期（特別職）／事業計画額</t>
  </si>
  <si>
    <t>一般組合員・短期（特別職）／決算額</t>
  </si>
  <si>
    <t>短期組合員短期／事業計画額</t>
  </si>
  <si>
    <t>短期組合員短期／決算額</t>
  </si>
  <si>
    <t>市長組合員長期／事業計画額</t>
  </si>
  <si>
    <t>市長組合員長期／決算額</t>
  </si>
  <si>
    <t>市長組合員・短期／事業計画額</t>
  </si>
  <si>
    <t>市長組合員・短期／決算額</t>
  </si>
  <si>
    <t>特定消防組合員長期／事業計画額</t>
  </si>
  <si>
    <t>特定消防組合員長期／決算額</t>
  </si>
  <si>
    <t>特定消防組合員・短期／事業計画額</t>
  </si>
  <si>
    <t>特定消防組合員・短期／決算額</t>
  </si>
  <si>
    <t>後期高齢者等短期組合員短期／事業計画額</t>
  </si>
  <si>
    <t>後期高齢者等短期組合員短期／決算額</t>
  </si>
  <si>
    <t>継続長期組合員長期／事業計画額</t>
  </si>
  <si>
    <t>継続長期組合員長期／決算額</t>
  </si>
  <si>
    <t>任意継続組合員短期</t>
  </si>
  <si>
    <t>報告_短期P6</t>
  </si>
  <si>
    <t>一般組合員／掛金</t>
  </si>
  <si>
    <t>率（財源率）</t>
  </si>
  <si>
    <t>一般組合員／負担金</t>
  </si>
  <si>
    <t>短期組合員／掛金</t>
  </si>
  <si>
    <t>短期組合員／負担金</t>
  </si>
  <si>
    <t>市長組合員／掛金</t>
  </si>
  <si>
    <t>市長組合員／負担金</t>
  </si>
  <si>
    <t>特定消防組合員／掛金</t>
  </si>
  <si>
    <t>特定消防組合員／負担金</t>
  </si>
  <si>
    <t>後期高齢者等短期組合員／掛金</t>
  </si>
  <si>
    <t>後期高齢者等短期組合員／負担金</t>
  </si>
  <si>
    <t>任意継続組合員／掛金</t>
  </si>
  <si>
    <t>調整負担金率／令和７年度</t>
  </si>
  <si>
    <t>率（調整負担金率・公的負担金率）</t>
  </si>
  <si>
    <t>公的負担金率／令和７年度</t>
  </si>
  <si>
    <t>短期負担金／事業計画額</t>
  </si>
  <si>
    <t>公的負担金／事業計画額</t>
  </si>
  <si>
    <t>公的負担金／決算額</t>
  </si>
  <si>
    <t>決算額・実績</t>
  </si>
  <si>
    <t>介護負担金／事業計画額</t>
  </si>
  <si>
    <t>短期掛金／事業計画額</t>
  </si>
  <si>
    <t>介護掛金／事業計画額</t>
  </si>
  <si>
    <t>短期任意継続掛金／事業計画額</t>
  </si>
  <si>
    <t>介護任意継続掛金／事業計画額</t>
  </si>
  <si>
    <t>出産育児交付金／事業計画額</t>
  </si>
  <si>
    <t>雑収入／事業計画額</t>
  </si>
  <si>
    <t>連合会交付金／事業計画額</t>
  </si>
  <si>
    <t>連合会交付金／決算額</t>
  </si>
  <si>
    <t>調整交付金／事業計画額</t>
  </si>
  <si>
    <t>調整交付金／決算額</t>
  </si>
  <si>
    <t>特別調整交付金／事業計画額</t>
  </si>
  <si>
    <t>特別調整交付金／決算額</t>
  </si>
  <si>
    <t>高額医療交付金／事業計画額</t>
  </si>
  <si>
    <t>法定給付保健給付療養の給付／事業計画額</t>
  </si>
  <si>
    <t>法定給付保健給付療養の給付／決算額</t>
  </si>
  <si>
    <t>入院時食事療養の給付・入院時生活療養の給付／事業計画額</t>
  </si>
  <si>
    <t>入院時食事療養の給付・入院時生活療養の給付／決算額</t>
  </si>
  <si>
    <t>訪問看護療養の給付／事業計画額</t>
  </si>
  <si>
    <t>訪問看護療養の給付／決算額</t>
  </si>
  <si>
    <t>家族療養の給付／事業計画額</t>
  </si>
  <si>
    <t>家族療養の給付／決算額</t>
  </si>
  <si>
    <t>家族訪問看護療養の給付／事業計画額</t>
  </si>
  <si>
    <t>家族訪問看護療養の給付／決算額</t>
  </si>
  <si>
    <t>高額療養の給付／事業計画額</t>
  </si>
  <si>
    <t>高額療養の給付／決算額</t>
  </si>
  <si>
    <t>療養費／事業計画額</t>
  </si>
  <si>
    <t>療養費／決算額</t>
  </si>
  <si>
    <t>家族療養費／事業計画額</t>
  </si>
  <si>
    <t>家族療養費／決算額</t>
  </si>
  <si>
    <t>高額療養費／事業計画額</t>
  </si>
  <si>
    <t>高額療養費／決算額</t>
  </si>
  <si>
    <t>高額介護合算療養費／事業計画額</t>
  </si>
  <si>
    <t>高額介護合算療養費／決算額</t>
  </si>
  <si>
    <t>薬剤支給／事業計画額</t>
  </si>
  <si>
    <t>薬剤支給／決算額</t>
  </si>
  <si>
    <t>移送費／事業計画額</t>
  </si>
  <si>
    <t>移送費／決算額</t>
  </si>
  <si>
    <t>家族移送費／事業計画額</t>
  </si>
  <si>
    <t>家族移送費／決算額</t>
  </si>
  <si>
    <t>休業給付傷病手当金</t>
  </si>
  <si>
    <t>災害給付弔慰金</t>
  </si>
  <si>
    <t>附加給付家族療養費附加金／事業計画額</t>
  </si>
  <si>
    <t>附加給付家族療養費附加金／決算額</t>
  </si>
  <si>
    <t>家族訪問看護療養費附加金／事業計画額</t>
  </si>
  <si>
    <t>家族訪問看護療養費附加金／決算額</t>
  </si>
  <si>
    <t>出産費附加金／事業計画額</t>
  </si>
  <si>
    <t>出産費附加金／決算額</t>
  </si>
  <si>
    <t>家族出産費附加金／事業計画額</t>
  </si>
  <si>
    <t>家族出産費附加金／決算額</t>
  </si>
  <si>
    <t>埋葬料附加金／事業計画額</t>
  </si>
  <si>
    <t>埋葬料附加金／決算額</t>
  </si>
  <si>
    <t>家族埋葬料附加金／事業計画額</t>
  </si>
  <si>
    <t>家族埋葬料附加金／決算額</t>
  </si>
  <si>
    <t>傷病手当金附加金／事業計画額</t>
  </si>
  <si>
    <t>傷病手当金附加金／決算額</t>
  </si>
  <si>
    <t>前期高齢者納付金／事業計画額</t>
  </si>
  <si>
    <t>後期高齢者支援金／事業計画額</t>
  </si>
  <si>
    <t>退職者給付拠出金／事業計画額</t>
  </si>
  <si>
    <t>出産育児関係事務費拠出金／事業計画額</t>
  </si>
  <si>
    <t>病床転換支援金／事業計画額</t>
  </si>
  <si>
    <t>払込金連合会災害給付払込金</t>
  </si>
  <si>
    <t>拠出金連合会特別調整拠出金</t>
  </si>
  <si>
    <t>育児・介護休業手当金拠出金</t>
  </si>
  <si>
    <t>前期損益修正損（C）</t>
  </si>
  <si>
    <t>本人・入院／件数</t>
  </si>
  <si>
    <t>本人・入院／日数</t>
  </si>
  <si>
    <t>本人・入院／金額</t>
  </si>
  <si>
    <t>本人・外来／件数</t>
  </si>
  <si>
    <t>本人・外来／日数</t>
  </si>
  <si>
    <t>本人・外来／金額</t>
  </si>
  <si>
    <t>本人・歯科／件数</t>
  </si>
  <si>
    <t>本人・歯科／日数</t>
  </si>
  <si>
    <t>本人・歯科／金額</t>
  </si>
  <si>
    <t>本人・入院時食事療養の給付・入院時生活療養の給付／件数</t>
  </si>
  <si>
    <t>本人・入院時食事療養の給付・入院時生活療養の給付／日数</t>
  </si>
  <si>
    <t>本人・入院時食事療養の給付・入院時生活療養の給付／金額</t>
  </si>
  <si>
    <t>本人・薬剤支給／件数</t>
  </si>
  <si>
    <t>本人・薬剤支給／日数</t>
  </si>
  <si>
    <t>本人・薬剤支給／金額</t>
  </si>
  <si>
    <t>本人・訪問看護療養の給付／件数</t>
  </si>
  <si>
    <t>本人・訪問看護療養の給付／日数</t>
  </si>
  <si>
    <t>本人・移送費／件数</t>
  </si>
  <si>
    <t>本人・移送費／金額</t>
  </si>
  <si>
    <t>家族・入院／件数</t>
  </si>
  <si>
    <t>家族・入院／日数</t>
  </si>
  <si>
    <t>家族・入院／金額</t>
  </si>
  <si>
    <t>家族・外来／件数</t>
  </si>
  <si>
    <t>家族・外来／日数</t>
  </si>
  <si>
    <t>家族・外来／金額</t>
  </si>
  <si>
    <t>家族・歯科／件数</t>
  </si>
  <si>
    <t>家族・歯科／日数</t>
  </si>
  <si>
    <t>家族・歯科／金額</t>
  </si>
  <si>
    <t>家族・入院時食事療養の給付・入院時生活療養の給付／件数</t>
  </si>
  <si>
    <t>家族・入院時食事療養の給付・入院時生活療養の給付／日数</t>
  </si>
  <si>
    <t>家族・入院時食事療養の給付・入院時生活療養の給付／金額</t>
  </si>
  <si>
    <t>家族・薬剤支給</t>
  </si>
  <si>
    <t>家族・訪問看護療養の給付</t>
  </si>
  <si>
    <t>家族・移送費</t>
  </si>
  <si>
    <t>当年度延べ組合員数（本人1日当たり算出用）</t>
  </si>
  <si>
    <t>当年度延べ被扶養者数（家族1日当たり算出用）</t>
  </si>
  <si>
    <t>当年度平均組合員数（直営保健・福祉算出用）</t>
  </si>
  <si>
    <t>当年度平均被扶養者数（直営保健・福祉算出用）</t>
  </si>
  <si>
    <t>貸付経理／前年度末貸付残額</t>
  </si>
  <si>
    <t>貸付経理／本年度貸付額</t>
  </si>
  <si>
    <t>貸付経理／本年度返済額</t>
  </si>
  <si>
    <t>報告_厚生年金P14</t>
  </si>
  <si>
    <t>１．標準報酬の月額及び標準期末手当等に対する組合員保険料・負担金の割合について／組合員保険料</t>
  </si>
  <si>
    <t>率・限度額等</t>
  </si>
  <si>
    <t>組合員保険料／負担金</t>
  </si>
  <si>
    <t>追加費用／割合</t>
  </si>
  <si>
    <t>負担金・（標準報酬の月額分）／事業計画額</t>
  </si>
  <si>
    <t>負担金・（標準報酬の月額分）／決算額</t>
  </si>
  <si>
    <t>負担金・（標準期末手当等分）／事業計画額</t>
  </si>
  <si>
    <t>負担金・（標準期末手当等分）／決算額</t>
  </si>
  <si>
    <t>負担金・（公的負担金）／事業計画額</t>
  </si>
  <si>
    <t>負担金・（公的負担金）／決算額</t>
  </si>
  <si>
    <t>負担金・（追加費用）／事業計画額</t>
  </si>
  <si>
    <t>負担金・（追加費用）／決算額</t>
  </si>
  <si>
    <t>組合員保険料・（標準報酬の月額分）／事業計画額</t>
  </si>
  <si>
    <t>組合員保険料・（標準報酬の月額分）／決算額</t>
  </si>
  <si>
    <t>組合員保険料・（標準期末手当等分）／事業計画額</t>
  </si>
  <si>
    <t>組合員保険料・（標準期末手当等分）／決算額</t>
  </si>
  <si>
    <t>その他／事業計画額</t>
  </si>
  <si>
    <t>その他／決算額</t>
  </si>
  <si>
    <t>報告_退職等年金P15</t>
  </si>
  <si>
    <t>１．標準報酬の月額及び標準期末手当等に対する掛金・負担金の割合について／掛金</t>
  </si>
  <si>
    <t>掛金／負担金</t>
  </si>
  <si>
    <t>掛金・（標準報酬の月額分）／事業計画額</t>
  </si>
  <si>
    <t>掛金・（標準報酬の月額分）／決算額</t>
  </si>
  <si>
    <t>掛金・（標準期末手当等分）／事業計画額</t>
  </si>
  <si>
    <t>掛金・（標準期末手当等分）／決算額</t>
  </si>
  <si>
    <t>報告_経過的長期P16</t>
  </si>
  <si>
    <t>１．標準報酬の月額及び標準期末手当等に対する負担金の割合について／負担金</t>
  </si>
  <si>
    <t>負担金・（旧恩給組合条例給付に係る払込金）／事業計画額</t>
  </si>
  <si>
    <t>負担金・（旧恩給組合条例給付に係る払込金）／決算額</t>
  </si>
  <si>
    <t>報告_預託金P17</t>
  </si>
  <si>
    <t>利息及び配当金／事業計画額</t>
  </si>
  <si>
    <t>報告_預託金のカメラ</t>
  </si>
  <si>
    <t>預金等預金／金額</t>
  </si>
  <si>
    <t>その他／金額</t>
  </si>
  <si>
    <t>貸付金貸付経理へ貸付金／金額</t>
  </si>
  <si>
    <t>報告_業務P18</t>
  </si>
  <si>
    <t>内訳地方公共団体負担金（総額）／令和７年度</t>
  </si>
  <si>
    <t>地方公共団体負担金のうち短期分／令和７年度</t>
  </si>
  <si>
    <t>短期経理より繰入／令和７年度</t>
  </si>
  <si>
    <t>連合会交付金／令和７年度</t>
  </si>
  <si>
    <t>その他／令和７年度</t>
  </si>
  <si>
    <t>事務費（連合会交付金）／令和７年度</t>
  </si>
  <si>
    <t>負担金／事業計画額</t>
  </si>
  <si>
    <t>短期経理より繰入／事業計画額</t>
  </si>
  <si>
    <t>役員報酬／事業計画額</t>
  </si>
  <si>
    <t>職員給与／事業計画額</t>
  </si>
  <si>
    <t>厚生費／事業計画額</t>
  </si>
  <si>
    <t>旅費／事業計画額</t>
  </si>
  <si>
    <t>事務費／事業計画額</t>
  </si>
  <si>
    <t>賃金／事業計画額</t>
  </si>
  <si>
    <t>委託費／事業計画額</t>
  </si>
  <si>
    <t>会議費／事業計画額</t>
  </si>
  <si>
    <t>会議費／決算額</t>
  </si>
  <si>
    <t>光熱水料／事業計画額</t>
  </si>
  <si>
    <t>修繕費／事業計画額</t>
  </si>
  <si>
    <t>賃借料／事業計画額</t>
  </si>
  <si>
    <t>普及費／事業計画額</t>
  </si>
  <si>
    <t>諸謝金／事業計画額</t>
  </si>
  <si>
    <t>諸謝金／決算額</t>
  </si>
  <si>
    <t>報告_保健P20-22</t>
  </si>
  <si>
    <t>負担金・（特定健診等負担金）／事業計画額</t>
  </si>
  <si>
    <t>負担金・（特定健診等負担金）／決算額</t>
  </si>
  <si>
    <t>特定健康診査等収入／事業計画額</t>
  </si>
  <si>
    <t>特定健康診査等収入／決算額</t>
  </si>
  <si>
    <t>雑収入／決算額</t>
  </si>
  <si>
    <t>施設収入／事業計画額</t>
  </si>
  <si>
    <t>寄附金／事業計画額</t>
  </si>
  <si>
    <t>寄附金／決算額</t>
  </si>
  <si>
    <t>前期損益修正益／事業計画額</t>
  </si>
  <si>
    <t>特定健康診査等費／事業計画額</t>
  </si>
  <si>
    <t>旅費／決算額</t>
  </si>
  <si>
    <t>事業用消耗品費／事業計画額</t>
  </si>
  <si>
    <t>洗濯費／事業計画額</t>
  </si>
  <si>
    <t>保険料／事業計画額</t>
  </si>
  <si>
    <t>保健関係人間ドック／事業計画額</t>
  </si>
  <si>
    <t>保健関係人間ドック／決算額</t>
  </si>
  <si>
    <t>内訳胃がん／事業計画額</t>
  </si>
  <si>
    <t>内訳胃がん／決算額</t>
  </si>
  <si>
    <t>乳がん／事業計画額</t>
  </si>
  <si>
    <t>乳がん／決算額</t>
  </si>
  <si>
    <t>子宮がん／事業計画額</t>
  </si>
  <si>
    <t>子宮がん／決算額</t>
  </si>
  <si>
    <t>婦人科検診／事業計画額</t>
  </si>
  <si>
    <t>婦人科検診／決算額</t>
  </si>
  <si>
    <t>歯科検診／事業計画額</t>
  </si>
  <si>
    <t>歯科検診／決算額</t>
  </si>
  <si>
    <t>予防接種助成／事業計画額</t>
  </si>
  <si>
    <t>予防接種助成／決算額</t>
  </si>
  <si>
    <t>健康相談・カウンセリング／事業計画額</t>
  </si>
  <si>
    <t>健康相談・カウンセリング／決算額</t>
  </si>
  <si>
    <t>保養関係保養所「コテージ湯の山」の運営／事業計画額</t>
  </si>
  <si>
    <t>保養関係保養所「コテージ湯の山」の運営／決算額</t>
  </si>
  <si>
    <t>表彰関係健康組合員・家族表彰</t>
  </si>
  <si>
    <t>図書・広報関係保健関係図書</t>
  </si>
  <si>
    <t>保健指導特定健診特定健康診査</t>
  </si>
  <si>
    <t>その他産業マッサージ利用助成</t>
  </si>
  <si>
    <t>組合員貸付金利息／事業計画額</t>
  </si>
  <si>
    <t>修繕費／決算額</t>
  </si>
  <si>
    <t>保険料／決算額</t>
  </si>
  <si>
    <t>食糧費／事業計画額</t>
  </si>
  <si>
    <t>食糧費／決算額</t>
  </si>
  <si>
    <t>支払利息／事業計画額</t>
  </si>
  <si>
    <t>普通貸付～平成29年12月／利率（年）</t>
  </si>
  <si>
    <t>普通貸付～平成29年12月／増加額</t>
  </si>
  <si>
    <t>普通貸付～平成29年12月／減少額</t>
  </si>
  <si>
    <t>平成30年1月～／利率（年）</t>
  </si>
  <si>
    <t>住宅貸付～平成29年12月／利率（年）</t>
  </si>
  <si>
    <t>住宅貸付～平成29年12月／増加額</t>
  </si>
  <si>
    <t>住宅貸付～平成29年12月／減少額</t>
  </si>
  <si>
    <t>在宅介護対応住宅貸付～平成29年12月／利率（年）</t>
  </si>
  <si>
    <t>在宅介護対応住宅貸付～平成29年12月</t>
  </si>
  <si>
    <t>災害貸付家財～平成29年12月／利率（年）</t>
  </si>
  <si>
    <t>災害貸付家財～平成29年12月</t>
  </si>
  <si>
    <t>住宅～平成29年12月／利率（年）</t>
  </si>
  <si>
    <t>住宅～平成29年12月</t>
  </si>
  <si>
    <t>再貸付～平成29年12月／利率（年）</t>
  </si>
  <si>
    <t>再貸付～平成29年12月</t>
  </si>
  <si>
    <t>特別貸付医療～平成29年12月／利率（年）</t>
  </si>
  <si>
    <t>特別貸付医療～平成29年12月</t>
  </si>
  <si>
    <t>平成30年1月～</t>
  </si>
  <si>
    <t>入学～平成29年12月</t>
  </si>
  <si>
    <t>修学～平成29年12月</t>
  </si>
  <si>
    <t>修学～平成29年12月／住宅・災害貸付に加算できる限度額</t>
  </si>
  <si>
    <t>結婚～平成29年12月</t>
  </si>
  <si>
    <t>結婚～平成29年12月／修業年限の年数に相当する月数</t>
  </si>
  <si>
    <t>葬祭～平成29年12月</t>
  </si>
  <si>
    <t>葬祭～平成29年12月／修業年限の年数に相当する月数</t>
  </si>
  <si>
    <t>普通貸付／件数</t>
  </si>
  <si>
    <t>普通貸付／金額</t>
  </si>
  <si>
    <t>住宅貸付／件数</t>
  </si>
  <si>
    <t>住宅貸付／金額</t>
  </si>
  <si>
    <t>在宅介護対応住宅貸付／件数</t>
  </si>
  <si>
    <t>在宅介護対応住宅貸付／金額</t>
  </si>
  <si>
    <t>災害貸付家財／件数</t>
  </si>
  <si>
    <t>災害貸付家財／金額</t>
  </si>
  <si>
    <t>住宅／件数</t>
  </si>
  <si>
    <t>住宅／金額</t>
  </si>
  <si>
    <t>再貸付／件数</t>
  </si>
  <si>
    <t>再貸付／金額</t>
  </si>
  <si>
    <t>特別貸付医療／件数</t>
  </si>
  <si>
    <t>特別貸付医療／金額</t>
  </si>
  <si>
    <t>入学／件数</t>
  </si>
  <si>
    <t>入学／金額</t>
  </si>
  <si>
    <t>修学／件数</t>
  </si>
  <si>
    <t>修学／金額</t>
  </si>
  <si>
    <t>結婚／件数</t>
  </si>
  <si>
    <t>結婚／金額</t>
  </si>
  <si>
    <t>葬祭／件数</t>
  </si>
  <si>
    <t>葬祭／金額</t>
  </si>
  <si>
    <t>短期_財務諸表</t>
  </si>
  <si>
    <t>災害給付短期掛金／その他収入（令和２年度分）</t>
  </si>
  <si>
    <t>当期介護利益金／その他費用（令和２年度分）</t>
  </si>
  <si>
    <t>広島銀行広島市役所支店普通預金／金額</t>
  </si>
  <si>
    <t>明細表の金額</t>
  </si>
  <si>
    <t>ゆうちょ銀行一般振替口座／金額</t>
  </si>
  <si>
    <t>取引金融機関等の名称区分／金額</t>
  </si>
  <si>
    <t>未収収益明細表（1行目）／金額</t>
  </si>
  <si>
    <t>未収収益明細表（2行目）／金額</t>
  </si>
  <si>
    <t>未収収益明細表（3行目）／金額</t>
  </si>
  <si>
    <t>未収収益明細表（4行目）／金額</t>
  </si>
  <si>
    <t>掛金／金額</t>
  </si>
  <si>
    <t>支払基金委託金／金額</t>
  </si>
  <si>
    <t>未収収益明細表・介護（1行目）／金額</t>
  </si>
  <si>
    <t>未収収益明細表・介護（2行目）／金額</t>
  </si>
  <si>
    <t>保健給付／金額</t>
  </si>
  <si>
    <t>休業給付／金額</t>
  </si>
  <si>
    <t>附加給付／金額</t>
  </si>
  <si>
    <t>一部負担金払戻金／金額</t>
  </si>
  <si>
    <t>連合会払込金／金額</t>
  </si>
  <si>
    <t>業務経理へ繰入／金額</t>
  </si>
  <si>
    <t>預り金／金額</t>
  </si>
  <si>
    <t>短期任意継続掛金R8.3.18外No.0549外／金額</t>
  </si>
  <si>
    <t>介護任意継続掛金R8.3.18外No.0549外／金額</t>
  </si>
  <si>
    <t>子ども・子育て支援任意継続掛金R8.3.18外No.0549外／金額</t>
  </si>
  <si>
    <t>欠損金補てん積立金／当期増加額</t>
  </si>
  <si>
    <t>短期_決算精算表</t>
  </si>
  <si>
    <t>預り金／貸方３月分残高</t>
  </si>
  <si>
    <t>決算精算表（３月分残高・修正）</t>
  </si>
  <si>
    <t>休業給付／貸方修正増減</t>
  </si>
  <si>
    <t>前期高齢者納付金／借方３月分残高</t>
  </si>
  <si>
    <t>後期高齢者支援金／借方３月分残高</t>
  </si>
  <si>
    <t>病床転換支援金／借方３月分残高</t>
  </si>
  <si>
    <t>介護納付金／借方３月分残高</t>
  </si>
  <si>
    <t>一部負担金払戻金／借方３月分残高</t>
  </si>
  <si>
    <t>一部負担金払戻金／貸方修正増減</t>
  </si>
  <si>
    <t>短期負担金／貸方３月分残高</t>
  </si>
  <si>
    <t>介護負担金／貸方３月分残高</t>
  </si>
  <si>
    <t>短期掛金／貸方３月分残高</t>
  </si>
  <si>
    <t>介護掛金／貸方３月分残高</t>
  </si>
  <si>
    <t>短期任意継続掛金／貸方３月分残高</t>
  </si>
  <si>
    <t>介護任意継続掛金／貸方３月分残高</t>
  </si>
  <si>
    <t>次年度繰越支払準備金（法定額・メモ欄）</t>
  </si>
  <si>
    <t>出産育児交付金／貸方３月分残高</t>
  </si>
  <si>
    <t>雑収入／貸方３月分残高</t>
  </si>
  <si>
    <t>高額医療交付金／貸方３月分残高</t>
  </si>
  <si>
    <t>育児休業等給付交付金／貸方３月分残高</t>
  </si>
  <si>
    <t>調整負担金／貸方３月分残高</t>
  </si>
  <si>
    <t>補助金／貸方３月分残高</t>
  </si>
  <si>
    <t>賠償金／貸方３月分残高</t>
  </si>
  <si>
    <t>前期損益修正益／貸方３月分残高</t>
  </si>
  <si>
    <t>厚生_預金・立替・未収</t>
  </si>
  <si>
    <t>未収組合員保険料／金額</t>
  </si>
  <si>
    <t>地方公共団体負担金／金額</t>
  </si>
  <si>
    <t>職員団体負担金／金額</t>
  </si>
  <si>
    <t>公的負担金／金額</t>
  </si>
  <si>
    <t>標準報酬月額保険料／金額</t>
  </si>
  <si>
    <t>標準期末手当等保険料／金額</t>
  </si>
  <si>
    <t>過払金等返還金／金額</t>
  </si>
  <si>
    <t>厚生_決算精算表</t>
  </si>
  <si>
    <t>負担金払込金／借方３月分残高</t>
  </si>
  <si>
    <t>組合員保険料払込金／借方３月分残高</t>
  </si>
  <si>
    <t>退職等_預金・立替・未収</t>
  </si>
  <si>
    <t>標準報酬月額掛金／金額</t>
  </si>
  <si>
    <t>標準期末手当等掛金／金額</t>
  </si>
  <si>
    <t>退職等_決算精算表</t>
  </si>
  <si>
    <t>未収金／借方３月分残高</t>
  </si>
  <si>
    <t>掛金払込金／借方３月分残高</t>
  </si>
  <si>
    <t>経過的_預金・立替・未収</t>
  </si>
  <si>
    <t>経過的_決算精算表</t>
  </si>
  <si>
    <t>未収収益／金額</t>
  </si>
  <si>
    <t>連合会預託金／当期減少額</t>
  </si>
  <si>
    <t>預託金_決算精算表</t>
  </si>
  <si>
    <t>連合会預託金／借方３月分残高</t>
  </si>
  <si>
    <t>連合会預託金／貸方修正</t>
  </si>
  <si>
    <t>支払利息／借方修正</t>
  </si>
  <si>
    <t>支払利息／借方３月分残高</t>
  </si>
  <si>
    <t>立替金／金額</t>
  </si>
  <si>
    <t>事務費／金額</t>
  </si>
  <si>
    <t>委託費／金額</t>
  </si>
  <si>
    <t>光熱水料／金額</t>
  </si>
  <si>
    <t>賃借料／金額</t>
  </si>
  <si>
    <t>普及費／金額</t>
  </si>
  <si>
    <t>負担金／金額</t>
  </si>
  <si>
    <t>非常勤職員手当／金額</t>
  </si>
  <si>
    <t>賃金／金額</t>
  </si>
  <si>
    <t>雇用保険保険料／金額</t>
  </si>
  <si>
    <t>厚生年金保険料／金額</t>
  </si>
  <si>
    <t>受入保証金／金額</t>
  </si>
  <si>
    <t>器具及び備品／当期増加額</t>
  </si>
  <si>
    <t>器具及び備品／当期減少額</t>
  </si>
  <si>
    <t>器具及び備品５年／取得原価</t>
  </si>
  <si>
    <t>器具及び備品５年／当期償却額</t>
  </si>
  <si>
    <t>器具及び備品５年／償却累計額</t>
  </si>
  <si>
    <t>器具及び備品（4年・シンクライアント端末）／取得原価</t>
  </si>
  <si>
    <t>器具及び備品（4年・シンクライアント端末）／当期償却額</t>
  </si>
  <si>
    <t>器具及び備品（4年・シンクライアント端末）／償却累計額</t>
  </si>
  <si>
    <t>器具及び備品６／取得原価</t>
  </si>
  <si>
    <t>器具及び備品６／当期償却額</t>
  </si>
  <si>
    <t>器具及び備品６／当期末残高</t>
  </si>
  <si>
    <t>電話加入権／耐用年数</t>
  </si>
  <si>
    <t>電話加入権／取得原価</t>
  </si>
  <si>
    <t>電話加入権／当期償却額</t>
  </si>
  <si>
    <t>電話加入権－／当期末残高</t>
  </si>
  <si>
    <t>減価償却累計額／前期繰越額</t>
  </si>
  <si>
    <t>減価償却累計額／当期増加額</t>
  </si>
  <si>
    <t>減価償却累計額／当期減少額</t>
  </si>
  <si>
    <t>事務費／予算額</t>
  </si>
  <si>
    <t>別途積立金取り崩し／当期処分額</t>
  </si>
  <si>
    <t>積立金取り崩し／当期処分額</t>
  </si>
  <si>
    <t>業務_決算精算表</t>
  </si>
  <si>
    <t>立替金／借方３月分残高</t>
  </si>
  <si>
    <t>役員報酬／借方３月分残高</t>
  </si>
  <si>
    <t>職員給与／借方３月分残高</t>
  </si>
  <si>
    <t>厚生費／借方３月分残高</t>
  </si>
  <si>
    <t>旅費／借方３月分残高</t>
  </si>
  <si>
    <t>事務費／借方３月分残高</t>
  </si>
  <si>
    <t>賃金／借方３月分残高</t>
  </si>
  <si>
    <t>委託費／借方３月分残高</t>
  </si>
  <si>
    <t>光熱水料／借方３月分残高</t>
  </si>
  <si>
    <t>修繕費／借方３月分残高</t>
  </si>
  <si>
    <t>賃借料／借方３月分残高</t>
  </si>
  <si>
    <t>普及費／借方３月分残高</t>
  </si>
  <si>
    <t>負担金／借方３月分残高</t>
  </si>
  <si>
    <t>連合会分担金／借方３月分残高</t>
  </si>
  <si>
    <t>事務費負担金払込金／借方３月分残高</t>
  </si>
  <si>
    <t>前期損益修正損／借方修正増減</t>
  </si>
  <si>
    <t>負担金／貸方３月分残高</t>
  </si>
  <si>
    <t>連合会交付金／貸方３月分残高</t>
  </si>
  <si>
    <t>広島市農業協同組合定期預金／金額</t>
  </si>
  <si>
    <t>みずほ信託銀行合同運用金銭信託／金額</t>
  </si>
  <si>
    <t>定期預金利息／金額</t>
  </si>
  <si>
    <t>信託収益／金額</t>
  </si>
  <si>
    <t>厚生費／金額</t>
  </si>
  <si>
    <t>特定健康診査等費／金額</t>
  </si>
  <si>
    <t>事業用消耗品費／金額</t>
  </si>
  <si>
    <t>洗濯費／金額</t>
  </si>
  <si>
    <t>建物／期首残高</t>
  </si>
  <si>
    <t>建物／当期増加額</t>
  </si>
  <si>
    <t>建物／当期減少額</t>
  </si>
  <si>
    <t>機械及び装置／期首残高</t>
  </si>
  <si>
    <t>機械及び装置／当期増加額</t>
  </si>
  <si>
    <t>機械及び装置／当期減少額</t>
  </si>
  <si>
    <t>器具及び備品／期首残高</t>
  </si>
  <si>
    <t>建物17／取得原価</t>
  </si>
  <si>
    <t>建物17／当期償却額</t>
  </si>
  <si>
    <t>建物17／償却累計額</t>
  </si>
  <si>
    <t>建物17／当期末残高</t>
  </si>
  <si>
    <t>建物（耐用17年・2行目）／取得原価</t>
  </si>
  <si>
    <t>建物（耐用17年・2行目）／当期償却額</t>
  </si>
  <si>
    <t>建物（耐用17年・2行目）／償却累計額</t>
  </si>
  <si>
    <t>建物（耐用17年・2行目）／当期末残高</t>
  </si>
  <si>
    <t>建物（耐用15年・3行目）／取得原価</t>
  </si>
  <si>
    <t>建物（耐用15年・3行目）／当期償却額</t>
  </si>
  <si>
    <t>建物（耐用15年・3行目）／償却累計額</t>
  </si>
  <si>
    <t>建物（耐用15年・3行目）／当期末残高</t>
  </si>
  <si>
    <t>機械及び装置／耐用年数</t>
  </si>
  <si>
    <t>機械及び装置／取得原価</t>
  </si>
  <si>
    <t>機械及び装置／当期償却額</t>
  </si>
  <si>
    <t>機械及び装置／償却累計額</t>
  </si>
  <si>
    <t>機械及び装置／当期末残高</t>
  </si>
  <si>
    <t>器具及び備品／耐用年数</t>
  </si>
  <si>
    <t>器具及び備品／取得原価</t>
  </si>
  <si>
    <t>器具及び備品／当期償却額</t>
  </si>
  <si>
    <t>器具及び備品／償却累計額</t>
  </si>
  <si>
    <t>器具及び備品／当期末残高</t>
  </si>
  <si>
    <t>器具及び備品（2行目）／耐用年数</t>
  </si>
  <si>
    <t>器具及び備品（2行目）／取得原価</t>
  </si>
  <si>
    <t>器具及び備品（2行目）／当期償却額</t>
  </si>
  <si>
    <t>器具及び備品（2行目）／償却累計額</t>
  </si>
  <si>
    <t>器具及び備品（2行目）／当期末残高</t>
  </si>
  <si>
    <t>器具及び備品（3行目）／耐用年数</t>
  </si>
  <si>
    <t>器具及び備品（3行目）／取得原価</t>
  </si>
  <si>
    <t>器具及び備品（3行目）／当期償却額</t>
  </si>
  <si>
    <t>器具及び備品（3行目）／償却累計額</t>
  </si>
  <si>
    <t>器具及び備品（3行目）／当期末残高</t>
  </si>
  <si>
    <t>器具及び備品（4行目）／耐用年数</t>
  </si>
  <si>
    <t>器具及び備品（4行目）／取得原価</t>
  </si>
  <si>
    <t>器具及び備品（4行目）／当期償却額</t>
  </si>
  <si>
    <t>器具及び備品（4行目）／償却累計額</t>
  </si>
  <si>
    <t>器具及び備品（4行目）／当期末残高</t>
  </si>
  <si>
    <t>器具及び備品（5行目）／耐用年数</t>
  </si>
  <si>
    <t>器具及び備品（5行目）／取得原価</t>
  </si>
  <si>
    <t>器具及び備品（5行目）／当期償却額</t>
  </si>
  <si>
    <t>器具及び備品（5行目）／償却累計額</t>
  </si>
  <si>
    <t>器具及び備品（5行目）／当期末残高</t>
  </si>
  <si>
    <t>器具及び備品（6行目）／耐用年数</t>
  </si>
  <si>
    <t>器具及び備品（6行目）／取得原価</t>
  </si>
  <si>
    <t>器具及び備品（6行目）／当期償却額</t>
  </si>
  <si>
    <t>器具及び備品（6行目）／償却累計額</t>
  </si>
  <si>
    <t>器具及び備品（6行目）／当期末残高</t>
  </si>
  <si>
    <t>器具及び備品（7行目）／耐用年数</t>
  </si>
  <si>
    <t>器具及び備品（7行目）／取得原価</t>
  </si>
  <si>
    <t>器具及び備品（7行目）／当期償却額</t>
  </si>
  <si>
    <t>器具及び備品（7行目）／償却累計額</t>
  </si>
  <si>
    <t>器具及び備品（7行目）／当期末残高</t>
  </si>
  <si>
    <t>器具及び備品（8行目）／耐用年数</t>
  </si>
  <si>
    <t>器具及び備品（8行目）／取得原価</t>
  </si>
  <si>
    <t>器具及び備品（8行目）／当期償却額</t>
  </si>
  <si>
    <t>器具及び備品（8行目）／償却累計額</t>
  </si>
  <si>
    <t>器具及び備品（8行目）／当期末残高</t>
  </si>
  <si>
    <t>加入金／前期繰越額</t>
  </si>
  <si>
    <t>加入金／当期増加額</t>
  </si>
  <si>
    <t>加入金／当期減少額</t>
  </si>
  <si>
    <t>旅費／支出済額</t>
  </si>
  <si>
    <t>旅費／支出未済額</t>
  </si>
  <si>
    <t>別途積立金／当期増加額</t>
  </si>
  <si>
    <t>退職給与引当金／前期繰越額</t>
  </si>
  <si>
    <t>退職給与引当金／当期増加額</t>
  </si>
  <si>
    <t>退職給与引当金／当期減少額</t>
  </si>
  <si>
    <t>３当期処分額／自令和７年４月１日至令和８年３月３１日</t>
  </si>
  <si>
    <t>別途積立金を取り崩し積立金へ積立（コテージ湯の山解体）／自令和７年４月１日至令和８年３月３１日</t>
  </si>
  <si>
    <t>欠損金補てん積立金を取り崩し積立金へ積立（コテージ湯の山解体）／自令和７年４月１日至令和８年３月３１日</t>
  </si>
  <si>
    <t>保健_決算精算表</t>
  </si>
  <si>
    <t>特定健康診査等費／借方３月分残高</t>
  </si>
  <si>
    <t>事業用消耗品費／借方３月分残高</t>
  </si>
  <si>
    <t>洗濯費／借方３月分残高</t>
  </si>
  <si>
    <t>預金残高（広島銀行広島市役所支店普通預金）／入力欄</t>
  </si>
  <si>
    <t>貸付金当期増加額／入力欄</t>
  </si>
  <si>
    <t>貸付金当期減少額／入力欄</t>
  </si>
  <si>
    <t>借入金当期増加額／入力欄</t>
  </si>
  <si>
    <t>借入金当期減少額／入力欄</t>
  </si>
  <si>
    <t>未収収益組合員貸付金利息</t>
  </si>
  <si>
    <t>未収収益組合員貸付金（償還金）</t>
  </si>
  <si>
    <t>未収金組合員貸付金</t>
  </si>
  <si>
    <t>未収金組合員貸付金利息</t>
  </si>
  <si>
    <t>未払金事務費</t>
  </si>
  <si>
    <t>未払金委託費</t>
  </si>
  <si>
    <t>未払金賃借料</t>
  </si>
  <si>
    <t>未払金負担金</t>
  </si>
  <si>
    <t>未払費用職員給与</t>
  </si>
  <si>
    <t>未払費用賃金</t>
  </si>
  <si>
    <t>預り金その他</t>
  </si>
  <si>
    <t>前受収益組合員貸付金</t>
  </si>
  <si>
    <t>前受収益組合員貸付金利息</t>
  </si>
  <si>
    <t>器具及び備品当期増加額</t>
  </si>
  <si>
    <t>器具及び備品当期減少額</t>
  </si>
  <si>
    <t>器具及び備品当期償却額</t>
  </si>
  <si>
    <t>器具及び備品取得原価</t>
  </si>
  <si>
    <t>減価償却累計額当期減少額</t>
  </si>
  <si>
    <t>退職給与引当金当期増加額</t>
  </si>
  <si>
    <t>退職給与引当金当期減少額</t>
  </si>
  <si>
    <t>予算額職員給与</t>
  </si>
  <si>
    <t>予算額旅費</t>
  </si>
  <si>
    <t>予算額事務費</t>
  </si>
  <si>
    <t>（前年度）</t>
  </si>
  <si>
    <t>前年度の決算額・徴収率・前期繰越額など 325項目（前年度ブックのF列を値貼り付け）</t>
  </si>
  <si>
    <t>前年度データ貼付シート（325項目） ― 年1回、値を貼り付けると全帳票の前年度欄・前期繰越欄に反映されます</t>
  </si>
  <si>
    <t>【手順 1】 前年度のこの決算書ブックを開き、このシートの F列（F8:F332「出力：今年度の値」）をコピーします。</t>
  </si>
  <si>
    <t>【手順 2】 今年度のブックの E8セル を選び、「形式を選択して貼り付け」＞「値」で貼り付けます（マクロ「来年度へ繰越」でも同じ処理ができます）。</t>
  </si>
  <si>
    <t>【手順 3】 全帳票の「前年度決算額」「前年度徴収率」「前期繰越額」「前年度末」に反映されます。「チェック」シートがすべてOKか確認してください。</t>
  </si>
  <si>
    <t>※令和7年度決算分は従来の値をE列にセット済みです。表の行を増減させた年度のみ、このシートの行も合わせて調整してください。</t>
  </si>
  <si>
    <t>項目（対象帳票の表・行／列見出し）</t>
  </si>
  <si>
    <t>反映先セル（クリックで移動）</t>
  </si>
  <si>
    <t>【貼付欄】前年度の値
（ここに値貼り付け）</t>
  </si>
  <si>
    <t>【出力欄】今年度の値
（来年度の貼付用にコピー）</t>
  </si>
  <si>
    <t>今年度値の参照元セル</t>
  </si>
  <si>
    <t>共通</t>
  </si>
  <si>
    <t>一般組合員／前年度決算（組合員数）</t>
  </si>
  <si>
    <t>報告_総括P3-5!V17</t>
  </si>
  <si>
    <t>短期組合員／前年度決算（組合員数）</t>
  </si>
  <si>
    <t>報告_総括P3-5!V19</t>
  </si>
  <si>
    <t>市長組合員／前年度決算（組合員数）</t>
  </si>
  <si>
    <t>報告_総括P3-5!V20</t>
  </si>
  <si>
    <t>特定消防組合員／前年度決算（組合員数）</t>
  </si>
  <si>
    <t>報告_総括P3-5!V21</t>
  </si>
  <si>
    <t>後期高齢者等短期組合員／前年度決算（組合員数）</t>
  </si>
  <si>
    <t>報告_総括P3-5!V22</t>
  </si>
  <si>
    <t>継続長期組合員／前年度決算（組合員数）</t>
  </si>
  <si>
    <t>報告_総括P3-5!V23</t>
  </si>
  <si>
    <t>任意継続組合員／前年度決算（組合員数）</t>
  </si>
  <si>
    <t>報告_総括P3-5!V26</t>
  </si>
  <si>
    <t>一般組合員（特別職）／前年度決算（組合員数・括弧書き）</t>
  </si>
  <si>
    <t>報告_総括P3-5!Y18</t>
  </si>
  <si>
    <t>継続長期組合員（退職派遣者）／前年度決算（組合員数・括弧書き）</t>
  </si>
  <si>
    <t>報告_総括P3-5!Y24</t>
  </si>
  <si>
    <t>一般組合員長期／前年度決算額（標準報酬の月額）</t>
  </si>
  <si>
    <t>報告_総括P3-5!T37</t>
  </si>
  <si>
    <t>一般組合員・長期（特別職）／前年度決算額（標準報酬の月額）</t>
  </si>
  <si>
    <t>報告_総括P3-5!T38</t>
  </si>
  <si>
    <t>一般組合員・短期／前年度決算額（標準報酬の月額）</t>
  </si>
  <si>
    <t>報告_総括P3-5!T39</t>
  </si>
  <si>
    <t>一般組合員・短期（特別職）／前年度決算額（標準報酬の月額）</t>
  </si>
  <si>
    <t>報告_総括P3-5!T40</t>
  </si>
  <si>
    <t>短期組合員短期／前年度決算額（標準報酬の月額）</t>
  </si>
  <si>
    <t>報告_総括P3-5!T41</t>
  </si>
  <si>
    <t>市長組合員長期／前年度決算額（標準報酬の月額）</t>
  </si>
  <si>
    <t>報告_総括P3-5!T42</t>
  </si>
  <si>
    <t>市長組合員・短期／前年度決算額（標準報酬の月額）</t>
  </si>
  <si>
    <t>報告_総括P3-5!T43</t>
  </si>
  <si>
    <t>特定消防組合員長期／前年度決算額（標準報酬の月額）</t>
  </si>
  <si>
    <t>報告_総括P3-5!T44</t>
  </si>
  <si>
    <t>特定消防組合員・短期／前年度決算額（標準報酬の月額）</t>
  </si>
  <si>
    <t>報告_総括P3-5!T45</t>
  </si>
  <si>
    <t>後期高齢者等短期組合員短期／前年度決算額（標準報酬の月額）</t>
  </si>
  <si>
    <t>報告_総括P3-5!T46</t>
  </si>
  <si>
    <t>継続長期組合員長期／前年度決算額（標準報酬の月額）</t>
  </si>
  <si>
    <t>報告_総括P3-5!T47</t>
  </si>
  <si>
    <t>任意継続組合員短期／前年度決算額（標準報酬の月額）</t>
  </si>
  <si>
    <t>報告_総括P3-5!T51</t>
  </si>
  <si>
    <t>一般組合員長期／前年度累計額（標準期末手当等）</t>
  </si>
  <si>
    <t>報告_総括P3-5!U65</t>
  </si>
  <si>
    <t>一般組合員・長期（特別職）／前年度累計額（標準期末手当等）</t>
  </si>
  <si>
    <t>報告_総括P3-5!U66</t>
  </si>
  <si>
    <t>一般組合員・短期／前年度累計額（標準期末手当等）</t>
  </si>
  <si>
    <t>報告_総括P3-5!U67</t>
  </si>
  <si>
    <t>一般組合員・短期（特別職）／前年度累計額（標準期末手当等）</t>
  </si>
  <si>
    <t>報告_総括P3-5!U68</t>
  </si>
  <si>
    <t>短期組合員短期／前年度累計額（標準期末手当等）</t>
  </si>
  <si>
    <t>報告_総括P3-5!U69</t>
  </si>
  <si>
    <t>市長組合員長期／前年度累計額（標準期末手当等）</t>
  </si>
  <si>
    <t>報告_総括P3-5!U70</t>
  </si>
  <si>
    <t>市長組合員・短期／前年度累計額（標準期末手当等）</t>
  </si>
  <si>
    <t>報告_総括P3-5!U71</t>
  </si>
  <si>
    <t>特定消防組合員長期／前年度累計額（標準期末手当等）</t>
  </si>
  <si>
    <t>報告_総括P3-5!U72</t>
  </si>
  <si>
    <t>特定消防組合員・短期／前年度累計額（標準期末手当等）</t>
  </si>
  <si>
    <t>報告_総括P3-5!U73</t>
  </si>
  <si>
    <t>後期高齢者等短期組合員短期／前年度累計額（標準期末手当等）</t>
  </si>
  <si>
    <t>報告_総括P3-5!U74</t>
  </si>
  <si>
    <t>継続長期組合員長期／前年度累計額（標準期末手当等）</t>
  </si>
  <si>
    <t>報告_総括P3-5!U75</t>
  </si>
  <si>
    <t>一般組合員／前年度決算（被扶養者数）</t>
  </si>
  <si>
    <t>報告_総括P3-5!T88</t>
  </si>
  <si>
    <t>短期組合員／前年度決算（被扶養者数）</t>
  </si>
  <si>
    <t>報告_総括P3-5!T89</t>
  </si>
  <si>
    <t>市長組合員／前年度決算（被扶養者数）</t>
  </si>
  <si>
    <t>報告_総括P3-5!T90</t>
  </si>
  <si>
    <t>特定消防組合員／前年度決算（被扶養者数）</t>
  </si>
  <si>
    <t>報告_総括P3-5!T91</t>
  </si>
  <si>
    <t>後期高齢者等短期組合員／前年度決算（被扶養者数）</t>
  </si>
  <si>
    <t>報告_総括P3-5!T92</t>
  </si>
  <si>
    <t>任意継続組合員／前年度決算（被扶養者数）</t>
  </si>
  <si>
    <t>報告_総括P3-5!T94</t>
  </si>
  <si>
    <t>職員数（前年度の人数）／事務局長</t>
  </si>
  <si>
    <t>報告_概況P1-2!G55</t>
  </si>
  <si>
    <t>職員数（前年度の人数）／担当課長</t>
  </si>
  <si>
    <t>報告_概況P1-2!I55</t>
  </si>
  <si>
    <t>職員数（前年度の人数）／事務局次長</t>
  </si>
  <si>
    <t>報告_概況P1-2!K55</t>
  </si>
  <si>
    <t>職員数（前年度の人数）／係長</t>
  </si>
  <si>
    <t>報告_概況P1-2!M55</t>
  </si>
  <si>
    <t>職員数（前年度の人数）／主幹専門員</t>
  </si>
  <si>
    <t>報告_概況P1-2!O55</t>
  </si>
  <si>
    <t>職員数（前年度の人数）／主査主任技師</t>
  </si>
  <si>
    <t>報告_概況P1-2!Q55</t>
  </si>
  <si>
    <t>職員数（前年度の人数）／主事保健師</t>
  </si>
  <si>
    <t>報告_概況P1-2!S55</t>
  </si>
  <si>
    <t>職員数（前年度の人数）／事務指導員事務推進員看護師レセプト点検員健康相談員事務補助員</t>
  </si>
  <si>
    <t>報告_概況P1-2!U55</t>
  </si>
  <si>
    <t>調整負担金率（２年前）</t>
  </si>
  <si>
    <t>報告_短期P6!X29</t>
  </si>
  <si>
    <t>調整負担金率（前年度）</t>
  </si>
  <si>
    <t>報告_短期P6!AF29</t>
  </si>
  <si>
    <t>公的負担金率（２年前）</t>
  </si>
  <si>
    <t>報告_短期P6!X30</t>
  </si>
  <si>
    <t>公的負担金率（前年度）</t>
  </si>
  <si>
    <t>報告_短期P6!AF30</t>
  </si>
  <si>
    <t>短期負担金／前年度決算額（収入）</t>
  </si>
  <si>
    <t>報告_短期P7-10!CB5</t>
  </si>
  <si>
    <t>公的負担金／前年度決算額（収入）</t>
  </si>
  <si>
    <t>報告_短期P7-10!CB6</t>
  </si>
  <si>
    <t>介護負担金／前年度決算額（収入）</t>
  </si>
  <si>
    <t>報告_短期P7-10!CB7</t>
  </si>
  <si>
    <t>短期掛金／前年度決算額（収入）</t>
  </si>
  <si>
    <t>報告_短期P7-10!CB8</t>
  </si>
  <si>
    <t>介護掛金／前年度決算額（収入）</t>
  </si>
  <si>
    <t>報告_短期P7-10!CB9</t>
  </si>
  <si>
    <t>短期任意継続掛金／前年度決算額（収入）</t>
  </si>
  <si>
    <t>報告_短期P7-10!CB10</t>
  </si>
  <si>
    <t>介護任意継続掛金／前年度決算額（収入）</t>
  </si>
  <si>
    <t>報告_短期P7-10!CB11</t>
  </si>
  <si>
    <t>出産育児交付金／前年度決算額（収入）</t>
  </si>
  <si>
    <t>報告_短期P7-10!CB12</t>
  </si>
  <si>
    <t>雑収入／前年度決算額（収入）</t>
  </si>
  <si>
    <t>報告_短期P7-10!CB13</t>
  </si>
  <si>
    <t>連合会交付金／前年度決算額（収入）</t>
  </si>
  <si>
    <t>報告_短期P7-10!CB14</t>
  </si>
  <si>
    <t>調整交付金／前年度決算額（収入）</t>
  </si>
  <si>
    <t>報告_短期P7-10!CB15</t>
  </si>
  <si>
    <t>特別調整交付金／前年度決算額（収入）</t>
  </si>
  <si>
    <t>報告_短期P7-10!CB16</t>
  </si>
  <si>
    <t>高額医療交付金／前年度決算額（収入）</t>
  </si>
  <si>
    <t>報告_短期P7-10!CB17</t>
  </si>
  <si>
    <t>災害給付交付金／前年度決算額（収入）</t>
  </si>
  <si>
    <t>報告_短期P7-10!CB18</t>
  </si>
  <si>
    <t>育児休業支援手当金交付金／前年度決算額（収入）</t>
  </si>
  <si>
    <t>報告_短期P7-10!CB20</t>
  </si>
  <si>
    <t>育児時短勤務手当金交付金／前年度決算額（収入）</t>
  </si>
  <si>
    <t>報告_短期P7-10!CB22</t>
  </si>
  <si>
    <t>調整負担金／前年度決算額（収入）</t>
  </si>
  <si>
    <t>報告_短期P7-10!CB23</t>
  </si>
  <si>
    <t>補助金／前年度決算額（収入）</t>
  </si>
  <si>
    <t>報告_短期P7-10!CB24</t>
  </si>
  <si>
    <t>短期利息及び短期配当金／前年度決算額（収入）</t>
  </si>
  <si>
    <t>報告_短期P7-10!CB25</t>
  </si>
  <si>
    <t>介護利息／前年度決算額（収入）</t>
  </si>
  <si>
    <t>報告_短期P7-10!CB26</t>
  </si>
  <si>
    <t>賠償金／前年度決算額（収入）</t>
  </si>
  <si>
    <t>報告_短期P7-10!CB27</t>
  </si>
  <si>
    <t>前年度繰越支払準備金／前年度決算額（収入）</t>
  </si>
  <si>
    <t>報告_短期P7-10!CB28</t>
  </si>
  <si>
    <t>前期損益修正益／前年度決算額（収入）</t>
  </si>
  <si>
    <t>報告_短期P7-10!CB29</t>
  </si>
  <si>
    <t>負担金短期／前年度徴収率</t>
  </si>
  <si>
    <t>報告_短期P7-10!DD36</t>
  </si>
  <si>
    <t>介護／前年度徴収率</t>
  </si>
  <si>
    <t>報告_短期P7-10!DD37</t>
  </si>
  <si>
    <t>掛金短期／前年度徴収率</t>
  </si>
  <si>
    <t>報告_短期P7-10!DD38</t>
  </si>
  <si>
    <t>報告_短期P7-10!DD39</t>
  </si>
  <si>
    <t>合計短期／前年度徴収率</t>
  </si>
  <si>
    <t>報告_短期P7-10!DD40</t>
  </si>
  <si>
    <t>報告_短期P7-10!DD41</t>
  </si>
  <si>
    <t>法定給付保健給付療養の給付／前年度決算額（支出）</t>
  </si>
  <si>
    <t>報告_短期P7-10!CB49</t>
  </si>
  <si>
    <t>入院時食事療養の給付・入院時生活療養の給付／前年度決算額（支出）</t>
  </si>
  <si>
    <t>報告_短期P7-10!CB50</t>
  </si>
  <si>
    <t>訪問看護療養の給付／前年度決算額（支出）</t>
  </si>
  <si>
    <t>報告_短期P7-10!CB51</t>
  </si>
  <si>
    <t>家族療養の給付／前年度決算額（支出）</t>
  </si>
  <si>
    <t>報告_短期P7-10!CB52</t>
  </si>
  <si>
    <t>家族訪問看護療養の給付／前年度決算額（支出）</t>
  </si>
  <si>
    <t>報告_短期P7-10!CB53</t>
  </si>
  <si>
    <t>高額療養の給付／前年度決算額（支出）</t>
  </si>
  <si>
    <t>報告_短期P7-10!CB54</t>
  </si>
  <si>
    <t>療養費／前年度決算額（支出）</t>
  </si>
  <si>
    <t>報告_短期P7-10!CB55</t>
  </si>
  <si>
    <t>家族療養費／前年度決算額（支出）</t>
  </si>
  <si>
    <t>報告_短期P7-10!CB56</t>
  </si>
  <si>
    <t>高額療養費／前年度決算額（支出）</t>
  </si>
  <si>
    <t>報告_短期P7-10!CB57</t>
  </si>
  <si>
    <t>高額介護合算療養費／前年度決算額（支出）</t>
  </si>
  <si>
    <t>報告_短期P7-10!CB58</t>
  </si>
  <si>
    <t>薬剤支給／前年度決算額（支出）</t>
  </si>
  <si>
    <t>報告_短期P7-10!CB59</t>
  </si>
  <si>
    <t>移送費／前年度決算額（支出）</t>
  </si>
  <si>
    <t>報告_短期P7-10!CB60</t>
  </si>
  <si>
    <t>家族移送費／前年度決算額（支出）</t>
  </si>
  <si>
    <t>報告_短期P7-10!CB61</t>
  </si>
  <si>
    <t>出産費／前年度決算額（支出）</t>
  </si>
  <si>
    <t>報告_短期P7-10!CB62</t>
  </si>
  <si>
    <t>家族出産費／前年度決算額（支出）</t>
  </si>
  <si>
    <t>報告_短期P7-10!CB63</t>
  </si>
  <si>
    <t>埋葬料／前年度決算額（支出）</t>
  </si>
  <si>
    <t>報告_短期P7-10!CB64</t>
  </si>
  <si>
    <t>家族埋葬料／前年度決算額（支出）</t>
  </si>
  <si>
    <t>報告_短期P7-10!CB65</t>
  </si>
  <si>
    <t>休業給付傷病手当金／前年度決算額（支出）</t>
  </si>
  <si>
    <t>報告_短期P7-10!CB67</t>
  </si>
  <si>
    <t>出産手当金／前年度決算額（支出）</t>
  </si>
  <si>
    <t>報告_短期P7-10!CB68</t>
  </si>
  <si>
    <t>休業手当金／前年度決算額（支出）</t>
  </si>
  <si>
    <t>報告_短期P7-10!CB69</t>
  </si>
  <si>
    <t>育児休業手当金／前年度決算額（支出）</t>
  </si>
  <si>
    <t>報告_短期P7-10!CB70</t>
  </si>
  <si>
    <t>育児休業支援手当金／前年度決算額（支出）</t>
  </si>
  <si>
    <t>報告_短期P7-10!CB71</t>
  </si>
  <si>
    <t>介護休業手当金／前年度決算額（支出）</t>
  </si>
  <si>
    <t>報告_短期P7-10!CB72</t>
  </si>
  <si>
    <t>育児時短勤務手当金／前年度決算額（支出）</t>
  </si>
  <si>
    <t>報告_短期P7-10!CB73</t>
  </si>
  <si>
    <t>災害給付弔慰金／前年度決算額（支出）</t>
  </si>
  <si>
    <t>報告_短期P7-10!CB75</t>
  </si>
  <si>
    <t>家族弔慰金／前年度決算額（支出）</t>
  </si>
  <si>
    <t>報告_短期P7-10!CB76</t>
  </si>
  <si>
    <t>災害見舞金／前年度決算額（支出）</t>
  </si>
  <si>
    <t>報告_短期P7-10!CB77</t>
  </si>
  <si>
    <t>附加給付家族療養費附加金／前年度決算額（支出）</t>
  </si>
  <si>
    <t>報告_短期P7-10!CB82</t>
  </si>
  <si>
    <t>家族訪問看護療養費附加金／前年度決算額（支出）</t>
  </si>
  <si>
    <t>報告_短期P7-10!CB83</t>
  </si>
  <si>
    <t>出産費附加金／前年度決算額（支出）</t>
  </si>
  <si>
    <t>報告_短期P7-10!CB84</t>
  </si>
  <si>
    <t>家族出産費附加金／前年度決算額（支出）</t>
  </si>
  <si>
    <t>報告_短期P7-10!CB85</t>
  </si>
  <si>
    <t>埋葬料附加金／前年度決算額（支出）</t>
  </si>
  <si>
    <t>報告_短期P7-10!CB86</t>
  </si>
  <si>
    <t>家族埋葬料附加金／前年度決算額（支出）</t>
  </si>
  <si>
    <t>報告_短期P7-10!CB87</t>
  </si>
  <si>
    <t>傷病手当金附加金／前年度決算額（支出）</t>
  </si>
  <si>
    <t>報告_短期P7-10!CB88</t>
  </si>
  <si>
    <t>前期高齢者納付金／前年度決算額（支出）</t>
  </si>
  <si>
    <t>報告_短期P7-10!CB90</t>
  </si>
  <si>
    <t>後期高齢者支援金／前年度決算額（支出）</t>
  </si>
  <si>
    <t>報告_短期P7-10!CB91</t>
  </si>
  <si>
    <t>退職者給付拠出金／前年度決算額（支出）</t>
  </si>
  <si>
    <t>報告_短期P7-10!CB92</t>
  </si>
  <si>
    <t>出産育児関係事務費拠出金／前年度決算額（支出）</t>
  </si>
  <si>
    <t>報告_短期P7-10!CB93</t>
  </si>
  <si>
    <t>病床転換支援金／前年度決算額（支出）</t>
  </si>
  <si>
    <t>報告_短期P7-10!CB94</t>
  </si>
  <si>
    <t>介護納付金／前年度決算額（支出）</t>
  </si>
  <si>
    <t>報告_短期P7-10!CB95</t>
  </si>
  <si>
    <t>流行初期医療確保拠出金／前年度決算額（支出）</t>
  </si>
  <si>
    <t>報告_短期P7-10!CB96</t>
  </si>
  <si>
    <t>一部負担金払戻金／前年度決算額（支出）</t>
  </si>
  <si>
    <t>報告_短期P7-10!CB97</t>
  </si>
  <si>
    <t>短期任意継続掛金還付金／前年度決算額（支出）</t>
  </si>
  <si>
    <t>報告_短期P7-10!CB98</t>
  </si>
  <si>
    <t>介護任意継続掛金還付金／前年度決算額（支出）</t>
  </si>
  <si>
    <t>報告_短期P7-10!CB99</t>
  </si>
  <si>
    <t>払込金連合会災害給付払込金／前年度決算額（支出）</t>
  </si>
  <si>
    <t>報告_短期P7-10!CB100</t>
  </si>
  <si>
    <t>財政調整払込金／前年度決算額（支出）</t>
  </si>
  <si>
    <t>報告_短期P7-10!CB101</t>
  </si>
  <si>
    <t>拠出金連合会特別調整拠出金／前年度決算額（支出）</t>
  </si>
  <si>
    <t>報告_短期P7-10!CB103</t>
  </si>
  <si>
    <t>育児・介護休業手当金拠出金／前年度決算額（支出）</t>
  </si>
  <si>
    <t>報告_短期P7-10!CB104</t>
  </si>
  <si>
    <t>業務経理へ繰入／前年度決算額（支出）</t>
  </si>
  <si>
    <t>報告_短期P7-10!CB106</t>
  </si>
  <si>
    <t>前期損益修正損（C）／前年度決算額（支出）</t>
  </si>
  <si>
    <t>報告_短期P7-10!CB109</t>
  </si>
  <si>
    <t>本人・入院／前年度医療給付実績・件数</t>
  </si>
  <si>
    <t>報告_短期P7-10!AZ136</t>
  </si>
  <si>
    <t>本人・外来／前年度医療給付実績・件数</t>
  </si>
  <si>
    <t>報告_短期P7-10!AZ137</t>
  </si>
  <si>
    <t>本人・歯科／前年度医療給付実績・件数</t>
  </si>
  <si>
    <t>報告_短期P7-10!AZ138</t>
  </si>
  <si>
    <t>本人・入院時食事療養の給付・入院時生活療養の給付／前年度医療給付実績・件数</t>
  </si>
  <si>
    <t>報告_短期P7-10!AZ139</t>
  </si>
  <si>
    <t>本人・薬剤支給／前年度医療給付実績・件数</t>
  </si>
  <si>
    <t>報告_短期P7-10!AZ141</t>
  </si>
  <si>
    <t>本人・訪問看護療養の給付／前年度医療給付実績・件数</t>
  </si>
  <si>
    <t>報告_短期P7-10!AZ142</t>
  </si>
  <si>
    <t>本人・移送費／前年度医療給付実績・件数</t>
  </si>
  <si>
    <t>報告_短期P7-10!AZ143</t>
  </si>
  <si>
    <t>家族・入院／前年度医療給付実績・件数</t>
  </si>
  <si>
    <t>報告_短期P7-10!AZ145</t>
  </si>
  <si>
    <t>家族・外来／前年度医療給付実績・件数</t>
  </si>
  <si>
    <t>報告_短期P7-10!AZ146</t>
  </si>
  <si>
    <t>家族・歯科／前年度医療給付実績・件数</t>
  </si>
  <si>
    <t>報告_短期P7-10!AZ147</t>
  </si>
  <si>
    <t>家族・入院時食事療養の給付・入院時生活療養の給付／前年度医療給付実績・件数</t>
  </si>
  <si>
    <t>報告_短期P7-10!AZ148</t>
  </si>
  <si>
    <t>家族・薬剤支給／前年度医療給付実績・件数</t>
  </si>
  <si>
    <t>報告_短期P7-10!AZ150</t>
  </si>
  <si>
    <t>家族・訪問看護療養の給付／前年度医療給付実績・件数</t>
  </si>
  <si>
    <t>報告_短期P7-10!AZ151</t>
  </si>
  <si>
    <t>家族・移送費／前年度医療給付実績・件数</t>
  </si>
  <si>
    <t>報告_短期P7-10!AZ152</t>
  </si>
  <si>
    <t>高額療養の給付・高額療養費／前年度医療給付実績・件数</t>
  </si>
  <si>
    <t>報告_短期P7-10!AZ154</t>
  </si>
  <si>
    <t>本人・入院／前年度医療給付実績・日数</t>
  </si>
  <si>
    <t>報告_短期P7-10!BW136</t>
  </si>
  <si>
    <t>本人・外来／前年度医療給付実績・日数</t>
  </si>
  <si>
    <t>報告_短期P7-10!BW137</t>
  </si>
  <si>
    <t>本人・歯科／前年度医療給付実績・日数</t>
  </si>
  <si>
    <t>報告_短期P7-10!BW138</t>
  </si>
  <si>
    <t>本人・入院時食事療養の給付・入院時生活療養の給付／前年度医療給付実績・日数</t>
  </si>
  <si>
    <t>報告_短期P7-10!BW139</t>
  </si>
  <si>
    <t>本人・薬剤支給／前年度医療給付実績・日数</t>
  </si>
  <si>
    <t>報告_短期P7-10!BW141</t>
  </si>
  <si>
    <t>本人・訪問看護療養の給付／前年度医療給付実績・日数</t>
  </si>
  <si>
    <t>報告_短期P7-10!BW142</t>
  </si>
  <si>
    <t>家族・入院／前年度医療給付実績・日数</t>
  </si>
  <si>
    <t>報告_短期P7-10!BW145</t>
  </si>
  <si>
    <t>家族・外来／前年度医療給付実績・日数</t>
  </si>
  <si>
    <t>報告_短期P7-10!BW146</t>
  </si>
  <si>
    <t>家族・歯科／前年度医療給付実績・日数</t>
  </si>
  <si>
    <t>報告_短期P7-10!BW147</t>
  </si>
  <si>
    <t>家族・入院時食事療養の給付・入院時生活療養の給付／前年度医療給付実績・日数</t>
  </si>
  <si>
    <t>報告_短期P7-10!BW148</t>
  </si>
  <si>
    <t>家族・薬剤支給／前年度医療給付実績・日数</t>
  </si>
  <si>
    <t>報告_短期P7-10!BW150</t>
  </si>
  <si>
    <t>家族・訪問看護療養の給付／前年度医療給付実績・日数</t>
  </si>
  <si>
    <t>報告_短期P7-10!BW151</t>
  </si>
  <si>
    <t>本人・入院／前年度医療給付実績・金額</t>
  </si>
  <si>
    <t>報告_短期P7-10!CP136</t>
  </si>
  <si>
    <t>本人・外来／前年度医療給付実績・金額</t>
  </si>
  <si>
    <t>報告_短期P7-10!CP137</t>
  </si>
  <si>
    <t>本人・歯科／前年度医療給付実績・金額</t>
  </si>
  <si>
    <t>報告_短期P7-10!CP138</t>
  </si>
  <si>
    <t>本人・入院時食事療養の給付・入院時生活療養の給付／前年度医療給付実績・金額</t>
  </si>
  <si>
    <t>報告_短期P7-10!CP139</t>
  </si>
  <si>
    <t>本人・薬剤支給／前年度医療給付実績・金額</t>
  </si>
  <si>
    <t>報告_短期P7-10!CP141</t>
  </si>
  <si>
    <t>本人・移送費／前年度医療給付実績・金額</t>
  </si>
  <si>
    <t>報告_短期P7-10!CP143</t>
  </si>
  <si>
    <t>家族・入院／前年度医療給付実績・金額</t>
  </si>
  <si>
    <t>報告_短期P7-10!CP145</t>
  </si>
  <si>
    <t>家族・外来／前年度医療給付実績・金額</t>
  </si>
  <si>
    <t>報告_短期P7-10!CP146</t>
  </si>
  <si>
    <t>家族・歯科／前年度医療給付実績・金額</t>
  </si>
  <si>
    <t>報告_短期P7-10!CP147</t>
  </si>
  <si>
    <t>家族・入院時食事療養の給付・入院時生活療養の給付／前年度医療給付実績・金額</t>
  </si>
  <si>
    <t>報告_短期P7-10!CP148</t>
  </si>
  <si>
    <t>家族・薬剤支給／前年度医療給付実績・金額</t>
  </si>
  <si>
    <t>報告_短期P7-10!CP150</t>
  </si>
  <si>
    <t>前年度組合員数（延べ）</t>
  </si>
  <si>
    <t>報告_短期P11-13!DE28</t>
  </si>
  <si>
    <t>前年度被扶養者数（延べ）</t>
  </si>
  <si>
    <t>報告_短期P11-13!EB28</t>
  </si>
  <si>
    <t>前年度組合員数（平均）</t>
  </si>
  <si>
    <t>報告_短期P11-13!DE66</t>
  </si>
  <si>
    <t>前年度被扶養者数（平均）</t>
  </si>
  <si>
    <t>報告_短期P11-13!EB66</t>
  </si>
  <si>
    <t>前年度繰越支払準備金（＝前年度の次年度繰越支払準備金）</t>
  </si>
  <si>
    <t>短期_決算精算表!G19</t>
  </si>
  <si>
    <t>積立金明細表 前期繰越額／欠損金補てん積立金</t>
  </si>
  <si>
    <t>短期_附属明細表!Q99</t>
  </si>
  <si>
    <t>積立金明細表 前期繰越額／短期積立金</t>
  </si>
  <si>
    <t>短期_附属明細表!Q100</t>
  </si>
  <si>
    <t>積立金明細表 前期繰越額／介護積立金</t>
  </si>
  <si>
    <t>短期_附属明細表!Q101</t>
  </si>
  <si>
    <t>負担金・（標準報酬の月額分）／前年度決算額</t>
  </si>
  <si>
    <t>報告_厚生年金P14!W33</t>
  </si>
  <si>
    <t>負担金・（標準期末手当等分）／前年度決算額</t>
  </si>
  <si>
    <t>報告_厚生年金P14!W34</t>
  </si>
  <si>
    <t>負担金・（公的負担金）／前年度決算額</t>
  </si>
  <si>
    <t>報告_厚生年金P14!W35</t>
  </si>
  <si>
    <t>負担金・（追加費用）／前年度決算額</t>
  </si>
  <si>
    <t>報告_厚生年金P14!W36</t>
  </si>
  <si>
    <t>組合員保険料・（標準報酬の月額分）／前年度決算額</t>
  </si>
  <si>
    <t>報告_厚生年金P14!W38</t>
  </si>
  <si>
    <t>組合員保険料・（標準期末手当等分）／前年度決算額</t>
  </si>
  <si>
    <t>報告_厚生年金P14!W39</t>
  </si>
  <si>
    <t>その他／前年度決算額</t>
  </si>
  <si>
    <t>報告_厚生年金P14!W40</t>
  </si>
  <si>
    <t>報告_厚生年金P14!W57</t>
  </si>
  <si>
    <t>負担金／前年度徴収率</t>
  </si>
  <si>
    <t>報告_厚生年金P14!AG47</t>
  </si>
  <si>
    <t>組合員保険料／前年度徴収率</t>
  </si>
  <si>
    <t>報告_厚生年金P14!AG48</t>
  </si>
  <si>
    <t>合計／前年度徴収率</t>
  </si>
  <si>
    <t>報告_厚生年金P14!AG49</t>
  </si>
  <si>
    <t>報告_退職等年金P15!W20</t>
  </si>
  <si>
    <t>報告_退職等年金P15!W21</t>
  </si>
  <si>
    <t>掛金・（標準報酬の月額分）／前年度決算額</t>
  </si>
  <si>
    <t>報告_退職等年金P15!W23</t>
  </si>
  <si>
    <t>掛金・（標準期末手当等分）／前年度決算額</t>
  </si>
  <si>
    <t>報告_退職等年金P15!W24</t>
  </si>
  <si>
    <t>報告_退職等年金P15!W25</t>
  </si>
  <si>
    <t>報告_退職等年金P15!W42</t>
  </si>
  <si>
    <t>報告_退職等年金P15!AG32</t>
  </si>
  <si>
    <t>掛金／前年度徴収率</t>
  </si>
  <si>
    <t>報告_退職等年金P15!AG33</t>
  </si>
  <si>
    <t>報告_退職等年金P15!AG34</t>
  </si>
  <si>
    <t>報告_経過的長期P16!W26</t>
  </si>
  <si>
    <t>報告_経過的長期P16!W27</t>
  </si>
  <si>
    <t>報告_経過的長期P16!W28</t>
  </si>
  <si>
    <t>負担金・（旧恩給組合条例給付に係る払込金）／前年度決算額</t>
  </si>
  <si>
    <t>報告_経過的長期P16!W29</t>
  </si>
  <si>
    <t>報告_経過的長期P16!W30</t>
  </si>
  <si>
    <t>その他／前年度決算額（支出）</t>
  </si>
  <si>
    <t>報告_経過的長期P16!W44</t>
  </si>
  <si>
    <t>報告_経過的長期P16!AG37</t>
  </si>
  <si>
    <t>利息及び配当金／前年度決算額</t>
  </si>
  <si>
    <t>報告_預託金P17!G8</t>
  </si>
  <si>
    <t>報告_預託金P17!G9</t>
  </si>
  <si>
    <t>報告_預託金P17!G18</t>
  </si>
  <si>
    <t>預金等預金／前年度決算額（資産の構成）</t>
  </si>
  <si>
    <t>報告_預託金のカメラ!F6</t>
  </si>
  <si>
    <t>その他／前年度決算額（資産の構成）</t>
  </si>
  <si>
    <t>報告_預託金のカメラ!F7</t>
  </si>
  <si>
    <t>報告_預託金のカメラ!F10</t>
  </si>
  <si>
    <t>内訳地方公共団体負担金（総額）／組合員１人当たりの額（前年度）</t>
  </si>
  <si>
    <t>報告_業務P18!AJ7</t>
  </si>
  <si>
    <t>地方公共団体負担金のうち短期分／組合員１人当たりの額（前年度）</t>
  </si>
  <si>
    <t>報告_業務P18!AJ8</t>
  </si>
  <si>
    <t>短期経理より繰入／組合員１人当たりの額（前年度）</t>
  </si>
  <si>
    <t>報告_業務P18!AJ9</t>
  </si>
  <si>
    <t>連合会交付金／組合員１人当たりの額（前年度）</t>
  </si>
  <si>
    <t>報告_業務P18!AJ10</t>
  </si>
  <si>
    <t>その他／組合員１人当たりの額（前年度）</t>
  </si>
  <si>
    <t>報告_業務P18!AJ11</t>
  </si>
  <si>
    <t>事務費（連合会交付金）／組合員１人当たりの額（前年度）</t>
  </si>
  <si>
    <t>報告_業務P18!AJ21</t>
  </si>
  <si>
    <t>負担金／前年度決算額（収入）</t>
  </si>
  <si>
    <t>報告_業務P18!V27</t>
  </si>
  <si>
    <t>報告_業務P18!V28</t>
  </si>
  <si>
    <t>利息及び配当金／前年度決算額（収入）</t>
  </si>
  <si>
    <t>報告_業務P18!V29</t>
  </si>
  <si>
    <t>短期経理より繰入／前年度決算額（収入）</t>
  </si>
  <si>
    <t>報告_業務P18!V30</t>
  </si>
  <si>
    <t>その他／前年度決算額（収入）</t>
  </si>
  <si>
    <t>報告_業務P18!V31</t>
  </si>
  <si>
    <t>役員報酬／前年度決算額（支出）</t>
  </si>
  <si>
    <t>報告_業務P19!V5</t>
  </si>
  <si>
    <t>職員給与／前年度決算額（支出）</t>
  </si>
  <si>
    <t>報告_業務P19!V6</t>
  </si>
  <si>
    <t>厚生費／前年度決算額（支出）</t>
  </si>
  <si>
    <t>報告_業務P19!V7</t>
  </si>
  <si>
    <t>旅費／前年度決算額（支出）</t>
  </si>
  <si>
    <t>報告_業務P19!V8</t>
  </si>
  <si>
    <t>事務費／前年度決算額（支出）</t>
  </si>
  <si>
    <t>報告_業務P19!V9</t>
  </si>
  <si>
    <t>賃金／前年度決算額（支出）</t>
  </si>
  <si>
    <t>報告_業務P19!V10</t>
  </si>
  <si>
    <t>委託費／前年度決算額（支出）</t>
  </si>
  <si>
    <t>報告_業務P19!V11</t>
  </si>
  <si>
    <t>会議費／前年度決算額（支出）</t>
  </si>
  <si>
    <t>報告_業務P19!V12</t>
  </si>
  <si>
    <t>光熱水料／前年度決算額（支出）</t>
  </si>
  <si>
    <t>報告_業務P19!V13</t>
  </si>
  <si>
    <t>修繕費／前年度決算額（支出）</t>
  </si>
  <si>
    <t>報告_業務P19!V14</t>
  </si>
  <si>
    <t>賃借料／前年度決算額（支出）</t>
  </si>
  <si>
    <t>報告_業務P19!V15</t>
  </si>
  <si>
    <t>普及費／前年度決算額（支出）</t>
  </si>
  <si>
    <t>報告_業務P19!V16</t>
  </si>
  <si>
    <t>諸謝金／前年度決算額（支出）</t>
  </si>
  <si>
    <t>報告_業務P19!V17</t>
  </si>
  <si>
    <t>負担金／前年度決算額（支出）</t>
  </si>
  <si>
    <t>報告_業務P19!V19</t>
  </si>
  <si>
    <t>連合会分担金／前年度決算額（支出）</t>
  </si>
  <si>
    <t>報告_業務P19!V20</t>
  </si>
  <si>
    <t>事務費負担金払込金／前年度決算額（支出）</t>
  </si>
  <si>
    <t>報告_業務P19!V21</t>
  </si>
  <si>
    <t>減価償却費／前年度決算額（支出）</t>
  </si>
  <si>
    <t>報告_業務P19!V23</t>
  </si>
  <si>
    <t>前期損益修正損／前年度決算額（支出）</t>
  </si>
  <si>
    <t>報告_業務P19!V24</t>
  </si>
  <si>
    <t>固定資産除却損／前年度決算額（支出）</t>
  </si>
  <si>
    <t>報告_業務P19!V25</t>
  </si>
  <si>
    <t>積立金明細表 前期繰越額／積立金</t>
  </si>
  <si>
    <t>業務_附属明細表!Q91</t>
  </si>
  <si>
    <t>固定資産明細表 期首残高／器具及び備品（＝前年度の差引期末残高）</t>
  </si>
  <si>
    <t>業務_附属明細表!S76</t>
  </si>
  <si>
    <t>減価償却累計額明細表 前期繰越額</t>
  </si>
  <si>
    <t>業務_附属明細表!Q115</t>
  </si>
  <si>
    <t>負担金・（標準報酬の月額分）／前年度決算額（収入）</t>
  </si>
  <si>
    <t>報告_保健P20-22!V21</t>
  </si>
  <si>
    <t>負担金・（標準期末手当等分）／前年度決算額（収入）</t>
  </si>
  <si>
    <t>報告_保健P20-22!V22</t>
  </si>
  <si>
    <t>負担金・（特定健診等負担金）／前年度決算額（収入）</t>
  </si>
  <si>
    <t>報告_保健P20-22!V23</t>
  </si>
  <si>
    <t>掛金・（標準報酬の月額分）／前年度決算額（収入）</t>
  </si>
  <si>
    <t>報告_保健P20-22!V25</t>
  </si>
  <si>
    <t>掛金・（標準期末手当等分）／前年度決算額（収入）</t>
  </si>
  <si>
    <t>報告_保健P20-22!V26</t>
  </si>
  <si>
    <t>特定健康診査等収入／前年度決算額（収入）</t>
  </si>
  <si>
    <t>報告_保健P20-22!V27</t>
  </si>
  <si>
    <t>報告_保健P20-22!V28</t>
  </si>
  <si>
    <t>施設収入／前年度決算額（収入）</t>
  </si>
  <si>
    <t>報告_保健P20-22!V29</t>
  </si>
  <si>
    <t>寄附金／前年度決算額（収入）</t>
  </si>
  <si>
    <t>報告_保健P20-22!V30</t>
  </si>
  <si>
    <t>報告_保健P20-22!V31</t>
  </si>
  <si>
    <t>報告_保健P20-22!V32</t>
  </si>
  <si>
    <t>報告_保健P20-22!AE39</t>
  </si>
  <si>
    <t>報告_保健P20-22!AE40</t>
  </si>
  <si>
    <t>報告_保健P20-22!AE41</t>
  </si>
  <si>
    <t>報告_保健P20-22!V46</t>
  </si>
  <si>
    <t>報告_保健P20-22!V47</t>
  </si>
  <si>
    <t>特定健康診査等費／前年度決算額（支出）</t>
  </si>
  <si>
    <t>報告_保健P20-22!V48</t>
  </si>
  <si>
    <t>報告_保健P20-22!V49</t>
  </si>
  <si>
    <t>報告_保健P20-22!V50</t>
  </si>
  <si>
    <t>事業用消耗品費／前年度決算額（支出）</t>
  </si>
  <si>
    <t>報告_保健P20-22!V51</t>
  </si>
  <si>
    <t>報告_保健P20-22!V52</t>
  </si>
  <si>
    <t>報告_保健P20-22!V53</t>
  </si>
  <si>
    <t>報告_保健P20-22!V54</t>
  </si>
  <si>
    <t>報告_保健P20-22!V55</t>
  </si>
  <si>
    <t>洗濯費／前年度決算額（支出）</t>
  </si>
  <si>
    <t>報告_保健P20-22!V56</t>
  </si>
  <si>
    <t>報告_保健P20-22!V57</t>
  </si>
  <si>
    <t>保険料／前年度決算額（支出）</t>
  </si>
  <si>
    <t>報告_保健P20-22!V58</t>
  </si>
  <si>
    <t>報告_保健P20-22!V59</t>
  </si>
  <si>
    <t>報告_保健P20-22!V60</t>
  </si>
  <si>
    <t>報告_保健P20-22!V61</t>
  </si>
  <si>
    <t>報告_保健P20-22!V62</t>
  </si>
  <si>
    <t>報告_保健P20-22!V63</t>
  </si>
  <si>
    <t>報告_保健P20-22!V64</t>
  </si>
  <si>
    <t>保健_附属明細表!Q147</t>
  </si>
  <si>
    <t>組合員貸付金利息／前年度決算額（収入）</t>
  </si>
  <si>
    <t>報告_貸付P23-25!Y6</t>
  </si>
  <si>
    <t>報告_貸付P23-25!Y7</t>
  </si>
  <si>
    <t>報告_貸付P23-25!Y8</t>
  </si>
  <si>
    <t>報告_貸付P23-25!Y15</t>
  </si>
  <si>
    <t>報告_貸付P23-25!Y16</t>
  </si>
  <si>
    <t>報告_貸付P23-25!Y17</t>
  </si>
  <si>
    <t>報告_貸付P23-25!Y18</t>
  </si>
  <si>
    <t>報告_貸付P23-25!Y19</t>
  </si>
  <si>
    <t>報告_貸付P23-25!Y20</t>
  </si>
  <si>
    <t>報告_貸付P23-25!Y21</t>
  </si>
  <si>
    <t>報告_貸付P23-25!Y22</t>
  </si>
  <si>
    <t>報告_貸付P23-25!Y23</t>
  </si>
  <si>
    <t>報告_貸付P23-25!Y24</t>
  </si>
  <si>
    <t>食糧費／前年度決算額（支出）</t>
  </si>
  <si>
    <t>報告_貸付P23-25!Y25</t>
  </si>
  <si>
    <t>報告_貸付P23-25!Y26</t>
  </si>
  <si>
    <t>支払利息／前年度決算額（支出）</t>
  </si>
  <si>
    <t>報告_貸付P23-25!Y27</t>
  </si>
  <si>
    <t>連合会払込金／前年度決算額（支出）</t>
  </si>
  <si>
    <t>報告_貸付P23-25!Y28</t>
  </si>
  <si>
    <t>雑費／前年度決算額（支出）</t>
  </si>
  <si>
    <t>報告_貸付P23-25!Y29</t>
  </si>
  <si>
    <t>報告_貸付P23-25!Y30</t>
  </si>
  <si>
    <t>報告_貸付P23-25!Y31</t>
  </si>
  <si>
    <t>普通貸付／前年度末件数（組合員貸付金）</t>
  </si>
  <si>
    <t>報告_貸付P23-25!AC78</t>
  </si>
  <si>
    <t>住宅貸付／前年度末件数（組合員貸付金）</t>
  </si>
  <si>
    <t>報告_貸付P23-25!AC79</t>
  </si>
  <si>
    <t>在宅介護対応住宅貸付／前年度末件数（組合員貸付金）</t>
  </si>
  <si>
    <t>報告_貸付P23-25!AC80</t>
  </si>
  <si>
    <t>災害貸付家財／前年度末件数（組合員貸付金）</t>
  </si>
  <si>
    <t>報告_貸付P23-25!AC81</t>
  </si>
  <si>
    <t>住宅／前年度末件数（組合員貸付金）</t>
  </si>
  <si>
    <t>報告_貸付P23-25!AC82</t>
  </si>
  <si>
    <t>再貸付／前年度末件数（組合員貸付金）</t>
  </si>
  <si>
    <t>報告_貸付P23-25!AC83</t>
  </si>
  <si>
    <t>特別貸付医療／前年度末件数（組合員貸付金）</t>
  </si>
  <si>
    <t>報告_貸付P23-25!AC85</t>
  </si>
  <si>
    <t>入学／前年度末件数（組合員貸付金）</t>
  </si>
  <si>
    <t>報告_貸付P23-25!AC86</t>
  </si>
  <si>
    <t>修学／前年度末件数（組合員貸付金）</t>
  </si>
  <si>
    <t>報告_貸付P23-25!AC87</t>
  </si>
  <si>
    <t>結婚／前年度末件数（組合員貸付金）</t>
  </si>
  <si>
    <t>報告_貸付P23-25!AC88</t>
  </si>
  <si>
    <t>葬祭／前年度末件数（組合員貸付金）</t>
  </si>
  <si>
    <t>報告_貸付P23-25!AC89</t>
  </si>
  <si>
    <t>出産貸付／前年度末件数（組合員貸付金）</t>
  </si>
  <si>
    <t>報告_貸付P23-25!AC91</t>
  </si>
  <si>
    <t>普通貸付／前年度末金額（組合員貸付金）</t>
  </si>
  <si>
    <t>報告_貸付P23-25!AG78</t>
  </si>
  <si>
    <t>住宅貸付／前年度末金額（組合員貸付金）</t>
  </si>
  <si>
    <t>報告_貸付P23-25!AG79</t>
  </si>
  <si>
    <t>在宅介護対応住宅貸付／前年度末金額（組合員貸付金）</t>
  </si>
  <si>
    <t>報告_貸付P23-25!AG80</t>
  </si>
  <si>
    <t>災害貸付家財／前年度末金額（組合員貸付金）</t>
  </si>
  <si>
    <t>報告_貸付P23-25!AG81</t>
  </si>
  <si>
    <t>住宅／前年度末金額（組合員貸付金）</t>
  </si>
  <si>
    <t>報告_貸付P23-25!AG82</t>
  </si>
  <si>
    <t>再貸付／前年度末金額（組合員貸付金）</t>
  </si>
  <si>
    <t>報告_貸付P23-25!AG83</t>
  </si>
  <si>
    <t>特別貸付医療／前年度末金額（組合員貸付金）</t>
  </si>
  <si>
    <t>報告_貸付P23-25!AG85</t>
  </si>
  <si>
    <t>入学／前年度末金額（組合員貸付金）</t>
  </si>
  <si>
    <t>報告_貸付P23-25!AG86</t>
  </si>
  <si>
    <t>修学／前年度末金額（組合員貸付金）</t>
  </si>
  <si>
    <t>報告_貸付P23-25!AG87</t>
  </si>
  <si>
    <t>結婚／前年度末金額（組合員貸付金）</t>
  </si>
  <si>
    <t>報告_貸付P23-25!AG88</t>
  </si>
  <si>
    <t>葬祭／前年度末金額（組合員貸付金）</t>
  </si>
  <si>
    <t>報告_貸付P23-25!AG89</t>
  </si>
  <si>
    <t>出産貸付／前年度末金額（組合員貸付金）</t>
  </si>
  <si>
    <t>報告_貸付P23-25!AG91</t>
  </si>
  <si>
    <t>修学／前年度末割合（組合員貸付金・端数調整後）</t>
  </si>
  <si>
    <t>報告_貸付P23-25!AO87</t>
  </si>
  <si>
    <t>借入金 前期繰越高（＝前年度の期末残高）</t>
  </si>
  <si>
    <t>貸付_附属明細表!R20</t>
  </si>
  <si>
    <t>器具及び備品 期首残高（＝前年度の差引期末残高）</t>
  </si>
  <si>
    <t>貸付_附属明細表!S76</t>
  </si>
  <si>
    <t>貸付_附属明細表!Q104</t>
  </si>
  <si>
    <t>貸付_附属明細表!Q90</t>
  </si>
  <si>
    <t>貸付_附属明細表!Q97</t>
  </si>
  <si>
    <t>整合性チェック（全171項目の貸借・損益・精算表の照合、全51シートの数式エラー検査）</t>
  </si>
  <si>
    <t>判定基準：左辺と右辺の差額が許容差（金額は0.5円、割合は0.005）未満なら「OK」、それ以外は「NG」を表示します（このシートは帳票の印刷には影響しません）。</t>
  </si>
  <si>
    <t>区分</t>
  </si>
  <si>
    <t>照合内容</t>
  </si>
  <si>
    <t>左辺の値</t>
  </si>
  <si>
    <t>右辺の値</t>
  </si>
  <si>
    <t>差額</t>
  </si>
  <si>
    <t>判定</t>
  </si>
  <si>
    <t>左辺の式</t>
  </si>
  <si>
    <t>右辺の式</t>
  </si>
  <si>
    <t>項目数</t>
  </si>
  <si>
    <t>【短期経理】</t>
  </si>
  <si>
    <t>資産合計＝負債・純資産合計</t>
  </si>
  <si>
    <t>短期_財務諸表!D25</t>
  </si>
  <si>
    <t>短期_財務諸表!H25</t>
  </si>
  <si>
    <t>借方合計＝貸方合計</t>
  </si>
  <si>
    <t>短期_財務諸表!D66</t>
  </si>
  <si>
    <t>短期_財務諸表!H66</t>
  </si>
  <si>
    <t>差引残高：借方合計＝貸方合計</t>
  </si>
  <si>
    <t>短期_決算精算表!A64</t>
  </si>
  <si>
    <t>短期_決算精算表!G64</t>
  </si>
  <si>
    <t>３月分残高：借方合計＝貸方合計</t>
  </si>
  <si>
    <t>短期_決算精算表!C64</t>
  </si>
  <si>
    <t>短期_決算精算表!E64</t>
  </si>
  <si>
    <t>修正増減：借方合計＝貸方合計</t>
  </si>
  <si>
    <t>短期_決算精算表!B64</t>
  </si>
  <si>
    <t>短期_決算精算表!F64</t>
  </si>
  <si>
    <t>附属明細表と財務諸表</t>
  </si>
  <si>
    <t>普通預金：預金明細表＝貸借対照表</t>
  </si>
  <si>
    <t>短期_附属明細表!M9</t>
  </si>
  <si>
    <t>短期_財務諸表!C7</t>
  </si>
  <si>
    <t>定期預金：明細表＝貸借対照表</t>
  </si>
  <si>
    <t>短期_附属明細表!M16</t>
  </si>
  <si>
    <t>短期_財務諸表!C8</t>
  </si>
  <si>
    <t>金銭信託：明細表＝貸借対照表</t>
  </si>
  <si>
    <t>短期_附属明細表!M25</t>
  </si>
  <si>
    <t>短期_財務諸表!C9</t>
  </si>
  <si>
    <t>未収金：明細表＝貸借対照表</t>
  </si>
  <si>
    <t>短期_附属明細表!G49</t>
  </si>
  <si>
    <t>短期_財務諸表!C12</t>
  </si>
  <si>
    <t>支払基金委託金：明細表＝貸借対照表</t>
  </si>
  <si>
    <t>短期_附属明細表!G56</t>
  </si>
  <si>
    <t>短期_財務諸表!C13</t>
  </si>
  <si>
    <t>未払金：明細表＝貸借対照表</t>
  </si>
  <si>
    <t>短期_附属明細表!G75</t>
  </si>
  <si>
    <t>短期_財務諸表!G7</t>
  </si>
  <si>
    <t>預り金：明細表＝決算精算表の差引残高</t>
  </si>
  <si>
    <t>短期_附属明細表!G82</t>
  </si>
  <si>
    <t>短期_決算精算表!G17</t>
  </si>
  <si>
    <t>預り金：明細表＝貸借対照表</t>
  </si>
  <si>
    <t>短期_財務諸表!G8</t>
  </si>
  <si>
    <t>前受収益：明細表＝貸借対照表</t>
  </si>
  <si>
    <t>短期_附属明細表!R92</t>
  </si>
  <si>
    <t>短期_財務諸表!G9</t>
  </si>
  <si>
    <t>欠損金補てん積立金：積立金明細表＝貸借対照表</t>
  </si>
  <si>
    <t>短期_財務諸表!F19</t>
  </si>
  <si>
    <t>短期積立金：積立金明細表＝貸借対照表</t>
  </si>
  <si>
    <t>短期_財務諸表!F20</t>
  </si>
  <si>
    <t>介護積立金：積立金明細表＝貸借対照表</t>
  </si>
  <si>
    <t>短期_財務諸表!F21</t>
  </si>
  <si>
    <t>利益剰余金計算書：短期積立金の期末額＝積立金明細表</t>
  </si>
  <si>
    <t>短期_附属明細表!K118</t>
  </si>
  <si>
    <t>利益剰余金計算書：介護積立金の期末額＝積立金明細表</t>
  </si>
  <si>
    <t>短期_附属明細表!K119</t>
  </si>
  <si>
    <t>支払準備金：決算精算表＝貸借対照表</t>
  </si>
  <si>
    <t>短期_財務諸表!G13</t>
  </si>
  <si>
    <t>決算報告書と財務諸表</t>
  </si>
  <si>
    <t>収入合計＝経常収益＋前年度繰越支払準備金＋特別利益</t>
  </si>
  <si>
    <t>'報告_短期P7-10'!CB30</t>
  </si>
  <si>
    <t>短期_財務諸表!H37+短期_財務諸表!H56+短期_財務諸表!H58</t>
  </si>
  <si>
    <t>支出総計＝経常費用＋業務経理へ繰入＋次年度繰越支払準備金＋特別損失</t>
  </si>
  <si>
    <t>'報告_短期P7-10'!CB110</t>
  </si>
  <si>
    <t>短期_財務諸表!D37+短期_財務諸表!D56+短期_財務諸表!D58+短期_財務諸表!D60</t>
  </si>
  <si>
    <t>収支差＝当期利益金－当期損失金</t>
  </si>
  <si>
    <t>'報告_短期P7-10'!CB111</t>
  </si>
  <si>
    <t>短期_財務諸表!D62-短期_財務諸表!H60</t>
  </si>
  <si>
    <t>保健給付：決算報告書＝損益計算書</t>
  </si>
  <si>
    <t>'報告_短期P7-10'!CB66</t>
  </si>
  <si>
    <t>短期_財務諸表!B39</t>
  </si>
  <si>
    <t>休業給付：決算報告書＝損益計算書</t>
  </si>
  <si>
    <t>'報告_短期P7-10'!CB74</t>
  </si>
  <si>
    <t>短期_財務諸表!B40</t>
  </si>
  <si>
    <t>附加給付：決算報告書＝損益計算書</t>
  </si>
  <si>
    <t>'報告_短期P7-10'!CB89</t>
  </si>
  <si>
    <t>短期_財務諸表!B42</t>
  </si>
  <si>
    <t>前期高齢者納付金：決算報告書＝損益計算書</t>
  </si>
  <si>
    <t>'報告_短期P7-10'!CB90</t>
  </si>
  <si>
    <t>短期_財務諸表!B43</t>
  </si>
  <si>
    <t>後期高齢者支援金：決算報告書＝損益計算書</t>
  </si>
  <si>
    <t>'報告_短期P7-10'!CB91</t>
  </si>
  <si>
    <t>短期_財務諸表!B44</t>
  </si>
  <si>
    <t>介護納付金：決算報告書＝損益計算書</t>
  </si>
  <si>
    <t>'報告_短期P7-10'!CB95</t>
  </si>
  <si>
    <t>短期_財務諸表!B48</t>
  </si>
  <si>
    <t>連合会払込金：決算報告書＝損益計算書</t>
  </si>
  <si>
    <t>'報告_短期P7-10'!CB102</t>
  </si>
  <si>
    <t>短期_財務諸表!B53</t>
  </si>
  <si>
    <t>連合会拠出金：決算報告書＝損益計算書</t>
  </si>
  <si>
    <t>'報告_短期P7-10'!CB105</t>
  </si>
  <si>
    <t>短期_財務諸表!B54</t>
  </si>
  <si>
    <t>短期掛金：決算報告書＝損益計算書</t>
  </si>
  <si>
    <t>'報告_短期P7-10'!CB8</t>
  </si>
  <si>
    <t>短期_財務諸表!F41</t>
  </si>
  <si>
    <t>短期負担金＋公的負担金：決算報告書＝損益計算書</t>
  </si>
  <si>
    <t>'報告_短期P7-10'!CB5+'報告_短期P7-10'!CB6</t>
  </si>
  <si>
    <t>短期_財務諸表!F39</t>
  </si>
  <si>
    <t>内訳と総額</t>
  </si>
  <si>
    <t>グラフ用割合（収入）の合計＝100</t>
  </si>
  <si>
    <t>'報告_P8グラフデータ'!C11</t>
  </si>
  <si>
    <t>定数 100（100.00%）</t>
  </si>
  <si>
    <t>グラフ用割合（支出）の合計＝100</t>
  </si>
  <si>
    <t>'報告_P8グラフデータ'!C22</t>
  </si>
  <si>
    <t>期首＋増減＝期末</t>
  </si>
  <si>
    <t>欠損金補てん積立金：前期繰越＋当期増加－当期減少＝貸借対照表計上額</t>
  </si>
  <si>
    <t>短期_附属明細表!E99+短期_附属明細表!I99-短期_附属明細表!M99</t>
  </si>
  <si>
    <t>短期積立金：前期繰越＋当期増加－当期減少＝貸借対照表計上額</t>
  </si>
  <si>
    <t>短期_附属明細表!E100+短期_附属明細表!I100-短期_附属明細表!M100</t>
  </si>
  <si>
    <t>介護積立金：前期繰越＋当期増加－当期減少＝貸借対照表計上額</t>
  </si>
  <si>
    <t>短期_附属明細表!E101+短期_附属明細表!I101-短期_附属明細表!M101</t>
  </si>
  <si>
    <t>支払準備金：前年度繰越（精算表）＝損益計算書の前年度繰越支払準備金</t>
  </si>
  <si>
    <t>短期_決算精算表!B19</t>
  </si>
  <si>
    <t>短期_財務諸表!G57</t>
  </si>
  <si>
    <t>【厚生年金保険経理】</t>
  </si>
  <si>
    <t>厚生_貸借・損益!F12</t>
  </si>
  <si>
    <t>厚生_貸借・損益!M12</t>
  </si>
  <si>
    <t>厚生_貸借・損益!F26</t>
  </si>
  <si>
    <t>厚生_貸借・損益!M26</t>
  </si>
  <si>
    <t>厚生_決算精算表!A22</t>
  </si>
  <si>
    <t>厚生_決算精算表!G22</t>
  </si>
  <si>
    <t>厚生_決算精算表!C22</t>
  </si>
  <si>
    <t>厚生_決算精算表!E22</t>
  </si>
  <si>
    <t>修正：借方合計＝貸方合計</t>
  </si>
  <si>
    <t>厚生_決算精算表!B22</t>
  </si>
  <si>
    <t>厚生_決算精算表!F22</t>
  </si>
  <si>
    <t>厚生_預金・立替・未収!E11</t>
  </si>
  <si>
    <t>厚生_貸借・損益!E8</t>
  </si>
  <si>
    <t>厚生_預金・立替・未収!C19</t>
  </si>
  <si>
    <t>厚生_貸借・損益!E9</t>
  </si>
  <si>
    <t>厚生_預金・立替・未収!C30</t>
  </si>
  <si>
    <t>厚生_貸借・損益!L8</t>
  </si>
  <si>
    <t>厚生_預金・立替・未収!C38</t>
  </si>
  <si>
    <t>厚生_貸借・損益!L9</t>
  </si>
  <si>
    <t>収入合計：決算報告書＝損益計算書（収益）</t>
  </si>
  <si>
    <t>報告_厚生年金P14!W41</t>
  </si>
  <si>
    <t>支出合計：決算報告書＝損益計算書（費用）</t>
  </si>
  <si>
    <t>報告_厚生年金P14!W58</t>
  </si>
  <si>
    <t>負担金払込金：決算報告書＝損益計算書</t>
  </si>
  <si>
    <t>報告_厚生年金P14!W55</t>
  </si>
  <si>
    <t>厚生_貸借・損益!D23</t>
  </si>
  <si>
    <t>組合員保険料払込金：決算報告書＝損益計算書</t>
  </si>
  <si>
    <t>報告_厚生年金P14!W56</t>
  </si>
  <si>
    <t>厚生_貸借・損益!D24</t>
  </si>
  <si>
    <t>負担金の内訳（４区分）の合計＝負担金</t>
  </si>
  <si>
    <t>報告_厚生年金P14!W33+報告_厚生年金P14!W34+報告_厚生年金P14!W35+報告_厚生年金P14!W36</t>
  </si>
  <si>
    <t>厚生_貸借・損益!K23</t>
  </si>
  <si>
    <t>【退職等年金経理】</t>
  </si>
  <si>
    <t>退職等_貸借・損益!F12</t>
  </si>
  <si>
    <t>退職等_貸借・損益!M12</t>
  </si>
  <si>
    <t>退職等_貸借・損益!F26</t>
  </si>
  <si>
    <t>退職等_貸借・損益!M26</t>
  </si>
  <si>
    <t>退職等_決算精算表!A22</t>
  </si>
  <si>
    <t>退職等_決算精算表!G22</t>
  </si>
  <si>
    <t>退職等_決算精算表!C22</t>
  </si>
  <si>
    <t>退職等_決算精算表!E22</t>
  </si>
  <si>
    <t>退職等_決算精算表!B22</t>
  </si>
  <si>
    <t>退職等_決算精算表!F22</t>
  </si>
  <si>
    <t>退職等_預金・立替・未収!E8</t>
  </si>
  <si>
    <t>退職等_貸借・損益!E8</t>
  </si>
  <si>
    <t>退職等_預金・立替・未収!C16</t>
  </si>
  <si>
    <t>退職等_貸借・損益!E9</t>
  </si>
  <si>
    <t>退職等_預金・立替・未収!C26</t>
  </si>
  <si>
    <t>退職等_貸借・損益!L8</t>
  </si>
  <si>
    <t>預り金：明細表＝貸借対照表（過払金等返還金0円確認・数式連動済）</t>
  </si>
  <si>
    <t>退職等_預金・立替・未収!C34</t>
  </si>
  <si>
    <t>退職等_貸借・損益!L9</t>
  </si>
  <si>
    <t>報告_退職等年金P15!W26</t>
  </si>
  <si>
    <t>報告_退職等年金P15!W43</t>
  </si>
  <si>
    <t>報告_退職等年金P15!W40</t>
  </si>
  <si>
    <t>退職等_貸借・損益!D23</t>
  </si>
  <si>
    <t>掛金払込金：決算報告書＝損益計算書</t>
  </si>
  <si>
    <t>報告_退職等年金P15!W41</t>
  </si>
  <si>
    <t>退職等_貸借・損益!D24</t>
  </si>
  <si>
    <t>【経過的長期経理】</t>
  </si>
  <si>
    <t>経過的_貸借・損益!F12</t>
  </si>
  <si>
    <t>経過的_貸借・損益!M12</t>
  </si>
  <si>
    <t>経過的_貸借・損益!F25</t>
  </si>
  <si>
    <t>経過的_貸借・損益!M25</t>
  </si>
  <si>
    <t>経過的_決算精算表!A19</t>
  </si>
  <si>
    <t>経過的_決算精算表!G19</t>
  </si>
  <si>
    <t>経過的_決算精算表!C19</t>
  </si>
  <si>
    <t>経過的_決算精算表!E19</t>
  </si>
  <si>
    <t>経過的_決算精算表!B19</t>
  </si>
  <si>
    <t>経過的_決算精算表!F19</t>
  </si>
  <si>
    <t>経過的_預金・立替・未収!E8</t>
  </si>
  <si>
    <t>経過的_貸借・損益!E8</t>
  </si>
  <si>
    <t>経過的_預金・立替・未収!C16</t>
  </si>
  <si>
    <t>経過的_貸借・損益!E9</t>
  </si>
  <si>
    <t>経過的_預金・立替・未収!C23</t>
  </si>
  <si>
    <t>経過的_貸借・損益!L8</t>
  </si>
  <si>
    <t>報告_経過的長期P16!W31</t>
  </si>
  <si>
    <t>報告_経過的長期P16!W45</t>
  </si>
  <si>
    <t>【退職等年金預託金管理経理】</t>
  </si>
  <si>
    <t>預託金_貸借・損益!F15</t>
  </si>
  <si>
    <t>預託金_貸借・損益!M15</t>
  </si>
  <si>
    <t>預託金_貸借・損益!F30</t>
  </si>
  <si>
    <t>預託金_貸借・損益!M30</t>
  </si>
  <si>
    <t>預託金_決算精算表!A20</t>
  </si>
  <si>
    <t>預託金_決算精算表!G20</t>
  </si>
  <si>
    <t>預託金_決算精算表!C20</t>
  </si>
  <si>
    <t>預託金_決算精算表!E20</t>
  </si>
  <si>
    <t>預託金_決算精算表!B20</t>
  </si>
  <si>
    <t>預託金_決算精算表!F20</t>
  </si>
  <si>
    <t>預託金_預金・未収・貸付・預託金!F8</t>
  </si>
  <si>
    <t>預託金_貸借・損益!E8</t>
  </si>
  <si>
    <t>未収収益：明細表＝貸借対照表</t>
  </si>
  <si>
    <t>預託金_預金・未収・貸付・預託金!C15</t>
  </si>
  <si>
    <t>預託金_貸借・損益!E9</t>
  </si>
  <si>
    <t>長期貸付金：貸付金明細表＝貸借対照表</t>
  </si>
  <si>
    <t>預託金_預金・未収・貸付・預託金!M22</t>
  </si>
  <si>
    <t>預託金_貸借・損益!E13</t>
  </si>
  <si>
    <t>連合会預託金：明細表＝貸借対照表</t>
  </si>
  <si>
    <t>預託金_預金・未収・貸付・預託金!M29</t>
  </si>
  <si>
    <t>預託金_貸借・損益!L8</t>
  </si>
  <si>
    <t>報告_預託金P17!G10</t>
  </si>
  <si>
    <t>報告_預託金P17!G19</t>
  </si>
  <si>
    <t>資産の構成割合：決算額合計＝貸借対照表の資産合計</t>
  </si>
  <si>
    <t>報告_預託金のカメラ!F12</t>
  </si>
  <si>
    <t>貸付金：前期繰越＋増加－減少＝期末残高</t>
  </si>
  <si>
    <t>預託金_預金・未収・貸付・預託金!C21+預託金_預金・未収・貸付・預託金!F21-預託金_預金・未収・貸付・預託金!I21</t>
  </si>
  <si>
    <t>預託金_預金・未収・貸付・預託金!M21</t>
  </si>
  <si>
    <t>貸付金（期末）＝貸付経理の借入金（期末）</t>
  </si>
  <si>
    <t>連合会預託金：前期繰越＋増加－減少＝期末残高</t>
  </si>
  <si>
    <t>預託金_預金・未収・貸付・預託金!C28+預託金_預金・未収・貸付・預託金!F28-預託金_預金・未収・貸付・預託金!I28</t>
  </si>
  <si>
    <t>預託金_預金・未収・貸付・預託金!M28</t>
  </si>
  <si>
    <t>【業務経理】</t>
  </si>
  <si>
    <t>業務_財務諸表!D25</t>
  </si>
  <si>
    <t>業務_財務諸表!H25</t>
  </si>
  <si>
    <t>業務_財務諸表!D59</t>
  </si>
  <si>
    <t>業務_財務諸表!H59</t>
  </si>
  <si>
    <t>業務_決算精算表!A48</t>
  </si>
  <si>
    <t>業務_決算精算表!G48</t>
  </si>
  <si>
    <t>業務_決算精算表!C48</t>
  </si>
  <si>
    <t>業務_決算精算表!E48</t>
  </si>
  <si>
    <t>業務_決算精算表!B48</t>
  </si>
  <si>
    <t>業務_決算精算表!F48</t>
  </si>
  <si>
    <t>業務_附属明細表!M6</t>
  </si>
  <si>
    <t>業務_財務諸表!C7</t>
  </si>
  <si>
    <t>立替金：明細表＝貸借対照表</t>
  </si>
  <si>
    <t>業務_附属明細表!G14</t>
  </si>
  <si>
    <t>業務_財務諸表!C8</t>
  </si>
  <si>
    <t>業務_附属明細表!G32</t>
  </si>
  <si>
    <t>業務_財務諸表!C9</t>
  </si>
  <si>
    <t>業務_附属明細表!G46</t>
  </si>
  <si>
    <t>業務_財務諸表!G7</t>
  </si>
  <si>
    <t>未払費用：明細表＝貸借対照表</t>
  </si>
  <si>
    <t>業務_附属明細表!G54</t>
  </si>
  <si>
    <t>業務_財務諸表!G8</t>
  </si>
  <si>
    <t>業務_附属明細表!G62</t>
  </si>
  <si>
    <t>業務_財務諸表!G9</t>
  </si>
  <si>
    <t>受入保証金：明細表＝貸借対照表</t>
  </si>
  <si>
    <t>業務_附属明細表!G69</t>
  </si>
  <si>
    <t>業務_財務諸表!G10</t>
  </si>
  <si>
    <t>器具及び備品：固定資産明細表＝貸借対照表</t>
  </si>
  <si>
    <t>業務_附属明細表!S77</t>
  </si>
  <si>
    <t>業務_財務諸表!B14</t>
  </si>
  <si>
    <t>積立金：積立金明細表＝貸借対照表</t>
  </si>
  <si>
    <t>業務_附属明細表!Q92</t>
  </si>
  <si>
    <t>業務_財務諸表!F16</t>
  </si>
  <si>
    <t>減価償却累計額：累計額明細表＝減価償却費明細表の償却累計額</t>
  </si>
  <si>
    <t>業務_附属明細表!Q116</t>
  </si>
  <si>
    <t>業務_附属明細表!K85</t>
  </si>
  <si>
    <t>減価償却費：固定資産明細表＝損益計算書</t>
  </si>
  <si>
    <t>業務_附属明細表!P77</t>
  </si>
  <si>
    <t>業務_財務諸表!B52</t>
  </si>
  <si>
    <t>収入合計：決算報告書＝経常収益＋繰入金＋特別利益</t>
  </si>
  <si>
    <t>報告_業務P18!V32</t>
  </si>
  <si>
    <t>業務_財務諸表!H36+業務_財務諸表!H46+業務_財務諸表!H49</t>
  </si>
  <si>
    <t>支出合計：決算報告書＝経常費用＋特別損失</t>
  </si>
  <si>
    <t>報告_業務P19!V26</t>
  </si>
  <si>
    <t>業務_財務諸表!D36+業務_財務諸表!D53</t>
  </si>
  <si>
    <t>短期経理より繰入：業務経理の収益＝短期経理の費用</t>
  </si>
  <si>
    <t>業務_財務諸表!G47</t>
  </si>
  <si>
    <t>短期_財務諸表!C57</t>
  </si>
  <si>
    <t>積立金：前期繰越＋当期増加－当期減少＝貸借対照表計上額</t>
  </si>
  <si>
    <t>業務_附属明細表!E91+業務_附属明細表!I91-業務_附属明細表!M91</t>
  </si>
  <si>
    <t>器具及び備品：期首残高＋増加－減少＝取得原価－前期繰越減価償却累計額</t>
  </si>
  <si>
    <t>業務_附属明細表!M77</t>
  </si>
  <si>
    <t>業務_附属明細表!F85-業務_附属明細表!E115</t>
  </si>
  <si>
    <t>【保健経理】</t>
  </si>
  <si>
    <t>保健_財務諸表!D27</t>
  </si>
  <si>
    <t>保健_財務諸表!H27</t>
  </si>
  <si>
    <t>保健_財務諸表!D62</t>
  </si>
  <si>
    <t>保健_財務諸表!H62</t>
  </si>
  <si>
    <t>保健_決算精算表!A54</t>
  </si>
  <si>
    <t>保健_決算精算表!G54</t>
  </si>
  <si>
    <t>保健_決算精算表!C54</t>
  </si>
  <si>
    <t>保健_決算精算表!E54</t>
  </si>
  <si>
    <t>保健_決算精算表!B54</t>
  </si>
  <si>
    <t>保健_決算精算表!F54</t>
  </si>
  <si>
    <t>保健_附属明細表!M6</t>
  </si>
  <si>
    <t>保健_財務諸表!C7</t>
  </si>
  <si>
    <t>保健_附属明細表!M13</t>
  </si>
  <si>
    <t>保健_財務諸表!C8</t>
  </si>
  <si>
    <t>保健_附属明細表!M20</t>
  </si>
  <si>
    <t>保健_財務諸表!C9</t>
  </si>
  <si>
    <t>保健_附属明細表!G43</t>
  </si>
  <si>
    <t>保健_財務諸表!C12</t>
  </si>
  <si>
    <t>保健_附属明細表!G61</t>
  </si>
  <si>
    <t>保健_財務諸表!G7</t>
  </si>
  <si>
    <t>保健_附属明細表!G70</t>
  </si>
  <si>
    <t>保健_財務諸表!G8</t>
  </si>
  <si>
    <t>保健_附属明細表!G79</t>
  </si>
  <si>
    <t>保健_財務諸表!G9</t>
  </si>
  <si>
    <t>積立金等：積立金明細表の合計＝貸借対照表の剰余金</t>
  </si>
  <si>
    <t>保健_附属明細表!Q148</t>
  </si>
  <si>
    <t>保健_財務諸表!H14</t>
  </si>
  <si>
    <t>収入合計：決算報告書＝経常収益＋特別利益</t>
  </si>
  <si>
    <t>'報告_保健P20-22'!V33</t>
  </si>
  <si>
    <t>保健_財務諸表!H37+保健_財務諸表!H46</t>
  </si>
  <si>
    <t>'報告_保健P20-22'!V65</t>
  </si>
  <si>
    <t>保健_財務諸表!D37+保健_財務諸表!D55</t>
  </si>
  <si>
    <t>事業の概要：決算額の合計＝支出の決算額合計</t>
  </si>
  <si>
    <t>'報告_保健P20-22'!X98</t>
  </si>
  <si>
    <t>事業の概要：事業計画額の合計＝支出の事業計画額合計</t>
  </si>
  <si>
    <t>'報告_保健P20-22'!P98</t>
  </si>
  <si>
    <t>'報告_保健P20-22'!M65</t>
  </si>
  <si>
    <t>保健_附属明細表!E147+保健_附属明細表!I147-保健_附属明細表!M147</t>
  </si>
  <si>
    <t>減価償却費：減価償却費明細表の当期償却額＝損益計算書</t>
  </si>
  <si>
    <t>保健_附属明細表!I116</t>
  </si>
  <si>
    <t>N(保健_財務諸表!B54)</t>
  </si>
  <si>
    <t>有形固定資産：固定資産明細表の差引期末残高＝貸借対照表</t>
  </si>
  <si>
    <t>保健_附属明細表!S95</t>
  </si>
  <si>
    <t>保健_財務諸表!C15</t>
  </si>
  <si>
    <t>【貸付経理】</t>
  </si>
  <si>
    <t>貸付_財務諸表!D25</t>
  </si>
  <si>
    <t>貸付_財務諸表!H25</t>
  </si>
  <si>
    <t>貸付_財務諸表!D58</t>
  </si>
  <si>
    <t>貸付_財務諸表!H58</t>
  </si>
  <si>
    <t>差引残高：借方合計＝貸方合計（前受収益は精算表に行がないため貸方に加算）</t>
  </si>
  <si>
    <t>貸付_決算精算表!A39</t>
  </si>
  <si>
    <t>貸付_決算精算表!G39+貸付_附属明細表!G70</t>
  </si>
  <si>
    <t>貸付_決算精算表!C39</t>
  </si>
  <si>
    <t>貸付_決算精算表!E39</t>
  </si>
  <si>
    <t>修正増減：借方合計＝貸方合計（前受収益分を貸方に加算）</t>
  </si>
  <si>
    <t>貸付_決算精算表!B39</t>
  </si>
  <si>
    <t>貸付_決算精算表!F39+貸付_附属明細表!G70</t>
  </si>
  <si>
    <t>貸付_附属明細表!M6</t>
  </si>
  <si>
    <t>貸付_財務諸表!C7</t>
  </si>
  <si>
    <t>貸付_附属明細表!G29</t>
  </si>
  <si>
    <t>貸付_財務諸表!C8</t>
  </si>
  <si>
    <t>貸付_附属明細表!G37</t>
  </si>
  <si>
    <t>貸付_財務諸表!C9</t>
  </si>
  <si>
    <t>貸付_附属明細表!G47</t>
  </si>
  <si>
    <t>貸付_財務諸表!G7</t>
  </si>
  <si>
    <t>貸付_附属明細表!G55</t>
  </si>
  <si>
    <t>貸付_財務諸表!G8</t>
  </si>
  <si>
    <t>貸付_附属明細表!G62</t>
  </si>
  <si>
    <t>貸付_財務諸表!G9</t>
  </si>
  <si>
    <t>貸付_附属明細表!G70</t>
  </si>
  <si>
    <t>貸付_財務諸表!G10</t>
  </si>
  <si>
    <t>長期借入金：借入金明細表＝貸借対照表</t>
  </si>
  <si>
    <t>貸付_財務諸表!G13</t>
  </si>
  <si>
    <t>貸付_附属明細表!S77</t>
  </si>
  <si>
    <t>貸付_財務諸表!B14</t>
  </si>
  <si>
    <t>組合員貸付金：明細表の期末残高±未収・前受＝貸借対照表</t>
  </si>
  <si>
    <t>貸付_附属明細表!R13-貸付_附属明細表!G28-貸付_附属明細表!G35+貸付_附属明細表!G68</t>
  </si>
  <si>
    <t>貸付_財務諸表!B19</t>
  </si>
  <si>
    <t>利益剰余金：積立金明細表＝貸借対照表</t>
  </si>
  <si>
    <t>貸付_附属明細表!Q91</t>
  </si>
  <si>
    <t>貸付_財務諸表!H18</t>
  </si>
  <si>
    <t>欠損金補てん積立金：積立金明細表＝貸借対照表の表示額（数式連動済）</t>
  </si>
  <si>
    <t>貸付_財務諸表!F20</t>
  </si>
  <si>
    <t>収入合計：決算報告書＝経常収益</t>
  </si>
  <si>
    <t>'報告_貸付P23-25'!Y9</t>
  </si>
  <si>
    <t>貸付_財務諸表!H35</t>
  </si>
  <si>
    <t>'報告_貸付P23-25'!Y32</t>
  </si>
  <si>
    <t>貸付_財務諸表!D35+貸付_財務諸表!D49</t>
  </si>
  <si>
    <t>貸付金総額（本年度末）：決算報告書＝貸借対照表</t>
  </si>
  <si>
    <t>'報告_貸付P23-25'!AL40</t>
  </si>
  <si>
    <t>組合員貸付金の種類別内訳（本年度末）の合計＝貸付金明細表の期末残高</t>
  </si>
  <si>
    <t>'報告_貸付P23-25'!AG92</t>
  </si>
  <si>
    <t>貸付_附属明細表!R13</t>
  </si>
  <si>
    <t>組合員貸付金の種類別内訳（前年度末）の合計＝貸付金明細表の前期繰越高</t>
  </si>
  <si>
    <t>'報告_貸付P23-25'!Q92</t>
  </si>
  <si>
    <t>貸付_附属明細表!F13</t>
  </si>
  <si>
    <t>組合員貸付金：前期繰越＋当期増加－当期減少＝期末残高</t>
  </si>
  <si>
    <t>貸付_附属明細表!F13+貸付_附属明細表!J13-貸付_附属明細表!N13</t>
  </si>
  <si>
    <t>借入金：前期繰越＋当期増加－当期減少＝期末残高</t>
  </si>
  <si>
    <t>貸付_附属明細表!F20+貸付_附属明細表!J20-貸付_附属明細表!N20</t>
  </si>
  <si>
    <t>欠損金補てん積立金：前期繰越＋当期増加－当期減少＝計上額</t>
  </si>
  <si>
    <t>貸付_附属明細表!E91+貸付_附属明細表!I91-貸付_附属明細表!M91</t>
  </si>
  <si>
    <t>器具及び備品：期末残高（償却前）＝取得原価－前期繰越減価償却累計額</t>
  </si>
  <si>
    <t>貸付_附属明細表!M77</t>
  </si>
  <si>
    <t>貸付_附属明細表!F84-貸付_附属明細表!E105</t>
  </si>
  <si>
    <t>貸付_附属明細表!H84</t>
  </si>
  <si>
    <t>N(貸付_財務諸表!B47)</t>
  </si>
  <si>
    <t>【ブック全体】</t>
  </si>
  <si>
    <t>数式エラー・外部リンク</t>
  </si>
  <si>
    <t>数式エラー：参照エラー（REF）の件数</t>
  </si>
  <si>
    <t>下の「シート別の検査」の合計</t>
  </si>
  <si>
    <t>数式エラー：値エラー（VALUE）の件数</t>
  </si>
  <si>
    <t>数式エラー：0除算（DIV/0）の件数</t>
  </si>
  <si>
    <t>数式エラー：名前エラー（NAME）の件数</t>
  </si>
  <si>
    <t>数式エラー：その他（N/A・NUM等）の件数</t>
  </si>
  <si>
    <t>外部ブックを参照する数式の件数（数式中の「[ファイル名]」を検索）</t>
  </si>
  <si>
    <t>前年度貼付シートの貼付欄（E列）に空欄がない</t>
  </si>
  <si>
    <t>前年度貼付!E列</t>
  </si>
  <si>
    <t>年度・日付</t>
  </si>
  <si>
    <t>入力ガイドの年度・日付が正しく入力されている（年度1～99、月1～12、日1～31）</t>
  </si>
  <si>
    <t>入力ガイド!C6:C9</t>
  </si>
  <si>
    <t>支出実績表と精算表</t>
  </si>
  <si>
    <t>支出実績表：支出済額＋支出未済額＝決算精算表（役員報酬・職員給与・旅費・事務費）</t>
  </si>
  <si>
    <t>業務_附属明細表!J126+O126</t>
  </si>
  <si>
    <t>業務_決算精算表!A21+A22+A24+A25</t>
  </si>
  <si>
    <t>支出実績表：支出済額＋支出未済額＝決算精算表（職員給与・旅費・事務費）</t>
  </si>
  <si>
    <t>保健_附属明細表!J139+O139</t>
  </si>
  <si>
    <t>保健_決算精算表!A27+旅費+A30</t>
  </si>
  <si>
    <t>貸付_附属明細表!J115+O115</t>
  </si>
  <si>
    <t>貸付_決算精算表!A21+A23+A24</t>
  </si>
  <si>
    <t>グラフデータと報告書</t>
  </si>
  <si>
    <t>P8グラフ元データ（収入・支出1人当たり金額合計）＝算出値合計</t>
  </si>
  <si>
    <t>報告_P8グラフデータ!B11+B22</t>
  </si>
  <si>
    <t>ROUND(G11,0)+ROUND(G22,0)</t>
  </si>
  <si>
    <t>シート別の検査（数式エラーの件数・外部参照の件数）※入力ガイドとこのシートは自己参照になるため対象外</t>
  </si>
  <si>
    <t>参照エラー(REF)</t>
  </si>
  <si>
    <t>値エラー(VALUE)</t>
  </si>
  <si>
    <t>0除算(DIV/0)</t>
  </si>
  <si>
    <t>名前エラー(NAME)</t>
  </si>
  <si>
    <t>その他エラー</t>
  </si>
  <si>
    <t>外部参照</t>
  </si>
  <si>
    <t>検査範囲</t>
  </si>
  <si>
    <t>入力セル一覧</t>
  </si>
  <si>
    <t>A1:G843</t>
  </si>
  <si>
    <t>A1:G332</t>
  </si>
  <si>
    <t>表紙等</t>
  </si>
  <si>
    <t>A1:G188</t>
  </si>
  <si>
    <t>A1:O46</t>
  </si>
  <si>
    <t>A1:Y67</t>
  </si>
  <si>
    <t>A1:BA95</t>
  </si>
  <si>
    <t>A1:AM31</t>
  </si>
  <si>
    <t>A1:FP160</t>
  </si>
  <si>
    <t>A1:HT122</t>
  </si>
  <si>
    <t>A1:H27</t>
  </si>
  <si>
    <t>A1:BF58</t>
  </si>
  <si>
    <t>A1:BF43</t>
  </si>
  <si>
    <t>A1:BF45</t>
  </si>
  <si>
    <t>A1:J28</t>
  </si>
  <si>
    <t>A1:M15</t>
  </si>
  <si>
    <t>A1:BN32</t>
  </si>
  <si>
    <t>A1:BH60</t>
  </si>
  <si>
    <t>A1:BQ103</t>
  </si>
  <si>
    <t>A1:BO129</t>
  </si>
  <si>
    <t>報告_白紙P26</t>
  </si>
  <si>
    <t>A1:A1</t>
  </si>
  <si>
    <t>A1:M67</t>
  </si>
  <si>
    <t>A1:V119</t>
  </si>
  <si>
    <t>A1:I69</t>
  </si>
  <si>
    <t>厚生_貸借・損益</t>
  </si>
  <si>
    <t>A1:M26</t>
  </si>
  <si>
    <t>A1:I38</t>
  </si>
  <si>
    <t>A1:G26</t>
  </si>
  <si>
    <t>厚生_白紙</t>
  </si>
  <si>
    <t>A1:I34</t>
  </si>
  <si>
    <t>退職等_白紙</t>
  </si>
  <si>
    <t>経過的_貸借・損益</t>
  </si>
  <si>
    <t>A1:M25</t>
  </si>
  <si>
    <t>A1:I23</t>
  </si>
  <si>
    <t>A1:G23</t>
  </si>
  <si>
    <t>経過的_白紙</t>
  </si>
  <si>
    <t>預託金_貸借・損益</t>
  </si>
  <si>
    <t>A1:M30</t>
  </si>
  <si>
    <t>A1:O29</t>
  </si>
  <si>
    <t>A1:G24</t>
  </si>
  <si>
    <t>預託金_白紙</t>
  </si>
  <si>
    <t>業務_財務諸表</t>
  </si>
  <si>
    <t>A1:H59</t>
  </si>
  <si>
    <t>A1:Y150</t>
  </si>
  <si>
    <t>A1:G54</t>
  </si>
  <si>
    <t>業務_白紙</t>
  </si>
  <si>
    <t>保健_財務諸表</t>
  </si>
  <si>
    <t>A1:K62</t>
  </si>
  <si>
    <t>A1:AA167</t>
  </si>
  <si>
    <t>A1:G59</t>
  </si>
  <si>
    <t>A1:D86</t>
  </si>
  <si>
    <t>A1:H58</t>
  </si>
  <si>
    <t>貸付_附属明細表</t>
  </si>
  <si>
    <t>A1:V125</t>
  </si>
  <si>
    <t>A1:G45</t>
  </si>
  <si>
    <t>貸付_白紙</t>
  </si>
  <si>
    <t>貸付経理 入力シート ― 黄色の入力欄に入力すると、財務諸表・明細表・精算表・報告書へ転記されます</t>
  </si>
  <si>
    <t>※金額は円単位（空欄は0円として計算されます）。灰色の「連動」セルは数式が入っているため直接入力しないでください。</t>
  </si>
  <si>
    <t>項目名</t>
  </si>
  <si>
    <t>金額・設定値（黄色の欄のみ入力）</t>
  </si>
  <si>
    <t>自動連動・反映先シート</t>
  </si>
  <si>
    <t>連動</t>
  </si>
  <si>
    <t>対象年度（入力ガイドC6から自動連動）</t>
  </si>
  <si>
    <t>精算表の作成日・審査年（入力ガイドC7から自動連動）</t>
  </si>
  <si>
    <t>精算表の作成日・審査月（入力ガイドC8から自動連動）</t>
  </si>
  <si>
    <t>精算表の作成日・審査日（入力ガイドC9から自動連動）</t>
  </si>
  <si>
    <t>貸付金 前期繰越高（決算報告書P24の種類別内訳から自動）</t>
  </si>
  <si>
    <t>貸借対照表表示：欠損金補てん積立金の額（明細表計上額から自動）</t>
  </si>
  <si>
    <t>【自動チェック（すべて「OK」になること）】</t>
  </si>
  <si>
    <t>照合</t>
  </si>
  <si>
    <t>貸付金：貸借対照表＝貸付金明細表の期末残高±未収・前受の調整</t>
  </si>
  <si>
    <t>決算書作成の手順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</si>
</sst>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1">
    <numFmt numFmtId="176" formatCode="[$-409]#,##0_);[Red]\(#,##0\)"/>
    <numFmt numFmtId="178" formatCode="#,##0;&quot;△ &quot;#,##0"/>
    <numFmt numFmtId="179" formatCode="\(#,##0\);&quot;(△ &quot;#,##0\)"/>
    <numFmt numFmtId="180" formatCode="#,##0.00_);[Red]\(#,##0.00\)"/>
    <numFmt numFmtId="181" formatCode="#,##0.0;&quot;▲ &quot;#,##0.0"/>
    <numFmt numFmtId="182" formatCode="#,##0.00;&quot;▲ &quot;#,##0.00"/>
    <numFmt numFmtId="183" formatCode="[$-409]#,##0.00_);[Red]\(#,##0.00\)"/>
    <numFmt numFmtId="184" formatCode="&quot;〔&quot;#,##0&quot;〕&quot;"/>
    <numFmt numFmtId="185" formatCode="\&lt;#,##0\&gt;"/>
    <numFmt numFmtId="186" formatCode="#,##0_);[Red]\(#,##0\)"/>
    <numFmt numFmtId="187" formatCode="0.00_);[Red]\(0.00\)"/>
    <numFmt numFmtId="188" formatCode="#,##0_ &quot;円&quot;"/>
    <numFmt numFmtId="189" formatCode="#,##0.0_ &quot;円&quot;"/>
    <numFmt numFmtId="190" formatCode="0.00_ "/>
    <numFmt numFmtId="191" formatCode="#,##0.0;[Red]\-#,##0.0"/>
    <numFmt numFmtId="192" formatCode="#,##0.00;&quot;△ &quot;#,##0.00"/>
    <numFmt numFmtId="193" formatCode="0.0000_ "/>
    <numFmt numFmtId="194" formatCode="0.0_ "/>
    <numFmt numFmtId="195" formatCode="0.00;&quot;△ &quot;0.00"/>
    <numFmt numFmtId="196" formatCode="0.0_);[Red]\(0.0\)"/>
    <numFmt numFmtId="197" formatCode="#,##0.0;&quot;△ &quot;#,##0.0"/>
    <numFmt numFmtId="198" formatCode="[$-409]#,##0"/>
    <numFmt numFmtId="199" formatCode="#,##0_ "/>
    <numFmt numFmtId="200" formatCode="#,##0;[Red]#,##0"/>
    <numFmt numFmtId="201" formatCode="[$-409]m/d/yyyy"/>
    <numFmt numFmtId="202" formatCode="#,##0_ ;[Red]\-#,##0\ "/>
    <numFmt numFmtId="203" formatCode="#,##0_);\(#,##0\)"/>
    <numFmt numFmtId="204" formatCode="[$-409]General"/>
    <numFmt numFmtId="205" formatCode="&quot;〔&quot;#,##0&quot;〕&quot;;&quot;〔△ &quot;#,##0&quot;〕&quot;"/>
    <numFmt numFmtId="206" formatCode="#,##0.000_);[Red]\(#,##0.000\)"/>
    <numFmt numFmtId="207" formatCode="0.000"/>
    <numFmt numFmtId="208" formatCode="#,##0;&quot;▲ &quot;#,##0"/>
    <numFmt numFmtId="209" formatCode="0.00;&quot;▲ &quot;0.00"/>
    <numFmt numFmtId="210" formatCode="#,##0.00_ "/>
    <numFmt numFmtId="211" formatCode="#,##0.00_ ;[Red]\-#,##0.00\ "/>
    <numFmt numFmtId="212" formatCode="\&lt;#,##0.00\&gt;"/>
    <numFmt numFmtId="213" formatCode="0.0%"/>
    <numFmt numFmtId="214" formatCode="#,##0.0_ "/>
    <numFmt numFmtId="215" formatCode="0.000_ "/>
    <numFmt numFmtId="216" formatCode="#,##0&quot;円&quot;"/>
    <numFmt numFmtId="217" formatCode="[$-1030411]ggge&quot;年&quot;m&quot;月&quot;d&quot;日現在&quot;"/>
    <numFmt numFmtId="218" formatCode="[$-1030411]&quot;自 &quot;ggge&quot;年&quot;m&quot;月 &quot;d&quot;日&quot;"/>
    <numFmt numFmtId="219" formatCode="[$-1030411]&quot;至 &quot;ggge&quot;年&quot;m&quot;月&quot;d&quot;日&quot;"/>
    <numFmt numFmtId="220" formatCode="[$-1030411]ge\.m\.d;@"/>
    <numFmt numFmtId="222" formatCode="[$-411]#,##0;&quot;△ &quot;#,##0;&quot;&quot;"/>
    <numFmt numFmtId="224" formatCode="&quot;令和&quot;0&quot;年度&quot;"/>
    <numFmt numFmtId="225" formatCode="&quot;令和&quot;0&quot;年&quot;"/>
    <numFmt numFmtId="226" formatCode="0&quot;月&quot;"/>
    <numFmt numFmtId="227" formatCode="0&quot;日&quot;"/>
    <numFmt numFmtId="228" formatCode="#,##0&quot; 箇所&quot;"/>
    <numFmt numFmtId="229" formatCode="#,##0.##"/>
  </numFmts>
  <fonts count="226">
    <font>
      <sz val="11"/>
      <name val="ＭＳ Ｐゴシック"/>
      <family val="3"/>
    </font>
    <font>
      <sz val="11"/>
      <name val="WenQuanYi Zen Hei"/>
      <family val="2"/>
    </font>
    <font>
      <sz val="12"/>
      <name val="ＭＳ 明朝"/>
      <family val="1"/>
    </font>
    <font>
      <u/>
      <sz val="12"/>
      <name val="ＭＳ 明朝"/>
      <family val="1"/>
    </font>
    <font>
      <b/>
      <sz val="22"/>
      <name val="WenQuanYi Zen Hei"/>
      <family val="2"/>
    </font>
    <font>
      <b/>
      <sz val="36"/>
      <name val="WenQuanYi Zen Hei"/>
      <family val="2"/>
    </font>
    <font>
      <u val="double"/>
      <sz val="12"/>
      <name val="ＭＳ 明朝"/>
      <family val="1"/>
    </font>
    <font>
      <b/>
      <sz val="18"/>
      <name val="ＭＳ 明朝"/>
      <family val="1"/>
    </font>
    <font>
      <b/>
      <sz val="18"/>
      <name val="WenQuanYi Zen Hei"/>
      <family val="2"/>
    </font>
    <font>
      <b/>
      <sz val="30"/>
      <name val="ＭＳ 明朝"/>
      <family val="1"/>
    </font>
    <font>
      <b/>
      <sz val="30"/>
      <name val="WenQuanYi Zen Hei"/>
      <family val="2"/>
    </font>
    <font>
      <sz val="18"/>
      <name val="ＭＳ Ｐ明朝"/>
      <family val="1"/>
    </font>
    <font>
      <sz val="20"/>
      <name val="WenQuanYi Zen Hei"/>
      <family val="2"/>
    </font>
    <font>
      <sz val="20"/>
      <name val="ＭＳ Ｐゴシック"/>
      <family val="3"/>
    </font>
    <font>
      <sz val="14"/>
      <name val="ＭＳ Ｐ明朝"/>
      <family val="1"/>
    </font>
    <font>
      <sz val="14"/>
      <name val="WenQuanYi Zen Hei"/>
      <family val="2"/>
    </font>
    <font>
      <sz val="14"/>
      <name val="ＭＳ Ｐゴシック"/>
      <family val="3"/>
    </font>
    <font>
      <sz val="9"/>
      <name val="ＭＳ Ｐ明朝"/>
      <family val="1"/>
    </font>
    <font>
      <sz val="10"/>
      <name val="ＭＳ Ｐ明朝"/>
      <family val="1"/>
    </font>
    <font>
      <u/>
      <sz val="20"/>
      <name val="WenQuanYi Zen Hei"/>
      <family val="2"/>
    </font>
    <font>
      <u/>
      <sz val="10"/>
      <name val="ＭＳ Ｐ明朝"/>
      <family val="1"/>
    </font>
    <font>
      <sz val="16"/>
      <name val="WenQuanYi Zen Hei"/>
      <family val="2"/>
    </font>
    <font>
      <sz val="10"/>
      <name val="WenQuanYi Zen Hei"/>
      <family val="2"/>
    </font>
    <font>
      <sz val="16"/>
      <name val="ＭＳ Ｐ明朝"/>
      <family val="1"/>
    </font>
    <font>
      <b/>
      <sz val="10"/>
      <name val="ＭＳ Ｐ明朝"/>
      <family val="1"/>
    </font>
    <font>
      <sz val="7"/>
      <name val="WenQuanYi Zen Hei"/>
      <family val="2"/>
    </font>
    <font>
      <sz val="9.5"/>
      <name val="WenQuanYi Zen Hei"/>
      <family val="2"/>
    </font>
    <font>
      <sz val="9"/>
      <name val="WenQuanYi Zen Hei"/>
      <family val="2"/>
    </font>
    <font>
      <sz val="8"/>
      <name val="WenQuanYi Zen Hei"/>
      <family val="2"/>
    </font>
    <font>
      <sz val="6"/>
      <name val="WenQuanYi Zen Hei"/>
      <family val="2"/>
    </font>
    <font>
      <sz val="12"/>
      <name val="ＭＳ Ｐ明朝"/>
      <family val="1"/>
    </font>
    <font>
      <sz val="8"/>
      <name val="ＭＳ Ｐ明朝"/>
      <family val="1"/>
    </font>
    <font>
      <sz val="11"/>
      <name val="ＭＳ Ｐ明朝"/>
      <family val="1"/>
    </font>
    <font>
      <sz val="9"/>
      <color rgb="FF000000"/>
      <name val="WenQuanYi Zen Hei"/>
      <family val="2"/>
    </font>
    <font>
      <u/>
      <sz val="20"/>
      <name val="ＭＳ Ｐ明朝"/>
      <family val="1"/>
    </font>
    <font>
      <sz val="18"/>
      <name val="WenQuanYi Zen Hei"/>
      <family val="2"/>
    </font>
    <font>
      <sz val="10"/>
      <color rgb="FFFF0000"/>
      <name val="WenQuanYi Zen Hei"/>
      <family val="2"/>
    </font>
    <font>
      <sz val="10"/>
      <color rgb="FF0000FF"/>
      <name val="ＭＳ Ｐ明朝"/>
      <family val="1"/>
    </font>
    <font>
      <sz val="11"/>
      <color rgb="FFFF0000"/>
      <name val="ＭＳ Ｐ明朝"/>
      <family val="1"/>
    </font>
    <font>
      <sz val="11"/>
      <color rgb="FF0000FF"/>
      <name val="ＭＳ Ｐゴシック"/>
      <family val="3"/>
    </font>
    <font>
      <sz val="11"/>
      <color rgb="FFFF0000"/>
      <name val="WenQuanYi Zen Hei"/>
      <family val="2"/>
    </font>
    <font>
      <sz val="11"/>
      <color rgb="FF0000FF"/>
      <name val="ＭＳ Ｐ明朝"/>
      <family val="1"/>
    </font>
    <font>
      <sz val="11"/>
      <color rgb="FF0000FF"/>
      <name val="WenQuanYi Zen Hei"/>
      <family val="2"/>
    </font>
    <font>
      <sz val="11"/>
      <name val="ＭＳ 明朝"/>
      <family val="1"/>
    </font>
    <font>
      <sz val="10"/>
      <name val="ＭＳ 明朝"/>
      <family val="1"/>
    </font>
    <font>
      <sz val="10"/>
      <color rgb="FFFF0000"/>
      <name val="ＭＳ Ｐ明朝"/>
      <family val="1"/>
    </font>
    <font>
      <sz val="8"/>
      <color rgb="FF000000"/>
      <name val="WenQuanYi Zen Hei"/>
      <family val="2"/>
    </font>
    <font>
      <sz val="8"/>
      <color rgb="FF000000"/>
      <name val="MS P ゴシック"/>
      <family val="3"/>
    </font>
    <font>
      <sz val="7"/>
      <color rgb="FF000000"/>
      <name val="WenQuanYi Zen Hei"/>
      <family val="2"/>
    </font>
    <font>
      <sz val="10"/>
      <color rgb="FF000000"/>
      <name val="ＭＳ Ｐ明朝"/>
      <family val="1"/>
    </font>
    <font>
      <sz val="18"/>
      <color rgb="FF000000"/>
      <name val="WenQuanYi Zen Hei"/>
      <family val="2"/>
    </font>
    <font>
      <sz val="10"/>
      <color rgb="FF000000"/>
      <name val="WenQuanYi Zen Hei"/>
      <family val="2"/>
    </font>
    <font>
      <sz val="11"/>
      <color rgb="FF000000"/>
      <name val="ＭＳ Ｐゴシック"/>
      <family val="3"/>
    </font>
    <font>
      <sz val="9"/>
      <color rgb="FF000000"/>
      <name val="MS P ゴシック"/>
      <family val="3"/>
    </font>
    <font>
      <sz val="11"/>
      <color rgb="FF000000"/>
      <name val="ＭＳ 明朝"/>
      <family val="1"/>
    </font>
    <font>
      <sz val="10"/>
      <color rgb="FF000000"/>
      <name val="Century"/>
      <family val="1"/>
    </font>
    <font>
      <sz val="8"/>
      <color rgb="FF000000"/>
      <name val="ＭＳ Ｐ明朝"/>
      <family val="1"/>
    </font>
    <font>
      <b/>
      <sz val="9"/>
      <color rgb="FF000000"/>
      <name val="WenQuanYi Zen Hei"/>
      <family val="2"/>
    </font>
    <font>
      <sz val="9.5"/>
      <color rgb="FF000000"/>
      <name val="WenQuanYi Zen Hei"/>
      <family val="2"/>
    </font>
    <font>
      <sz val="10"/>
      <color rgb="FF000000"/>
      <name val="ＭＳ 明朝"/>
      <family val="1"/>
    </font>
    <font>
      <sz val="11"/>
      <color rgb="FF000000"/>
      <name val="ＭＳ Ｐ明朝"/>
      <family val="1"/>
    </font>
    <font>
      <sz val="7.8"/>
      <color rgb="FF000000"/>
      <name val="WenQuanYi Zen Hei"/>
      <family val="2"/>
    </font>
    <font>
      <sz val="9"/>
      <color rgb="FF000000"/>
      <name val="ＭＳ Ｐ明朝"/>
      <family val="1"/>
    </font>
    <font>
      <sz val="10"/>
      <color rgb="FF000000"/>
      <name val="ＭＳ Ｐゴシック"/>
      <family val="3"/>
    </font>
    <font>
      <sz val="9"/>
      <color rgb="FF000000"/>
      <name val="ＭＳ 明朝"/>
      <family val="1"/>
    </font>
    <font>
      <sz val="6"/>
      <color rgb="FF000000"/>
      <name val="ＭＳ Ｐ明朝"/>
      <family val="1"/>
    </font>
    <font>
      <sz val="6"/>
      <color rgb="FF000000"/>
      <name val="WenQuanYi Zen Hei"/>
      <family val="2"/>
    </font>
    <font>
      <sz val="9"/>
      <color rgb="FF000000"/>
      <name val="ＭＳ Ｐゴシック"/>
      <family val="3"/>
    </font>
    <font>
      <sz val="10"/>
      <color rgb="FF003366"/>
      <name val="ＭＳ Ｐ明朝"/>
      <family val="1"/>
    </font>
    <font>
      <sz val="10"/>
      <color rgb="FF0066CC"/>
      <name val="ＭＳ Ｐ明朝"/>
      <family val="1"/>
    </font>
    <font>
      <b/>
      <sz val="9"/>
      <color rgb="FF000000"/>
      <name val="MS P ゴシック"/>
      <family val="3"/>
    </font>
    <font>
      <sz val="10"/>
      <color rgb="FFFF0000"/>
      <name val="ＭＳ 明朝"/>
      <family val="1"/>
    </font>
    <font>
      <sz val="8"/>
      <name val="ＭＳ 明朝"/>
      <family val="1"/>
    </font>
    <font>
      <sz val="5"/>
      <name val="WenQuanYi Zen Hei"/>
      <family val="2"/>
    </font>
    <font>
      <sz val="8.5"/>
      <name val="ＭＳ Ｐ明朝"/>
      <family val="1"/>
    </font>
    <font>
      <sz val="10.5"/>
      <name val="ＭＳ 明朝"/>
      <family val="1"/>
    </font>
    <font>
      <sz val="8"/>
      <color rgb="FF000000"/>
      <name val="ＭＳ Ｐゴシック"/>
      <family val="3"/>
    </font>
    <font>
      <b/>
      <sz val="8"/>
      <color rgb="FF000000"/>
      <name val="WenQuanYi Zen Hei"/>
      <family val="2"/>
    </font>
    <font>
      <sz val="10"/>
      <color rgb="FF0000FF"/>
      <name val="WenQuanYi Zen Hei"/>
      <family val="2"/>
    </font>
    <font>
      <b/>
      <sz val="11"/>
      <name val="WenQuanYi Zen Hei"/>
      <family val="2"/>
    </font>
    <font>
      <b/>
      <sz val="11"/>
      <name val="ＭＳ Ｐ明朝"/>
      <family val="1"/>
    </font>
    <font>
      <sz val="18"/>
      <color rgb="FF000000"/>
      <name val="ＭＳ Ｐ明朝"/>
      <family val="1"/>
    </font>
    <font>
      <sz val="11"/>
      <color rgb="FF000000"/>
      <name val="WenQuanYi Zen Hei"/>
      <family val="2"/>
    </font>
    <font>
      <sz val="7.5"/>
      <color rgb="FF000000"/>
      <name val="WenQuanYi Zen Hei"/>
      <family val="2"/>
    </font>
    <font>
      <sz val="7.5"/>
      <color rgb="FF000000"/>
      <name val="ＭＳ 明朝"/>
      <family val="1"/>
    </font>
    <font>
      <sz val="7.5"/>
      <color rgb="FF000000"/>
      <name val="ＭＳ Ｐ明朝"/>
      <family val="1"/>
    </font>
    <font>
      <b/>
      <sz val="10"/>
      <color rgb="FF000000"/>
      <name val="ＭＳ Ｐ明朝"/>
      <family val="1"/>
    </font>
    <font>
      <strike/>
      <sz val="9"/>
      <color rgb="FF000000"/>
      <name val="MS P ゴシック"/>
      <family val="3"/>
    </font>
    <font>
      <strike/>
      <sz val="9"/>
      <color rgb="FF000000"/>
      <name val="WenQuanYi Zen Hei"/>
      <family val="2"/>
    </font>
    <font>
      <sz val="9"/>
      <name val="ＭＳ 明朝"/>
      <family val="1"/>
    </font>
    <font>
      <sz val="12"/>
      <name val="WenQuanYi Zen Hei"/>
      <family val="2"/>
    </font>
    <font>
      <sz val="12"/>
      <name val="ＭＳ Ｐゴシック"/>
      <family val="3"/>
    </font>
    <font>
      <sz val="8"/>
      <color rgb="FF000000"/>
      <name val="ＭＳ 明朝"/>
      <family val="1"/>
    </font>
    <font>
      <b/>
      <u/>
      <sz val="16"/>
      <color rgb="FF000000"/>
      <name val="ＭＳ 明朝"/>
      <family val="1"/>
    </font>
    <font>
      <b/>
      <sz val="16"/>
      <color rgb="FF000000"/>
      <name val="WenQuanYi Zen Hei"/>
      <family val="2"/>
    </font>
    <font>
      <b/>
      <sz val="16"/>
      <color rgb="FF000000"/>
      <name val="ＭＳ 明朝"/>
      <family val="1"/>
    </font>
    <font>
      <b/>
      <u/>
      <sz val="8"/>
      <color rgb="FF000000"/>
      <name val="ＭＳ 明朝"/>
      <family val="1"/>
    </font>
    <font>
      <b/>
      <u/>
      <sz val="8"/>
      <color rgb="FF000000"/>
      <name val="WenQuanYi Zen Hei"/>
      <family val="2"/>
    </font>
    <font>
      <sz val="6"/>
      <color rgb="FF000000"/>
      <name val="ＭＳ 明朝"/>
      <family val="1"/>
    </font>
    <font>
      <sz val="7"/>
      <color rgb="FF000000"/>
      <name val="ＭＳ 明朝"/>
      <family val="1"/>
    </font>
    <font>
      <sz val="6"/>
      <color rgb="FFFF0000"/>
      <name val="WenQuanYi Zen Hei"/>
      <family val="2"/>
    </font>
    <font>
      <sz val="6"/>
      <color rgb="FF000000"/>
      <name val="MS P ゴシック"/>
      <family val="3"/>
    </font>
    <font>
      <u/>
      <sz val="14"/>
      <color rgb="FF000000"/>
      <name val="ＭＳ 明朝"/>
      <family val="1"/>
    </font>
    <font>
      <sz val="14"/>
      <color rgb="FF000000"/>
      <name val="ＭＳ 明朝"/>
      <family val="1"/>
    </font>
    <font>
      <b/>
      <sz val="14"/>
      <color rgb="FF000000"/>
      <name val="ＭＳ 明朝"/>
      <family val="1"/>
    </font>
    <font>
      <u/>
      <sz val="16"/>
      <color rgb="FF000000"/>
      <name val="ＭＳ 明朝"/>
      <family val="1"/>
    </font>
    <font>
      <sz val="9"/>
      <color rgb="FFFF0000"/>
      <name val="ＭＳ 明朝"/>
      <family val="1"/>
    </font>
    <font>
      <b/>
      <sz val="10.5"/>
      <color rgb="FF000000"/>
      <name val="ＭＳ ゴシック"/>
      <family val="3"/>
    </font>
    <font>
      <sz val="10.5"/>
      <color rgb="FF000000"/>
      <name val="ＭＳ 明朝"/>
      <family val="1"/>
    </font>
    <font>
      <sz val="10.5"/>
      <color rgb="FF000000"/>
      <name val="Century"/>
      <family val="1"/>
    </font>
    <font>
      <sz val="5.5"/>
      <color rgb="FFFF0000"/>
      <name val="WenQuanYi Zen Hei"/>
      <family val="2"/>
    </font>
    <font>
      <u/>
      <sz val="9.5"/>
      <color rgb="FF000000"/>
      <name val="ＭＳ 明朝"/>
      <family val="1"/>
    </font>
    <font>
      <sz val="8"/>
      <name val="ＭＳ Ｐゴシック"/>
      <family val="3"/>
    </font>
    <font>
      <sz val="8"/>
      <color rgb="FF0000FF"/>
      <name val="ＭＳ 明朝"/>
      <family val="1"/>
    </font>
    <font>
      <u/>
      <sz val="8"/>
      <color rgb="FF000000"/>
      <name val="ＭＳ 明朝"/>
      <family val="1"/>
    </font>
    <font>
      <sz val="8"/>
      <color rgb="FFFF0000"/>
      <name val="ＭＳ 明朝"/>
      <family val="1"/>
    </font>
    <font>
      <sz val="10"/>
      <color rgb="FF000000"/>
      <name val="Times New Roman"/>
      <family val="1"/>
    </font>
    <font>
      <sz val="12"/>
      <color rgb="FF000000"/>
      <name val="ＭＳ 明朝"/>
      <family val="1"/>
    </font>
    <font>
      <sz val="9.5"/>
      <color rgb="FF000000"/>
      <name val="ＭＳ 明朝"/>
      <family val="1"/>
    </font>
    <font>
      <b/>
      <u val="double"/>
      <sz val="16"/>
      <color rgb="FF000000"/>
      <name val="WenQuanYi Zen Hei"/>
      <family val="2"/>
    </font>
    <font>
      <sz val="10"/>
      <name val="ＭＳ Ｐゴシック"/>
      <family val="3"/>
    </font>
    <font>
      <sz val="10"/>
      <color rgb="FF0000FF"/>
      <name val="ＭＳ 明朝"/>
      <family val="1"/>
    </font>
    <font>
      <u/>
      <sz val="12"/>
      <color rgb="FF000000"/>
      <name val="ＭＳ 明朝"/>
      <family val="1"/>
    </font>
    <font>
      <u/>
      <sz val="11"/>
      <color rgb="FF000000"/>
      <name val="WenQuanYi Zen Hei"/>
      <family val="2"/>
    </font>
    <font>
      <u val="double"/>
      <sz val="11"/>
      <color rgb="FF000000"/>
      <name val="WenQuanYi Zen Hei"/>
      <family val="2"/>
    </font>
    <font>
      <sz val="9"/>
      <color rgb="FF0000FF"/>
      <name val="ＭＳ 明朝"/>
      <family val="1"/>
    </font>
    <font>
      <sz val="9"/>
      <color rgb="FFFFFFFF"/>
      <name val="ＭＳ 明朝"/>
      <family val="1"/>
    </font>
    <font>
      <u val="double"/>
      <sz val="12"/>
      <color rgb="FF000000"/>
      <name val="ＭＳ 明朝"/>
      <family val="1"/>
    </font>
    <font>
      <u val="double"/>
      <sz val="10"/>
      <color rgb="FF000000"/>
      <name val="ＭＳ 明朝"/>
      <family val="1"/>
    </font>
    <font>
      <sz val="10"/>
      <color rgb="FF0000FF"/>
      <name val="ＭＳ Ｐゴシック"/>
      <family val="3"/>
    </font>
    <font>
      <b/>
      <u/>
      <sz val="16"/>
      <color rgb="FF000000"/>
      <name val="WenQuanYi Zen Hei"/>
      <family val="2"/>
    </font>
    <font>
      <sz val="10"/>
      <color rgb="FF333399"/>
      <name val="ＭＳ 明朝"/>
      <family val="1"/>
    </font>
    <font>
      <sz val="12"/>
      <color rgb="FF0000FF"/>
      <name val="ＭＳ 明朝"/>
      <family val="1"/>
    </font>
    <font>
      <sz val="9"/>
      <color rgb="FF0066CC"/>
      <name val="ＭＳ 明朝"/>
      <family val="1"/>
    </font>
    <font>
      <b/>
      <u/>
      <sz val="16"/>
      <name val="ＭＳ 明朝"/>
      <family val="1"/>
    </font>
    <font>
      <b/>
      <sz val="16"/>
      <name val="WenQuanYi Zen Hei"/>
      <family val="2"/>
    </font>
    <font>
      <b/>
      <sz val="16"/>
      <name val="ＭＳ 明朝"/>
      <family val="1"/>
    </font>
    <font>
      <b/>
      <u/>
      <sz val="8"/>
      <name val="ＭＳ 明朝"/>
      <family val="1"/>
    </font>
    <font>
      <b/>
      <u/>
      <sz val="8"/>
      <name val="WenQuanYi Zen Hei"/>
      <family val="2"/>
    </font>
    <font>
      <b/>
      <sz val="8"/>
      <name val="WenQuanYi Zen Hei"/>
      <family val="2"/>
    </font>
    <font>
      <sz val="8"/>
      <color rgb="FFFF0000"/>
      <name val="WenQuanYi Zen Hei"/>
      <family val="2"/>
    </font>
    <font>
      <sz val="7"/>
      <name val="ＭＳ 明朝"/>
      <family val="1"/>
    </font>
    <font>
      <b/>
      <u/>
      <sz val="8"/>
      <name val="ＭＳ ゴシック"/>
      <family val="3"/>
    </font>
    <font>
      <u/>
      <sz val="14"/>
      <name val="ＭＳ 明朝"/>
      <family val="1"/>
    </font>
    <font>
      <sz val="14"/>
      <name val="ＭＳ 明朝"/>
      <family val="1"/>
    </font>
    <font>
      <sz val="7.5"/>
      <name val="WenQuanYi Zen Hei"/>
      <family val="2"/>
    </font>
    <font>
      <sz val="7.5"/>
      <name val="ＭＳ 明朝"/>
      <family val="1"/>
    </font>
    <font>
      <sz val="10"/>
      <color rgb="FF008000"/>
      <name val="ＭＳ 明朝"/>
      <family val="1"/>
    </font>
    <font>
      <b/>
      <sz val="14"/>
      <name val="WenQuanYi Zen Hei"/>
      <family val="2"/>
    </font>
    <font>
      <b/>
      <sz val="14"/>
      <name val="ＭＳ 明朝"/>
      <family val="1"/>
    </font>
    <font>
      <u/>
      <sz val="16"/>
      <name val="ＭＳ 明朝"/>
      <family val="1"/>
    </font>
    <font>
      <b/>
      <sz val="8"/>
      <color rgb="FF000000"/>
      <name val="ＭＳ 明朝"/>
      <family val="1"/>
    </font>
    <font>
      <b/>
      <sz val="14"/>
      <color rgb="FF000000"/>
      <name val="WenQuanYi Zen Hei"/>
      <family val="2"/>
    </font>
    <font>
      <sz val="8"/>
      <color rgb="FF0000FF"/>
      <name val="WenQuanYi Zen Hei"/>
      <family val="2"/>
    </font>
    <font>
      <sz val="11"/>
      <name val="ＭＳ Ｐゴシック"/>
      <family val="3"/>
    </font>
    <font>
      <sz val="6"/>
      <name val="ＭＳ Ｐゴシック"/>
      <family val="3"/>
      <charset val="128"/>
    </font>
    <font>
      <sz val="11"/>
      <name val="ＭＳ Ｐゴシック"/>
      <family val="3"/>
    </font>
    <font>
      <b/>
      <sz val="10"/>
      <name val="ＭＳ Ｐゴシック"/>
      <family val="3"/>
      <charset val="128"/>
    </font>
    <font>
      <b/>
      <sz val="12"/>
      <color rgb="FF0F5132"/>
      <name val="游ゴシック"/>
      <family val="3"/>
      <charset val="128"/>
    </font>
    <font>
      <b/>
      <sz val="15"/>
      <color rgb="FFFFFFFF"/>
      <name val="游ゴシック"/>
      <family val="3"/>
      <charset val="128"/>
    </font>
    <font>
      <b/>
      <sz val="10"/>
      <color rgb="FF1D4ED8"/>
      <name val="游ゴシック"/>
      <family val="3"/>
      <charset val="128"/>
    </font>
    <font>
      <b/>
      <sz val="10"/>
      <color rgb="FF0F5132"/>
      <name val="游ゴシック"/>
      <family val="3"/>
      <charset val="128"/>
    </font>
    <font>
      <b/>
      <sz val="10"/>
      <color rgb="FFB45309"/>
      <name val="游ゴシック"/>
      <family val="3"/>
      <charset val="128"/>
    </font>
    <font>
      <sz val="9.5"/>
      <color rgb="FF334155"/>
      <name val="游ゴシック"/>
      <family val="3"/>
      <charset val="128"/>
    </font>
    <font>
      <b/>
      <sz val="10.5"/>
      <color rgb="FFFFFFFF"/>
      <name val="游ゴシック"/>
      <family val="3"/>
      <charset val="128"/>
    </font>
    <font>
      <b/>
      <sz val="9"/>
      <color rgb="FFB45309"/>
      <name val="游ゴシック"/>
      <family val="3"/>
      <charset val="128"/>
    </font>
    <font>
      <b/>
      <sz val="10"/>
      <color rgb="FF1E293B"/>
      <name val="游ゴシック"/>
      <family val="3"/>
      <charset val="128"/>
    </font>
    <font>
      <b/>
      <sz val="12"/>
      <color rgb="FF000000"/>
      <name val="游ゴシック"/>
      <family val="3"/>
      <charset val="128"/>
    </font>
    <font>
      <b/>
      <sz val="9.5"/>
      <color rgb="FFFFFFFF"/>
      <name val="游ゴシック"/>
      <family val="3"/>
      <charset val="128"/>
    </font>
    <font>
      <b/>
      <sz val="13"/>
      <color rgb="FF0F5132"/>
      <name val="游ゴシック"/>
      <family val="3"/>
      <charset val="128"/>
    </font>
    <font>
      <sz val="8.5"/>
      <color rgb="FF334155"/>
      <name val="游ゴシック"/>
      <family val="3"/>
      <charset val="128"/>
    </font>
    <font>
      <b/>
      <sz val="13"/>
      <color rgb="FF0369A1"/>
      <name val="游ゴシック"/>
      <family val="3"/>
      <charset val="128"/>
    </font>
    <font>
      <b/>
      <sz val="13"/>
      <color rgb="FF1B365D"/>
      <name val="游ゴシック"/>
      <family val="3"/>
      <charset val="128"/>
    </font>
    <font>
      <b/>
      <sz val="10"/>
      <color rgb="FF1B365D"/>
      <name val="游ゴシック"/>
      <family val="3"/>
      <charset val="128"/>
    </font>
    <font>
      <sz val="9.5"/>
      <color rgb="FF1E293B"/>
      <name val="游ゴシック"/>
      <family val="3"/>
      <charset val="128"/>
    </font>
    <font>
      <b/>
      <sz val="9.5"/>
      <color rgb="FF0F5132"/>
      <name val="游ゴシック"/>
      <family val="3"/>
      <charset val="128"/>
    </font>
    <font>
      <b/>
      <sz val="9.5"/>
      <color rgb="FF1D4ED8"/>
      <name val="游ゴシック"/>
      <family val="3"/>
      <charset val="128"/>
    </font>
    <font>
      <b/>
      <sz val="9.5"/>
      <color rgb="FF0369A1"/>
      <name val="游ゴシック"/>
      <family val="3"/>
      <charset val="128"/>
    </font>
    <font>
      <sz val="10"/>
      <color rgb="FF1E293B"/>
      <name val="游ゴシック"/>
      <family val="3"/>
      <charset val="128"/>
    </font>
    <font>
      <b/>
      <sz val="10.5"/>
      <color rgb="FF1B365D"/>
      <name val="游ゴシック"/>
      <family val="3"/>
      <charset val="128"/>
    </font>
    <font>
      <b/>
      <sz val="11"/>
      <color rgb="FF1B365D"/>
      <name val="游ゴシック"/>
      <family val="3"/>
      <charset val="128"/>
    </font>
    <font>
      <b/>
      <sz val="10.5"/>
      <color rgb="FF0F5132"/>
      <name val="游ゴシック"/>
      <family val="3"/>
      <charset val="128"/>
    </font>
    <font>
      <b/>
      <sz val="9.5"/>
      <color rgb="FF1B365D"/>
      <name val="游ゴシック"/>
      <family val="3"/>
      <charset val="128"/>
    </font>
    <font>
      <b/>
      <sz val="8.5"/>
      <color rgb="FFB45309"/>
      <name val="游ゴシック"/>
      <family val="3"/>
      <charset val="128"/>
    </font>
    <font>
      <b/>
      <u/>
      <sz val="9.5"/>
      <color rgb="FF1D4ED8"/>
      <name val="游ゴシック"/>
      <family val="3"/>
      <charset val="128"/>
    </font>
    <font>
      <sz val="9"/>
      <color rgb="FF1E293B"/>
      <name val="游ゴシック"/>
      <family val="3"/>
      <charset val="128"/>
    </font>
    <font>
      <b/>
      <sz val="8.5"/>
      <color rgb="FF0F5132"/>
      <name val="游ゴシック"/>
      <family val="3"/>
      <charset val="128"/>
    </font>
    <font>
      <b/>
      <sz val="8.5"/>
      <color rgb="FF0369A1"/>
      <name val="游ゴシック"/>
      <family val="3"/>
      <charset val="128"/>
    </font>
    <font>
      <b/>
      <sz val="8.5"/>
      <color rgb="FF075985"/>
      <name val="游ゴシック"/>
      <family val="3"/>
      <charset val="128"/>
    </font>
    <font>
      <b/>
      <sz val="8.5"/>
      <color rgb="FF334155"/>
      <name val="游ゴシック"/>
      <family val="3"/>
      <charset val="128"/>
    </font>
    <font>
      <b/>
      <sz val="8.5"/>
      <color rgb="FF3730A3"/>
      <name val="游ゴシック"/>
      <family val="3"/>
      <charset val="128"/>
    </font>
    <font>
      <b/>
      <sz val="8.5"/>
      <color rgb="FF115E59"/>
      <name val="游ゴシック"/>
      <family val="3"/>
      <charset val="128"/>
    </font>
    <font>
      <b/>
      <sz val="8.5"/>
      <color rgb="FF9A3412"/>
      <name val="游ゴシック"/>
      <family val="3"/>
      <charset val="128"/>
    </font>
    <font>
      <sz val="9"/>
      <color rgb="FF334155"/>
      <name val="游ゴシック"/>
      <family val="3"/>
      <charset val="128"/>
    </font>
    <font>
      <b/>
      <sz val="9"/>
      <color rgb="FF1E293B"/>
      <name val="游ゴシック"/>
      <family val="3"/>
      <charset val="128"/>
    </font>
    <font>
      <b/>
      <sz val="9"/>
      <color rgb="FF1D4ED8"/>
      <name val="游ゴシック"/>
      <family val="3"/>
      <charset val="128"/>
    </font>
    <font>
      <sz val="9"/>
      <color rgb="FF0F5132"/>
      <name val="游ゴシック"/>
      <family val="3"/>
      <charset val="128"/>
    </font>
    <font>
      <b/>
      <sz val="9.5"/>
      <color rgb="FFB45309"/>
      <name val="游ゴシック"/>
      <family val="3"/>
      <charset val="128"/>
    </font>
    <font>
      <b/>
      <sz val="9"/>
      <color rgb="FF0F766E"/>
      <name val="游ゴシック"/>
      <family val="3"/>
      <charset val="128"/>
    </font>
    <font>
      <b/>
      <sz val="9"/>
      <color rgb="FF1B365D"/>
      <name val="游ゴシック"/>
      <family val="3"/>
      <charset val="128"/>
    </font>
    <font>
      <b/>
      <sz val="14"/>
      <color rgb="FFFFFFFF"/>
      <name val="游ゴシック"/>
      <family val="3"/>
      <charset val="128"/>
    </font>
    <font>
      <b/>
      <sz val="10"/>
      <color rgb="FFFFFFFF"/>
      <name val="游ゴシック"/>
      <family val="3"/>
      <charset val="128"/>
    </font>
    <font>
      <b/>
      <sz val="9.5"/>
      <color rgb="FF1E293B"/>
      <name val="游ゴシック"/>
      <family val="3"/>
      <charset val="128"/>
    </font>
    <font>
      <b/>
      <sz val="13.5"/>
      <color rgb="FFFFFFFF"/>
      <name val="游ゴシック"/>
      <family val="3"/>
      <charset val="128"/>
    </font>
    <font>
      <b/>
      <sz val="9.5"/>
      <color rgb="FF0F766E"/>
      <name val="游ゴシック"/>
      <family val="3"/>
      <charset val="128"/>
    </font>
    <font>
      <b/>
      <sz val="11"/>
      <color rgb="FF0F5132"/>
      <name val="游ゴシック"/>
      <family val="3"/>
      <charset val="128"/>
    </font>
    <font>
      <b/>
      <sz val="12"/>
      <color rgb="FF1B365D"/>
      <name val="游ゴシック"/>
      <family val="3"/>
      <charset val="128"/>
    </font>
    <font>
      <b/>
      <sz val="13"/>
      <color rgb="FFFFFFFF"/>
      <name val="游ゴシック"/>
      <family val="3"/>
      <charset val="128"/>
    </font>
    <font>
      <b/>
      <sz val="9.5"/>
      <color rgb="FF334155"/>
      <name val="游ゴシック"/>
      <family val="3"/>
      <charset val="128"/>
    </font>
    <font>
      <b/>
      <sz val="10.5"/>
      <color rgb="FF000000"/>
      <name val="游ゴシック"/>
      <family val="3"/>
      <charset val="128"/>
    </font>
    <font>
      <b/>
      <sz val="9.5"/>
      <color rgb="FF000000"/>
      <name val="游ゴシック"/>
      <family val="3"/>
      <charset val="128"/>
    </font>
    <font>
      <b/>
      <sz val="9"/>
      <color rgb="FF000000"/>
      <name val="游ゴシック"/>
      <family val="3"/>
      <charset val="128"/>
    </font>
    <font>
      <b/>
      <sz val="10"/>
      <color rgb="FF000000"/>
      <name val="游ゴシック"/>
      <family val="3"/>
      <charset val="128"/>
    </font>
    <font>
      <sz val="9.5"/>
      <color rgb="FF000000"/>
      <name val="游ゴシック"/>
      <family val="3"/>
      <charset val="128"/>
    </font>
    <font>
      <b/>
      <u/>
      <sz val="9.5"/>
      <color rgb="FF0000FF"/>
      <name val="游ゴシック"/>
      <family val="3"/>
      <charset val="128"/>
    </font>
    <font>
      <sz val="10"/>
      <color rgb="FF000000"/>
      <name val="游ゴシック"/>
      <family val="3"/>
      <charset val="128"/>
    </font>
    <font>
      <b/>
      <sz val="11"/>
      <color rgb="FF000000"/>
      <name val="游ゴシック"/>
      <family val="3"/>
      <charset val="128"/>
    </font>
    <font>
      <b/>
      <sz val="8.5"/>
      <color rgb="FF000000"/>
      <name val="游ゴシック"/>
      <family val="3"/>
      <charset val="128"/>
    </font>
    <font>
      <sz val="9"/>
      <color rgb="FF000000"/>
      <name val="游ゴシック"/>
      <family val="3"/>
      <charset val="128"/>
    </font>
    <font>
      <sz val="8.5"/>
      <color rgb="FF000000"/>
      <name val="游ゴシック"/>
      <family val="3"/>
      <charset val="128"/>
    </font>
    <font>
      <b/>
      <u/>
      <sz val="9"/>
      <color rgb="FF0000FF"/>
      <name val="游ゴシック"/>
      <family val="3"/>
      <charset val="128"/>
    </font>
    <font>
      <b/>
      <u/>
      <sz val="10"/>
      <color rgb="FF0000FF"/>
      <name val="游ゴシック"/>
      <family val="3"/>
      <charset val="128"/>
    </font>
    <font>
      <b/>
      <sz val="13"/>
      <color rgb="FF000000"/>
      <name val="游ゴシック"/>
      <family val="3"/>
      <charset val="128"/>
    </font>
    <font>
      <b/>
      <sz val="15"/>
      <color rgb="FF000000"/>
      <name val="游ゴシック"/>
      <family val="3"/>
      <charset val="128"/>
    </font>
    <font>
      <b/>
      <sz val="14"/>
      <color rgb="FF000000"/>
      <name val="游ゴシック"/>
      <family val="3"/>
      <charset val="128"/>
    </font>
    <font>
      <b/>
      <sz val="13.5"/>
      <color rgb="FF000000"/>
      <name val="游ゴシック"/>
      <family val="3"/>
      <charset val="128"/>
    </font>
  </fonts>
  <fills count="30">
    <fill>
      <patternFill patternType="none"/>
    </fill>
    <fill>
      <patternFill patternType="gray125"/>
    </fill>
    <fill>
      <patternFill patternType="solid">
        <fgColor rgb="FFFFFF00"/>
        <bgColor rgb="FFFFFF00"/>
      </patternFill>
    </fill>
    <fill>
      <patternFill patternType="solid">
        <fgColor rgb="FF00FF00"/>
        <bgColor rgb="FF33CCCC"/>
      </patternFill>
    </fill>
    <fill>
      <patternFill patternType="solid">
        <fgColor rgb="FFFFFFFF"/>
        <bgColor rgb="FFE8E8E8"/>
      </patternFill>
    </fill>
    <fill>
      <patternFill patternType="solid">
        <fgColor rgb="FFCCFFCC"/>
        <bgColor rgb="FFCCFFFF"/>
      </patternFill>
    </fill>
    <fill>
      <patternFill patternType="solid">
        <fgColor rgb="FFCCFFFF"/>
        <bgColor rgb="FFCCFFCC"/>
      </patternFill>
    </fill>
    <fill>
      <patternFill patternType="solid">
        <fgColor rgb="FFFFCC00"/>
        <bgColor rgb="FFFFFF00"/>
      </patternFill>
    </fill>
    <fill>
      <patternFill patternType="none"/>
    </fill>
    <fill>
      <patternFill patternType="solid">
        <fgColor rgb="FFDDEBF7"/>
        <bgColor rgb="FFE8E8E8"/>
      </patternFill>
    </fill>
    <fill>
      <patternFill patternType="solid">
        <fgColor rgb="FFD1E7DD"/>
        <bgColor rgb="FFD1E7DD"/>
      </patternFill>
    </fill>
    <fill>
      <patternFill patternType="solid">
        <fgColor rgb="FF1B365D"/>
        <bgColor rgb="FF1B365D"/>
      </patternFill>
    </fill>
    <fill>
      <patternFill patternType="solid">
        <fgColor rgb="FFEFF6FF"/>
        <bgColor rgb="FFEFF6FF"/>
      </patternFill>
    </fill>
    <fill>
      <patternFill patternType="solid">
        <fgColor rgb="FFFEF3C7"/>
        <bgColor rgb="FFFEF3C7"/>
      </patternFill>
    </fill>
    <fill>
      <patternFill patternType="solid">
        <fgColor rgb="FFF1F5F9"/>
        <bgColor rgb="FFF1F5F9"/>
      </patternFill>
    </fill>
    <fill>
      <patternFill patternType="solid">
        <fgColor rgb="FF2C5282"/>
        <bgColor rgb="FF2C5282"/>
      </patternFill>
    </fill>
    <fill>
      <patternFill patternType="solid">
        <fgColor rgb="FFFFFFFF"/>
        <bgColor rgb="FFFFFFFF"/>
      </patternFill>
    </fill>
    <fill>
      <patternFill patternType="solid">
        <fgColor rgb="FFFFF9DB"/>
        <bgColor rgb="FFFFF9DB"/>
      </patternFill>
    </fill>
    <fill>
      <patternFill patternType="solid">
        <fgColor rgb="FFE0F2FE"/>
        <bgColor rgb="FFE0F2FE"/>
      </patternFill>
    </fill>
    <fill>
      <patternFill patternType="solid">
        <fgColor rgb="FFEBF3FA"/>
        <bgColor rgb="FFEBF3FA"/>
      </patternFill>
    </fill>
    <fill>
      <patternFill patternType="solid">
        <fgColor rgb="FFF8FAFC"/>
        <bgColor rgb="FFF8FAFC"/>
      </patternFill>
    </fill>
    <fill>
      <patternFill patternType="solid">
        <fgColor rgb="FFE0E7FF"/>
        <bgColor rgb="FFE0E7FF"/>
      </patternFill>
    </fill>
    <fill>
      <patternFill patternType="solid">
        <fgColor rgb="FFCCFBF1"/>
        <bgColor rgb="FFCCFBF1"/>
      </patternFill>
    </fill>
    <fill>
      <patternFill patternType="solid">
        <fgColor rgb="FFFFEDD5"/>
        <bgColor rgb="FFFFEDD5"/>
      </patternFill>
    </fill>
    <fill>
      <patternFill patternType="solid">
        <fgColor rgb="FF0F766E"/>
        <bgColor rgb="FF0F766E"/>
      </patternFill>
    </fill>
    <fill>
      <patternFill patternType="solid">
        <fgColor rgb="FF334155"/>
        <bgColor rgb="FF334155"/>
      </patternFill>
    </fill>
    <fill>
      <patternFill patternType="solid">
        <fgColor rgb="FFF0FDFA"/>
        <bgColor rgb="FFF0FDFA"/>
      </patternFill>
    </fill>
    <fill>
      <patternFill patternType="solid">
        <fgColor rgb="FFB45309"/>
        <bgColor rgb="FFB45309"/>
      </patternFill>
    </fill>
    <fill>
      <patternFill patternType="solid">
        <fgColor rgb="FFF2F2F2"/>
        <bgColor rgb="FFF2F2F2"/>
      </patternFill>
    </fill>
    <fill>
      <patternFill patternType="solid">
        <fgColor rgb="FFD9D9D9"/>
        <bgColor rgb="FFD9D9D9"/>
      </patternFill>
    </fill>
  </fills>
  <borders count="178">
    <border>
      <left/>
      <right/>
      <top/>
      <bottom/>
      <diagonal/>
    </border>
    <border>
      <left/>
      <right/>
      <top style="dashed">
        <color auto="1"/>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
      <left/>
      <right/>
      <top/>
      <bottom style="thin">
        <color auto="1"/>
      </bottom>
      <diagonal/>
    </border>
    <border>
      <left style="thin">
        <color auto="1"/>
      </left>
      <right/>
      <top/>
      <bottom/>
      <diagonal/>
    </border>
    <border>
      <left style="thin">
        <color auto="1"/>
      </left>
      <right/>
      <top style="thin">
        <color auto="1"/>
      </top>
      <bottom/>
      <diagonal/>
    </border>
    <border>
      <left/>
      <right/>
      <top style="thin">
        <color auto="1"/>
      </top>
      <bottom style="thin">
        <color auto="1"/>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bottom/>
      <diagonal/>
    </border>
    <border diagonalUp="1">
      <left style="thin">
        <color auto="1"/>
      </left>
      <right style="thin">
        <color auto="1"/>
      </right>
      <top style="thin">
        <color auto="1"/>
      </top>
      <bottom style="thin">
        <color auto="1"/>
      </bottom>
      <diagonal style="thin">
        <color auto="1"/>
      </diagonal>
    </border>
    <border diagonalUp="1">
      <left/>
      <right style="thin">
        <color auto="1"/>
      </right>
      <top/>
      <bottom/>
      <diagonal style="hair">
        <color auto="1"/>
      </diagonal>
    </border>
    <border diagonalUp="1">
      <left style="thin">
        <color auto="1"/>
      </left>
      <right style="thin">
        <color auto="1"/>
      </right>
      <top style="thin">
        <color auto="1"/>
      </top>
      <bottom style="thin">
        <color auto="1"/>
      </bottom>
      <diagonal style="hair">
        <color auto="1"/>
      </diagonal>
    </border>
    <border diagonalUp="1">
      <left style="thin">
        <color auto="1"/>
      </left>
      <right style="thin">
        <color auto="1"/>
      </right>
      <top/>
      <bottom style="thin">
        <color auto="1"/>
      </bottom>
      <diagonal style="hair">
        <color auto="1"/>
      </diagonal>
    </border>
    <border>
      <left style="thin">
        <color rgb="FF808080"/>
      </left>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auto="1"/>
      </left>
      <right style="thin">
        <color rgb="FF808080"/>
      </right>
      <top/>
      <bottom/>
      <diagonal/>
    </border>
    <border>
      <left style="dashed">
        <color auto="1"/>
      </left>
      <right/>
      <top style="dashed">
        <color auto="1"/>
      </top>
      <bottom style="thin">
        <color auto="1"/>
      </bottom>
      <diagonal/>
    </border>
    <border>
      <left/>
      <right/>
      <top style="dashed">
        <color auto="1"/>
      </top>
      <bottom style="thin">
        <color auto="1"/>
      </bottom>
      <diagonal/>
    </border>
    <border>
      <left/>
      <right style="thin">
        <color auto="1"/>
      </right>
      <top style="dashed">
        <color auto="1"/>
      </top>
      <bottom style="thin">
        <color auto="1"/>
      </bottom>
      <diagonal/>
    </border>
    <border>
      <left style="thin">
        <color auto="1"/>
      </left>
      <right style="thin">
        <color auto="1"/>
      </right>
      <top style="dashed">
        <color auto="1"/>
      </top>
      <bottom style="thin">
        <color auto="1"/>
      </bottom>
      <diagonal/>
    </border>
    <border>
      <left style="thin">
        <color auto="1"/>
      </left>
      <right/>
      <top style="hair">
        <color auto="1"/>
      </top>
      <bottom style="hair">
        <color auto="1"/>
      </bottom>
      <diagonal/>
    </border>
    <border>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style="thin">
        <color auto="1"/>
      </left>
      <right/>
      <top style="thin">
        <color auto="1"/>
      </top>
      <bottom style="dashed">
        <color auto="1"/>
      </bottom>
      <diagonal/>
    </border>
    <border>
      <left/>
      <right style="thin">
        <color auto="1"/>
      </right>
      <top style="thin">
        <color auto="1"/>
      </top>
      <bottom style="dashed">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bottom style="hair">
        <color auto="1"/>
      </bottom>
      <diagonal/>
    </border>
    <border>
      <left style="thin">
        <color auto="1"/>
      </left>
      <right style="thin">
        <color auto="1"/>
      </right>
      <top style="hair">
        <color auto="1"/>
      </top>
      <bottom/>
      <diagonal/>
    </border>
    <border>
      <left/>
      <right/>
      <top style="thin">
        <color auto="1"/>
      </top>
      <bottom style="double">
        <color auto="1"/>
      </bottom>
      <diagonal/>
    </border>
    <border>
      <left/>
      <right/>
      <top/>
      <bottom style="medium">
        <color auto="1"/>
      </bottom>
      <diagonal/>
    </border>
    <border>
      <left style="medium">
        <color auto="1"/>
      </left>
      <right style="medium">
        <color auto="1"/>
      </right>
      <top style="medium">
        <color auto="1"/>
      </top>
      <bottom style="thin">
        <color auto="1"/>
      </bottom>
      <diagonal/>
    </border>
    <border>
      <left style="medium">
        <color auto="1"/>
      </left>
      <right style="double">
        <color auto="1"/>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double">
        <color auto="1"/>
      </right>
      <top/>
      <bottom/>
      <diagonal/>
    </border>
    <border>
      <left style="medium">
        <color auto="1"/>
      </left>
      <right style="medium">
        <color auto="1"/>
      </right>
      <top style="thin">
        <color auto="1"/>
      </top>
      <bottom/>
      <diagonal/>
    </border>
    <border>
      <left style="medium">
        <color auto="1"/>
      </left>
      <right style="medium">
        <color auto="1"/>
      </right>
      <top/>
      <bottom/>
      <diagonal/>
    </border>
    <border>
      <left style="medium">
        <color auto="1"/>
      </left>
      <right style="medium">
        <color auto="1"/>
      </right>
      <top style="thin">
        <color auto="1"/>
      </top>
      <bottom style="medium">
        <color auto="1"/>
      </bottom>
      <diagonal/>
    </border>
    <border>
      <left style="medium">
        <color auto="1"/>
      </left>
      <right style="double">
        <color auto="1"/>
      </right>
      <top style="thin">
        <color auto="1"/>
      </top>
      <bottom style="medium">
        <color auto="1"/>
      </bottom>
      <diagonal/>
    </border>
    <border>
      <left/>
      <right style="medium">
        <color auto="1"/>
      </right>
      <top style="thin">
        <color auto="1"/>
      </top>
      <bottom style="medium">
        <color auto="1"/>
      </bottom>
      <diagonal/>
    </border>
    <border>
      <left/>
      <right/>
      <top style="medium">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medium">
        <color auto="1"/>
      </left>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double">
        <color auto="1"/>
      </left>
      <right style="thin">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double">
        <color auto="1"/>
      </right>
      <top/>
      <bottom style="medium">
        <color auto="1"/>
      </bottom>
      <diagonal/>
    </border>
    <border>
      <left style="double">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bottom style="medium">
        <color auto="1"/>
      </bottom>
      <diagonal/>
    </border>
    <border>
      <left style="double">
        <color auto="1"/>
      </left>
      <right style="medium">
        <color auto="1"/>
      </right>
      <top style="medium">
        <color auto="1"/>
      </top>
      <bottom style="medium">
        <color auto="1"/>
      </bottom>
      <diagonal/>
    </border>
    <border>
      <left/>
      <right/>
      <top/>
      <bottom style="double">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right style="medium">
        <color auto="1"/>
      </right>
      <top/>
      <bottom/>
      <diagonal/>
    </border>
    <border>
      <left style="medium">
        <color auto="1"/>
      </left>
      <right style="thin">
        <color auto="1"/>
      </right>
      <top style="thin">
        <color auto="1"/>
      </top>
      <bottom style="medium">
        <color auto="1"/>
      </bottom>
      <diagonal/>
    </border>
    <border diagonalUp="1">
      <left style="thin">
        <color auto="1"/>
      </left>
      <right style="thin">
        <color auto="1"/>
      </right>
      <top style="thin">
        <color auto="1"/>
      </top>
      <bottom style="medium">
        <color auto="1"/>
      </bottom>
      <diagonal style="thin">
        <color auto="1"/>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diagonalUp="1">
      <left style="thin">
        <color auto="1"/>
      </left>
      <right style="medium">
        <color auto="1"/>
      </right>
      <top style="thin">
        <color auto="1"/>
      </top>
      <bottom style="medium">
        <color auto="1"/>
      </bottom>
      <diagonal style="thin">
        <color auto="1"/>
      </diagonal>
    </border>
    <border>
      <left style="thin">
        <color auto="1"/>
      </left>
      <right style="medium">
        <color auto="1"/>
      </right>
      <top style="thin">
        <color auto="1"/>
      </top>
      <bottom style="thin">
        <color auto="1"/>
      </bottom>
      <diagonal/>
    </border>
    <border>
      <left style="thin">
        <color auto="1"/>
      </left>
      <right/>
      <top/>
      <bottom style="medium">
        <color auto="1"/>
      </bottom>
      <diagonal/>
    </border>
    <border>
      <left/>
      <right style="thin">
        <color auto="1"/>
      </right>
      <top/>
      <bottom style="medium">
        <color auto="1"/>
      </bottom>
      <diagonal/>
    </border>
    <border diagonalUp="1">
      <left style="thin">
        <color auto="1"/>
      </left>
      <right style="thin">
        <color auto="1"/>
      </right>
      <top/>
      <bottom style="medium">
        <color auto="1"/>
      </bottom>
      <diagonal style="thin">
        <color auto="1"/>
      </diagonal>
    </border>
    <border diagonalUp="1">
      <left style="thin">
        <color auto="1"/>
      </left>
      <right style="medium">
        <color auto="1"/>
      </right>
      <top/>
      <bottom style="medium">
        <color auto="1"/>
      </bottom>
      <diagonal style="thin">
        <color auto="1"/>
      </diagonal>
    </border>
    <border>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diagonal/>
    </border>
    <border>
      <left style="double">
        <color auto="1"/>
      </left>
      <right style="double">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double">
        <color auto="1"/>
      </left>
      <right style="double">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double">
        <color auto="1"/>
      </left>
      <right style="thin">
        <color auto="1"/>
      </right>
      <top style="thin">
        <color auto="1"/>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medium">
        <color auto="1"/>
      </left>
      <right/>
      <top/>
      <bottom style="medium">
        <color auto="1"/>
      </bottom>
      <diagonal/>
    </border>
    <border>
      <left/>
      <right style="double">
        <color auto="1"/>
      </right>
      <top style="medium">
        <color auto="1"/>
      </top>
      <bottom/>
      <diagonal/>
    </border>
    <border>
      <left style="double">
        <color auto="1"/>
      </left>
      <right style="medium">
        <color auto="1"/>
      </right>
      <top style="medium">
        <color auto="1"/>
      </top>
      <bottom style="thin">
        <color auto="1"/>
      </bottom>
      <diagonal/>
    </border>
    <border>
      <left/>
      <right style="double">
        <color auto="1"/>
      </right>
      <top style="thin">
        <color auto="1"/>
      </top>
      <bottom/>
      <diagonal/>
    </border>
    <border>
      <left/>
      <right style="double">
        <color auto="1"/>
      </right>
      <top/>
      <bottom/>
      <diagonal/>
    </border>
    <border>
      <left/>
      <right style="double">
        <color auto="1"/>
      </right>
      <top/>
      <bottom style="thin">
        <color auto="1"/>
      </bottom>
      <diagonal/>
    </border>
    <border>
      <left/>
      <right style="double">
        <color auto="1"/>
      </right>
      <top/>
      <bottom style="medium">
        <color auto="1"/>
      </bottom>
      <diagonal/>
    </border>
    <border>
      <left style="medium">
        <color auto="1"/>
      </left>
      <right/>
      <top style="thin">
        <color auto="1"/>
      </top>
      <bottom style="medium">
        <color auto="1"/>
      </bottom>
      <diagonal/>
    </border>
    <border>
      <left style="double">
        <color auto="1"/>
      </left>
      <right/>
      <top/>
      <bottom/>
      <diagonal/>
    </border>
    <border>
      <left style="double">
        <color auto="1"/>
      </left>
      <right style="medium">
        <color auto="1"/>
      </right>
      <top style="thin">
        <color auto="1"/>
      </top>
      <bottom style="medium">
        <color auto="1"/>
      </bottom>
      <diagonal/>
    </border>
    <border diagonalUp="1">
      <left/>
      <right style="medium">
        <color auto="1"/>
      </right>
      <top style="thin">
        <color auto="1"/>
      </top>
      <bottom style="medium">
        <color auto="1"/>
      </bottom>
      <diagonal style="thin">
        <color auto="1"/>
      </diagonal>
    </border>
    <border>
      <left style="thin">
        <color auto="1"/>
      </left>
      <right style="thin">
        <color auto="1"/>
      </right>
      <top style="medium">
        <color auto="1"/>
      </top>
      <bottom/>
      <diagonal/>
    </border>
    <border>
      <left style="medium">
        <color auto="1"/>
      </left>
      <right style="double">
        <color auto="1"/>
      </right>
      <top style="thin">
        <color auto="1"/>
      </top>
      <bottom style="thin">
        <color auto="1"/>
      </bottom>
      <diagonal/>
    </border>
    <border>
      <left style="double">
        <color auto="1"/>
      </left>
      <right/>
      <top style="thin">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diagonal/>
    </border>
    <border>
      <left style="thin">
        <color auto="1"/>
      </left>
      <right style="double">
        <color auto="1"/>
      </right>
      <top/>
      <bottom style="thin">
        <color auto="1"/>
      </bottom>
      <diagonal/>
    </border>
    <border>
      <left style="thin">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thin">
        <color auto="1"/>
      </left>
      <right style="double">
        <color auto="1"/>
      </right>
      <top style="medium">
        <color auto="1"/>
      </top>
      <bottom style="medium">
        <color auto="1"/>
      </bottom>
      <diagonal/>
    </border>
    <border>
      <left/>
      <right style="medium">
        <color auto="1"/>
      </right>
      <top/>
      <bottom style="hair">
        <color auto="1"/>
      </bottom>
      <diagonal/>
    </border>
    <border>
      <left/>
      <right/>
      <top style="thin">
        <color auto="1"/>
      </top>
      <bottom style="medium">
        <color auto="1"/>
      </bottom>
      <diagonal/>
    </border>
    <border>
      <left/>
      <right style="double">
        <color auto="1"/>
      </right>
      <top style="thin">
        <color auto="1"/>
      </top>
      <bottom style="thin">
        <color auto="1"/>
      </bottom>
      <diagonal/>
    </border>
    <border>
      <left style="double">
        <color auto="1"/>
      </left>
      <right style="double">
        <color auto="1"/>
      </right>
      <top/>
      <bottom/>
      <diagonal/>
    </border>
    <border>
      <left style="double">
        <color auto="1"/>
      </left>
      <right style="double">
        <color auto="1"/>
      </right>
      <top/>
      <bottom style="medium">
        <color auto="1"/>
      </bottom>
      <diagonal/>
    </border>
    <border>
      <left/>
      <right style="double">
        <color auto="1"/>
      </right>
      <top style="medium">
        <color auto="1"/>
      </top>
      <bottom style="medium">
        <color auto="1"/>
      </bottom>
      <diagonal/>
    </border>
    <border>
      <left style="double">
        <color auto="1"/>
      </left>
      <right style="thin">
        <color auto="1"/>
      </right>
      <top style="medium">
        <color auto="1"/>
      </top>
      <bottom style="medium">
        <color auto="1"/>
      </bottom>
      <diagonal/>
    </border>
    <border>
      <left/>
      <right/>
      <top style="medium">
        <color auto="1"/>
      </top>
      <bottom style="medium">
        <color auto="1"/>
      </bottom>
      <diagonal/>
    </border>
    <border>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thin">
        <color auto="1"/>
      </right>
      <top style="medium">
        <color auto="1"/>
      </top>
      <bottom style="thin">
        <color auto="1"/>
      </bottom>
      <diagonal/>
    </border>
    <border>
      <left style="double">
        <color auto="1"/>
      </left>
      <right style="thin">
        <color auto="1"/>
      </right>
      <top/>
      <bottom style="thin">
        <color auto="1"/>
      </bottom>
      <diagonal/>
    </border>
    <border>
      <left style="double">
        <color auto="1"/>
      </left>
      <right style="double">
        <color auto="1"/>
      </right>
      <top style="medium">
        <color auto="1"/>
      </top>
      <bottom/>
      <diagonal/>
    </border>
    <border>
      <left style="double">
        <color auto="1"/>
      </left>
      <right style="thin">
        <color auto="1"/>
      </right>
      <top style="thin">
        <color auto="1"/>
      </top>
      <bottom/>
      <diagonal/>
    </border>
    <border diagonalUp="1">
      <left/>
      <right style="thin">
        <color auto="1"/>
      </right>
      <top style="thin">
        <color auto="1"/>
      </top>
      <bottom style="medium">
        <color auto="1"/>
      </bottom>
      <diagonal style="thin">
        <color auto="1"/>
      </diagonal>
    </border>
    <border>
      <left style="thin">
        <color auto="1"/>
      </left>
      <right/>
      <top style="medium">
        <color auto="1"/>
      </top>
      <bottom style="thin">
        <color auto="1"/>
      </bottom>
      <diagonal/>
    </border>
    <border>
      <left style="thin">
        <color auto="1"/>
      </left>
      <right style="double">
        <color auto="1"/>
      </right>
      <top/>
      <bottom/>
      <diagonal/>
    </border>
    <border>
      <left style="medium">
        <color auto="1"/>
      </left>
      <right style="double">
        <color auto="1"/>
      </right>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hair">
        <color auto="1"/>
      </bottom>
      <diagonal/>
    </border>
    <border>
      <left style="thin">
        <color auto="1"/>
      </left>
      <right style="medium">
        <color auto="1"/>
      </right>
      <top/>
      <bottom style="hair">
        <color auto="1"/>
      </bottom>
      <diagonal/>
    </border>
    <border>
      <left style="medium">
        <color auto="1"/>
      </left>
      <right style="medium">
        <color auto="1"/>
      </right>
      <top style="medium">
        <color auto="1"/>
      </top>
      <bottom/>
      <diagonal/>
    </border>
    <border>
      <left/>
      <right style="thin">
        <color auto="1"/>
      </right>
      <top/>
      <bottom style="hair">
        <color auto="1"/>
      </bottom>
      <diagonal/>
    </border>
    <border>
      <left style="medium">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diagonalUp="1">
      <left style="thin">
        <color auto="1"/>
      </left>
      <right style="medium">
        <color auto="1"/>
      </right>
      <top style="thin">
        <color auto="1"/>
      </top>
      <bottom style="thin">
        <color auto="1"/>
      </bottom>
      <diagonal style="thin">
        <color auto="1"/>
      </diagonal>
    </border>
    <border>
      <left/>
      <right style="thin">
        <color auto="1"/>
      </right>
      <top style="thin">
        <color auto="1"/>
      </top>
      <bottom style="hair">
        <color auto="1"/>
      </bottom>
      <diagonal/>
    </border>
    <border>
      <left style="medium">
        <color auto="1"/>
      </left>
      <right style="thin">
        <color auto="1"/>
      </right>
      <top style="thin">
        <color auto="1"/>
      </top>
      <bottom style="hair">
        <color auto="1"/>
      </bottom>
      <diagonal/>
    </border>
    <border>
      <left/>
      <right style="thin">
        <color auto="1"/>
      </right>
      <top style="hair">
        <color auto="1"/>
      </top>
      <bottom/>
      <diagonal/>
    </border>
    <border>
      <left style="medium">
        <color auto="1"/>
      </left>
      <right style="thin">
        <color auto="1"/>
      </right>
      <top style="hair">
        <color auto="1"/>
      </top>
      <bottom/>
      <diagonal/>
    </border>
    <border>
      <left style="double">
        <color auto="1"/>
      </left>
      <right style="thin">
        <color auto="1"/>
      </right>
      <top style="thin">
        <color auto="1"/>
      </top>
      <bottom style="medium">
        <color auto="1"/>
      </bottom>
      <diagonal/>
    </border>
    <border>
      <left/>
      <right/>
      <top/>
      <bottom/>
      <diagonal/>
    </border>
    <border>
      <left/>
      <right/>
      <top/>
      <bottom style="medium">
        <color rgb="FF10B981"/>
      </bottom>
      <diagonal/>
    </border>
    <border>
      <left style="thin">
        <color rgb="FF93C5FD"/>
      </left>
      <right style="thin">
        <color rgb="FF93C5FD"/>
      </right>
      <top style="thin">
        <color rgb="FF93C5FD"/>
      </top>
      <bottom style="thin">
        <color rgb="FF93C5FD"/>
      </bottom>
      <diagonal/>
    </border>
    <border>
      <left/>
      <right/>
      <top/>
      <bottom style="thin">
        <color rgb="FFCBD5E1"/>
      </bottom>
      <diagonal/>
    </border>
    <border>
      <left style="thin">
        <color rgb="FFCBD5E1"/>
      </left>
      <right style="thin">
        <color rgb="FFCBD5E1"/>
      </right>
      <top style="thin">
        <color rgb="FFCBD5E1"/>
      </top>
      <bottom style="thin">
        <color rgb="FFCBD5E1"/>
      </bottom>
      <diagonal/>
    </border>
    <border>
      <left style="medium">
        <color rgb="FFD97706"/>
      </left>
      <right style="medium">
        <color rgb="FFD97706"/>
      </right>
      <top style="medium">
        <color rgb="FFD97706"/>
      </top>
      <bottom style="medium">
        <color rgb="FFD97706"/>
      </bottom>
      <diagonal/>
    </border>
    <border>
      <left style="thin">
        <color rgb="FFCBD5E1"/>
      </left>
      <right style="thin">
        <color rgb="FFCBD5E1"/>
      </right>
      <top style="thin">
        <color rgb="FFCBD5E1"/>
      </top>
      <bottom style="double">
        <color rgb="FF1B365D"/>
      </bottom>
      <diagonal/>
    </border>
    <border>
      <left style="thin">
        <color rgb="FFD97706"/>
      </left>
      <right style="thin">
        <color rgb="FFD97706"/>
      </right>
      <top style="thin">
        <color rgb="FFCBD5E1"/>
      </top>
      <bottom style="thin">
        <color rgb="FFCBD5E1"/>
      </bottom>
      <diagonal/>
    </border>
    <border>
      <left style="medium">
        <color rgb="FF808080"/>
      </left>
      <right style="medium">
        <color rgb="FF808080"/>
      </right>
      <top style="medium">
        <color rgb="FF808080"/>
      </top>
      <bottom style="medium">
        <color rgb="FF808080"/>
      </bottom>
      <diagonal/>
    </border>
    <border>
      <left style="thin">
        <color rgb="FF808080"/>
      </left>
      <right style="thin">
        <color rgb="FF808080"/>
      </right>
      <top style="thin">
        <color rgb="FF808080"/>
      </top>
      <bottom style="double">
        <color rgb="FF808080"/>
      </bottom>
      <diagonal/>
    </border>
    <border>
      <left/>
      <right/>
      <top/>
      <bottom style="medium">
        <color rgb="FF808080"/>
      </bottom>
      <diagonal/>
    </border>
    <border>
      <left/>
      <right/>
      <top/>
      <bottom style="thin">
        <color rgb="FF808080"/>
      </bottom>
      <diagonal/>
    </border>
  </borders>
  <cellStyleXfs count="6">
    <xf numFmtId="0" fontId="0" fillId="0" borderId="0"/>
    <xf numFmtId="176" fontId="154" fillId="0" borderId="0" applyBorder="0" applyAlignment="0" applyProtection="0"/>
    <xf numFmtId="9" fontId="154" fillId="0" borderId="0" applyBorder="0" applyAlignment="0" applyProtection="0"/>
    <xf numFmtId="0" fontId="154" fillId="0" borderId="0"/>
    <xf numFmtId="176" fontId="154" fillId="0" borderId="0" applyBorder="0" applyAlignment="0" applyProtection="0"/>
    <xf numFmtId="0" fontId="154" fillId="0" borderId="0"/>
  </cellStyleXfs>
  <cellXfs count="3179">
    <xf numFmtId="0" fontId="0" fillId="0" borderId="0" xfId="0"/>
    <xf numFmtId="0" fontId="2" fillId="0" borderId="0" xfId="0" applyFont="1" applyBorder="1" applyAlignment="1"/>
    <xf numFmtId="0" fontId="2" fillId="0" borderId="0" xfId="0" applyFont="1" applyBorder="1" applyAlignment="1">
      <alignment horizontal="center" vertical="center"/>
    </xf>
    <xf numFmtId="0" fontId="2" fillId="0" borderId="0" xfId="0" applyFont="1" applyBorder="1" applyAlignment="1">
      <alignment horizontal="center"/>
    </xf>
    <xf numFmtId="0" fontId="2" fillId="0" borderId="0" xfId="0" applyFont="1" applyBorder="1" applyAlignment="1">
      <alignment horizontal="distributed" vertical="center"/>
    </xf>
    <xf numFmtId="0" fontId="3" fillId="0" borderId="0" xfId="0" applyFont="1" applyBorder="1" applyAlignment="1">
      <alignment horizontal="center"/>
    </xf>
    <xf numFmtId="0" fontId="2" fillId="0" borderId="0" xfId="0" applyFont="1" applyBorder="1" applyAlignment="1">
      <alignment vertical="center"/>
    </xf>
    <xf numFmtId="178" fontId="2" fillId="0" borderId="0" xfId="0" applyNumberFormat="1" applyFont="1" applyBorder="1" applyAlignment="1">
      <alignment horizontal="center" vertical="center"/>
    </xf>
    <xf numFmtId="0" fontId="2" fillId="0" borderId="0" xfId="0" applyFont="1" applyBorder="1" applyAlignment="1">
      <alignment vertical="top"/>
    </xf>
    <xf numFmtId="0" fontId="2" fillId="0" borderId="0" xfId="0" applyFont="1" applyBorder="1" applyAlignment="1">
      <alignment horizontal="center" vertical="center" textRotation="255"/>
    </xf>
    <xf numFmtId="0" fontId="6" fillId="0" borderId="0" xfId="0" applyFont="1" applyBorder="1" applyAlignment="1">
      <alignment horizontal="center"/>
    </xf>
    <xf numFmtId="178" fontId="2" fillId="0" borderId="0" xfId="0" applyNumberFormat="1" applyFont="1" applyBorder="1" applyAlignment="1">
      <alignment horizontal="left" vertical="center"/>
    </xf>
    <xf numFmtId="0" fontId="2" fillId="0" borderId="0" xfId="0" applyFont="1" applyBorder="1" applyAlignment="1">
      <alignment horizontal="center" vertical="top"/>
    </xf>
    <xf numFmtId="178" fontId="2" fillId="0" borderId="0" xfId="0" applyNumberFormat="1" applyFont="1" applyBorder="1" applyAlignment="1">
      <alignment horizontal="right" vertical="top"/>
    </xf>
    <xf numFmtId="0" fontId="2" fillId="0" borderId="0" xfId="0" applyFont="1" applyBorder="1" applyAlignment="1">
      <alignment horizontal="left" vertical="top"/>
    </xf>
    <xf numFmtId="178" fontId="2" fillId="0" borderId="0" xfId="0" applyNumberFormat="1" applyFont="1" applyBorder="1" applyAlignment="1">
      <alignment horizontal="right" vertical="center"/>
    </xf>
    <xf numFmtId="0" fontId="2" fillId="0" borderId="0" xfId="0" applyFont="1" applyBorder="1" applyAlignment="1">
      <alignment horizontal="left" vertical="center"/>
    </xf>
    <xf numFmtId="0" fontId="2" fillId="0" borderId="0" xfId="0" applyFont="1" applyBorder="1" applyAlignment="1">
      <alignment horizontal="right" vertical="center"/>
    </xf>
    <xf numFmtId="178" fontId="2" fillId="0" borderId="0" xfId="0" applyNumberFormat="1" applyFont="1" applyBorder="1" applyAlignment="1">
      <alignment horizontal="center"/>
    </xf>
    <xf numFmtId="0" fontId="2" fillId="0" borderId="0" xfId="0" applyFont="1" applyBorder="1" applyAlignment="1">
      <alignment vertical="top"/>
    </xf>
    <xf numFmtId="178" fontId="2" fillId="0" borderId="0" xfId="0" applyNumberFormat="1" applyFont="1" applyBorder="1" applyAlignment="1">
      <alignment horizontal="distributed"/>
    </xf>
    <xf numFmtId="0" fontId="2" fillId="0" borderId="0" xfId="0" applyFont="1" applyBorder="1" applyAlignment="1">
      <alignment horizontal="distributed"/>
    </xf>
    <xf numFmtId="178" fontId="2" fillId="0" borderId="0" xfId="0" applyNumberFormat="1" applyFont="1" applyBorder="1" applyAlignment="1"/>
    <xf numFmtId="0" fontId="9" fillId="0" borderId="0" xfId="0" applyFont="1" applyBorder="1" applyAlignment="1">
      <alignment horizontal="distributed" vertical="center"/>
    </xf>
    <xf numFmtId="178" fontId="2" fillId="0" borderId="0" xfId="0" applyNumberFormat="1" applyFont="1" applyBorder="1" applyAlignment="1">
      <alignment horizontal="left" vertical="top"/>
    </xf>
    <xf numFmtId="178" fontId="2" fillId="0" borderId="0" xfId="0" applyNumberFormat="1" applyFont="1" applyBorder="1" applyAlignment="1">
      <alignment horizontal="center" vertical="top"/>
    </xf>
    <xf numFmtId="0" fontId="6" fillId="0" borderId="0" xfId="0" applyFont="1" applyBorder="1" applyAlignment="1">
      <alignment horizontal="center" vertical="center"/>
    </xf>
    <xf numFmtId="0" fontId="11" fillId="0" borderId="0" xfId="0" applyFont="1" applyAlignment="1"/>
    <xf numFmtId="0" fontId="13" fillId="0" borderId="0" xfId="0" applyFont="1" applyAlignment="1">
      <alignment horizontal="center"/>
    </xf>
    <xf numFmtId="0" fontId="0" fillId="0" borderId="0" xfId="0" applyFont="1" applyAlignment="1">
      <alignment horizontal="center"/>
    </xf>
    <xf numFmtId="0" fontId="11" fillId="0" borderId="0" xfId="0" applyFont="1" applyAlignment="1">
      <alignment horizontal="distributed" vertical="center"/>
    </xf>
    <xf numFmtId="0" fontId="16" fillId="0" borderId="0" xfId="0" applyFont="1" applyAlignment="1">
      <alignment horizontal="distributed" vertical="center"/>
    </xf>
    <xf numFmtId="0" fontId="11" fillId="0" borderId="1" xfId="0" applyFont="1" applyBorder="1" applyAlignment="1"/>
    <xf numFmtId="0" fontId="14" fillId="0" borderId="0" xfId="0" applyFont="1" applyAlignment="1">
      <alignment horizontal="distributed" vertical="center"/>
    </xf>
    <xf numFmtId="0" fontId="14" fillId="0" borderId="0" xfId="0" applyFont="1" applyAlignment="1"/>
    <xf numFmtId="0" fontId="11" fillId="0" borderId="0" xfId="0" applyFont="1" applyBorder="1" applyAlignment="1"/>
    <xf numFmtId="0" fontId="0" fillId="0" borderId="0" xfId="0" applyFont="1" applyAlignment="1">
      <alignment horizontal="distributed" vertical="center"/>
    </xf>
    <xf numFmtId="0" fontId="11" fillId="0" borderId="0" xfId="0" applyFont="1" applyAlignment="1">
      <alignment horizontal="right" vertical="center"/>
    </xf>
    <xf numFmtId="0" fontId="16" fillId="0" borderId="0" xfId="0" applyFont="1" applyBorder="1" applyAlignment="1">
      <alignment horizontal="distributed" vertical="center"/>
    </xf>
    <xf numFmtId="0" fontId="14" fillId="0" borderId="0" xfId="0" applyFont="1" applyBorder="1" applyAlignment="1"/>
    <xf numFmtId="0" fontId="17" fillId="0" borderId="0" xfId="0" applyFont="1" applyBorder="1" applyAlignment="1"/>
    <xf numFmtId="0" fontId="17" fillId="0" borderId="0" xfId="0" applyFont="1" applyBorder="1" applyAlignment="1">
      <alignment horizontal="center" vertical="center"/>
    </xf>
    <xf numFmtId="0" fontId="18" fillId="0" borderId="0" xfId="0" applyFont="1" applyBorder="1" applyAlignment="1">
      <alignment horizontal="center" vertical="center"/>
    </xf>
    <xf numFmtId="0" fontId="18" fillId="0" borderId="0" xfId="0" applyFont="1" applyBorder="1" applyAlignment="1">
      <alignment horizontal="center"/>
    </xf>
    <xf numFmtId="0" fontId="18" fillId="0" borderId="0" xfId="0" applyFont="1" applyBorder="1" applyAlignment="1">
      <alignment horizontal="distributed" vertical="center"/>
    </xf>
    <xf numFmtId="0" fontId="19" fillId="0" borderId="0" xfId="0" applyFont="1" applyBorder="1" applyAlignment="1">
      <alignment vertical="center"/>
    </xf>
    <xf numFmtId="0" fontId="20" fillId="0" borderId="0" xfId="0" applyFont="1" applyBorder="1" applyAlignment="1">
      <alignment horizontal="distributed" vertical="center"/>
    </xf>
    <xf numFmtId="0" fontId="21" fillId="0" borderId="0" xfId="0" applyFont="1" applyBorder="1" applyAlignment="1">
      <alignment vertical="center"/>
    </xf>
    <xf numFmtId="0" fontId="17" fillId="0" borderId="0" xfId="0" applyFont="1" applyBorder="1" applyAlignment="1">
      <alignment vertical="center"/>
    </xf>
    <xf numFmtId="0" fontId="22" fillId="0" borderId="0" xfId="0" applyFont="1" applyBorder="1" applyAlignment="1">
      <alignment vertical="center"/>
    </xf>
    <xf numFmtId="0" fontId="18" fillId="0" borderId="0" xfId="0" applyFont="1" applyBorder="1" applyAlignment="1"/>
    <xf numFmtId="0" fontId="18" fillId="0" borderId="0" xfId="0" applyFont="1" applyBorder="1" applyAlignment="1">
      <alignment horizontal="left" vertical="distributed" wrapText="1"/>
    </xf>
    <xf numFmtId="0" fontId="17" fillId="0" borderId="0" xfId="0" applyFont="1" applyBorder="1" applyAlignment="1">
      <alignment vertical="top"/>
    </xf>
    <xf numFmtId="178" fontId="18" fillId="0" borderId="0" xfId="0" applyNumberFormat="1" applyFont="1" applyBorder="1" applyAlignment="1">
      <alignment horizontal="center" vertical="center"/>
    </xf>
    <xf numFmtId="0" fontId="18" fillId="0" borderId="0" xfId="0" applyFont="1" applyBorder="1" applyAlignment="1">
      <alignment horizontal="left" vertical="center"/>
    </xf>
    <xf numFmtId="0" fontId="22" fillId="0" borderId="0" xfId="0" applyFont="1" applyBorder="1" applyAlignment="1">
      <alignment horizontal="left" vertical="center"/>
    </xf>
    <xf numFmtId="201" fontId="22" fillId="0" borderId="0" xfId="0" applyNumberFormat="1" applyFont="1" applyBorder="1" applyAlignment="1">
      <alignment horizontal="left" vertical="center"/>
    </xf>
    <xf numFmtId="178" fontId="18" fillId="0" borderId="0" xfId="0" applyNumberFormat="1" applyFont="1" applyBorder="1" applyAlignment="1">
      <alignment horizontal="left" vertical="center"/>
    </xf>
    <xf numFmtId="0" fontId="18" fillId="0" borderId="0" xfId="0" applyFont="1" applyBorder="1" applyAlignment="1">
      <alignment horizontal="center" vertical="top"/>
    </xf>
    <xf numFmtId="0" fontId="18" fillId="0" borderId="0" xfId="0" applyFont="1" applyBorder="1" applyAlignment="1">
      <alignment vertical="top"/>
    </xf>
    <xf numFmtId="0" fontId="18" fillId="0" borderId="0" xfId="0" applyFont="1" applyBorder="1" applyAlignment="1">
      <alignment horizontal="left" vertical="top"/>
    </xf>
    <xf numFmtId="178" fontId="18" fillId="0" borderId="0" xfId="0" applyNumberFormat="1" applyFont="1" applyBorder="1" applyAlignment="1">
      <alignment horizontal="right" vertical="center"/>
    </xf>
    <xf numFmtId="0" fontId="24" fillId="0" borderId="0" xfId="0" applyFont="1" applyBorder="1" applyAlignment="1">
      <alignment vertical="center"/>
    </xf>
    <xf numFmtId="178" fontId="18" fillId="0" borderId="0" xfId="0" applyNumberFormat="1" applyFont="1" applyBorder="1" applyAlignment="1">
      <alignment horizontal="right" vertical="top"/>
    </xf>
    <xf numFmtId="178" fontId="22" fillId="0" borderId="0" xfId="0" applyNumberFormat="1" applyFont="1" applyBorder="1" applyAlignment="1">
      <alignment horizontal="right" vertical="center"/>
    </xf>
    <xf numFmtId="178" fontId="17" fillId="0" borderId="0" xfId="0" applyNumberFormat="1" applyFont="1" applyBorder="1" applyAlignment="1">
      <alignment horizontal="center" vertical="center"/>
    </xf>
    <xf numFmtId="49" fontId="18" fillId="0" borderId="0" xfId="0" applyNumberFormat="1" applyFont="1" applyBorder="1" applyAlignment="1">
      <alignment horizontal="center" vertical="center"/>
    </xf>
    <xf numFmtId="178" fontId="18" fillId="0" borderId="4" xfId="0" applyNumberFormat="1" applyFont="1" applyBorder="1" applyAlignment="1">
      <alignment horizontal="right" vertical="center"/>
    </xf>
    <xf numFmtId="178" fontId="18" fillId="0" borderId="4" xfId="0" applyNumberFormat="1" applyFont="1" applyBorder="1" applyAlignment="1">
      <alignment vertical="center"/>
    </xf>
    <xf numFmtId="0" fontId="18" fillId="0" borderId="4" xfId="0" applyFont="1" applyBorder="1" applyAlignment="1">
      <alignment vertical="center"/>
    </xf>
    <xf numFmtId="0" fontId="18" fillId="0" borderId="3" xfId="0" applyFont="1" applyBorder="1" applyAlignment="1">
      <alignment horizontal="center" vertical="center"/>
    </xf>
    <xf numFmtId="0" fontId="17" fillId="0" borderId="9" xfId="0" applyFont="1" applyBorder="1" applyAlignment="1">
      <alignment horizontal="right"/>
    </xf>
    <xf numFmtId="0" fontId="27" fillId="0" borderId="9" xfId="0" applyFont="1" applyBorder="1" applyAlignment="1">
      <alignment horizontal="right"/>
    </xf>
    <xf numFmtId="0" fontId="31" fillId="0" borderId="0" xfId="0" applyFont="1" applyBorder="1" applyAlignment="1">
      <alignment horizontal="center" vertical="center" wrapText="1"/>
    </xf>
    <xf numFmtId="49" fontId="17" fillId="0" borderId="0" xfId="0" applyNumberFormat="1" applyFont="1" applyBorder="1" applyAlignment="1">
      <alignment horizontal="center" vertical="center"/>
    </xf>
    <xf numFmtId="0" fontId="32" fillId="0" borderId="0" xfId="0" applyFont="1" applyBorder="1" applyAlignment="1">
      <alignment horizontal="center" vertical="center"/>
    </xf>
    <xf numFmtId="49" fontId="22" fillId="0" borderId="0" xfId="0" applyNumberFormat="1" applyFont="1" applyBorder="1" applyAlignment="1">
      <alignment horizontal="center" vertical="center"/>
    </xf>
    <xf numFmtId="49" fontId="18" fillId="0" borderId="0" xfId="0" applyNumberFormat="1" applyFont="1" applyBorder="1" applyAlignment="1">
      <alignment vertical="center"/>
    </xf>
    <xf numFmtId="49" fontId="22" fillId="0" borderId="0" xfId="0" applyNumberFormat="1" applyFont="1" applyBorder="1" applyAlignment="1">
      <alignment vertical="center"/>
    </xf>
    <xf numFmtId="49" fontId="18" fillId="0" borderId="0" xfId="0" applyNumberFormat="1" applyFont="1" applyBorder="1" applyAlignment="1">
      <alignment horizontal="left" vertical="center"/>
    </xf>
    <xf numFmtId="0" fontId="27" fillId="0" borderId="0" xfId="0" applyFont="1" applyBorder="1" applyAlignment="1">
      <alignment vertical="center"/>
    </xf>
    <xf numFmtId="0" fontId="18" fillId="0" borderId="0" xfId="0" applyFont="1"/>
    <xf numFmtId="0" fontId="34" fillId="0" borderId="0" xfId="0" applyFont="1" applyAlignment="1">
      <alignment horizontal="center" vertical="center"/>
    </xf>
    <xf numFmtId="0" fontId="1" fillId="0" borderId="0" xfId="0" applyFont="1" applyBorder="1" applyAlignment="1">
      <alignment horizontal="right" vertical="center"/>
    </xf>
    <xf numFmtId="0" fontId="18" fillId="0" borderId="0" xfId="0" applyFont="1" applyAlignment="1">
      <alignment horizontal="right" vertical="center"/>
    </xf>
    <xf numFmtId="0" fontId="22" fillId="0" borderId="9" xfId="0" applyFont="1" applyBorder="1" applyAlignment="1">
      <alignment vertical="center"/>
    </xf>
    <xf numFmtId="0" fontId="18" fillId="0" borderId="10" xfId="0" applyFont="1" applyBorder="1"/>
    <xf numFmtId="0" fontId="18" fillId="0" borderId="0" xfId="0" applyFont="1" applyBorder="1"/>
    <xf numFmtId="0" fontId="22" fillId="0" borderId="0" xfId="0" applyFont="1" applyBorder="1" applyAlignment="1"/>
    <xf numFmtId="0" fontId="18" fillId="0" borderId="0" xfId="0" applyFont="1" applyAlignment="1"/>
    <xf numFmtId="0" fontId="18" fillId="0" borderId="11" xfId="0" applyFont="1" applyBorder="1"/>
    <xf numFmtId="0" fontId="18" fillId="0" borderId="13" xfId="0" applyFont="1" applyBorder="1"/>
    <xf numFmtId="202" fontId="38" fillId="0" borderId="13" xfId="1" applyNumberFormat="1" applyFont="1" applyBorder="1" applyAlignment="1" applyProtection="1">
      <alignment horizontal="right" vertical="center"/>
    </xf>
    <xf numFmtId="202" fontId="32" fillId="0" borderId="13" xfId="1" applyNumberFormat="1" applyFont="1" applyBorder="1" applyAlignment="1" applyProtection="1">
      <alignment horizontal="right" vertical="center"/>
    </xf>
    <xf numFmtId="178" fontId="32" fillId="0" borderId="13" xfId="1" applyNumberFormat="1" applyFont="1" applyBorder="1" applyAlignment="1" applyProtection="1">
      <alignment horizontal="right" vertical="center"/>
    </xf>
    <xf numFmtId="178" fontId="39" fillId="0" borderId="13" xfId="1" applyNumberFormat="1" applyFont="1" applyBorder="1" applyAlignment="1" applyProtection="1">
      <alignment horizontal="right" vertical="center"/>
    </xf>
    <xf numFmtId="0" fontId="18" fillId="0" borderId="14" xfId="0" applyFont="1" applyBorder="1"/>
    <xf numFmtId="0" fontId="18" fillId="0" borderId="15" xfId="0" applyFont="1" applyBorder="1"/>
    <xf numFmtId="0" fontId="32" fillId="0" borderId="0" xfId="0" applyFont="1" applyBorder="1" applyAlignment="1">
      <alignment horizontal="right" vertical="center"/>
    </xf>
    <xf numFmtId="203" fontId="40" fillId="0" borderId="15" xfId="1" applyNumberFormat="1" applyFont="1" applyBorder="1" applyAlignment="1" applyProtection="1">
      <alignment horizontal="left" vertical="center"/>
    </xf>
    <xf numFmtId="203" fontId="1" fillId="0" borderId="15" xfId="1" applyNumberFormat="1" applyFont="1" applyBorder="1" applyAlignment="1" applyProtection="1">
      <alignment horizontal="left" vertical="center"/>
    </xf>
    <xf numFmtId="179" fontId="37" fillId="0" borderId="14" xfId="1" applyNumberFormat="1" applyFont="1" applyBorder="1" applyAlignment="1" applyProtection="1">
      <alignment horizontal="right" vertical="center"/>
    </xf>
    <xf numFmtId="179" fontId="41" fillId="0" borderId="9" xfId="0" applyNumberFormat="1" applyFont="1" applyBorder="1" applyAlignment="1">
      <alignment horizontal="right" vertical="center"/>
    </xf>
    <xf numFmtId="0" fontId="42" fillId="0" borderId="0" xfId="0" applyFont="1" applyBorder="1" applyAlignment="1">
      <alignment horizontal="right" vertical="center"/>
    </xf>
    <xf numFmtId="0" fontId="18" fillId="0" borderId="0" xfId="0" applyFont="1"/>
    <xf numFmtId="0" fontId="32" fillId="0" borderId="0" xfId="0" applyFont="1" applyAlignment="1">
      <alignment horizontal="right" vertical="center"/>
    </xf>
    <xf numFmtId="0" fontId="1" fillId="0" borderId="0" xfId="0" applyFont="1" applyAlignment="1">
      <alignment horizontal="right" vertical="center"/>
    </xf>
    <xf numFmtId="203" fontId="42" fillId="0" borderId="15" xfId="1" applyNumberFormat="1" applyFont="1" applyBorder="1" applyAlignment="1" applyProtection="1">
      <alignment horizontal="left" vertical="center"/>
    </xf>
    <xf numFmtId="0" fontId="18" fillId="0" borderId="7" xfId="0" applyFont="1" applyBorder="1"/>
    <xf numFmtId="0" fontId="18" fillId="0" borderId="3" xfId="0" applyFont="1" applyBorder="1"/>
    <xf numFmtId="176" fontId="38" fillId="0" borderId="13" xfId="1" applyFont="1" applyBorder="1" applyAlignment="1" applyProtection="1">
      <alignment horizontal="right" vertical="center"/>
    </xf>
    <xf numFmtId="202" fontId="32" fillId="0" borderId="15" xfId="1" applyNumberFormat="1" applyFont="1" applyBorder="1" applyAlignment="1" applyProtection="1">
      <alignment horizontal="right" vertical="center"/>
    </xf>
    <xf numFmtId="178" fontId="32" fillId="0" borderId="15" xfId="1" applyNumberFormat="1" applyFont="1" applyBorder="1" applyAlignment="1" applyProtection="1">
      <alignment horizontal="right" vertical="center"/>
    </xf>
    <xf numFmtId="0" fontId="18" fillId="0" borderId="16" xfId="0" applyFont="1" applyBorder="1"/>
    <xf numFmtId="0" fontId="39" fillId="0" borderId="3" xfId="0" applyFont="1" applyBorder="1" applyAlignment="1">
      <alignment horizontal="right" vertical="center"/>
    </xf>
    <xf numFmtId="0" fontId="39" fillId="0" borderId="13" xfId="0" applyFont="1" applyBorder="1" applyAlignment="1">
      <alignment horizontal="right" vertical="center"/>
    </xf>
    <xf numFmtId="184" fontId="18" fillId="0" borderId="10" xfId="1" applyNumberFormat="1" applyFont="1" applyBorder="1" applyAlignment="1" applyProtection="1">
      <alignment horizontal="right" vertical="center"/>
    </xf>
    <xf numFmtId="184" fontId="32" fillId="0" borderId="0" xfId="0" applyNumberFormat="1" applyFont="1" applyBorder="1" applyAlignment="1">
      <alignment horizontal="right" vertical="center"/>
    </xf>
    <xf numFmtId="176" fontId="18" fillId="0" borderId="0" xfId="1" applyFont="1" applyBorder="1" applyAlignment="1" applyProtection="1">
      <alignment horizontal="right" vertical="center"/>
    </xf>
    <xf numFmtId="203" fontId="40" fillId="0" borderId="16" xfId="1" applyNumberFormat="1" applyFont="1" applyBorder="1" applyAlignment="1" applyProtection="1">
      <alignment horizontal="right" vertical="center"/>
    </xf>
    <xf numFmtId="203" fontId="1" fillId="0" borderId="16" xfId="1" applyNumberFormat="1" applyFont="1" applyBorder="1" applyAlignment="1" applyProtection="1">
      <alignment horizontal="right" vertical="center"/>
    </xf>
    <xf numFmtId="205" fontId="37" fillId="0" borderId="14" xfId="1" applyNumberFormat="1" applyFont="1" applyBorder="1" applyAlignment="1" applyProtection="1">
      <alignment horizontal="right" vertical="center"/>
    </xf>
    <xf numFmtId="205" fontId="37" fillId="0" borderId="9" xfId="1" applyNumberFormat="1" applyFont="1" applyBorder="1" applyAlignment="1" applyProtection="1">
      <alignment horizontal="right" vertical="center"/>
    </xf>
    <xf numFmtId="203" fontId="1" fillId="0" borderId="15" xfId="1" applyNumberFormat="1" applyFont="1" applyBorder="1" applyAlignment="1" applyProtection="1">
      <alignment horizontal="right" vertical="center"/>
    </xf>
    <xf numFmtId="184" fontId="32" fillId="0" borderId="0" xfId="0" applyNumberFormat="1" applyFont="1" applyAlignment="1">
      <alignment horizontal="right" vertical="center"/>
    </xf>
    <xf numFmtId="203" fontId="42" fillId="0" borderId="16" xfId="1" applyNumberFormat="1" applyFont="1" applyBorder="1" applyAlignment="1" applyProtection="1">
      <alignment horizontal="right" vertical="center"/>
    </xf>
    <xf numFmtId="0" fontId="22" fillId="0" borderId="4" xfId="0" applyFont="1" applyBorder="1" applyAlignment="1">
      <alignment horizontal="center" vertical="center"/>
    </xf>
    <xf numFmtId="176" fontId="41" fillId="0" borderId="3" xfId="1" applyFont="1" applyBorder="1" applyAlignment="1" applyProtection="1">
      <alignment horizontal="right" vertical="center"/>
    </xf>
    <xf numFmtId="178" fontId="39" fillId="0" borderId="3" xfId="1" applyNumberFormat="1" applyFont="1" applyBorder="1" applyAlignment="1" applyProtection="1">
      <alignment horizontal="right" vertical="center"/>
    </xf>
    <xf numFmtId="176" fontId="32" fillId="0" borderId="13" xfId="1" applyFont="1" applyBorder="1" applyAlignment="1" applyProtection="1">
      <alignment horizontal="right" vertical="center"/>
    </xf>
    <xf numFmtId="0" fontId="32" fillId="0" borderId="3" xfId="0" applyFont="1" applyBorder="1" applyAlignment="1">
      <alignment horizontal="right" vertical="center"/>
    </xf>
    <xf numFmtId="178" fontId="41" fillId="0" borderId="3" xfId="1" applyNumberFormat="1" applyFont="1" applyBorder="1" applyAlignment="1" applyProtection="1">
      <alignment horizontal="right" vertical="center"/>
    </xf>
    <xf numFmtId="176" fontId="41" fillId="0" borderId="13" xfId="1" applyFont="1" applyBorder="1" applyAlignment="1" applyProtection="1">
      <alignment horizontal="right" vertical="center"/>
    </xf>
    <xf numFmtId="202" fontId="41" fillId="0" borderId="15" xfId="1" applyNumberFormat="1" applyFont="1" applyBorder="1" applyAlignment="1" applyProtection="1">
      <alignment horizontal="right" vertical="center"/>
    </xf>
    <xf numFmtId="176" fontId="18" fillId="0" borderId="3" xfId="1" applyFont="1" applyBorder="1" applyAlignment="1" applyProtection="1">
      <alignment vertical="center"/>
    </xf>
    <xf numFmtId="178" fontId="37" fillId="0" borderId="3" xfId="1" applyNumberFormat="1" applyFont="1" applyBorder="1" applyAlignment="1" applyProtection="1">
      <alignment vertical="center"/>
    </xf>
    <xf numFmtId="0" fontId="22" fillId="0" borderId="4" xfId="0" applyFont="1" applyBorder="1" applyAlignment="1"/>
    <xf numFmtId="0" fontId="0" fillId="0" borderId="4" xfId="0" applyFont="1" applyBorder="1" applyAlignment="1"/>
    <xf numFmtId="0" fontId="43" fillId="0" borderId="4" xfId="0" applyFont="1" applyBorder="1" applyAlignment="1"/>
    <xf numFmtId="0" fontId="18" fillId="0" borderId="0" xfId="0" applyFont="1" applyAlignment="1">
      <alignment horizontal="left" wrapText="1"/>
    </xf>
    <xf numFmtId="0" fontId="22" fillId="0" borderId="0" xfId="0" applyFont="1" applyAlignment="1">
      <alignment horizontal="left"/>
    </xf>
    <xf numFmtId="0" fontId="44" fillId="0" borderId="0" xfId="0" applyFont="1" applyAlignment="1">
      <alignment horizontal="left" wrapText="1"/>
    </xf>
    <xf numFmtId="0" fontId="22" fillId="0" borderId="0" xfId="0" applyFont="1" applyAlignment="1"/>
    <xf numFmtId="0" fontId="22" fillId="0" borderId="0" xfId="0" applyFont="1" applyBorder="1" applyAlignment="1">
      <alignment horizontal="right" vertical="center"/>
    </xf>
    <xf numFmtId="0" fontId="0" fillId="0" borderId="13" xfId="0" applyFont="1" applyBorder="1" applyAlignment="1"/>
    <xf numFmtId="0" fontId="0" fillId="0" borderId="16" xfId="0" applyFont="1" applyBorder="1" applyAlignment="1"/>
    <xf numFmtId="0" fontId="0" fillId="0" borderId="15" xfId="0" applyFont="1" applyBorder="1" applyAlignment="1"/>
    <xf numFmtId="0" fontId="0" fillId="0" borderId="3" xfId="0" applyFont="1" applyBorder="1" applyAlignment="1"/>
    <xf numFmtId="0" fontId="18" fillId="0" borderId="13" xfId="0" applyFont="1" applyBorder="1" applyAlignment="1">
      <alignment horizontal="center" vertical="center"/>
    </xf>
    <xf numFmtId="0" fontId="18" fillId="0" borderId="14" xfId="0" applyFont="1" applyBorder="1" applyAlignment="1">
      <alignment horizontal="center" vertical="center"/>
    </xf>
    <xf numFmtId="0" fontId="18" fillId="0" borderId="15" xfId="0" applyFont="1" applyBorder="1" applyAlignment="1">
      <alignment horizontal="center" vertical="center"/>
    </xf>
    <xf numFmtId="0" fontId="0" fillId="0" borderId="0" xfId="0" applyFont="1" applyBorder="1" applyAlignment="1"/>
    <xf numFmtId="0" fontId="44" fillId="0" borderId="0" xfId="0" applyFont="1" applyBorder="1" applyAlignment="1"/>
    <xf numFmtId="0" fontId="0" fillId="0" borderId="7" xfId="0" applyFont="1" applyBorder="1" applyAlignment="1">
      <alignment horizontal="center" vertical="center"/>
    </xf>
    <xf numFmtId="0" fontId="44" fillId="0" borderId="0" xfId="0" applyFont="1"/>
    <xf numFmtId="0" fontId="18" fillId="0" borderId="12" xfId="0" applyFont="1" applyBorder="1"/>
    <xf numFmtId="176" fontId="45" fillId="0" borderId="3" xfId="1" applyFont="1" applyBorder="1" applyAlignment="1" applyProtection="1">
      <alignment vertical="center"/>
    </xf>
    <xf numFmtId="176" fontId="37" fillId="0" borderId="3" xfId="1" applyFont="1" applyBorder="1" applyAlignment="1" applyProtection="1">
      <alignment vertical="center"/>
    </xf>
    <xf numFmtId="0" fontId="37" fillId="0" borderId="12" xfId="0" applyFont="1" applyBorder="1"/>
    <xf numFmtId="0" fontId="39" fillId="0" borderId="3" xfId="0" applyFont="1" applyBorder="1" applyAlignment="1"/>
    <xf numFmtId="176" fontId="45" fillId="0" borderId="16" xfId="1" applyFont="1" applyBorder="1" applyAlignment="1" applyProtection="1">
      <alignment vertical="center"/>
    </xf>
    <xf numFmtId="176" fontId="18" fillId="0" borderId="16" xfId="1" applyFont="1" applyBorder="1" applyAlignment="1" applyProtection="1">
      <alignment vertical="center"/>
    </xf>
    <xf numFmtId="176" fontId="37" fillId="0" borderId="16" xfId="1" applyFont="1" applyBorder="1" applyAlignment="1" applyProtection="1">
      <alignment vertical="center"/>
    </xf>
    <xf numFmtId="0" fontId="37" fillId="0" borderId="0" xfId="0" applyFont="1" applyBorder="1"/>
    <xf numFmtId="0" fontId="39" fillId="0" borderId="16" xfId="0" applyFont="1" applyBorder="1" applyAlignment="1"/>
    <xf numFmtId="0" fontId="18" fillId="0" borderId="0" xfId="0" applyFont="1" applyBorder="1" applyAlignment="1">
      <alignment horizontal="right" vertical="center"/>
    </xf>
    <xf numFmtId="0" fontId="49" fillId="0" borderId="0" xfId="0" applyFont="1"/>
    <xf numFmtId="0" fontId="49" fillId="0" borderId="0" xfId="0" applyFont="1" applyBorder="1"/>
    <xf numFmtId="0" fontId="49" fillId="0" borderId="0" xfId="0" applyFont="1" applyBorder="1" applyAlignment="1">
      <alignment horizontal="distributed" vertical="center"/>
    </xf>
    <xf numFmtId="2" fontId="49" fillId="0" borderId="0" xfId="0" applyNumberFormat="1" applyFont="1" applyBorder="1" applyAlignment="1">
      <alignment horizontal="right" vertical="center"/>
    </xf>
    <xf numFmtId="2" fontId="49" fillId="0" borderId="0" xfId="0" applyNumberFormat="1" applyFont="1" applyBorder="1" applyAlignment="1">
      <alignment horizontal="center" vertical="center"/>
    </xf>
    <xf numFmtId="2" fontId="49" fillId="0" borderId="0" xfId="0" applyNumberFormat="1" applyFont="1" applyBorder="1" applyAlignment="1"/>
    <xf numFmtId="0" fontId="49" fillId="0" borderId="0" xfId="0" applyFont="1" applyBorder="1" applyAlignment="1"/>
    <xf numFmtId="0" fontId="51" fillId="0" borderId="0" xfId="0" applyFont="1" applyAlignment="1"/>
    <xf numFmtId="0" fontId="49" fillId="0" borderId="9" xfId="0" applyFont="1" applyBorder="1" applyAlignment="1">
      <alignment vertical="center"/>
    </xf>
    <xf numFmtId="0" fontId="51" fillId="0" borderId="0" xfId="0" applyFont="1" applyBorder="1" applyAlignment="1">
      <alignment horizontal="right" vertical="center"/>
    </xf>
    <xf numFmtId="0" fontId="52" fillId="0" borderId="0" xfId="0" applyFont="1" applyBorder="1" applyAlignment="1"/>
    <xf numFmtId="0" fontId="49" fillId="0" borderId="0" xfId="0" applyFont="1" applyBorder="1" applyAlignment="1">
      <alignment horizontal="center" vertical="center"/>
    </xf>
    <xf numFmtId="0" fontId="52" fillId="0" borderId="0" xfId="0" applyFont="1" applyBorder="1" applyAlignment="1">
      <alignment horizontal="center" vertical="center"/>
    </xf>
    <xf numFmtId="0" fontId="51" fillId="0" borderId="14" xfId="0" applyFont="1" applyBorder="1" applyAlignment="1">
      <alignment horizontal="left" vertical="center"/>
    </xf>
    <xf numFmtId="0" fontId="52" fillId="0" borderId="9" xfId="0" applyFont="1" applyBorder="1" applyAlignment="1">
      <alignment horizontal="left" vertical="center"/>
    </xf>
    <xf numFmtId="0" fontId="52" fillId="0" borderId="15" xfId="0" applyFont="1" applyBorder="1" applyAlignment="1">
      <alignment horizontal="left" vertical="center"/>
    </xf>
    <xf numFmtId="0" fontId="49" fillId="0" borderId="7" xfId="0" applyFont="1" applyBorder="1" applyAlignment="1">
      <alignment horizontal="center" vertical="center"/>
    </xf>
    <xf numFmtId="0" fontId="49" fillId="0" borderId="12" xfId="0" applyFont="1" applyBorder="1" applyAlignment="1">
      <alignment horizontal="distributed" vertical="center"/>
    </xf>
    <xf numFmtId="180" fontId="49" fillId="0" borderId="3" xfId="0" applyNumberFormat="1" applyFont="1" applyBorder="1" applyAlignment="1">
      <alignment horizontal="right" vertical="center"/>
    </xf>
    <xf numFmtId="206" fontId="49" fillId="0" borderId="3" xfId="0" applyNumberFormat="1" applyFont="1" applyBorder="1" applyAlignment="1">
      <alignment horizontal="right"/>
    </xf>
    <xf numFmtId="206" fontId="49" fillId="0" borderId="3" xfId="0" applyNumberFormat="1" applyFont="1" applyBorder="1" applyAlignment="1">
      <alignment horizontal="right" vertical="center"/>
    </xf>
    <xf numFmtId="0" fontId="49" fillId="0" borderId="10" xfId="0" applyFont="1" applyBorder="1"/>
    <xf numFmtId="0" fontId="49" fillId="0" borderId="7" xfId="0" applyFont="1" applyBorder="1"/>
    <xf numFmtId="0" fontId="49" fillId="0" borderId="12" xfId="0" applyFont="1" applyBorder="1"/>
    <xf numFmtId="0" fontId="49" fillId="0" borderId="14" xfId="0" applyFont="1" applyBorder="1"/>
    <xf numFmtId="0" fontId="49" fillId="0" borderId="9" xfId="0" applyFont="1" applyBorder="1"/>
    <xf numFmtId="207" fontId="49" fillId="0" borderId="0" xfId="0" applyNumberFormat="1" applyFont="1" applyBorder="1" applyAlignment="1">
      <alignment horizontal="right" vertical="center"/>
    </xf>
    <xf numFmtId="2" fontId="49" fillId="0" borderId="4" xfId="0" applyNumberFormat="1" applyFont="1" applyBorder="1" applyAlignment="1">
      <alignment horizontal="right" vertical="center"/>
    </xf>
    <xf numFmtId="2" fontId="49" fillId="0" borderId="4" xfId="0" applyNumberFormat="1" applyFont="1" applyBorder="1" applyAlignment="1">
      <alignment horizontal="center" vertical="center"/>
    </xf>
    <xf numFmtId="181" fontId="49" fillId="0" borderId="3" xfId="0" applyNumberFormat="1" applyFont="1" applyBorder="1" applyAlignment="1">
      <alignment horizontal="right" vertical="center"/>
    </xf>
    <xf numFmtId="181" fontId="49" fillId="0" borderId="3" xfId="0" applyNumberFormat="1" applyFont="1" applyBorder="1" applyAlignment="1">
      <alignment horizontal="right"/>
    </xf>
    <xf numFmtId="0" fontId="49" fillId="0" borderId="3" xfId="0" applyFont="1" applyBorder="1"/>
    <xf numFmtId="0" fontId="51" fillId="0" borderId="0" xfId="0" applyFont="1" applyAlignment="1">
      <alignment vertical="top"/>
    </xf>
    <xf numFmtId="0" fontId="52" fillId="0" borderId="0" xfId="0" applyFont="1"/>
    <xf numFmtId="0" fontId="54" fillId="0" borderId="0" xfId="0" applyFont="1" applyAlignment="1"/>
    <xf numFmtId="0" fontId="55" fillId="0" borderId="0" xfId="0" applyFont="1"/>
    <xf numFmtId="176" fontId="49" fillId="0" borderId="0" xfId="1" applyFont="1" applyBorder="1" applyAlignment="1" applyProtection="1">
      <alignment horizontal="right" vertical="center"/>
    </xf>
    <xf numFmtId="176" fontId="52" fillId="0" borderId="0" xfId="1" applyFont="1" applyBorder="1" applyAlignment="1" applyProtection="1">
      <alignment horizontal="right" vertical="center"/>
    </xf>
    <xf numFmtId="178" fontId="49" fillId="0" borderId="0" xfId="1" applyNumberFormat="1" applyFont="1" applyBorder="1" applyAlignment="1" applyProtection="1">
      <alignment horizontal="right" vertical="center"/>
    </xf>
    <xf numFmtId="178" fontId="52" fillId="0" borderId="0" xfId="1" applyNumberFormat="1" applyFont="1" applyBorder="1" applyAlignment="1" applyProtection="1">
      <alignment horizontal="right" vertical="center"/>
    </xf>
    <xf numFmtId="208" fontId="49" fillId="0" borderId="0" xfId="0" applyNumberFormat="1" applyFont="1" applyBorder="1" applyAlignment="1">
      <alignment vertical="center"/>
    </xf>
    <xf numFmtId="208" fontId="49" fillId="0" borderId="0" xfId="0" applyNumberFormat="1" applyFont="1" applyAlignment="1"/>
    <xf numFmtId="0" fontId="49" fillId="0" borderId="0" xfId="0" applyFont="1" applyAlignment="1"/>
    <xf numFmtId="0" fontId="49" fillId="0" borderId="0" xfId="0" applyFont="1" applyBorder="1" applyAlignment="1">
      <alignment vertical="center"/>
    </xf>
    <xf numFmtId="0" fontId="51" fillId="0" borderId="0" xfId="0" applyFont="1" applyBorder="1" applyAlignment="1">
      <alignment vertical="center"/>
    </xf>
    <xf numFmtId="0" fontId="49" fillId="0" borderId="4" xfId="0" applyFont="1" applyBorder="1"/>
    <xf numFmtId="0" fontId="49" fillId="0" borderId="7" xfId="0" applyFont="1" applyBorder="1" applyAlignment="1">
      <alignment horizontal="distributed" vertical="center"/>
    </xf>
    <xf numFmtId="0" fontId="49" fillId="0" borderId="14" xfId="0" applyFont="1" applyBorder="1" applyAlignment="1">
      <alignment horizontal="distributed" vertical="center"/>
    </xf>
    <xf numFmtId="0" fontId="49" fillId="0" borderId="15" xfId="0" applyFont="1" applyBorder="1"/>
    <xf numFmtId="0" fontId="51" fillId="0" borderId="0" xfId="0" applyFont="1" applyBorder="1" applyAlignment="1"/>
    <xf numFmtId="0" fontId="52" fillId="0" borderId="0" xfId="0" applyFont="1" applyAlignment="1"/>
    <xf numFmtId="0" fontId="51" fillId="0" borderId="0" xfId="0" applyFont="1"/>
    <xf numFmtId="0" fontId="49" fillId="0" borderId="16" xfId="0" applyFont="1" applyBorder="1"/>
    <xf numFmtId="0" fontId="49" fillId="0" borderId="11" xfId="0" applyFont="1" applyBorder="1"/>
    <xf numFmtId="0" fontId="49" fillId="0" borderId="13" xfId="0" applyFont="1" applyBorder="1"/>
    <xf numFmtId="0" fontId="60" fillId="0" borderId="0" xfId="0" applyFont="1" applyAlignment="1">
      <alignment shrinkToFit="1"/>
    </xf>
    <xf numFmtId="0" fontId="49" fillId="0" borderId="0" xfId="0" applyFont="1" applyAlignment="1">
      <alignment shrinkToFit="1"/>
    </xf>
    <xf numFmtId="0" fontId="49" fillId="0" borderId="0" xfId="0" applyFont="1" applyBorder="1" applyAlignment="1">
      <alignment horizontal="center" vertical="center" textRotation="255" shrinkToFit="1"/>
    </xf>
    <xf numFmtId="0" fontId="49" fillId="0" borderId="16" xfId="0" applyFont="1" applyBorder="1" applyAlignment="1">
      <alignment shrinkToFit="1"/>
    </xf>
    <xf numFmtId="0" fontId="49" fillId="0" borderId="7" xfId="0" applyFont="1" applyBorder="1" applyAlignment="1">
      <alignment horizontal="center" vertical="center" textRotation="255" shrinkToFit="1"/>
    </xf>
    <xf numFmtId="0" fontId="49" fillId="0" borderId="3" xfId="0" applyFont="1" applyBorder="1" applyAlignment="1">
      <alignment shrinkToFit="1"/>
    </xf>
    <xf numFmtId="0" fontId="63" fillId="0" borderId="7" xfId="0" applyFont="1" applyBorder="1" applyAlignment="1">
      <alignment shrinkToFit="1"/>
    </xf>
    <xf numFmtId="0" fontId="49" fillId="0" borderId="10" xfId="0" applyFont="1" applyBorder="1" applyAlignment="1">
      <alignment shrinkToFit="1"/>
    </xf>
    <xf numFmtId="0" fontId="49" fillId="0" borderId="14" xfId="0" applyFont="1" applyBorder="1" applyAlignment="1">
      <alignment shrinkToFit="1"/>
    </xf>
    <xf numFmtId="0" fontId="49" fillId="0" borderId="15" xfId="0" applyFont="1" applyBorder="1" applyAlignment="1">
      <alignment shrinkToFit="1"/>
    </xf>
    <xf numFmtId="0" fontId="64" fillId="0" borderId="0" xfId="0" applyFont="1" applyAlignment="1">
      <alignment shrinkToFit="1"/>
    </xf>
    <xf numFmtId="0" fontId="62" fillId="0" borderId="0" xfId="0" applyFont="1" applyAlignment="1">
      <alignment shrinkToFit="1"/>
    </xf>
    <xf numFmtId="0" fontId="49" fillId="0" borderId="0" xfId="0" applyFont="1" applyAlignment="1">
      <alignment horizontal="center" shrinkToFit="1"/>
    </xf>
    <xf numFmtId="0" fontId="49" fillId="0" borderId="11" xfId="0" applyFont="1" applyBorder="1" applyAlignment="1">
      <alignment horizontal="center" vertical="center" shrinkToFit="1"/>
    </xf>
    <xf numFmtId="0" fontId="49" fillId="0" borderId="4" xfId="0" applyFont="1" applyBorder="1" applyAlignment="1">
      <alignment horizontal="center" vertical="center" shrinkToFit="1"/>
    </xf>
    <xf numFmtId="0" fontId="49" fillId="0" borderId="7" xfId="0" applyFont="1" applyBorder="1" applyAlignment="1">
      <alignment horizontal="center" vertical="center" shrinkToFit="1"/>
    </xf>
    <xf numFmtId="0" fontId="49" fillId="0" borderId="12" xfId="0" applyFont="1" applyBorder="1" applyAlignment="1">
      <alignment horizontal="center" vertical="center" shrinkToFit="1"/>
    </xf>
    <xf numFmtId="0" fontId="49" fillId="0" borderId="10" xfId="0" applyFont="1" applyBorder="1" applyAlignment="1">
      <alignment horizontal="center" vertical="center" shrinkToFit="1"/>
    </xf>
    <xf numFmtId="0" fontId="49" fillId="0" borderId="0" xfId="0" applyFont="1" applyBorder="1" applyAlignment="1">
      <alignment horizontal="center" vertical="center" shrinkToFit="1"/>
    </xf>
    <xf numFmtId="0" fontId="49" fillId="0" borderId="14" xfId="0" applyFont="1" applyBorder="1" applyAlignment="1">
      <alignment horizontal="center" vertical="center" shrinkToFit="1"/>
    </xf>
    <xf numFmtId="0" fontId="49" fillId="0" borderId="9" xfId="0" applyFont="1" applyBorder="1" applyAlignment="1">
      <alignment horizontal="center" vertical="center" shrinkToFit="1"/>
    </xf>
    <xf numFmtId="183" fontId="49" fillId="0" borderId="0" xfId="1" applyNumberFormat="1" applyFont="1" applyBorder="1" applyAlignment="1" applyProtection="1">
      <alignment horizontal="right" vertical="center" shrinkToFit="1"/>
    </xf>
    <xf numFmtId="212" fontId="49" fillId="0" borderId="0" xfId="1" applyNumberFormat="1" applyFont="1" applyBorder="1" applyAlignment="1" applyProtection="1">
      <alignment horizontal="right" vertical="center" shrinkToFit="1"/>
    </xf>
    <xf numFmtId="176" fontId="49" fillId="0" borderId="0" xfId="1" applyFont="1" applyBorder="1" applyAlignment="1" applyProtection="1">
      <alignment horizontal="right" vertical="center" shrinkToFit="1"/>
    </xf>
    <xf numFmtId="0" fontId="63" fillId="0" borderId="0" xfId="0" applyFont="1" applyBorder="1" applyAlignment="1">
      <alignment shrinkToFit="1"/>
    </xf>
    <xf numFmtId="0" fontId="52" fillId="0" borderId="0" xfId="0" applyFont="1" applyBorder="1" applyAlignment="1">
      <alignment shrinkToFit="1"/>
    </xf>
    <xf numFmtId="0" fontId="60" fillId="0" borderId="0" xfId="0" applyFont="1" applyAlignment="1"/>
    <xf numFmtId="0" fontId="51" fillId="0" borderId="0" xfId="0" applyFont="1" applyBorder="1" applyAlignment="1">
      <alignment horizontal="left" vertical="center"/>
    </xf>
    <xf numFmtId="0" fontId="59" fillId="0" borderId="0" xfId="0" applyFont="1" applyAlignment="1">
      <alignment shrinkToFit="1"/>
    </xf>
    <xf numFmtId="0" fontId="62" fillId="0" borderId="0" xfId="0" applyFont="1" applyAlignment="1">
      <alignment vertical="top" shrinkToFit="1"/>
    </xf>
    <xf numFmtId="0" fontId="62" fillId="0" borderId="4" xfId="0" applyFont="1" applyBorder="1" applyAlignment="1">
      <alignment horizontal="center" vertical="center" shrinkToFit="1"/>
    </xf>
    <xf numFmtId="0" fontId="67" fillId="0" borderId="4" xfId="0" applyFont="1" applyBorder="1" applyAlignment="1">
      <alignment horizontal="center" vertical="center" shrinkToFit="1"/>
    </xf>
    <xf numFmtId="0" fontId="67" fillId="0" borderId="4" xfId="0" applyFont="1" applyBorder="1" applyAlignment="1">
      <alignment horizontal="center" shrinkToFit="1"/>
    </xf>
    <xf numFmtId="0" fontId="49" fillId="0" borderId="7" xfId="0" applyFont="1" applyBorder="1" applyAlignment="1">
      <alignment shrinkToFit="1"/>
    </xf>
    <xf numFmtId="0" fontId="49" fillId="0" borderId="12" xfId="0" applyFont="1" applyBorder="1" applyAlignment="1">
      <alignment shrinkToFit="1"/>
    </xf>
    <xf numFmtId="176" fontId="49" fillId="0" borderId="12" xfId="1" applyFont="1" applyBorder="1" applyAlignment="1" applyProtection="1">
      <alignment horizontal="right" vertical="center" shrinkToFit="1"/>
    </xf>
    <xf numFmtId="176" fontId="49" fillId="0" borderId="15" xfId="1" applyFont="1" applyBorder="1" applyAlignment="1" applyProtection="1">
      <alignment shrinkToFit="1"/>
    </xf>
    <xf numFmtId="176" fontId="49" fillId="0" borderId="14" xfId="1" applyFont="1" applyBorder="1" applyAlignment="1" applyProtection="1">
      <alignment shrinkToFit="1"/>
    </xf>
    <xf numFmtId="176" fontId="49" fillId="0" borderId="9" xfId="1" applyFont="1" applyBorder="1" applyAlignment="1" applyProtection="1">
      <alignment horizontal="right" vertical="center" shrinkToFit="1"/>
    </xf>
    <xf numFmtId="0" fontId="49" fillId="0" borderId="9" xfId="0" applyFont="1" applyBorder="1" applyAlignment="1">
      <alignment shrinkToFit="1"/>
    </xf>
    <xf numFmtId="0" fontId="49" fillId="0" borderId="0" xfId="0" applyFont="1" applyBorder="1" applyAlignment="1">
      <alignment shrinkToFit="1"/>
    </xf>
    <xf numFmtId="176" fontId="49" fillId="0" borderId="4" xfId="1" applyFont="1" applyBorder="1" applyAlignment="1" applyProtection="1">
      <alignment horizontal="right" vertical="center" shrinkToFit="1"/>
    </xf>
    <xf numFmtId="176" fontId="49" fillId="0" borderId="0" xfId="1" applyFont="1" applyBorder="1" applyAlignment="1" applyProtection="1">
      <alignment shrinkToFit="1"/>
    </xf>
    <xf numFmtId="176" fontId="63" fillId="0" borderId="0" xfId="1" applyFont="1" applyBorder="1" applyAlignment="1" applyProtection="1">
      <alignment horizontal="right" vertical="center" shrinkToFit="1"/>
    </xf>
    <xf numFmtId="9" fontId="49" fillId="0" borderId="0" xfId="0" applyNumberFormat="1" applyFont="1" applyBorder="1" applyAlignment="1">
      <alignment horizontal="right" vertical="center" shrinkToFit="1"/>
    </xf>
    <xf numFmtId="9" fontId="63" fillId="0" borderId="0" xfId="0" applyNumberFormat="1" applyFont="1" applyBorder="1" applyAlignment="1">
      <alignment horizontal="right" vertical="center" shrinkToFit="1"/>
    </xf>
    <xf numFmtId="0" fontId="49" fillId="0" borderId="7" xfId="0" applyFont="1" applyBorder="1" applyAlignment="1">
      <alignment horizontal="distributed" vertical="center" shrinkToFit="1"/>
    </xf>
    <xf numFmtId="0" fontId="49" fillId="0" borderId="3" xfId="0" applyFont="1" applyBorder="1" applyAlignment="1">
      <alignment horizontal="distributed" vertical="center" shrinkToFit="1"/>
    </xf>
    <xf numFmtId="0" fontId="49" fillId="0" borderId="12" xfId="0" applyFont="1" applyBorder="1" applyAlignment="1">
      <alignment horizontal="distributed" vertical="center" shrinkToFit="1"/>
    </xf>
    <xf numFmtId="176" fontId="49" fillId="0" borderId="14" xfId="1" applyFont="1" applyBorder="1" applyAlignment="1" applyProtection="1">
      <alignment horizontal="right" vertical="center" shrinkToFit="1"/>
    </xf>
    <xf numFmtId="176" fontId="49" fillId="0" borderId="15" xfId="1" applyFont="1" applyBorder="1" applyAlignment="1" applyProtection="1">
      <alignment horizontal="right" vertical="center" shrinkToFit="1"/>
    </xf>
    <xf numFmtId="0" fontId="49" fillId="0" borderId="15" xfId="0" applyFont="1" applyBorder="1" applyAlignment="1">
      <alignment horizontal="distributed" vertical="center" shrinkToFit="1"/>
    </xf>
    <xf numFmtId="0" fontId="63" fillId="0" borderId="4" xfId="0" applyFont="1" applyBorder="1" applyAlignment="1">
      <alignment horizontal="center" vertical="center" shrinkToFit="1"/>
    </xf>
    <xf numFmtId="0" fontId="63" fillId="0" borderId="4" xfId="0" applyFont="1" applyBorder="1" applyAlignment="1">
      <alignment horizontal="right" vertical="center" shrinkToFit="1"/>
    </xf>
    <xf numFmtId="0" fontId="63" fillId="0" borderId="0" xfId="0" applyFont="1" applyBorder="1" applyAlignment="1">
      <alignment horizontal="right" vertical="center" shrinkToFit="1"/>
    </xf>
    <xf numFmtId="0" fontId="49" fillId="0" borderId="0" xfId="0" applyFont="1" applyBorder="1" applyAlignment="1">
      <alignment horizontal="distributed" vertical="center" shrinkToFit="1"/>
    </xf>
    <xf numFmtId="0" fontId="63" fillId="0" borderId="0" xfId="0" applyFont="1" applyBorder="1" applyAlignment="1">
      <alignment vertical="center" shrinkToFit="1"/>
    </xf>
    <xf numFmtId="0" fontId="54" fillId="0" borderId="12" xfId="0" applyFont="1" applyBorder="1" applyAlignment="1">
      <alignment shrinkToFit="1"/>
    </xf>
    <xf numFmtId="213" fontId="49" fillId="0" borderId="12" xfId="1" applyNumberFormat="1" applyFont="1" applyBorder="1" applyAlignment="1" applyProtection="1">
      <alignment horizontal="right" vertical="center" shrinkToFit="1"/>
    </xf>
    <xf numFmtId="213" fontId="49" fillId="0" borderId="0" xfId="1" applyNumberFormat="1" applyFont="1" applyBorder="1" applyAlignment="1" applyProtection="1">
      <alignment horizontal="right" vertical="center" shrinkToFit="1"/>
    </xf>
    <xf numFmtId="0" fontId="52" fillId="0" borderId="12" xfId="0" applyFont="1" applyBorder="1" applyAlignment="1">
      <alignment shrinkToFit="1"/>
    </xf>
    <xf numFmtId="0" fontId="49" fillId="0" borderId="3" xfId="0" applyFont="1" applyBorder="1" applyAlignment="1">
      <alignment horizontal="center" vertical="center" shrinkToFit="1"/>
    </xf>
    <xf numFmtId="0" fontId="51" fillId="0" borderId="4" xfId="0" applyFont="1" applyBorder="1" applyAlignment="1"/>
    <xf numFmtId="0" fontId="63" fillId="0" borderId="0" xfId="0" applyFont="1" applyAlignment="1"/>
    <xf numFmtId="0" fontId="63" fillId="0" borderId="0" xfId="0" applyFont="1" applyAlignment="1">
      <alignment shrinkToFit="1"/>
    </xf>
    <xf numFmtId="0" fontId="51" fillId="0" borderId="0" xfId="0" applyFont="1" applyAlignment="1">
      <alignment vertical="center"/>
    </xf>
    <xf numFmtId="0" fontId="54" fillId="0" borderId="0" xfId="0" applyFont="1" applyAlignment="1">
      <alignment vertical="center"/>
    </xf>
    <xf numFmtId="0" fontId="51" fillId="4" borderId="0" xfId="0" applyFont="1" applyFill="1" applyAlignment="1">
      <alignment vertical="center"/>
    </xf>
    <xf numFmtId="0" fontId="59" fillId="0" borderId="0" xfId="0" applyFont="1" applyAlignment="1">
      <alignment vertical="center"/>
    </xf>
    <xf numFmtId="178" fontId="59" fillId="0" borderId="0" xfId="0" applyNumberFormat="1" applyFont="1" applyBorder="1" applyAlignment="1">
      <alignment horizontal="right" vertical="center"/>
    </xf>
    <xf numFmtId="0" fontId="49" fillId="0" borderId="0" xfId="0" applyFont="1" applyAlignment="1">
      <alignment vertical="center"/>
    </xf>
    <xf numFmtId="0" fontId="60" fillId="0" borderId="0" xfId="0" applyFont="1" applyAlignment="1">
      <alignment vertical="center"/>
    </xf>
    <xf numFmtId="0" fontId="22" fillId="0" borderId="0" xfId="0" applyFont="1"/>
    <xf numFmtId="0" fontId="22" fillId="0" borderId="21" xfId="0" applyFont="1" applyBorder="1" applyAlignment="1">
      <alignment shrinkToFit="1"/>
    </xf>
    <xf numFmtId="176" fontId="68" fillId="2" borderId="22" xfId="0" applyNumberFormat="1" applyFont="1" applyFill="1" applyBorder="1"/>
    <xf numFmtId="0" fontId="45" fillId="0" borderId="0" xfId="0" applyFont="1"/>
    <xf numFmtId="0" fontId="22" fillId="5" borderId="2" xfId="0" applyFont="1" applyFill="1" applyBorder="1"/>
    <xf numFmtId="0" fontId="18" fillId="0" borderId="2" xfId="0" applyFont="1" applyBorder="1"/>
    <xf numFmtId="0" fontId="22" fillId="0" borderId="22" xfId="0" applyFont="1" applyBorder="1" applyAlignment="1">
      <alignment horizontal="center"/>
    </xf>
    <xf numFmtId="176" fontId="22" fillId="0" borderId="22" xfId="0" applyNumberFormat="1" applyFont="1" applyBorder="1" applyAlignment="1">
      <alignment horizontal="center"/>
    </xf>
    <xf numFmtId="0" fontId="22" fillId="0" borderId="22" xfId="0" applyFont="1" applyBorder="1" applyAlignment="1">
      <alignment shrinkToFit="1"/>
    </xf>
    <xf numFmtId="0" fontId="22" fillId="0" borderId="22" xfId="0" applyFont="1" applyBorder="1" applyAlignment="1">
      <alignment horizontal="center"/>
    </xf>
    <xf numFmtId="187" fontId="18" fillId="0" borderId="2" xfId="0" applyNumberFormat="1" applyFont="1" applyBorder="1"/>
    <xf numFmtId="0" fontId="22" fillId="0" borderId="22" xfId="0" applyFont="1" applyBorder="1"/>
    <xf numFmtId="176" fontId="69" fillId="2" borderId="22" xfId="0" applyNumberFormat="1" applyFont="1" applyFill="1" applyBorder="1"/>
    <xf numFmtId="214" fontId="18" fillId="6" borderId="22" xfId="0" applyNumberFormat="1" applyFont="1" applyFill="1" applyBorder="1"/>
    <xf numFmtId="193" fontId="18" fillId="6" borderId="22" xfId="0" applyNumberFormat="1" applyFont="1" applyFill="1" applyBorder="1"/>
    <xf numFmtId="187" fontId="18" fillId="0" borderId="2" xfId="0" applyNumberFormat="1" applyFont="1" applyBorder="1" applyAlignment="1">
      <alignment horizontal="right"/>
    </xf>
    <xf numFmtId="0" fontId="22" fillId="5" borderId="2" xfId="0" applyFont="1" applyFill="1" applyBorder="1" applyAlignment="1">
      <alignment horizontal="right"/>
    </xf>
    <xf numFmtId="199" fontId="18" fillId="5" borderId="6" xfId="0" applyNumberFormat="1" applyFont="1" applyFill="1" applyBorder="1"/>
    <xf numFmtId="187" fontId="18" fillId="0" borderId="6" xfId="0" applyNumberFormat="1" applyFont="1" applyBorder="1"/>
    <xf numFmtId="0" fontId="22" fillId="0" borderId="22" xfId="0" applyFont="1" applyBorder="1" applyAlignment="1">
      <alignment horizontal="right"/>
    </xf>
    <xf numFmtId="176" fontId="69" fillId="6" borderId="22" xfId="0" applyNumberFormat="1" applyFont="1" applyFill="1" applyBorder="1"/>
    <xf numFmtId="199" fontId="18" fillId="6" borderId="22" xfId="0" applyNumberFormat="1" applyFont="1" applyFill="1" applyBorder="1"/>
    <xf numFmtId="215" fontId="18" fillId="6" borderId="22" xfId="0" applyNumberFormat="1" applyFont="1" applyFill="1" applyBorder="1"/>
    <xf numFmtId="210" fontId="18" fillId="0" borderId="0" xfId="0" applyNumberFormat="1" applyFont="1"/>
    <xf numFmtId="0" fontId="18" fillId="0" borderId="23" xfId="0" applyFont="1" applyBorder="1"/>
    <xf numFmtId="176" fontId="18" fillId="6" borderId="22" xfId="0" applyNumberFormat="1" applyFont="1" applyFill="1" applyBorder="1"/>
    <xf numFmtId="0" fontId="71" fillId="0" borderId="0" xfId="0" applyFont="1" applyAlignment="1">
      <alignment horizontal="distributed"/>
    </xf>
    <xf numFmtId="0" fontId="0" fillId="0" borderId="0" xfId="0" applyAlignment="1"/>
    <xf numFmtId="0" fontId="22" fillId="0" borderId="0" xfId="0" applyFont="1" applyAlignment="1"/>
    <xf numFmtId="0" fontId="18" fillId="0" borderId="0" xfId="0" applyFont="1" applyBorder="1"/>
    <xf numFmtId="0" fontId="18" fillId="0" borderId="0" xfId="0" applyFont="1" applyBorder="1" applyAlignment="1">
      <alignment vertical="center"/>
    </xf>
    <xf numFmtId="0" fontId="22" fillId="0" borderId="0" xfId="0" applyFont="1" applyBorder="1" applyAlignment="1">
      <alignment vertical="center"/>
    </xf>
    <xf numFmtId="0" fontId="0" fillId="0" borderId="0" xfId="0" applyFont="1" applyBorder="1" applyAlignment="1"/>
    <xf numFmtId="0" fontId="18" fillId="0" borderId="0" xfId="0" applyFont="1" applyBorder="1" applyAlignment="1">
      <alignment horizontal="right" vertical="center"/>
    </xf>
    <xf numFmtId="0" fontId="18" fillId="0" borderId="7" xfId="0" applyFont="1" applyBorder="1" applyAlignment="1">
      <alignment vertical="center"/>
    </xf>
    <xf numFmtId="0" fontId="18" fillId="0" borderId="12" xfId="0" applyFont="1" applyBorder="1" applyAlignment="1">
      <alignment vertical="center"/>
    </xf>
    <xf numFmtId="0" fontId="18" fillId="0" borderId="12" xfId="0" applyFont="1" applyBorder="1"/>
    <xf numFmtId="0" fontId="18" fillId="0" borderId="3" xfId="0" applyFont="1" applyBorder="1"/>
    <xf numFmtId="0" fontId="18" fillId="0" borderId="7" xfId="0" applyFont="1" applyBorder="1"/>
    <xf numFmtId="0" fontId="18" fillId="0" borderId="3" xfId="0" applyFont="1" applyBorder="1" applyAlignment="1">
      <alignment horizontal="distributed" vertical="center"/>
    </xf>
    <xf numFmtId="0" fontId="18" fillId="0" borderId="7" xfId="0" applyFont="1" applyBorder="1" applyAlignment="1">
      <alignment horizontal="distributed" vertical="center"/>
    </xf>
    <xf numFmtId="196" fontId="37" fillId="0" borderId="3" xfId="0" applyNumberFormat="1" applyFont="1" applyBorder="1"/>
    <xf numFmtId="0" fontId="18" fillId="0" borderId="0" xfId="0" applyFont="1" applyBorder="1" applyAlignment="1">
      <alignment horizontal="center" vertical="center"/>
    </xf>
    <xf numFmtId="0" fontId="18" fillId="0" borderId="0" xfId="0" applyFont="1" applyBorder="1" applyAlignment="1">
      <alignment horizontal="distributed" vertical="center"/>
    </xf>
    <xf numFmtId="196" fontId="37" fillId="0" borderId="0" xfId="0" applyNumberFormat="1" applyFont="1" applyBorder="1"/>
    <xf numFmtId="0" fontId="18" fillId="0" borderId="10" xfId="0" applyFont="1" applyBorder="1"/>
    <xf numFmtId="0" fontId="18" fillId="0" borderId="16" xfId="0" applyFont="1" applyBorder="1" applyAlignment="1">
      <alignment horizontal="distributed" vertical="center"/>
    </xf>
    <xf numFmtId="196" fontId="37" fillId="0" borderId="16" xfId="0" applyNumberFormat="1" applyFont="1" applyBorder="1"/>
    <xf numFmtId="0" fontId="18" fillId="0" borderId="14" xfId="0" applyFont="1" applyBorder="1"/>
    <xf numFmtId="0" fontId="18" fillId="0" borderId="15" xfId="0" applyFont="1" applyBorder="1"/>
    <xf numFmtId="0" fontId="18" fillId="0" borderId="9" xfId="0" applyFont="1" applyBorder="1"/>
    <xf numFmtId="0" fontId="18" fillId="0" borderId="0" xfId="0" applyFont="1" applyBorder="1" applyAlignment="1">
      <alignment horizontal="right"/>
    </xf>
    <xf numFmtId="0" fontId="44" fillId="0" borderId="0" xfId="0" applyFont="1"/>
    <xf numFmtId="196" fontId="37" fillId="0" borderId="0" xfId="0" applyNumberFormat="1" applyFont="1" applyBorder="1" applyAlignment="1">
      <alignment horizontal="right" vertical="center"/>
    </xf>
    <xf numFmtId="0" fontId="18" fillId="0" borderId="9" xfId="0" applyFont="1" applyBorder="1" applyAlignment="1">
      <alignment vertical="center"/>
    </xf>
    <xf numFmtId="0" fontId="32" fillId="0" borderId="0" xfId="0" applyFont="1" applyBorder="1" applyAlignment="1">
      <alignment horizontal="left" vertical="center"/>
    </xf>
    <xf numFmtId="0" fontId="18" fillId="0" borderId="9" xfId="0" applyFont="1" applyBorder="1" applyAlignment="1">
      <alignment vertical="center"/>
    </xf>
    <xf numFmtId="0" fontId="0" fillId="0" borderId="9" xfId="0" applyFont="1" applyBorder="1" applyAlignment="1"/>
    <xf numFmtId="0" fontId="22" fillId="0" borderId="9" xfId="0" applyFont="1" applyBorder="1" applyAlignment="1"/>
    <xf numFmtId="0" fontId="72" fillId="0" borderId="0" xfId="0" applyFont="1" applyAlignment="1"/>
    <xf numFmtId="0" fontId="0" fillId="0" borderId="0" xfId="0" applyFont="1" applyAlignment="1"/>
    <xf numFmtId="176" fontId="45" fillId="0" borderId="0" xfId="1" applyFont="1" applyBorder="1" applyAlignment="1" applyProtection="1">
      <alignment horizontal="right" vertical="center"/>
    </xf>
    <xf numFmtId="176" fontId="37" fillId="0" borderId="0" xfId="1" applyFont="1" applyBorder="1" applyAlignment="1" applyProtection="1"/>
    <xf numFmtId="176" fontId="18" fillId="0" borderId="0" xfId="1" applyFont="1" applyBorder="1" applyAlignment="1" applyProtection="1"/>
    <xf numFmtId="178" fontId="37" fillId="0" borderId="4" xfId="1" applyNumberFormat="1" applyFont="1" applyBorder="1" applyAlignment="1" applyProtection="1">
      <alignment horizontal="right" vertical="center"/>
    </xf>
    <xf numFmtId="176" fontId="18" fillId="0" borderId="4" xfId="1" applyFont="1" applyBorder="1" applyAlignment="1" applyProtection="1"/>
    <xf numFmtId="176" fontId="49" fillId="0" borderId="0" xfId="1" applyFont="1" applyBorder="1" applyAlignment="1" applyProtection="1"/>
    <xf numFmtId="0" fontId="18" fillId="0" borderId="11" xfId="0" applyFont="1" applyBorder="1" applyAlignment="1">
      <alignment horizontal="distributed" vertical="center"/>
    </xf>
    <xf numFmtId="196" fontId="37" fillId="0" borderId="16" xfId="0" applyNumberFormat="1" applyFont="1" applyBorder="1"/>
    <xf numFmtId="196" fontId="37" fillId="0" borderId="0" xfId="0" applyNumberFormat="1" applyFont="1" applyBorder="1"/>
    <xf numFmtId="196" fontId="37" fillId="0" borderId="0" xfId="0" applyNumberFormat="1" applyFont="1" applyBorder="1" applyAlignment="1">
      <alignment horizontal="right" vertical="center"/>
    </xf>
    <xf numFmtId="0" fontId="18" fillId="0" borderId="0" xfId="0" applyFont="1" applyBorder="1" applyAlignment="1">
      <alignment horizontal="right"/>
    </xf>
    <xf numFmtId="0" fontId="22" fillId="0" borderId="0" xfId="0" applyFont="1" applyBorder="1"/>
    <xf numFmtId="0" fontId="18" fillId="0" borderId="3" xfId="0" applyFont="1" applyBorder="1" applyAlignment="1">
      <alignment horizontal="distributed" vertical="center"/>
    </xf>
    <xf numFmtId="0" fontId="18" fillId="0" borderId="7" xfId="0" applyFont="1" applyBorder="1" applyAlignment="1">
      <alignment horizontal="distributed" vertical="center"/>
    </xf>
    <xf numFmtId="196" fontId="37" fillId="0" borderId="3" xfId="0" applyNumberFormat="1" applyFont="1" applyBorder="1"/>
    <xf numFmtId="0" fontId="18" fillId="0" borderId="16" xfId="0" applyFont="1" applyBorder="1" applyAlignment="1">
      <alignment horizontal="distributed" vertical="center"/>
    </xf>
    <xf numFmtId="0" fontId="18" fillId="0" borderId="9" xfId="0" applyFont="1" applyBorder="1"/>
    <xf numFmtId="0" fontId="32" fillId="0" borderId="0" xfId="0" applyFont="1" applyBorder="1"/>
    <xf numFmtId="0" fontId="22" fillId="0" borderId="0" xfId="0" applyFont="1" applyAlignment="1">
      <alignment vertical="center"/>
    </xf>
    <xf numFmtId="0" fontId="32" fillId="0" borderId="0" xfId="0" applyFont="1" applyAlignment="1">
      <alignment vertical="center"/>
    </xf>
    <xf numFmtId="0" fontId="32" fillId="0" borderId="0" xfId="0" applyFont="1" applyAlignment="1">
      <alignment horizontal="center" vertical="center"/>
    </xf>
    <xf numFmtId="0" fontId="18" fillId="0" borderId="0" xfId="0" applyFont="1" applyAlignment="1">
      <alignment vertical="center"/>
    </xf>
    <xf numFmtId="0" fontId="18" fillId="0" borderId="0" xfId="0" applyFont="1" applyAlignment="1">
      <alignment horizontal="center" vertical="center"/>
    </xf>
    <xf numFmtId="0" fontId="22" fillId="0" borderId="0" xfId="0" applyFont="1" applyAlignment="1">
      <alignment horizontal="right" vertical="center"/>
    </xf>
    <xf numFmtId="0" fontId="18" fillId="0" borderId="11" xfId="0" applyFont="1" applyBorder="1" applyAlignment="1">
      <alignment vertical="center"/>
    </xf>
    <xf numFmtId="0" fontId="22" fillId="0" borderId="4" xfId="0" applyFont="1" applyBorder="1" applyAlignment="1">
      <alignment horizontal="right" vertical="center"/>
    </xf>
    <xf numFmtId="0" fontId="22" fillId="0" borderId="2" xfId="0" applyFont="1" applyBorder="1" applyAlignment="1">
      <alignment horizontal="distributed" vertical="center"/>
    </xf>
    <xf numFmtId="0" fontId="18" fillId="0" borderId="14" xfId="0" applyFont="1" applyBorder="1" applyAlignment="1">
      <alignment vertical="center"/>
    </xf>
    <xf numFmtId="0" fontId="18" fillId="0" borderId="9" xfId="0" applyFont="1" applyBorder="1" applyAlignment="1">
      <alignment horizontal="center" vertical="center"/>
    </xf>
    <xf numFmtId="0" fontId="22" fillId="0" borderId="9" xfId="0" applyFont="1" applyBorder="1" applyAlignment="1">
      <alignment horizontal="distributed" vertical="center"/>
    </xf>
    <xf numFmtId="0" fontId="22" fillId="0" borderId="6" xfId="0" applyFont="1" applyBorder="1" applyAlignment="1">
      <alignment horizontal="distributed" vertical="center"/>
    </xf>
    <xf numFmtId="0" fontId="18" fillId="0" borderId="10" xfId="0" applyFont="1" applyBorder="1" applyAlignment="1">
      <alignment vertical="center"/>
    </xf>
    <xf numFmtId="178" fontId="18" fillId="0" borderId="8" xfId="0" applyNumberFormat="1" applyFont="1" applyBorder="1" applyAlignment="1">
      <alignment vertical="center"/>
    </xf>
    <xf numFmtId="178" fontId="18" fillId="0" borderId="0" xfId="0" applyNumberFormat="1" applyFont="1" applyBorder="1" applyAlignment="1">
      <alignment vertical="center"/>
    </xf>
    <xf numFmtId="178" fontId="37" fillId="0" borderId="8" xfId="0" applyNumberFormat="1" applyFont="1" applyBorder="1" applyAlignment="1">
      <alignment vertical="center"/>
    </xf>
    <xf numFmtId="178" fontId="18" fillId="0" borderId="2" xfId="0" applyNumberFormat="1" applyFont="1" applyBorder="1" applyAlignment="1">
      <alignment vertical="center"/>
    </xf>
    <xf numFmtId="178" fontId="18" fillId="0" borderId="12" xfId="0" applyNumberFormat="1" applyFont="1" applyBorder="1" applyAlignment="1">
      <alignment vertical="center"/>
    </xf>
    <xf numFmtId="178" fontId="37" fillId="0" borderId="2" xfId="0" applyNumberFormat="1" applyFont="1" applyBorder="1" applyAlignment="1">
      <alignment vertical="center"/>
    </xf>
    <xf numFmtId="178" fontId="37" fillId="0" borderId="6" xfId="0" applyNumberFormat="1" applyFont="1" applyBorder="1" applyAlignment="1">
      <alignment vertical="center"/>
    </xf>
    <xf numFmtId="178" fontId="37" fillId="0" borderId="9" xfId="0" applyNumberFormat="1" applyFont="1" applyBorder="1" applyAlignment="1">
      <alignment vertical="center"/>
    </xf>
    <xf numFmtId="0" fontId="18" fillId="0" borderId="3" xfId="0" applyFont="1" applyBorder="1" applyAlignment="1">
      <alignment vertical="center"/>
    </xf>
    <xf numFmtId="0" fontId="22" fillId="0" borderId="5" xfId="0" applyFont="1" applyBorder="1" applyAlignment="1">
      <alignment horizontal="distributed" vertical="center"/>
    </xf>
    <xf numFmtId="0" fontId="22" fillId="0" borderId="5" xfId="0" applyFont="1" applyBorder="1" applyAlignment="1">
      <alignment horizontal="distributed" vertical="center" wrapText="1"/>
    </xf>
    <xf numFmtId="0" fontId="22" fillId="0" borderId="13" xfId="0" applyFont="1" applyBorder="1" applyAlignment="1">
      <alignment horizontal="distributed" vertical="center"/>
    </xf>
    <xf numFmtId="178" fontId="18" fillId="0" borderId="3" xfId="0" applyNumberFormat="1" applyFont="1" applyBorder="1" applyAlignment="1">
      <alignment vertical="center"/>
    </xf>
    <xf numFmtId="0" fontId="22" fillId="0" borderId="0" xfId="0" applyFont="1" applyBorder="1"/>
    <xf numFmtId="0" fontId="32" fillId="0" borderId="0" xfId="0" applyFont="1" applyBorder="1" applyAlignment="1">
      <alignment horizontal="distributed" vertical="center"/>
    </xf>
    <xf numFmtId="0" fontId="74" fillId="4" borderId="0" xfId="3" applyFont="1" applyFill="1"/>
    <xf numFmtId="0" fontId="75" fillId="0" borderId="0" xfId="0" applyFont="1" applyAlignment="1">
      <alignment vertical="center"/>
    </xf>
    <xf numFmtId="0" fontId="74" fillId="0" borderId="0" xfId="3" applyFont="1"/>
    <xf numFmtId="0" fontId="18" fillId="0" borderId="0" xfId="3" applyFont="1" applyAlignment="1">
      <alignment vertical="center"/>
    </xf>
    <xf numFmtId="0" fontId="22" fillId="0" borderId="0" xfId="3" applyFont="1" applyAlignment="1">
      <alignment horizontal="right" vertical="center"/>
    </xf>
    <xf numFmtId="0" fontId="18" fillId="4" borderId="0" xfId="3" applyFont="1" applyFill="1" applyAlignment="1">
      <alignment vertical="center"/>
    </xf>
    <xf numFmtId="0" fontId="18" fillId="0" borderId="0" xfId="3" applyFont="1"/>
    <xf numFmtId="0" fontId="22" fillId="0" borderId="2" xfId="3" applyFont="1" applyBorder="1" applyAlignment="1">
      <alignment horizontal="distributed" vertical="center"/>
    </xf>
    <xf numFmtId="0" fontId="18" fillId="4" borderId="0" xfId="3" applyFont="1" applyFill="1"/>
    <xf numFmtId="0" fontId="22" fillId="0" borderId="12" xfId="3" applyFont="1" applyBorder="1" applyAlignment="1">
      <alignment horizontal="distributed" vertical="center" indent="1"/>
    </xf>
    <xf numFmtId="178" fontId="18" fillId="0" borderId="2" xfId="3" applyNumberFormat="1" applyFont="1" applyBorder="1" applyAlignment="1">
      <alignment vertical="center"/>
    </xf>
    <xf numFmtId="195" fontId="37" fillId="0" borderId="2" xfId="3" applyNumberFormat="1" applyFont="1" applyBorder="1" applyAlignment="1">
      <alignment vertical="center"/>
    </xf>
    <xf numFmtId="178" fontId="37" fillId="0" borderId="2" xfId="3" applyNumberFormat="1" applyFont="1" applyBorder="1" applyAlignment="1">
      <alignment vertical="center"/>
    </xf>
    <xf numFmtId="0" fontId="28" fillId="0" borderId="12" xfId="3" applyFont="1" applyBorder="1" applyAlignment="1">
      <alignment horizontal="distributed" vertical="center" indent="1"/>
    </xf>
    <xf numFmtId="195" fontId="37" fillId="0" borderId="17" xfId="3" applyNumberFormat="1" applyFont="1" applyBorder="1" applyAlignment="1">
      <alignment vertical="center"/>
    </xf>
    <xf numFmtId="0" fontId="18" fillId="0" borderId="4" xfId="3" applyFont="1" applyBorder="1" applyAlignment="1">
      <alignment vertical="center"/>
    </xf>
    <xf numFmtId="0" fontId="74" fillId="0" borderId="0" xfId="3" applyFont="1" applyAlignment="1">
      <alignment vertical="center"/>
    </xf>
    <xf numFmtId="0" fontId="22" fillId="0" borderId="0" xfId="3" applyFont="1" applyAlignment="1">
      <alignment vertical="center"/>
    </xf>
    <xf numFmtId="0" fontId="74" fillId="4" borderId="0" xfId="3" applyFont="1" applyFill="1" applyAlignment="1">
      <alignment vertical="center"/>
    </xf>
    <xf numFmtId="0" fontId="18" fillId="0" borderId="0" xfId="0" applyFont="1" applyAlignment="1"/>
    <xf numFmtId="0" fontId="18" fillId="0" borderId="0" xfId="0" applyFont="1" applyAlignment="1">
      <alignment vertical="center"/>
    </xf>
    <xf numFmtId="0" fontId="18" fillId="0" borderId="11" xfId="0" applyFont="1" applyBorder="1"/>
    <xf numFmtId="0" fontId="18" fillId="0" borderId="4" xfId="0" applyFont="1" applyBorder="1"/>
    <xf numFmtId="0" fontId="18" fillId="0" borderId="4" xfId="0" applyFont="1" applyBorder="1" applyAlignment="1">
      <alignment horizontal="center" vertical="center"/>
    </xf>
    <xf numFmtId="0" fontId="0" fillId="0" borderId="4" xfId="0" applyFont="1" applyBorder="1" applyAlignment="1"/>
    <xf numFmtId="0" fontId="18" fillId="0" borderId="13" xfId="0" applyFont="1" applyBorder="1"/>
    <xf numFmtId="0" fontId="0" fillId="0" borderId="4" xfId="0" applyFont="1" applyBorder="1" applyAlignment="1">
      <alignment shrinkToFit="1"/>
    </xf>
    <xf numFmtId="0" fontId="18" fillId="0" borderId="4" xfId="0" applyFont="1" applyBorder="1" applyAlignment="1">
      <alignment vertical="center"/>
    </xf>
    <xf numFmtId="0" fontId="18" fillId="0" borderId="9" xfId="0" applyFont="1" applyBorder="1" applyAlignment="1">
      <alignment vertical="center" shrinkToFit="1"/>
    </xf>
    <xf numFmtId="0" fontId="18" fillId="0" borderId="24" xfId="0" applyFont="1" applyBorder="1" applyAlignment="1">
      <alignment vertical="center" shrinkToFit="1"/>
    </xf>
    <xf numFmtId="0" fontId="0" fillId="0" borderId="25" xfId="0" applyFont="1" applyBorder="1" applyAlignment="1">
      <alignment shrinkToFit="1"/>
    </xf>
    <xf numFmtId="0" fontId="18" fillId="0" borderId="25" xfId="0" applyFont="1" applyBorder="1" applyAlignment="1">
      <alignment vertical="center"/>
    </xf>
    <xf numFmtId="0" fontId="0" fillId="0" borderId="25" xfId="0" applyFont="1" applyBorder="1" applyAlignment="1"/>
    <xf numFmtId="0" fontId="18" fillId="0" borderId="26" xfId="0" applyFont="1" applyBorder="1"/>
    <xf numFmtId="0" fontId="0" fillId="0" borderId="12" xfId="0" applyFont="1" applyBorder="1" applyAlignment="1"/>
    <xf numFmtId="0" fontId="18" fillId="0" borderId="12" xfId="0" applyFont="1" applyBorder="1" applyAlignment="1">
      <alignment vertical="center"/>
    </xf>
    <xf numFmtId="0" fontId="0" fillId="0" borderId="12" xfId="0" applyFont="1" applyBorder="1" applyAlignment="1"/>
    <xf numFmtId="0" fontId="18" fillId="0" borderId="4" xfId="0" applyFont="1" applyBorder="1" applyAlignment="1"/>
    <xf numFmtId="0" fontId="22" fillId="0" borderId="0" xfId="0" applyFont="1" applyAlignment="1">
      <alignment vertical="center"/>
    </xf>
    <xf numFmtId="0" fontId="32" fillId="0" borderId="0" xfId="0" applyFont="1" applyAlignment="1">
      <alignment horizontal="left"/>
    </xf>
    <xf numFmtId="176" fontId="32" fillId="0" borderId="0" xfId="4" applyFont="1" applyBorder="1" applyAlignment="1" applyProtection="1">
      <alignment horizontal="center" vertical="center" textRotation="255"/>
    </xf>
    <xf numFmtId="176" fontId="32" fillId="0" borderId="0" xfId="4" applyFont="1" applyBorder="1" applyAlignment="1" applyProtection="1"/>
    <xf numFmtId="176" fontId="26" fillId="0" borderId="0" xfId="4" applyFont="1" applyBorder="1" applyAlignment="1" applyProtection="1"/>
    <xf numFmtId="176" fontId="32" fillId="0" borderId="0" xfId="4" applyFont="1" applyBorder="1" applyAlignment="1" applyProtection="1">
      <alignment horizontal="center" vertical="center"/>
    </xf>
    <xf numFmtId="0" fontId="28" fillId="0" borderId="0" xfId="0" applyFont="1"/>
    <xf numFmtId="0" fontId="1" fillId="0" borderId="0" xfId="0" applyFont="1" applyBorder="1" applyAlignment="1"/>
    <xf numFmtId="176" fontId="37" fillId="0" borderId="16" xfId="1" applyFont="1" applyBorder="1" applyAlignment="1" applyProtection="1"/>
    <xf numFmtId="176" fontId="18" fillId="0" borderId="16" xfId="1" applyFont="1" applyBorder="1" applyAlignment="1" applyProtection="1"/>
    <xf numFmtId="178" fontId="37" fillId="0" borderId="0" xfId="1" applyNumberFormat="1" applyFont="1" applyBorder="1" applyAlignment="1" applyProtection="1">
      <alignment horizontal="right" vertical="center"/>
    </xf>
    <xf numFmtId="0" fontId="18" fillId="0" borderId="16" xfId="0" applyFont="1" applyBorder="1"/>
    <xf numFmtId="176" fontId="37" fillId="0" borderId="3" xfId="1" applyFont="1" applyBorder="1" applyAlignment="1" applyProtection="1"/>
    <xf numFmtId="176" fontId="18" fillId="0" borderId="12" xfId="1" applyFont="1" applyBorder="1" applyAlignment="1" applyProtection="1"/>
    <xf numFmtId="176" fontId="18" fillId="0" borderId="3" xfId="1" applyFont="1" applyBorder="1" applyAlignment="1" applyProtection="1"/>
    <xf numFmtId="176" fontId="18" fillId="0" borderId="13" xfId="1" applyFont="1" applyBorder="1" applyAlignment="1" applyProtection="1"/>
    <xf numFmtId="176" fontId="37" fillId="0" borderId="12" xfId="1" applyFont="1" applyBorder="1" applyAlignment="1" applyProtection="1"/>
    <xf numFmtId="0" fontId="18" fillId="0" borderId="0" xfId="0" applyFont="1" applyBorder="1" applyAlignment="1"/>
    <xf numFmtId="176" fontId="45" fillId="0" borderId="16" xfId="1" applyFont="1" applyBorder="1" applyAlignment="1" applyProtection="1"/>
    <xf numFmtId="176" fontId="45" fillId="0" borderId="3" xfId="1" applyFont="1" applyBorder="1" applyAlignment="1" applyProtection="1"/>
    <xf numFmtId="0" fontId="44" fillId="0" borderId="0" xfId="0" applyFont="1" applyAlignment="1">
      <alignment horizontal="distributed"/>
    </xf>
    <xf numFmtId="0" fontId="78" fillId="0" borderId="0" xfId="0" applyFont="1" applyAlignment="1"/>
    <xf numFmtId="0" fontId="79" fillId="0" borderId="0" xfId="0" applyFont="1" applyAlignment="1">
      <alignment vertical="center"/>
    </xf>
    <xf numFmtId="0" fontId="32" fillId="0" borderId="0" xfId="0" applyFont="1" applyAlignment="1">
      <alignment vertical="center"/>
    </xf>
    <xf numFmtId="0" fontId="1" fillId="0" borderId="0" xfId="0" applyFont="1" applyAlignment="1">
      <alignment vertical="center"/>
    </xf>
    <xf numFmtId="0" fontId="40" fillId="2" borderId="0" xfId="0" applyFont="1" applyFill="1" applyAlignment="1">
      <alignment vertical="center"/>
    </xf>
    <xf numFmtId="0" fontId="32" fillId="2" borderId="0" xfId="0" applyFont="1" applyFill="1" applyAlignment="1">
      <alignment vertical="center"/>
    </xf>
    <xf numFmtId="0" fontId="59" fillId="0" borderId="0" xfId="0" applyFont="1" applyAlignment="1">
      <alignment horizontal="distributed"/>
    </xf>
    <xf numFmtId="0" fontId="49" fillId="0" borderId="13" xfId="0" applyFont="1" applyBorder="1" applyAlignment="1">
      <alignment horizontal="right" vertical="center"/>
    </xf>
    <xf numFmtId="0" fontId="49" fillId="0" borderId="4" xfId="0" applyFont="1" applyBorder="1" applyAlignment="1">
      <alignment horizontal="right" vertical="center"/>
    </xf>
    <xf numFmtId="0" fontId="52" fillId="0" borderId="13" xfId="0" applyFont="1" applyBorder="1" applyAlignment="1"/>
    <xf numFmtId="0" fontId="52" fillId="0" borderId="15" xfId="0" applyFont="1" applyBorder="1" applyAlignment="1">
      <alignment horizontal="center" vertical="center"/>
    </xf>
    <xf numFmtId="196" fontId="49" fillId="0" borderId="7" xfId="0" applyNumberFormat="1" applyFont="1" applyBorder="1"/>
    <xf numFmtId="196" fontId="49" fillId="0" borderId="3" xfId="0" applyNumberFormat="1" applyFont="1" applyBorder="1"/>
    <xf numFmtId="196" fontId="49" fillId="0" borderId="10" xfId="0" applyNumberFormat="1" applyFont="1" applyBorder="1"/>
    <xf numFmtId="196" fontId="49" fillId="0" borderId="16" xfId="0" applyNumberFormat="1" applyFont="1" applyBorder="1"/>
    <xf numFmtId="196" fontId="49" fillId="0" borderId="0" xfId="0" applyNumberFormat="1" applyFont="1" applyBorder="1"/>
    <xf numFmtId="196" fontId="49" fillId="0" borderId="0" xfId="0" applyNumberFormat="1" applyFont="1" applyBorder="1" applyAlignment="1">
      <alignment horizontal="right" vertical="center"/>
    </xf>
    <xf numFmtId="0" fontId="59" fillId="0" borderId="0" xfId="0" applyFont="1"/>
    <xf numFmtId="178" fontId="49" fillId="0" borderId="3" xfId="1" applyNumberFormat="1" applyFont="1" applyBorder="1" applyAlignment="1" applyProtection="1"/>
    <xf numFmtId="178" fontId="49" fillId="0" borderId="12" xfId="1" applyNumberFormat="1" applyFont="1" applyBorder="1" applyAlignment="1" applyProtection="1"/>
    <xf numFmtId="0" fontId="49" fillId="0" borderId="8" xfId="0" applyFont="1" applyBorder="1"/>
    <xf numFmtId="178" fontId="49" fillId="0" borderId="16" xfId="1" applyNumberFormat="1" applyFont="1" applyBorder="1" applyAlignment="1" applyProtection="1"/>
    <xf numFmtId="178" fontId="49" fillId="0" borderId="4" xfId="1" applyNumberFormat="1" applyFont="1" applyBorder="1" applyAlignment="1" applyProtection="1"/>
    <xf numFmtId="178" fontId="49" fillId="0" borderId="13" xfId="1" applyNumberFormat="1" applyFont="1" applyBorder="1" applyAlignment="1" applyProtection="1"/>
    <xf numFmtId="0" fontId="49" fillId="0" borderId="0" xfId="0" applyFont="1" applyAlignment="1">
      <alignment horizontal="right"/>
    </xf>
    <xf numFmtId="0" fontId="49" fillId="0" borderId="29" xfId="0" applyFont="1" applyBorder="1"/>
    <xf numFmtId="178" fontId="49" fillId="0" borderId="30" xfId="1" applyNumberFormat="1" applyFont="1" applyBorder="1" applyAlignment="1" applyProtection="1"/>
    <xf numFmtId="178" fontId="49" fillId="0" borderId="29" xfId="1" applyNumberFormat="1" applyFont="1" applyBorder="1" applyAlignment="1" applyProtection="1"/>
    <xf numFmtId="0" fontId="49" fillId="0" borderId="30" xfId="0" applyFont="1" applyBorder="1"/>
    <xf numFmtId="0" fontId="49" fillId="0" borderId="6" xfId="0" applyFont="1" applyBorder="1"/>
    <xf numFmtId="178" fontId="49" fillId="0" borderId="15" xfId="1" applyNumberFormat="1" applyFont="1" applyBorder="1" applyAlignment="1" applyProtection="1"/>
    <xf numFmtId="178" fontId="49" fillId="0" borderId="9" xfId="1" applyNumberFormat="1" applyFont="1" applyBorder="1" applyAlignment="1" applyProtection="1"/>
    <xf numFmtId="0" fontId="49" fillId="0" borderId="32" xfId="0" applyFont="1" applyBorder="1"/>
    <xf numFmtId="178" fontId="49" fillId="0" borderId="33" xfId="1" applyNumberFormat="1" applyFont="1" applyBorder="1" applyAlignment="1" applyProtection="1"/>
    <xf numFmtId="0" fontId="49" fillId="0" borderId="33" xfId="0" applyFont="1" applyBorder="1"/>
    <xf numFmtId="0" fontId="52" fillId="0" borderId="15" xfId="0" applyFont="1" applyBorder="1" applyAlignment="1">
      <alignment horizontal="right" vertical="center"/>
    </xf>
    <xf numFmtId="0" fontId="49" fillId="0" borderId="9" xfId="0" applyFont="1" applyBorder="1" applyAlignment="1"/>
    <xf numFmtId="0" fontId="49" fillId="0" borderId="15" xfId="0" applyFont="1" applyBorder="1" applyAlignment="1"/>
    <xf numFmtId="176" fontId="49" fillId="0" borderId="16" xfId="1" applyFont="1" applyBorder="1" applyAlignment="1" applyProtection="1"/>
    <xf numFmtId="176" fontId="49" fillId="0" borderId="3" xfId="1" applyFont="1" applyBorder="1" applyAlignment="1" applyProtection="1"/>
    <xf numFmtId="176" fontId="49" fillId="0" borderId="15" xfId="1" applyFont="1" applyBorder="1" applyAlignment="1" applyProtection="1"/>
    <xf numFmtId="176" fontId="49" fillId="0" borderId="9" xfId="1" applyFont="1" applyBorder="1" applyAlignment="1" applyProtection="1"/>
    <xf numFmtId="176" fontId="49" fillId="0" borderId="4" xfId="1" applyFont="1" applyBorder="1" applyAlignment="1" applyProtection="1"/>
    <xf numFmtId="176" fontId="49" fillId="0" borderId="13" xfId="1" applyFont="1" applyBorder="1" applyAlignment="1" applyProtection="1"/>
    <xf numFmtId="176" fontId="49" fillId="0" borderId="0" xfId="1" applyFont="1" applyBorder="1" applyAlignment="1" applyProtection="1">
      <alignment vertical="center"/>
    </xf>
    <xf numFmtId="0" fontId="52" fillId="0" borderId="9" xfId="0" applyFont="1" applyBorder="1" applyAlignment="1"/>
    <xf numFmtId="0" fontId="51" fillId="0" borderId="9" xfId="0" applyFont="1" applyBorder="1" applyAlignment="1">
      <alignment vertical="center"/>
    </xf>
    <xf numFmtId="0" fontId="52" fillId="0" borderId="7" xfId="0" applyFont="1" applyBorder="1" applyAlignment="1">
      <alignment vertical="center"/>
    </xf>
    <xf numFmtId="0" fontId="84" fillId="0" borderId="12" xfId="0" applyFont="1" applyBorder="1" applyAlignment="1">
      <alignment horizontal="left" vertical="center"/>
    </xf>
    <xf numFmtId="0" fontId="84" fillId="0" borderId="12" xfId="0" applyFont="1" applyBorder="1" applyAlignment="1">
      <alignment horizontal="left" vertical="distributed" wrapText="1"/>
    </xf>
    <xf numFmtId="176" fontId="49" fillId="0" borderId="12" xfId="1" applyFont="1" applyBorder="1" applyAlignment="1" applyProtection="1"/>
    <xf numFmtId="176" fontId="85" fillId="0" borderId="12" xfId="1" applyFont="1" applyBorder="1" applyAlignment="1" applyProtection="1"/>
    <xf numFmtId="0" fontId="84" fillId="0" borderId="12" xfId="0" applyFont="1" applyBorder="1" applyAlignment="1">
      <alignment horizontal="left" vertical="center"/>
    </xf>
    <xf numFmtId="0" fontId="59" fillId="0" borderId="4" xfId="0" applyFont="1" applyBorder="1" applyAlignment="1"/>
    <xf numFmtId="0" fontId="59" fillId="0" borderId="13" xfId="0" applyFont="1" applyBorder="1" applyAlignment="1"/>
    <xf numFmtId="176" fontId="86" fillId="0" borderId="0" xfId="1" applyFont="1" applyBorder="1" applyAlignment="1" applyProtection="1"/>
    <xf numFmtId="176" fontId="49" fillId="0" borderId="7" xfId="1" applyFont="1" applyBorder="1" applyAlignment="1" applyProtection="1"/>
    <xf numFmtId="0" fontId="52" fillId="0" borderId="11" xfId="0" applyFont="1" applyBorder="1" applyAlignment="1">
      <alignment vertical="center"/>
    </xf>
    <xf numFmtId="0" fontId="84" fillId="0" borderId="4" xfId="0" applyFont="1" applyBorder="1" applyAlignment="1">
      <alignment horizontal="left" vertical="center" wrapText="1"/>
    </xf>
    <xf numFmtId="176" fontId="49" fillId="0" borderId="7" xfId="1" applyFont="1" applyBorder="1" applyAlignment="1" applyProtection="1">
      <alignment horizontal="center" vertical="top" textRotation="255"/>
    </xf>
    <xf numFmtId="0" fontId="52" fillId="0" borderId="14" xfId="0" applyFont="1" applyBorder="1" applyAlignment="1">
      <alignment vertical="center"/>
    </xf>
    <xf numFmtId="0" fontId="51" fillId="2" borderId="0" xfId="0" applyFont="1" applyFill="1" applyAlignment="1"/>
    <xf numFmtId="0" fontId="59" fillId="2" borderId="0" xfId="0" applyFont="1" applyFill="1" applyAlignment="1">
      <alignment horizontal="distributed"/>
    </xf>
    <xf numFmtId="0" fontId="52" fillId="2" borderId="0" xfId="0" applyFont="1" applyFill="1" applyAlignment="1">
      <alignment horizontal="distributed"/>
    </xf>
    <xf numFmtId="0" fontId="52" fillId="0" borderId="0" xfId="0" applyFont="1" applyAlignment="1">
      <alignment horizontal="distributed"/>
    </xf>
    <xf numFmtId="176" fontId="59" fillId="0" borderId="0" xfId="1" applyFont="1" applyBorder="1" applyAlignment="1" applyProtection="1"/>
    <xf numFmtId="0" fontId="0" fillId="0" borderId="15" xfId="0" applyFont="1" applyBorder="1" applyAlignment="1"/>
    <xf numFmtId="176" fontId="37" fillId="0" borderId="15" xfId="1" applyFont="1" applyBorder="1" applyAlignment="1" applyProtection="1"/>
    <xf numFmtId="176" fontId="37" fillId="0" borderId="9" xfId="1" applyFont="1" applyBorder="1" applyAlignment="1" applyProtection="1"/>
    <xf numFmtId="0" fontId="37" fillId="0" borderId="15" xfId="0" applyFont="1" applyBorder="1"/>
    <xf numFmtId="0" fontId="37" fillId="0" borderId="0" xfId="0" applyFont="1"/>
    <xf numFmtId="178" fontId="18" fillId="0" borderId="0" xfId="1" applyNumberFormat="1" applyFont="1" applyBorder="1" applyAlignment="1" applyProtection="1">
      <alignment horizontal="right" vertical="center"/>
    </xf>
    <xf numFmtId="0" fontId="37" fillId="0" borderId="3" xfId="0" applyFont="1" applyBorder="1"/>
    <xf numFmtId="0" fontId="0" fillId="0" borderId="0" xfId="0" applyBorder="1" applyAlignment="1">
      <alignment horizontal="center"/>
    </xf>
    <xf numFmtId="176" fontId="37" fillId="0" borderId="0" xfId="1" applyFont="1" applyBorder="1" applyAlignment="1" applyProtection="1">
      <alignment horizontal="right" vertical="center"/>
    </xf>
    <xf numFmtId="0" fontId="17" fillId="0" borderId="10" xfId="0" applyFont="1" applyBorder="1" applyAlignment="1">
      <alignment horizontal="center" vertical="center"/>
    </xf>
    <xf numFmtId="0" fontId="17" fillId="0" borderId="16" xfId="0" applyFont="1" applyBorder="1" applyAlignment="1">
      <alignment horizontal="center" vertical="center"/>
    </xf>
    <xf numFmtId="183" fontId="18" fillId="0" borderId="0" xfId="1" applyNumberFormat="1" applyFont="1" applyBorder="1" applyAlignment="1" applyProtection="1">
      <alignment vertical="center"/>
    </xf>
    <xf numFmtId="0" fontId="0" fillId="0" borderId="0" xfId="0" applyBorder="1" applyAlignment="1"/>
    <xf numFmtId="192" fontId="18" fillId="0" borderId="0" xfId="1" applyNumberFormat="1" applyFont="1" applyBorder="1" applyAlignment="1" applyProtection="1">
      <alignment vertical="center"/>
    </xf>
    <xf numFmtId="192" fontId="0" fillId="0" borderId="0" xfId="0" applyNumberFormat="1" applyFont="1" applyBorder="1" applyAlignment="1"/>
    <xf numFmtId="0" fontId="18" fillId="0" borderId="12" xfId="0" applyFont="1" applyBorder="1" applyAlignment="1">
      <alignment horizontal="center" vertical="center"/>
    </xf>
    <xf numFmtId="0" fontId="18" fillId="0" borderId="7" xfId="0" applyFont="1" applyBorder="1" applyAlignment="1">
      <alignment horizontal="center" vertical="center"/>
    </xf>
    <xf numFmtId="0" fontId="0" fillId="0" borderId="3" xfId="0" applyBorder="1" applyAlignment="1">
      <alignment horizontal="center" vertical="center"/>
    </xf>
    <xf numFmtId="176" fontId="18" fillId="0" borderId="0" xfId="1" applyFont="1" applyBorder="1" applyAlignment="1" applyProtection="1">
      <alignment vertical="center"/>
    </xf>
    <xf numFmtId="0" fontId="18" fillId="0" borderId="10" xfId="0" applyFont="1" applyBorder="1" applyAlignment="1"/>
    <xf numFmtId="0" fontId="18" fillId="0" borderId="16" xfId="0" applyFont="1" applyBorder="1" applyAlignment="1"/>
    <xf numFmtId="0" fontId="31" fillId="0" borderId="4" xfId="0" applyFont="1" applyBorder="1" applyAlignment="1"/>
    <xf numFmtId="0" fontId="31" fillId="0" borderId="9" xfId="0" applyFont="1" applyBorder="1" applyAlignment="1">
      <alignment vertical="top"/>
    </xf>
    <xf numFmtId="0" fontId="18" fillId="0" borderId="4" xfId="0" applyFont="1" applyBorder="1"/>
    <xf numFmtId="0" fontId="18" fillId="0" borderId="11" xfId="0" applyFont="1" applyBorder="1" applyAlignment="1"/>
    <xf numFmtId="0" fontId="18" fillId="0" borderId="13" xfId="0" applyFont="1" applyBorder="1" applyAlignment="1"/>
    <xf numFmtId="0" fontId="31" fillId="0" borderId="11" xfId="0" applyFont="1" applyBorder="1" applyAlignment="1"/>
    <xf numFmtId="0" fontId="28" fillId="0" borderId="4" xfId="0" applyFont="1" applyBorder="1" applyAlignment="1"/>
    <xf numFmtId="0" fontId="31" fillId="0" borderId="14" xfId="0" applyFont="1" applyBorder="1" applyAlignment="1">
      <alignment vertical="top"/>
    </xf>
    <xf numFmtId="0" fontId="28" fillId="0" borderId="9" xfId="0" applyFont="1" applyBorder="1" applyAlignment="1">
      <alignment vertical="top"/>
    </xf>
    <xf numFmtId="0" fontId="18" fillId="0" borderId="11" xfId="0" applyFont="1" applyBorder="1" applyAlignment="1">
      <alignment horizontal="center" vertical="center" textRotation="255"/>
    </xf>
    <xf numFmtId="0" fontId="18" fillId="0" borderId="14" xfId="0" applyFont="1" applyBorder="1" applyAlignment="1">
      <alignment horizontal="center" vertical="center" textRotation="255"/>
    </xf>
    <xf numFmtId="176" fontId="90" fillId="0" borderId="14" xfId="1" applyFont="1" applyBorder="1" applyAlignment="1" applyProtection="1">
      <alignment horizontal="center" vertical="center" wrapText="1"/>
    </xf>
    <xf numFmtId="0" fontId="90" fillId="0" borderId="15" xfId="0" applyFont="1" applyBorder="1" applyAlignment="1">
      <alignment vertical="center"/>
    </xf>
    <xf numFmtId="0" fontId="18" fillId="0" borderId="14" xfId="0" applyFont="1" applyBorder="1" applyAlignment="1"/>
    <xf numFmtId="0" fontId="18" fillId="0" borderId="15" xfId="0" applyFont="1" applyBorder="1" applyAlignment="1"/>
    <xf numFmtId="0" fontId="18" fillId="0" borderId="0" xfId="0" applyFont="1" applyBorder="1" applyAlignment="1">
      <alignment horizontal="center" vertical="center" shrinkToFit="1"/>
    </xf>
    <xf numFmtId="190" fontId="18" fillId="0" borderId="0" xfId="0" applyNumberFormat="1" applyFont="1" applyBorder="1" applyAlignment="1">
      <alignment vertical="center"/>
    </xf>
    <xf numFmtId="0" fontId="31" fillId="0" borderId="0" xfId="0" applyFont="1" applyBorder="1" applyAlignment="1">
      <alignment horizontal="distributed"/>
    </xf>
    <xf numFmtId="176" fontId="30" fillId="0" borderId="0" xfId="1" applyFont="1" applyBorder="1" applyAlignment="1" applyProtection="1">
      <alignment horizontal="center" vertical="center" wrapText="1"/>
    </xf>
    <xf numFmtId="176" fontId="31" fillId="0" borderId="0" xfId="1" applyFont="1" applyBorder="1" applyAlignment="1" applyProtection="1">
      <alignment horizontal="center" vertical="center" wrapText="1"/>
    </xf>
    <xf numFmtId="0" fontId="91" fillId="0" borderId="0" xfId="0" applyFont="1" applyBorder="1" applyAlignment="1">
      <alignment vertical="center"/>
    </xf>
    <xf numFmtId="0" fontId="31" fillId="0" borderId="0" xfId="0" applyFont="1" applyBorder="1" applyAlignment="1">
      <alignment horizontal="center" vertical="top"/>
    </xf>
    <xf numFmtId="0" fontId="18" fillId="0" borderId="15" xfId="0" applyFont="1" applyBorder="1" applyAlignment="1">
      <alignment vertical="center" wrapText="1"/>
    </xf>
    <xf numFmtId="0" fontId="22" fillId="0" borderId="16" xfId="0" applyFont="1" applyBorder="1" applyAlignment="1">
      <alignment horizontal="center" vertical="center"/>
    </xf>
    <xf numFmtId="176" fontId="18" fillId="0" borderId="0" xfId="0" applyNumberFormat="1" applyFont="1"/>
    <xf numFmtId="0" fontId="18" fillId="0" borderId="28" xfId="0" applyFont="1" applyBorder="1"/>
    <xf numFmtId="0" fontId="18" fillId="0" borderId="29" xfId="0" applyFont="1" applyBorder="1"/>
    <xf numFmtId="0" fontId="32" fillId="0" borderId="0" xfId="5" applyFont="1" applyAlignment="1">
      <alignment vertical="center"/>
    </xf>
    <xf numFmtId="0" fontId="1" fillId="0" borderId="0" xfId="0" applyFont="1" applyAlignment="1">
      <alignment horizontal="left" vertical="center"/>
    </xf>
    <xf numFmtId="0" fontId="32" fillId="0" borderId="0" xfId="5" applyFont="1" applyBorder="1" applyAlignment="1">
      <alignment vertical="center"/>
    </xf>
    <xf numFmtId="0" fontId="32" fillId="2" borderId="0" xfId="5" applyFont="1" applyFill="1" applyBorder="1" applyAlignment="1">
      <alignment vertical="center"/>
    </xf>
    <xf numFmtId="0" fontId="32" fillId="2" borderId="0" xfId="5" applyFont="1" applyFill="1" applyAlignment="1">
      <alignment vertical="center"/>
    </xf>
    <xf numFmtId="0" fontId="22" fillId="2" borderId="0" xfId="0" applyFont="1" applyFill="1" applyAlignment="1"/>
    <xf numFmtId="0" fontId="44" fillId="2" borderId="0" xfId="0" applyFont="1" applyFill="1" applyAlignment="1">
      <alignment horizontal="distributed"/>
    </xf>
    <xf numFmtId="0" fontId="0" fillId="2" borderId="0" xfId="0" applyFont="1" applyFill="1" applyAlignment="1"/>
    <xf numFmtId="0" fontId="92" fillId="0" borderId="0" xfId="0" applyFont="1"/>
    <xf numFmtId="0" fontId="93" fillId="0" borderId="0" xfId="0" applyFont="1" applyAlignment="1">
      <alignment horizontal="center"/>
    </xf>
    <xf numFmtId="0" fontId="95" fillId="0" borderId="0" xfId="0" applyFont="1" applyBorder="1" applyAlignment="1">
      <alignment horizontal="distributed"/>
    </xf>
    <xf numFmtId="0" fontId="92" fillId="0" borderId="0" xfId="0" applyFont="1" applyAlignment="1">
      <alignment vertical="center"/>
    </xf>
    <xf numFmtId="0" fontId="96" fillId="0" borderId="0" xfId="0" applyFont="1" applyAlignment="1">
      <alignment horizontal="center" vertical="center"/>
    </xf>
    <xf numFmtId="0" fontId="46" fillId="0" borderId="42" xfId="0" applyFont="1" applyBorder="1" applyAlignment="1">
      <alignment horizontal="center" vertical="center"/>
    </xf>
    <xf numFmtId="0" fontId="46" fillId="0" borderId="43" xfId="0" applyFont="1" applyBorder="1" applyAlignment="1">
      <alignment horizontal="center" vertical="center"/>
    </xf>
    <xf numFmtId="0" fontId="92" fillId="0" borderId="0" xfId="0" applyFont="1" applyAlignment="1">
      <alignment horizontal="center" vertical="center"/>
    </xf>
    <xf numFmtId="0" fontId="92" fillId="0" borderId="45" xfId="0" applyFont="1" applyBorder="1" applyAlignment="1">
      <alignment horizontal="center" vertical="center"/>
    </xf>
    <xf numFmtId="0" fontId="46" fillId="0" borderId="8" xfId="0" applyFont="1" applyBorder="1" applyAlignment="1">
      <alignment horizontal="right" vertical="center"/>
    </xf>
    <xf numFmtId="0" fontId="46" fillId="0" borderId="46" xfId="0" applyFont="1" applyBorder="1" applyAlignment="1">
      <alignment horizontal="right" vertical="center"/>
    </xf>
    <xf numFmtId="0" fontId="46" fillId="0" borderId="47" xfId="0" applyFont="1" applyBorder="1" applyAlignment="1">
      <alignment horizontal="right" vertical="center"/>
    </xf>
    <xf numFmtId="0" fontId="92" fillId="0" borderId="16" xfId="0" applyFont="1" applyBorder="1" applyAlignment="1">
      <alignment horizontal="center" vertical="center"/>
    </xf>
    <xf numFmtId="0" fontId="46" fillId="0" borderId="48" xfId="0" applyFont="1" applyBorder="1" applyAlignment="1">
      <alignment horizontal="right" vertical="center"/>
    </xf>
    <xf numFmtId="0" fontId="97" fillId="0" borderId="45" xfId="0" applyFont="1" applyBorder="1" applyAlignment="1">
      <alignment horizontal="left" vertical="center"/>
    </xf>
    <xf numFmtId="0" fontId="92" fillId="0" borderId="8" xfId="0" applyFont="1" applyBorder="1" applyAlignment="1">
      <alignment horizontal="center" vertical="center"/>
    </xf>
    <xf numFmtId="0" fontId="92" fillId="0" borderId="46" xfId="0" applyFont="1" applyBorder="1" applyAlignment="1">
      <alignment horizontal="center" vertical="center"/>
    </xf>
    <xf numFmtId="178" fontId="92" fillId="0" borderId="47" xfId="0" applyNumberFormat="1" applyFont="1" applyBorder="1" applyAlignment="1">
      <alignment horizontal="right" vertical="center"/>
    </xf>
    <xf numFmtId="0" fontId="97" fillId="0" borderId="16" xfId="0" applyFont="1" applyBorder="1" applyAlignment="1">
      <alignment horizontal="left" vertical="center"/>
    </xf>
    <xf numFmtId="178" fontId="92" fillId="0" borderId="8" xfId="0" applyNumberFormat="1" applyFont="1" applyBorder="1" applyAlignment="1">
      <alignment vertical="center"/>
    </xf>
    <xf numFmtId="178" fontId="92" fillId="0" borderId="10" xfId="0" applyNumberFormat="1" applyFont="1" applyBorder="1" applyAlignment="1">
      <alignment vertical="center"/>
    </xf>
    <xf numFmtId="178" fontId="92" fillId="0" borderId="49" xfId="0" applyNumberFormat="1" applyFont="1" applyBorder="1" applyAlignment="1">
      <alignment vertical="center"/>
    </xf>
    <xf numFmtId="0" fontId="46" fillId="0" borderId="45" xfId="0" applyFont="1" applyBorder="1" applyAlignment="1">
      <alignment horizontal="left" vertical="center" indent="1"/>
    </xf>
    <xf numFmtId="0" fontId="92" fillId="0" borderId="0" xfId="0" applyFont="1" applyBorder="1" applyAlignment="1">
      <alignment vertical="center"/>
    </xf>
    <xf numFmtId="178" fontId="92" fillId="0" borderId="46" xfId="0" applyNumberFormat="1" applyFont="1" applyBorder="1" applyAlignment="1">
      <alignment horizontal="right" vertical="center"/>
    </xf>
    <xf numFmtId="0" fontId="46" fillId="0" borderId="16" xfId="0" applyFont="1" applyBorder="1" applyAlignment="1">
      <alignment horizontal="left" vertical="center" indent="1"/>
    </xf>
    <xf numFmtId="0" fontId="92" fillId="0" borderId="8" xfId="0" applyFont="1" applyBorder="1"/>
    <xf numFmtId="0" fontId="48" fillId="0" borderId="45" xfId="0" applyFont="1" applyBorder="1" applyAlignment="1">
      <alignment horizontal="left" vertical="center" indent="1"/>
    </xf>
    <xf numFmtId="0" fontId="92" fillId="0" borderId="0" xfId="0" applyFont="1" applyBorder="1" applyAlignment="1">
      <alignment horizontal="right" vertical="center"/>
    </xf>
    <xf numFmtId="0" fontId="46" fillId="0" borderId="16" xfId="0" applyFont="1" applyBorder="1" applyAlignment="1">
      <alignment horizontal="center" vertical="center"/>
    </xf>
    <xf numFmtId="0" fontId="92" fillId="0" borderId="45" xfId="0" applyFont="1" applyBorder="1"/>
    <xf numFmtId="176" fontId="92" fillId="0" borderId="0" xfId="1" applyFont="1" applyBorder="1" applyAlignment="1" applyProtection="1"/>
    <xf numFmtId="0" fontId="92" fillId="0" borderId="0" xfId="0" applyFont="1" applyBorder="1"/>
    <xf numFmtId="0" fontId="92" fillId="0" borderId="46" xfId="0" applyFont="1" applyBorder="1"/>
    <xf numFmtId="0" fontId="92" fillId="0" borderId="49" xfId="0" applyFont="1" applyBorder="1"/>
    <xf numFmtId="178" fontId="92" fillId="0" borderId="47" xfId="0" applyNumberFormat="1" applyFont="1" applyBorder="1" applyAlignment="1">
      <alignment vertical="center"/>
    </xf>
    <xf numFmtId="0" fontId="77" fillId="0" borderId="16" xfId="0" applyFont="1" applyBorder="1" applyAlignment="1">
      <alignment horizontal="distributed" vertical="center"/>
    </xf>
    <xf numFmtId="178" fontId="92" fillId="0" borderId="46" xfId="0" applyNumberFormat="1" applyFont="1" applyBorder="1" applyAlignment="1">
      <alignment vertical="center"/>
    </xf>
    <xf numFmtId="0" fontId="46" fillId="0" borderId="16" xfId="0" applyFont="1" applyBorder="1" applyAlignment="1">
      <alignment horizontal="distributed" vertical="center" wrapText="1"/>
    </xf>
    <xf numFmtId="0" fontId="66" fillId="0" borderId="16" xfId="0" applyFont="1" applyBorder="1" applyAlignment="1">
      <alignment horizontal="left" vertical="center" wrapText="1" indent="1"/>
    </xf>
    <xf numFmtId="0" fontId="98" fillId="0" borderId="16" xfId="0" applyFont="1" applyBorder="1" applyAlignment="1">
      <alignment horizontal="center" vertical="center"/>
    </xf>
    <xf numFmtId="178" fontId="92" fillId="0" borderId="10" xfId="0" applyNumberFormat="1" applyFont="1" applyBorder="1" applyAlignment="1">
      <alignment horizontal="right" vertical="center"/>
    </xf>
    <xf numFmtId="178" fontId="92" fillId="0" borderId="51" xfId="0" applyNumberFormat="1" applyFont="1" applyBorder="1" applyAlignment="1">
      <alignment vertical="center"/>
    </xf>
    <xf numFmtId="178" fontId="92" fillId="0" borderId="50" xfId="0" applyNumberFormat="1" applyFont="1" applyBorder="1" applyAlignment="1">
      <alignment vertical="center"/>
    </xf>
    <xf numFmtId="178" fontId="92" fillId="0" borderId="0" xfId="0" applyNumberFormat="1" applyFont="1" applyBorder="1" applyAlignment="1">
      <alignment vertical="center"/>
    </xf>
    <xf numFmtId="178" fontId="92" fillId="0" borderId="53" xfId="0" applyNumberFormat="1" applyFont="1" applyBorder="1" applyAlignment="1">
      <alignment vertical="center"/>
    </xf>
    <xf numFmtId="178" fontId="92" fillId="0" borderId="0" xfId="0" applyNumberFormat="1" applyFont="1"/>
    <xf numFmtId="0" fontId="46" fillId="0" borderId="0" xfId="0" applyFont="1" applyAlignment="1">
      <alignment horizontal="left" vertical="center"/>
    </xf>
    <xf numFmtId="0" fontId="76" fillId="0" borderId="0" xfId="0" applyFont="1" applyAlignment="1">
      <alignment horizontal="left" vertical="center"/>
    </xf>
    <xf numFmtId="0" fontId="46" fillId="0" borderId="0" xfId="0" applyFont="1" applyAlignment="1">
      <alignment horizontal="left" vertical="center" indent="1"/>
    </xf>
    <xf numFmtId="0" fontId="76" fillId="0" borderId="0" xfId="0" applyFont="1" applyAlignment="1">
      <alignment horizontal="left" vertical="center" wrapText="1" indent="1"/>
    </xf>
    <xf numFmtId="0" fontId="46" fillId="0" borderId="0" xfId="0" applyFont="1" applyAlignment="1">
      <alignment vertical="center"/>
    </xf>
    <xf numFmtId="0" fontId="99" fillId="0" borderId="0" xfId="0" applyFont="1" applyAlignment="1">
      <alignment vertical="center"/>
    </xf>
    <xf numFmtId="0" fontId="93" fillId="0" borderId="0" xfId="0" applyFont="1" applyAlignment="1">
      <alignment horizontal="center" vertical="center"/>
    </xf>
    <xf numFmtId="0" fontId="46" fillId="0" borderId="10" xfId="0" applyFont="1" applyBorder="1" applyAlignment="1">
      <alignment horizontal="right" vertical="center"/>
    </xf>
    <xf numFmtId="0" fontId="46" fillId="0" borderId="49" xfId="0" applyFont="1" applyBorder="1" applyAlignment="1">
      <alignment horizontal="right" vertical="center"/>
    </xf>
    <xf numFmtId="0" fontId="77" fillId="0" borderId="0" xfId="0" applyFont="1" applyAlignment="1">
      <alignment vertical="center"/>
    </xf>
    <xf numFmtId="178" fontId="92" fillId="0" borderId="8" xfId="0" applyNumberFormat="1" applyFont="1" applyBorder="1" applyAlignment="1">
      <alignment horizontal="center" vertical="center"/>
    </xf>
    <xf numFmtId="178" fontId="92" fillId="0" borderId="10" xfId="0" applyNumberFormat="1" applyFont="1" applyBorder="1" applyAlignment="1">
      <alignment horizontal="center" vertical="center"/>
    </xf>
    <xf numFmtId="178" fontId="92" fillId="0" borderId="49" xfId="0" applyNumberFormat="1" applyFont="1" applyBorder="1" applyAlignment="1">
      <alignment horizontal="right" vertical="center"/>
    </xf>
    <xf numFmtId="0" fontId="92" fillId="0" borderId="56" xfId="0" applyFont="1" applyBorder="1" applyAlignment="1">
      <alignment vertical="center"/>
    </xf>
    <xf numFmtId="0" fontId="92" fillId="0" borderId="57" xfId="0" applyFont="1" applyBorder="1" applyAlignment="1">
      <alignment vertical="center"/>
    </xf>
    <xf numFmtId="0" fontId="92" fillId="0" borderId="58" xfId="0" applyFont="1" applyBorder="1" applyAlignment="1">
      <alignment vertical="center"/>
    </xf>
    <xf numFmtId="0" fontId="46" fillId="0" borderId="45" xfId="0" applyFont="1" applyBorder="1" applyAlignment="1">
      <alignment horizontal="distributed" vertical="center"/>
    </xf>
    <xf numFmtId="0" fontId="46" fillId="0" borderId="16" xfId="0" applyFont="1" applyBorder="1" applyAlignment="1">
      <alignment horizontal="distributed" vertical="center"/>
    </xf>
    <xf numFmtId="178" fontId="92" fillId="0" borderId="49" xfId="0" applyNumberFormat="1" applyFont="1" applyBorder="1" applyAlignment="1">
      <alignment horizontal="center" vertical="center"/>
    </xf>
    <xf numFmtId="0" fontId="46" fillId="0" borderId="59" xfId="0" applyFont="1" applyBorder="1" applyAlignment="1">
      <alignment horizontal="right" vertical="center"/>
    </xf>
    <xf numFmtId="0" fontId="46" fillId="0" borderId="0" xfId="0" applyFont="1" applyBorder="1" applyAlignment="1">
      <alignment vertical="center"/>
    </xf>
    <xf numFmtId="0" fontId="92" fillId="0" borderId="60" xfId="0" applyFont="1" applyBorder="1" applyAlignment="1">
      <alignment vertical="center"/>
    </xf>
    <xf numFmtId="0" fontId="46" fillId="0" borderId="45" xfId="0" applyFont="1" applyBorder="1" applyAlignment="1">
      <alignment horizontal="left" vertical="center" wrapText="1" indent="1"/>
    </xf>
    <xf numFmtId="0" fontId="46" fillId="0" borderId="16" xfId="0" applyFont="1" applyBorder="1" applyAlignment="1">
      <alignment horizontal="left" vertical="center" wrapText="1" indent="1"/>
    </xf>
    <xf numFmtId="0" fontId="92" fillId="0" borderId="59" xfId="0" applyFont="1" applyBorder="1" applyAlignment="1">
      <alignment vertical="center"/>
    </xf>
    <xf numFmtId="0" fontId="66" fillId="0" borderId="45" xfId="0" applyFont="1" applyBorder="1" applyAlignment="1">
      <alignment horizontal="left" vertical="center" wrapText="1" indent="1"/>
    </xf>
    <xf numFmtId="0" fontId="29" fillId="0" borderId="61" xfId="0" applyFont="1" applyBorder="1" applyAlignment="1">
      <alignment horizontal="left" wrapText="1" indent="1"/>
    </xf>
    <xf numFmtId="178" fontId="92" fillId="0" borderId="10" xfId="0" applyNumberFormat="1" applyFont="1" applyBorder="1" applyAlignment="1">
      <alignment horizontal="left" vertical="center" indent="1"/>
    </xf>
    <xf numFmtId="178" fontId="92" fillId="0" borderId="47" xfId="0" applyNumberFormat="1" applyFont="1" applyBorder="1" applyAlignment="1">
      <alignment horizontal="left" vertical="center" indent="1"/>
    </xf>
    <xf numFmtId="0" fontId="29" fillId="0" borderId="16" xfId="0" applyFont="1" applyBorder="1" applyAlignment="1">
      <alignment horizontal="left" vertical="center" wrapText="1" indent="1"/>
    </xf>
    <xf numFmtId="178" fontId="92" fillId="0" borderId="49" xfId="0" applyNumberFormat="1" applyFont="1" applyBorder="1" applyAlignment="1">
      <alignment horizontal="left" vertical="center" indent="1"/>
    </xf>
    <xf numFmtId="0" fontId="92" fillId="0" borderId="0" xfId="0" applyFont="1" applyAlignment="1">
      <alignment horizontal="left" indent="1"/>
    </xf>
    <xf numFmtId="0" fontId="92" fillId="0" borderId="59" xfId="0" applyFont="1" applyBorder="1" applyAlignment="1">
      <alignment horizontal="left" vertical="center" indent="1"/>
    </xf>
    <xf numFmtId="178" fontId="92" fillId="0" borderId="0" xfId="0" applyNumberFormat="1" applyFont="1" applyBorder="1" applyAlignment="1">
      <alignment horizontal="left" vertical="center" indent="1"/>
    </xf>
    <xf numFmtId="0" fontId="92" fillId="0" borderId="0" xfId="0" applyFont="1" applyBorder="1" applyAlignment="1">
      <alignment horizontal="left" vertical="center" indent="1"/>
    </xf>
    <xf numFmtId="0" fontId="92" fillId="0" borderId="60" xfId="0" applyFont="1" applyBorder="1" applyAlignment="1">
      <alignment horizontal="left" vertical="center" indent="1"/>
    </xf>
    <xf numFmtId="0" fontId="28" fillId="0" borderId="16" xfId="0" applyFont="1" applyBorder="1" applyAlignment="1">
      <alignment horizontal="left" vertical="center" wrapText="1" indent="1"/>
    </xf>
    <xf numFmtId="178" fontId="92" fillId="0" borderId="62" xfId="0" applyNumberFormat="1" applyFont="1" applyBorder="1" applyAlignment="1">
      <alignment vertical="center"/>
    </xf>
    <xf numFmtId="0" fontId="92" fillId="0" borderId="63" xfId="0" applyFont="1" applyBorder="1" applyAlignment="1">
      <alignment vertical="center"/>
    </xf>
    <xf numFmtId="0" fontId="92" fillId="0" borderId="64" xfId="0" applyFont="1" applyBorder="1" applyAlignment="1">
      <alignment vertical="center"/>
    </xf>
    <xf numFmtId="0" fontId="92" fillId="0" borderId="65" xfId="0" applyFont="1" applyBorder="1" applyAlignment="1">
      <alignment vertical="center"/>
    </xf>
    <xf numFmtId="0" fontId="92" fillId="0" borderId="66" xfId="0" applyFont="1" applyBorder="1" applyAlignment="1">
      <alignment vertical="center"/>
    </xf>
    <xf numFmtId="0" fontId="100" fillId="0" borderId="16" xfId="0" applyFont="1" applyBorder="1" applyAlignment="1">
      <alignment horizontal="left" vertical="center" wrapText="1" indent="1"/>
    </xf>
    <xf numFmtId="0" fontId="46" fillId="0" borderId="0" xfId="0" applyFont="1" applyBorder="1" applyAlignment="1">
      <alignment horizontal="center" vertical="center"/>
    </xf>
    <xf numFmtId="49" fontId="92" fillId="0" borderId="8" xfId="0" applyNumberFormat="1" applyFont="1" applyBorder="1" applyAlignment="1">
      <alignment horizontal="right" vertical="center"/>
    </xf>
    <xf numFmtId="0" fontId="66" fillId="0" borderId="16" xfId="0" applyFont="1" applyBorder="1" applyAlignment="1">
      <alignment horizontal="right" vertical="center" wrapText="1"/>
    </xf>
    <xf numFmtId="0" fontId="97" fillId="0" borderId="45" xfId="0" applyFont="1" applyBorder="1" applyAlignment="1">
      <alignment vertical="center"/>
    </xf>
    <xf numFmtId="0" fontId="66" fillId="0" borderId="45" xfId="0" applyFont="1" applyBorder="1" applyAlignment="1">
      <alignment horizontal="right" vertical="center" wrapText="1"/>
    </xf>
    <xf numFmtId="0" fontId="66" fillId="0" borderId="67" xfId="0" applyFont="1" applyBorder="1" applyAlignment="1">
      <alignment horizontal="left" vertical="center" indent="1"/>
    </xf>
    <xf numFmtId="0" fontId="66" fillId="0" borderId="45" xfId="0" applyFont="1" applyBorder="1" applyAlignment="1">
      <alignment horizontal="left" vertical="center" indent="1"/>
    </xf>
    <xf numFmtId="0" fontId="66" fillId="0" borderId="16" xfId="0" applyFont="1" applyBorder="1" applyAlignment="1">
      <alignment horizontal="left" vertical="center" indent="1"/>
    </xf>
    <xf numFmtId="178" fontId="92" fillId="0" borderId="47" xfId="0" applyNumberFormat="1" applyFont="1" applyBorder="1" applyAlignment="1">
      <alignment vertical="center" shrinkToFit="1"/>
    </xf>
    <xf numFmtId="178" fontId="92" fillId="0" borderId="46" xfId="0" applyNumberFormat="1" applyFont="1" applyBorder="1" applyAlignment="1">
      <alignment vertical="center" shrinkToFit="1"/>
    </xf>
    <xf numFmtId="0" fontId="92" fillId="0" borderId="67" xfId="0" applyFont="1" applyBorder="1"/>
    <xf numFmtId="178" fontId="46" fillId="0" borderId="0" xfId="0" applyNumberFormat="1" applyFont="1" applyBorder="1" applyAlignment="1">
      <alignment vertical="center"/>
    </xf>
    <xf numFmtId="0" fontId="92" fillId="0" borderId="68" xfId="0" applyFont="1" applyBorder="1"/>
    <xf numFmtId="0" fontId="92" fillId="0" borderId="69" xfId="0" applyFont="1" applyBorder="1"/>
    <xf numFmtId="0" fontId="92" fillId="0" borderId="41" xfId="0" applyFont="1" applyBorder="1"/>
    <xf numFmtId="0" fontId="92" fillId="0" borderId="70" xfId="0" applyFont="1" applyBorder="1"/>
    <xf numFmtId="0" fontId="92" fillId="0" borderId="71" xfId="0" applyFont="1" applyBorder="1" applyAlignment="1">
      <alignment horizontal="center" vertical="center"/>
    </xf>
    <xf numFmtId="0" fontId="92" fillId="0" borderId="41" xfId="0" applyFont="1" applyBorder="1" applyAlignment="1">
      <alignment horizontal="center" vertical="center"/>
    </xf>
    <xf numFmtId="178" fontId="92" fillId="0" borderId="72" xfId="0" applyNumberFormat="1" applyFont="1" applyBorder="1" applyAlignment="1">
      <alignment vertical="center"/>
    </xf>
    <xf numFmtId="178" fontId="92" fillId="0" borderId="73" xfId="0" applyNumberFormat="1" applyFont="1" applyBorder="1" applyAlignment="1">
      <alignment vertical="center"/>
    </xf>
    <xf numFmtId="178" fontId="92" fillId="0" borderId="70" xfId="0" applyNumberFormat="1" applyFont="1" applyBorder="1" applyAlignment="1">
      <alignment vertical="center"/>
    </xf>
    <xf numFmtId="178" fontId="92" fillId="0" borderId="61" xfId="0" applyNumberFormat="1" applyFont="1" applyBorder="1" applyAlignment="1">
      <alignment horizontal="left" indent="1"/>
    </xf>
    <xf numFmtId="178" fontId="92" fillId="0" borderId="0" xfId="0" applyNumberFormat="1" applyFont="1" applyAlignment="1">
      <alignment horizontal="left" indent="1"/>
    </xf>
    <xf numFmtId="0" fontId="52" fillId="0" borderId="0" xfId="0" applyFont="1" applyAlignment="1">
      <alignment vertical="center"/>
    </xf>
    <xf numFmtId="0" fontId="54" fillId="0" borderId="0" xfId="0" applyFont="1" applyBorder="1" applyAlignment="1"/>
    <xf numFmtId="0" fontId="102" fillId="0" borderId="0" xfId="0" applyFont="1" applyBorder="1" applyAlignment="1">
      <alignment horizontal="center"/>
    </xf>
    <xf numFmtId="0" fontId="103" fillId="0" borderId="0" xfId="0" applyFont="1" applyBorder="1" applyAlignment="1">
      <alignment horizontal="center"/>
    </xf>
    <xf numFmtId="0" fontId="54" fillId="0" borderId="0" xfId="0" applyFont="1" applyBorder="1" applyAlignment="1">
      <alignment vertical="center"/>
    </xf>
    <xf numFmtId="0" fontId="54" fillId="0" borderId="79" xfId="0" applyFont="1" applyBorder="1" applyAlignment="1">
      <alignment horizontal="center" vertical="center"/>
    </xf>
    <xf numFmtId="0" fontId="54" fillId="0" borderId="4" xfId="0" applyFont="1" applyBorder="1" applyAlignment="1">
      <alignment horizontal="center" vertical="center"/>
    </xf>
    <xf numFmtId="0" fontId="54" fillId="0" borderId="13" xfId="0" applyFont="1" applyBorder="1" applyAlignment="1">
      <alignment horizontal="center" vertical="center"/>
    </xf>
    <xf numFmtId="0" fontId="54" fillId="0" borderId="11" xfId="0" applyFont="1" applyBorder="1" applyAlignment="1">
      <alignment horizontal="center" vertical="center"/>
    </xf>
    <xf numFmtId="178" fontId="46" fillId="0" borderId="13" xfId="0" applyNumberFormat="1" applyFont="1" applyBorder="1" applyAlignment="1">
      <alignment horizontal="left" vertical="center"/>
    </xf>
    <xf numFmtId="0" fontId="54" fillId="0" borderId="80" xfId="0" applyFont="1" applyBorder="1" applyAlignment="1">
      <alignment horizontal="center" vertical="center"/>
    </xf>
    <xf numFmtId="0" fontId="59" fillId="0" borderId="9" xfId="0" applyFont="1" applyBorder="1" applyAlignment="1">
      <alignment vertical="center"/>
    </xf>
    <xf numFmtId="0" fontId="59" fillId="0" borderId="7" xfId="0" applyFont="1" applyBorder="1" applyAlignment="1">
      <alignment horizontal="distributed" vertical="center" indent="1"/>
    </xf>
    <xf numFmtId="0" fontId="59" fillId="0" borderId="12" xfId="0" applyFont="1" applyBorder="1" applyAlignment="1">
      <alignment horizontal="distributed" vertical="center" indent="1"/>
    </xf>
    <xf numFmtId="0" fontId="59" fillId="0" borderId="3" xfId="0" applyFont="1" applyBorder="1" applyAlignment="1">
      <alignment horizontal="distributed" vertical="center" indent="1"/>
    </xf>
    <xf numFmtId="0" fontId="59" fillId="0" borderId="12" xfId="0" applyFont="1" applyBorder="1" applyAlignment="1">
      <alignment vertical="center"/>
    </xf>
    <xf numFmtId="0" fontId="59" fillId="0" borderId="7" xfId="0" applyFont="1" applyBorder="1" applyAlignment="1">
      <alignment horizontal="left" vertical="center" wrapText="1"/>
    </xf>
    <xf numFmtId="0" fontId="59" fillId="0" borderId="12" xfId="0" applyFont="1" applyBorder="1" applyAlignment="1">
      <alignment horizontal="left" vertical="center" wrapText="1"/>
    </xf>
    <xf numFmtId="0" fontId="59" fillId="0" borderId="84" xfId="0" applyFont="1" applyBorder="1" applyAlignment="1">
      <alignment horizontal="left" vertical="center" wrapText="1"/>
    </xf>
    <xf numFmtId="0" fontId="59" fillId="0" borderId="0" xfId="0" applyFont="1" applyBorder="1" applyAlignment="1">
      <alignment horizontal="left" vertical="center" wrapText="1"/>
    </xf>
    <xf numFmtId="0" fontId="59" fillId="0" borderId="85" xfId="0" applyFont="1" applyBorder="1" applyAlignment="1">
      <alignment horizontal="left" vertical="center" wrapText="1"/>
    </xf>
    <xf numFmtId="0" fontId="59" fillId="0" borderId="89" xfId="0" applyFont="1" applyBorder="1" applyAlignment="1">
      <alignment horizontal="right" vertical="center"/>
    </xf>
    <xf numFmtId="0" fontId="54" fillId="0" borderId="0" xfId="0" applyFont="1" applyBorder="1" applyAlignment="1">
      <alignment horizontal="center"/>
    </xf>
    <xf numFmtId="0" fontId="54" fillId="0" borderId="0" xfId="0" applyFont="1" applyBorder="1" applyAlignment="1">
      <alignment horizontal="center" vertical="center"/>
    </xf>
    <xf numFmtId="178" fontId="54" fillId="0" borderId="0" xfId="0" applyNumberFormat="1" applyFont="1" applyBorder="1" applyAlignment="1"/>
    <xf numFmtId="0" fontId="104" fillId="0" borderId="0" xfId="0" applyFont="1" applyBorder="1" applyAlignment="1">
      <alignment horizontal="center"/>
    </xf>
    <xf numFmtId="0" fontId="59" fillId="0" borderId="3" xfId="0" applyFont="1" applyBorder="1" applyAlignment="1">
      <alignment vertical="center"/>
    </xf>
    <xf numFmtId="0" fontId="59" fillId="0" borderId="79" xfId="0" applyFont="1" applyBorder="1" applyAlignment="1">
      <alignment horizontal="center" vertical="center"/>
    </xf>
    <xf numFmtId="0" fontId="59" fillId="0" borderId="4" xfId="0" applyFont="1" applyBorder="1" applyAlignment="1">
      <alignment horizontal="center" vertical="center"/>
    </xf>
    <xf numFmtId="0" fontId="59" fillId="0" borderId="13" xfId="0" applyFont="1" applyBorder="1" applyAlignment="1">
      <alignment horizontal="center" vertical="center"/>
    </xf>
    <xf numFmtId="0" fontId="59" fillId="0" borderId="11" xfId="0" applyFont="1" applyBorder="1" applyAlignment="1">
      <alignment horizontal="center" vertical="center"/>
    </xf>
    <xf numFmtId="178" fontId="54" fillId="0" borderId="13" xfId="0" applyNumberFormat="1" applyFont="1" applyBorder="1" applyAlignment="1">
      <alignment horizontal="left" vertical="center"/>
    </xf>
    <xf numFmtId="0" fontId="59" fillId="0" borderId="16" xfId="0" applyFont="1" applyBorder="1" applyAlignment="1">
      <alignment vertical="center"/>
    </xf>
    <xf numFmtId="178" fontId="59" fillId="0" borderId="89" xfId="0" applyNumberFormat="1" applyFont="1" applyBorder="1" applyAlignment="1">
      <alignment horizontal="left" vertical="center"/>
    </xf>
    <xf numFmtId="178" fontId="59" fillId="0" borderId="15" xfId="0" applyNumberFormat="1" applyFont="1" applyBorder="1" applyAlignment="1">
      <alignment vertical="center"/>
    </xf>
    <xf numFmtId="0" fontId="59" fillId="0" borderId="15" xfId="0" applyFont="1" applyBorder="1" applyAlignment="1">
      <alignment vertical="center"/>
    </xf>
    <xf numFmtId="178" fontId="59" fillId="0" borderId="93" xfId="0" applyNumberFormat="1" applyFont="1" applyBorder="1" applyAlignment="1">
      <alignment horizontal="left" vertical="center"/>
    </xf>
    <xf numFmtId="0" fontId="59" fillId="0" borderId="0" xfId="0" applyFont="1" applyBorder="1" applyAlignment="1">
      <alignment horizontal="center" vertical="center"/>
    </xf>
    <xf numFmtId="178" fontId="59" fillId="0" borderId="0" xfId="0" applyNumberFormat="1" applyFont="1" applyBorder="1" applyAlignment="1">
      <alignment horizontal="left" vertical="center"/>
    </xf>
    <xf numFmtId="178" fontId="59" fillId="0" borderId="0" xfId="0" applyNumberFormat="1" applyFont="1" applyBorder="1" applyAlignment="1">
      <alignment horizontal="center" vertical="center"/>
    </xf>
    <xf numFmtId="0" fontId="59" fillId="0" borderId="0" xfId="0" applyFont="1" applyBorder="1" applyAlignment="1">
      <alignment horizontal="distributed" vertical="center"/>
    </xf>
    <xf numFmtId="0" fontId="95" fillId="0" borderId="0" xfId="0" applyFont="1" applyBorder="1" applyAlignment="1"/>
    <xf numFmtId="176" fontId="59" fillId="0" borderId="15" xfId="1" applyFont="1" applyBorder="1" applyAlignment="1" applyProtection="1">
      <alignment vertical="center"/>
    </xf>
    <xf numFmtId="176" fontId="59" fillId="0" borderId="3" xfId="1" applyFont="1" applyBorder="1" applyAlignment="1" applyProtection="1">
      <alignment vertical="center"/>
    </xf>
    <xf numFmtId="178" fontId="59" fillId="0" borderId="0" xfId="0" applyNumberFormat="1" applyFont="1" applyBorder="1" applyAlignment="1">
      <alignment vertical="center"/>
    </xf>
    <xf numFmtId="0" fontId="59" fillId="0" borderId="0" xfId="0" applyFont="1" applyBorder="1" applyAlignment="1">
      <alignment horizontal="center" vertical="center" wrapText="1"/>
    </xf>
    <xf numFmtId="0" fontId="46" fillId="0" borderId="13" xfId="0" applyFont="1" applyBorder="1" applyAlignment="1">
      <alignment horizontal="center" vertical="center"/>
    </xf>
    <xf numFmtId="178" fontId="92" fillId="0" borderId="80" xfId="0" applyNumberFormat="1" applyFont="1" applyBorder="1" applyAlignment="1">
      <alignment horizontal="left" vertical="center"/>
    </xf>
    <xf numFmtId="0" fontId="54" fillId="0" borderId="0" xfId="0" applyFont="1" applyBorder="1" applyAlignment="1">
      <alignment vertical="top"/>
    </xf>
    <xf numFmtId="176" fontId="59" fillId="0" borderId="0" xfId="0" applyNumberFormat="1" applyFont="1" applyBorder="1" applyAlignment="1">
      <alignment horizontal="right" vertical="center"/>
    </xf>
    <xf numFmtId="0" fontId="59" fillId="0" borderId="0" xfId="0" applyFont="1" applyBorder="1" applyAlignment="1">
      <alignment horizontal="right" vertical="center"/>
    </xf>
    <xf numFmtId="176" fontId="59" fillId="0" borderId="0" xfId="1" applyFont="1" applyBorder="1" applyAlignment="1" applyProtection="1">
      <alignment vertical="center"/>
    </xf>
    <xf numFmtId="176" fontId="51" fillId="0" borderId="0" xfId="1" applyFont="1" applyBorder="1" applyAlignment="1" applyProtection="1">
      <alignment horizontal="center" vertical="center"/>
    </xf>
    <xf numFmtId="176" fontId="51" fillId="0" borderId="0" xfId="1" applyFont="1" applyBorder="1" applyAlignment="1" applyProtection="1">
      <alignment horizontal="left" vertical="center"/>
    </xf>
    <xf numFmtId="176" fontId="59" fillId="0" borderId="0" xfId="1" applyFont="1" applyBorder="1" applyAlignment="1" applyProtection="1">
      <alignment horizontal="right" vertical="center"/>
    </xf>
    <xf numFmtId="176" fontId="51" fillId="0" borderId="0" xfId="1" applyFont="1" applyBorder="1" applyAlignment="1" applyProtection="1">
      <alignment vertical="center"/>
    </xf>
    <xf numFmtId="176" fontId="54" fillId="0" borderId="0" xfId="1" applyFont="1" applyBorder="1" applyAlignment="1" applyProtection="1">
      <alignment vertical="center"/>
    </xf>
    <xf numFmtId="176" fontId="64" fillId="0" borderId="0" xfId="1" applyFont="1" applyBorder="1" applyAlignment="1" applyProtection="1">
      <alignment vertical="center"/>
    </xf>
    <xf numFmtId="176" fontId="33" fillId="0" borderId="0" xfId="1" applyFont="1" applyBorder="1" applyAlignment="1" applyProtection="1">
      <alignment horizontal="right" vertical="center"/>
    </xf>
    <xf numFmtId="178" fontId="59" fillId="0" borderId="0" xfId="1" applyNumberFormat="1" applyFont="1" applyBorder="1" applyAlignment="1" applyProtection="1">
      <alignment horizontal="right" vertical="center"/>
    </xf>
    <xf numFmtId="176" fontId="51" fillId="0" borderId="75" xfId="1" applyFont="1" applyBorder="1" applyAlignment="1" applyProtection="1">
      <alignment vertical="center"/>
    </xf>
    <xf numFmtId="176" fontId="64" fillId="0" borderId="0" xfId="1" applyFont="1" applyBorder="1" applyAlignment="1" applyProtection="1"/>
    <xf numFmtId="176" fontId="54" fillId="0" borderId="0" xfId="1" applyFont="1" applyBorder="1" applyAlignment="1" applyProtection="1"/>
    <xf numFmtId="178" fontId="54" fillId="0" borderId="0" xfId="0" applyNumberFormat="1" applyFont="1" applyAlignment="1">
      <alignment vertical="center"/>
    </xf>
    <xf numFmtId="178" fontId="105" fillId="0" borderId="0" xfId="0" applyNumberFormat="1" applyFont="1" applyAlignment="1">
      <alignment horizontal="center" vertical="center"/>
    </xf>
    <xf numFmtId="178" fontId="54" fillId="0" borderId="0" xfId="0" applyNumberFormat="1" applyFont="1" applyAlignment="1">
      <alignment horizontal="center" vertical="center"/>
    </xf>
    <xf numFmtId="178" fontId="54" fillId="0" borderId="100" xfId="0" applyNumberFormat="1" applyFont="1" applyBorder="1" applyAlignment="1">
      <alignment vertical="center"/>
    </xf>
    <xf numFmtId="0" fontId="52" fillId="0" borderId="53" xfId="0" applyFont="1" applyBorder="1"/>
    <xf numFmtId="178" fontId="54" fillId="0" borderId="53" xfId="0" applyNumberFormat="1" applyFont="1" applyBorder="1" applyAlignment="1">
      <alignment horizontal="center" vertical="center"/>
    </xf>
    <xf numFmtId="178" fontId="54" fillId="0" borderId="101" xfId="0" applyNumberFormat="1" applyFont="1" applyBorder="1" applyAlignment="1">
      <alignment vertical="center"/>
    </xf>
    <xf numFmtId="178" fontId="54" fillId="0" borderId="61" xfId="0" applyNumberFormat="1" applyFont="1" applyBorder="1" applyAlignment="1">
      <alignment vertical="center"/>
    </xf>
    <xf numFmtId="0" fontId="52" fillId="0" borderId="0" xfId="0" applyFont="1" applyBorder="1"/>
    <xf numFmtId="178" fontId="54" fillId="0" borderId="0" xfId="0" applyNumberFormat="1" applyFont="1" applyBorder="1" applyAlignment="1">
      <alignment horizontal="distributed"/>
    </xf>
    <xf numFmtId="178" fontId="54" fillId="2" borderId="40" xfId="0" applyNumberFormat="1" applyFont="1" applyFill="1" applyBorder="1" applyAlignment="1">
      <alignment horizontal="distributed"/>
    </xf>
    <xf numFmtId="178" fontId="54" fillId="0" borderId="0" xfId="0" applyNumberFormat="1" applyFont="1" applyBorder="1" applyAlignment="1">
      <alignment horizontal="center" vertical="center"/>
    </xf>
    <xf numFmtId="178" fontId="54" fillId="0" borderId="85" xfId="0" applyNumberFormat="1" applyFont="1" applyBorder="1" applyAlignment="1">
      <alignment vertical="center"/>
    </xf>
    <xf numFmtId="0" fontId="52" fillId="0" borderId="102" xfId="0" applyFont="1" applyBorder="1"/>
    <xf numFmtId="178" fontId="54" fillId="0" borderId="85" xfId="0" applyNumberFormat="1" applyFont="1" applyBorder="1" applyAlignment="1">
      <alignment horizontal="center" vertical="center"/>
    </xf>
    <xf numFmtId="178" fontId="51" fillId="0" borderId="83" xfId="0" applyNumberFormat="1" applyFont="1" applyBorder="1" applyAlignment="1">
      <alignment horizontal="distributed" vertical="center"/>
    </xf>
    <xf numFmtId="178" fontId="51" fillId="0" borderId="2" xfId="0" applyNumberFormat="1" applyFont="1" applyBorder="1" applyAlignment="1">
      <alignment horizontal="distributed" vertical="center"/>
    </xf>
    <xf numFmtId="178" fontId="51" fillId="0" borderId="7" xfId="0" applyNumberFormat="1" applyFont="1" applyBorder="1" applyAlignment="1">
      <alignment horizontal="distributed" vertical="center"/>
    </xf>
    <xf numFmtId="178" fontId="51" fillId="0" borderId="3" xfId="0" applyNumberFormat="1" applyFont="1" applyBorder="1" applyAlignment="1">
      <alignment horizontal="distributed" vertical="center"/>
    </xf>
    <xf numFmtId="178" fontId="51" fillId="0" borderId="91" xfId="0" applyNumberFormat="1" applyFont="1" applyBorder="1" applyAlignment="1">
      <alignment horizontal="distributed" vertical="center"/>
    </xf>
    <xf numFmtId="178" fontId="33" fillId="0" borderId="79" xfId="0" applyNumberFormat="1" applyFont="1" applyBorder="1" applyAlignment="1">
      <alignment horizontal="right" vertical="center"/>
    </xf>
    <xf numFmtId="178" fontId="33" fillId="0" borderId="5" xfId="0" applyNumberFormat="1" applyFont="1" applyBorder="1" applyAlignment="1">
      <alignment horizontal="right" vertical="center"/>
    </xf>
    <xf numFmtId="178" fontId="33" fillId="0" borderId="4" xfId="0" applyNumberFormat="1" applyFont="1" applyBorder="1" applyAlignment="1">
      <alignment horizontal="right" vertical="center"/>
    </xf>
    <xf numFmtId="178" fontId="59" fillId="0" borderId="104" xfId="0" applyNumberFormat="1" applyFont="1" applyBorder="1" applyAlignment="1">
      <alignment horizontal="center" vertical="center"/>
    </xf>
    <xf numFmtId="178" fontId="33" fillId="0" borderId="80" xfId="0" applyNumberFormat="1" applyFont="1" applyBorder="1" applyAlignment="1">
      <alignment horizontal="right" vertical="center"/>
    </xf>
    <xf numFmtId="178" fontId="64" fillId="0" borderId="81" xfId="0" applyNumberFormat="1" applyFont="1" applyBorder="1" applyAlignment="1">
      <alignment vertical="center"/>
    </xf>
    <xf numFmtId="178" fontId="64" fillId="0" borderId="6" xfId="0" applyNumberFormat="1" applyFont="1" applyBorder="1" applyAlignment="1">
      <alignment vertical="center"/>
    </xf>
    <xf numFmtId="178" fontId="64" fillId="0" borderId="14" xfId="0" applyNumberFormat="1" applyFont="1" applyBorder="1" applyAlignment="1">
      <alignment vertical="center"/>
    </xf>
    <xf numFmtId="178" fontId="33" fillId="0" borderId="105" xfId="0" applyNumberFormat="1" applyFont="1" applyBorder="1" applyAlignment="1">
      <alignment horizontal="distributed" vertical="center"/>
    </xf>
    <xf numFmtId="178" fontId="64" fillId="0" borderId="15" xfId="0" applyNumberFormat="1" applyFont="1" applyBorder="1" applyAlignment="1">
      <alignment vertical="center"/>
    </xf>
    <xf numFmtId="178" fontId="64" fillId="0" borderId="82" xfId="0" applyNumberFormat="1" applyFont="1" applyBorder="1" applyAlignment="1">
      <alignment vertical="center"/>
    </xf>
    <xf numFmtId="178" fontId="64" fillId="0" borderId="83" xfId="0" applyNumberFormat="1" applyFont="1" applyBorder="1" applyAlignment="1">
      <alignment vertical="center"/>
    </xf>
    <xf numFmtId="178" fontId="64" fillId="0" borderId="2" xfId="0" applyNumberFormat="1" applyFont="1" applyBorder="1" applyAlignment="1">
      <alignment vertical="center"/>
    </xf>
    <xf numFmtId="178" fontId="64" fillId="0" borderId="7" xfId="0" applyNumberFormat="1" applyFont="1" applyBorder="1" applyAlignment="1">
      <alignment vertical="center"/>
    </xf>
    <xf numFmtId="178" fontId="33" fillId="0" borderId="103" xfId="0" applyNumberFormat="1" applyFont="1" applyBorder="1" applyAlignment="1">
      <alignment horizontal="distributed" vertical="center"/>
    </xf>
    <xf numFmtId="178" fontId="64" fillId="0" borderId="3" xfId="0" applyNumberFormat="1" applyFont="1" applyBorder="1" applyAlignment="1">
      <alignment vertical="center"/>
    </xf>
    <xf numFmtId="178" fontId="64" fillId="2" borderId="2" xfId="0" applyNumberFormat="1" applyFont="1" applyFill="1" applyBorder="1" applyAlignment="1">
      <alignment vertical="center"/>
    </xf>
    <xf numFmtId="178" fontId="64" fillId="2" borderId="3" xfId="0" applyNumberFormat="1" applyFont="1" applyFill="1" applyBorder="1" applyAlignment="1">
      <alignment vertical="center"/>
    </xf>
    <xf numFmtId="178" fontId="64" fillId="0" borderId="91" xfId="0" applyNumberFormat="1" applyFont="1" applyBorder="1" applyAlignment="1">
      <alignment vertical="center"/>
    </xf>
    <xf numFmtId="178" fontId="46" fillId="0" borderId="103" xfId="0" applyNumberFormat="1" applyFont="1" applyBorder="1" applyAlignment="1">
      <alignment horizontal="distributed" vertical="center" wrapText="1" shrinkToFit="1"/>
    </xf>
    <xf numFmtId="178" fontId="106" fillId="0" borderId="106" xfId="0" applyNumberFormat="1" applyFont="1" applyBorder="1" applyAlignment="1">
      <alignment vertical="center"/>
    </xf>
    <xf numFmtId="178" fontId="106" fillId="0" borderId="107" xfId="0" applyNumberFormat="1" applyFont="1" applyBorder="1" applyAlignment="1">
      <alignment vertical="center"/>
    </xf>
    <xf numFmtId="178" fontId="106" fillId="0" borderId="108" xfId="0" applyNumberFormat="1" applyFont="1" applyBorder="1" applyAlignment="1">
      <alignment vertical="center"/>
    </xf>
    <xf numFmtId="178" fontId="33" fillId="0" borderId="109" xfId="0" applyNumberFormat="1" applyFont="1" applyBorder="1" applyAlignment="1">
      <alignment horizontal="center" vertical="center"/>
    </xf>
    <xf numFmtId="178" fontId="106" fillId="0" borderId="110" xfId="0" applyNumberFormat="1" applyFont="1" applyBorder="1" applyAlignment="1">
      <alignment vertical="center"/>
    </xf>
    <xf numFmtId="178" fontId="106" fillId="0" borderId="111" xfId="0" applyNumberFormat="1" applyFont="1" applyBorder="1" applyAlignment="1">
      <alignment vertical="center"/>
    </xf>
    <xf numFmtId="178" fontId="64" fillId="0" borderId="0" xfId="0" applyNumberFormat="1" applyFont="1" applyAlignment="1">
      <alignment vertical="center"/>
    </xf>
    <xf numFmtId="178" fontId="64" fillId="2" borderId="14" xfId="0" applyNumberFormat="1" applyFont="1" applyFill="1" applyBorder="1" applyAlignment="1">
      <alignment vertical="center"/>
    </xf>
    <xf numFmtId="0" fontId="107" fillId="0" borderId="0" xfId="0" applyFont="1"/>
    <xf numFmtId="178" fontId="64" fillId="2" borderId="6" xfId="0" applyNumberFormat="1" applyFont="1" applyFill="1" applyBorder="1" applyAlignment="1">
      <alignment vertical="center"/>
    </xf>
    <xf numFmtId="0" fontId="108" fillId="0" borderId="0" xfId="0" applyFont="1" applyAlignment="1">
      <alignment horizontal="justify" vertical="center"/>
    </xf>
    <xf numFmtId="0" fontId="108" fillId="0" borderId="0" xfId="0" applyFont="1"/>
    <xf numFmtId="0" fontId="109" fillId="0" borderId="0" xfId="0" applyFont="1" applyAlignment="1">
      <alignment horizontal="right"/>
    </xf>
    <xf numFmtId="178" fontId="29" fillId="0" borderId="105" xfId="0" applyNumberFormat="1" applyFont="1" applyBorder="1" applyAlignment="1">
      <alignment horizontal="distributed" vertical="center"/>
    </xf>
    <xf numFmtId="3" fontId="109" fillId="0" borderId="0" xfId="0" applyNumberFormat="1" applyFont="1"/>
    <xf numFmtId="178" fontId="48" fillId="0" borderId="105" xfId="0" applyNumberFormat="1" applyFont="1" applyBorder="1" applyAlignment="1">
      <alignment horizontal="distributed" vertical="center"/>
    </xf>
    <xf numFmtId="3" fontId="52" fillId="0" borderId="0" xfId="0" applyNumberFormat="1" applyFont="1"/>
    <xf numFmtId="178" fontId="64" fillId="0" borderId="112" xfId="0" applyNumberFormat="1" applyFont="1" applyBorder="1" applyAlignment="1">
      <alignment horizontal="right" vertical="center"/>
    </xf>
    <xf numFmtId="178" fontId="52" fillId="0" borderId="0" xfId="0" applyNumberFormat="1" applyFont="1"/>
    <xf numFmtId="178" fontId="64" fillId="2" borderId="5" xfId="0" applyNumberFormat="1" applyFont="1" applyFill="1" applyBorder="1" applyAlignment="1">
      <alignment vertical="center"/>
    </xf>
    <xf numFmtId="178" fontId="27" fillId="0" borderId="103" xfId="0" applyNumberFormat="1" applyFont="1" applyBorder="1" applyAlignment="1">
      <alignment horizontal="distributed" vertical="center"/>
    </xf>
    <xf numFmtId="178" fontId="64" fillId="0" borderId="5" xfId="0" applyNumberFormat="1" applyFont="1" applyBorder="1" applyAlignment="1">
      <alignment vertical="center"/>
    </xf>
    <xf numFmtId="199" fontId="52" fillId="0" borderId="0" xfId="0" applyNumberFormat="1" applyFont="1"/>
    <xf numFmtId="178" fontId="110" fillId="2" borderId="103" xfId="0" applyNumberFormat="1" applyFont="1" applyFill="1" applyBorder="1" applyAlignment="1">
      <alignment horizontal="distributed" vertical="center" wrapText="1"/>
    </xf>
    <xf numFmtId="0" fontId="33" fillId="0" borderId="0" xfId="0" applyFont="1" applyAlignment="1">
      <alignment horizontal="justify" vertical="center"/>
    </xf>
    <xf numFmtId="178" fontId="48" fillId="0" borderId="103" xfId="0" applyNumberFormat="1" applyFont="1" applyBorder="1" applyAlignment="1">
      <alignment horizontal="distributed" vertical="center"/>
    </xf>
    <xf numFmtId="178" fontId="46" fillId="0" borderId="103" xfId="0" applyNumberFormat="1" applyFont="1" applyBorder="1" applyAlignment="1">
      <alignment horizontal="distributed" vertical="center"/>
    </xf>
    <xf numFmtId="178" fontId="98" fillId="0" borderId="0" xfId="0" applyNumberFormat="1" applyFont="1" applyAlignment="1">
      <alignment vertical="center"/>
    </xf>
    <xf numFmtId="178" fontId="59" fillId="0" borderId="100" xfId="0" applyNumberFormat="1" applyFont="1" applyBorder="1" applyAlignment="1">
      <alignment vertical="center"/>
    </xf>
    <xf numFmtId="178" fontId="59" fillId="0" borderId="53" xfId="0" applyNumberFormat="1" applyFont="1" applyBorder="1" applyAlignment="1">
      <alignment vertical="center"/>
    </xf>
    <xf numFmtId="178" fontId="59" fillId="0" borderId="0" xfId="0" applyNumberFormat="1" applyFont="1" applyBorder="1" applyAlignment="1">
      <alignment horizontal="distributed" vertical="center"/>
    </xf>
    <xf numFmtId="178" fontId="59" fillId="0" borderId="85" xfId="0" applyNumberFormat="1" applyFont="1" applyBorder="1" applyAlignment="1">
      <alignment vertical="center"/>
    </xf>
    <xf numFmtId="178" fontId="59" fillId="0" borderId="9" xfId="0" applyNumberFormat="1" applyFont="1" applyBorder="1" applyAlignment="1">
      <alignment vertical="center"/>
    </xf>
    <xf numFmtId="178" fontId="51" fillId="0" borderId="9" xfId="0" applyNumberFormat="1" applyFont="1" applyBorder="1" applyAlignment="1">
      <alignment horizontal="left" vertical="center"/>
    </xf>
    <xf numFmtId="178" fontId="59" fillId="0" borderId="113" xfId="0" applyNumberFormat="1" applyFont="1" applyBorder="1" applyAlignment="1">
      <alignment horizontal="left" vertical="center"/>
    </xf>
    <xf numFmtId="178" fontId="54" fillId="0" borderId="0" xfId="0" applyNumberFormat="1" applyFont="1" applyAlignment="1">
      <alignment vertical="top"/>
    </xf>
    <xf numFmtId="0" fontId="52" fillId="0" borderId="0" xfId="0" applyFont="1" applyAlignment="1">
      <alignment vertical="top"/>
    </xf>
    <xf numFmtId="178" fontId="59" fillId="0" borderId="61" xfId="0" applyNumberFormat="1" applyFont="1" applyBorder="1" applyAlignment="1">
      <alignment vertical="center"/>
    </xf>
    <xf numFmtId="178" fontId="59" fillId="0" borderId="115" xfId="0" applyNumberFormat="1" applyFont="1" applyBorder="1" applyAlignment="1">
      <alignment vertical="center"/>
    </xf>
    <xf numFmtId="178" fontId="59" fillId="0" borderId="41" xfId="0" applyNumberFormat="1" applyFont="1" applyBorder="1" applyAlignment="1">
      <alignment vertical="center"/>
    </xf>
    <xf numFmtId="0" fontId="52" fillId="0" borderId="0" xfId="0" applyFont="1"/>
    <xf numFmtId="0" fontId="0" fillId="0" borderId="0" xfId="0" applyFont="1"/>
    <xf numFmtId="0" fontId="111" fillId="0" borderId="0" xfId="0" applyFont="1" applyAlignment="1">
      <alignment horizontal="center" vertical="center"/>
    </xf>
    <xf numFmtId="0" fontId="46" fillId="0" borderId="0" xfId="0" applyFont="1" applyBorder="1" applyAlignment="1">
      <alignment vertical="center"/>
    </xf>
    <xf numFmtId="0" fontId="46" fillId="0" borderId="53" xfId="0" applyFont="1" applyBorder="1" applyAlignment="1">
      <alignment horizontal="center" vertical="center"/>
    </xf>
    <xf numFmtId="0" fontId="92" fillId="0" borderId="116" xfId="0" applyFont="1" applyBorder="1" applyAlignment="1">
      <alignment vertical="center"/>
    </xf>
    <xf numFmtId="0" fontId="46" fillId="0" borderId="100" xfId="0" applyFont="1" applyBorder="1" applyAlignment="1">
      <alignment horizontal="center" vertical="center"/>
    </xf>
    <xf numFmtId="0" fontId="76" fillId="0" borderId="101" xfId="0" applyFont="1" applyBorder="1"/>
    <xf numFmtId="0" fontId="76" fillId="0" borderId="0" xfId="0" applyFont="1"/>
    <xf numFmtId="0" fontId="112" fillId="0" borderId="0" xfId="0" applyFont="1"/>
    <xf numFmtId="0" fontId="92" fillId="0" borderId="79" xfId="0" applyFont="1" applyBorder="1" applyAlignment="1">
      <alignment vertical="center"/>
    </xf>
    <xf numFmtId="0" fontId="92" fillId="0" borderId="4" xfId="0" applyFont="1" applyBorder="1" applyAlignment="1">
      <alignment vertical="center"/>
    </xf>
    <xf numFmtId="0" fontId="92" fillId="0" borderId="13" xfId="0" applyFont="1" applyBorder="1" applyAlignment="1">
      <alignment vertical="center"/>
    </xf>
    <xf numFmtId="0" fontId="46" fillId="0" borderId="5" xfId="0" applyFont="1" applyBorder="1" applyAlignment="1">
      <alignment horizontal="right" vertical="center" wrapText="1"/>
    </xf>
    <xf numFmtId="0" fontId="46" fillId="0" borderId="80" xfId="0" applyFont="1" applyBorder="1" applyAlignment="1">
      <alignment horizontal="right" vertical="center" wrapText="1"/>
    </xf>
    <xf numFmtId="0" fontId="46" fillId="0" borderId="4" xfId="0" applyFont="1" applyBorder="1" applyAlignment="1">
      <alignment horizontal="right" vertical="center" wrapText="1"/>
    </xf>
    <xf numFmtId="0" fontId="92" fillId="0" borderId="118" xfId="0" applyFont="1" applyBorder="1" applyAlignment="1">
      <alignment vertical="center"/>
    </xf>
    <xf numFmtId="0" fontId="46" fillId="0" borderId="79" xfId="0" applyFont="1" applyBorder="1" applyAlignment="1">
      <alignment horizontal="right" vertical="center" wrapText="1"/>
    </xf>
    <xf numFmtId="0" fontId="76" fillId="0" borderId="80" xfId="0" applyFont="1" applyBorder="1"/>
    <xf numFmtId="199" fontId="92" fillId="0" borderId="8" xfId="0" applyNumberFormat="1" applyFont="1" applyBorder="1" applyAlignment="1">
      <alignment vertical="center" wrapText="1"/>
    </xf>
    <xf numFmtId="199" fontId="72" fillId="0" borderId="85" xfId="0" applyNumberFormat="1" applyFont="1" applyBorder="1" applyAlignment="1">
      <alignment vertical="center" wrapText="1"/>
    </xf>
    <xf numFmtId="199" fontId="113" fillId="0" borderId="0" xfId="0" applyNumberFormat="1" applyFont="1" applyBorder="1" applyAlignment="1">
      <alignment horizontal="right" vertical="center" wrapText="1"/>
    </xf>
    <xf numFmtId="0" fontId="114" fillId="0" borderId="119" xfId="0" applyFont="1" applyBorder="1" applyAlignment="1">
      <alignment vertical="center"/>
    </xf>
    <xf numFmtId="199" fontId="92" fillId="0" borderId="85" xfId="0" applyNumberFormat="1" applyFont="1" applyBorder="1" applyAlignment="1">
      <alignment vertical="center" wrapText="1"/>
    </xf>
    <xf numFmtId="199" fontId="113" fillId="0" borderId="61" xfId="0" applyNumberFormat="1" applyFont="1" applyBorder="1" applyAlignment="1">
      <alignment vertical="center" wrapText="1"/>
    </xf>
    <xf numFmtId="0" fontId="76" fillId="0" borderId="85" xfId="0" applyFont="1" applyBorder="1"/>
    <xf numFmtId="0" fontId="114" fillId="0" borderId="61" xfId="0" applyFont="1" applyBorder="1" applyAlignment="1">
      <alignment vertical="center"/>
    </xf>
    <xf numFmtId="0" fontId="92" fillId="0" borderId="16" xfId="0" applyFont="1" applyBorder="1" applyAlignment="1">
      <alignment vertical="center"/>
    </xf>
    <xf numFmtId="199" fontId="92" fillId="0" borderId="0" xfId="0" applyNumberFormat="1" applyFont="1" applyBorder="1" applyAlignment="1">
      <alignment vertical="center" wrapText="1"/>
    </xf>
    <xf numFmtId="0" fontId="114" fillId="0" borderId="0" xfId="0" applyFont="1" applyBorder="1" applyAlignment="1">
      <alignment vertical="center"/>
    </xf>
    <xf numFmtId="199" fontId="92" fillId="0" borderId="61" xfId="0" applyNumberFormat="1" applyFont="1" applyBorder="1" applyAlignment="1">
      <alignment vertical="center" wrapText="1"/>
    </xf>
    <xf numFmtId="199" fontId="72" fillId="0" borderId="85" xfId="0" applyNumberFormat="1" applyFont="1" applyBorder="1" applyAlignment="1">
      <alignment vertical="center" wrapText="1"/>
    </xf>
    <xf numFmtId="199" fontId="92" fillId="0" borderId="16" xfId="0" applyNumberFormat="1" applyFont="1" applyBorder="1" applyAlignment="1">
      <alignment vertical="center" wrapText="1"/>
    </xf>
    <xf numFmtId="0" fontId="92" fillId="0" borderId="119" xfId="0" applyFont="1" applyBorder="1" applyAlignment="1">
      <alignment vertical="center"/>
    </xf>
    <xf numFmtId="0" fontId="92" fillId="0" borderId="61" xfId="0" applyFont="1" applyBorder="1" applyAlignment="1">
      <alignment vertical="center"/>
    </xf>
    <xf numFmtId="199" fontId="76" fillId="0" borderId="0" xfId="0" applyNumberFormat="1" applyFont="1" applyBorder="1" applyAlignment="1">
      <alignment vertical="center" wrapText="1"/>
    </xf>
    <xf numFmtId="199" fontId="115" fillId="0" borderId="8" xfId="0" applyNumberFormat="1" applyFont="1" applyBorder="1" applyAlignment="1">
      <alignment vertical="center" wrapText="1"/>
    </xf>
    <xf numFmtId="199" fontId="76" fillId="0" borderId="85" xfId="0" applyNumberFormat="1" applyFont="1" applyBorder="1" applyAlignment="1">
      <alignment vertical="center" wrapText="1"/>
    </xf>
    <xf numFmtId="0" fontId="92" fillId="0" borderId="102" xfId="0" applyFont="1" applyBorder="1" applyAlignment="1">
      <alignment vertical="center"/>
    </xf>
    <xf numFmtId="0" fontId="92" fillId="0" borderId="9" xfId="0" applyFont="1" applyBorder="1" applyAlignment="1">
      <alignment vertical="center"/>
    </xf>
    <xf numFmtId="0" fontId="92" fillId="0" borderId="15" xfId="0" applyFont="1" applyBorder="1" applyAlignment="1">
      <alignment vertical="center"/>
    </xf>
    <xf numFmtId="199" fontId="92" fillId="0" borderId="6" xfId="0" applyNumberFormat="1" applyFont="1" applyBorder="1" applyAlignment="1">
      <alignment vertical="center" wrapText="1"/>
    </xf>
    <xf numFmtId="199" fontId="76" fillId="0" borderId="113" xfId="0" applyNumberFormat="1" applyFont="1" applyBorder="1" applyAlignment="1">
      <alignment vertical="center" wrapText="1"/>
    </xf>
    <xf numFmtId="199" fontId="76" fillId="0" borderId="9" xfId="0" applyNumberFormat="1" applyFont="1" applyBorder="1" applyAlignment="1">
      <alignment vertical="center" wrapText="1"/>
    </xf>
    <xf numFmtId="0" fontId="76" fillId="0" borderId="120" xfId="0" applyFont="1" applyBorder="1" applyAlignment="1">
      <alignment vertical="center"/>
    </xf>
    <xf numFmtId="0" fontId="76" fillId="0" borderId="9" xfId="0" applyFont="1" applyBorder="1" applyAlignment="1">
      <alignment vertical="center"/>
    </xf>
    <xf numFmtId="0" fontId="76" fillId="0" borderId="15" xfId="0" applyFont="1" applyBorder="1" applyAlignment="1">
      <alignment vertical="center"/>
    </xf>
    <xf numFmtId="199" fontId="76" fillId="0" borderId="6" xfId="0" applyNumberFormat="1" applyFont="1" applyBorder="1" applyAlignment="1">
      <alignment vertical="center" wrapText="1"/>
    </xf>
    <xf numFmtId="199" fontId="76" fillId="0" borderId="102" xfId="0" applyNumberFormat="1" applyFont="1" applyBorder="1" applyAlignment="1">
      <alignment vertical="center" wrapText="1"/>
    </xf>
    <xf numFmtId="0" fontId="76" fillId="0" borderId="113" xfId="0" applyFont="1" applyBorder="1"/>
    <xf numFmtId="199" fontId="113" fillId="0" borderId="41" xfId="0" applyNumberFormat="1" applyFont="1" applyBorder="1" applyAlignment="1">
      <alignment vertical="center" wrapText="1"/>
    </xf>
    <xf numFmtId="199" fontId="92" fillId="0" borderId="121" xfId="0" applyNumberFormat="1" applyFont="1" applyBorder="1" applyAlignment="1">
      <alignment vertical="center" wrapText="1"/>
    </xf>
    <xf numFmtId="199" fontId="113" fillId="0" borderId="122" xfId="0" applyNumberFormat="1" applyFont="1" applyBorder="1" applyAlignment="1">
      <alignment vertical="center" wrapText="1"/>
    </xf>
    <xf numFmtId="0" fontId="76" fillId="0" borderId="114" xfId="0" applyFont="1" applyBorder="1"/>
    <xf numFmtId="0" fontId="116" fillId="0" borderId="0" xfId="0" applyFont="1" applyAlignment="1">
      <alignment vertical="center" wrapText="1"/>
    </xf>
    <xf numFmtId="0" fontId="52" fillId="0" borderId="0" xfId="0" applyFont="1" applyAlignment="1">
      <alignment vertical="center"/>
    </xf>
    <xf numFmtId="0" fontId="117" fillId="0" borderId="0" xfId="0" applyFont="1" applyBorder="1" applyAlignment="1">
      <alignment horizontal="distributed" vertical="center"/>
    </xf>
    <xf numFmtId="0" fontId="92" fillId="0" borderId="0" xfId="0" applyFont="1" applyAlignment="1">
      <alignment vertical="center"/>
    </xf>
    <xf numFmtId="0" fontId="76" fillId="0" borderId="0" xfId="0" applyFont="1" applyAlignment="1">
      <alignment vertical="center"/>
    </xf>
    <xf numFmtId="0" fontId="76" fillId="0" borderId="0" xfId="0" applyFont="1" applyBorder="1" applyAlignment="1">
      <alignment vertical="center"/>
    </xf>
    <xf numFmtId="0" fontId="92" fillId="0" borderId="79" xfId="0" applyFont="1" applyBorder="1" applyAlignment="1">
      <alignment vertical="top" shrinkToFit="1"/>
    </xf>
    <xf numFmtId="0" fontId="92" fillId="0" borderId="4" xfId="0" applyFont="1" applyBorder="1" applyAlignment="1">
      <alignment vertical="top" shrinkToFit="1"/>
    </xf>
    <xf numFmtId="0" fontId="92" fillId="0" borderId="13" xfId="0" applyFont="1" applyBorder="1" applyAlignment="1">
      <alignment vertical="top" shrinkToFit="1"/>
    </xf>
    <xf numFmtId="0" fontId="46" fillId="0" borderId="5" xfId="0" applyFont="1" applyBorder="1" applyAlignment="1">
      <alignment horizontal="right" vertical="top" shrinkToFit="1"/>
    </xf>
    <xf numFmtId="0" fontId="46" fillId="0" borderId="80" xfId="0" applyFont="1" applyBorder="1" applyAlignment="1">
      <alignment horizontal="right" vertical="top" shrinkToFit="1"/>
    </xf>
    <xf numFmtId="0" fontId="46" fillId="0" borderId="4" xfId="0" applyFont="1" applyBorder="1" applyAlignment="1">
      <alignment horizontal="right" vertical="top" shrinkToFit="1"/>
    </xf>
    <xf numFmtId="0" fontId="92" fillId="0" borderId="118" xfId="0" applyFont="1" applyBorder="1" applyAlignment="1">
      <alignment vertical="top" shrinkToFit="1"/>
    </xf>
    <xf numFmtId="0" fontId="92" fillId="0" borderId="13" xfId="0" applyFont="1" applyBorder="1" applyAlignment="1">
      <alignment horizontal="right" vertical="top" shrinkToFit="1"/>
    </xf>
    <xf numFmtId="0" fontId="46" fillId="0" borderId="79" xfId="0" applyFont="1" applyBorder="1" applyAlignment="1">
      <alignment horizontal="right" vertical="top" shrinkToFit="1"/>
    </xf>
    <xf numFmtId="0" fontId="76" fillId="0" borderId="80" xfId="0" applyFont="1" applyBorder="1" applyAlignment="1">
      <alignment vertical="center" shrinkToFit="1"/>
    </xf>
    <xf numFmtId="0" fontId="76" fillId="0" borderId="0" xfId="0" applyFont="1" applyAlignment="1">
      <alignment vertical="center" shrinkToFit="1"/>
    </xf>
    <xf numFmtId="0" fontId="112" fillId="0" borderId="0" xfId="0" applyFont="1" applyAlignment="1">
      <alignment vertical="center" shrinkToFit="1"/>
    </xf>
    <xf numFmtId="199" fontId="92" fillId="0" borderId="8" xfId="0" applyNumberFormat="1" applyFont="1" applyBorder="1" applyAlignment="1">
      <alignment vertical="center" shrinkToFit="1"/>
    </xf>
    <xf numFmtId="199" fontId="92" fillId="0" borderId="85" xfId="0" applyNumberFormat="1" applyFont="1" applyBorder="1" applyAlignment="1">
      <alignment vertical="center" shrinkToFit="1"/>
    </xf>
    <xf numFmtId="199" fontId="113" fillId="0" borderId="0" xfId="0" applyNumberFormat="1" applyFont="1" applyBorder="1" applyAlignment="1">
      <alignment vertical="center" wrapText="1" shrinkToFit="1"/>
    </xf>
    <xf numFmtId="0" fontId="114" fillId="0" borderId="119" xfId="0" applyFont="1" applyBorder="1" applyAlignment="1">
      <alignment vertical="center" shrinkToFit="1"/>
    </xf>
    <xf numFmtId="199" fontId="113" fillId="0" borderId="61" xfId="0" applyNumberFormat="1" applyFont="1" applyBorder="1" applyAlignment="1">
      <alignment vertical="center" wrapText="1" shrinkToFit="1"/>
    </xf>
    <xf numFmtId="0" fontId="76" fillId="0" borderId="85" xfId="0" applyFont="1" applyBorder="1" applyAlignment="1">
      <alignment vertical="center" shrinkToFit="1"/>
    </xf>
    <xf numFmtId="199" fontId="92" fillId="0" borderId="0" xfId="0" applyNumberFormat="1" applyFont="1" applyBorder="1" applyAlignment="1">
      <alignment vertical="center" shrinkToFit="1"/>
    </xf>
    <xf numFmtId="0" fontId="92" fillId="0" borderId="119" xfId="0" applyFont="1" applyBorder="1" applyAlignment="1">
      <alignment vertical="center" shrinkToFit="1"/>
    </xf>
    <xf numFmtId="199" fontId="92" fillId="0" borderId="61" xfId="0" applyNumberFormat="1" applyFont="1" applyBorder="1" applyAlignment="1">
      <alignment vertical="center" shrinkToFit="1"/>
    </xf>
    <xf numFmtId="199" fontId="113" fillId="0" borderId="85" xfId="0" applyNumberFormat="1" applyFont="1" applyBorder="1" applyAlignment="1">
      <alignment vertical="center" wrapText="1" shrinkToFit="1"/>
    </xf>
    <xf numFmtId="0" fontId="76" fillId="0" borderId="119" xfId="0" applyFont="1" applyBorder="1" applyAlignment="1">
      <alignment vertical="center" shrinkToFit="1"/>
    </xf>
    <xf numFmtId="0" fontId="92" fillId="0" borderId="61" xfId="0" applyFont="1" applyBorder="1" applyAlignment="1">
      <alignment vertical="center" shrinkToFit="1"/>
    </xf>
    <xf numFmtId="0" fontId="92" fillId="0" borderId="0" xfId="0" applyFont="1" applyBorder="1" applyAlignment="1">
      <alignment vertical="center" shrinkToFit="1"/>
    </xf>
    <xf numFmtId="0" fontId="46" fillId="0" borderId="16" xfId="0" applyFont="1" applyBorder="1" applyAlignment="1">
      <alignment horizontal="distributed" vertical="center" shrinkToFit="1"/>
    </xf>
    <xf numFmtId="199" fontId="72" fillId="0" borderId="8" xfId="0" applyNumberFormat="1" applyFont="1" applyBorder="1" applyAlignment="1">
      <alignment horizontal="right" vertical="center" wrapText="1"/>
    </xf>
    <xf numFmtId="0" fontId="92" fillId="0" borderId="123" xfId="0" applyFont="1" applyBorder="1" applyAlignment="1">
      <alignment vertical="center" shrinkToFit="1"/>
    </xf>
    <xf numFmtId="0" fontId="92" fillId="0" borderId="61" xfId="0" applyFont="1" applyBorder="1" applyAlignment="1">
      <alignment vertical="center" wrapText="1" shrinkToFit="1"/>
    </xf>
    <xf numFmtId="0" fontId="46" fillId="0" borderId="16" xfId="0" applyFont="1" applyBorder="1" applyAlignment="1">
      <alignment horizontal="distributed" vertical="center" wrapText="1" shrinkToFit="1"/>
    </xf>
    <xf numFmtId="0" fontId="92" fillId="0" borderId="102" xfId="0" applyFont="1" applyBorder="1" applyAlignment="1">
      <alignment vertical="top" shrinkToFit="1"/>
    </xf>
    <xf numFmtId="0" fontId="92" fillId="0" borderId="9" xfId="0" applyFont="1" applyBorder="1" applyAlignment="1">
      <alignment vertical="top" shrinkToFit="1"/>
    </xf>
    <xf numFmtId="0" fontId="92" fillId="0" borderId="15" xfId="0" applyFont="1" applyBorder="1" applyAlignment="1">
      <alignment vertical="center" shrinkToFit="1"/>
    </xf>
    <xf numFmtId="199" fontId="92" fillId="0" borderId="6" xfId="0" applyNumberFormat="1" applyFont="1" applyBorder="1" applyAlignment="1">
      <alignment vertical="center" shrinkToFit="1"/>
    </xf>
    <xf numFmtId="199" fontId="92" fillId="0" borderId="113" xfId="0" applyNumberFormat="1" applyFont="1" applyBorder="1" applyAlignment="1">
      <alignment vertical="center" shrinkToFit="1"/>
    </xf>
    <xf numFmtId="199" fontId="92" fillId="0" borderId="9" xfId="0" applyNumberFormat="1" applyFont="1" applyBorder="1" applyAlignment="1">
      <alignment vertical="center" shrinkToFit="1"/>
    </xf>
    <xf numFmtId="0" fontId="92" fillId="0" borderId="120" xfId="0" applyFont="1" applyBorder="1" applyAlignment="1">
      <alignment vertical="center" shrinkToFit="1"/>
    </xf>
    <xf numFmtId="0" fontId="92" fillId="0" borderId="9" xfId="0" applyFont="1" applyBorder="1" applyAlignment="1">
      <alignment vertical="center" shrinkToFit="1"/>
    </xf>
    <xf numFmtId="0" fontId="92" fillId="0" borderId="6" xfId="0" applyFont="1" applyBorder="1" applyAlignment="1">
      <alignment vertical="center" shrinkToFit="1"/>
    </xf>
    <xf numFmtId="0" fontId="92" fillId="0" borderId="113" xfId="0" applyFont="1" applyBorder="1" applyAlignment="1">
      <alignment vertical="center" shrinkToFit="1"/>
    </xf>
    <xf numFmtId="0" fontId="92" fillId="0" borderId="102" xfId="0" applyFont="1" applyBorder="1" applyAlignment="1">
      <alignment vertical="center" shrinkToFit="1"/>
    </xf>
    <xf numFmtId="0" fontId="76" fillId="0" borderId="113" xfId="0" applyFont="1" applyBorder="1" applyAlignment="1">
      <alignment vertical="center" shrinkToFit="1"/>
    </xf>
    <xf numFmtId="199" fontId="92" fillId="0" borderId="121" xfId="0" applyNumberFormat="1" applyFont="1" applyBorder="1" applyAlignment="1">
      <alignment vertical="center" shrinkToFit="1"/>
    </xf>
    <xf numFmtId="0" fontId="76" fillId="0" borderId="114" xfId="0" applyFont="1" applyBorder="1" applyAlignment="1">
      <alignment vertical="center" shrinkToFit="1"/>
    </xf>
    <xf numFmtId="0" fontId="118" fillId="0" borderId="0" xfId="0" applyFont="1"/>
    <xf numFmtId="0" fontId="0" fillId="0" borderId="0" xfId="0" applyFont="1" applyAlignment="1">
      <alignment vertical="center"/>
    </xf>
    <xf numFmtId="0" fontId="64" fillId="0" borderId="0" xfId="0" applyFont="1" applyBorder="1" applyAlignment="1">
      <alignment horizontal="center" vertical="center"/>
    </xf>
    <xf numFmtId="0" fontId="67" fillId="0" borderId="0" xfId="0" applyFont="1" applyAlignment="1">
      <alignment vertical="center"/>
    </xf>
    <xf numFmtId="0" fontId="64" fillId="0" borderId="0" xfId="0" applyFont="1" applyAlignment="1">
      <alignment vertical="center"/>
    </xf>
    <xf numFmtId="0" fontId="51" fillId="0" borderId="76" xfId="0" applyFont="1" applyBorder="1" applyAlignment="1">
      <alignment horizontal="center" vertical="center"/>
    </xf>
    <xf numFmtId="0" fontId="51" fillId="0" borderId="44" xfId="0" applyFont="1" applyBorder="1" applyAlignment="1">
      <alignment horizontal="center" vertical="center"/>
    </xf>
    <xf numFmtId="0" fontId="63" fillId="0" borderId="0" xfId="0" applyFont="1" applyAlignment="1">
      <alignment vertical="center"/>
    </xf>
    <xf numFmtId="0" fontId="120" fillId="0" borderId="0" xfId="0" applyFont="1" applyAlignment="1">
      <alignment vertical="center"/>
    </xf>
    <xf numFmtId="0" fontId="59" fillId="0" borderId="61" xfId="0" applyFont="1" applyBorder="1" applyAlignment="1">
      <alignment horizontal="center" vertical="center"/>
    </xf>
    <xf numFmtId="0" fontId="59" fillId="0" borderId="16" xfId="0" applyFont="1" applyBorder="1" applyAlignment="1">
      <alignment horizontal="center" vertical="center"/>
    </xf>
    <xf numFmtId="0" fontId="59" fillId="0" borderId="10" xfId="0" applyFont="1" applyBorder="1" applyAlignment="1">
      <alignment horizontal="center" vertical="center"/>
    </xf>
    <xf numFmtId="0" fontId="63" fillId="0" borderId="16" xfId="0" applyFont="1" applyBorder="1" applyAlignment="1">
      <alignment horizontal="center" vertical="center"/>
    </xf>
    <xf numFmtId="0" fontId="59" fillId="0" borderId="0" xfId="0" applyFont="1" applyBorder="1" applyAlignment="1">
      <alignment horizontal="center" vertical="center"/>
    </xf>
    <xf numFmtId="0" fontId="59" fillId="0" borderId="85" xfId="0" applyFont="1" applyBorder="1" applyAlignment="1">
      <alignment horizontal="center" vertical="center"/>
    </xf>
    <xf numFmtId="0" fontId="63" fillId="0" borderId="0" xfId="0" applyFont="1" applyAlignment="1">
      <alignment horizontal="center" vertical="center"/>
    </xf>
    <xf numFmtId="0" fontId="59" fillId="0" borderId="7" xfId="0" applyFont="1" applyBorder="1" applyAlignment="1">
      <alignment vertical="center" wrapText="1"/>
    </xf>
    <xf numFmtId="0" fontId="51" fillId="0" borderId="3" xfId="0" applyFont="1" applyBorder="1" applyAlignment="1">
      <alignment vertical="center"/>
    </xf>
    <xf numFmtId="0" fontId="63" fillId="0" borderId="12" xfId="0" applyFont="1" applyBorder="1" applyAlignment="1">
      <alignment vertical="center"/>
    </xf>
    <xf numFmtId="0" fontId="63" fillId="0" borderId="84" xfId="0" applyFont="1" applyBorder="1" applyAlignment="1">
      <alignment vertical="center"/>
    </xf>
    <xf numFmtId="0" fontId="59" fillId="0" borderId="79" xfId="0" applyFont="1" applyBorder="1" applyAlignment="1">
      <alignment vertical="center" wrapText="1"/>
    </xf>
    <xf numFmtId="0" fontId="59" fillId="0" borderId="4" xfId="0" applyFont="1" applyBorder="1" applyAlignment="1">
      <alignment vertical="center" wrapText="1"/>
    </xf>
    <xf numFmtId="0" fontId="63" fillId="0" borderId="0" xfId="0" applyFont="1" applyBorder="1" applyAlignment="1">
      <alignment vertical="center"/>
    </xf>
    <xf numFmtId="0" fontId="120" fillId="0" borderId="0" xfId="0" applyFont="1" applyBorder="1" applyAlignment="1">
      <alignment vertical="center"/>
    </xf>
    <xf numFmtId="3" fontId="52" fillId="0" borderId="0" xfId="0" applyNumberFormat="1" applyFont="1" applyAlignment="1">
      <alignment vertical="center"/>
    </xf>
    <xf numFmtId="0" fontId="51" fillId="0" borderId="83" xfId="0" applyFont="1" applyBorder="1" applyAlignment="1">
      <alignment horizontal="center" vertical="center"/>
    </xf>
    <xf numFmtId="0" fontId="51" fillId="0" borderId="86" xfId="0" applyFont="1" applyBorder="1" applyAlignment="1">
      <alignment horizontal="center" vertical="center"/>
    </xf>
    <xf numFmtId="0" fontId="54" fillId="0" borderId="0" xfId="0" applyFont="1"/>
    <xf numFmtId="0" fontId="64" fillId="0" borderId="0" xfId="0" applyFont="1"/>
    <xf numFmtId="0" fontId="122" fillId="0" borderId="0" xfId="0" applyFont="1" applyAlignment="1">
      <alignment vertical="center"/>
    </xf>
    <xf numFmtId="0" fontId="52" fillId="0" borderId="101" xfId="0" applyFont="1" applyBorder="1"/>
    <xf numFmtId="0" fontId="52" fillId="0" borderId="85" xfId="0" applyFont="1" applyBorder="1"/>
    <xf numFmtId="0" fontId="33" fillId="0" borderId="103" xfId="0" applyFont="1" applyBorder="1" applyAlignment="1">
      <alignment horizontal="distributed" vertical="center" wrapText="1"/>
    </xf>
    <xf numFmtId="0" fontId="52" fillId="0" borderId="84" xfId="0" applyFont="1" applyBorder="1"/>
    <xf numFmtId="0" fontId="33" fillId="0" borderId="83" xfId="0" applyFont="1" applyBorder="1" applyAlignment="1">
      <alignment horizontal="center" vertical="center"/>
    </xf>
    <xf numFmtId="0" fontId="33" fillId="0" borderId="2" xfId="0" applyFont="1" applyBorder="1" applyAlignment="1">
      <alignment horizontal="center" vertical="center"/>
    </xf>
    <xf numFmtId="0" fontId="33" fillId="0" borderId="129" xfId="0" applyFont="1" applyBorder="1" applyAlignment="1">
      <alignment horizontal="center" vertical="center"/>
    </xf>
    <xf numFmtId="0" fontId="33" fillId="0" borderId="3" xfId="0" applyFont="1" applyBorder="1" applyAlignment="1">
      <alignment vertical="center"/>
    </xf>
    <xf numFmtId="0" fontId="33" fillId="0" borderId="7" xfId="0" applyFont="1" applyBorder="1" applyAlignment="1">
      <alignment horizontal="center" vertical="center"/>
    </xf>
    <xf numFmtId="0" fontId="33" fillId="0" borderId="98" xfId="0" applyFont="1" applyBorder="1" applyAlignment="1">
      <alignment horizontal="right" vertical="center" wrapText="1"/>
    </xf>
    <xf numFmtId="200" fontId="33" fillId="0" borderId="5" xfId="0" applyNumberFormat="1" applyFont="1" applyBorder="1" applyAlignment="1">
      <alignment horizontal="right" vertical="center" wrapText="1"/>
    </xf>
    <xf numFmtId="0" fontId="33" fillId="0" borderId="130" xfId="0" applyFont="1" applyBorder="1" applyAlignment="1">
      <alignment horizontal="right" vertical="center" wrapText="1"/>
    </xf>
    <xf numFmtId="0" fontId="64" fillId="0" borderId="104" xfId="0" applyFont="1" applyBorder="1" applyAlignment="1">
      <alignment horizontal="center" vertical="center" wrapText="1"/>
    </xf>
    <xf numFmtId="0" fontId="33" fillId="0" borderId="13" xfId="0" applyFont="1" applyBorder="1" applyAlignment="1">
      <alignment horizontal="right" vertical="center" wrapText="1"/>
    </xf>
    <xf numFmtId="0" fontId="33" fillId="0" borderId="5" xfId="0" applyFont="1" applyBorder="1" applyAlignment="1">
      <alignment horizontal="right" vertical="center" wrapText="1"/>
    </xf>
    <xf numFmtId="0" fontId="33" fillId="0" borderId="11" xfId="0" applyFont="1" applyBorder="1" applyAlignment="1">
      <alignment horizontal="right" vertical="center" wrapText="1"/>
    </xf>
    <xf numFmtId="0" fontId="52" fillId="0" borderId="80" xfId="0" applyFont="1" applyBorder="1"/>
    <xf numFmtId="3" fontId="125" fillId="0" borderId="81" xfId="0" applyNumberFormat="1" applyFont="1" applyBorder="1" applyAlignment="1">
      <alignment vertical="center" wrapText="1"/>
    </xf>
    <xf numFmtId="200" fontId="64" fillId="0" borderId="6" xfId="0" applyNumberFormat="1" applyFont="1" applyBorder="1" applyAlignment="1">
      <alignment vertical="center" wrapText="1"/>
    </xf>
    <xf numFmtId="3" fontId="125" fillId="0" borderId="131" xfId="0" applyNumberFormat="1" applyFont="1" applyBorder="1" applyAlignment="1">
      <alignment vertical="center" wrapText="1"/>
    </xf>
    <xf numFmtId="0" fontId="33" fillId="0" borderId="105" xfId="0" applyFont="1" applyBorder="1" applyAlignment="1">
      <alignment horizontal="distributed" vertical="center" wrapText="1"/>
    </xf>
    <xf numFmtId="0" fontId="89" fillId="0" borderId="15" xfId="0" applyFont="1" applyBorder="1" applyAlignment="1">
      <alignment vertical="center" wrapText="1"/>
    </xf>
    <xf numFmtId="0" fontId="64" fillId="0" borderId="6" xfId="0" applyFont="1" applyBorder="1" applyAlignment="1">
      <alignment vertical="center" wrapText="1"/>
    </xf>
    <xf numFmtId="0" fontId="64" fillId="0" borderId="14" xfId="0" applyFont="1" applyBorder="1" applyAlignment="1">
      <alignment vertical="center" wrapText="1"/>
    </xf>
    <xf numFmtId="0" fontId="52" fillId="0" borderId="113" xfId="0" applyFont="1" applyBorder="1"/>
    <xf numFmtId="3" fontId="125" fillId="0" borderId="83" xfId="0" applyNumberFormat="1" applyFont="1" applyBorder="1" applyAlignment="1">
      <alignment vertical="center" wrapText="1"/>
    </xf>
    <xf numFmtId="3" fontId="89" fillId="0" borderId="2" xfId="0" applyNumberFormat="1" applyFont="1" applyBorder="1" applyAlignment="1">
      <alignment vertical="center" wrapText="1"/>
    </xf>
    <xf numFmtId="3" fontId="125" fillId="0" borderId="129" xfId="0" applyNumberFormat="1" applyFont="1" applyBorder="1" applyAlignment="1">
      <alignment vertical="center" wrapText="1"/>
    </xf>
    <xf numFmtId="0" fontId="2" fillId="0" borderId="3" xfId="0" applyFont="1" applyBorder="1" applyAlignment="1">
      <alignment vertical="center" wrapText="1"/>
    </xf>
    <xf numFmtId="3" fontId="64" fillId="0" borderId="2" xfId="0" applyNumberFormat="1" applyFont="1" applyBorder="1" applyAlignment="1">
      <alignment vertical="center" wrapText="1"/>
    </xf>
    <xf numFmtId="0" fontId="117" fillId="0" borderId="7" xfId="0" applyFont="1" applyBorder="1" applyAlignment="1">
      <alignment vertical="center" wrapText="1"/>
    </xf>
    <xf numFmtId="3" fontId="64" fillId="0" borderId="98" xfId="0" applyNumberFormat="1" applyFont="1" applyBorder="1" applyAlignment="1">
      <alignment vertical="center" wrapText="1"/>
    </xf>
    <xf numFmtId="200" fontId="64" fillId="0" borderId="5" xfId="0" applyNumberFormat="1" applyFont="1" applyBorder="1" applyAlignment="1">
      <alignment vertical="center" wrapText="1"/>
    </xf>
    <xf numFmtId="3" fontId="64" fillId="0" borderId="130" xfId="0" applyNumberFormat="1" applyFont="1" applyBorder="1" applyAlignment="1">
      <alignment vertical="center" wrapText="1"/>
    </xf>
    <xf numFmtId="0" fontId="33" fillId="0" borderId="104" xfId="0" applyFont="1" applyBorder="1" applyAlignment="1">
      <alignment horizontal="distributed" vertical="center" wrapText="1"/>
    </xf>
    <xf numFmtId="0" fontId="89" fillId="0" borderId="13" xfId="0" applyFont="1" applyBorder="1" applyAlignment="1">
      <alignment vertical="center" wrapText="1"/>
    </xf>
    <xf numFmtId="3" fontId="125" fillId="0" borderId="5" xfId="0" applyNumberFormat="1" applyFont="1" applyBorder="1" applyAlignment="1">
      <alignment vertical="center" wrapText="1"/>
    </xf>
    <xf numFmtId="3" fontId="125" fillId="0" borderId="11" xfId="0" applyNumberFormat="1" applyFont="1" applyBorder="1" applyAlignment="1">
      <alignment vertical="center" wrapText="1"/>
    </xf>
    <xf numFmtId="3" fontId="64" fillId="0" borderId="86" xfId="0" applyNumberFormat="1" applyFont="1" applyBorder="1" applyAlignment="1">
      <alignment vertical="center" wrapText="1"/>
    </xf>
    <xf numFmtId="200" fontId="64" fillId="0" borderId="97" xfId="0" applyNumberFormat="1" applyFont="1" applyBorder="1" applyAlignment="1">
      <alignment vertical="center" wrapText="1"/>
    </xf>
    <xf numFmtId="3" fontId="64" fillId="0" borderId="132" xfId="0" applyNumberFormat="1" applyFont="1" applyBorder="1" applyAlignment="1">
      <alignment vertical="center" wrapText="1"/>
    </xf>
    <xf numFmtId="0" fontId="33" fillId="0" borderId="133" xfId="0" applyFont="1" applyBorder="1" applyAlignment="1">
      <alignment horizontal="distributed" vertical="center" wrapText="1"/>
    </xf>
    <xf numFmtId="3" fontId="126" fillId="0" borderId="97" xfId="0" applyNumberFormat="1" applyFont="1" applyBorder="1" applyAlignment="1">
      <alignment vertical="center" wrapText="1"/>
    </xf>
    <xf numFmtId="0" fontId="52" fillId="0" borderId="52" xfId="0" applyFont="1" applyBorder="1"/>
    <xf numFmtId="3" fontId="125" fillId="0" borderId="106" xfId="0" applyNumberFormat="1" applyFont="1" applyBorder="1" applyAlignment="1">
      <alignment vertical="center" wrapText="1"/>
    </xf>
    <xf numFmtId="200" fontId="125" fillId="0" borderId="107" xfId="0" applyNumberFormat="1" applyFont="1" applyBorder="1" applyAlignment="1">
      <alignment vertical="center" wrapText="1"/>
    </xf>
    <xf numFmtId="3" fontId="125" fillId="0" borderId="134" xfId="0" applyNumberFormat="1" applyFont="1" applyBorder="1" applyAlignment="1">
      <alignment vertical="center" shrinkToFit="1"/>
    </xf>
    <xf numFmtId="0" fontId="33" fillId="0" borderId="109" xfId="0" applyFont="1" applyBorder="1" applyAlignment="1">
      <alignment horizontal="distributed" vertical="center"/>
    </xf>
    <xf numFmtId="3" fontId="125" fillId="0" borderId="110" xfId="0" applyNumberFormat="1" applyFont="1" applyBorder="1" applyAlignment="1">
      <alignment vertical="center" wrapText="1"/>
    </xf>
    <xf numFmtId="3" fontId="125" fillId="0" borderId="107" xfId="0" applyNumberFormat="1" applyFont="1" applyBorder="1" applyAlignment="1">
      <alignment vertical="center" wrapText="1"/>
    </xf>
    <xf numFmtId="3" fontId="125" fillId="0" borderId="108" xfId="0" applyNumberFormat="1" applyFont="1" applyBorder="1" applyAlignment="1">
      <alignment vertical="center" wrapText="1"/>
    </xf>
    <xf numFmtId="0" fontId="52" fillId="0" borderId="63" xfId="0" applyFont="1" applyBorder="1"/>
    <xf numFmtId="200" fontId="64" fillId="0" borderId="6" xfId="0" applyNumberFormat="1" applyFont="1" applyBorder="1" applyAlignment="1">
      <alignment vertical="center" wrapText="1"/>
    </xf>
    <xf numFmtId="0" fontId="33" fillId="0" borderId="105" xfId="0" applyFont="1" applyBorder="1" applyAlignment="1">
      <alignment horizontal="distributed" vertical="center" wrapText="1"/>
    </xf>
    <xf numFmtId="0" fontId="117" fillId="0" borderId="15" xfId="0" applyFont="1" applyBorder="1" applyAlignment="1">
      <alignment vertical="center" wrapText="1"/>
    </xf>
    <xf numFmtId="0" fontId="117" fillId="0" borderId="6" xfId="0" applyFont="1" applyBorder="1" applyAlignment="1">
      <alignment vertical="center" wrapText="1"/>
    </xf>
    <xf numFmtId="0" fontId="117" fillId="0" borderId="14" xfId="0" applyFont="1" applyBorder="1" applyAlignment="1">
      <alignment vertical="center" wrapText="1"/>
    </xf>
    <xf numFmtId="200" fontId="89" fillId="0" borderId="2" xfId="0" applyNumberFormat="1" applyFont="1" applyBorder="1" applyAlignment="1">
      <alignment vertical="center" wrapText="1"/>
    </xf>
    <xf numFmtId="0" fontId="33" fillId="0" borderId="103" xfId="0" applyFont="1" applyBorder="1" applyAlignment="1">
      <alignment horizontal="distributed" vertical="center" wrapText="1"/>
    </xf>
    <xf numFmtId="0" fontId="117" fillId="0" borderId="3" xfId="0" applyFont="1" applyBorder="1" applyAlignment="1">
      <alignment vertical="center" wrapText="1"/>
    </xf>
    <xf numFmtId="0" fontId="117" fillId="0" borderId="2" xfId="0" applyFont="1" applyBorder="1" applyAlignment="1">
      <alignment vertical="center" wrapText="1"/>
    </xf>
    <xf numFmtId="3" fontId="64" fillId="0" borderId="83" xfId="0" applyNumberFormat="1" applyFont="1" applyBorder="1" applyAlignment="1">
      <alignment vertical="center" wrapText="1"/>
    </xf>
    <xf numFmtId="200" fontId="64" fillId="0" borderId="2" xfId="0" applyNumberFormat="1" applyFont="1" applyBorder="1" applyAlignment="1">
      <alignment vertical="center" wrapText="1"/>
    </xf>
    <xf numFmtId="0" fontId="117" fillId="0" borderId="129" xfId="0" applyFont="1" applyBorder="1" applyAlignment="1">
      <alignment vertical="center" wrapText="1"/>
    </xf>
    <xf numFmtId="3" fontId="89" fillId="0" borderId="3" xfId="0" applyNumberFormat="1" applyFont="1" applyBorder="1" applyAlignment="1">
      <alignment vertical="center" wrapText="1"/>
    </xf>
    <xf numFmtId="3" fontId="125" fillId="0" borderId="7" xfId="0" applyNumberFormat="1" applyFont="1" applyBorder="1" applyAlignment="1">
      <alignment vertical="center" wrapText="1"/>
    </xf>
    <xf numFmtId="200" fontId="64" fillId="0" borderId="97" xfId="0" applyNumberFormat="1" applyFont="1" applyBorder="1" applyAlignment="1">
      <alignment vertical="center" wrapText="1"/>
    </xf>
    <xf numFmtId="0" fontId="117" fillId="0" borderId="132" xfId="0" applyFont="1" applyBorder="1" applyAlignment="1">
      <alignment vertical="center" wrapText="1"/>
    </xf>
    <xf numFmtId="0" fontId="33" fillId="0" borderId="133" xfId="0" applyFont="1" applyBorder="1" applyAlignment="1">
      <alignment horizontal="distributed" vertical="center" wrapText="1"/>
    </xf>
    <xf numFmtId="3" fontId="89" fillId="0" borderId="89" xfId="0" applyNumberFormat="1" applyFont="1" applyBorder="1" applyAlignment="1">
      <alignment vertical="center" wrapText="1"/>
    </xf>
    <xf numFmtId="3" fontId="125" fillId="0" borderId="88" xfId="0" applyNumberFormat="1" applyFont="1" applyBorder="1" applyAlignment="1">
      <alignment vertical="center" wrapText="1"/>
    </xf>
    <xf numFmtId="200" fontId="125" fillId="0" borderId="107" xfId="0" applyNumberFormat="1" applyFont="1" applyBorder="1" applyAlignment="1">
      <alignment vertical="center" wrapText="1"/>
    </xf>
    <xf numFmtId="3" fontId="125" fillId="0" borderId="134" xfId="0" applyNumberFormat="1" applyFont="1" applyBorder="1" applyAlignment="1">
      <alignment vertical="center" wrapText="1"/>
    </xf>
    <xf numFmtId="0" fontId="33" fillId="0" borderId="109" xfId="0" applyFont="1" applyBorder="1" applyAlignment="1">
      <alignment horizontal="distributed" vertical="center"/>
    </xf>
    <xf numFmtId="3" fontId="125" fillId="0" borderId="110" xfId="0" applyNumberFormat="1" applyFont="1" applyBorder="1" applyAlignment="1">
      <alignment vertical="center" wrapText="1"/>
    </xf>
    <xf numFmtId="176" fontId="125" fillId="0" borderId="107" xfId="1" applyFont="1" applyBorder="1" applyAlignment="1" applyProtection="1">
      <alignment vertical="center" wrapText="1"/>
    </xf>
    <xf numFmtId="3" fontId="125" fillId="0" borderId="107" xfId="0" applyNumberFormat="1" applyFont="1" applyBorder="1" applyAlignment="1">
      <alignment vertical="center" wrapText="1"/>
    </xf>
    <xf numFmtId="3" fontId="125" fillId="0" borderId="134" xfId="0" applyNumberFormat="1" applyFont="1" applyBorder="1" applyAlignment="1">
      <alignment vertical="center" shrinkToFit="1"/>
    </xf>
    <xf numFmtId="0" fontId="52" fillId="0" borderId="135" xfId="0" applyFont="1" applyBorder="1"/>
    <xf numFmtId="0" fontId="52" fillId="0" borderId="114" xfId="0" applyFont="1" applyBorder="1"/>
    <xf numFmtId="0" fontId="89" fillId="0" borderId="0" xfId="0" applyFont="1" applyAlignment="1">
      <alignment vertical="center"/>
    </xf>
    <xf numFmtId="0" fontId="0" fillId="0" borderId="0" xfId="0" applyFont="1" applyBorder="1" applyAlignment="1">
      <alignment vertical="center"/>
    </xf>
    <xf numFmtId="0" fontId="0" fillId="0" borderId="9" xfId="0" applyFont="1" applyBorder="1" applyAlignment="1">
      <alignment vertical="center"/>
    </xf>
    <xf numFmtId="0" fontId="89" fillId="0" borderId="0" xfId="0" applyFont="1" applyBorder="1" applyAlignment="1">
      <alignment vertical="center"/>
    </xf>
    <xf numFmtId="0" fontId="89" fillId="0" borderId="0" xfId="0" applyFont="1" applyBorder="1" applyAlignment="1">
      <alignment horizontal="center" vertical="center" wrapText="1"/>
    </xf>
    <xf numFmtId="0" fontId="89" fillId="0" borderId="0" xfId="0" applyFont="1" applyBorder="1" applyAlignment="1">
      <alignment horizontal="center" vertical="center"/>
    </xf>
    <xf numFmtId="0" fontId="89" fillId="0" borderId="0" xfId="0" applyFont="1" applyBorder="1" applyAlignment="1">
      <alignment vertical="center" wrapText="1"/>
    </xf>
    <xf numFmtId="0" fontId="89" fillId="0" borderId="0" xfId="0" applyFont="1" applyBorder="1" applyAlignment="1">
      <alignment horizontal="right" vertical="center" wrapText="1"/>
    </xf>
    <xf numFmtId="0" fontId="89" fillId="0" borderId="0" xfId="0" applyFont="1" applyBorder="1" applyAlignment="1">
      <alignment horizontal="distributed" vertical="center"/>
    </xf>
    <xf numFmtId="176" fontId="89" fillId="0" borderId="0" xfId="1" applyFont="1" applyBorder="1" applyAlignment="1" applyProtection="1">
      <alignment vertical="center" wrapText="1"/>
    </xf>
    <xf numFmtId="0" fontId="64" fillId="0" borderId="0" xfId="0" applyFont="1" applyBorder="1" applyAlignment="1">
      <alignment vertical="center"/>
    </xf>
    <xf numFmtId="0" fontId="52" fillId="0" borderId="0" xfId="0" applyFont="1" applyBorder="1" applyAlignment="1">
      <alignment vertical="center"/>
    </xf>
    <xf numFmtId="0" fontId="64" fillId="0" borderId="0" xfId="0" applyFont="1" applyBorder="1" applyAlignment="1">
      <alignment horizontal="center" vertical="center" wrapText="1"/>
    </xf>
    <xf numFmtId="0" fontId="64" fillId="0" borderId="0" xfId="0" applyFont="1" applyBorder="1" applyAlignment="1">
      <alignment horizontal="right" vertical="center" wrapText="1"/>
    </xf>
    <xf numFmtId="3" fontId="64" fillId="0" borderId="0" xfId="0" applyNumberFormat="1" applyFont="1" applyBorder="1" applyAlignment="1">
      <alignment vertical="center" wrapText="1"/>
    </xf>
    <xf numFmtId="3" fontId="64" fillId="0" borderId="0" xfId="0" applyNumberFormat="1" applyFont="1" applyBorder="1" applyAlignment="1">
      <alignment vertical="center" wrapText="1"/>
    </xf>
    <xf numFmtId="0" fontId="52" fillId="0" borderId="0" xfId="0" applyFont="1" applyBorder="1" applyAlignment="1">
      <alignment vertical="center"/>
    </xf>
    <xf numFmtId="0" fontId="64" fillId="0" borderId="0" xfId="0" applyFont="1" applyBorder="1" applyAlignment="1">
      <alignment horizontal="left" vertical="center"/>
    </xf>
    <xf numFmtId="199" fontId="64" fillId="0" borderId="0" xfId="0" applyNumberFormat="1" applyFont="1" applyBorder="1" applyAlignment="1">
      <alignment vertical="center" wrapText="1"/>
    </xf>
    <xf numFmtId="216" fontId="64" fillId="0" borderId="0" xfId="0" applyNumberFormat="1" applyFont="1" applyBorder="1" applyAlignment="1">
      <alignment vertical="center" wrapText="1"/>
    </xf>
    <xf numFmtId="0" fontId="46" fillId="0" borderId="13" xfId="0" applyFont="1" applyBorder="1" applyAlignment="1">
      <alignment horizontal="right" vertical="center" wrapText="1"/>
    </xf>
    <xf numFmtId="199" fontId="113" fillId="0" borderId="0" xfId="0" applyNumberFormat="1" applyFont="1" applyBorder="1" applyAlignment="1">
      <alignment vertical="center" wrapText="1"/>
    </xf>
    <xf numFmtId="199" fontId="92" fillId="0" borderId="15" xfId="0" applyNumberFormat="1" applyFont="1" applyBorder="1" applyAlignment="1">
      <alignment vertical="center" wrapText="1"/>
    </xf>
    <xf numFmtId="199" fontId="113" fillId="0" borderId="136" xfId="0" applyNumberFormat="1" applyFont="1" applyBorder="1" applyAlignment="1">
      <alignment vertical="center" wrapText="1"/>
    </xf>
    <xf numFmtId="0" fontId="92" fillId="0" borderId="79" xfId="0" applyFont="1" applyBorder="1" applyAlignment="1">
      <alignment vertical="top"/>
    </xf>
    <xf numFmtId="0" fontId="92" fillId="0" borderId="4" xfId="0" applyFont="1" applyBorder="1" applyAlignment="1">
      <alignment vertical="top"/>
    </xf>
    <xf numFmtId="0" fontId="92" fillId="0" borderId="13" xfId="0" applyFont="1" applyBorder="1" applyAlignment="1">
      <alignment vertical="top"/>
    </xf>
    <xf numFmtId="0" fontId="46" fillId="0" borderId="5" xfId="0" applyFont="1" applyBorder="1" applyAlignment="1">
      <alignment horizontal="right" vertical="top" wrapText="1"/>
    </xf>
    <xf numFmtId="0" fontId="46" fillId="0" borderId="80" xfId="0" applyFont="1" applyBorder="1" applyAlignment="1">
      <alignment horizontal="right" vertical="top" wrapText="1"/>
    </xf>
    <xf numFmtId="0" fontId="46" fillId="0" borderId="4" xfId="0" applyFont="1" applyBorder="1" applyAlignment="1">
      <alignment horizontal="right" vertical="top" wrapText="1"/>
    </xf>
    <xf numFmtId="0" fontId="92" fillId="0" borderId="118" xfId="0" applyFont="1" applyBorder="1" applyAlignment="1">
      <alignment vertical="top"/>
    </xf>
    <xf numFmtId="0" fontId="92" fillId="0" borderId="13" xfId="0" applyFont="1" applyBorder="1" applyAlignment="1">
      <alignment horizontal="right" vertical="top" wrapText="1"/>
    </xf>
    <xf numFmtId="0" fontId="92" fillId="0" borderId="61" xfId="0" applyFont="1" applyBorder="1" applyAlignment="1">
      <alignment vertical="top"/>
    </xf>
    <xf numFmtId="199" fontId="113" fillId="0" borderId="85" xfId="0" applyNumberFormat="1" applyFont="1" applyBorder="1" applyAlignment="1">
      <alignment vertical="center" wrapText="1"/>
    </xf>
    <xf numFmtId="0" fontId="76" fillId="0" borderId="119" xfId="0" applyFont="1" applyBorder="1" applyAlignment="1">
      <alignment vertical="center"/>
    </xf>
    <xf numFmtId="199" fontId="72" fillId="0" borderId="8" xfId="0" applyNumberFormat="1" applyFont="1" applyBorder="1" applyAlignment="1">
      <alignment vertical="center" wrapText="1"/>
    </xf>
    <xf numFmtId="199" fontId="92" fillId="0" borderId="113" xfId="0" applyNumberFormat="1" applyFont="1" applyBorder="1" applyAlignment="1">
      <alignment vertical="center" wrapText="1"/>
    </xf>
    <xf numFmtId="199" fontId="92" fillId="0" borderId="9" xfId="0" applyNumberFormat="1" applyFont="1" applyBorder="1" applyAlignment="1">
      <alignment vertical="center" wrapText="1"/>
    </xf>
    <xf numFmtId="0" fontId="92" fillId="0" borderId="120" xfId="0" applyFont="1" applyBorder="1" applyAlignment="1">
      <alignment vertical="center" wrapText="1"/>
    </xf>
    <xf numFmtId="0" fontId="92" fillId="0" borderId="9" xfId="0" applyFont="1" applyBorder="1" applyAlignment="1">
      <alignment vertical="center" wrapText="1"/>
    </xf>
    <xf numFmtId="0" fontId="92" fillId="0" borderId="15" xfId="0" applyFont="1" applyBorder="1" applyAlignment="1">
      <alignment vertical="center" wrapText="1"/>
    </xf>
    <xf numFmtId="0" fontId="92" fillId="0" borderId="6" xfId="0" applyFont="1" applyBorder="1" applyAlignment="1">
      <alignment vertical="center" wrapText="1"/>
    </xf>
    <xf numFmtId="0" fontId="92" fillId="0" borderId="113" xfId="0" applyFont="1" applyBorder="1" applyAlignment="1">
      <alignment vertical="center" wrapText="1"/>
    </xf>
    <xf numFmtId="0" fontId="59" fillId="0" borderId="79" xfId="0" applyFont="1" applyBorder="1" applyAlignment="1">
      <alignment horizontal="center" vertical="center"/>
    </xf>
    <xf numFmtId="0" fontId="59" fillId="0" borderId="13" xfId="0" applyFont="1" applyBorder="1" applyAlignment="1">
      <alignment horizontal="center" vertical="center"/>
    </xf>
    <xf numFmtId="0" fontId="59" fillId="0" borderId="11" xfId="0" applyFont="1" applyBorder="1" applyAlignment="1">
      <alignment horizontal="center" vertical="center"/>
    </xf>
    <xf numFmtId="0" fontId="63" fillId="0" borderId="13" xfId="0" applyFont="1" applyBorder="1" applyAlignment="1">
      <alignment horizontal="center" vertical="center"/>
    </xf>
    <xf numFmtId="0" fontId="59" fillId="0" borderId="4" xfId="0" applyFont="1" applyBorder="1" applyAlignment="1">
      <alignment horizontal="center" vertical="center"/>
    </xf>
    <xf numFmtId="0" fontId="59" fillId="0" borderId="80" xfId="0" applyFont="1" applyBorder="1" applyAlignment="1">
      <alignment horizontal="center" vertical="center"/>
    </xf>
    <xf numFmtId="3" fontId="64" fillId="0" borderId="0" xfId="0" applyNumberFormat="1" applyFont="1" applyBorder="1" applyAlignment="1">
      <alignment vertical="center"/>
    </xf>
    <xf numFmtId="0" fontId="64" fillId="0" borderId="0" xfId="0" applyFont="1" applyBorder="1" applyAlignment="1">
      <alignment horizontal="left" vertical="center" wrapText="1"/>
    </xf>
    <xf numFmtId="0" fontId="63" fillId="0" borderId="80" xfId="0" applyFont="1" applyBorder="1"/>
    <xf numFmtId="0" fontId="63" fillId="0" borderId="0" xfId="0" applyFont="1"/>
    <xf numFmtId="0" fontId="51" fillId="0" borderId="2" xfId="0" applyFont="1" applyBorder="1" applyAlignment="1">
      <alignment horizontal="distributed" vertical="center" indent="1"/>
    </xf>
    <xf numFmtId="0" fontId="51" fillId="0" borderId="137" xfId="0" applyFont="1" applyBorder="1" applyAlignment="1">
      <alignment horizontal="center" vertical="center"/>
    </xf>
    <xf numFmtId="0" fontId="51" fillId="0" borderId="112" xfId="0" applyFont="1" applyBorder="1" applyAlignment="1">
      <alignment horizontal="center" vertical="center"/>
    </xf>
    <xf numFmtId="0" fontId="51" fillId="0" borderId="5" xfId="0" applyFont="1" applyBorder="1" applyAlignment="1">
      <alignment horizontal="distributed" vertical="center" indent="1"/>
    </xf>
    <xf numFmtId="0" fontId="51" fillId="0" borderId="11" xfId="0" applyFont="1" applyBorder="1" applyAlignment="1">
      <alignment horizontal="center" vertical="center"/>
    </xf>
    <xf numFmtId="0" fontId="33" fillId="0" borderId="45" xfId="0" applyFont="1" applyBorder="1" applyAlignment="1">
      <alignment horizontal="right" vertical="center" wrapText="1"/>
    </xf>
    <xf numFmtId="200" fontId="33" fillId="0" borderId="8" xfId="0" applyNumberFormat="1" applyFont="1" applyBorder="1" applyAlignment="1">
      <alignment horizontal="right" vertical="center" wrapText="1"/>
    </xf>
    <xf numFmtId="0" fontId="33" fillId="0" borderId="119" xfId="0" applyFont="1" applyBorder="1" applyAlignment="1">
      <alignment horizontal="right" vertical="center" wrapText="1"/>
    </xf>
    <xf numFmtId="0" fontId="33" fillId="0" borderId="67" xfId="0" applyFont="1" applyBorder="1" applyAlignment="1">
      <alignment horizontal="right" vertical="center" wrapText="1"/>
    </xf>
    <xf numFmtId="0" fontId="33" fillId="0" borderId="4" xfId="0" applyFont="1" applyBorder="1" applyAlignment="1">
      <alignment horizontal="right" vertical="center" wrapText="1"/>
    </xf>
    <xf numFmtId="3" fontId="125" fillId="0" borderId="120" xfId="0" applyNumberFormat="1" applyFont="1" applyBorder="1" applyAlignment="1">
      <alignment vertical="center" wrapText="1"/>
    </xf>
    <xf numFmtId="0" fontId="33" fillId="0" borderId="138" xfId="0" applyFont="1" applyBorder="1" applyAlignment="1">
      <alignment horizontal="distributed" vertical="center" wrapText="1"/>
    </xf>
    <xf numFmtId="0" fontId="125" fillId="0" borderId="67" xfId="0" applyFont="1" applyBorder="1" applyAlignment="1">
      <alignment vertical="center" wrapText="1"/>
    </xf>
    <xf numFmtId="0" fontId="64" fillId="0" borderId="0" xfId="0" applyFont="1" applyBorder="1" applyAlignment="1">
      <alignment vertical="center" wrapText="1"/>
    </xf>
    <xf numFmtId="3" fontId="126" fillId="0" borderId="83" xfId="0" applyNumberFormat="1" applyFont="1" applyBorder="1" applyAlignment="1">
      <alignment vertical="center" wrapText="1"/>
    </xf>
    <xf numFmtId="3" fontId="126" fillId="0" borderId="2" xfId="0" applyNumberFormat="1" applyFont="1" applyBorder="1" applyAlignment="1">
      <alignment vertical="center" wrapText="1"/>
    </xf>
    <xf numFmtId="0" fontId="117" fillId="0" borderId="112" xfId="0" applyFont="1" applyBorder="1" applyAlignment="1">
      <alignment vertical="center" wrapText="1"/>
    </xf>
    <xf numFmtId="3" fontId="64" fillId="0" borderId="8" xfId="0" applyNumberFormat="1" applyFont="1" applyBorder="1" applyAlignment="1">
      <alignment vertical="center" wrapText="1"/>
    </xf>
    <xf numFmtId="0" fontId="117" fillId="0" borderId="11" xfId="0" applyFont="1" applyBorder="1" applyAlignment="1">
      <alignment vertical="center" wrapText="1"/>
    </xf>
    <xf numFmtId="200" fontId="64" fillId="0" borderId="2" xfId="0" applyNumberFormat="1" applyFont="1" applyBorder="1" applyAlignment="1">
      <alignment vertical="center" wrapText="1"/>
    </xf>
    <xf numFmtId="3" fontId="64" fillId="0" borderId="137" xfId="0" applyNumberFormat="1" applyFont="1" applyBorder="1" applyAlignment="1">
      <alignment vertical="center" wrapText="1"/>
    </xf>
    <xf numFmtId="0" fontId="64" fillId="0" borderId="112" xfId="0" applyFont="1" applyBorder="1" applyAlignment="1">
      <alignment vertical="center" wrapText="1"/>
    </xf>
    <xf numFmtId="3" fontId="125" fillId="0" borderId="2" xfId="0" applyNumberFormat="1" applyFont="1" applyBorder="1" applyAlignment="1">
      <alignment vertical="center" wrapText="1"/>
    </xf>
    <xf numFmtId="3" fontId="125" fillId="0" borderId="45" xfId="0" applyNumberFormat="1" applyFont="1" applyBorder="1" applyAlignment="1">
      <alignment vertical="center" wrapText="1"/>
    </xf>
    <xf numFmtId="200" fontId="64" fillId="0" borderId="8" xfId="0" applyNumberFormat="1" applyFont="1" applyBorder="1" applyAlignment="1">
      <alignment vertical="center" wrapText="1"/>
    </xf>
    <xf numFmtId="3" fontId="64" fillId="0" borderId="119" xfId="0" applyNumberFormat="1" applyFont="1" applyBorder="1" applyAlignment="1">
      <alignment vertical="center" wrapText="1"/>
    </xf>
    <xf numFmtId="0" fontId="33" fillId="0" borderId="139" xfId="0" applyFont="1" applyBorder="1" applyAlignment="1">
      <alignment horizontal="distributed" vertical="center" wrapText="1"/>
    </xf>
    <xf numFmtId="208" fontId="126" fillId="0" borderId="67" xfId="0" applyNumberFormat="1" applyFont="1" applyBorder="1" applyAlignment="1">
      <alignment vertical="center" wrapText="1"/>
    </xf>
    <xf numFmtId="3" fontId="126" fillId="0" borderId="69" xfId="0" applyNumberFormat="1" applyFont="1" applyBorder="1" applyAlignment="1">
      <alignment vertical="center" wrapText="1"/>
    </xf>
    <xf numFmtId="3" fontId="126" fillId="0" borderId="41" xfId="0" applyNumberFormat="1" applyFont="1" applyBorder="1" applyAlignment="1">
      <alignment vertical="center" wrapText="1"/>
    </xf>
    <xf numFmtId="3" fontId="125" fillId="0" borderId="140" xfId="0" applyNumberFormat="1" applyFont="1" applyBorder="1" applyAlignment="1">
      <alignment vertical="center" wrapText="1"/>
    </xf>
    <xf numFmtId="0" fontId="33" fillId="0" borderId="109" xfId="0" applyFont="1" applyBorder="1" applyAlignment="1">
      <alignment horizontal="distributed" vertical="center" wrapText="1"/>
    </xf>
    <xf numFmtId="3" fontId="125" fillId="0" borderId="141" xfId="0" applyNumberFormat="1" applyFont="1" applyBorder="1" applyAlignment="1">
      <alignment vertical="center" wrapText="1"/>
    </xf>
    <xf numFmtId="3" fontId="125" fillId="0" borderId="142" xfId="0" applyNumberFormat="1" applyFont="1" applyBorder="1" applyAlignment="1">
      <alignment vertical="center" wrapText="1"/>
    </xf>
    <xf numFmtId="3" fontId="125" fillId="0" borderId="76" xfId="0" applyNumberFormat="1" applyFont="1" applyBorder="1" applyAlignment="1">
      <alignment vertical="center" wrapText="1"/>
    </xf>
    <xf numFmtId="200" fontId="89" fillId="0" borderId="77" xfId="0" applyNumberFormat="1" applyFont="1" applyBorder="1" applyAlignment="1">
      <alignment vertical="center" wrapText="1"/>
    </xf>
    <xf numFmtId="0" fontId="33" fillId="0" borderId="144" xfId="0" applyFont="1" applyBorder="1" applyAlignment="1">
      <alignment horizontal="distributed" vertical="center" wrapText="1"/>
    </xf>
    <xf numFmtId="0" fontId="117" fillId="0" borderId="145" xfId="0" applyFont="1" applyBorder="1" applyAlignment="1">
      <alignment vertical="center" wrapText="1"/>
    </xf>
    <xf numFmtId="3" fontId="89" fillId="0" borderId="8" xfId="0" applyNumberFormat="1" applyFont="1" applyBorder="1" applyAlignment="1">
      <alignment vertical="center" wrapText="1"/>
    </xf>
    <xf numFmtId="0" fontId="117" fillId="0" borderId="0" xfId="0" applyFont="1" applyBorder="1" applyAlignment="1">
      <alignment vertical="center" wrapText="1"/>
    </xf>
    <xf numFmtId="0" fontId="117" fillId="0" borderId="67" xfId="0" applyFont="1" applyBorder="1" applyAlignment="1">
      <alignment vertical="center" wrapText="1"/>
    </xf>
    <xf numFmtId="3" fontId="106" fillId="0" borderId="2" xfId="0" applyNumberFormat="1" applyFont="1" applyBorder="1" applyAlignment="1">
      <alignment vertical="center" wrapText="1"/>
    </xf>
    <xf numFmtId="0" fontId="33" fillId="0" borderId="138" xfId="0" applyFont="1" applyBorder="1" applyAlignment="1">
      <alignment horizontal="distributed" vertical="center" wrapText="1"/>
    </xf>
    <xf numFmtId="3" fontId="89" fillId="0" borderId="112" xfId="0" applyNumberFormat="1" applyFont="1" applyBorder="1" applyAlignment="1">
      <alignment vertical="center" wrapText="1"/>
    </xf>
    <xf numFmtId="0" fontId="64" fillId="0" borderId="8" xfId="0" applyFont="1" applyBorder="1" applyAlignment="1">
      <alignment vertical="center" wrapText="1"/>
    </xf>
    <xf numFmtId="200" fontId="64" fillId="0" borderId="8" xfId="0" applyNumberFormat="1" applyFont="1" applyBorder="1" applyAlignment="1">
      <alignment vertical="center" wrapText="1"/>
    </xf>
    <xf numFmtId="0" fontId="117" fillId="0" borderId="119" xfId="0" applyFont="1" applyBorder="1" applyAlignment="1">
      <alignment vertical="center" wrapText="1"/>
    </xf>
    <xf numFmtId="3" fontId="89" fillId="0" borderId="67" xfId="0" applyNumberFormat="1" applyFont="1" applyBorder="1" applyAlignment="1">
      <alignment vertical="center" wrapText="1"/>
    </xf>
    <xf numFmtId="176" fontId="64" fillId="0" borderId="97" xfId="1" applyFont="1" applyBorder="1" applyAlignment="1" applyProtection="1">
      <alignment vertical="center" wrapText="1"/>
    </xf>
    <xf numFmtId="3" fontId="125" fillId="0" borderId="41" xfId="0" applyNumberFormat="1" applyFont="1" applyBorder="1" applyAlignment="1">
      <alignment vertical="center" wrapText="1"/>
    </xf>
    <xf numFmtId="3" fontId="125" fillId="0" borderId="140" xfId="0" applyNumberFormat="1" applyFont="1" applyBorder="1" applyAlignment="1">
      <alignment vertical="center" wrapText="1"/>
    </xf>
    <xf numFmtId="0" fontId="33" fillId="0" borderId="109" xfId="0" applyFont="1" applyBorder="1" applyAlignment="1">
      <alignment horizontal="distributed" vertical="center" wrapText="1"/>
    </xf>
    <xf numFmtId="3" fontId="125" fillId="0" borderId="141" xfId="0" applyNumberFormat="1" applyFont="1" applyBorder="1" applyAlignment="1">
      <alignment vertical="center" wrapText="1"/>
    </xf>
    <xf numFmtId="0" fontId="92" fillId="0" borderId="0" xfId="0" applyFont="1" applyBorder="1" applyAlignment="1">
      <alignment vertical="top"/>
    </xf>
    <xf numFmtId="0" fontId="92" fillId="0" borderId="102" xfId="0" applyFont="1" applyBorder="1" applyAlignment="1">
      <alignment vertical="top" wrapText="1"/>
    </xf>
    <xf numFmtId="0" fontId="92" fillId="0" borderId="9" xfId="0" applyFont="1" applyBorder="1" applyAlignment="1">
      <alignment vertical="top" wrapText="1"/>
    </xf>
    <xf numFmtId="0" fontId="64" fillId="0" borderId="61" xfId="0" applyFont="1" applyBorder="1" applyAlignment="1">
      <alignment horizontal="center" vertical="center"/>
    </xf>
    <xf numFmtId="0" fontId="64" fillId="0" borderId="16" xfId="0" applyFont="1" applyBorder="1" applyAlignment="1">
      <alignment horizontal="center" vertical="center"/>
    </xf>
    <xf numFmtId="0" fontId="64" fillId="0" borderId="10" xfId="0" applyFont="1" applyBorder="1" applyAlignment="1">
      <alignment horizontal="center" vertical="center"/>
    </xf>
    <xf numFmtId="0" fontId="52" fillId="0" borderId="16" xfId="0" applyFont="1" applyBorder="1" applyAlignment="1">
      <alignment horizontal="center" vertical="center"/>
    </xf>
    <xf numFmtId="0" fontId="64" fillId="0" borderId="85" xfId="0" applyFont="1" applyBorder="1" applyAlignment="1">
      <alignment horizontal="center" vertical="center"/>
    </xf>
    <xf numFmtId="0" fontId="59" fillId="0" borderId="0" xfId="0" applyFont="1" applyBorder="1" applyAlignment="1">
      <alignment horizontal="distributed" vertical="center" indent="1"/>
    </xf>
    <xf numFmtId="3" fontId="121" fillId="0" borderId="0" xfId="0" applyNumberFormat="1" applyFont="1" applyBorder="1" applyAlignment="1">
      <alignment vertical="center"/>
    </xf>
    <xf numFmtId="0" fontId="129" fillId="0" borderId="0" xfId="0" applyFont="1" applyBorder="1" applyAlignment="1">
      <alignment vertical="center"/>
    </xf>
    <xf numFmtId="0" fontId="59" fillId="0" borderId="0" xfId="0" applyFont="1" applyBorder="1" applyAlignment="1">
      <alignment horizontal="left" vertical="center" wrapText="1"/>
    </xf>
    <xf numFmtId="0" fontId="59" fillId="0" borderId="0" xfId="0" applyFont="1" applyBorder="1" applyAlignment="1">
      <alignment horizontal="center" vertical="center" wrapText="1"/>
    </xf>
    <xf numFmtId="0" fontId="64" fillId="0" borderId="79" xfId="0" applyFont="1" applyBorder="1" applyAlignment="1">
      <alignment vertical="center" wrapText="1"/>
    </xf>
    <xf numFmtId="0" fontId="64" fillId="0" borderId="13" xfId="0" applyFont="1" applyBorder="1" applyAlignment="1">
      <alignment vertical="center" wrapText="1"/>
    </xf>
    <xf numFmtId="0" fontId="33" fillId="0" borderId="83" xfId="0" applyFont="1" applyBorder="1" applyAlignment="1">
      <alignment horizontal="distributed" vertical="center" indent="1"/>
    </xf>
    <xf numFmtId="0" fontId="33" fillId="0" borderId="3" xfId="0" applyFont="1" applyBorder="1" applyAlignment="1">
      <alignment horizontal="distributed" vertical="center" indent="1"/>
    </xf>
    <xf numFmtId="0" fontId="33" fillId="0" borderId="120" xfId="0" applyFont="1" applyBorder="1" applyAlignment="1">
      <alignment horizontal="center" vertical="center"/>
    </xf>
    <xf numFmtId="0" fontId="33" fillId="0" borderId="112" xfId="0" applyFont="1" applyBorder="1" applyAlignment="1">
      <alignment horizontal="center" vertical="center"/>
    </xf>
    <xf numFmtId="0" fontId="33" fillId="0" borderId="2" xfId="0" applyFont="1" applyBorder="1" applyAlignment="1">
      <alignment horizontal="distributed" vertical="center" indent="1"/>
    </xf>
    <xf numFmtId="0" fontId="33" fillId="0" borderId="9" xfId="0" applyFont="1" applyBorder="1" applyAlignment="1">
      <alignment horizontal="distributed" vertical="center" wrapText="1" indent="1"/>
    </xf>
    <xf numFmtId="200" fontId="33" fillId="0" borderId="16" xfId="0" applyNumberFormat="1" applyFont="1" applyBorder="1" applyAlignment="1">
      <alignment horizontal="right" vertical="center" wrapText="1"/>
    </xf>
    <xf numFmtId="0" fontId="64" fillId="0" borderId="138" xfId="0" applyFont="1" applyBorder="1" applyAlignment="1">
      <alignment horizontal="center" vertical="center" wrapText="1"/>
    </xf>
    <xf numFmtId="0" fontId="33" fillId="0" borderId="8" xfId="0" applyFont="1" applyBorder="1" applyAlignment="1">
      <alignment horizontal="right" vertical="center" wrapText="1"/>
    </xf>
    <xf numFmtId="0" fontId="33" fillId="0" borderId="0" xfId="0" applyFont="1" applyBorder="1" applyAlignment="1">
      <alignment horizontal="right" vertical="center" wrapText="1"/>
    </xf>
    <xf numFmtId="200" fontId="64" fillId="0" borderId="15" xfId="0" applyNumberFormat="1" applyFont="1" applyBorder="1" applyAlignment="1">
      <alignment vertical="center" wrapText="1"/>
    </xf>
    <xf numFmtId="0" fontId="89" fillId="0" borderId="146" xfId="0" applyFont="1" applyBorder="1" applyAlignment="1">
      <alignment vertical="center" wrapText="1"/>
    </xf>
    <xf numFmtId="0" fontId="89" fillId="0" borderId="6" xfId="0" applyFont="1" applyBorder="1" applyAlignment="1">
      <alignment vertical="center" wrapText="1"/>
    </xf>
    <xf numFmtId="0" fontId="89" fillId="0" borderId="9" xfId="0" applyFont="1" applyBorder="1" applyAlignment="1">
      <alignment vertical="center" wrapText="1"/>
    </xf>
    <xf numFmtId="3" fontId="89" fillId="0" borderId="83" xfId="0" applyNumberFormat="1" applyFont="1" applyBorder="1" applyAlignment="1">
      <alignment vertical="center" wrapText="1"/>
    </xf>
    <xf numFmtId="3" fontId="89" fillId="0" borderId="3" xfId="0" applyNumberFormat="1" applyFont="1" applyBorder="1" applyAlignment="1">
      <alignment vertical="center" wrapText="1"/>
    </xf>
    <xf numFmtId="3" fontId="89" fillId="0" borderId="137" xfId="0" applyNumberFormat="1" applyFont="1" applyBorder="1" applyAlignment="1">
      <alignment vertical="center" wrapText="1"/>
    </xf>
    <xf numFmtId="0" fontId="2" fillId="0" borderId="112" xfId="0" applyFont="1" applyBorder="1" applyAlignment="1">
      <alignment vertical="center" wrapText="1"/>
    </xf>
    <xf numFmtId="0" fontId="2" fillId="0" borderId="12" xfId="0" applyFont="1" applyBorder="1" applyAlignment="1">
      <alignment vertical="center" wrapText="1"/>
    </xf>
    <xf numFmtId="3" fontId="64" fillId="0" borderId="45" xfId="0" applyNumberFormat="1" applyFont="1" applyBorder="1" applyAlignment="1">
      <alignment vertical="center" wrapText="1"/>
    </xf>
    <xf numFmtId="200" fontId="64" fillId="0" borderId="16" xfId="0" applyNumberFormat="1" applyFont="1" applyBorder="1" applyAlignment="1">
      <alignment vertical="center" wrapText="1"/>
    </xf>
    <xf numFmtId="0" fontId="64" fillId="0" borderId="71" xfId="0" applyFont="1" applyBorder="1" applyAlignment="1">
      <alignment vertical="center" wrapText="1"/>
    </xf>
    <xf numFmtId="3" fontId="125" fillId="0" borderId="69" xfId="0" applyNumberFormat="1" applyFont="1" applyBorder="1" applyAlignment="1">
      <alignment vertical="center" wrapText="1"/>
    </xf>
    <xf numFmtId="3" fontId="125" fillId="0" borderId="0" xfId="0" applyNumberFormat="1" applyFont="1" applyBorder="1" applyAlignment="1">
      <alignment vertical="center" wrapText="1"/>
    </xf>
    <xf numFmtId="200" fontId="125" fillId="0" borderId="110" xfId="0" applyNumberFormat="1" applyFont="1" applyBorder="1" applyAlignment="1">
      <alignment vertical="center" wrapText="1"/>
    </xf>
    <xf numFmtId="3" fontId="125" fillId="0" borderId="116" xfId="0" applyNumberFormat="1" applyFont="1" applyBorder="1" applyAlignment="1">
      <alignment vertical="center" wrapText="1"/>
    </xf>
    <xf numFmtId="0" fontId="33" fillId="0" borderId="147" xfId="0" applyFont="1" applyBorder="1" applyAlignment="1">
      <alignment horizontal="center" vertical="center" wrapText="1"/>
    </xf>
    <xf numFmtId="3" fontId="125" fillId="0" borderId="8" xfId="0" applyNumberFormat="1" applyFont="1" applyBorder="1" applyAlignment="1">
      <alignment vertical="center" wrapText="1"/>
    </xf>
    <xf numFmtId="3" fontId="125" fillId="0" borderId="53" xfId="0" applyNumberFormat="1" applyFont="1" applyBorder="1" applyAlignment="1">
      <alignment vertical="center" wrapText="1"/>
    </xf>
    <xf numFmtId="200" fontId="89" fillId="0" borderId="96" xfId="0" applyNumberFormat="1" applyFont="1" applyBorder="1" applyAlignment="1">
      <alignment vertical="center" wrapText="1"/>
    </xf>
    <xf numFmtId="0" fontId="117" fillId="0" borderId="77" xfId="0" applyFont="1" applyBorder="1" applyAlignment="1">
      <alignment vertical="center" wrapText="1"/>
    </xf>
    <xf numFmtId="0" fontId="117" fillId="0" borderId="55" xfId="0" applyFont="1" applyBorder="1" applyAlignment="1">
      <alignment vertical="center" wrapText="1"/>
    </xf>
    <xf numFmtId="0" fontId="52" fillId="0" borderId="44" xfId="0" applyFont="1" applyBorder="1"/>
    <xf numFmtId="200" fontId="64" fillId="0" borderId="16" xfId="0" applyNumberFormat="1" applyFont="1" applyBorder="1" applyAlignment="1">
      <alignment vertical="center" wrapText="1"/>
    </xf>
    <xf numFmtId="176" fontId="64" fillId="0" borderId="69" xfId="1" applyFont="1" applyBorder="1" applyAlignment="1" applyProtection="1">
      <alignment vertical="center" wrapText="1"/>
    </xf>
    <xf numFmtId="200" fontId="125" fillId="0" borderId="110" xfId="0" applyNumberFormat="1" applyFont="1" applyBorder="1" applyAlignment="1">
      <alignment vertical="center" wrapText="1"/>
    </xf>
    <xf numFmtId="0" fontId="33" fillId="0" borderId="109" xfId="0" applyFont="1" applyBorder="1" applyAlignment="1">
      <alignment horizontal="center" vertical="center" wrapText="1"/>
    </xf>
    <xf numFmtId="199" fontId="115" fillId="0" borderId="16" xfId="0" applyNumberFormat="1" applyFont="1" applyBorder="1" applyAlignment="1">
      <alignment vertical="center" wrapText="1"/>
    </xf>
    <xf numFmtId="0" fontId="46" fillId="0" borderId="0" xfId="0" applyFont="1" applyBorder="1" applyAlignment="1">
      <alignment horizontal="distributed" vertical="center"/>
    </xf>
    <xf numFmtId="199" fontId="115" fillId="0" borderId="85" xfId="0" applyNumberFormat="1" applyFont="1" applyBorder="1" applyAlignment="1">
      <alignment vertical="center" wrapText="1"/>
    </xf>
    <xf numFmtId="199" fontId="76" fillId="0" borderId="15" xfId="0" applyNumberFormat="1" applyFont="1" applyBorder="1" applyAlignment="1">
      <alignment vertical="center" wrapText="1"/>
    </xf>
    <xf numFmtId="0" fontId="46" fillId="0" borderId="13" xfId="0" applyFont="1" applyBorder="1" applyAlignment="1">
      <alignment horizontal="right" vertical="top" wrapText="1"/>
    </xf>
    <xf numFmtId="0" fontId="46" fillId="0" borderId="16" xfId="0" applyFont="1" applyBorder="1" applyAlignment="1">
      <alignment horizontal="distributed" vertical="center"/>
    </xf>
    <xf numFmtId="199" fontId="72" fillId="0" borderId="16" xfId="0" applyNumberFormat="1" applyFont="1" applyBorder="1" applyAlignment="1">
      <alignment vertical="center" wrapText="1"/>
    </xf>
    <xf numFmtId="0" fontId="92" fillId="0" borderId="123" xfId="0" applyFont="1" applyBorder="1" applyAlignment="1">
      <alignment vertical="center"/>
    </xf>
    <xf numFmtId="0" fontId="76" fillId="0" borderId="61" xfId="0" applyFont="1" applyBorder="1" applyAlignment="1">
      <alignment vertical="center"/>
    </xf>
    <xf numFmtId="0" fontId="63" fillId="0" borderId="4" xfId="0" applyFont="1" applyBorder="1" applyAlignment="1">
      <alignment horizontal="center" vertical="center"/>
    </xf>
    <xf numFmtId="0" fontId="51" fillId="0" borderId="96" xfId="0" applyFont="1" applyBorder="1" applyAlignment="1">
      <alignment horizontal="center" vertical="center"/>
    </xf>
    <xf numFmtId="0" fontId="59" fillId="0" borderId="96" xfId="0" applyFont="1" applyBorder="1" applyAlignment="1">
      <alignment vertical="center"/>
    </xf>
    <xf numFmtId="0" fontId="51" fillId="0" borderId="55" xfId="0" applyFont="1" applyBorder="1" applyAlignment="1">
      <alignment horizontal="center" vertical="center"/>
    </xf>
    <xf numFmtId="0" fontId="59" fillId="0" borderId="98" xfId="0" applyFont="1" applyBorder="1" applyAlignment="1">
      <alignment vertical="center" wrapText="1"/>
    </xf>
    <xf numFmtId="0" fontId="59" fillId="0" borderId="13" xfId="0" applyFont="1" applyBorder="1" applyAlignment="1">
      <alignment vertical="center" wrapText="1"/>
    </xf>
    <xf numFmtId="0" fontId="59" fillId="0" borderId="80" xfId="0" applyFont="1" applyBorder="1" applyAlignment="1">
      <alignment vertical="center" wrapText="1"/>
    </xf>
    <xf numFmtId="0" fontId="51" fillId="0" borderId="45" xfId="0" applyFont="1" applyBorder="1" applyAlignment="1">
      <alignment horizontal="center" vertical="center"/>
    </xf>
    <xf numFmtId="0" fontId="51" fillId="0" borderId="16" xfId="0" applyFont="1" applyBorder="1" applyAlignment="1">
      <alignment horizontal="center" vertical="center"/>
    </xf>
    <xf numFmtId="3" fontId="59" fillId="0" borderId="16" xfId="0" applyNumberFormat="1" applyFont="1" applyBorder="1" applyAlignment="1">
      <alignment vertical="center"/>
    </xf>
    <xf numFmtId="3" fontId="71" fillId="0" borderId="16" xfId="0" applyNumberFormat="1" applyFont="1" applyBorder="1" applyAlignment="1">
      <alignment vertical="center"/>
    </xf>
    <xf numFmtId="0" fontId="59" fillId="0" borderId="85" xfId="0" applyFont="1" applyBorder="1" applyAlignment="1">
      <alignment vertical="center"/>
    </xf>
    <xf numFmtId="0" fontId="59" fillId="0" borderId="87" xfId="0" applyFont="1" applyBorder="1" applyAlignment="1">
      <alignment vertical="center"/>
    </xf>
    <xf numFmtId="0" fontId="59" fillId="0" borderId="89" xfId="0" applyFont="1" applyBorder="1" applyAlignment="1">
      <alignment vertical="center" wrapText="1"/>
    </xf>
    <xf numFmtId="3" fontId="121" fillId="0" borderId="136" xfId="0" applyNumberFormat="1" applyFont="1" applyBorder="1" applyAlignment="1">
      <alignment vertical="center" wrapText="1"/>
    </xf>
    <xf numFmtId="0" fontId="59" fillId="0" borderId="90" xfId="0" applyFont="1" applyBorder="1" applyAlignment="1">
      <alignment vertical="center" wrapText="1"/>
    </xf>
    <xf numFmtId="3" fontId="44" fillId="0" borderId="16" xfId="0" applyNumberFormat="1" applyFont="1" applyBorder="1" applyAlignment="1">
      <alignment vertical="center"/>
    </xf>
    <xf numFmtId="3" fontId="44" fillId="0" borderId="16" xfId="0" applyNumberFormat="1" applyFont="1" applyBorder="1" applyAlignment="1">
      <alignment vertical="center"/>
    </xf>
    <xf numFmtId="3" fontId="59" fillId="0" borderId="16" xfId="0" applyNumberFormat="1" applyFont="1" applyBorder="1" applyAlignment="1">
      <alignment vertical="center"/>
    </xf>
    <xf numFmtId="3" fontId="121" fillId="0" borderId="0" xfId="0" applyNumberFormat="1" applyFont="1" applyBorder="1" applyAlignment="1">
      <alignment vertical="center"/>
    </xf>
    <xf numFmtId="0" fontId="59" fillId="0" borderId="89" xfId="0" applyFont="1" applyBorder="1" applyAlignment="1">
      <alignment vertical="center" wrapText="1"/>
    </xf>
    <xf numFmtId="0" fontId="33" fillId="0" borderId="98" xfId="0" applyFont="1" applyBorder="1" applyAlignment="1">
      <alignment horizontal="center" vertical="center"/>
    </xf>
    <xf numFmtId="0" fontId="33" fillId="0" borderId="137" xfId="0" applyFont="1" applyBorder="1" applyAlignment="1">
      <alignment horizontal="center" vertical="center"/>
    </xf>
    <xf numFmtId="0" fontId="33" fillId="0" borderId="5" xfId="0" applyFont="1" applyBorder="1" applyAlignment="1">
      <alignment horizontal="center" vertical="center"/>
    </xf>
    <xf numFmtId="0" fontId="33" fillId="0" borderId="12" xfId="0" applyFont="1" applyBorder="1" applyAlignment="1">
      <alignment horizontal="center" vertical="center"/>
    </xf>
    <xf numFmtId="0" fontId="33" fillId="0" borderId="16" xfId="0" applyFont="1" applyBorder="1" applyAlignment="1">
      <alignment horizontal="right" vertical="center" wrapText="1"/>
    </xf>
    <xf numFmtId="200" fontId="125" fillId="0" borderId="8" xfId="0" applyNumberFormat="1" applyFont="1" applyBorder="1" applyAlignment="1">
      <alignment vertical="center" wrapText="1"/>
    </xf>
    <xf numFmtId="0" fontId="64" fillId="0" borderId="16" xfId="0" applyFont="1" applyBorder="1" applyAlignment="1">
      <alignment vertical="center" wrapText="1"/>
    </xf>
    <xf numFmtId="0" fontId="64" fillId="0" borderId="8" xfId="0" applyFont="1" applyBorder="1" applyAlignment="1">
      <alignment vertical="center" wrapText="1"/>
    </xf>
    <xf numFmtId="3" fontId="125" fillId="0" borderId="119" xfId="0" applyNumberFormat="1" applyFont="1" applyBorder="1" applyAlignment="1">
      <alignment vertical="center" wrapText="1"/>
    </xf>
    <xf numFmtId="0" fontId="117" fillId="0" borderId="3" xfId="0" applyFont="1" applyBorder="1" applyAlignment="1">
      <alignment vertical="center" wrapText="1"/>
    </xf>
    <xf numFmtId="0" fontId="117" fillId="0" borderId="12" xfId="0" applyFont="1" applyBorder="1" applyAlignment="1">
      <alignment vertical="center" wrapText="1"/>
    </xf>
    <xf numFmtId="3" fontId="125" fillId="0" borderId="130" xfId="0" applyNumberFormat="1" applyFont="1" applyBorder="1" applyAlignment="1">
      <alignment vertical="center" wrapText="1"/>
    </xf>
    <xf numFmtId="0" fontId="117" fillId="0" borderId="15" xfId="0" applyFont="1" applyBorder="1" applyAlignment="1">
      <alignment vertical="center" wrapText="1"/>
    </xf>
    <xf numFmtId="3" fontId="64" fillId="0" borderId="6" xfId="0" applyNumberFormat="1" applyFont="1" applyBorder="1" applyAlignment="1">
      <alignment vertical="center" wrapText="1"/>
    </xf>
    <xf numFmtId="0" fontId="117" fillId="0" borderId="9" xfId="0" applyFont="1" applyBorder="1" applyAlignment="1">
      <alignment vertical="center" wrapText="1"/>
    </xf>
    <xf numFmtId="3" fontId="125" fillId="0" borderId="98" xfId="0" applyNumberFormat="1" applyFont="1" applyBorder="1" applyAlignment="1">
      <alignment vertical="center" wrapText="1"/>
    </xf>
    <xf numFmtId="200" fontId="125" fillId="0" borderId="5" xfId="0" applyNumberFormat="1" applyFont="1" applyBorder="1" applyAlignment="1">
      <alignment vertical="center" wrapText="1"/>
    </xf>
    <xf numFmtId="199" fontId="89" fillId="0" borderId="13" xfId="0" applyNumberFormat="1" applyFont="1" applyBorder="1" applyAlignment="1">
      <alignment vertical="center" wrapText="1"/>
    </xf>
    <xf numFmtId="3" fontId="125" fillId="0" borderId="4" xfId="0" applyNumberFormat="1" applyFont="1" applyBorder="1" applyAlignment="1">
      <alignment vertical="center" wrapText="1"/>
    </xf>
    <xf numFmtId="3" fontId="125" fillId="0" borderId="134" xfId="0" applyNumberFormat="1" applyFont="1" applyBorder="1" applyAlignment="1">
      <alignment vertical="center" wrapText="1"/>
    </xf>
    <xf numFmtId="0" fontId="33" fillId="0" borderId="109" xfId="0" applyFont="1" applyBorder="1" applyAlignment="1">
      <alignment horizontal="center" vertical="center" wrapText="1"/>
    </xf>
    <xf numFmtId="3" fontId="64" fillId="0" borderId="6" xfId="0" applyNumberFormat="1" applyFont="1" applyBorder="1" applyAlignment="1">
      <alignment vertical="center" wrapText="1"/>
    </xf>
    <xf numFmtId="200" fontId="125" fillId="0" borderId="5" xfId="0" applyNumberFormat="1" applyFont="1" applyBorder="1" applyAlignment="1">
      <alignment vertical="center" wrapText="1"/>
    </xf>
    <xf numFmtId="0" fontId="132" fillId="0" borderId="130" xfId="0" applyFont="1" applyBorder="1" applyAlignment="1">
      <alignment vertical="center" wrapText="1"/>
    </xf>
    <xf numFmtId="0" fontId="33" fillId="0" borderId="104" xfId="0" applyFont="1" applyBorder="1" applyAlignment="1">
      <alignment horizontal="distributed" vertical="center" wrapText="1"/>
    </xf>
    <xf numFmtId="3" fontId="133" fillId="0" borderId="13" xfId="0" applyNumberFormat="1" applyFont="1" applyBorder="1" applyAlignment="1">
      <alignment vertical="center" wrapText="1"/>
    </xf>
    <xf numFmtId="3" fontId="125" fillId="0" borderId="5" xfId="0" applyNumberFormat="1" applyFont="1" applyBorder="1" applyAlignment="1">
      <alignment vertical="center" wrapText="1"/>
    </xf>
    <xf numFmtId="0" fontId="72" fillId="0" borderId="0" xfId="0" applyFont="1"/>
    <xf numFmtId="0" fontId="134" fillId="0" borderId="0" xfId="0" applyFont="1" applyAlignment="1">
      <alignment horizontal="center"/>
    </xf>
    <xf numFmtId="0" fontId="136" fillId="0" borderId="0" xfId="0" applyFont="1" applyBorder="1" applyAlignment="1">
      <alignment horizontal="distributed"/>
    </xf>
    <xf numFmtId="0" fontId="72" fillId="0" borderId="0" xfId="0" applyFont="1" applyAlignment="1">
      <alignment vertical="center"/>
    </xf>
    <xf numFmtId="0" fontId="137" fillId="0" borderId="0" xfId="0" applyFont="1" applyAlignment="1">
      <alignment horizontal="center" vertical="center"/>
    </xf>
    <xf numFmtId="0" fontId="28" fillId="0" borderId="42" xfId="0" applyFont="1" applyBorder="1" applyAlignment="1">
      <alignment horizontal="center" vertical="center"/>
    </xf>
    <xf numFmtId="0" fontId="28" fillId="0" borderId="43" xfId="0" applyFont="1" applyBorder="1" applyAlignment="1">
      <alignment horizontal="center" vertical="center"/>
    </xf>
    <xf numFmtId="0" fontId="72" fillId="0" borderId="0" xfId="0" applyFont="1" applyAlignment="1">
      <alignment horizontal="center" vertical="center"/>
    </xf>
    <xf numFmtId="0" fontId="72" fillId="0" borderId="45" xfId="0" applyFont="1" applyBorder="1" applyAlignment="1">
      <alignment horizontal="center" vertical="center"/>
    </xf>
    <xf numFmtId="0" fontId="28" fillId="0" borderId="8" xfId="0" applyFont="1" applyBorder="1" applyAlignment="1">
      <alignment horizontal="right" vertical="center"/>
    </xf>
    <xf numFmtId="0" fontId="28" fillId="0" borderId="46" xfId="0" applyFont="1" applyBorder="1" applyAlignment="1">
      <alignment horizontal="right" vertical="center"/>
    </xf>
    <xf numFmtId="0" fontId="28" fillId="0" borderId="47" xfId="0" applyFont="1" applyBorder="1" applyAlignment="1">
      <alignment horizontal="right" vertical="center"/>
    </xf>
    <xf numFmtId="0" fontId="72" fillId="0" borderId="16" xfId="0" applyFont="1" applyBorder="1" applyAlignment="1">
      <alignment horizontal="center" vertical="center"/>
    </xf>
    <xf numFmtId="0" fontId="28" fillId="0" borderId="48" xfId="0" applyFont="1" applyBorder="1" applyAlignment="1">
      <alignment horizontal="right" vertical="center"/>
    </xf>
    <xf numFmtId="0" fontId="72" fillId="0" borderId="0" xfId="0" applyFont="1"/>
    <xf numFmtId="0" fontId="138" fillId="0" borderId="45" xfId="0" applyFont="1" applyBorder="1" applyAlignment="1">
      <alignment horizontal="left" vertical="center"/>
    </xf>
    <xf numFmtId="0" fontId="72" fillId="0" borderId="8" xfId="0" applyFont="1" applyBorder="1" applyAlignment="1">
      <alignment horizontal="center" vertical="center"/>
    </xf>
    <xf numFmtId="0" fontId="72" fillId="0" borderId="46" xfId="0" applyFont="1" applyBorder="1" applyAlignment="1">
      <alignment horizontal="center" vertical="center"/>
    </xf>
    <xf numFmtId="178" fontId="113" fillId="0" borderId="47" xfId="0" applyNumberFormat="1" applyFont="1" applyBorder="1" applyAlignment="1">
      <alignment horizontal="right" vertical="center"/>
    </xf>
    <xf numFmtId="0" fontId="138" fillId="0" borderId="16" xfId="0" applyFont="1" applyBorder="1" applyAlignment="1">
      <alignment horizontal="left" vertical="center"/>
    </xf>
    <xf numFmtId="178" fontId="72" fillId="0" borderId="8" xfId="0" applyNumberFormat="1" applyFont="1" applyBorder="1" applyAlignment="1">
      <alignment vertical="center"/>
    </xf>
    <xf numFmtId="178" fontId="72" fillId="0" borderId="10" xfId="0" applyNumberFormat="1" applyFont="1" applyBorder="1" applyAlignment="1">
      <alignment vertical="center"/>
    </xf>
    <xf numFmtId="178" fontId="113" fillId="0" borderId="49" xfId="0" applyNumberFormat="1" applyFont="1" applyBorder="1" applyAlignment="1">
      <alignment vertical="center"/>
    </xf>
    <xf numFmtId="0" fontId="28" fillId="0" borderId="45" xfId="0" applyFont="1" applyBorder="1" applyAlignment="1">
      <alignment horizontal="left" vertical="center" indent="1"/>
    </xf>
    <xf numFmtId="0" fontId="72" fillId="0" borderId="0" xfId="0" applyFont="1" applyBorder="1" applyAlignment="1">
      <alignment vertical="center"/>
    </xf>
    <xf numFmtId="178" fontId="72" fillId="0" borderId="46" xfId="0" applyNumberFormat="1" applyFont="1" applyBorder="1" applyAlignment="1">
      <alignment horizontal="right" vertical="center"/>
    </xf>
    <xf numFmtId="178" fontId="72" fillId="0" borderId="47" xfId="0" applyNumberFormat="1" applyFont="1" applyBorder="1" applyAlignment="1">
      <alignment horizontal="right" vertical="center"/>
    </xf>
    <xf numFmtId="0" fontId="28" fillId="0" borderId="16" xfId="0" applyFont="1" applyBorder="1" applyAlignment="1">
      <alignment horizontal="left" vertical="center" indent="1"/>
    </xf>
    <xf numFmtId="178" fontId="72" fillId="0" borderId="49" xfId="0" applyNumberFormat="1" applyFont="1" applyBorder="1" applyAlignment="1">
      <alignment vertical="center"/>
    </xf>
    <xf numFmtId="178" fontId="72" fillId="0" borderId="47" xfId="0" applyNumberFormat="1" applyFont="1" applyBorder="1" applyAlignment="1">
      <alignment vertical="center"/>
    </xf>
    <xf numFmtId="0" fontId="72" fillId="0" borderId="45" xfId="0" applyFont="1" applyBorder="1"/>
    <xf numFmtId="0" fontId="72" fillId="0" borderId="8" xfId="0" applyFont="1" applyBorder="1" applyAlignment="1">
      <alignment vertical="center"/>
    </xf>
    <xf numFmtId="178" fontId="115" fillId="0" borderId="46" xfId="0" applyNumberFormat="1" applyFont="1" applyBorder="1" applyAlignment="1">
      <alignment horizontal="right" vertical="center"/>
    </xf>
    <xf numFmtId="178" fontId="72" fillId="0" borderId="46" xfId="0" applyNumberFormat="1" applyFont="1" applyBorder="1" applyAlignment="1">
      <alignment vertical="center"/>
    </xf>
    <xf numFmtId="178" fontId="113" fillId="0" borderId="47" xfId="0" applyNumberFormat="1" applyFont="1" applyBorder="1" applyAlignment="1">
      <alignment vertical="center"/>
    </xf>
    <xf numFmtId="0" fontId="139" fillId="0" borderId="16" xfId="0" applyFont="1" applyBorder="1" applyAlignment="1">
      <alignment horizontal="distributed" vertical="center"/>
    </xf>
    <xf numFmtId="0" fontId="28" fillId="0" borderId="45" xfId="0" applyFont="1" applyBorder="1" applyAlignment="1">
      <alignment horizontal="distributed" vertical="center"/>
    </xf>
    <xf numFmtId="178" fontId="113" fillId="0" borderId="46" xfId="0" applyNumberFormat="1" applyFont="1" applyBorder="1" applyAlignment="1">
      <alignment vertical="center"/>
    </xf>
    <xf numFmtId="0" fontId="72" fillId="0" borderId="16" xfId="0" applyFont="1" applyBorder="1" applyAlignment="1">
      <alignment horizontal="distributed" vertical="center"/>
    </xf>
    <xf numFmtId="178" fontId="113" fillId="0" borderId="8" xfId="0" applyNumberFormat="1" applyFont="1" applyBorder="1" applyAlignment="1">
      <alignment vertical="center"/>
    </xf>
    <xf numFmtId="0" fontId="28" fillId="0" borderId="16" xfId="0" applyFont="1" applyBorder="1" applyAlignment="1">
      <alignment horizontal="distributed" vertical="center"/>
    </xf>
    <xf numFmtId="178" fontId="113" fillId="0" borderId="10" xfId="0" applyNumberFormat="1" applyFont="1" applyBorder="1" applyAlignment="1">
      <alignment vertical="center"/>
    </xf>
    <xf numFmtId="0" fontId="72" fillId="0" borderId="16" xfId="0" applyFont="1" applyBorder="1" applyAlignment="1">
      <alignment horizontal="right" vertical="center"/>
    </xf>
    <xf numFmtId="178" fontId="113" fillId="0" borderId="51" xfId="0" applyNumberFormat="1" applyFont="1" applyBorder="1" applyAlignment="1">
      <alignment vertical="center"/>
    </xf>
    <xf numFmtId="178" fontId="113" fillId="0" borderId="50" xfId="0" applyNumberFormat="1" applyFont="1" applyBorder="1" applyAlignment="1">
      <alignment vertical="center"/>
    </xf>
    <xf numFmtId="0" fontId="140" fillId="0" borderId="0" xfId="0" applyFont="1" applyBorder="1" applyAlignment="1">
      <alignment horizontal="left" vertical="center"/>
    </xf>
    <xf numFmtId="0" fontId="72" fillId="0" borderId="0" xfId="0" applyFont="1" applyAlignment="1">
      <alignment vertical="center"/>
    </xf>
    <xf numFmtId="178" fontId="72" fillId="0" borderId="0" xfId="0" applyNumberFormat="1" applyFont="1" applyBorder="1" applyAlignment="1">
      <alignment vertical="center"/>
    </xf>
    <xf numFmtId="0" fontId="134" fillId="0" borderId="0" xfId="0" applyFont="1" applyAlignment="1">
      <alignment horizontal="center" vertical="center"/>
    </xf>
    <xf numFmtId="0" fontId="28" fillId="0" borderId="10" xfId="0" applyFont="1" applyBorder="1" applyAlignment="1">
      <alignment horizontal="right" vertical="center"/>
    </xf>
    <xf numFmtId="0" fontId="28" fillId="0" borderId="49" xfId="0" applyFont="1" applyBorder="1" applyAlignment="1">
      <alignment horizontal="right" vertical="center"/>
    </xf>
    <xf numFmtId="178" fontId="72" fillId="0" borderId="8" xfId="0" applyNumberFormat="1" applyFont="1" applyBorder="1" applyAlignment="1">
      <alignment horizontal="center" vertical="center"/>
    </xf>
    <xf numFmtId="178" fontId="72" fillId="0" borderId="10" xfId="0" applyNumberFormat="1" applyFont="1" applyBorder="1" applyAlignment="1">
      <alignment horizontal="center" vertical="center"/>
    </xf>
    <xf numFmtId="178" fontId="113" fillId="0" borderId="49" xfId="0" applyNumberFormat="1" applyFont="1" applyBorder="1" applyAlignment="1">
      <alignment horizontal="right" vertical="center"/>
    </xf>
    <xf numFmtId="178" fontId="113" fillId="0" borderId="10" xfId="0" applyNumberFormat="1" applyFont="1" applyBorder="1" applyAlignment="1">
      <alignment horizontal="right" vertical="center"/>
    </xf>
    <xf numFmtId="178" fontId="72" fillId="0" borderId="49" xfId="0" applyNumberFormat="1" applyFont="1" applyBorder="1" applyAlignment="1">
      <alignment horizontal="center" vertical="center"/>
    </xf>
    <xf numFmtId="0" fontId="28" fillId="0" borderId="45" xfId="0" applyFont="1" applyBorder="1" applyAlignment="1">
      <alignment horizontal="distributed" vertical="center" indent="1"/>
    </xf>
    <xf numFmtId="176" fontId="113" fillId="0" borderId="10" xfId="1" applyFont="1" applyBorder="1" applyAlignment="1" applyProtection="1">
      <alignment vertical="center"/>
    </xf>
    <xf numFmtId="0" fontId="28" fillId="0" borderId="45" xfId="0" applyFont="1" applyBorder="1" applyAlignment="1">
      <alignment horizontal="distributed" vertical="center" wrapText="1" indent="1"/>
    </xf>
    <xf numFmtId="0" fontId="28" fillId="0" borderId="16" xfId="0" applyFont="1" applyBorder="1" applyAlignment="1">
      <alignment horizontal="distributed" vertical="center" wrapText="1"/>
    </xf>
    <xf numFmtId="0" fontId="25" fillId="0" borderId="16" xfId="0" applyFont="1" applyBorder="1" applyAlignment="1">
      <alignment horizontal="distributed" vertical="center" wrapText="1"/>
    </xf>
    <xf numFmtId="0" fontId="25" fillId="0" borderId="16" xfId="0" applyFont="1" applyBorder="1" applyAlignment="1">
      <alignment horizontal="right" vertical="center" wrapText="1"/>
    </xf>
    <xf numFmtId="176" fontId="72" fillId="0" borderId="10" xfId="1" applyFont="1" applyBorder="1" applyAlignment="1" applyProtection="1">
      <alignment vertical="center"/>
    </xf>
    <xf numFmtId="0" fontId="72" fillId="0" borderId="49" xfId="0" applyFont="1" applyBorder="1"/>
    <xf numFmtId="0" fontId="29" fillId="0" borderId="45" xfId="0" applyFont="1" applyBorder="1" applyAlignment="1">
      <alignment horizontal="center" vertical="center"/>
    </xf>
    <xf numFmtId="0" fontId="73" fillId="0" borderId="45" xfId="0" applyFont="1" applyBorder="1" applyAlignment="1">
      <alignment horizontal="distributed" vertical="center" wrapText="1"/>
    </xf>
    <xf numFmtId="0" fontId="141" fillId="0" borderId="45" xfId="0" applyFont="1" applyBorder="1" applyAlignment="1">
      <alignment horizontal="right" vertical="center" wrapText="1"/>
    </xf>
    <xf numFmtId="0" fontId="28" fillId="0" borderId="45" xfId="0" applyFont="1" applyBorder="1" applyAlignment="1">
      <alignment horizontal="distributed" vertical="center" wrapText="1"/>
    </xf>
    <xf numFmtId="0" fontId="72" fillId="0" borderId="81" xfId="0" applyFont="1" applyBorder="1"/>
    <xf numFmtId="0" fontId="72" fillId="0" borderId="152" xfId="0" applyFont="1" applyBorder="1"/>
    <xf numFmtId="178" fontId="142" fillId="0" borderId="16" xfId="0" applyNumberFormat="1" applyFont="1" applyBorder="1" applyAlignment="1">
      <alignment vertical="center" wrapText="1"/>
    </xf>
    <xf numFmtId="0" fontId="43" fillId="0" borderId="0" xfId="0" applyFont="1" applyBorder="1" applyAlignment="1"/>
    <xf numFmtId="0" fontId="143" fillId="0" borderId="0" xfId="0" applyFont="1" applyBorder="1" applyAlignment="1">
      <alignment horizontal="center"/>
    </xf>
    <xf numFmtId="0" fontId="144" fillId="0" borderId="0" xfId="0" applyFont="1" applyBorder="1" applyAlignment="1">
      <alignment horizontal="center"/>
    </xf>
    <xf numFmtId="0" fontId="43" fillId="0" borderId="0" xfId="0" applyFont="1" applyBorder="1" applyAlignment="1">
      <alignment vertical="center"/>
    </xf>
    <xf numFmtId="0" fontId="43" fillId="0" borderId="79" xfId="0" applyFont="1" applyBorder="1" applyAlignment="1">
      <alignment horizontal="center" vertical="center"/>
    </xf>
    <xf numFmtId="0" fontId="43" fillId="0" borderId="4" xfId="0" applyFont="1" applyBorder="1" applyAlignment="1">
      <alignment horizontal="center" vertical="center"/>
    </xf>
    <xf numFmtId="0" fontId="43" fillId="0" borderId="13" xfId="0" applyFont="1" applyBorder="1" applyAlignment="1">
      <alignment horizontal="center" vertical="center"/>
    </xf>
    <xf numFmtId="0" fontId="43" fillId="0" borderId="11" xfId="0" applyFont="1" applyBorder="1" applyAlignment="1">
      <alignment horizontal="center" vertical="center"/>
    </xf>
    <xf numFmtId="178" fontId="28" fillId="0" borderId="13" xfId="0" applyNumberFormat="1" applyFont="1" applyBorder="1" applyAlignment="1">
      <alignment horizontal="left" vertical="center"/>
    </xf>
    <xf numFmtId="0" fontId="43" fillId="0" borderId="80" xfId="0" applyFont="1" applyBorder="1" applyAlignment="1">
      <alignment horizontal="center" vertical="center"/>
    </xf>
    <xf numFmtId="0" fontId="44" fillId="0" borderId="0" xfId="0" applyFont="1" applyBorder="1" applyAlignment="1">
      <alignment vertical="top"/>
    </xf>
    <xf numFmtId="0" fontId="43" fillId="0" borderId="0" xfId="0" applyFont="1" applyBorder="1" applyAlignment="1">
      <alignment vertical="top"/>
    </xf>
    <xf numFmtId="0" fontId="44" fillId="0" borderId="89" xfId="0" applyFont="1" applyBorder="1" applyAlignment="1">
      <alignment horizontal="right" vertical="center"/>
    </xf>
    <xf numFmtId="0" fontId="43" fillId="0" borderId="0" xfId="0" applyFont="1" applyBorder="1" applyAlignment="1">
      <alignment horizontal="center" vertical="center"/>
    </xf>
    <xf numFmtId="178" fontId="43" fillId="0" borderId="0" xfId="0" applyNumberFormat="1" applyFont="1" applyBorder="1" applyAlignment="1"/>
    <xf numFmtId="178" fontId="43" fillId="0" borderId="13" xfId="0" applyNumberFormat="1" applyFont="1" applyBorder="1" applyAlignment="1">
      <alignment horizontal="left" vertical="center"/>
    </xf>
    <xf numFmtId="178" fontId="44" fillId="0" borderId="15" xfId="0" applyNumberFormat="1" applyFont="1" applyBorder="1" applyAlignment="1">
      <alignment horizontal="left" vertical="center"/>
    </xf>
    <xf numFmtId="178" fontId="44" fillId="0" borderId="93" xfId="0" applyNumberFormat="1" applyFont="1" applyBorder="1" applyAlignment="1">
      <alignment horizontal="left" vertical="center"/>
    </xf>
    <xf numFmtId="178" fontId="72" fillId="0" borderId="4" xfId="0" applyNumberFormat="1" applyFont="1" applyBorder="1" applyAlignment="1">
      <alignment horizontal="left" vertical="center"/>
    </xf>
    <xf numFmtId="178" fontId="44" fillId="0" borderId="15" xfId="0" applyNumberFormat="1" applyFont="1" applyBorder="1" applyAlignment="1">
      <alignment vertical="center" shrinkToFit="1"/>
    </xf>
    <xf numFmtId="0" fontId="72" fillId="0" borderId="15" xfId="0" applyFont="1" applyBorder="1" applyAlignment="1">
      <alignment vertical="center" wrapText="1"/>
    </xf>
    <xf numFmtId="178" fontId="44" fillId="0" borderId="3" xfId="0" applyNumberFormat="1" applyFont="1" applyBorder="1" applyAlignment="1">
      <alignment vertical="center" shrinkToFit="1"/>
    </xf>
    <xf numFmtId="0" fontId="72" fillId="0" borderId="3" xfId="0" applyFont="1" applyBorder="1" applyAlignment="1">
      <alignment vertical="center" wrapText="1"/>
    </xf>
    <xf numFmtId="178" fontId="121" fillId="0" borderId="89" xfId="0" applyNumberFormat="1" applyFont="1" applyBorder="1" applyAlignment="1">
      <alignment vertical="center"/>
    </xf>
    <xf numFmtId="0" fontId="44" fillId="0" borderId="89" xfId="0" applyFont="1" applyBorder="1" applyAlignment="1">
      <alignment vertical="center" wrapText="1"/>
    </xf>
    <xf numFmtId="0" fontId="44" fillId="0" borderId="0" xfId="0" applyFont="1" applyBorder="1" applyAlignment="1">
      <alignment vertical="center"/>
    </xf>
    <xf numFmtId="0" fontId="43" fillId="0" borderId="15" xfId="0" applyFont="1" applyBorder="1" applyAlignment="1">
      <alignment vertical="center"/>
    </xf>
    <xf numFmtId="178" fontId="89" fillId="0" borderId="15" xfId="0" applyNumberFormat="1" applyFont="1" applyBorder="1" applyAlignment="1">
      <alignment horizontal="left" vertical="center"/>
    </xf>
    <xf numFmtId="178" fontId="89" fillId="0" borderId="93" xfId="0" applyNumberFormat="1" applyFont="1" applyBorder="1" applyAlignment="1">
      <alignment horizontal="left" vertical="center"/>
    </xf>
    <xf numFmtId="178" fontId="28" fillId="0" borderId="4" xfId="0" applyNumberFormat="1" applyFont="1" applyBorder="1" applyAlignment="1">
      <alignment horizontal="left" vertical="center"/>
    </xf>
    <xf numFmtId="178" fontId="44" fillId="0" borderId="15" xfId="0" applyNumberFormat="1" applyFont="1" applyBorder="1" applyAlignment="1">
      <alignment vertical="center"/>
    </xf>
    <xf numFmtId="178" fontId="44" fillId="0" borderId="89" xfId="0" applyNumberFormat="1" applyFont="1" applyBorder="1" applyAlignment="1">
      <alignment vertical="center"/>
    </xf>
    <xf numFmtId="0" fontId="44" fillId="0" borderId="0" xfId="0" applyFont="1" applyBorder="1" applyAlignment="1">
      <alignment horizontal="center" vertical="center"/>
    </xf>
    <xf numFmtId="178" fontId="44" fillId="0" borderId="0" xfId="0" applyNumberFormat="1" applyFont="1" applyBorder="1" applyAlignment="1">
      <alignment horizontal="right" vertical="center"/>
    </xf>
    <xf numFmtId="178" fontId="44" fillId="0" borderId="0" xfId="0" applyNumberFormat="1" applyFont="1" applyBorder="1" applyAlignment="1">
      <alignment horizontal="center" vertical="center"/>
    </xf>
    <xf numFmtId="0" fontId="44" fillId="0" borderId="0" xfId="0" applyFont="1" applyBorder="1" applyAlignment="1">
      <alignment horizontal="center" vertical="center" wrapText="1"/>
    </xf>
    <xf numFmtId="0" fontId="54" fillId="0" borderId="0" xfId="0" applyFont="1" applyAlignment="1">
      <alignment vertical="center"/>
    </xf>
    <xf numFmtId="0" fontId="102" fillId="0" borderId="0" xfId="0" applyFont="1" applyAlignment="1">
      <alignment horizontal="center"/>
    </xf>
    <xf numFmtId="0" fontId="103" fillId="0" borderId="0" xfId="0" applyFont="1" applyAlignment="1">
      <alignment horizontal="center"/>
    </xf>
    <xf numFmtId="0" fontId="54" fillId="0" borderId="79" xfId="0" applyFont="1" applyBorder="1" applyAlignment="1">
      <alignment horizontal="center" vertical="center"/>
    </xf>
    <xf numFmtId="0" fontId="54" fillId="0" borderId="4" xfId="0" applyFont="1" applyBorder="1" applyAlignment="1">
      <alignment horizontal="center" vertical="center"/>
    </xf>
    <xf numFmtId="0" fontId="54" fillId="0" borderId="13" xfId="0" applyFont="1" applyBorder="1" applyAlignment="1">
      <alignment horizontal="center" vertical="center"/>
    </xf>
    <xf numFmtId="0" fontId="54" fillId="0" borderId="11" xfId="0" applyFont="1" applyBorder="1" applyAlignment="1">
      <alignment horizontal="center" vertical="center"/>
    </xf>
    <xf numFmtId="178" fontId="46" fillId="0" borderId="13" xfId="0" applyNumberFormat="1" applyFont="1" applyBorder="1" applyAlignment="1">
      <alignment horizontal="left" vertical="center"/>
    </xf>
    <xf numFmtId="178" fontId="54" fillId="0" borderId="13" xfId="0" applyNumberFormat="1" applyFont="1" applyBorder="1" applyAlignment="1">
      <alignment horizontal="left" vertical="center"/>
    </xf>
    <xf numFmtId="0" fontId="54" fillId="0" borderId="80" xfId="0" applyFont="1" applyBorder="1" applyAlignment="1">
      <alignment horizontal="center" vertical="center"/>
    </xf>
    <xf numFmtId="178" fontId="59" fillId="0" borderId="93" xfId="0" applyNumberFormat="1" applyFont="1" applyBorder="1" applyAlignment="1">
      <alignment horizontal="left" vertical="center"/>
    </xf>
    <xf numFmtId="178" fontId="147" fillId="0" borderId="0" xfId="0" applyNumberFormat="1" applyFont="1" applyBorder="1" applyAlignment="1">
      <alignment horizontal="right" vertical="center"/>
    </xf>
    <xf numFmtId="178" fontId="71" fillId="0" borderId="0" xfId="0" applyNumberFormat="1" applyFont="1" applyBorder="1" applyAlignment="1">
      <alignment horizontal="right" vertical="center"/>
    </xf>
    <xf numFmtId="0" fontId="44" fillId="0" borderId="61" xfId="0" applyFont="1" applyBorder="1" applyAlignment="1">
      <alignment horizontal="center" vertical="center"/>
    </xf>
    <xf numFmtId="0" fontId="44" fillId="0" borderId="10" xfId="0" applyFont="1" applyBorder="1" applyAlignment="1">
      <alignment horizontal="center" vertical="center"/>
    </xf>
    <xf numFmtId="178" fontId="44" fillId="0" borderId="10" xfId="0" applyNumberFormat="1" applyFont="1" applyBorder="1" applyAlignment="1">
      <alignment horizontal="right" vertical="center"/>
    </xf>
    <xf numFmtId="178" fontId="44" fillId="0" borderId="10" xfId="0" applyNumberFormat="1" applyFont="1" applyBorder="1" applyAlignment="1">
      <alignment horizontal="center" vertical="center"/>
    </xf>
    <xf numFmtId="0" fontId="44" fillId="0" borderId="10" xfId="0" applyFont="1" applyBorder="1" applyAlignment="1">
      <alignment horizontal="center" vertical="center" wrapText="1"/>
    </xf>
    <xf numFmtId="0" fontId="44" fillId="0" borderId="85" xfId="0" applyFont="1" applyBorder="1" applyAlignment="1">
      <alignment horizontal="center" vertical="center" wrapText="1"/>
    </xf>
    <xf numFmtId="0" fontId="44" fillId="0" borderId="79" xfId="0" applyFont="1" applyBorder="1" applyAlignment="1">
      <alignment horizontal="center" vertical="center"/>
    </xf>
    <xf numFmtId="0" fontId="44" fillId="0" borderId="4" xfId="0" applyFont="1" applyBorder="1" applyAlignment="1">
      <alignment horizontal="center" vertical="center"/>
    </xf>
    <xf numFmtId="0" fontId="22" fillId="0" borderId="13" xfId="0" applyFont="1" applyBorder="1" applyAlignment="1">
      <alignment horizontal="center" vertical="center"/>
    </xf>
    <xf numFmtId="0" fontId="44" fillId="0" borderId="11" xfId="0" applyFont="1" applyBorder="1" applyAlignment="1">
      <alignment horizontal="center" vertical="center"/>
    </xf>
    <xf numFmtId="0" fontId="22" fillId="0" borderId="11" xfId="0" applyFont="1" applyBorder="1" applyAlignment="1">
      <alignment horizontal="center" vertical="center"/>
    </xf>
    <xf numFmtId="178" fontId="44" fillId="0" borderId="13" xfId="0" applyNumberFormat="1" applyFont="1" applyBorder="1" applyAlignment="1">
      <alignment horizontal="right" vertical="center"/>
    </xf>
    <xf numFmtId="178" fontId="44" fillId="0" borderId="11" xfId="0" applyNumberFormat="1" applyFont="1" applyBorder="1" applyAlignment="1">
      <alignment horizontal="right" vertical="center"/>
    </xf>
    <xf numFmtId="178" fontId="22" fillId="0" borderId="13" xfId="0" applyNumberFormat="1" applyFont="1" applyBorder="1" applyAlignment="1">
      <alignment horizontal="right" vertical="center"/>
    </xf>
    <xf numFmtId="178" fontId="44" fillId="0" borderId="4" xfId="0" applyNumberFormat="1" applyFont="1" applyBorder="1" applyAlignment="1">
      <alignment horizontal="center" vertical="center"/>
    </xf>
    <xf numFmtId="0" fontId="22" fillId="0" borderId="13" xfId="0" applyFont="1" applyBorder="1" applyAlignment="1">
      <alignment horizontal="right" vertical="center"/>
    </xf>
    <xf numFmtId="0" fontId="44" fillId="0" borderId="4" xfId="0" applyFont="1" applyBorder="1" applyAlignment="1">
      <alignment horizontal="center" vertical="center" wrapText="1"/>
    </xf>
    <xf numFmtId="0" fontId="44" fillId="0" borderId="80" xfId="0" applyFont="1" applyBorder="1" applyAlignment="1">
      <alignment horizontal="center" vertical="center" wrapText="1"/>
    </xf>
    <xf numFmtId="0" fontId="43" fillId="2" borderId="0" xfId="0" applyFont="1" applyFill="1" applyBorder="1" applyAlignment="1"/>
    <xf numFmtId="0" fontId="43" fillId="2" borderId="0" xfId="0" applyFont="1" applyFill="1" applyBorder="1" applyAlignment="1">
      <alignment horizontal="right" vertical="center"/>
    </xf>
    <xf numFmtId="0" fontId="43" fillId="0" borderId="0" xfId="0" applyFont="1" applyBorder="1" applyAlignment="1">
      <alignment horizontal="left" vertical="center"/>
    </xf>
    <xf numFmtId="0" fontId="43" fillId="4" borderId="0" xfId="0" applyFont="1" applyFill="1" applyBorder="1" applyAlignment="1"/>
    <xf numFmtId="0" fontId="43" fillId="4" borderId="0" xfId="0" applyFont="1" applyFill="1" applyBorder="1" applyAlignment="1">
      <alignment vertical="top"/>
    </xf>
    <xf numFmtId="0" fontId="149" fillId="0" borderId="0" xfId="0" applyFont="1" applyBorder="1" applyAlignment="1">
      <alignment horizontal="center" vertical="center"/>
    </xf>
    <xf numFmtId="178" fontId="121" fillId="0" borderId="0" xfId="0" applyNumberFormat="1" applyFont="1" applyBorder="1" applyAlignment="1">
      <alignment horizontal="right" vertical="center"/>
    </xf>
    <xf numFmtId="0" fontId="22" fillId="0" borderId="40" xfId="0" applyFont="1" applyBorder="1" applyAlignment="1">
      <alignment vertical="center"/>
    </xf>
    <xf numFmtId="0" fontId="89" fillId="0" borderId="53" xfId="0" applyFont="1" applyBorder="1" applyAlignment="1">
      <alignment vertical="center"/>
    </xf>
    <xf numFmtId="0" fontId="89" fillId="0" borderId="101" xfId="0" applyFont="1" applyBorder="1" applyAlignment="1">
      <alignment vertical="center"/>
    </xf>
    <xf numFmtId="178" fontId="22" fillId="0" borderId="114" xfId="0" applyNumberFormat="1" applyFont="1" applyBorder="1" applyAlignment="1">
      <alignment vertical="center"/>
    </xf>
    <xf numFmtId="0" fontId="89" fillId="0" borderId="53" xfId="0" applyFont="1" applyBorder="1" applyAlignment="1">
      <alignment horizontal="center" vertical="center"/>
    </xf>
    <xf numFmtId="0" fontId="89" fillId="0" borderId="101" xfId="0" applyFont="1" applyBorder="1" applyAlignment="1">
      <alignment horizontal="center" vertical="center"/>
    </xf>
    <xf numFmtId="178" fontId="22" fillId="0" borderId="114" xfId="0" applyNumberFormat="1" applyFont="1" applyBorder="1" applyAlignment="1"/>
    <xf numFmtId="178" fontId="43" fillId="0" borderId="0" xfId="0" applyNumberFormat="1" applyFont="1" applyAlignment="1">
      <alignment vertical="center"/>
    </xf>
    <xf numFmtId="178" fontId="150" fillId="0" borderId="0" xfId="0" applyNumberFormat="1" applyFont="1" applyAlignment="1">
      <alignment horizontal="center" vertical="center"/>
    </xf>
    <xf numFmtId="178" fontId="43" fillId="0" borderId="0" xfId="0" applyNumberFormat="1" applyFont="1" applyAlignment="1">
      <alignment horizontal="center" vertical="center"/>
    </xf>
    <xf numFmtId="178" fontId="43" fillId="0" borderId="100" xfId="0" applyNumberFormat="1" applyFont="1" applyBorder="1" applyAlignment="1">
      <alignment vertical="center"/>
    </xf>
    <xf numFmtId="0" fontId="0" fillId="0" borderId="53" xfId="0" applyBorder="1"/>
    <xf numFmtId="178" fontId="43" fillId="0" borderId="53" xfId="0" applyNumberFormat="1" applyFont="1" applyBorder="1" applyAlignment="1">
      <alignment horizontal="center" vertical="center"/>
    </xf>
    <xf numFmtId="178" fontId="43" fillId="0" borderId="101" xfId="0" applyNumberFormat="1" applyFont="1" applyBorder="1" applyAlignment="1">
      <alignment vertical="center"/>
    </xf>
    <xf numFmtId="178" fontId="43" fillId="0" borderId="61" xfId="0" applyNumberFormat="1" applyFont="1" applyBorder="1" applyAlignment="1">
      <alignment vertical="center"/>
    </xf>
    <xf numFmtId="0" fontId="0" fillId="0" borderId="0" xfId="0" applyBorder="1"/>
    <xf numFmtId="178" fontId="43" fillId="0" borderId="0" xfId="0" applyNumberFormat="1" applyFont="1" applyBorder="1" applyAlignment="1">
      <alignment horizontal="distributed"/>
    </xf>
    <xf numFmtId="178" fontId="54" fillId="0" borderId="40" xfId="0" applyNumberFormat="1" applyFont="1" applyBorder="1" applyAlignment="1">
      <alignment horizontal="distributed"/>
    </xf>
    <xf numFmtId="178" fontId="43" fillId="0" borderId="0" xfId="0" applyNumberFormat="1" applyFont="1" applyBorder="1" applyAlignment="1">
      <alignment horizontal="center" vertical="center"/>
    </xf>
    <xf numFmtId="178" fontId="43" fillId="0" borderId="85" xfId="0" applyNumberFormat="1" applyFont="1" applyBorder="1" applyAlignment="1">
      <alignment vertical="center"/>
    </xf>
    <xf numFmtId="0" fontId="0" fillId="0" borderId="102" xfId="0" applyBorder="1"/>
    <xf numFmtId="178" fontId="43" fillId="0" borderId="85" xfId="0" applyNumberFormat="1" applyFont="1" applyBorder="1" applyAlignment="1">
      <alignment horizontal="center" vertical="center"/>
    </xf>
    <xf numFmtId="178" fontId="22" fillId="0" borderId="83" xfId="0" applyNumberFormat="1" applyFont="1" applyBorder="1" applyAlignment="1">
      <alignment horizontal="distributed" vertical="center"/>
    </xf>
    <xf numFmtId="178" fontId="22" fillId="0" borderId="2" xfId="0" applyNumberFormat="1" applyFont="1" applyBorder="1" applyAlignment="1">
      <alignment horizontal="distributed" vertical="center"/>
    </xf>
    <xf numFmtId="178" fontId="22" fillId="0" borderId="7" xfId="0" applyNumberFormat="1" applyFont="1" applyBorder="1" applyAlignment="1">
      <alignment horizontal="distributed" vertical="center"/>
    </xf>
    <xf numFmtId="178" fontId="22" fillId="0" borderId="3" xfId="0" applyNumberFormat="1" applyFont="1" applyBorder="1" applyAlignment="1">
      <alignment horizontal="distributed" vertical="center"/>
    </xf>
    <xf numFmtId="178" fontId="22" fillId="0" borderId="91" xfId="0" applyNumberFormat="1" applyFont="1" applyBorder="1" applyAlignment="1">
      <alignment horizontal="distributed" vertical="center"/>
    </xf>
    <xf numFmtId="178" fontId="27" fillId="0" borderId="79" xfId="0" applyNumberFormat="1" applyFont="1" applyBorder="1" applyAlignment="1">
      <alignment horizontal="right" vertical="center"/>
    </xf>
    <xf numFmtId="178" fontId="27" fillId="0" borderId="5" xfId="0" applyNumberFormat="1" applyFont="1" applyBorder="1" applyAlignment="1">
      <alignment horizontal="right" vertical="center"/>
    </xf>
    <xf numFmtId="178" fontId="27" fillId="0" borderId="4" xfId="0" applyNumberFormat="1" applyFont="1" applyBorder="1" applyAlignment="1">
      <alignment horizontal="right" vertical="center"/>
    </xf>
    <xf numFmtId="178" fontId="44" fillId="0" borderId="104" xfId="0" applyNumberFormat="1" applyFont="1" applyBorder="1" applyAlignment="1">
      <alignment horizontal="center" vertical="center"/>
    </xf>
    <xf numFmtId="178" fontId="27" fillId="0" borderId="99" xfId="0" applyNumberFormat="1" applyFont="1" applyBorder="1" applyAlignment="1">
      <alignment horizontal="right" vertical="center"/>
    </xf>
    <xf numFmtId="178" fontId="125" fillId="0" borderId="81" xfId="0" applyNumberFormat="1" applyFont="1" applyBorder="1" applyAlignment="1">
      <alignment vertical="center"/>
    </xf>
    <xf numFmtId="178" fontId="89" fillId="0" borderId="6" xfId="0" applyNumberFormat="1" applyFont="1" applyBorder="1" applyAlignment="1">
      <alignment vertical="center"/>
    </xf>
    <xf numFmtId="178" fontId="89" fillId="0" borderId="14" xfId="0" applyNumberFormat="1" applyFont="1" applyBorder="1" applyAlignment="1">
      <alignment vertical="center"/>
    </xf>
    <xf numFmtId="178" fontId="22" fillId="0" borderId="105" xfId="0" applyNumberFormat="1" applyFont="1" applyBorder="1" applyAlignment="1">
      <alignment horizontal="distributed" vertical="center"/>
    </xf>
    <xf numFmtId="178" fontId="106" fillId="0" borderId="15" xfId="0" applyNumberFormat="1" applyFont="1" applyBorder="1" applyAlignment="1">
      <alignment vertical="center"/>
    </xf>
    <xf numFmtId="178" fontId="106" fillId="0" borderId="6" xfId="0" applyNumberFormat="1" applyFont="1" applyBorder="1" applyAlignment="1">
      <alignment vertical="center"/>
    </xf>
    <xf numFmtId="178" fontId="89" fillId="0" borderId="82" xfId="0" applyNumberFormat="1" applyFont="1" applyBorder="1" applyAlignment="1">
      <alignment vertical="center"/>
    </xf>
    <xf numFmtId="178" fontId="89" fillId="0" borderId="2" xfId="0" applyNumberFormat="1" applyFont="1" applyBorder="1" applyAlignment="1">
      <alignment vertical="center"/>
    </xf>
    <xf numFmtId="178" fontId="89" fillId="0" borderId="7" xfId="0" applyNumberFormat="1" applyFont="1" applyBorder="1" applyAlignment="1">
      <alignment vertical="center"/>
    </xf>
    <xf numFmtId="178" fontId="22" fillId="0" borderId="103" xfId="0" applyNumberFormat="1" applyFont="1" applyBorder="1" applyAlignment="1">
      <alignment horizontal="distributed" vertical="center"/>
    </xf>
    <xf numFmtId="178" fontId="106" fillId="0" borderId="3" xfId="0" applyNumberFormat="1" applyFont="1" applyBorder="1" applyAlignment="1">
      <alignment vertical="center"/>
    </xf>
    <xf numFmtId="178" fontId="106" fillId="0" borderId="2" xfId="0" applyNumberFormat="1" applyFont="1" applyBorder="1" applyAlignment="1">
      <alignment vertical="center"/>
    </xf>
    <xf numFmtId="178" fontId="89" fillId="0" borderId="91" xfId="0" applyNumberFormat="1" applyFont="1" applyBorder="1" applyAlignment="1">
      <alignment vertical="center"/>
    </xf>
    <xf numFmtId="178" fontId="89" fillId="0" borderId="2" xfId="0" applyNumberFormat="1" applyFont="1" applyBorder="1" applyAlignment="1">
      <alignment vertical="center"/>
    </xf>
    <xf numFmtId="178" fontId="89" fillId="0" borderId="3" xfId="0" applyNumberFormat="1" applyFont="1" applyBorder="1" applyAlignment="1">
      <alignment vertical="center"/>
    </xf>
    <xf numFmtId="178" fontId="125" fillId="0" borderId="91" xfId="0" applyNumberFormat="1" applyFont="1" applyBorder="1" applyAlignment="1">
      <alignment vertical="center"/>
    </xf>
    <xf numFmtId="178" fontId="89" fillId="0" borderId="83" xfId="0" applyNumberFormat="1" applyFont="1" applyBorder="1" applyAlignment="1">
      <alignment vertical="center"/>
    </xf>
    <xf numFmtId="178" fontId="125" fillId="0" borderId="2" xfId="0" applyNumberFormat="1" applyFont="1" applyBorder="1" applyAlignment="1">
      <alignment vertical="center"/>
    </xf>
    <xf numFmtId="178" fontId="89" fillId="0" borderId="7" xfId="0" applyNumberFormat="1" applyFont="1" applyBorder="1" applyAlignment="1">
      <alignment vertical="center"/>
    </xf>
    <xf numFmtId="178" fontId="89" fillId="0" borderId="3" xfId="0" applyNumberFormat="1" applyFont="1" applyBorder="1" applyAlignment="1">
      <alignment vertical="center"/>
    </xf>
    <xf numFmtId="178" fontId="125" fillId="0" borderId="106" xfId="0" applyNumberFormat="1" applyFont="1" applyBorder="1" applyAlignment="1">
      <alignment vertical="center"/>
    </xf>
    <xf numFmtId="178" fontId="125" fillId="0" borderId="107" xfId="0" applyNumberFormat="1" applyFont="1" applyBorder="1" applyAlignment="1">
      <alignment vertical="center"/>
    </xf>
    <xf numFmtId="178" fontId="125" fillId="0" borderId="108" xfId="0" applyNumberFormat="1" applyFont="1" applyBorder="1" applyAlignment="1">
      <alignment vertical="center"/>
    </xf>
    <xf numFmtId="178" fontId="22" fillId="0" borderId="109" xfId="0" applyNumberFormat="1" applyFont="1" applyBorder="1" applyAlignment="1">
      <alignment horizontal="center" vertical="center"/>
    </xf>
    <xf numFmtId="178" fontId="125" fillId="0" borderId="110" xfId="0" applyNumberFormat="1" applyFont="1" applyBorder="1" applyAlignment="1">
      <alignment vertical="center"/>
    </xf>
    <xf numFmtId="178" fontId="125" fillId="0" borderId="111" xfId="0" applyNumberFormat="1" applyFont="1" applyBorder="1" applyAlignment="1">
      <alignment vertical="center"/>
    </xf>
    <xf numFmtId="178" fontId="125" fillId="0" borderId="83" xfId="0" applyNumberFormat="1" applyFont="1" applyBorder="1" applyAlignment="1">
      <alignment vertical="center"/>
    </xf>
    <xf numFmtId="178" fontId="106" fillId="0" borderId="5" xfId="0" applyNumberFormat="1" applyFont="1" applyBorder="1" applyAlignment="1">
      <alignment vertical="center"/>
    </xf>
    <xf numFmtId="178" fontId="126" fillId="0" borderId="83" xfId="0" applyNumberFormat="1" applyFont="1" applyBorder="1" applyAlignment="1">
      <alignment vertical="center"/>
    </xf>
    <xf numFmtId="178" fontId="126" fillId="0" borderId="2" xfId="0" applyNumberFormat="1" applyFont="1" applyBorder="1" applyAlignment="1">
      <alignment vertical="center"/>
    </xf>
    <xf numFmtId="178" fontId="106" fillId="0" borderId="5" xfId="0" applyNumberFormat="1" applyFont="1" applyBorder="1" applyAlignment="1">
      <alignment horizontal="right" vertical="center"/>
    </xf>
    <xf numFmtId="178" fontId="106" fillId="0" borderId="2" xfId="0" applyNumberFormat="1" applyFont="1" applyBorder="1" applyAlignment="1">
      <alignment horizontal="right" vertical="center"/>
    </xf>
    <xf numFmtId="178" fontId="27" fillId="0" borderId="103" xfId="0" applyNumberFormat="1" applyFont="1" applyBorder="1" applyAlignment="1">
      <alignment horizontal="distributed" vertical="center"/>
    </xf>
    <xf numFmtId="178" fontId="33" fillId="4" borderId="103" xfId="0" applyNumberFormat="1" applyFont="1" applyFill="1" applyBorder="1" applyAlignment="1">
      <alignment horizontal="distributed" vertical="center"/>
    </xf>
    <xf numFmtId="178" fontId="22" fillId="0" borderId="103" xfId="0" applyNumberFormat="1" applyFont="1" applyBorder="1" applyAlignment="1">
      <alignment horizontal="distributed" vertical="center"/>
    </xf>
    <xf numFmtId="178" fontId="106" fillId="0" borderId="7" xfId="0" applyNumberFormat="1" applyFont="1" applyBorder="1" applyAlignment="1">
      <alignment vertical="center"/>
    </xf>
    <xf numFmtId="178" fontId="43" fillId="0" borderId="0" xfId="0" applyNumberFormat="1" applyFont="1" applyAlignment="1">
      <alignment vertical="center"/>
    </xf>
    <xf numFmtId="178" fontId="106" fillId="0" borderId="12" xfId="0" applyNumberFormat="1" applyFont="1" applyBorder="1" applyAlignment="1">
      <alignment vertical="center"/>
    </xf>
    <xf numFmtId="178" fontId="44" fillId="0" borderId="100" xfId="0" applyNumberFormat="1" applyFont="1" applyBorder="1" applyAlignment="1">
      <alignment vertical="center"/>
    </xf>
    <xf numFmtId="178" fontId="44" fillId="0" borderId="53" xfId="0" applyNumberFormat="1" applyFont="1" applyBorder="1" applyAlignment="1">
      <alignment vertical="center"/>
    </xf>
    <xf numFmtId="178" fontId="44" fillId="0" borderId="0" xfId="0" applyNumberFormat="1" applyFont="1" applyBorder="1" applyAlignment="1">
      <alignment vertical="center"/>
    </xf>
    <xf numFmtId="178" fontId="44" fillId="0" borderId="0" xfId="0" applyNumberFormat="1" applyFont="1" applyBorder="1" applyAlignment="1">
      <alignment horizontal="distributed" vertical="center"/>
    </xf>
    <xf numFmtId="178" fontId="44" fillId="0" borderId="85" xfId="0" applyNumberFormat="1" applyFont="1" applyBorder="1" applyAlignment="1">
      <alignment vertical="center"/>
    </xf>
    <xf numFmtId="178" fontId="59" fillId="0" borderId="9" xfId="0" applyNumberFormat="1" applyFont="1" applyBorder="1" applyAlignment="1">
      <alignment vertical="top"/>
    </xf>
    <xf numFmtId="178" fontId="51" fillId="0" borderId="9" xfId="0" applyNumberFormat="1" applyFont="1" applyBorder="1" applyAlignment="1">
      <alignment horizontal="left" vertical="top"/>
    </xf>
    <xf numFmtId="178" fontId="44" fillId="0" borderId="113" xfId="0" applyNumberFormat="1" applyFont="1" applyBorder="1" applyAlignment="1">
      <alignment horizontal="left" vertical="top"/>
    </xf>
    <xf numFmtId="178" fontId="43" fillId="0" borderId="0" xfId="0" applyNumberFormat="1" applyFont="1" applyAlignment="1">
      <alignment vertical="top"/>
    </xf>
    <xf numFmtId="178" fontId="44" fillId="0" borderId="61" xfId="0" applyNumberFormat="1" applyFont="1" applyBorder="1" applyAlignment="1">
      <alignment vertical="center"/>
    </xf>
    <xf numFmtId="178" fontId="59" fillId="0" borderId="115" xfId="0" applyNumberFormat="1" applyFont="1" applyBorder="1" applyAlignment="1">
      <alignment vertical="top"/>
    </xf>
    <xf numFmtId="178" fontId="59" fillId="0" borderId="41" xfId="0" applyNumberFormat="1" applyFont="1" applyBorder="1" applyAlignment="1">
      <alignment vertical="top"/>
    </xf>
    <xf numFmtId="176" fontId="93" fillId="0" borderId="0" xfId="1" applyFont="1" applyBorder="1" applyAlignment="1" applyProtection="1">
      <alignment horizontal="center"/>
    </xf>
    <xf numFmtId="176" fontId="95" fillId="0" borderId="0" xfId="1" applyFont="1" applyBorder="1" applyAlignment="1" applyProtection="1">
      <alignment horizontal="distributed"/>
    </xf>
    <xf numFmtId="176" fontId="92" fillId="0" borderId="0" xfId="1" applyFont="1" applyBorder="1" applyAlignment="1" applyProtection="1">
      <alignment vertical="center"/>
    </xf>
    <xf numFmtId="176" fontId="96" fillId="0" borderId="0" xfId="1" applyFont="1" applyBorder="1" applyAlignment="1" applyProtection="1">
      <alignment horizontal="center" vertical="center"/>
    </xf>
    <xf numFmtId="176" fontId="46" fillId="0" borderId="42" xfId="1" applyFont="1" applyBorder="1" applyAlignment="1" applyProtection="1">
      <alignment horizontal="center" vertical="center"/>
    </xf>
    <xf numFmtId="176" fontId="46" fillId="0" borderId="43" xfId="1" applyFont="1" applyBorder="1" applyAlignment="1" applyProtection="1">
      <alignment horizontal="center" vertical="center"/>
    </xf>
    <xf numFmtId="176" fontId="92" fillId="0" borderId="0" xfId="1" applyFont="1" applyBorder="1" applyAlignment="1" applyProtection="1">
      <alignment horizontal="center" vertical="center"/>
    </xf>
    <xf numFmtId="176" fontId="92" fillId="0" borderId="45" xfId="1" applyFont="1" applyBorder="1" applyAlignment="1" applyProtection="1">
      <alignment horizontal="center" vertical="center"/>
    </xf>
    <xf numFmtId="176" fontId="46" fillId="0" borderId="8" xfId="1" applyFont="1" applyBorder="1" applyAlignment="1" applyProtection="1">
      <alignment horizontal="right" vertical="center"/>
    </xf>
    <xf numFmtId="176" fontId="46" fillId="0" borderId="46" xfId="1" applyFont="1" applyBorder="1" applyAlignment="1" applyProtection="1">
      <alignment horizontal="right" vertical="center"/>
    </xf>
    <xf numFmtId="176" fontId="46" fillId="0" borderId="47" xfId="1" applyFont="1" applyBorder="1" applyAlignment="1" applyProtection="1">
      <alignment horizontal="right" vertical="center"/>
    </xf>
    <xf numFmtId="176" fontId="92" fillId="0" borderId="16" xfId="1" applyFont="1" applyBorder="1" applyAlignment="1" applyProtection="1">
      <alignment horizontal="center" vertical="center"/>
    </xf>
    <xf numFmtId="176" fontId="46" fillId="0" borderId="48" xfId="1" applyFont="1" applyBorder="1" applyAlignment="1" applyProtection="1">
      <alignment horizontal="right" vertical="center"/>
    </xf>
    <xf numFmtId="176" fontId="97" fillId="0" borderId="45" xfId="1" applyFont="1" applyBorder="1" applyAlignment="1" applyProtection="1">
      <alignment horizontal="left" vertical="center"/>
    </xf>
    <xf numFmtId="176" fontId="92" fillId="0" borderId="8" xfId="1" applyFont="1" applyBorder="1" applyAlignment="1" applyProtection="1">
      <alignment horizontal="center" vertical="center"/>
    </xf>
    <xf numFmtId="176" fontId="92" fillId="0" borderId="46" xfId="1" applyFont="1" applyBorder="1" applyAlignment="1" applyProtection="1">
      <alignment horizontal="center" vertical="center"/>
    </xf>
    <xf numFmtId="176" fontId="92" fillId="0" borderId="47" xfId="1" applyFont="1" applyBorder="1" applyAlignment="1" applyProtection="1">
      <alignment vertical="center"/>
    </xf>
    <xf numFmtId="176" fontId="97" fillId="0" borderId="16" xfId="1" applyFont="1" applyBorder="1" applyAlignment="1" applyProtection="1">
      <alignment horizontal="left" vertical="center"/>
    </xf>
    <xf numFmtId="176" fontId="92" fillId="0" borderId="8" xfId="1" applyFont="1" applyBorder="1" applyAlignment="1" applyProtection="1">
      <alignment vertical="center"/>
    </xf>
    <xf numFmtId="176" fontId="92" fillId="0" borderId="10" xfId="1" applyFont="1" applyBorder="1" applyAlignment="1" applyProtection="1">
      <alignment vertical="center"/>
    </xf>
    <xf numFmtId="176" fontId="92" fillId="0" borderId="49" xfId="1" applyFont="1" applyBorder="1" applyAlignment="1" applyProtection="1">
      <alignment vertical="center"/>
    </xf>
    <xf numFmtId="176" fontId="46" fillId="0" borderId="45" xfId="1" applyFont="1" applyBorder="1" applyAlignment="1" applyProtection="1">
      <alignment horizontal="left" vertical="center" indent="1"/>
    </xf>
    <xf numFmtId="176" fontId="46" fillId="0" borderId="16" xfId="1" applyFont="1" applyBorder="1" applyAlignment="1" applyProtection="1">
      <alignment horizontal="left" vertical="center" indent="1"/>
    </xf>
    <xf numFmtId="176" fontId="92" fillId="0" borderId="8" xfId="1" applyFont="1" applyBorder="1" applyAlignment="1" applyProtection="1"/>
    <xf numFmtId="176" fontId="92" fillId="0" borderId="46" xfId="1" applyFont="1" applyBorder="1" applyAlignment="1" applyProtection="1">
      <alignment vertical="center"/>
    </xf>
    <xf numFmtId="176" fontId="92" fillId="0" borderId="47" xfId="1" applyFont="1" applyBorder="1" applyAlignment="1" applyProtection="1"/>
    <xf numFmtId="176" fontId="92" fillId="0" borderId="61" xfId="1" applyFont="1" applyBorder="1" applyAlignment="1" applyProtection="1">
      <alignment vertical="center"/>
    </xf>
    <xf numFmtId="176" fontId="151" fillId="0" borderId="67" xfId="1" applyFont="1" applyBorder="1" applyAlignment="1" applyProtection="1">
      <alignment horizontal="distributed" vertical="center"/>
    </xf>
    <xf numFmtId="176" fontId="77" fillId="0" borderId="67" xfId="1" applyFont="1" applyBorder="1" applyAlignment="1" applyProtection="1">
      <alignment horizontal="distributed" vertical="center"/>
    </xf>
    <xf numFmtId="176" fontId="92" fillId="0" borderId="67" xfId="1" applyFont="1" applyBorder="1" applyAlignment="1" applyProtection="1">
      <alignment horizontal="distributed" vertical="center"/>
    </xf>
    <xf numFmtId="176" fontId="97" fillId="0" borderId="67" xfId="1" applyFont="1" applyBorder="1" applyAlignment="1" applyProtection="1">
      <alignment horizontal="left" vertical="center"/>
    </xf>
    <xf numFmtId="176" fontId="46" fillId="0" borderId="45" xfId="1" applyFont="1" applyBorder="1" applyAlignment="1" applyProtection="1">
      <alignment horizontal="distributed" vertical="center" wrapText="1"/>
    </xf>
    <xf numFmtId="176" fontId="46" fillId="0" borderId="67" xfId="1" applyFont="1" applyBorder="1" applyAlignment="1" applyProtection="1">
      <alignment horizontal="distributed" vertical="center"/>
    </xf>
    <xf numFmtId="176" fontId="48" fillId="0" borderId="67" xfId="1" applyFont="1" applyBorder="1" applyAlignment="1" applyProtection="1">
      <alignment horizontal="left" vertical="center" indent="1"/>
    </xf>
    <xf numFmtId="176" fontId="48" fillId="0" borderId="67" xfId="1" applyFont="1" applyBorder="1" applyAlignment="1" applyProtection="1">
      <alignment horizontal="left" vertical="center" indent="1" shrinkToFit="1"/>
    </xf>
    <xf numFmtId="176" fontId="48" fillId="0" borderId="45" xfId="1" applyFont="1" applyBorder="1" applyAlignment="1" applyProtection="1">
      <alignment horizontal="distributed" vertical="center" wrapText="1" shrinkToFit="1"/>
    </xf>
    <xf numFmtId="176" fontId="92" fillId="0" borderId="61" xfId="1" applyFont="1" applyBorder="1" applyAlignment="1" applyProtection="1"/>
    <xf numFmtId="176" fontId="92" fillId="0" borderId="46" xfId="1" applyFont="1" applyBorder="1" applyAlignment="1" applyProtection="1"/>
    <xf numFmtId="0" fontId="77" fillId="0" borderId="67" xfId="0" applyFont="1" applyBorder="1" applyAlignment="1">
      <alignment horizontal="distributed" vertical="center"/>
    </xf>
    <xf numFmtId="176" fontId="92" fillId="0" borderId="16" xfId="1" applyFont="1" applyBorder="1" applyAlignment="1" applyProtection="1">
      <alignment horizontal="right" vertical="center"/>
    </xf>
    <xf numFmtId="176" fontId="92" fillId="0" borderId="10" xfId="1" applyFont="1" applyBorder="1" applyAlignment="1" applyProtection="1">
      <alignment horizontal="right" vertical="center"/>
    </xf>
    <xf numFmtId="208" fontId="92" fillId="0" borderId="0" xfId="0" applyNumberFormat="1" applyFont="1"/>
    <xf numFmtId="178" fontId="92" fillId="0" borderId="8" xfId="0" applyNumberFormat="1" applyFont="1" applyBorder="1" applyAlignment="1">
      <alignment horizontal="right" vertical="center"/>
    </xf>
    <xf numFmtId="0" fontId="48" fillId="0" borderId="45" xfId="0" applyFont="1" applyBorder="1" applyAlignment="1">
      <alignment horizontal="left" vertical="center" indent="1" shrinkToFit="1"/>
    </xf>
    <xf numFmtId="0" fontId="48" fillId="0" borderId="45" xfId="0" applyFont="1" applyBorder="1" applyAlignment="1">
      <alignment horizontal="left" vertical="center" wrapText="1" indent="1"/>
    </xf>
    <xf numFmtId="178" fontId="46" fillId="0" borderId="16" xfId="0" applyNumberFormat="1" applyFont="1" applyBorder="1" applyAlignment="1">
      <alignment horizontal="distributed" vertical="center" wrapText="1"/>
    </xf>
    <xf numFmtId="178" fontId="48" fillId="0" borderId="16" xfId="0" applyNumberFormat="1" applyFont="1" applyBorder="1" applyAlignment="1">
      <alignment horizontal="left" vertical="center" wrapText="1" indent="1"/>
    </xf>
    <xf numFmtId="0" fontId="48" fillId="0" borderId="16" xfId="0" applyFont="1" applyBorder="1" applyAlignment="1">
      <alignment horizontal="left" vertical="center" wrapText="1" indent="1"/>
    </xf>
    <xf numFmtId="0" fontId="92" fillId="0" borderId="61" xfId="0" applyFont="1" applyBorder="1"/>
    <xf numFmtId="0" fontId="92" fillId="0" borderId="47" xfId="0" applyFont="1" applyBorder="1"/>
    <xf numFmtId="0" fontId="64" fillId="0" borderId="0" xfId="0" applyFont="1" applyBorder="1" applyAlignment="1">
      <alignment vertical="center"/>
    </xf>
    <xf numFmtId="0" fontId="64" fillId="0" borderId="89" xfId="0" applyFont="1" applyBorder="1" applyAlignment="1">
      <alignment horizontal="right" vertical="center"/>
    </xf>
    <xf numFmtId="178" fontId="59" fillId="0" borderId="89" xfId="0" applyNumberFormat="1" applyFont="1" applyBorder="1" applyAlignment="1">
      <alignment vertical="center"/>
    </xf>
    <xf numFmtId="0" fontId="64" fillId="0" borderId="0" xfId="0" applyFont="1" applyBorder="1" applyAlignment="1">
      <alignment horizontal="center" vertical="center"/>
    </xf>
    <xf numFmtId="178" fontId="64" fillId="0" borderId="0" xfId="0" applyNumberFormat="1" applyFont="1" applyBorder="1" applyAlignment="1">
      <alignment horizontal="right" vertical="center"/>
    </xf>
    <xf numFmtId="178" fontId="64" fillId="0" borderId="0" xfId="0" applyNumberFormat="1" applyFont="1" applyBorder="1" applyAlignment="1">
      <alignment horizontal="left" vertical="center"/>
    </xf>
    <xf numFmtId="178" fontId="64" fillId="0" borderId="0" xfId="0" applyNumberFormat="1" applyFont="1" applyBorder="1" applyAlignment="1">
      <alignment horizontal="center" vertical="center"/>
    </xf>
    <xf numFmtId="0" fontId="64" fillId="0" borderId="0" xfId="0" applyFont="1" applyBorder="1" applyAlignment="1">
      <alignment horizontal="distributed" vertical="center"/>
    </xf>
    <xf numFmtId="0" fontId="54" fillId="0" borderId="15" xfId="0" applyFont="1" applyBorder="1" applyAlignment="1">
      <alignment vertical="center"/>
    </xf>
    <xf numFmtId="178" fontId="59" fillId="0" borderId="15" xfId="0" applyNumberFormat="1" applyFont="1" applyBorder="1" applyAlignment="1">
      <alignment horizontal="left" vertical="center"/>
    </xf>
    <xf numFmtId="178" fontId="59" fillId="0" borderId="3" xfId="0" applyNumberFormat="1" applyFont="1" applyBorder="1" applyAlignment="1">
      <alignment vertical="center"/>
    </xf>
    <xf numFmtId="178" fontId="59" fillId="0" borderId="3" xfId="0" applyNumberFormat="1" applyFont="1" applyBorder="1" applyAlignment="1">
      <alignment horizontal="left" vertical="center"/>
    </xf>
    <xf numFmtId="0" fontId="92" fillId="0" borderId="11" xfId="0" applyFont="1" applyBorder="1" applyAlignment="1">
      <alignment horizontal="left" vertical="center" wrapText="1"/>
    </xf>
    <xf numFmtId="0" fontId="92" fillId="0" borderId="4" xfId="0" applyFont="1" applyBorder="1" applyAlignment="1">
      <alignment horizontal="left" vertical="center" wrapText="1"/>
    </xf>
    <xf numFmtId="0" fontId="92" fillId="0" borderId="80" xfId="0" applyFont="1" applyBorder="1" applyAlignment="1">
      <alignment horizontal="left" vertical="center" wrapText="1"/>
    </xf>
    <xf numFmtId="0" fontId="92" fillId="0" borderId="0" xfId="0" applyFont="1" applyBorder="1" applyAlignment="1">
      <alignment horizontal="left" vertical="center" wrapText="1"/>
    </xf>
    <xf numFmtId="0" fontId="54" fillId="0" borderId="0" xfId="0" applyFont="1" applyBorder="1" applyAlignment="1">
      <alignment horizontal="right" vertical="center"/>
    </xf>
    <xf numFmtId="0" fontId="54" fillId="0" borderId="0" xfId="0" applyFont="1" applyBorder="1" applyAlignment="1">
      <alignment horizontal="left" vertical="center"/>
    </xf>
    <xf numFmtId="0" fontId="92" fillId="0" borderId="10" xfId="0" applyFont="1" applyBorder="1" applyAlignment="1">
      <alignment horizontal="right" vertical="center" wrapText="1"/>
    </xf>
    <xf numFmtId="0" fontId="92" fillId="0" borderId="0" xfId="0" applyFont="1" applyBorder="1" applyAlignment="1">
      <alignment horizontal="right" vertical="center" wrapText="1"/>
    </xf>
    <xf numFmtId="0" fontId="92" fillId="0" borderId="85" xfId="0" applyFont="1" applyBorder="1" applyAlignment="1">
      <alignment horizontal="right" vertical="center" wrapText="1"/>
    </xf>
    <xf numFmtId="0" fontId="54" fillId="0" borderId="0" xfId="0" applyFont="1" applyBorder="1" applyAlignment="1">
      <alignment horizontal="right"/>
    </xf>
    <xf numFmtId="49" fontId="64" fillId="0" borderId="11" xfId="0" applyNumberFormat="1" applyFont="1" applyBorder="1" applyAlignment="1">
      <alignment horizontal="center" vertical="center" wrapText="1"/>
    </xf>
    <xf numFmtId="49" fontId="64" fillId="0" borderId="4" xfId="0" applyNumberFormat="1" applyFont="1" applyBorder="1" applyAlignment="1">
      <alignment horizontal="center" vertical="center" wrapText="1"/>
    </xf>
    <xf numFmtId="49" fontId="64" fillId="0" borderId="80" xfId="0" applyNumberFormat="1" applyFont="1" applyBorder="1" applyAlignment="1">
      <alignment horizontal="center" vertical="center" wrapText="1"/>
    </xf>
    <xf numFmtId="49" fontId="92" fillId="0" borderId="10" xfId="0" applyNumberFormat="1" applyFont="1" applyBorder="1" applyAlignment="1">
      <alignment horizontal="center" vertical="center" wrapText="1"/>
    </xf>
    <xf numFmtId="49" fontId="92" fillId="0" borderId="0" xfId="0" applyNumberFormat="1" applyFont="1" applyBorder="1" applyAlignment="1">
      <alignment horizontal="center" vertical="center" wrapText="1"/>
    </xf>
    <xf numFmtId="49" fontId="92" fillId="0" borderId="85" xfId="0" applyNumberFormat="1" applyFont="1" applyBorder="1" applyAlignment="1">
      <alignment horizontal="center" vertical="center" wrapText="1"/>
    </xf>
    <xf numFmtId="0" fontId="92" fillId="0" borderId="11" xfId="0" applyFont="1" applyBorder="1" applyAlignment="1">
      <alignment horizontal="distributed" vertical="center"/>
    </xf>
    <xf numFmtId="0" fontId="92" fillId="0" borderId="4" xfId="0" applyFont="1" applyBorder="1" applyAlignment="1">
      <alignment horizontal="distributed" vertical="center"/>
    </xf>
    <xf numFmtId="0" fontId="92" fillId="0" borderId="80" xfId="0" applyFont="1" applyBorder="1" applyAlignment="1">
      <alignment horizontal="distributed" vertical="center"/>
    </xf>
    <xf numFmtId="0" fontId="64" fillId="0" borderId="14" xfId="0" applyFont="1" applyBorder="1" applyAlignment="1">
      <alignment horizontal="left" vertical="center" wrapText="1"/>
    </xf>
    <xf numFmtId="0" fontId="64" fillId="0" borderId="9" xfId="0" applyFont="1" applyBorder="1" applyAlignment="1">
      <alignment horizontal="left" vertical="center" wrapText="1"/>
    </xf>
    <xf numFmtId="0" fontId="64" fillId="0" borderId="113" xfId="0" applyFont="1" applyBorder="1" applyAlignment="1">
      <alignment horizontal="left" vertical="center" wrapText="1"/>
    </xf>
    <xf numFmtId="0" fontId="64" fillId="0" borderId="0" xfId="0" applyFont="1" applyBorder="1" applyAlignment="1">
      <alignment horizontal="center" vertical="center" wrapText="1"/>
    </xf>
    <xf numFmtId="0" fontId="59" fillId="0" borderId="14" xfId="0" applyFont="1" applyBorder="1" applyAlignment="1">
      <alignment horizontal="left" vertical="center" wrapText="1"/>
    </xf>
    <xf numFmtId="0" fontId="59" fillId="0" borderId="9" xfId="0" applyFont="1" applyBorder="1" applyAlignment="1">
      <alignment horizontal="left" vertical="center" wrapText="1"/>
    </xf>
    <xf numFmtId="0" fontId="59" fillId="0" borderId="113" xfId="0" applyFont="1" applyBorder="1" applyAlignment="1">
      <alignment horizontal="left" vertical="center" wrapText="1"/>
    </xf>
    <xf numFmtId="49" fontId="51" fillId="0" borderId="0" xfId="0" applyNumberFormat="1" applyFont="1" applyBorder="1" applyAlignment="1">
      <alignment horizontal="center" vertical="center"/>
    </xf>
    <xf numFmtId="0" fontId="59" fillId="0" borderId="0" xfId="0" applyFont="1" applyBorder="1" applyAlignment="1">
      <alignment horizontal="left" vertical="center"/>
    </xf>
    <xf numFmtId="0" fontId="46" fillId="0" borderId="0" xfId="0" applyFont="1" applyBorder="1" applyAlignment="1">
      <alignment horizontal="left" vertical="center"/>
    </xf>
    <xf numFmtId="0" fontId="64" fillId="0" borderId="0" xfId="0" applyFont="1" applyBorder="1" applyAlignment="1">
      <alignment horizontal="left" vertical="center"/>
    </xf>
    <xf numFmtId="199" fontId="64" fillId="0" borderId="0" xfId="0" applyNumberFormat="1" applyFont="1" applyBorder="1" applyAlignment="1">
      <alignment horizontal="left" vertical="center"/>
    </xf>
    <xf numFmtId="178" fontId="59" fillId="0" borderId="75" xfId="0" applyNumberFormat="1" applyFont="1" applyBorder="1" applyAlignment="1">
      <alignment horizontal="right" vertical="center"/>
    </xf>
    <xf numFmtId="0" fontId="51" fillId="0" borderId="75" xfId="0" applyFont="1" applyBorder="1" applyAlignment="1">
      <alignment vertical="center"/>
    </xf>
    <xf numFmtId="178" fontId="33" fillId="0" borderId="99" xfId="0" applyNumberFormat="1" applyFont="1" applyBorder="1" applyAlignment="1">
      <alignment horizontal="right" vertical="center"/>
    </xf>
    <xf numFmtId="178" fontId="126" fillId="0" borderId="2" xfId="0" applyNumberFormat="1" applyFont="1" applyBorder="1" applyAlignment="1">
      <alignment vertical="center"/>
    </xf>
    <xf numFmtId="178" fontId="126" fillId="0" borderId="91" xfId="0" applyNumberFormat="1" applyFont="1" applyBorder="1" applyAlignment="1">
      <alignment vertical="center"/>
    </xf>
    <xf numFmtId="178" fontId="64" fillId="0" borderId="106" xfId="0" applyNumberFormat="1" applyFont="1" applyBorder="1" applyAlignment="1">
      <alignment vertical="center"/>
    </xf>
    <xf numFmtId="178" fontId="64" fillId="0" borderId="107" xfId="0" applyNumberFormat="1" applyFont="1" applyBorder="1" applyAlignment="1">
      <alignment vertical="center"/>
    </xf>
    <xf numFmtId="178" fontId="64" fillId="0" borderId="108" xfId="0" applyNumberFormat="1" applyFont="1" applyBorder="1" applyAlignment="1">
      <alignment vertical="center"/>
    </xf>
    <xf numFmtId="178" fontId="64" fillId="0" borderId="110" xfId="0" applyNumberFormat="1" applyFont="1" applyBorder="1" applyAlignment="1">
      <alignment vertical="center"/>
    </xf>
    <xf numFmtId="178" fontId="64" fillId="0" borderId="111" xfId="0" applyNumberFormat="1" applyFont="1" applyBorder="1" applyAlignment="1">
      <alignment vertical="center"/>
    </xf>
    <xf numFmtId="178" fontId="64" fillId="0" borderId="2" xfId="0" applyNumberFormat="1" applyFont="1" applyBorder="1" applyAlignment="1">
      <alignment horizontal="right" vertical="center"/>
    </xf>
    <xf numFmtId="178" fontId="64" fillId="0" borderId="129" xfId="0" applyNumberFormat="1" applyFont="1" applyBorder="1" applyAlignment="1">
      <alignment vertical="center"/>
    </xf>
    <xf numFmtId="178" fontId="64" fillId="0" borderId="137" xfId="0" applyNumberFormat="1" applyFont="1" applyBorder="1" applyAlignment="1">
      <alignment vertical="center"/>
    </xf>
    <xf numFmtId="178" fontId="64" fillId="0" borderId="12" xfId="0" applyNumberFormat="1" applyFont="1" applyBorder="1" applyAlignment="1">
      <alignment vertical="center"/>
    </xf>
    <xf numFmtId="178" fontId="59" fillId="0" borderId="53" xfId="0" applyNumberFormat="1" applyFont="1" applyBorder="1" applyAlignment="1">
      <alignment horizontal="distributed" vertical="center"/>
    </xf>
    <xf numFmtId="178" fontId="59" fillId="0" borderId="101" xfId="0" applyNumberFormat="1" applyFont="1" applyBorder="1" applyAlignment="1">
      <alignment vertical="center"/>
    </xf>
    <xf numFmtId="178" fontId="59" fillId="0" borderId="113" xfId="0" applyNumberFormat="1" applyFont="1" applyBorder="1" applyAlignment="1">
      <alignment horizontal="left" vertical="top"/>
    </xf>
    <xf numFmtId="49" fontId="59" fillId="0" borderId="61" xfId="0" applyNumberFormat="1" applyFont="1" applyBorder="1" applyAlignment="1">
      <alignment horizontal="center" vertical="top"/>
    </xf>
    <xf numFmtId="49" fontId="59" fillId="0" borderId="0" xfId="0" applyNumberFormat="1" applyFont="1" applyBorder="1" applyAlignment="1">
      <alignment horizontal="center" vertical="top"/>
    </xf>
    <xf numFmtId="178" fontId="59" fillId="0" borderId="0" xfId="0" applyNumberFormat="1" applyFont="1" applyBorder="1" applyAlignment="1">
      <alignment vertical="top"/>
    </xf>
    <xf numFmtId="178" fontId="59" fillId="0" borderId="0" xfId="0" applyNumberFormat="1" applyFont="1" applyBorder="1" applyAlignment="1">
      <alignment horizontal="left" vertical="top"/>
    </xf>
    <xf numFmtId="178" fontId="59" fillId="0" borderId="85" xfId="0" applyNumberFormat="1" applyFont="1" applyBorder="1" applyAlignment="1">
      <alignment horizontal="left" vertical="top"/>
    </xf>
    <xf numFmtId="0" fontId="28" fillId="0" borderId="42" xfId="0" applyFont="1" applyBorder="1" applyAlignment="1">
      <alignment horizontal="center" vertical="center"/>
    </xf>
    <xf numFmtId="0" fontId="28" fillId="0" borderId="43" xfId="0" applyFont="1" applyBorder="1" applyAlignment="1">
      <alignment horizontal="center" vertical="center"/>
    </xf>
    <xf numFmtId="222" fontId="72" fillId="0" borderId="10" xfId="0" applyNumberFormat="1" applyFont="1" applyBorder="1" applyAlignment="1">
      <alignment vertical="center"/>
    </xf>
    <xf numFmtId="0" fontId="46" fillId="0" borderId="45" xfId="0" applyFont="1" applyBorder="1" applyAlignment="1">
      <alignment horizontal="center" vertical="center" shrinkToFit="1"/>
    </xf>
    <xf numFmtId="0" fontId="28" fillId="0" borderId="0" xfId="0" applyFont="1" applyBorder="1" applyAlignment="1">
      <alignment horizontal="left" vertical="center"/>
    </xf>
    <xf numFmtId="0" fontId="153" fillId="0" borderId="47" xfId="0" applyFont="1" applyBorder="1" applyAlignment="1">
      <alignment horizontal="right" vertical="center"/>
    </xf>
    <xf numFmtId="178" fontId="72" fillId="0" borderId="8" xfId="0" applyNumberFormat="1" applyFont="1" applyBorder="1" applyAlignment="1">
      <alignment horizontal="right" vertical="center"/>
    </xf>
    <xf numFmtId="0" fontId="92" fillId="0" borderId="67" xfId="0" applyFont="1" applyBorder="1" applyAlignment="1">
      <alignment horizontal="left" vertical="center" wrapText="1" indent="1"/>
    </xf>
    <xf numFmtId="0" fontId="46" fillId="0" borderId="67" xfId="0" applyFont="1" applyBorder="1" applyAlignment="1">
      <alignment horizontal="distributed" vertical="center" wrapText="1"/>
    </xf>
    <xf numFmtId="0" fontId="46" fillId="0" borderId="16" xfId="0" applyFont="1" applyBorder="1" applyAlignment="1">
      <alignment horizontal="left" vertical="center"/>
    </xf>
    <xf numFmtId="0" fontId="46" fillId="0" borderId="67" xfId="0" applyFont="1" applyBorder="1" applyAlignment="1">
      <alignment vertical="center" wrapText="1"/>
    </xf>
    <xf numFmtId="178" fontId="115" fillId="0" borderId="8" xfId="0" applyNumberFormat="1" applyFont="1" applyBorder="1" applyAlignment="1">
      <alignment vertical="center"/>
    </xf>
    <xf numFmtId="0" fontId="48" fillId="0" borderId="45" xfId="0" applyFont="1" applyBorder="1" applyAlignment="1">
      <alignment vertical="center"/>
    </xf>
    <xf numFmtId="0" fontId="92" fillId="0" borderId="67" xfId="0" applyFont="1" applyBorder="1" applyAlignment="1">
      <alignment horizontal="right" vertical="center" shrinkToFit="1"/>
    </xf>
    <xf numFmtId="0" fontId="92" fillId="0" borderId="16" xfId="0" applyFont="1" applyBorder="1" applyAlignment="1">
      <alignment horizontal="right" vertical="center" shrinkToFit="1"/>
    </xf>
    <xf numFmtId="178" fontId="92" fillId="0" borderId="45" xfId="0" applyNumberFormat="1" applyFont="1" applyBorder="1" applyAlignment="1">
      <alignment horizontal="left" vertical="center" wrapText="1" indent="1"/>
    </xf>
    <xf numFmtId="178" fontId="92" fillId="0" borderId="16" xfId="0" applyNumberFormat="1" applyFont="1" applyBorder="1" applyAlignment="1">
      <alignment horizontal="left" vertical="center" wrapText="1" indent="1"/>
    </xf>
    <xf numFmtId="0" fontId="59" fillId="0" borderId="0" xfId="0" applyFont="1" applyBorder="1" applyAlignment="1">
      <alignment vertical="top"/>
    </xf>
    <xf numFmtId="0" fontId="54" fillId="0" borderId="53" xfId="0" applyFont="1" applyBorder="1" applyAlignment="1">
      <alignment horizontal="center" vertical="center"/>
    </xf>
    <xf numFmtId="178" fontId="54" fillId="0" borderId="53" xfId="0" applyNumberFormat="1" applyFont="1" applyBorder="1" applyAlignment="1">
      <alignment horizontal="right" vertical="center"/>
    </xf>
    <xf numFmtId="178" fontId="54" fillId="0" borderId="53" xfId="0" applyNumberFormat="1" applyFont="1" applyBorder="1" applyAlignment="1">
      <alignment horizontal="left" vertical="center"/>
    </xf>
    <xf numFmtId="178" fontId="54" fillId="0" borderId="0" xfId="0" applyNumberFormat="1" applyFont="1" applyBorder="1" applyAlignment="1">
      <alignment horizontal="right" vertical="center"/>
    </xf>
    <xf numFmtId="0" fontId="54" fillId="0" borderId="0" xfId="0" applyFont="1" applyBorder="1" applyAlignment="1">
      <alignment horizontal="distributed"/>
    </xf>
    <xf numFmtId="178" fontId="54" fillId="0" borderId="0" xfId="0" applyNumberFormat="1" applyFont="1" applyBorder="1" applyAlignment="1">
      <alignment horizontal="right"/>
    </xf>
    <xf numFmtId="178" fontId="44" fillId="0" borderId="3" xfId="0" applyNumberFormat="1" applyFont="1" applyBorder="1" applyAlignment="1">
      <alignment vertical="center"/>
    </xf>
    <xf numFmtId="178" fontId="44" fillId="0" borderId="16" xfId="0" applyNumberFormat="1" applyFont="1" applyBorder="1" applyAlignment="1">
      <alignment vertical="center"/>
    </xf>
    <xf numFmtId="0" fontId="104" fillId="0" borderId="0" xfId="0" applyFont="1" applyBorder="1" applyAlignment="1">
      <alignment horizontal="center" vertical="center"/>
    </xf>
    <xf numFmtId="0" fontId="51" fillId="0" borderId="40" xfId="0" applyFont="1" applyBorder="1" applyAlignment="1">
      <alignment vertical="center"/>
    </xf>
    <xf numFmtId="178" fontId="125" fillId="0" borderId="81" xfId="0" applyNumberFormat="1" applyFont="1" applyBorder="1" applyAlignment="1">
      <alignment vertical="center"/>
    </xf>
    <xf numFmtId="178" fontId="106" fillId="0" borderId="6" xfId="0" applyNumberFormat="1" applyFont="1" applyBorder="1" applyAlignment="1">
      <alignment vertical="center"/>
    </xf>
    <xf numFmtId="178" fontId="89" fillId="0" borderId="14" xfId="0" applyNumberFormat="1" applyFont="1" applyBorder="1" applyAlignment="1">
      <alignment vertical="center"/>
    </xf>
    <xf numFmtId="178" fontId="51" fillId="0" borderId="105" xfId="0" applyNumberFormat="1" applyFont="1" applyBorder="1" applyAlignment="1">
      <alignment horizontal="distributed" vertical="center"/>
    </xf>
    <xf numFmtId="178" fontId="106" fillId="0" borderId="15" xfId="0" applyNumberFormat="1" applyFont="1" applyBorder="1" applyAlignment="1">
      <alignment vertical="center"/>
    </xf>
    <xf numFmtId="178" fontId="125" fillId="0" borderId="83" xfId="0" applyNumberFormat="1" applyFont="1" applyBorder="1" applyAlignment="1">
      <alignment vertical="center"/>
    </xf>
    <xf numFmtId="178" fontId="51" fillId="0" borderId="103" xfId="0" applyNumberFormat="1" applyFont="1" applyBorder="1" applyAlignment="1">
      <alignment horizontal="distributed" vertical="center"/>
    </xf>
    <xf numFmtId="178" fontId="106" fillId="0" borderId="3" xfId="0" applyNumberFormat="1" applyFont="1" applyBorder="1" applyAlignment="1">
      <alignment vertical="center"/>
    </xf>
    <xf numFmtId="178" fontId="106" fillId="0" borderId="2" xfId="0" applyNumberFormat="1" applyFont="1" applyBorder="1" applyAlignment="1">
      <alignment vertical="center"/>
    </xf>
    <xf numFmtId="222" fontId="89" fillId="0" borderId="2" xfId="0" applyNumberFormat="1" applyFont="1" applyBorder="1" applyAlignment="1">
      <alignment vertical="center"/>
    </xf>
    <xf numFmtId="222" fontId="106" fillId="0" borderId="2" xfId="0" applyNumberFormat="1" applyFont="1" applyBorder="1" applyAlignment="1">
      <alignment vertical="center"/>
    </xf>
    <xf numFmtId="178" fontId="125" fillId="0" borderId="91" xfId="0" applyNumberFormat="1" applyFont="1" applyBorder="1" applyAlignment="1">
      <alignment vertical="center"/>
    </xf>
    <xf numFmtId="178" fontId="106" fillId="0" borderId="7" xfId="0" applyNumberFormat="1" applyFont="1" applyBorder="1" applyAlignment="1">
      <alignment vertical="center"/>
    </xf>
    <xf numFmtId="222" fontId="89" fillId="0" borderId="3" xfId="0" applyNumberFormat="1" applyFont="1" applyBorder="1" applyAlignment="1">
      <alignment vertical="center"/>
    </xf>
    <xf numFmtId="178" fontId="125" fillId="0" borderId="106" xfId="0" applyNumberFormat="1" applyFont="1" applyBorder="1" applyAlignment="1">
      <alignment vertical="center"/>
    </xf>
    <xf numFmtId="178" fontId="125" fillId="0" borderId="107" xfId="0" applyNumberFormat="1" applyFont="1" applyBorder="1" applyAlignment="1">
      <alignment vertical="center"/>
    </xf>
    <xf numFmtId="178" fontId="125" fillId="0" borderId="108" xfId="0" applyNumberFormat="1" applyFont="1" applyBorder="1" applyAlignment="1">
      <alignment vertical="center"/>
    </xf>
    <xf numFmtId="178" fontId="51" fillId="0" borderId="109" xfId="0" applyNumberFormat="1" applyFont="1" applyBorder="1" applyAlignment="1">
      <alignment horizontal="center" vertical="center"/>
    </xf>
    <xf numFmtId="178" fontId="125" fillId="0" borderId="110" xfId="0" applyNumberFormat="1" applyFont="1" applyBorder="1" applyAlignment="1">
      <alignment vertical="center"/>
    </xf>
    <xf numFmtId="178" fontId="125" fillId="0" borderId="111" xfId="0" applyNumberFormat="1" applyFont="1" applyBorder="1" applyAlignment="1">
      <alignment vertical="center"/>
    </xf>
    <xf numFmtId="222" fontId="89" fillId="0" borderId="6" xfId="0" applyNumberFormat="1" applyFont="1" applyBorder="1" applyAlignment="1">
      <alignment vertical="center"/>
    </xf>
    <xf numFmtId="178" fontId="126" fillId="0" borderId="83" xfId="0" applyNumberFormat="1" applyFont="1" applyBorder="1" applyAlignment="1">
      <alignment vertical="center"/>
    </xf>
    <xf numFmtId="178" fontId="126" fillId="0" borderId="7" xfId="0" applyNumberFormat="1" applyFont="1" applyBorder="1" applyAlignment="1">
      <alignment vertical="center"/>
    </xf>
    <xf numFmtId="222" fontId="89" fillId="0" borderId="12" xfId="0" applyNumberFormat="1" applyFont="1" applyBorder="1" applyAlignment="1">
      <alignment vertical="center"/>
    </xf>
    <xf numFmtId="178" fontId="106" fillId="0" borderId="12" xfId="0" applyNumberFormat="1" applyFont="1" applyBorder="1" applyAlignment="1">
      <alignment vertical="center"/>
    </xf>
    <xf numFmtId="178" fontId="125" fillId="0" borderId="46" xfId="0" applyNumberFormat="1" applyFont="1" applyBorder="1" applyAlignment="1">
      <alignment vertical="center"/>
    </xf>
    <xf numFmtId="178" fontId="89" fillId="0" borderId="112" xfId="0" applyNumberFormat="1" applyFont="1" applyBorder="1" applyAlignment="1">
      <alignment vertical="center"/>
    </xf>
    <xf numFmtId="222" fontId="89" fillId="0" borderId="16" xfId="0" applyNumberFormat="1" applyFont="1" applyBorder="1" applyAlignment="1">
      <alignment vertical="center"/>
    </xf>
    <xf numFmtId="178" fontId="64" fillId="0" borderId="8" xfId="0" applyNumberFormat="1" applyFont="1" applyBorder="1" applyAlignment="1">
      <alignment vertical="center"/>
    </xf>
    <xf numFmtId="178" fontId="106" fillId="0" borderId="165" xfId="0" applyNumberFormat="1" applyFont="1" applyBorder="1" applyAlignment="1">
      <alignment vertical="center"/>
    </xf>
    <xf numFmtId="178" fontId="64" fillId="0" borderId="97" xfId="0" applyNumberFormat="1" applyFont="1" applyBorder="1" applyAlignment="1">
      <alignment vertical="center"/>
    </xf>
    <xf numFmtId="188" fontId="18" fillId="5" borderId="2" xfId="0" applyNumberFormat="1" applyFont="1" applyFill="1" applyBorder="1" applyProtection="1">
      <protection locked="0"/>
    </xf>
    <xf numFmtId="189" fontId="18" fillId="5" borderId="2" xfId="0" applyNumberFormat="1" applyFont="1" applyFill="1" applyBorder="1" applyProtection="1">
      <protection locked="0"/>
    </xf>
    <xf numFmtId="178" fontId="18" fillId="0" borderId="8" xfId="0" applyNumberFormat="1" applyFont="1" applyBorder="1" applyAlignment="1" applyProtection="1">
      <alignment vertical="center"/>
      <protection locked="0"/>
    </xf>
    <xf numFmtId="178" fontId="18" fillId="0" borderId="2" xfId="0" applyNumberFormat="1" applyFont="1" applyBorder="1" applyAlignment="1" applyProtection="1">
      <alignment vertical="center"/>
      <protection locked="0"/>
    </xf>
    <xf numFmtId="178" fontId="18" fillId="0" borderId="12" xfId="0" applyNumberFormat="1" applyFont="1" applyBorder="1" applyAlignment="1" applyProtection="1">
      <alignment vertical="center"/>
      <protection locked="0"/>
    </xf>
    <xf numFmtId="178" fontId="18" fillId="0" borderId="2" xfId="3" applyNumberFormat="1" applyFont="1" applyBorder="1" applyAlignment="1" applyProtection="1">
      <alignment vertical="center"/>
      <protection locked="0"/>
    </xf>
    <xf numFmtId="178" fontId="92" fillId="0" borderId="0" xfId="0" applyNumberFormat="1" applyFont="1" applyBorder="1" applyAlignment="1" applyProtection="1">
      <alignment vertical="center"/>
      <protection locked="0"/>
    </xf>
    <xf numFmtId="178" fontId="46" fillId="0" borderId="0" xfId="0" applyNumberFormat="1" applyFont="1" applyBorder="1" applyAlignment="1" applyProtection="1">
      <alignment vertical="center"/>
      <protection locked="0"/>
    </xf>
    <xf numFmtId="178" fontId="64" fillId="0" borderId="14" xfId="0" applyNumberFormat="1" applyFont="1" applyBorder="1" applyAlignment="1" applyProtection="1">
      <alignment vertical="center"/>
      <protection locked="0"/>
    </xf>
    <xf numFmtId="178" fontId="64" fillId="0" borderId="7" xfId="0" applyNumberFormat="1" applyFont="1" applyBorder="1" applyAlignment="1" applyProtection="1">
      <alignment vertical="center"/>
      <protection locked="0"/>
    </xf>
    <xf numFmtId="178" fontId="64" fillId="0" borderId="3" xfId="0" applyNumberFormat="1" applyFont="1" applyBorder="1" applyAlignment="1" applyProtection="1">
      <alignment vertical="center"/>
      <protection locked="0"/>
    </xf>
    <xf numFmtId="178" fontId="64" fillId="2" borderId="3" xfId="0" applyNumberFormat="1" applyFont="1" applyFill="1" applyBorder="1" applyAlignment="1" applyProtection="1">
      <alignment vertical="center"/>
      <protection locked="0"/>
    </xf>
    <xf numFmtId="178" fontId="64" fillId="2" borderId="14" xfId="0" applyNumberFormat="1" applyFont="1" applyFill="1" applyBorder="1" applyAlignment="1" applyProtection="1">
      <alignment vertical="center"/>
      <protection locked="0"/>
    </xf>
    <xf numFmtId="178" fontId="64" fillId="2" borderId="6" xfId="0" applyNumberFormat="1" applyFont="1" applyFill="1" applyBorder="1" applyAlignment="1" applyProtection="1">
      <alignment vertical="center"/>
      <protection locked="0"/>
    </xf>
    <xf numFmtId="199" fontId="52" fillId="2" borderId="0" xfId="0" applyNumberFormat="1" applyFont="1" applyFill="1" applyProtection="1">
      <protection locked="0"/>
    </xf>
    <xf numFmtId="199" fontId="92" fillId="0" borderId="85" xfId="0" applyNumberFormat="1" applyFont="1" applyBorder="1" applyAlignment="1" applyProtection="1">
      <alignment vertical="center" wrapText="1"/>
      <protection locked="0"/>
    </xf>
    <xf numFmtId="3" fontId="125" fillId="0" borderId="5" xfId="0" applyNumberFormat="1" applyFont="1" applyBorder="1" applyAlignment="1" applyProtection="1">
      <alignment vertical="center" wrapText="1"/>
      <protection locked="0"/>
    </xf>
    <xf numFmtId="3" fontId="64" fillId="0" borderId="131" xfId="0" applyNumberFormat="1" applyFont="1" applyBorder="1" applyAlignment="1" applyProtection="1">
      <alignment vertical="center" wrapText="1"/>
      <protection locked="0"/>
    </xf>
    <xf numFmtId="3" fontId="64" fillId="0" borderId="129" xfId="0" applyNumberFormat="1" applyFont="1" applyBorder="1" applyAlignment="1" applyProtection="1">
      <alignment vertical="center" wrapText="1"/>
      <protection locked="0"/>
    </xf>
    <xf numFmtId="3" fontId="126" fillId="0" borderId="137" xfId="0" applyNumberFormat="1" applyFont="1" applyBorder="1" applyAlignment="1" applyProtection="1">
      <alignment vertical="center" wrapText="1"/>
      <protection locked="0"/>
    </xf>
    <xf numFmtId="3" fontId="89" fillId="0" borderId="143" xfId="0" applyNumberFormat="1" applyFont="1" applyBorder="1" applyAlignment="1" applyProtection="1">
      <alignment vertical="center" wrapText="1"/>
      <protection locked="0"/>
    </xf>
    <xf numFmtId="3" fontId="89" fillId="0" borderId="119" xfId="0" applyNumberFormat="1" applyFont="1" applyBorder="1" applyAlignment="1" applyProtection="1">
      <alignment vertical="center" wrapText="1"/>
      <protection locked="0"/>
    </xf>
    <xf numFmtId="3" fontId="125" fillId="0" borderId="130" xfId="0" applyNumberFormat="1" applyFont="1" applyBorder="1" applyAlignment="1" applyProtection="1">
      <alignment vertical="center" wrapText="1"/>
      <protection locked="0"/>
    </xf>
    <xf numFmtId="200" fontId="125" fillId="0" borderId="6" xfId="0" applyNumberFormat="1" applyFont="1" applyBorder="1" applyAlignment="1" applyProtection="1">
      <alignment vertical="center" wrapText="1"/>
      <protection locked="0"/>
    </xf>
    <xf numFmtId="3" fontId="125" fillId="0" borderId="151" xfId="0" applyNumberFormat="1" applyFont="1" applyBorder="1" applyAlignment="1" applyProtection="1">
      <alignment vertical="center" wrapText="1"/>
      <protection locked="0"/>
    </xf>
    <xf numFmtId="178" fontId="89" fillId="0" borderId="14" xfId="0" applyNumberFormat="1" applyFont="1" applyBorder="1" applyAlignment="1" applyProtection="1">
      <alignment vertical="center"/>
      <protection locked="0"/>
    </xf>
    <xf numFmtId="178" fontId="89" fillId="0" borderId="2" xfId="0" applyNumberFormat="1" applyFont="1" applyBorder="1" applyAlignment="1" applyProtection="1">
      <alignment vertical="center"/>
      <protection locked="0"/>
    </xf>
    <xf numFmtId="178" fontId="89" fillId="0" borderId="7" xfId="0" applyNumberFormat="1" applyFont="1" applyBorder="1" applyAlignment="1" applyProtection="1">
      <alignment vertical="center"/>
      <protection locked="0"/>
    </xf>
    <xf numFmtId="178" fontId="89" fillId="0" borderId="3" xfId="0" applyNumberFormat="1" applyFont="1" applyBorder="1" applyAlignment="1" applyProtection="1">
      <alignment vertical="center"/>
      <protection locked="0"/>
    </xf>
    <xf numFmtId="178" fontId="126" fillId="0" borderId="7" xfId="0" applyNumberFormat="1" applyFont="1" applyBorder="1" applyAlignment="1" applyProtection="1">
      <alignment vertical="center"/>
      <protection locked="0"/>
    </xf>
    <xf numFmtId="0" fontId="0" fillId="0" borderId="0" xfId="0" applyFont="1" applyFill="1" applyBorder="1"/>
    <xf numFmtId="0" fontId="157" fillId="28" borderId="0" xfId="0" applyFont="1" applyFill="1" applyBorder="1" applyAlignment="1">
      <alignment vertical="center"/>
    </xf>
    <xf numFmtId="0" fontId="210" fillId="29" borderId="22" xfId="0" applyFont="1" applyFill="1" applyBorder="1" applyAlignment="1">
      <alignment horizontal="center" vertical="center"/>
    </xf>
    <xf numFmtId="0" fontId="211" fillId="0" borderId="22" xfId="0" applyFont="1" applyFill="1" applyBorder="1" applyAlignment="1">
      <alignment horizontal="center" vertical="center"/>
    </xf>
    <xf numFmtId="0" fontId="212" fillId="16" borderId="22" xfId="0" applyFont="1" applyFill="1" applyBorder="1" applyAlignment="1">
      <alignment horizontal="left" vertical="center" indent="1"/>
    </xf>
    <xf numFmtId="224" fontId="167" fillId="2" borderId="174" xfId="0" applyNumberFormat="1" applyFont="1" applyFill="1" applyBorder="1" applyAlignment="1">
      <alignment horizontal="right" vertical="center"/>
    </xf>
    <xf numFmtId="225" fontId="167" fillId="2" borderId="174" xfId="0" applyNumberFormat="1" applyFont="1" applyFill="1" applyBorder="1" applyAlignment="1">
      <alignment horizontal="right" vertical="center"/>
    </xf>
    <xf numFmtId="226" fontId="167" fillId="2" borderId="174" xfId="0" applyNumberFormat="1" applyFont="1" applyFill="1" applyBorder="1" applyAlignment="1">
      <alignment horizontal="right" vertical="center"/>
    </xf>
    <xf numFmtId="227" fontId="167" fillId="2" borderId="174" xfId="0" applyNumberFormat="1" applyFont="1" applyFill="1" applyBorder="1" applyAlignment="1">
      <alignment horizontal="right" vertical="center"/>
    </xf>
    <xf numFmtId="0" fontId="212" fillId="0" borderId="22" xfId="0" applyFont="1" applyFill="1" applyBorder="1" applyAlignment="1">
      <alignment horizontal="left" vertical="center" indent="1"/>
    </xf>
    <xf numFmtId="0" fontId="213" fillId="16" borderId="22" xfId="0" applyFont="1" applyFill="1" applyBorder="1" applyAlignment="1">
      <alignment horizontal="left" vertical="center" indent="1"/>
    </xf>
    <xf numFmtId="0" fontId="210" fillId="0" borderId="22" xfId="0" applyFont="1" applyFill="1" applyBorder="1" applyAlignment="1">
      <alignment horizontal="center" vertical="center"/>
    </xf>
    <xf numFmtId="0" fontId="214" fillId="0" borderId="22" xfId="0" applyFont="1" applyFill="1" applyBorder="1" applyAlignment="1">
      <alignment horizontal="center" vertical="center"/>
    </xf>
    <xf numFmtId="0" fontId="213" fillId="0" borderId="22" xfId="0" applyFont="1" applyFill="1" applyBorder="1" applyAlignment="1">
      <alignment horizontal="left" vertical="center" indent="1"/>
    </xf>
    <xf numFmtId="1" fontId="213" fillId="16" borderId="22" xfId="0" applyNumberFormat="1" applyFont="1" applyFill="1" applyBorder="1" applyAlignment="1">
      <alignment horizontal="center" vertical="center"/>
    </xf>
    <xf numFmtId="3" fontId="215" fillId="16" borderId="22" xfId="0" applyNumberFormat="1" applyFont="1" applyFill="1" applyBorder="1" applyAlignment="1">
      <alignment horizontal="right" vertical="center"/>
    </xf>
    <xf numFmtId="0" fontId="212" fillId="0" borderId="22" xfId="0" applyFont="1" applyFill="1" applyBorder="1" applyAlignment="1">
      <alignment horizontal="center" vertical="center"/>
    </xf>
    <xf numFmtId="228" fontId="215" fillId="16" borderId="22" xfId="0" applyNumberFormat="1" applyFont="1" applyFill="1" applyBorder="1" applyAlignment="1">
      <alignment horizontal="right" vertical="center"/>
    </xf>
    <xf numFmtId="1" fontId="213" fillId="0" borderId="22" xfId="0" applyNumberFormat="1" applyFont="1" applyFill="1" applyBorder="1" applyAlignment="1">
      <alignment horizontal="center" vertical="center"/>
    </xf>
    <xf numFmtId="0" fontId="212" fillId="0" borderId="22" xfId="0" applyFont="1" applyFill="1" applyBorder="1" applyAlignment="1">
      <alignment horizontal="left" vertical="center" indent="1"/>
    </xf>
    <xf numFmtId="3" fontId="215" fillId="0" borderId="22" xfId="0" applyNumberFormat="1" applyFont="1" applyFill="1" applyBorder="1" applyAlignment="1">
      <alignment horizontal="right" vertical="center"/>
    </xf>
    <xf numFmtId="228" fontId="215" fillId="0" borderId="22" xfId="0" applyNumberFormat="1" applyFont="1" applyFill="1" applyBorder="1" applyAlignment="1">
      <alignment horizontal="right" vertical="center"/>
    </xf>
    <xf numFmtId="0" fontId="209" fillId="0" borderId="175" xfId="0" applyFont="1" applyFill="1" applyBorder="1" applyAlignment="1">
      <alignment horizontal="center" vertical="center"/>
    </xf>
    <xf numFmtId="0" fontId="209" fillId="0" borderId="175" xfId="0" applyFont="1" applyFill="1" applyBorder="1" applyAlignment="1">
      <alignment horizontal="left" vertical="center" indent="1"/>
    </xf>
    <xf numFmtId="3" fontId="216" fillId="0" borderId="175" xfId="0" applyNumberFormat="1" applyFont="1" applyFill="1" applyBorder="1" applyAlignment="1">
      <alignment horizontal="right" vertical="center"/>
    </xf>
    <xf numFmtId="0" fontId="209" fillId="0" borderId="175" xfId="0" applyFont="1" applyFill="1" applyBorder="1" applyAlignment="1">
      <alignment horizontal="center" vertical="center"/>
    </xf>
    <xf numFmtId="228" fontId="209" fillId="0" borderId="175" xfId="0" applyNumberFormat="1" applyFont="1" applyFill="1" applyBorder="1" applyAlignment="1">
      <alignment horizontal="right" vertical="center"/>
    </xf>
    <xf numFmtId="0" fontId="210" fillId="0" borderId="175" xfId="0" applyFont="1" applyFill="1" applyBorder="1" applyAlignment="1">
      <alignment horizontal="center" vertical="center"/>
    </xf>
    <xf numFmtId="0" fontId="217" fillId="0" borderId="22" xfId="0" applyFont="1" applyFill="1" applyBorder="1" applyAlignment="1">
      <alignment horizontal="center" vertical="center"/>
    </xf>
    <xf numFmtId="0" fontId="214" fillId="16" borderId="22" xfId="0" applyFont="1" applyFill="1" applyBorder="1" applyAlignment="1">
      <alignment horizontal="left" vertical="center" indent="1"/>
    </xf>
    <xf numFmtId="0" fontId="218" fillId="16" borderId="22" xfId="0" applyFont="1" applyFill="1" applyBorder="1" applyAlignment="1">
      <alignment horizontal="left" vertical="center" indent="1"/>
    </xf>
    <xf numFmtId="0" fontId="219" fillId="16" borderId="22" xfId="0" applyFont="1" applyFill="1" applyBorder="1" applyAlignment="1">
      <alignment horizontal="left" vertical="center" indent="1"/>
    </xf>
    <xf numFmtId="0" fontId="214" fillId="0" borderId="22" xfId="0" applyFont="1" applyFill="1" applyBorder="1" applyAlignment="1">
      <alignment horizontal="left" vertical="center" indent="1"/>
    </xf>
    <xf numFmtId="0" fontId="219" fillId="0" borderId="22" xfId="0" applyFont="1" applyFill="1" applyBorder="1" applyAlignment="1">
      <alignment horizontal="left" vertical="center" indent="1"/>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1" fontId="218" fillId="0" borderId="22" xfId="0" applyNumberFormat="1" applyFont="1" applyFill="1" applyBorder="1" applyAlignment="1">
      <alignment horizontal="center" vertical="center"/>
    </xf>
    <xf numFmtId="0" fontId="211"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1" fontId="218" fillId="16" borderId="22" xfId="0" applyNumberFormat="1" applyFont="1" applyFill="1" applyBorder="1" applyAlignment="1">
      <alignment horizontal="center" vertical="center"/>
    </xf>
    <xf numFmtId="0" fontId="211" fillId="16" borderId="22" xfId="0" applyFont="1" applyFill="1" applyBorder="1" applyAlignment="1">
      <alignment horizontal="left" vertical="center" indent="1"/>
    </xf>
    <xf numFmtId="0" fontId="220" fillId="16" borderId="22" xfId="0" applyFont="1" applyFill="1" applyBorder="1" applyAlignment="1">
      <alignment horizontal="center" vertical="center"/>
    </xf>
    <xf numFmtId="0" fontId="210" fillId="29" borderId="22" xfId="0" applyFont="1" applyFill="1" applyBorder="1" applyAlignment="1">
      <alignment horizontal="center" vertical="center"/>
    </xf>
    <xf numFmtId="1" fontId="211" fillId="0" borderId="22" xfId="0" applyNumberFormat="1" applyFont="1" applyFill="1" applyBorder="1" applyAlignment="1">
      <alignment horizontal="center" vertical="center"/>
    </xf>
    <xf numFmtId="0" fontId="211"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11" fillId="16"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12" fillId="29" borderId="22" xfId="0" applyFont="1" applyFill="1" applyBorder="1" applyAlignment="1">
      <alignment horizontal="center" vertical="center"/>
    </xf>
    <xf numFmtId="0" fontId="210" fillId="16" borderId="22" xfId="0" applyFont="1" applyFill="1" applyBorder="1" applyAlignment="1">
      <alignment horizontal="left" vertical="center" indent="1"/>
    </xf>
    <xf numFmtId="0" fontId="214" fillId="16" borderId="22" xfId="0" applyFont="1" applyFill="1" applyBorder="1" applyAlignment="1">
      <alignment horizontal="center" vertical="center"/>
    </xf>
    <xf numFmtId="229" fontId="210" fillId="16" borderId="22" xfId="0" applyNumberFormat="1" applyFont="1" applyFill="1" applyBorder="1" applyAlignment="1">
      <alignment horizontal="right" vertical="center"/>
    </xf>
    <xf numFmtId="0" fontId="210" fillId="0" borderId="22" xfId="0" applyFont="1" applyFill="1" applyBorder="1" applyAlignment="1">
      <alignment horizontal="left" vertical="center" indent="1"/>
    </xf>
    <xf numFmtId="0" fontId="214" fillId="0" borderId="22" xfId="0" applyFont="1" applyFill="1" applyBorder="1" applyAlignment="1">
      <alignment horizontal="center" vertical="center"/>
    </xf>
    <xf numFmtId="229" fontId="210" fillId="0" borderId="22" xfId="0" applyNumberFormat="1" applyFont="1" applyFill="1" applyBorder="1" applyAlignment="1">
      <alignment horizontal="right" vertical="center"/>
    </xf>
    <xf numFmtId="0" fontId="210" fillId="29" borderId="22" xfId="0" applyFont="1" applyFill="1" applyBorder="1" applyAlignment="1">
      <alignment horizontal="center" vertical="center" wrapText="1"/>
    </xf>
    <xf numFmtId="0" fontId="210" fillId="29" borderId="22" xfId="0" applyFont="1" applyFill="1" applyBorder="1" applyAlignment="1" applyProtection="1">
      <alignment horizontal="center" vertical="center" wrapText="1"/>
      <protection locked="0"/>
    </xf>
    <xf numFmtId="0" fontId="210" fillId="29" borderId="22" xfId="0" applyFont="1" applyFill="1" applyBorder="1" applyAlignment="1">
      <alignment horizontal="center" vertical="center" wrapText="1"/>
    </xf>
    <xf numFmtId="229" fontId="210" fillId="2" borderId="22" xfId="0" applyNumberFormat="1" applyFont="1" applyFill="1" applyBorder="1" applyAlignment="1" applyProtection="1">
      <alignment horizontal="right" vertical="center"/>
      <protection locked="0"/>
    </xf>
    <xf numFmtId="229" fontId="210" fillId="0" borderId="22" xfId="0" applyNumberFormat="1" applyFont="1" applyFill="1" applyBorder="1" applyAlignment="1">
      <alignment horizontal="right" vertical="center"/>
    </xf>
    <xf numFmtId="0" fontId="213" fillId="16" borderId="22" xfId="0" applyFont="1" applyFill="1" applyBorder="1" applyAlignment="1">
      <alignment horizontal="left" vertical="center" indent="1"/>
    </xf>
    <xf numFmtId="0" fontId="213" fillId="0" borderId="22" xfId="0" applyFont="1" applyFill="1" applyBorder="1" applyAlignment="1">
      <alignment horizontal="left" vertical="center" indent="1"/>
    </xf>
    <xf numFmtId="0" fontId="210" fillId="29" borderId="22" xfId="0" applyFont="1" applyFill="1" applyBorder="1" applyAlignment="1">
      <alignment horizontal="center" vertical="center"/>
    </xf>
    <xf numFmtId="3" fontId="167" fillId="0" borderId="22" xfId="0" applyNumberFormat="1" applyFont="1" applyFill="1" applyBorder="1" applyAlignment="1">
      <alignment horizontal="right" vertical="center"/>
    </xf>
    <xf numFmtId="3" fontId="167" fillId="0" borderId="22" xfId="0" applyNumberFormat="1" applyFont="1" applyFill="1" applyBorder="1" applyAlignment="1">
      <alignment horizontal="right" vertical="center"/>
    </xf>
    <xf numFmtId="1" fontId="213" fillId="0" borderId="22" xfId="0" applyNumberFormat="1" applyFont="1" applyFill="1" applyBorder="1" applyAlignment="1">
      <alignment horizontal="center" vertical="center"/>
    </xf>
    <xf numFmtId="1" fontId="213" fillId="16" borderId="22" xfId="0" applyNumberFormat="1" applyFont="1" applyFill="1" applyBorder="1" applyAlignment="1">
      <alignment horizontal="center" vertical="center"/>
    </xf>
    <xf numFmtId="1" fontId="213" fillId="16" borderId="22" xfId="0" applyNumberFormat="1" applyFont="1" applyFill="1" applyBorder="1" applyAlignment="1">
      <alignment horizontal="right" vertical="center"/>
    </xf>
    <xf numFmtId="0" fontId="219" fillId="16" borderId="22" xfId="0" applyFont="1" applyFill="1" applyBorder="1" applyAlignment="1">
      <alignment horizontal="center" vertical="center"/>
    </xf>
    <xf numFmtId="1" fontId="213" fillId="0" borderId="22" xfId="0" applyNumberFormat="1" applyFont="1" applyFill="1" applyBorder="1" applyAlignment="1">
      <alignment horizontal="right" vertical="center"/>
    </xf>
    <xf numFmtId="0" fontId="219" fillId="0" borderId="22" xfId="0" applyFont="1" applyFill="1" applyBorder="1" applyAlignment="1">
      <alignment horizontal="center" vertical="center"/>
    </xf>
    <xf numFmtId="3" fontId="210" fillId="0" borderId="22" xfId="0" applyNumberFormat="1" applyFont="1" applyFill="1" applyBorder="1" applyAlignment="1">
      <alignment horizontal="right" vertical="center"/>
    </xf>
    <xf numFmtId="0" fontId="218" fillId="0" borderId="22" xfId="0" applyFont="1" applyFill="1" applyBorder="1" applyAlignment="1">
      <alignment horizontal="left" vertical="center" indent="1"/>
    </xf>
    <xf numFmtId="3" fontId="209" fillId="2" borderId="174" xfId="0" applyNumberFormat="1" applyFont="1" applyFill="1" applyBorder="1" applyAlignment="1" applyProtection="1">
      <alignment horizontal="right" vertical="center"/>
      <protection locked="0"/>
    </xf>
    <xf numFmtId="3" fontId="210" fillId="0" borderId="22" xfId="0" applyNumberFormat="1" applyFont="1" applyFill="1" applyBorder="1" applyAlignment="1" applyProtection="1">
      <alignment horizontal="right" vertical="center"/>
      <protection locked="0"/>
    </xf>
    <xf numFmtId="49" fontId="210" fillId="0" borderId="22" xfId="0" applyNumberFormat="1" applyFont="1" applyFill="1" applyBorder="1" applyAlignment="1">
      <alignment horizontal="center" vertical="center"/>
    </xf>
    <xf numFmtId="0" fontId="218" fillId="16" borderId="22" xfId="0" applyFont="1" applyFill="1" applyBorder="1" applyAlignment="1">
      <alignment horizontal="left" vertical="center" indent="1"/>
    </xf>
    <xf numFmtId="0" fontId="219" fillId="0" borderId="22" xfId="0" applyFont="1" applyFill="1" applyBorder="1" applyAlignment="1">
      <alignment horizontal="left" vertical="center" indent="1"/>
    </xf>
    <xf numFmtId="0" fontId="218" fillId="16" borderId="22" xfId="0" applyFont="1" applyFill="1" applyBorder="1" applyAlignment="1">
      <alignment horizontal="left" vertical="center" indent="1"/>
    </xf>
    <xf numFmtId="0" fontId="219" fillId="16" borderId="22" xfId="0" applyFont="1" applyFill="1" applyBorder="1" applyAlignment="1">
      <alignment horizontal="center" vertical="center" wrapText="1"/>
    </xf>
    <xf numFmtId="0" fontId="212" fillId="0" borderId="22" xfId="0" applyFont="1" applyFill="1" applyBorder="1" applyAlignment="1">
      <alignment horizontal="center" vertical="center"/>
    </xf>
    <xf numFmtId="0" fontId="218" fillId="0" borderId="22" xfId="0" applyFont="1" applyFill="1" applyBorder="1" applyAlignment="1">
      <alignment horizontal="left" vertical="center" wrapText="1"/>
    </xf>
    <xf numFmtId="0" fontId="218" fillId="0" borderId="22" xfId="0" applyFont="1" applyFill="1" applyBorder="1" applyAlignment="1">
      <alignment horizontal="left" vertical="center" indent="1"/>
    </xf>
    <xf numFmtId="0" fontId="213" fillId="0" borderId="22" xfId="0" applyFont="1" applyFill="1" applyBorder="1" applyAlignment="1">
      <alignment horizontal="left" vertical="center" indent="1"/>
    </xf>
    <xf numFmtId="0" fontId="218" fillId="16" borderId="22" xfId="0" applyFont="1" applyFill="1" applyBorder="1" applyAlignment="1">
      <alignment horizontal="left" vertical="center" wrapText="1"/>
    </xf>
    <xf numFmtId="0" fontId="219" fillId="16" borderId="22" xfId="0" applyFont="1" applyFill="1" applyBorder="1" applyAlignment="1">
      <alignment horizontal="left" vertical="center" indent="1"/>
    </xf>
    <xf numFmtId="0" fontId="218" fillId="0" borderId="22" xfId="0" applyFont="1" applyFill="1" applyBorder="1" applyAlignment="1">
      <alignment horizontal="left" vertical="center" wrapText="1"/>
    </xf>
    <xf numFmtId="0" fontId="209" fillId="29" borderId="22" xfId="0" applyFont="1" applyFill="1" applyBorder="1" applyAlignment="1">
      <alignment horizontal="left" vertical="center" indent="1"/>
    </xf>
    <xf numFmtId="0" fontId="218" fillId="0" borderId="22" xfId="0" applyFont="1" applyFill="1" applyBorder="1" applyAlignment="1">
      <alignment horizontal="left" vertical="center" wrapText="1"/>
    </xf>
    <xf numFmtId="0" fontId="218" fillId="16" borderId="22" xfId="0" applyFont="1" applyFill="1" applyBorder="1" applyAlignment="1">
      <alignment horizontal="left" vertical="center" wrapText="1"/>
    </xf>
    <xf numFmtId="0" fontId="210" fillId="29" borderId="22" xfId="0" applyFont="1" applyFill="1" applyBorder="1" applyAlignment="1">
      <alignment horizontal="center" vertical="center"/>
    </xf>
    <xf numFmtId="0" fontId="221" fillId="0" borderId="22" xfId="0" applyFont="1" applyFill="1" applyBorder="1" applyAlignment="1">
      <alignment horizontal="center" vertical="center"/>
    </xf>
    <xf numFmtId="0" fontId="222" fillId="0" borderId="22" xfId="0" applyFont="1" applyFill="1" applyBorder="1" applyAlignment="1">
      <alignment horizontal="center" vertical="center"/>
    </xf>
    <xf numFmtId="0" fontId="209" fillId="29" borderId="22" xfId="0" applyFont="1" applyFill="1" applyBorder="1" applyAlignment="1">
      <alignment horizontal="left" vertical="center" indent="1"/>
    </xf>
    <xf numFmtId="0" fontId="213" fillId="16"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23" fillId="29" borderId="0" xfId="0" applyFont="1" applyFill="1" applyBorder="1" applyAlignment="1">
      <alignment horizontal="left" vertical="center" indent="1"/>
    </xf>
    <xf numFmtId="0" fontId="212" fillId="0" borderId="22" xfId="0" applyFont="1" applyFill="1" applyBorder="1" applyAlignment="1">
      <alignment horizontal="center" vertical="center"/>
    </xf>
    <xf numFmtId="0" fontId="210" fillId="29" borderId="22" xfId="0" applyFont="1" applyFill="1" applyBorder="1" applyAlignment="1">
      <alignment horizontal="center" vertical="center"/>
    </xf>
    <xf numFmtId="0" fontId="209" fillId="29" borderId="22" xfId="0" applyFont="1" applyFill="1" applyBorder="1" applyAlignment="1">
      <alignment horizontal="left" vertical="center" indent="1"/>
    </xf>
    <xf numFmtId="0" fontId="210" fillId="0" borderId="22" xfId="0" applyFont="1" applyFill="1" applyBorder="1" applyAlignment="1">
      <alignment horizontal="left" vertical="center" wrapText="1" indent="1"/>
    </xf>
    <xf numFmtId="0" fontId="222" fillId="0" borderId="22" xfId="0" applyFont="1" applyFill="1" applyBorder="1" applyAlignment="1">
      <alignment horizontal="center" vertical="center"/>
    </xf>
    <xf numFmtId="0" fontId="167" fillId="0" borderId="176" xfId="0" applyFont="1" applyFill="1" applyBorder="1" applyAlignment="1">
      <alignment horizontal="center" vertical="center"/>
    </xf>
    <xf numFmtId="0" fontId="218" fillId="0" borderId="22" xfId="0" applyFont="1" applyFill="1" applyBorder="1" applyAlignment="1">
      <alignment horizontal="left" vertical="center" indent="1"/>
    </xf>
    <xf numFmtId="0" fontId="222" fillId="0" borderId="22" xfId="0" applyFont="1" applyFill="1" applyBorder="1" applyAlignment="1">
      <alignment horizontal="center" vertical="center"/>
    </xf>
    <xf numFmtId="0" fontId="213" fillId="0" borderId="177" xfId="0" applyFont="1" applyFill="1" applyBorder="1" applyAlignment="1">
      <alignment horizontal="left" vertical="center" indent="1"/>
    </xf>
    <xf numFmtId="0" fontId="213"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24" fillId="29" borderId="0" xfId="0" applyFont="1" applyFill="1" applyBorder="1" applyAlignment="1">
      <alignment horizontal="left" vertical="center" indent="1"/>
    </xf>
    <xf numFmtId="0" fontId="209" fillId="0" borderId="22" xfId="0" applyFont="1" applyFill="1" applyBorder="1" applyAlignment="1">
      <alignment horizontal="left" vertical="center" indent="1"/>
    </xf>
    <xf numFmtId="0" fontId="225" fillId="29" borderId="0" xfId="0" applyFont="1" applyFill="1" applyBorder="1" applyAlignment="1">
      <alignment horizontal="left" vertical="center" indent="1"/>
    </xf>
    <xf numFmtId="0" fontId="210" fillId="0"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09" fillId="0"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12" fillId="0" borderId="22" xfId="0" applyFont="1" applyFill="1" applyBorder="1" applyAlignment="1">
      <alignment horizontal="left" vertical="center" indent="1"/>
    </xf>
    <xf numFmtId="0" fontId="214" fillId="0" borderId="22" xfId="0" applyFont="1" applyFill="1" applyBorder="1" applyAlignment="1">
      <alignment horizontal="center" vertical="center"/>
    </xf>
    <xf numFmtId="0" fontId="216" fillId="0" borderId="22" xfId="0" applyFont="1" applyFill="1" applyBorder="1" applyAlignment="1">
      <alignment horizontal="left" vertical="center" indent="1"/>
    </xf>
    <xf numFmtId="0" fontId="10" fillId="0" borderId="0" xfId="0" applyFont="1" applyBorder="1" applyAlignment="1">
      <alignment horizontal="distributed" vertical="center"/>
    </xf>
    <xf numFmtId="0" fontId="5" fillId="0" borderId="0" xfId="0" applyFont="1" applyBorder="1" applyAlignment="1">
      <alignment horizontal="distributed" vertical="center"/>
    </xf>
    <xf numFmtId="0" fontId="4" fillId="0" borderId="0" xfId="0" applyFont="1" applyBorder="1" applyAlignment="1">
      <alignment horizontal="center" vertical="center"/>
    </xf>
    <xf numFmtId="0" fontId="5" fillId="0" borderId="0" xfId="0" applyFont="1" applyBorder="1" applyAlignment="1">
      <alignment horizontal="center" vertical="center"/>
    </xf>
    <xf numFmtId="178" fontId="7" fillId="0" borderId="0" xfId="0" applyNumberFormat="1" applyFont="1" applyBorder="1" applyAlignment="1">
      <alignment horizontal="distributed" vertical="center"/>
    </xf>
    <xf numFmtId="178" fontId="8" fillId="0" borderId="0" xfId="0" applyNumberFormat="1" applyFont="1" applyBorder="1" applyAlignment="1">
      <alignment horizontal="distributed" vertical="center"/>
    </xf>
    <xf numFmtId="0" fontId="15" fillId="0" borderId="0" xfId="0" applyFont="1" applyBorder="1" applyAlignment="1">
      <alignment horizontal="distributed" vertical="center"/>
    </xf>
    <xf numFmtId="0" fontId="14" fillId="0" borderId="0" xfId="0" applyFont="1" applyBorder="1" applyAlignment="1">
      <alignment horizontal="right" vertical="center"/>
    </xf>
    <xf numFmtId="0" fontId="14" fillId="0" borderId="0" xfId="0" applyFont="1" applyBorder="1" applyAlignment="1" applyProtection="1">
      <alignment horizontal="right" vertical="center"/>
      <protection locked="0"/>
    </xf>
    <xf numFmtId="0" fontId="14" fillId="0" borderId="0" xfId="0" applyFont="1" applyBorder="1" applyAlignment="1" applyProtection="1">
      <alignment horizontal="left" vertical="center"/>
      <protection locked="0"/>
    </xf>
    <xf numFmtId="0" fontId="14" fillId="0" borderId="0" xfId="0" applyFont="1" applyBorder="1" applyAlignment="1">
      <alignment horizontal="left" vertical="center"/>
    </xf>
    <xf numFmtId="0" fontId="12" fillId="0" borderId="0" xfId="0" applyFont="1" applyBorder="1" applyAlignment="1">
      <alignment horizontal="center" vertical="center"/>
    </xf>
    <xf numFmtId="0" fontId="22" fillId="0" borderId="0" xfId="0" applyFont="1" applyBorder="1" applyAlignment="1">
      <alignment horizontal="center" vertical="center"/>
    </xf>
    <xf numFmtId="49" fontId="22" fillId="0" borderId="0" xfId="0" applyNumberFormat="1" applyFont="1" applyBorder="1" applyAlignment="1">
      <alignment horizontal="center" vertical="center"/>
    </xf>
    <xf numFmtId="0" fontId="22" fillId="0" borderId="0" xfId="0" applyFont="1" applyBorder="1" applyAlignment="1">
      <alignment horizontal="center" vertical="top"/>
    </xf>
    <xf numFmtId="178" fontId="30" fillId="0" borderId="2" xfId="0" applyNumberFormat="1" applyFont="1" applyBorder="1" applyAlignment="1">
      <alignment horizontal="center" vertical="center"/>
    </xf>
    <xf numFmtId="0" fontId="27" fillId="0" borderId="2" xfId="0" applyFont="1" applyBorder="1" applyAlignment="1">
      <alignment horizontal="center" vertical="center" wrapText="1"/>
    </xf>
    <xf numFmtId="0" fontId="30" fillId="0" borderId="2" xfId="0" applyFont="1" applyBorder="1" applyAlignment="1">
      <alignment horizontal="center" vertical="center"/>
    </xf>
    <xf numFmtId="0" fontId="27" fillId="0" borderId="2" xfId="0" applyFont="1" applyBorder="1" applyAlignment="1">
      <alignment horizontal="center" vertical="center"/>
    </xf>
    <xf numFmtId="178" fontId="30" fillId="0" borderId="2" xfId="0" applyNumberFormat="1" applyFont="1" applyBorder="1" applyAlignment="1" applyProtection="1">
      <alignment horizontal="center" vertical="center"/>
      <protection locked="0"/>
    </xf>
    <xf numFmtId="0" fontId="30" fillId="0" borderId="2" xfId="0" applyFont="1" applyBorder="1" applyAlignment="1" applyProtection="1">
      <alignment horizontal="center" vertical="center"/>
      <protection locked="0"/>
    </xf>
    <xf numFmtId="0" fontId="17" fillId="0" borderId="0" xfId="0" applyFont="1" applyBorder="1" applyAlignment="1">
      <alignment horizontal="right" vertical="center"/>
    </xf>
    <xf numFmtId="0" fontId="27" fillId="0" borderId="2" xfId="0" applyFont="1" applyBorder="1" applyAlignment="1">
      <alignment horizontal="center" vertical="center" shrinkToFit="1"/>
    </xf>
    <xf numFmtId="0" fontId="25" fillId="0" borderId="2" xfId="0" applyFont="1" applyBorder="1" applyAlignment="1">
      <alignment horizontal="center" vertical="center" wrapText="1"/>
    </xf>
    <xf numFmtId="0" fontId="22" fillId="0" borderId="2" xfId="0" applyFont="1" applyBorder="1" applyAlignment="1">
      <alignment horizontal="center" vertical="center"/>
    </xf>
    <xf numFmtId="178" fontId="22" fillId="0" borderId="3" xfId="0" applyNumberFormat="1" applyFont="1" applyBorder="1" applyAlignment="1">
      <alignment horizontal="center" vertical="center"/>
    </xf>
    <xf numFmtId="178" fontId="22" fillId="0" borderId="4" xfId="0" applyNumberFormat="1" applyFont="1" applyBorder="1" applyAlignment="1">
      <alignment horizontal="distributed" vertical="center"/>
    </xf>
    <xf numFmtId="201" fontId="18" fillId="0" borderId="2" xfId="0" applyNumberFormat="1" applyFont="1" applyBorder="1" applyAlignment="1">
      <alignment horizontal="center" vertical="center"/>
    </xf>
    <xf numFmtId="178" fontId="22" fillId="0" borderId="2" xfId="0" applyNumberFormat="1" applyFont="1" applyBorder="1" applyAlignment="1">
      <alignment horizontal="center" vertical="center"/>
    </xf>
    <xf numFmtId="0" fontId="22" fillId="0" borderId="5" xfId="0" applyFont="1" applyBorder="1" applyAlignment="1">
      <alignment horizontal="left" vertical="center"/>
    </xf>
    <xf numFmtId="0" fontId="22" fillId="0" borderId="6" xfId="0" applyFont="1" applyBorder="1" applyAlignment="1">
      <alignment horizontal="left" vertical="center"/>
    </xf>
    <xf numFmtId="178" fontId="22" fillId="0" borderId="7" xfId="0" applyNumberFormat="1" applyFont="1" applyBorder="1" applyAlignment="1">
      <alignment horizontal="center" vertical="center"/>
    </xf>
    <xf numFmtId="0" fontId="22" fillId="0" borderId="8" xfId="0" applyFont="1" applyBorder="1" applyAlignment="1">
      <alignment horizontal="left" vertical="center" wrapText="1"/>
    </xf>
    <xf numFmtId="0" fontId="22" fillId="0" borderId="6" xfId="0" applyFont="1" applyBorder="1" applyAlignment="1">
      <alignment horizontal="left" vertical="center" wrapText="1"/>
    </xf>
    <xf numFmtId="0" fontId="26" fillId="0" borderId="2" xfId="0" applyFont="1" applyBorder="1" applyAlignment="1">
      <alignment horizontal="distributed" vertical="center" indent="1"/>
    </xf>
    <xf numFmtId="178" fontId="27" fillId="0" borderId="2" xfId="0" applyNumberFormat="1" applyFont="1" applyBorder="1" applyAlignment="1">
      <alignment horizontal="center" vertical="center"/>
    </xf>
    <xf numFmtId="49" fontId="22" fillId="0" borderId="2" xfId="0" applyNumberFormat="1" applyFont="1" applyBorder="1" applyAlignment="1">
      <alignment horizontal="center" vertical="center"/>
    </xf>
    <xf numFmtId="0" fontId="18" fillId="0" borderId="0" xfId="0" applyFont="1" applyBorder="1" applyAlignment="1">
      <alignment horizontal="distributed" vertical="center"/>
    </xf>
    <xf numFmtId="0" fontId="28" fillId="0" borderId="2" xfId="0" applyFont="1" applyBorder="1" applyAlignment="1">
      <alignment horizontal="center" vertical="center"/>
    </xf>
    <xf numFmtId="0" fontId="27" fillId="0" borderId="2" xfId="0" applyFont="1" applyBorder="1" applyAlignment="1">
      <alignment horizontal="distributed" vertical="center" indent="1"/>
    </xf>
    <xf numFmtId="0" fontId="22" fillId="0" borderId="2" xfId="0" applyFont="1" applyBorder="1" applyAlignment="1">
      <alignment horizontal="distributed" vertical="center" indent="1"/>
    </xf>
    <xf numFmtId="0" fontId="25" fillId="0" borderId="2" xfId="0" applyFont="1" applyBorder="1" applyAlignment="1">
      <alignment horizontal="center" vertical="center"/>
    </xf>
    <xf numFmtId="0" fontId="22" fillId="0" borderId="0" xfId="0" applyFont="1" applyBorder="1" applyAlignment="1">
      <alignment horizontal="left" vertical="distributed" wrapText="1"/>
    </xf>
    <xf numFmtId="0" fontId="22" fillId="0" borderId="0" xfId="0" applyFont="1" applyBorder="1" applyAlignment="1">
      <alignment horizontal="distributed" vertical="center"/>
    </xf>
    <xf numFmtId="0" fontId="25" fillId="0" borderId="0" xfId="0" applyFont="1" applyBorder="1" applyAlignment="1">
      <alignment horizontal="distributed" vertical="center"/>
    </xf>
    <xf numFmtId="0" fontId="22" fillId="0" borderId="12" xfId="0" applyFont="1" applyBorder="1" applyAlignment="1">
      <alignment horizontal="distributed" vertical="center"/>
    </xf>
    <xf numFmtId="176" fontId="18" fillId="0" borderId="7" xfId="1" applyFont="1" applyBorder="1" applyAlignment="1" applyProtection="1">
      <alignment vertical="center"/>
      <protection locked="0"/>
    </xf>
    <xf numFmtId="176" fontId="18" fillId="0" borderId="7" xfId="1" applyFont="1" applyBorder="1" applyAlignment="1" applyProtection="1">
      <alignment vertical="center"/>
    </xf>
    <xf numFmtId="178" fontId="37" fillId="0" borderId="7" xfId="1" applyNumberFormat="1" applyFont="1" applyBorder="1" applyAlignment="1" applyProtection="1">
      <alignment vertical="center"/>
    </xf>
    <xf numFmtId="183" fontId="37" fillId="0" borderId="7" xfId="0" applyNumberFormat="1" applyFont="1" applyBorder="1" applyAlignment="1">
      <alignment vertical="center"/>
    </xf>
    <xf numFmtId="0" fontId="22" fillId="0" borderId="12" xfId="0" applyFont="1" applyBorder="1" applyAlignment="1">
      <alignment horizontal="center" vertical="center"/>
    </xf>
    <xf numFmtId="176" fontId="37" fillId="0" borderId="7" xfId="1" applyFont="1" applyBorder="1" applyAlignment="1" applyProtection="1">
      <alignment vertical="center"/>
    </xf>
    <xf numFmtId="0" fontId="22" fillId="0" borderId="12" xfId="0" applyFont="1" applyBorder="1" applyAlignment="1">
      <alignment horizontal="distributed" vertical="center" wrapText="1"/>
    </xf>
    <xf numFmtId="176" fontId="37" fillId="0" borderId="10" xfId="1" applyFont="1" applyBorder="1" applyAlignment="1" applyProtection="1">
      <alignment vertical="center"/>
    </xf>
    <xf numFmtId="178" fontId="37" fillId="0" borderId="14" xfId="1" applyNumberFormat="1" applyFont="1" applyBorder="1" applyAlignment="1" applyProtection="1">
      <alignment vertical="center"/>
    </xf>
    <xf numFmtId="183" fontId="37" fillId="0" borderId="14" xfId="0" applyNumberFormat="1" applyFont="1" applyBorder="1" applyAlignment="1">
      <alignment vertical="center"/>
    </xf>
    <xf numFmtId="176" fontId="18" fillId="0" borderId="10" xfId="1" applyFont="1" applyBorder="1" applyAlignment="1" applyProtection="1">
      <alignment vertical="center"/>
      <protection locked="0"/>
    </xf>
    <xf numFmtId="176" fontId="18" fillId="0" borderId="10" xfId="1" applyFont="1" applyBorder="1" applyAlignment="1" applyProtection="1">
      <alignment vertical="center"/>
    </xf>
    <xf numFmtId="0" fontId="22" fillId="0" borderId="5" xfId="0" applyFont="1" applyBorder="1" applyAlignment="1">
      <alignment horizontal="right" vertical="center"/>
    </xf>
    <xf numFmtId="0" fontId="22" fillId="0" borderId="7" xfId="0" applyFont="1" applyBorder="1" applyAlignment="1">
      <alignment horizontal="center" vertical="center"/>
    </xf>
    <xf numFmtId="0" fontId="22" fillId="0" borderId="2" xfId="0" applyFont="1" applyBorder="1" applyAlignment="1">
      <alignment horizontal="center" vertical="center" wrapText="1"/>
    </xf>
    <xf numFmtId="0" fontId="22" fillId="0" borderId="14" xfId="0" applyFont="1" applyBorder="1" applyAlignment="1">
      <alignment horizontal="center" vertical="center"/>
    </xf>
    <xf numFmtId="0" fontId="18" fillId="0" borderId="17" xfId="0" applyFont="1" applyBorder="1" applyAlignment="1">
      <alignment horizontal="center" vertical="center"/>
    </xf>
    <xf numFmtId="176" fontId="18" fillId="0" borderId="7" xfId="1" applyFont="1" applyBorder="1" applyAlignment="1" applyProtection="1">
      <alignment horizontal="right" vertical="center"/>
    </xf>
    <xf numFmtId="176" fontId="18" fillId="0" borderId="2" xfId="1" applyFont="1" applyBorder="1" applyAlignment="1" applyProtection="1">
      <alignment horizontal="right" vertical="center"/>
    </xf>
    <xf numFmtId="178" fontId="37" fillId="0" borderId="2" xfId="1" applyNumberFormat="1" applyFont="1" applyBorder="1" applyAlignment="1" applyProtection="1">
      <alignment horizontal="right" vertical="center"/>
    </xf>
    <xf numFmtId="0" fontId="22" fillId="0" borderId="0" xfId="0" applyFont="1" applyBorder="1" applyAlignment="1"/>
    <xf numFmtId="0" fontId="22" fillId="0" borderId="0" xfId="0" applyFont="1" applyBorder="1" applyAlignment="1">
      <alignment horizontal="right" vertical="center"/>
    </xf>
    <xf numFmtId="176" fontId="37" fillId="0" borderId="7" xfId="1" applyFont="1" applyBorder="1" applyAlignment="1" applyProtection="1">
      <alignment horizontal="right" vertical="center"/>
    </xf>
    <xf numFmtId="176" fontId="37" fillId="0" borderId="2" xfId="1" applyFont="1" applyBorder="1" applyAlignment="1" applyProtection="1">
      <alignment horizontal="right" vertical="center"/>
    </xf>
    <xf numFmtId="178" fontId="37" fillId="0" borderId="5" xfId="1" applyNumberFormat="1" applyFont="1" applyBorder="1" applyAlignment="1" applyProtection="1">
      <alignment horizontal="right" vertical="center"/>
    </xf>
    <xf numFmtId="176" fontId="18" fillId="0" borderId="7" xfId="1" applyFont="1" applyBorder="1" applyAlignment="1" applyProtection="1">
      <alignment horizontal="right" vertical="center"/>
      <protection locked="0"/>
    </xf>
    <xf numFmtId="176" fontId="18" fillId="0" borderId="2" xfId="1" applyFont="1" applyBorder="1" applyAlignment="1" applyProtection="1">
      <alignment horizontal="right" vertical="center"/>
      <protection locked="0"/>
    </xf>
    <xf numFmtId="176" fontId="18" fillId="0" borderId="11" xfId="1" applyFont="1" applyBorder="1" applyAlignment="1" applyProtection="1">
      <alignment horizontal="right" vertical="center"/>
      <protection locked="0"/>
    </xf>
    <xf numFmtId="176" fontId="18" fillId="0" borderId="11" xfId="1" applyFont="1" applyBorder="1" applyAlignment="1" applyProtection="1">
      <alignment horizontal="right" vertical="center"/>
    </xf>
    <xf numFmtId="176" fontId="18" fillId="0" borderId="5" xfId="1" applyFont="1" applyBorder="1" applyAlignment="1" applyProtection="1">
      <alignment horizontal="right" vertical="center"/>
      <protection locked="0"/>
    </xf>
    <xf numFmtId="176" fontId="18" fillId="0" borderId="5" xfId="1" applyFont="1" applyBorder="1" applyAlignment="1" applyProtection="1">
      <alignment horizontal="right" vertical="center"/>
    </xf>
    <xf numFmtId="184" fontId="18" fillId="0" borderId="14" xfId="1" applyNumberFormat="1" applyFont="1" applyBorder="1" applyAlignment="1" applyProtection="1">
      <alignment horizontal="right" vertical="center"/>
    </xf>
    <xf numFmtId="184" fontId="18" fillId="0" borderId="6" xfId="1" applyNumberFormat="1" applyFont="1" applyBorder="1" applyAlignment="1" applyProtection="1">
      <alignment horizontal="right" vertical="center"/>
    </xf>
    <xf numFmtId="205" fontId="37" fillId="0" borderId="6" xfId="1" applyNumberFormat="1" applyFont="1" applyBorder="1" applyAlignment="1" applyProtection="1">
      <alignment horizontal="right" vertical="center"/>
    </xf>
    <xf numFmtId="179" fontId="18" fillId="0" borderId="6" xfId="1" applyNumberFormat="1" applyFont="1" applyBorder="1" applyAlignment="1" applyProtection="1">
      <alignment horizontal="right" vertical="center"/>
      <protection locked="0"/>
    </xf>
    <xf numFmtId="179" fontId="18" fillId="0" borderId="6" xfId="1" applyNumberFormat="1" applyFont="1" applyBorder="1" applyAlignment="1" applyProtection="1">
      <alignment horizontal="right" vertical="center"/>
    </xf>
    <xf numFmtId="179" fontId="37" fillId="0" borderId="6" xfId="1" applyNumberFormat="1" applyFont="1" applyBorder="1" applyAlignment="1" applyProtection="1">
      <alignment horizontal="right" vertical="center"/>
    </xf>
    <xf numFmtId="0" fontId="22" fillId="0" borderId="3" xfId="0" applyFont="1" applyBorder="1" applyAlignment="1">
      <alignment horizontal="center" vertical="center"/>
    </xf>
    <xf numFmtId="176" fontId="37" fillId="0" borderId="5" xfId="1" applyFont="1" applyBorder="1" applyAlignment="1" applyProtection="1">
      <alignment horizontal="right" vertical="center"/>
    </xf>
    <xf numFmtId="0" fontId="44" fillId="0" borderId="0" xfId="0" applyFont="1" applyBorder="1" applyAlignment="1"/>
    <xf numFmtId="184" fontId="18" fillId="0" borderId="10" xfId="1" applyNumberFormat="1" applyFont="1" applyBorder="1" applyAlignment="1" applyProtection="1">
      <alignment horizontal="right" vertical="center"/>
    </xf>
    <xf numFmtId="184" fontId="37" fillId="0" borderId="6" xfId="1" applyNumberFormat="1" applyFont="1" applyBorder="1" applyAlignment="1" applyProtection="1">
      <alignment horizontal="right" vertical="center" shrinkToFit="1"/>
    </xf>
    <xf numFmtId="179" fontId="37" fillId="0" borderId="8" xfId="1" applyNumberFormat="1" applyFont="1" applyBorder="1" applyAlignment="1" applyProtection="1">
      <alignment horizontal="right" vertical="center"/>
    </xf>
    <xf numFmtId="0" fontId="22" fillId="0" borderId="0" xfId="0" applyFont="1" applyBorder="1" applyAlignment="1">
      <alignment horizontal="left"/>
    </xf>
    <xf numFmtId="0" fontId="22" fillId="0" borderId="5" xfId="0" applyFont="1" applyBorder="1" applyAlignment="1">
      <alignment horizontal="center" vertical="center"/>
    </xf>
    <xf numFmtId="178" fontId="37" fillId="0" borderId="7" xfId="1" applyNumberFormat="1" applyFont="1" applyBorder="1" applyAlignment="1" applyProtection="1">
      <alignment horizontal="right" vertical="center"/>
    </xf>
    <xf numFmtId="0" fontId="22" fillId="0" borderId="4" xfId="0" applyFont="1" applyBorder="1" applyAlignment="1">
      <alignment horizontal="center" vertical="center"/>
    </xf>
    <xf numFmtId="178" fontId="37" fillId="0" borderId="11" xfId="1" applyNumberFormat="1" applyFont="1" applyBorder="1" applyAlignment="1" applyProtection="1">
      <alignment horizontal="right" vertical="center"/>
    </xf>
    <xf numFmtId="176" fontId="18" fillId="0" borderId="0" xfId="1" applyFont="1" applyBorder="1" applyAlignment="1" applyProtection="1">
      <alignment horizontal="right" vertical="center"/>
      <protection locked="0"/>
    </xf>
    <xf numFmtId="176" fontId="18" fillId="0" borderId="0" xfId="1" applyFont="1" applyBorder="1" applyAlignment="1" applyProtection="1">
      <alignment horizontal="right" vertical="center"/>
    </xf>
    <xf numFmtId="178" fontId="37" fillId="0" borderId="9" xfId="1" applyNumberFormat="1" applyFont="1" applyBorder="1" applyAlignment="1" applyProtection="1">
      <alignment horizontal="right" vertical="center"/>
    </xf>
    <xf numFmtId="0" fontId="22" fillId="0" borderId="0" xfId="0" applyFont="1" applyBorder="1" applyAlignment="1">
      <alignment horizontal="distributed" vertical="center" wrapText="1"/>
    </xf>
    <xf numFmtId="204" fontId="18" fillId="0" borderId="7" xfId="1" applyNumberFormat="1" applyFont="1" applyBorder="1" applyAlignment="1" applyProtection="1">
      <alignment horizontal="right" vertical="center"/>
      <protection locked="0"/>
    </xf>
    <xf numFmtId="204" fontId="18" fillId="0" borderId="7" xfId="1" applyNumberFormat="1" applyFont="1" applyBorder="1" applyAlignment="1" applyProtection="1">
      <alignment horizontal="right" vertical="center"/>
    </xf>
    <xf numFmtId="176" fontId="18" fillId="0" borderId="9" xfId="1" applyFont="1" applyBorder="1" applyAlignment="1" applyProtection="1">
      <alignment horizontal="right" vertical="center"/>
      <protection locked="0"/>
    </xf>
    <xf numFmtId="176" fontId="18" fillId="0" borderId="9" xfId="1" applyFont="1" applyBorder="1" applyAlignment="1" applyProtection="1">
      <alignment horizontal="right" vertical="center"/>
    </xf>
    <xf numFmtId="0" fontId="22" fillId="0" borderId="9" xfId="0" applyFont="1" applyBorder="1" applyAlignment="1">
      <alignment horizontal="right" vertical="center"/>
    </xf>
    <xf numFmtId="0" fontId="22" fillId="0" borderId="2" xfId="0" applyFont="1" applyBorder="1" applyAlignment="1">
      <alignment horizontal="center" vertical="center" shrinkToFit="1"/>
    </xf>
    <xf numFmtId="0" fontId="22" fillId="0" borderId="6" xfId="0" applyFont="1" applyBorder="1" applyAlignment="1">
      <alignment horizontal="center" vertical="center"/>
    </xf>
    <xf numFmtId="0" fontId="19" fillId="0" borderId="0" xfId="0" applyFont="1" applyBorder="1" applyAlignment="1">
      <alignment horizontal="center" vertical="center"/>
    </xf>
    <xf numFmtId="0" fontId="1" fillId="0" borderId="0" xfId="0" applyFont="1" applyBorder="1" applyAlignment="1">
      <alignment horizontal="right" vertical="center"/>
    </xf>
    <xf numFmtId="0" fontId="35" fillId="0" borderId="0" xfId="0" applyFont="1" applyBorder="1" applyAlignment="1">
      <alignment horizontal="left" vertical="center"/>
    </xf>
    <xf numFmtId="0" fontId="22" fillId="0" borderId="9" xfId="0" applyFont="1" applyBorder="1" applyAlignment="1">
      <alignment vertical="center"/>
    </xf>
    <xf numFmtId="0" fontId="22" fillId="0" borderId="2" xfId="0" applyFont="1" applyBorder="1" applyAlignment="1" applyProtection="1">
      <alignment horizontal="center" vertical="center"/>
      <protection locked="0"/>
    </xf>
    <xf numFmtId="0" fontId="37" fillId="0" borderId="2" xfId="0" applyFont="1" applyBorder="1" applyAlignment="1">
      <alignment horizontal="center" vertical="center"/>
    </xf>
    <xf numFmtId="0" fontId="51" fillId="0" borderId="12" xfId="0" applyFont="1" applyBorder="1" applyAlignment="1">
      <alignment horizontal="distributed" vertical="center"/>
    </xf>
    <xf numFmtId="182" fontId="49" fillId="2" borderId="7" xfId="0" applyNumberFormat="1" applyFont="1" applyFill="1" applyBorder="1" applyAlignment="1">
      <alignment horizontal="right" vertical="center"/>
    </xf>
    <xf numFmtId="182" fontId="49" fillId="2" borderId="7" xfId="0" applyNumberFormat="1" applyFont="1" applyFill="1" applyBorder="1" applyAlignment="1" applyProtection="1">
      <alignment horizontal="right" vertical="center"/>
      <protection locked="0"/>
    </xf>
    <xf numFmtId="0" fontId="49" fillId="0" borderId="9" xfId="0" applyFont="1" applyBorder="1" applyAlignment="1">
      <alignment vertical="center"/>
    </xf>
    <xf numFmtId="0" fontId="51" fillId="0" borderId="2" xfId="0" applyFont="1" applyBorder="1" applyAlignment="1">
      <alignment horizontal="center" vertical="center" wrapText="1"/>
    </xf>
    <xf numFmtId="0" fontId="51" fillId="2" borderId="2" xfId="0" applyFont="1" applyFill="1" applyBorder="1" applyAlignment="1">
      <alignment horizontal="center" vertical="center"/>
    </xf>
    <xf numFmtId="181" fontId="49" fillId="2" borderId="7" xfId="0" applyNumberFormat="1" applyFont="1" applyFill="1" applyBorder="1" applyAlignment="1" applyProtection="1">
      <alignment horizontal="right" vertical="center"/>
      <protection locked="0"/>
    </xf>
    <xf numFmtId="181" fontId="49" fillId="2" borderId="7" xfId="0" applyNumberFormat="1" applyFont="1" applyFill="1" applyBorder="1" applyAlignment="1">
      <alignment horizontal="right" vertical="center"/>
    </xf>
    <xf numFmtId="181" fontId="49" fillId="0" borderId="7" xfId="0" applyNumberFormat="1" applyFont="1" applyBorder="1" applyAlignment="1">
      <alignment horizontal="right" vertical="center"/>
    </xf>
    <xf numFmtId="206" fontId="49" fillId="0" borderId="17" xfId="0" applyNumberFormat="1" applyFont="1" applyBorder="1" applyAlignment="1">
      <alignment horizontal="center" vertical="center"/>
    </xf>
    <xf numFmtId="0" fontId="51" fillId="0" borderId="5" xfId="0" applyFont="1" applyBorder="1" applyAlignment="1">
      <alignment horizontal="right" vertical="center"/>
    </xf>
    <xf numFmtId="0" fontId="51" fillId="0" borderId="2" xfId="0" applyFont="1" applyBorder="1" applyAlignment="1">
      <alignment horizontal="center" vertical="center"/>
    </xf>
    <xf numFmtId="180" fontId="49" fillId="2" borderId="7" xfId="0" applyNumberFormat="1" applyFont="1" applyFill="1" applyBorder="1" applyAlignment="1" applyProtection="1">
      <alignment horizontal="right" vertical="center"/>
      <protection locked="0"/>
    </xf>
    <xf numFmtId="180" fontId="49" fillId="2" borderId="7" xfId="0" applyNumberFormat="1" applyFont="1" applyFill="1" applyBorder="1" applyAlignment="1">
      <alignment horizontal="right" vertical="center"/>
    </xf>
    <xf numFmtId="180" fontId="49" fillId="0" borderId="7" xfId="0" applyNumberFormat="1" applyFont="1" applyBorder="1" applyAlignment="1">
      <alignment horizontal="right" vertical="center"/>
    </xf>
    <xf numFmtId="0" fontId="50" fillId="0" borderId="0" xfId="0" applyFont="1" applyBorder="1" applyAlignment="1">
      <alignment horizontal="left" vertical="center"/>
    </xf>
    <xf numFmtId="185" fontId="49" fillId="0" borderId="8" xfId="0" applyNumberFormat="1" applyFont="1" applyBorder="1" applyAlignment="1">
      <alignment vertical="center" shrinkToFit="1"/>
    </xf>
    <xf numFmtId="0" fontId="49" fillId="0" borderId="8" xfId="0" applyFont="1" applyBorder="1" applyAlignment="1">
      <alignment vertical="center" shrinkToFit="1"/>
    </xf>
    <xf numFmtId="176" fontId="49" fillId="0" borderId="6" xfId="0" applyNumberFormat="1" applyFont="1" applyBorder="1" applyAlignment="1">
      <alignment vertical="center" shrinkToFit="1"/>
    </xf>
    <xf numFmtId="0" fontId="51" fillId="0" borderId="12" xfId="0" applyFont="1" applyBorder="1" applyAlignment="1">
      <alignment horizontal="center" vertical="center"/>
    </xf>
    <xf numFmtId="176" fontId="49" fillId="4" borderId="2" xfId="1" applyFont="1" applyFill="1" applyBorder="1" applyAlignment="1" applyProtection="1">
      <alignment vertical="center" shrinkToFit="1"/>
    </xf>
    <xf numFmtId="0" fontId="46" fillId="0" borderId="4" xfId="0" applyFont="1" applyBorder="1" applyAlignment="1">
      <alignment horizontal="distributed" vertical="center" wrapText="1"/>
    </xf>
    <xf numFmtId="185" fontId="49" fillId="4" borderId="2" xfId="1" applyNumberFormat="1" applyFont="1" applyFill="1" applyBorder="1" applyAlignment="1" applyProtection="1">
      <alignment vertical="center" shrinkToFit="1"/>
      <protection locked="0"/>
    </xf>
    <xf numFmtId="185" fontId="49" fillId="4" borderId="2" xfId="1" applyNumberFormat="1" applyFont="1" applyFill="1" applyBorder="1" applyAlignment="1" applyProtection="1">
      <alignment vertical="center" shrinkToFit="1"/>
    </xf>
    <xf numFmtId="176" fontId="49" fillId="4" borderId="19" xfId="1" applyFont="1" applyFill="1" applyBorder="1" applyAlignment="1" applyProtection="1">
      <alignment horizontal="center" vertical="center" shrinkToFit="1"/>
    </xf>
    <xf numFmtId="176" fontId="18" fillId="4" borderId="2" xfId="1" applyFont="1" applyFill="1" applyBorder="1" applyAlignment="1" applyProtection="1">
      <alignment vertical="center" shrinkToFit="1"/>
    </xf>
    <xf numFmtId="0" fontId="49" fillId="0" borderId="10" xfId="0" applyFont="1" applyBorder="1" applyAlignment="1">
      <alignment horizontal="center" vertical="center"/>
    </xf>
    <xf numFmtId="184" fontId="49" fillId="4" borderId="2" xfId="1" applyNumberFormat="1" applyFont="1" applyFill="1" applyBorder="1" applyAlignment="1" applyProtection="1">
      <alignment vertical="center" shrinkToFit="1"/>
      <protection locked="0"/>
    </xf>
    <xf numFmtId="184" fontId="49" fillId="4" borderId="2" xfId="1" applyNumberFormat="1" applyFont="1" applyFill="1" applyBorder="1" applyAlignment="1" applyProtection="1">
      <alignment vertical="center" shrinkToFit="1"/>
    </xf>
    <xf numFmtId="176" fontId="49" fillId="4" borderId="2" xfId="1" applyFont="1" applyFill="1" applyBorder="1" applyAlignment="1" applyProtection="1">
      <alignment vertical="center" shrinkToFit="1"/>
      <protection locked="0"/>
    </xf>
    <xf numFmtId="0" fontId="51" fillId="0" borderId="8" xfId="0" applyFont="1" applyBorder="1" applyAlignment="1">
      <alignment horizontal="center" vertical="center"/>
    </xf>
    <xf numFmtId="176" fontId="56" fillId="4" borderId="8" xfId="1" applyFont="1" applyFill="1" applyBorder="1" applyAlignment="1" applyProtection="1">
      <alignment vertical="center" shrinkToFit="1"/>
    </xf>
    <xf numFmtId="176" fontId="49" fillId="4" borderId="8" xfId="1" applyFont="1" applyFill="1" applyBorder="1" applyAlignment="1" applyProtection="1">
      <alignment vertical="center" shrinkToFit="1"/>
    </xf>
    <xf numFmtId="179" fontId="49" fillId="4" borderId="6" xfId="1" applyNumberFormat="1" applyFont="1" applyFill="1" applyBorder="1" applyAlignment="1" applyProtection="1">
      <alignment vertical="center" shrinkToFit="1"/>
      <protection locked="0"/>
    </xf>
    <xf numFmtId="179" fontId="49" fillId="4" borderId="6" xfId="1" applyNumberFormat="1" applyFont="1" applyFill="1" applyBorder="1" applyAlignment="1" applyProtection="1">
      <alignment vertical="center" shrinkToFit="1"/>
    </xf>
    <xf numFmtId="176" fontId="49" fillId="4" borderId="6" xfId="1" applyFont="1" applyFill="1" applyBorder="1" applyAlignment="1" applyProtection="1">
      <alignment vertical="center" shrinkToFit="1"/>
      <protection locked="0"/>
    </xf>
    <xf numFmtId="176" fontId="49" fillId="4" borderId="6" xfId="1" applyFont="1" applyFill="1" applyBorder="1" applyAlignment="1" applyProtection="1">
      <alignment vertical="center" shrinkToFit="1"/>
    </xf>
    <xf numFmtId="0" fontId="51" fillId="0" borderId="12" xfId="0" applyFont="1" applyBorder="1" applyAlignment="1">
      <alignment horizontal="distributed" vertical="center" wrapText="1"/>
    </xf>
    <xf numFmtId="184" fontId="49" fillId="4" borderId="7" xfId="1" applyNumberFormat="1" applyFont="1" applyFill="1" applyBorder="1" applyAlignment="1" applyProtection="1">
      <alignment vertical="center" shrinkToFit="1"/>
      <protection locked="0"/>
    </xf>
    <xf numFmtId="184" fontId="49" fillId="4" borderId="7" xfId="1" applyNumberFormat="1" applyFont="1" applyFill="1" applyBorder="1" applyAlignment="1" applyProtection="1">
      <alignment vertical="center" shrinkToFit="1"/>
    </xf>
    <xf numFmtId="184" fontId="51" fillId="4" borderId="3" xfId="1" applyNumberFormat="1" applyFont="1" applyFill="1" applyBorder="1" applyAlignment="1" applyProtection="1">
      <alignment horizontal="center" vertical="center" shrinkToFit="1"/>
    </xf>
    <xf numFmtId="0" fontId="49" fillId="0" borderId="11" xfId="0" applyFont="1" applyBorder="1" applyAlignment="1">
      <alignment horizontal="center" vertical="center"/>
    </xf>
    <xf numFmtId="176" fontId="49" fillId="4" borderId="18" xfId="1" applyFont="1" applyFill="1" applyBorder="1" applyAlignment="1" applyProtection="1">
      <alignment horizontal="center" vertical="center" shrinkToFit="1"/>
    </xf>
    <xf numFmtId="176" fontId="56" fillId="4" borderId="5" xfId="1" applyFont="1" applyFill="1" applyBorder="1" applyAlignment="1" applyProtection="1">
      <alignment vertical="center" shrinkToFit="1"/>
    </xf>
    <xf numFmtId="176" fontId="49" fillId="4" borderId="5" xfId="1" applyFont="1" applyFill="1" applyBorder="1" applyAlignment="1" applyProtection="1">
      <alignment vertical="center" shrinkToFit="1"/>
    </xf>
    <xf numFmtId="179" fontId="49" fillId="4" borderId="8" xfId="1" applyNumberFormat="1" applyFont="1" applyFill="1" applyBorder="1" applyAlignment="1" applyProtection="1">
      <alignment vertical="center" shrinkToFit="1"/>
      <protection locked="0"/>
    </xf>
    <xf numFmtId="179" fontId="49" fillId="4" borderId="8" xfId="1" applyNumberFormat="1" applyFont="1" applyFill="1" applyBorder="1" applyAlignment="1" applyProtection="1">
      <alignment vertical="center" shrinkToFit="1"/>
    </xf>
    <xf numFmtId="176" fontId="49" fillId="4" borderId="8" xfId="1" applyFont="1" applyFill="1" applyBorder="1" applyAlignment="1" applyProtection="1">
      <alignment vertical="center" shrinkToFit="1"/>
      <protection locked="0"/>
    </xf>
    <xf numFmtId="184" fontId="49" fillId="4" borderId="2" xfId="1" applyNumberFormat="1" applyFont="1" applyFill="1" applyBorder="1" applyAlignment="1" applyProtection="1">
      <alignment horizontal="right" vertical="center" shrinkToFit="1"/>
      <protection locked="0"/>
    </xf>
    <xf numFmtId="184" fontId="49" fillId="4" borderId="2" xfId="1" applyNumberFormat="1" applyFont="1" applyFill="1" applyBorder="1" applyAlignment="1" applyProtection="1">
      <alignment horizontal="right" vertical="center" shrinkToFit="1"/>
    </xf>
    <xf numFmtId="0" fontId="51" fillId="0" borderId="9" xfId="0" applyFont="1" applyBorder="1" applyAlignment="1">
      <alignment horizontal="distributed" vertical="center"/>
    </xf>
    <xf numFmtId="0" fontId="51" fillId="0" borderId="9" xfId="0" applyFont="1" applyBorder="1" applyAlignment="1">
      <alignment horizontal="right" vertical="center"/>
    </xf>
    <xf numFmtId="0" fontId="51" fillId="0" borderId="7" xfId="0" applyFont="1" applyBorder="1" applyAlignment="1">
      <alignment horizontal="center" vertical="center"/>
    </xf>
    <xf numFmtId="0" fontId="51" fillId="4" borderId="2" xfId="0" applyFont="1" applyFill="1" applyBorder="1" applyAlignment="1">
      <alignment horizontal="center" vertical="center"/>
    </xf>
    <xf numFmtId="0" fontId="51" fillId="4" borderId="5" xfId="0" applyFont="1" applyFill="1" applyBorder="1" applyAlignment="1">
      <alignment horizontal="center" vertical="center"/>
    </xf>
    <xf numFmtId="176" fontId="49" fillId="0" borderId="2" xfId="1" applyFont="1" applyBorder="1" applyAlignment="1" applyProtection="1">
      <alignment vertical="center"/>
    </xf>
    <xf numFmtId="178" fontId="49" fillId="0" borderId="2" xfId="1" applyNumberFormat="1" applyFont="1" applyBorder="1" applyAlignment="1" applyProtection="1">
      <alignment vertical="center"/>
    </xf>
    <xf numFmtId="178" fontId="49" fillId="0" borderId="17" xfId="1" applyNumberFormat="1" applyFont="1" applyBorder="1" applyAlignment="1" applyProtection="1">
      <alignment vertical="center"/>
    </xf>
    <xf numFmtId="0" fontId="33" fillId="0" borderId="12" xfId="0" applyFont="1" applyBorder="1" applyAlignment="1">
      <alignment horizontal="distributed" vertical="center"/>
    </xf>
    <xf numFmtId="176" fontId="49" fillId="4" borderId="2" xfId="1" applyFont="1" applyFill="1" applyBorder="1" applyAlignment="1" applyProtection="1">
      <alignment vertical="center"/>
      <protection locked="0"/>
    </xf>
    <xf numFmtId="176" fontId="49" fillId="4" borderId="2" xfId="1" applyFont="1" applyFill="1" applyBorder="1" applyAlignment="1" applyProtection="1">
      <alignment vertical="center"/>
    </xf>
    <xf numFmtId="178" fontId="49" fillId="4" borderId="2" xfId="1" applyNumberFormat="1" applyFont="1" applyFill="1" applyBorder="1" applyAlignment="1" applyProtection="1">
      <alignment vertical="center"/>
    </xf>
    <xf numFmtId="0" fontId="51" fillId="0" borderId="2" xfId="0" applyFont="1" applyBorder="1" applyAlignment="1">
      <alignment horizontal="center" vertical="center" textRotation="255" wrapText="1"/>
    </xf>
    <xf numFmtId="0" fontId="33" fillId="0" borderId="12" xfId="0" applyFont="1" applyBorder="1" applyAlignment="1">
      <alignment horizontal="distributed" vertical="center" wrapText="1"/>
    </xf>
    <xf numFmtId="176" fontId="45" fillId="4" borderId="2" xfId="1" applyFont="1" applyFill="1" applyBorder="1" applyAlignment="1" applyProtection="1">
      <alignment vertical="center"/>
    </xf>
    <xf numFmtId="0" fontId="51" fillId="0" borderId="6" xfId="0" applyFont="1" applyBorder="1" applyAlignment="1">
      <alignment horizontal="center" vertical="center" textRotation="255" wrapText="1"/>
    </xf>
    <xf numFmtId="0" fontId="33" fillId="0" borderId="2" xfId="0" applyFont="1" applyBorder="1" applyAlignment="1">
      <alignment horizontal="center" vertical="center" textRotation="255"/>
    </xf>
    <xf numFmtId="176" fontId="49" fillId="0" borderId="3" xfId="1" applyFont="1" applyBorder="1" applyAlignment="1" applyProtection="1">
      <alignment vertical="center"/>
    </xf>
    <xf numFmtId="0" fontId="51" fillId="0" borderId="5" xfId="0" applyFont="1" applyBorder="1" applyAlignment="1">
      <alignment horizontal="center" vertical="center"/>
    </xf>
    <xf numFmtId="0" fontId="51" fillId="0" borderId="6" xfId="0" applyFont="1" applyBorder="1" applyAlignment="1">
      <alignment horizontal="left" vertical="center"/>
    </xf>
    <xf numFmtId="0" fontId="51" fillId="0" borderId="2" xfId="0" applyFont="1" applyBorder="1" applyAlignment="1">
      <alignment horizontal="center" vertical="center" textRotation="255"/>
    </xf>
    <xf numFmtId="176" fontId="49" fillId="2" borderId="2" xfId="1" applyFont="1" applyFill="1" applyBorder="1" applyAlignment="1" applyProtection="1">
      <alignment vertical="center"/>
      <protection locked="0"/>
    </xf>
    <xf numFmtId="176" fontId="49" fillId="2" borderId="2" xfId="1" applyFont="1" applyFill="1" applyBorder="1" applyAlignment="1" applyProtection="1">
      <alignment vertical="center"/>
    </xf>
    <xf numFmtId="0" fontId="51" fillId="0" borderId="0" xfId="0" applyFont="1" applyBorder="1" applyAlignment="1">
      <alignment horizontal="center" vertical="center"/>
    </xf>
    <xf numFmtId="176" fontId="45" fillId="0" borderId="2" xfId="1" applyFont="1" applyBorder="1" applyAlignment="1" applyProtection="1">
      <alignment vertical="center"/>
    </xf>
    <xf numFmtId="0" fontId="36" fillId="2" borderId="12" xfId="0" applyFont="1" applyFill="1" applyBorder="1" applyAlignment="1">
      <alignment horizontal="distributed" vertical="center"/>
    </xf>
    <xf numFmtId="0" fontId="51" fillId="0" borderId="9" xfId="0" applyFont="1" applyBorder="1" applyAlignment="1">
      <alignment horizontal="center" vertical="center"/>
    </xf>
    <xf numFmtId="176" fontId="45" fillId="0" borderId="3" xfId="1" applyFont="1" applyBorder="1" applyAlignment="1" applyProtection="1">
      <alignment vertical="center"/>
    </xf>
    <xf numFmtId="0" fontId="51" fillId="0" borderId="4" xfId="0" applyFont="1" applyBorder="1" applyAlignment="1">
      <alignment horizontal="center" vertical="center"/>
    </xf>
    <xf numFmtId="0" fontId="46" fillId="0" borderId="12" xfId="0" applyFont="1" applyBorder="1" applyAlignment="1">
      <alignment horizontal="distributed" vertical="center"/>
    </xf>
    <xf numFmtId="0" fontId="51" fillId="0" borderId="11" xfId="0" applyFont="1" applyBorder="1" applyAlignment="1">
      <alignment horizontal="right" vertical="center"/>
    </xf>
    <xf numFmtId="0" fontId="51" fillId="0" borderId="10" xfId="0" applyFont="1" applyBorder="1" applyAlignment="1">
      <alignment horizontal="left" vertical="center"/>
    </xf>
    <xf numFmtId="176" fontId="49" fillId="0" borderId="2" xfId="0" applyNumberFormat="1" applyFont="1" applyBorder="1" applyAlignment="1">
      <alignment vertical="center"/>
    </xf>
    <xf numFmtId="183" fontId="49" fillId="2" borderId="2" xfId="1" applyNumberFormat="1" applyFont="1" applyFill="1" applyBorder="1" applyAlignment="1" applyProtection="1">
      <alignment vertical="center"/>
    </xf>
    <xf numFmtId="183" fontId="49" fillId="2" borderId="2" xfId="0" applyNumberFormat="1" applyFont="1" applyFill="1" applyBorder="1" applyAlignment="1">
      <alignment vertical="center"/>
    </xf>
    <xf numFmtId="192" fontId="49" fillId="0" borderId="2" xfId="1" applyNumberFormat="1" applyFont="1" applyBorder="1" applyAlignment="1" applyProtection="1">
      <alignment vertical="center"/>
    </xf>
    <xf numFmtId="0" fontId="49" fillId="0" borderId="2" xfId="0" applyFont="1" applyBorder="1" applyAlignment="1">
      <alignment horizontal="center"/>
    </xf>
    <xf numFmtId="176" fontId="49" fillId="0" borderId="2" xfId="1" applyFont="1" applyBorder="1" applyAlignment="1" applyProtection="1">
      <alignment horizontal="center"/>
    </xf>
    <xf numFmtId="176" fontId="49" fillId="0" borderId="10" xfId="1" applyFont="1" applyBorder="1" applyAlignment="1" applyProtection="1">
      <alignment horizontal="center"/>
    </xf>
    <xf numFmtId="183" fontId="49" fillId="0" borderId="2" xfId="1" applyNumberFormat="1" applyFont="1" applyBorder="1" applyAlignment="1" applyProtection="1">
      <alignment vertical="center"/>
    </xf>
    <xf numFmtId="0" fontId="51" fillId="0" borderId="0" xfId="0" applyFont="1" applyBorder="1" applyAlignment="1">
      <alignment horizontal="right" vertical="center"/>
    </xf>
    <xf numFmtId="0" fontId="51" fillId="0" borderId="14" xfId="0" applyFont="1" applyBorder="1" applyAlignment="1">
      <alignment horizontal="left" vertical="center"/>
    </xf>
    <xf numFmtId="0" fontId="51" fillId="0" borderId="6" xfId="0" applyFont="1" applyBorder="1" applyAlignment="1">
      <alignment horizontal="center" vertical="center"/>
    </xf>
    <xf numFmtId="0" fontId="22" fillId="3" borderId="12" xfId="0" applyFont="1" applyFill="1" applyBorder="1" applyAlignment="1">
      <alignment horizontal="distributed" vertical="center"/>
    </xf>
    <xf numFmtId="176" fontId="45" fillId="2" borderId="2" xfId="1" applyFont="1" applyFill="1" applyBorder="1" applyAlignment="1" applyProtection="1">
      <alignment vertical="center"/>
      <protection locked="0"/>
    </xf>
    <xf numFmtId="176" fontId="45" fillId="2" borderId="2" xfId="1" applyFont="1" applyFill="1" applyBorder="1" applyAlignment="1" applyProtection="1">
      <alignment vertical="center"/>
    </xf>
    <xf numFmtId="3" fontId="59" fillId="0" borderId="0" xfId="0" applyNumberFormat="1" applyFont="1" applyBorder="1" applyAlignment="1">
      <alignment horizontal="right" vertical="center"/>
    </xf>
    <xf numFmtId="178" fontId="59" fillId="0" borderId="0" xfId="0" applyNumberFormat="1" applyFont="1" applyBorder="1" applyAlignment="1">
      <alignment horizontal="right" vertical="center"/>
    </xf>
    <xf numFmtId="0" fontId="51" fillId="0" borderId="12" xfId="0" applyFont="1" applyBorder="1" applyAlignment="1">
      <alignment horizontal="distributed" vertical="center" shrinkToFit="1"/>
    </xf>
    <xf numFmtId="0" fontId="49" fillId="0" borderId="12" xfId="0" applyFont="1" applyBorder="1" applyAlignment="1">
      <alignment horizontal="distributed" vertical="center" shrinkToFit="1"/>
    </xf>
    <xf numFmtId="176" fontId="49" fillId="0" borderId="7" xfId="1" applyFont="1" applyBorder="1" applyAlignment="1" applyProtection="1">
      <alignment horizontal="right" vertical="center" shrinkToFit="1"/>
    </xf>
    <xf numFmtId="0" fontId="49" fillId="0" borderId="12" xfId="0" applyFont="1" applyBorder="1" applyAlignment="1">
      <alignment horizontal="center" vertical="center" shrinkToFit="1"/>
    </xf>
    <xf numFmtId="213" fontId="49" fillId="0" borderId="7" xfId="1" applyNumberFormat="1" applyFont="1" applyBorder="1" applyAlignment="1" applyProtection="1">
      <alignment horizontal="right" vertical="center" shrinkToFit="1"/>
    </xf>
    <xf numFmtId="0" fontId="51" fillId="0" borderId="2" xfId="0" applyFont="1" applyBorder="1" applyAlignment="1">
      <alignment horizontal="center" vertical="center" textRotation="255" shrinkToFit="1"/>
    </xf>
    <xf numFmtId="0" fontId="51" fillId="0" borderId="12" xfId="0" applyFont="1" applyBorder="1" applyAlignment="1">
      <alignment horizontal="center" vertical="center" shrinkToFit="1"/>
    </xf>
    <xf numFmtId="178" fontId="49" fillId="0" borderId="7" xfId="1" applyNumberFormat="1" applyFont="1" applyBorder="1" applyAlignment="1" applyProtection="1">
      <alignment horizontal="right" vertical="center" shrinkToFit="1"/>
    </xf>
    <xf numFmtId="0" fontId="51" fillId="0" borderId="0" xfId="0" applyFont="1" applyBorder="1" applyAlignment="1">
      <alignment shrinkToFit="1"/>
    </xf>
    <xf numFmtId="0" fontId="51" fillId="0" borderId="0" xfId="0" applyFont="1" applyBorder="1" applyAlignment="1">
      <alignment horizontal="right" vertical="center" shrinkToFit="1"/>
    </xf>
    <xf numFmtId="0" fontId="51" fillId="0" borderId="2" xfId="0" applyFont="1" applyBorder="1" applyAlignment="1">
      <alignment horizontal="center" vertical="center" shrinkToFit="1"/>
    </xf>
    <xf numFmtId="0" fontId="51" fillId="0" borderId="9" xfId="0" applyFont="1" applyBorder="1" applyAlignment="1">
      <alignment horizontal="right" vertical="center" shrinkToFit="1"/>
    </xf>
    <xf numFmtId="0" fontId="51" fillId="0" borderId="5" xfId="0" applyFont="1" applyBorder="1" applyAlignment="1">
      <alignment horizontal="center" vertical="center" shrinkToFit="1"/>
    </xf>
    <xf numFmtId="176" fontId="49" fillId="0" borderId="12" xfId="1" applyFont="1" applyBorder="1" applyAlignment="1" applyProtection="1">
      <alignment horizontal="right" vertical="center" shrinkToFit="1"/>
      <protection locked="0"/>
    </xf>
    <xf numFmtId="176" fontId="49" fillId="0" borderId="12" xfId="1" applyFont="1" applyBorder="1" applyAlignment="1" applyProtection="1">
      <alignment horizontal="right" vertical="center" shrinkToFit="1"/>
    </xf>
    <xf numFmtId="0" fontId="33" fillId="0" borderId="0" xfId="0" applyFont="1" applyBorder="1" applyAlignment="1">
      <alignment horizontal="distributed" vertical="center" shrinkToFit="1"/>
    </xf>
    <xf numFmtId="0" fontId="33" fillId="0" borderId="9" xfId="0" applyFont="1" applyBorder="1" applyAlignment="1">
      <alignment horizontal="distributed" shrinkToFit="1"/>
    </xf>
    <xf numFmtId="0" fontId="33" fillId="0" borderId="4" xfId="0" applyFont="1" applyBorder="1" applyAlignment="1">
      <alignment horizontal="distributed" vertical="top" shrinkToFit="1"/>
    </xf>
    <xf numFmtId="0" fontId="33" fillId="0" borderId="0" xfId="0" applyFont="1" applyBorder="1" applyAlignment="1">
      <alignment vertical="center" shrinkToFit="1"/>
    </xf>
    <xf numFmtId="0" fontId="33" fillId="0" borderId="9" xfId="0" applyFont="1" applyBorder="1" applyAlignment="1">
      <alignment horizontal="distributed" vertical="center" shrinkToFit="1"/>
    </xf>
    <xf numFmtId="0" fontId="51" fillId="0" borderId="7" xfId="0" applyFont="1" applyBorder="1" applyAlignment="1">
      <alignment horizontal="center" vertical="center" shrinkToFit="1"/>
    </xf>
    <xf numFmtId="176" fontId="49" fillId="0" borderId="9" xfId="1" applyFont="1" applyBorder="1" applyAlignment="1" applyProtection="1">
      <alignment horizontal="right" vertical="center" shrinkToFit="1"/>
    </xf>
    <xf numFmtId="9" fontId="49" fillId="0" borderId="9" xfId="0" applyNumberFormat="1" applyFont="1" applyBorder="1" applyAlignment="1">
      <alignment horizontal="right" vertical="center" shrinkToFit="1"/>
    </xf>
    <xf numFmtId="0" fontId="33" fillId="0" borderId="0" xfId="0" applyFont="1" applyBorder="1" applyAlignment="1">
      <alignment horizontal="distributed" vertical="top" shrinkToFit="1"/>
    </xf>
    <xf numFmtId="0" fontId="65" fillId="0" borderId="7" xfId="0" applyFont="1" applyBorder="1" applyAlignment="1">
      <alignment horizontal="distributed" vertical="center"/>
    </xf>
    <xf numFmtId="176" fontId="49" fillId="0" borderId="2" xfId="1" applyFont="1" applyBorder="1" applyAlignment="1" applyProtection="1">
      <alignment vertical="center" shrinkToFit="1"/>
    </xf>
    <xf numFmtId="176" fontId="49" fillId="0" borderId="2" xfId="1" applyFont="1" applyBorder="1" applyAlignment="1" applyProtection="1">
      <alignment vertical="center" shrinkToFit="1"/>
      <protection locked="0"/>
    </xf>
    <xf numFmtId="185" fontId="49" fillId="0" borderId="5" xfId="0" applyNumberFormat="1" applyFont="1" applyBorder="1" applyAlignment="1">
      <alignment vertical="center" shrinkToFit="1"/>
    </xf>
    <xf numFmtId="0" fontId="49" fillId="0" borderId="5" xfId="0" applyFont="1" applyBorder="1" applyAlignment="1">
      <alignment vertical="center" shrinkToFit="1"/>
    </xf>
    <xf numFmtId="176" fontId="49" fillId="0" borderId="5" xfId="0" applyNumberFormat="1" applyFont="1" applyBorder="1" applyAlignment="1">
      <alignment vertical="center" shrinkToFit="1"/>
    </xf>
    <xf numFmtId="187" fontId="62" fillId="0" borderId="5" xfId="1" applyNumberFormat="1" applyFont="1" applyBorder="1" applyAlignment="1" applyProtection="1">
      <alignment horizontal="right" vertical="center" shrinkToFit="1"/>
    </xf>
    <xf numFmtId="187" fontId="62" fillId="0" borderId="2" xfId="1" applyNumberFormat="1" applyFont="1" applyBorder="1" applyAlignment="1" applyProtection="1">
      <alignment horizontal="right" vertical="center" shrinkToFit="1"/>
    </xf>
    <xf numFmtId="182" fontId="62" fillId="0" borderId="2" xfId="1" applyNumberFormat="1" applyFont="1" applyBorder="1" applyAlignment="1" applyProtection="1">
      <alignment horizontal="right" vertical="center" shrinkToFit="1"/>
    </xf>
    <xf numFmtId="176" fontId="62" fillId="0" borderId="2" xfId="1" applyFont="1" applyBorder="1" applyAlignment="1" applyProtection="1">
      <alignment horizontal="right" vertical="center" shrinkToFit="1"/>
    </xf>
    <xf numFmtId="0" fontId="46" fillId="0" borderId="12" xfId="0" applyFont="1" applyBorder="1" applyAlignment="1">
      <alignment horizontal="distributed" vertical="center" wrapText="1"/>
    </xf>
    <xf numFmtId="185" fontId="49" fillId="0" borderId="2" xfId="1" applyNumberFormat="1" applyFont="1" applyBorder="1" applyAlignment="1" applyProtection="1">
      <alignment vertical="center" shrinkToFit="1"/>
    </xf>
    <xf numFmtId="176" fontId="49" fillId="0" borderId="19" xfId="1" applyFont="1" applyBorder="1" applyAlignment="1" applyProtection="1">
      <alignment horizontal="center" vertical="center" shrinkToFit="1"/>
    </xf>
    <xf numFmtId="0" fontId="33" fillId="0" borderId="4" xfId="0" applyFont="1" applyBorder="1" applyAlignment="1">
      <alignment horizontal="distributed" vertical="center" shrinkToFit="1"/>
    </xf>
    <xf numFmtId="182" fontId="62" fillId="0" borderId="5" xfId="1" applyNumberFormat="1" applyFont="1" applyBorder="1" applyAlignment="1" applyProtection="1">
      <alignment horizontal="right" vertical="center" shrinkToFit="1"/>
    </xf>
    <xf numFmtId="187" fontId="62" fillId="0" borderId="20" xfId="1" applyNumberFormat="1" applyFont="1" applyBorder="1" applyAlignment="1" applyProtection="1">
      <alignment horizontal="right" vertical="center" shrinkToFit="1"/>
    </xf>
    <xf numFmtId="176" fontId="62" fillId="0" borderId="5" xfId="1" applyFont="1" applyBorder="1" applyAlignment="1" applyProtection="1">
      <alignment horizontal="right" vertical="center" shrinkToFit="1"/>
    </xf>
    <xf numFmtId="176" fontId="49" fillId="0" borderId="6" xfId="1" applyFont="1" applyBorder="1" applyAlignment="1" applyProtection="1">
      <alignment vertical="center" shrinkToFit="1"/>
    </xf>
    <xf numFmtId="179" fontId="49" fillId="0" borderId="6" xfId="1" applyNumberFormat="1" applyFont="1" applyBorder="1" applyAlignment="1" applyProtection="1">
      <alignment vertical="center" shrinkToFit="1"/>
    </xf>
    <xf numFmtId="0" fontId="51" fillId="0" borderId="0" xfId="0" applyFont="1" applyBorder="1" applyAlignment="1">
      <alignment horizontal="distributed" vertical="center" shrinkToFit="1"/>
    </xf>
    <xf numFmtId="184" fontId="49" fillId="0" borderId="2" xfId="1" applyNumberFormat="1" applyFont="1" applyBorder="1" applyAlignment="1" applyProtection="1">
      <alignment vertical="center" shrinkToFit="1"/>
    </xf>
    <xf numFmtId="184" fontId="51" fillId="0" borderId="3" xfId="1" applyNumberFormat="1" applyFont="1" applyBorder="1" applyAlignment="1" applyProtection="1">
      <alignment horizontal="center" vertical="center" shrinkToFit="1"/>
    </xf>
    <xf numFmtId="176" fontId="56" fillId="0" borderId="8" xfId="1" applyFont="1" applyBorder="1" applyAlignment="1" applyProtection="1">
      <alignment vertical="center" shrinkToFit="1"/>
    </xf>
    <xf numFmtId="176" fontId="49" fillId="0" borderId="8" xfId="1" applyFont="1" applyBorder="1" applyAlignment="1" applyProtection="1">
      <alignment vertical="center" shrinkToFit="1"/>
    </xf>
    <xf numFmtId="184" fontId="49" fillId="0" borderId="7" xfId="1" applyNumberFormat="1" applyFont="1" applyBorder="1" applyAlignment="1" applyProtection="1">
      <alignment vertical="center" shrinkToFit="1"/>
    </xf>
    <xf numFmtId="0" fontId="33" fillId="0" borderId="12" xfId="0" applyFont="1" applyBorder="1" applyAlignment="1">
      <alignment horizontal="distributed" vertical="center" wrapText="1" shrinkToFit="1"/>
    </xf>
    <xf numFmtId="187" fontId="62" fillId="0" borderId="19" xfId="1" applyNumberFormat="1" applyFont="1" applyBorder="1" applyAlignment="1" applyProtection="1">
      <alignment horizontal="right" vertical="center" shrinkToFit="1"/>
    </xf>
    <xf numFmtId="176" fontId="49" fillId="0" borderId="18" xfId="1" applyFont="1" applyBorder="1" applyAlignment="1" applyProtection="1">
      <alignment horizontal="center" vertical="center" shrinkToFit="1"/>
    </xf>
    <xf numFmtId="182" fontId="62" fillId="0" borderId="2" xfId="1" applyNumberFormat="1" applyFont="1" applyBorder="1" applyAlignment="1" applyProtection="1">
      <alignment horizontal="right" vertical="center" shrinkToFit="1"/>
      <protection locked="0"/>
    </xf>
    <xf numFmtId="187" fontId="62" fillId="0" borderId="2" xfId="1" applyNumberFormat="1" applyFont="1" applyBorder="1" applyAlignment="1" applyProtection="1">
      <alignment horizontal="right" vertical="center" shrinkToFit="1"/>
      <protection locked="0"/>
    </xf>
    <xf numFmtId="176" fontId="56" fillId="0" borderId="5" xfId="1" applyFont="1" applyBorder="1" applyAlignment="1" applyProtection="1">
      <alignment vertical="center" shrinkToFit="1"/>
    </xf>
    <xf numFmtId="176" fontId="49" fillId="0" borderId="5" xfId="1" applyFont="1" applyBorder="1" applyAlignment="1" applyProtection="1">
      <alignment vertical="center" shrinkToFit="1"/>
    </xf>
    <xf numFmtId="179" fontId="49" fillId="0" borderId="8" xfId="1" applyNumberFormat="1" applyFont="1" applyBorder="1" applyAlignment="1" applyProtection="1">
      <alignment vertical="center" shrinkToFit="1"/>
    </xf>
    <xf numFmtId="184" fontId="49" fillId="0" borderId="2" xfId="1" applyNumberFormat="1" applyFont="1" applyBorder="1" applyAlignment="1" applyProtection="1">
      <alignment horizontal="right" vertical="center" shrinkToFit="1"/>
    </xf>
    <xf numFmtId="0" fontId="51" fillId="0" borderId="4" xfId="0" applyFont="1" applyBorder="1" applyAlignment="1">
      <alignment horizontal="distributed" vertical="center" shrinkToFit="1"/>
    </xf>
    <xf numFmtId="211" fontId="62" fillId="0" borderId="5" xfId="1" applyNumberFormat="1" applyFont="1" applyBorder="1" applyAlignment="1" applyProtection="1">
      <alignment horizontal="right" vertical="center" shrinkToFit="1"/>
    </xf>
    <xf numFmtId="0" fontId="62" fillId="0" borderId="2" xfId="0" applyFont="1" applyBorder="1" applyAlignment="1">
      <alignment horizontal="center" vertical="center" shrinkToFit="1"/>
    </xf>
    <xf numFmtId="0" fontId="33" fillId="0" borderId="2" xfId="0" applyFont="1" applyBorder="1" applyAlignment="1">
      <alignment horizontal="center" vertical="center" shrinkToFit="1"/>
    </xf>
    <xf numFmtId="0" fontId="51" fillId="0" borderId="9" xfId="0" applyFont="1" applyBorder="1" applyAlignment="1">
      <alignment horizontal="right" shrinkToFit="1"/>
    </xf>
    <xf numFmtId="9" fontId="51" fillId="0" borderId="2" xfId="2" applyFont="1" applyBorder="1" applyAlignment="1" applyProtection="1">
      <alignment horizontal="center" vertical="center" shrinkToFit="1"/>
    </xf>
    <xf numFmtId="0" fontId="49" fillId="0" borderId="2" xfId="0" applyFont="1" applyBorder="1" applyAlignment="1">
      <alignment horizontal="center" vertical="center"/>
    </xf>
    <xf numFmtId="0" fontId="33" fillId="0" borderId="9" xfId="0" applyFont="1" applyBorder="1" applyAlignment="1">
      <alignment horizontal="center" shrinkToFit="1"/>
    </xf>
    <xf numFmtId="0" fontId="33" fillId="0" borderId="4" xfId="0" applyFont="1" applyBorder="1" applyAlignment="1">
      <alignment horizontal="center" vertical="top" shrinkToFit="1"/>
    </xf>
    <xf numFmtId="176" fontId="51" fillId="0" borderId="9" xfId="1" applyFont="1" applyBorder="1" applyAlignment="1" applyProtection="1">
      <alignment horizontal="center" vertical="center" shrinkToFit="1"/>
    </xf>
    <xf numFmtId="209" fontId="62" fillId="0" borderId="2" xfId="0" applyNumberFormat="1" applyFont="1" applyBorder="1" applyAlignment="1">
      <alignment horizontal="right" vertical="center" shrinkToFit="1"/>
    </xf>
    <xf numFmtId="210" fontId="62" fillId="0" borderId="2" xfId="0" applyNumberFormat="1" applyFont="1" applyBorder="1" applyAlignment="1">
      <alignment vertical="center" shrinkToFit="1"/>
    </xf>
    <xf numFmtId="0" fontId="51" fillId="0" borderId="9" xfId="0" applyFont="1" applyBorder="1" applyAlignment="1">
      <alignment horizontal="center" vertical="center" shrinkToFit="1"/>
    </xf>
    <xf numFmtId="182" fontId="62" fillId="0" borderId="2" xfId="0" applyNumberFormat="1" applyFont="1" applyBorder="1" applyAlignment="1">
      <alignment vertical="center" shrinkToFit="1"/>
    </xf>
    <xf numFmtId="186" fontId="62" fillId="0" borderId="2" xfId="0" applyNumberFormat="1" applyFont="1" applyBorder="1" applyAlignment="1">
      <alignment horizontal="right" vertical="center" shrinkToFit="1"/>
    </xf>
    <xf numFmtId="0" fontId="51" fillId="0" borderId="9" xfId="0" applyFont="1" applyBorder="1" applyAlignment="1">
      <alignment horizontal="distributed" vertical="center" shrinkToFit="1"/>
    </xf>
    <xf numFmtId="186" fontId="62" fillId="0" borderId="6" xfId="0" applyNumberFormat="1" applyFont="1" applyBorder="1" applyAlignment="1">
      <alignment horizontal="right" vertical="center" shrinkToFit="1"/>
    </xf>
    <xf numFmtId="209" fontId="62" fillId="0" borderId="6" xfId="0" applyNumberFormat="1" applyFont="1" applyBorder="1" applyAlignment="1">
      <alignment horizontal="right" vertical="center" shrinkToFit="1"/>
    </xf>
    <xf numFmtId="210" fontId="62" fillId="0" borderId="6" xfId="0" applyNumberFormat="1" applyFont="1" applyBorder="1" applyAlignment="1">
      <alignment vertical="center" shrinkToFit="1"/>
    </xf>
    <xf numFmtId="0" fontId="62" fillId="0" borderId="19" xfId="0" applyFont="1" applyBorder="1" applyAlignment="1">
      <alignment horizontal="right" vertical="center" shrinkToFit="1"/>
    </xf>
    <xf numFmtId="210" fontId="62" fillId="0" borderId="5" xfId="0" applyNumberFormat="1" applyFont="1" applyBorder="1" applyAlignment="1">
      <alignment vertical="center" shrinkToFit="1"/>
    </xf>
    <xf numFmtId="209" fontId="62" fillId="0" borderId="5" xfId="0" applyNumberFormat="1" applyFont="1" applyBorder="1" applyAlignment="1">
      <alignment horizontal="right" vertical="center" shrinkToFit="1"/>
    </xf>
    <xf numFmtId="0" fontId="62" fillId="0" borderId="19" xfId="0" applyFont="1" applyBorder="1" applyAlignment="1">
      <alignment vertical="center" shrinkToFit="1"/>
    </xf>
    <xf numFmtId="186" fontId="62" fillId="0" borderId="5" xfId="0" applyNumberFormat="1" applyFont="1" applyBorder="1" applyAlignment="1">
      <alignment horizontal="right" vertical="center" shrinkToFit="1"/>
    </xf>
    <xf numFmtId="0" fontId="49" fillId="0" borderId="19" xfId="0" applyFont="1" applyBorder="1" applyAlignment="1">
      <alignment shrinkToFit="1"/>
    </xf>
    <xf numFmtId="187" fontId="62" fillId="0" borderId="2" xfId="0" applyNumberFormat="1" applyFont="1" applyBorder="1" applyAlignment="1">
      <alignment vertical="center" shrinkToFit="1"/>
    </xf>
    <xf numFmtId="186" fontId="62" fillId="0" borderId="2" xfId="0" applyNumberFormat="1" applyFont="1" applyBorder="1" applyAlignment="1" applyProtection="1">
      <alignment horizontal="right" vertical="center" shrinkToFit="1"/>
      <protection locked="0"/>
    </xf>
    <xf numFmtId="49" fontId="62" fillId="0" borderId="2" xfId="0" applyNumberFormat="1" applyFont="1" applyBorder="1" applyAlignment="1">
      <alignment horizontal="center" vertical="center" shrinkToFit="1"/>
    </xf>
    <xf numFmtId="0" fontId="46" fillId="0" borderId="12" xfId="0" applyFont="1" applyBorder="1" applyAlignment="1">
      <alignment horizontal="distributed" vertical="center" wrapText="1" shrinkToFit="1"/>
    </xf>
    <xf numFmtId="0" fontId="33" fillId="0" borderId="12" xfId="0" applyFont="1" applyBorder="1" applyAlignment="1">
      <alignment horizontal="distributed" vertical="center" shrinkToFit="1"/>
    </xf>
    <xf numFmtId="0" fontId="61" fillId="0" borderId="2" xfId="0" applyFont="1" applyBorder="1" applyAlignment="1">
      <alignment horizontal="center" vertical="center" shrinkToFit="1"/>
    </xf>
    <xf numFmtId="0" fontId="46" fillId="0" borderId="2" xfId="0" applyFont="1" applyBorder="1" applyAlignment="1">
      <alignment horizontal="center" vertical="center" wrapText="1"/>
    </xf>
    <xf numFmtId="0" fontId="56" fillId="0" borderId="2" xfId="0" applyFont="1" applyBorder="1" applyAlignment="1">
      <alignment horizontal="center" vertical="center" shrinkToFit="1"/>
    </xf>
    <xf numFmtId="176" fontId="37" fillId="0" borderId="6" xfId="1" applyFont="1" applyBorder="1" applyAlignment="1" applyProtection="1">
      <alignment horizontal="right" vertical="center"/>
    </xf>
    <xf numFmtId="195" fontId="37" fillId="0" borderId="2" xfId="1" applyNumberFormat="1" applyFont="1" applyBorder="1" applyAlignment="1" applyProtection="1">
      <alignment horizontal="right" vertical="center"/>
    </xf>
    <xf numFmtId="192" fontId="18" fillId="0" borderId="2" xfId="1" applyNumberFormat="1" applyFont="1" applyBorder="1" applyAlignment="1" applyProtection="1">
      <alignment horizontal="right" vertical="center"/>
    </xf>
    <xf numFmtId="192" fontId="37" fillId="0" borderId="2" xfId="1" applyNumberFormat="1" applyFont="1" applyBorder="1" applyAlignment="1" applyProtection="1">
      <alignment horizontal="right" vertical="center"/>
    </xf>
    <xf numFmtId="0" fontId="22" fillId="0" borderId="8" xfId="0" applyFont="1" applyBorder="1" applyAlignment="1">
      <alignment horizontal="left" vertical="center"/>
    </xf>
    <xf numFmtId="0" fontId="22" fillId="0" borderId="6" xfId="0" applyFont="1" applyBorder="1" applyAlignment="1">
      <alignment horizontal="right" vertical="center"/>
    </xf>
    <xf numFmtId="0" fontId="18" fillId="0" borderId="0" xfId="0" applyFont="1" applyBorder="1" applyAlignment="1">
      <alignment horizontal="right" vertical="center"/>
    </xf>
    <xf numFmtId="191" fontId="18" fillId="0" borderId="12" xfId="0" applyNumberFormat="1" applyFont="1" applyBorder="1" applyAlignment="1" applyProtection="1">
      <alignment horizontal="right" vertical="center"/>
      <protection locked="0"/>
    </xf>
    <xf numFmtId="191" fontId="18" fillId="0" borderId="12" xfId="0" applyNumberFormat="1" applyFont="1" applyBorder="1" applyAlignment="1">
      <alignment horizontal="right" vertical="center"/>
    </xf>
    <xf numFmtId="0" fontId="18" fillId="0" borderId="0" xfId="0" applyFont="1" applyBorder="1" applyAlignment="1">
      <alignment horizontal="center" vertical="center"/>
    </xf>
    <xf numFmtId="190" fontId="18" fillId="0" borderId="12" xfId="0" applyNumberFormat="1" applyFont="1" applyBorder="1" applyAlignment="1" applyProtection="1">
      <alignment horizontal="right" vertical="center"/>
      <protection locked="0"/>
    </xf>
    <xf numFmtId="190" fontId="18" fillId="0" borderId="12" xfId="0" applyNumberFormat="1" applyFont="1" applyBorder="1" applyAlignment="1">
      <alignment horizontal="right" vertical="center"/>
    </xf>
    <xf numFmtId="190" fontId="18" fillId="0" borderId="0" xfId="0" applyNumberFormat="1" applyFont="1" applyBorder="1" applyAlignment="1">
      <alignment horizontal="right" vertical="center"/>
    </xf>
    <xf numFmtId="176" fontId="49" fillId="0" borderId="2" xfId="1" applyFont="1" applyBorder="1" applyAlignment="1" applyProtection="1">
      <alignment horizontal="right" vertical="center"/>
    </xf>
    <xf numFmtId="178" fontId="37" fillId="0" borderId="6" xfId="1" applyNumberFormat="1" applyFont="1" applyBorder="1" applyAlignment="1" applyProtection="1">
      <alignment horizontal="right" vertical="center"/>
    </xf>
    <xf numFmtId="178" fontId="18" fillId="0" borderId="2" xfId="1" applyNumberFormat="1" applyFont="1" applyBorder="1" applyAlignment="1" applyProtection="1">
      <alignment horizontal="right" vertical="center"/>
    </xf>
    <xf numFmtId="0" fontId="18" fillId="0" borderId="12" xfId="0" applyFont="1" applyBorder="1" applyAlignment="1" applyProtection="1">
      <alignment horizontal="right" vertical="center"/>
      <protection locked="0"/>
    </xf>
    <xf numFmtId="0" fontId="18" fillId="0" borderId="12" xfId="0" applyFont="1" applyBorder="1" applyAlignment="1">
      <alignment horizontal="right" vertical="center"/>
    </xf>
    <xf numFmtId="187" fontId="37" fillId="0" borderId="2" xfId="1" applyNumberFormat="1" applyFont="1" applyBorder="1" applyAlignment="1" applyProtection="1">
      <alignment horizontal="right" vertical="center"/>
    </xf>
    <xf numFmtId="0" fontId="73" fillId="0" borderId="2" xfId="0" applyFont="1" applyBorder="1" applyAlignment="1">
      <alignment horizontal="distributed" vertical="center" indent="1"/>
    </xf>
    <xf numFmtId="193" fontId="18" fillId="0" borderId="12" xfId="0" applyNumberFormat="1" applyFont="1" applyBorder="1" applyAlignment="1" applyProtection="1">
      <alignment horizontal="right" vertical="center"/>
      <protection locked="0"/>
    </xf>
    <xf numFmtId="193" fontId="18" fillId="0" borderId="12" xfId="0" applyNumberFormat="1" applyFont="1" applyBorder="1" applyAlignment="1">
      <alignment horizontal="right" vertical="center"/>
    </xf>
    <xf numFmtId="194" fontId="18" fillId="0" borderId="12" xfId="0" applyNumberFormat="1" applyFont="1" applyBorder="1" applyAlignment="1" applyProtection="1">
      <alignment horizontal="right" vertical="center"/>
      <protection locked="0"/>
    </xf>
    <xf numFmtId="194" fontId="18" fillId="0" borderId="12" xfId="0" applyNumberFormat="1" applyFont="1" applyBorder="1" applyAlignment="1">
      <alignment horizontal="right" vertical="center"/>
    </xf>
    <xf numFmtId="0" fontId="22" fillId="0" borderId="4" xfId="0" applyFont="1" applyBorder="1" applyAlignment="1">
      <alignment horizontal="distributed" vertical="center"/>
    </xf>
    <xf numFmtId="0" fontId="22" fillId="0" borderId="3" xfId="0" applyFont="1" applyBorder="1" applyAlignment="1">
      <alignment horizontal="distributed" vertical="center"/>
    </xf>
    <xf numFmtId="0" fontId="22" fillId="0" borderId="2" xfId="0" applyFont="1" applyBorder="1" applyAlignment="1">
      <alignment horizontal="distributed" vertical="center"/>
    </xf>
    <xf numFmtId="0" fontId="22" fillId="0" borderId="9" xfId="0" applyFont="1" applyBorder="1" applyAlignment="1">
      <alignment horizontal="distributed" vertical="center"/>
    </xf>
    <xf numFmtId="0" fontId="22" fillId="0" borderId="7" xfId="0" applyFont="1" applyBorder="1" applyAlignment="1">
      <alignment horizontal="distributed" vertical="center"/>
    </xf>
    <xf numFmtId="0" fontId="22" fillId="0" borderId="2" xfId="3" applyFont="1" applyBorder="1" applyAlignment="1">
      <alignment horizontal="center" vertical="center" textRotation="255" shrinkToFit="1"/>
    </xf>
    <xf numFmtId="0" fontId="22" fillId="0" borderId="2" xfId="3" applyFont="1" applyBorder="1" applyAlignment="1">
      <alignment horizontal="center" vertical="center"/>
    </xf>
    <xf numFmtId="0" fontId="22" fillId="0" borderId="11" xfId="3" applyFont="1" applyBorder="1" applyAlignment="1">
      <alignment horizontal="distributed" vertical="center"/>
    </xf>
    <xf numFmtId="0" fontId="22" fillId="0" borderId="2" xfId="3" applyFont="1" applyBorder="1" applyAlignment="1">
      <alignment horizontal="distributed" vertical="center"/>
    </xf>
    <xf numFmtId="178" fontId="37" fillId="0" borderId="12" xfId="1" applyNumberFormat="1" applyFont="1" applyBorder="1" applyAlignment="1" applyProtection="1">
      <alignment horizontal="right" vertical="center"/>
    </xf>
    <xf numFmtId="176" fontId="37" fillId="0" borderId="12" xfId="1" applyFont="1" applyBorder="1" applyAlignment="1" applyProtection="1">
      <alignment horizontal="right" vertical="center"/>
    </xf>
    <xf numFmtId="176" fontId="18" fillId="0" borderId="10" xfId="1" applyFont="1" applyBorder="1" applyAlignment="1" applyProtection="1">
      <alignment horizontal="right" vertical="center"/>
      <protection locked="0"/>
    </xf>
    <xf numFmtId="176" fontId="18" fillId="0" borderId="10" xfId="1" applyFont="1" applyBorder="1" applyAlignment="1" applyProtection="1">
      <alignment horizontal="right" vertical="center"/>
    </xf>
    <xf numFmtId="176" fontId="18" fillId="0" borderId="12" xfId="1" applyFont="1" applyBorder="1" applyAlignment="1" applyProtection="1">
      <alignment horizontal="right" vertical="center"/>
    </xf>
    <xf numFmtId="178" fontId="37" fillId="0" borderId="4" xfId="1" applyNumberFormat="1" applyFont="1" applyBorder="1" applyAlignment="1" applyProtection="1">
      <alignment horizontal="right" vertical="center"/>
    </xf>
    <xf numFmtId="178" fontId="37" fillId="0" borderId="0" xfId="1" applyNumberFormat="1" applyFont="1" applyBorder="1" applyAlignment="1" applyProtection="1">
      <alignment horizontal="right" vertical="center"/>
    </xf>
    <xf numFmtId="178" fontId="37" fillId="0" borderId="10" xfId="1" applyNumberFormat="1" applyFont="1" applyBorder="1" applyAlignment="1" applyProtection="1">
      <alignment horizontal="right" vertical="center"/>
    </xf>
    <xf numFmtId="0" fontId="22" fillId="0" borderId="15" xfId="0" applyFont="1" applyBorder="1" applyAlignment="1">
      <alignment horizontal="center" vertical="center"/>
    </xf>
    <xf numFmtId="176" fontId="22" fillId="0" borderId="2" xfId="4" applyFont="1" applyBorder="1" applyAlignment="1" applyProtection="1">
      <alignment horizontal="center" vertical="center" wrapText="1"/>
    </xf>
    <xf numFmtId="0" fontId="18" fillId="0" borderId="2" xfId="0" applyFont="1" applyBorder="1" applyAlignment="1">
      <alignment horizontal="center" vertical="center"/>
    </xf>
    <xf numFmtId="0" fontId="18" fillId="0" borderId="2" xfId="0" applyFont="1" applyBorder="1" applyAlignment="1" applyProtection="1">
      <alignment horizontal="center" vertical="center"/>
      <protection locked="0"/>
    </xf>
    <xf numFmtId="178" fontId="68" fillId="0" borderId="2" xfId="0" applyNumberFormat="1" applyFont="1" applyBorder="1" applyAlignment="1">
      <alignment horizontal="center" vertical="center"/>
    </xf>
    <xf numFmtId="176" fontId="22" fillId="0" borderId="2" xfId="4" applyFont="1" applyBorder="1" applyAlignment="1" applyProtection="1">
      <alignment horizontal="center" vertical="center"/>
    </xf>
    <xf numFmtId="176" fontId="18" fillId="0" borderId="2" xfId="4" applyFont="1" applyBorder="1" applyAlignment="1" applyProtection="1">
      <alignment horizontal="center" vertical="center"/>
    </xf>
    <xf numFmtId="0" fontId="22" fillId="0" borderId="5" xfId="0" applyFont="1" applyBorder="1" applyAlignment="1">
      <alignment horizontal="center" vertical="center" textRotation="255"/>
    </xf>
    <xf numFmtId="0" fontId="22" fillId="0" borderId="4" xfId="0" applyFont="1" applyBorder="1" applyAlignment="1">
      <alignment horizontal="distributed" vertical="center" shrinkToFit="1"/>
    </xf>
    <xf numFmtId="0" fontId="28" fillId="0" borderId="25" xfId="0" applyFont="1" applyBorder="1" applyAlignment="1">
      <alignment horizontal="distributed" vertical="center" shrinkToFit="1"/>
    </xf>
    <xf numFmtId="176" fontId="18" fillId="0" borderId="27" xfId="1" applyFont="1" applyBorder="1" applyAlignment="1" applyProtection="1">
      <alignment horizontal="right" vertical="center"/>
    </xf>
    <xf numFmtId="176" fontId="18" fillId="0" borderId="27" xfId="1" applyFont="1" applyBorder="1" applyAlignment="1" applyProtection="1">
      <alignment horizontal="right" vertical="center"/>
      <protection locked="0"/>
    </xf>
    <xf numFmtId="178" fontId="37" fillId="0" borderId="27" xfId="1" applyNumberFormat="1" applyFont="1" applyBorder="1" applyAlignment="1" applyProtection="1">
      <alignment horizontal="right" vertical="center"/>
    </xf>
    <xf numFmtId="0" fontId="22" fillId="0" borderId="0" xfId="0" applyFont="1" applyBorder="1" applyAlignment="1">
      <alignment vertical="center"/>
    </xf>
    <xf numFmtId="0" fontId="22" fillId="0" borderId="9" xfId="0" applyFont="1" applyBorder="1" applyAlignment="1">
      <alignment horizontal="right"/>
    </xf>
    <xf numFmtId="0" fontId="27" fillId="0" borderId="12" xfId="0" applyFont="1" applyBorder="1" applyAlignment="1">
      <alignment horizontal="distributed" vertical="center"/>
    </xf>
    <xf numFmtId="176" fontId="18" fillId="0" borderId="12" xfId="1" applyFont="1" applyBorder="1" applyAlignment="1" applyProtection="1">
      <alignment horizontal="right" vertical="center"/>
      <protection locked="0"/>
    </xf>
    <xf numFmtId="0" fontId="22" fillId="0" borderId="11" xfId="0" applyFont="1" applyBorder="1" applyAlignment="1">
      <alignment horizontal="right" vertical="center"/>
    </xf>
    <xf numFmtId="0" fontId="22" fillId="0" borderId="14" xfId="0" applyFont="1" applyBorder="1" applyAlignment="1">
      <alignment horizontal="left" vertical="center"/>
    </xf>
    <xf numFmtId="176" fontId="51" fillId="0" borderId="12" xfId="1" applyFont="1" applyBorder="1" applyAlignment="1" applyProtection="1">
      <alignment horizontal="center" vertical="center"/>
    </xf>
    <xf numFmtId="176" fontId="45" fillId="0" borderId="7" xfId="1" applyFont="1" applyBorder="1" applyAlignment="1" applyProtection="1">
      <alignment vertical="center"/>
    </xf>
    <xf numFmtId="0" fontId="51" fillId="0" borderId="0" xfId="0" applyFont="1" applyBorder="1" applyAlignment="1"/>
    <xf numFmtId="176" fontId="51" fillId="0" borderId="2" xfId="1" applyFont="1" applyBorder="1" applyAlignment="1" applyProtection="1">
      <alignment horizontal="center" vertical="center" textRotation="255"/>
    </xf>
    <xf numFmtId="176" fontId="46" fillId="0" borderId="12" xfId="1" applyFont="1" applyBorder="1" applyAlignment="1" applyProtection="1">
      <alignment horizontal="distributed" vertical="center"/>
    </xf>
    <xf numFmtId="176" fontId="49" fillId="2" borderId="7" xfId="1" applyFont="1" applyFill="1" applyBorder="1" applyAlignment="1" applyProtection="1">
      <alignment vertical="center"/>
      <protection locked="0"/>
    </xf>
    <xf numFmtId="176" fontId="49" fillId="2" borderId="7" xfId="1" applyFont="1" applyFill="1" applyBorder="1" applyAlignment="1" applyProtection="1">
      <alignment vertical="center"/>
    </xf>
    <xf numFmtId="0" fontId="84" fillId="0" borderId="12" xfId="0" applyFont="1" applyBorder="1" applyAlignment="1">
      <alignment horizontal="left" vertical="center" wrapText="1"/>
    </xf>
    <xf numFmtId="176" fontId="33" fillId="0" borderId="12" xfId="1" applyFont="1" applyBorder="1" applyAlignment="1" applyProtection="1">
      <alignment horizontal="distributed" vertical="center"/>
    </xf>
    <xf numFmtId="176" fontId="49" fillId="2" borderId="2" xfId="1" applyFont="1" applyFill="1" applyBorder="1" applyAlignment="1" applyProtection="1">
      <alignment horizontal="right" vertical="center"/>
      <protection locked="0"/>
    </xf>
    <xf numFmtId="176" fontId="49" fillId="2" borderId="2" xfId="1" applyFont="1" applyFill="1" applyBorder="1" applyAlignment="1" applyProtection="1">
      <alignment horizontal="right" vertical="center"/>
    </xf>
    <xf numFmtId="176" fontId="49" fillId="0" borderId="7" xfId="1" applyFont="1" applyBorder="1" applyAlignment="1" applyProtection="1">
      <alignment vertical="center"/>
    </xf>
    <xf numFmtId="0" fontId="33" fillId="0" borderId="5" xfId="0" applyFont="1" applyBorder="1" applyAlignment="1">
      <alignment vertical="center" textRotation="255" wrapText="1"/>
    </xf>
    <xf numFmtId="176" fontId="49" fillId="0" borderId="12" xfId="1" applyFont="1" applyBorder="1" applyAlignment="1" applyProtection="1">
      <alignment horizontal="left" vertical="center"/>
    </xf>
    <xf numFmtId="0" fontId="66" fillId="0" borderId="2" xfId="0" applyFont="1" applyBorder="1" applyAlignment="1">
      <alignment vertical="center" textRotation="255"/>
    </xf>
    <xf numFmtId="176" fontId="51" fillId="0" borderId="4" xfId="1" applyFont="1" applyBorder="1" applyAlignment="1" applyProtection="1">
      <alignment horizontal="distributed" vertical="center"/>
    </xf>
    <xf numFmtId="0" fontId="83" fillId="0" borderId="12" xfId="0" applyFont="1" applyBorder="1" applyAlignment="1">
      <alignment horizontal="left" vertical="center"/>
    </xf>
    <xf numFmtId="176" fontId="46" fillId="0" borderId="12" xfId="1" applyFont="1" applyBorder="1" applyAlignment="1" applyProtection="1">
      <alignment horizontal="distributed" vertical="center" wrapText="1"/>
    </xf>
    <xf numFmtId="0" fontId="46" fillId="0" borderId="2" xfId="0" applyFont="1" applyBorder="1" applyAlignment="1">
      <alignment vertical="center" textRotation="255"/>
    </xf>
    <xf numFmtId="176" fontId="33" fillId="0" borderId="4" xfId="1" applyFont="1" applyBorder="1" applyAlignment="1" applyProtection="1">
      <alignment horizontal="distributed" vertical="center"/>
    </xf>
    <xf numFmtId="176" fontId="49" fillId="0" borderId="7" xfId="1" applyFont="1" applyBorder="1" applyAlignment="1" applyProtection="1">
      <alignment vertical="center"/>
      <protection locked="0"/>
    </xf>
    <xf numFmtId="0" fontId="66" fillId="0" borderId="6" xfId="0" applyFont="1" applyBorder="1" applyAlignment="1">
      <alignment vertical="center" textRotation="255"/>
    </xf>
    <xf numFmtId="176" fontId="66" fillId="0" borderId="12" xfId="1" applyFont="1" applyBorder="1" applyAlignment="1" applyProtection="1">
      <alignment horizontal="distributed" vertical="center" shrinkToFit="1"/>
    </xf>
    <xf numFmtId="176" fontId="46" fillId="0" borderId="4" xfId="1" applyFont="1" applyBorder="1" applyAlignment="1" applyProtection="1">
      <alignment horizontal="distributed" vertical="center"/>
    </xf>
    <xf numFmtId="0" fontId="83" fillId="0" borderId="12" xfId="0" applyFont="1" applyBorder="1" applyAlignment="1">
      <alignment horizontal="left" vertical="distributed" wrapText="1"/>
    </xf>
    <xf numFmtId="176" fontId="51" fillId="0" borderId="7" xfId="1" applyFont="1" applyBorder="1" applyAlignment="1" applyProtection="1">
      <alignment horizontal="center" vertical="center"/>
    </xf>
    <xf numFmtId="176" fontId="51" fillId="0" borderId="2" xfId="1" applyFont="1" applyBorder="1" applyAlignment="1" applyProtection="1">
      <alignment horizontal="center" vertical="center"/>
    </xf>
    <xf numFmtId="0" fontId="82" fillId="0" borderId="6" xfId="0" applyFont="1" applyBorder="1" applyAlignment="1">
      <alignment vertical="center" textRotation="255"/>
    </xf>
    <xf numFmtId="0" fontId="82" fillId="0" borderId="3" xfId="0" applyFont="1" applyBorder="1" applyAlignment="1">
      <alignment horizontal="center" vertical="center"/>
    </xf>
    <xf numFmtId="0" fontId="82" fillId="0" borderId="2" xfId="0" applyFont="1" applyBorder="1" applyAlignment="1">
      <alignment horizontal="center" vertical="center"/>
    </xf>
    <xf numFmtId="0" fontId="52" fillId="0" borderId="2" xfId="0" applyFont="1" applyBorder="1" applyAlignment="1">
      <alignment horizontal="center" vertical="center"/>
    </xf>
    <xf numFmtId="176" fontId="49" fillId="2" borderId="12" xfId="1" applyFont="1" applyFill="1" applyBorder="1" applyAlignment="1" applyProtection="1">
      <alignment horizontal="right" vertical="center"/>
      <protection locked="0"/>
    </xf>
    <xf numFmtId="176" fontId="49" fillId="2" borderId="12" xfId="1" applyFont="1" applyFill="1" applyBorder="1" applyAlignment="1" applyProtection="1">
      <alignment horizontal="right" vertical="center"/>
    </xf>
    <xf numFmtId="176" fontId="49" fillId="2" borderId="7" xfId="1" applyFont="1" applyFill="1" applyBorder="1" applyAlignment="1" applyProtection="1">
      <alignment horizontal="right" vertical="center"/>
    </xf>
    <xf numFmtId="178" fontId="49" fillId="0" borderId="12" xfId="1" applyNumberFormat="1" applyFont="1" applyBorder="1" applyAlignment="1" applyProtection="1">
      <alignment horizontal="right" vertical="center"/>
    </xf>
    <xf numFmtId="176" fontId="45" fillId="0" borderId="14" xfId="1" applyFont="1" applyBorder="1" applyAlignment="1" applyProtection="1">
      <alignment horizontal="right" vertical="center"/>
    </xf>
    <xf numFmtId="176" fontId="49" fillId="0" borderId="14" xfId="1" applyFont="1" applyBorder="1" applyAlignment="1" applyProtection="1">
      <alignment horizontal="right" vertical="center"/>
    </xf>
    <xf numFmtId="178" fontId="49" fillId="0" borderId="14" xfId="1" applyNumberFormat="1" applyFont="1" applyBorder="1" applyAlignment="1" applyProtection="1">
      <alignment horizontal="right" vertical="center"/>
    </xf>
    <xf numFmtId="178" fontId="49" fillId="0" borderId="9" xfId="1" applyNumberFormat="1" applyFont="1" applyBorder="1" applyAlignment="1" applyProtection="1">
      <alignment horizontal="right" vertical="center"/>
    </xf>
    <xf numFmtId="176" fontId="49" fillId="2" borderId="14" xfId="1" applyFont="1" applyFill="1" applyBorder="1" applyAlignment="1" applyProtection="1">
      <alignment horizontal="right" vertical="center"/>
      <protection locked="0"/>
    </xf>
    <xf numFmtId="176" fontId="49" fillId="2" borderId="14" xfId="1" applyFont="1" applyFill="1" applyBorder="1" applyAlignment="1" applyProtection="1">
      <alignment horizontal="right" vertical="center"/>
    </xf>
    <xf numFmtId="176" fontId="49" fillId="2" borderId="4" xfId="1" applyFont="1" applyFill="1" applyBorder="1" applyAlignment="1" applyProtection="1">
      <alignment horizontal="right" vertical="center"/>
      <protection locked="0"/>
    </xf>
    <xf numFmtId="176" fontId="49" fillId="2" borderId="4" xfId="1" applyFont="1" applyFill="1" applyBorder="1" applyAlignment="1" applyProtection="1">
      <alignment horizontal="right" vertical="center"/>
    </xf>
    <xf numFmtId="176" fontId="49" fillId="2" borderId="11" xfId="1" applyFont="1" applyFill="1" applyBorder="1" applyAlignment="1" applyProtection="1">
      <alignment horizontal="right" vertical="center"/>
    </xf>
    <xf numFmtId="178" fontId="49" fillId="0" borderId="4" xfId="1" applyNumberFormat="1" applyFont="1" applyBorder="1" applyAlignment="1" applyProtection="1">
      <alignment horizontal="right" vertical="center"/>
    </xf>
    <xf numFmtId="176" fontId="49" fillId="2" borderId="7" xfId="1" applyFont="1" applyFill="1" applyBorder="1" applyAlignment="1" applyProtection="1">
      <alignment horizontal="right" vertical="center"/>
      <protection locked="0"/>
    </xf>
    <xf numFmtId="0" fontId="51" fillId="0" borderId="0" xfId="0" applyFont="1" applyBorder="1" applyAlignment="1">
      <alignment horizontal="distributed" vertical="center"/>
    </xf>
    <xf numFmtId="176" fontId="49" fillId="2" borderId="11" xfId="1" applyFont="1" applyFill="1" applyBorder="1" applyAlignment="1" applyProtection="1">
      <alignment horizontal="right" vertical="center"/>
      <protection locked="0"/>
    </xf>
    <xf numFmtId="0" fontId="51" fillId="0" borderId="4" xfId="0" applyFont="1" applyBorder="1" applyAlignment="1">
      <alignment horizontal="distributed" vertical="center"/>
    </xf>
    <xf numFmtId="0" fontId="51" fillId="0" borderId="3" xfId="0" applyFont="1" applyBorder="1" applyAlignment="1">
      <alignment horizontal="center" vertical="center"/>
    </xf>
    <xf numFmtId="0" fontId="51" fillId="0" borderId="15" xfId="0" applyFont="1" applyBorder="1" applyAlignment="1">
      <alignment horizontal="center" vertical="center"/>
    </xf>
    <xf numFmtId="176" fontId="49" fillId="0" borderId="7" xfId="1" applyFont="1" applyBorder="1" applyAlignment="1" applyProtection="1">
      <alignment horizontal="right" vertical="center"/>
    </xf>
    <xf numFmtId="191" fontId="49" fillId="0" borderId="12" xfId="1" applyNumberFormat="1" applyFont="1" applyBorder="1" applyAlignment="1" applyProtection="1">
      <alignment horizontal="right" vertical="center"/>
    </xf>
    <xf numFmtId="191" fontId="49" fillId="0" borderId="7" xfId="1" applyNumberFormat="1" applyFont="1" applyBorder="1" applyAlignment="1" applyProtection="1">
      <alignment horizontal="right" vertical="center"/>
    </xf>
    <xf numFmtId="197" fontId="49" fillId="0" borderId="12" xfId="1" applyNumberFormat="1" applyFont="1" applyBorder="1" applyAlignment="1" applyProtection="1">
      <alignment horizontal="right" vertical="center"/>
    </xf>
    <xf numFmtId="176" fontId="49" fillId="0" borderId="9" xfId="1" applyFont="1" applyBorder="1" applyAlignment="1" applyProtection="1">
      <alignment horizontal="right" vertical="center"/>
    </xf>
    <xf numFmtId="191" fontId="49" fillId="0" borderId="14" xfId="1" applyNumberFormat="1" applyFont="1" applyBorder="1" applyAlignment="1" applyProtection="1">
      <alignment horizontal="right" vertical="center"/>
    </xf>
    <xf numFmtId="197" fontId="49" fillId="0" borderId="9" xfId="1" applyNumberFormat="1" applyFont="1" applyBorder="1" applyAlignment="1" applyProtection="1">
      <alignment horizontal="right" vertical="center"/>
    </xf>
    <xf numFmtId="0" fontId="51" fillId="0" borderId="14" xfId="0" applyFont="1" applyBorder="1" applyAlignment="1">
      <alignment horizontal="right" vertical="center"/>
    </xf>
    <xf numFmtId="176" fontId="49" fillId="0" borderId="0" xfId="1" applyFont="1" applyBorder="1" applyAlignment="1" applyProtection="1">
      <alignment horizontal="right" vertical="center"/>
    </xf>
    <xf numFmtId="176" fontId="49" fillId="0" borderId="11" xfId="1" applyFont="1" applyBorder="1" applyAlignment="1" applyProtection="1">
      <alignment horizontal="right" vertical="center"/>
    </xf>
    <xf numFmtId="191" fontId="49" fillId="0" borderId="10" xfId="1" applyNumberFormat="1" applyFont="1" applyBorder="1" applyAlignment="1" applyProtection="1">
      <alignment horizontal="right" vertical="center"/>
    </xf>
    <xf numFmtId="197" fontId="49" fillId="0" borderId="0" xfId="1" applyNumberFormat="1" applyFont="1" applyBorder="1" applyAlignment="1" applyProtection="1">
      <alignment horizontal="right" vertical="center"/>
    </xf>
    <xf numFmtId="178" fontId="45" fillId="0" borderId="9" xfId="1" applyNumberFormat="1" applyFont="1" applyBorder="1" applyAlignment="1" applyProtection="1">
      <alignment horizontal="right" vertical="center"/>
    </xf>
    <xf numFmtId="178" fontId="49" fillId="0" borderId="7" xfId="1" applyNumberFormat="1" applyFont="1" applyBorder="1" applyAlignment="1" applyProtection="1">
      <alignment horizontal="right" vertical="center"/>
    </xf>
    <xf numFmtId="178" fontId="49" fillId="2" borderId="7" xfId="1" applyNumberFormat="1" applyFont="1" applyFill="1" applyBorder="1" applyAlignment="1" applyProtection="1">
      <alignment horizontal="right" vertical="center"/>
      <protection locked="0"/>
    </xf>
    <xf numFmtId="178" fontId="49" fillId="2" borderId="7" xfId="1" applyNumberFormat="1" applyFont="1" applyFill="1" applyBorder="1" applyAlignment="1" applyProtection="1">
      <alignment horizontal="right" vertical="center"/>
    </xf>
    <xf numFmtId="178" fontId="49" fillId="2" borderId="12" xfId="1" applyNumberFormat="1" applyFont="1" applyFill="1" applyBorder="1" applyAlignment="1" applyProtection="1">
      <alignment horizontal="right" vertical="center"/>
    </xf>
    <xf numFmtId="178" fontId="49" fillId="2" borderId="14" xfId="1" applyNumberFormat="1" applyFont="1" applyFill="1" applyBorder="1" applyAlignment="1" applyProtection="1">
      <alignment horizontal="right" vertical="center"/>
      <protection locked="0"/>
    </xf>
    <xf numFmtId="178" fontId="49" fillId="2" borderId="14" xfId="1" applyNumberFormat="1" applyFont="1" applyFill="1" applyBorder="1" applyAlignment="1" applyProtection="1">
      <alignment horizontal="right" vertical="center"/>
    </xf>
    <xf numFmtId="178" fontId="49" fillId="2" borderId="9" xfId="1" applyNumberFormat="1" applyFont="1" applyFill="1" applyBorder="1" applyAlignment="1" applyProtection="1">
      <alignment horizontal="right" vertical="center"/>
    </xf>
    <xf numFmtId="178" fontId="49" fillId="0" borderId="10" xfId="1" applyNumberFormat="1" applyFont="1" applyBorder="1" applyAlignment="1" applyProtection="1">
      <alignment horizontal="right" vertical="center"/>
    </xf>
    <xf numFmtId="178" fontId="49" fillId="0" borderId="0" xfId="1" applyNumberFormat="1" applyFont="1" applyBorder="1" applyAlignment="1" applyProtection="1">
      <alignment horizontal="right" vertical="center"/>
    </xf>
    <xf numFmtId="178" fontId="49" fillId="2" borderId="11" xfId="1" applyNumberFormat="1" applyFont="1" applyFill="1" applyBorder="1" applyAlignment="1" applyProtection="1">
      <alignment horizontal="right" vertical="center"/>
      <protection locked="0"/>
    </xf>
    <xf numFmtId="178" fontId="49" fillId="2" borderId="11" xfId="1" applyNumberFormat="1" applyFont="1" applyFill="1" applyBorder="1" applyAlignment="1" applyProtection="1">
      <alignment horizontal="right" vertical="center"/>
    </xf>
    <xf numFmtId="178" fontId="49" fillId="2" borderId="12" xfId="1" applyNumberFormat="1" applyFont="1" applyFill="1" applyBorder="1" applyAlignment="1" applyProtection="1">
      <alignment horizontal="right" vertical="center"/>
      <protection locked="0"/>
    </xf>
    <xf numFmtId="0" fontId="58" fillId="0" borderId="12" xfId="0" applyFont="1" applyBorder="1" applyAlignment="1">
      <alignment horizontal="distributed" vertical="center"/>
    </xf>
    <xf numFmtId="178" fontId="49" fillId="0" borderId="7" xfId="1" applyNumberFormat="1" applyFont="1" applyBorder="1" applyAlignment="1" applyProtection="1">
      <alignment horizontal="right" vertical="center"/>
      <protection locked="0"/>
    </xf>
    <xf numFmtId="0" fontId="33" fillId="0" borderId="4" xfId="0" applyFont="1" applyBorder="1" applyAlignment="1">
      <alignment horizontal="distributed" vertical="center"/>
    </xf>
    <xf numFmtId="178" fontId="49" fillId="0" borderId="11" xfId="1" applyNumberFormat="1" applyFont="1" applyBorder="1" applyAlignment="1" applyProtection="1">
      <alignment horizontal="right" vertical="center"/>
    </xf>
    <xf numFmtId="0" fontId="33" fillId="0" borderId="31" xfId="0" applyFont="1" applyBorder="1" applyAlignment="1">
      <alignment horizontal="distributed" vertical="center"/>
    </xf>
    <xf numFmtId="178" fontId="49" fillId="2" borderId="31" xfId="1" applyNumberFormat="1" applyFont="1" applyFill="1" applyBorder="1" applyAlignment="1" applyProtection="1">
      <alignment horizontal="right" vertical="center"/>
      <protection locked="0"/>
    </xf>
    <xf numFmtId="178" fontId="49" fillId="2" borderId="31" xfId="1" applyNumberFormat="1" applyFont="1" applyFill="1" applyBorder="1" applyAlignment="1" applyProtection="1">
      <alignment horizontal="right" vertical="center"/>
    </xf>
    <xf numFmtId="178" fontId="49" fillId="0" borderId="31" xfId="1" applyNumberFormat="1" applyFont="1" applyBorder="1" applyAlignment="1" applyProtection="1">
      <alignment horizontal="right" vertical="center"/>
    </xf>
    <xf numFmtId="178" fontId="49" fillId="0" borderId="0" xfId="0" applyNumberFormat="1" applyFont="1" applyBorder="1" applyAlignment="1">
      <alignment horizontal="right" vertical="center"/>
    </xf>
    <xf numFmtId="178" fontId="49" fillId="0" borderId="0" xfId="0" applyNumberFormat="1" applyFont="1" applyBorder="1" applyAlignment="1">
      <alignment horizontal="center" vertical="center"/>
    </xf>
    <xf numFmtId="0" fontId="33" fillId="0" borderId="28" xfId="0" applyFont="1" applyBorder="1" applyAlignment="1">
      <alignment horizontal="distributed" vertical="center"/>
    </xf>
    <xf numFmtId="178" fontId="49" fillId="2" borderId="28" xfId="1" applyNumberFormat="1" applyFont="1" applyFill="1" applyBorder="1" applyAlignment="1" applyProtection="1">
      <alignment horizontal="right" vertical="center"/>
      <protection locked="0"/>
    </xf>
    <xf numFmtId="178" fontId="49" fillId="2" borderId="28" xfId="1" applyNumberFormat="1" applyFont="1" applyFill="1" applyBorder="1" applyAlignment="1" applyProtection="1">
      <alignment horizontal="right" vertical="center"/>
    </xf>
    <xf numFmtId="178" fontId="49" fillId="0" borderId="28" xfId="1" applyNumberFormat="1" applyFont="1" applyBorder="1" applyAlignment="1" applyProtection="1">
      <alignment horizontal="right" vertical="center"/>
    </xf>
    <xf numFmtId="0" fontId="33" fillId="0" borderId="9" xfId="0" applyFont="1" applyBorder="1" applyAlignment="1">
      <alignment horizontal="distributed" vertical="center"/>
    </xf>
    <xf numFmtId="178" fontId="49" fillId="2" borderId="10" xfId="1" applyNumberFormat="1" applyFont="1" applyFill="1" applyBorder="1" applyAlignment="1" applyProtection="1">
      <alignment horizontal="right" vertical="center"/>
      <protection locked="0"/>
    </xf>
    <xf numFmtId="178" fontId="49" fillId="2" borderId="10" xfId="1" applyNumberFormat="1" applyFont="1" applyFill="1" applyBorder="1" applyAlignment="1" applyProtection="1">
      <alignment horizontal="right" vertical="center"/>
    </xf>
    <xf numFmtId="196" fontId="49" fillId="2" borderId="12" xfId="0" applyNumberFormat="1" applyFont="1" applyFill="1" applyBorder="1" applyAlignment="1" applyProtection="1">
      <alignment horizontal="right" vertical="center"/>
      <protection locked="0"/>
    </xf>
    <xf numFmtId="196" fontId="49" fillId="2" borderId="12" xfId="0" applyNumberFormat="1" applyFont="1" applyFill="1" applyBorder="1" applyAlignment="1">
      <alignment horizontal="right" vertical="center"/>
    </xf>
    <xf numFmtId="196" fontId="49" fillId="0" borderId="17" xfId="0" applyNumberFormat="1" applyFont="1" applyBorder="1" applyAlignment="1">
      <alignment horizontal="center"/>
    </xf>
    <xf numFmtId="196" fontId="49" fillId="0" borderId="12" xfId="0" applyNumberFormat="1" applyFont="1" applyBorder="1" applyAlignment="1">
      <alignment horizontal="right" vertical="center"/>
    </xf>
    <xf numFmtId="196" fontId="49" fillId="2" borderId="9" xfId="0" applyNumberFormat="1" applyFont="1" applyFill="1" applyBorder="1" applyAlignment="1" applyProtection="1">
      <alignment horizontal="right" vertical="center"/>
      <protection locked="0"/>
    </xf>
    <xf numFmtId="196" fontId="49" fillId="2" borderId="9" xfId="0" applyNumberFormat="1" applyFont="1" applyFill="1" applyBorder="1" applyAlignment="1">
      <alignment horizontal="right" vertical="center"/>
    </xf>
    <xf numFmtId="196" fontId="49" fillId="0" borderId="9" xfId="0" applyNumberFormat="1" applyFont="1" applyBorder="1" applyAlignment="1">
      <alignment horizontal="right" vertical="center"/>
    </xf>
    <xf numFmtId="0" fontId="22" fillId="0" borderId="4" xfId="0" applyFont="1" applyBorder="1" applyAlignment="1"/>
    <xf numFmtId="192" fontId="37" fillId="0" borderId="2" xfId="0" applyNumberFormat="1" applyFont="1" applyBorder="1" applyAlignment="1">
      <alignment vertical="center"/>
    </xf>
    <xf numFmtId="176" fontId="37" fillId="0" borderId="14" xfId="1" applyFont="1" applyBorder="1" applyAlignment="1" applyProtection="1">
      <alignment vertical="center"/>
    </xf>
    <xf numFmtId="176" fontId="37" fillId="0" borderId="2" xfId="1" applyFont="1" applyBorder="1" applyAlignment="1" applyProtection="1">
      <alignment vertical="center"/>
    </xf>
    <xf numFmtId="195" fontId="37" fillId="0" borderId="15" xfId="0" applyNumberFormat="1" applyFont="1" applyBorder="1" applyAlignment="1">
      <alignment vertical="center"/>
    </xf>
    <xf numFmtId="178" fontId="37" fillId="0" borderId="2" xfId="0" applyNumberFormat="1" applyFont="1" applyBorder="1" applyAlignment="1">
      <alignment vertical="center"/>
    </xf>
    <xf numFmtId="176" fontId="18" fillId="0" borderId="2" xfId="1" applyFont="1" applyBorder="1" applyAlignment="1" applyProtection="1">
      <alignment vertical="center"/>
    </xf>
    <xf numFmtId="195" fontId="37" fillId="0" borderId="2" xfId="0" applyNumberFormat="1" applyFont="1" applyBorder="1" applyAlignment="1">
      <alignment vertical="center"/>
    </xf>
    <xf numFmtId="176" fontId="18" fillId="0" borderId="2" xfId="1" applyFont="1" applyBorder="1" applyAlignment="1" applyProtection="1">
      <alignment vertical="center"/>
      <protection locked="0"/>
    </xf>
    <xf numFmtId="178" fontId="37" fillId="0" borderId="6" xfId="0" applyNumberFormat="1" applyFont="1" applyBorder="1" applyAlignment="1">
      <alignment vertical="center"/>
    </xf>
    <xf numFmtId="192" fontId="37" fillId="0" borderId="39" xfId="0" applyNumberFormat="1" applyFont="1" applyBorder="1" applyAlignment="1">
      <alignment vertical="center"/>
    </xf>
    <xf numFmtId="192" fontId="45" fillId="0" borderId="2" xfId="0" applyNumberFormat="1" applyFont="1" applyBorder="1" applyAlignment="1" applyProtection="1">
      <alignment vertical="center"/>
      <protection locked="0"/>
    </xf>
    <xf numFmtId="192" fontId="45" fillId="0" borderId="2" xfId="0" applyNumberFormat="1" applyFont="1" applyBorder="1" applyAlignment="1">
      <alignment vertical="center"/>
    </xf>
    <xf numFmtId="178" fontId="37" fillId="0" borderId="37" xfId="0" applyNumberFormat="1" applyFont="1" applyBorder="1" applyAlignment="1">
      <alignment vertical="center"/>
    </xf>
    <xf numFmtId="192" fontId="37" fillId="0" borderId="37" xfId="0" applyNumberFormat="1" applyFont="1" applyBorder="1" applyAlignment="1">
      <alignment vertical="center"/>
    </xf>
    <xf numFmtId="0" fontId="22" fillId="0" borderId="29" xfId="0" applyFont="1" applyBorder="1" applyAlignment="1">
      <alignment horizontal="distributed" vertical="center"/>
    </xf>
    <xf numFmtId="176" fontId="18" fillId="0" borderId="28" xfId="1" applyFont="1" applyBorder="1" applyAlignment="1" applyProtection="1">
      <alignment vertical="center"/>
    </xf>
    <xf numFmtId="176" fontId="18" fillId="0" borderId="37" xfId="1" applyFont="1" applyBorder="1" applyAlignment="1" applyProtection="1">
      <alignment vertical="center"/>
    </xf>
    <xf numFmtId="195" fontId="37" fillId="0" borderId="37" xfId="0" applyNumberFormat="1" applyFont="1" applyBorder="1" applyAlignment="1">
      <alignment vertical="center"/>
    </xf>
    <xf numFmtId="176" fontId="18" fillId="0" borderId="28" xfId="1" applyFont="1" applyBorder="1" applyAlignment="1" applyProtection="1">
      <alignment vertical="center"/>
      <protection locked="0"/>
    </xf>
    <xf numFmtId="176" fontId="18" fillId="0" borderId="37" xfId="1" applyFont="1" applyBorder="1" applyAlignment="1" applyProtection="1">
      <alignment vertical="center"/>
      <protection locked="0"/>
    </xf>
    <xf numFmtId="192" fontId="45" fillId="0" borderId="37" xfId="0" applyNumberFormat="1" applyFont="1" applyBorder="1" applyAlignment="1" applyProtection="1">
      <alignment vertical="center"/>
      <protection locked="0"/>
    </xf>
    <xf numFmtId="192" fontId="45" fillId="0" borderId="37" xfId="0" applyNumberFormat="1" applyFont="1" applyBorder="1" applyAlignment="1">
      <alignment vertical="center"/>
    </xf>
    <xf numFmtId="178" fontId="37" fillId="0" borderId="5" xfId="0" applyNumberFormat="1" applyFont="1" applyBorder="1" applyAlignment="1">
      <alignment vertical="center"/>
    </xf>
    <xf numFmtId="192" fontId="37" fillId="0" borderId="36" xfId="0" applyNumberFormat="1" applyFont="1" applyBorder="1" applyAlignment="1">
      <alignment vertical="center"/>
    </xf>
    <xf numFmtId="192" fontId="37" fillId="0" borderId="8" xfId="0" applyNumberFormat="1" applyFont="1" applyBorder="1" applyAlignment="1">
      <alignment vertical="center"/>
    </xf>
    <xf numFmtId="0" fontId="22" fillId="0" borderId="2" xfId="0" applyFont="1" applyBorder="1" applyAlignment="1">
      <alignment horizontal="center" vertical="center" textRotation="255"/>
    </xf>
    <xf numFmtId="176" fontId="18" fillId="0" borderId="11" xfId="1" applyFont="1" applyBorder="1" applyAlignment="1" applyProtection="1">
      <alignment vertical="center"/>
    </xf>
    <xf numFmtId="176" fontId="18" fillId="0" borderId="5" xfId="1" applyFont="1" applyBorder="1" applyAlignment="1" applyProtection="1">
      <alignment vertical="center"/>
    </xf>
    <xf numFmtId="195" fontId="37" fillId="0" borderId="5" xfId="0" applyNumberFormat="1" applyFont="1" applyBorder="1" applyAlignment="1">
      <alignment vertical="center"/>
    </xf>
    <xf numFmtId="176" fontId="18" fillId="0" borderId="11" xfId="1" applyFont="1" applyBorder="1" applyAlignment="1" applyProtection="1">
      <alignment vertical="center"/>
      <protection locked="0"/>
    </xf>
    <xf numFmtId="176" fontId="18" fillId="0" borderId="5" xfId="1" applyFont="1" applyBorder="1" applyAlignment="1" applyProtection="1">
      <alignment vertical="center"/>
      <protection locked="0"/>
    </xf>
    <xf numFmtId="195" fontId="45" fillId="0" borderId="37" xfId="0" applyNumberFormat="1" applyFont="1" applyBorder="1" applyAlignment="1">
      <alignment vertical="center"/>
    </xf>
    <xf numFmtId="195" fontId="37" fillId="0" borderId="37" xfId="0" applyNumberFormat="1" applyFont="1" applyBorder="1" applyAlignment="1" applyProtection="1">
      <alignment vertical="center"/>
      <protection locked="0"/>
    </xf>
    <xf numFmtId="176" fontId="18" fillId="0" borderId="14" xfId="1" applyFont="1" applyBorder="1" applyAlignment="1" applyProtection="1">
      <alignment vertical="center"/>
    </xf>
    <xf numFmtId="176" fontId="18" fillId="0" borderId="6" xfId="1" applyFont="1" applyBorder="1" applyAlignment="1" applyProtection="1">
      <alignment vertical="center"/>
    </xf>
    <xf numFmtId="195" fontId="37" fillId="0" borderId="6" xfId="0" applyNumberFormat="1" applyFont="1" applyBorder="1" applyAlignment="1">
      <alignment vertical="center"/>
    </xf>
    <xf numFmtId="176" fontId="18" fillId="0" borderId="14" xfId="1" applyFont="1" applyBorder="1" applyAlignment="1" applyProtection="1">
      <alignment vertical="center"/>
      <protection locked="0"/>
    </xf>
    <xf numFmtId="176" fontId="18" fillId="0" borderId="6" xfId="1" applyFont="1" applyBorder="1" applyAlignment="1" applyProtection="1">
      <alignment vertical="center"/>
      <protection locked="0"/>
    </xf>
    <xf numFmtId="192" fontId="37" fillId="0" borderId="6" xfId="0" applyNumberFormat="1" applyFont="1" applyBorder="1" applyAlignment="1">
      <alignment vertical="center"/>
    </xf>
    <xf numFmtId="192" fontId="37" fillId="0" borderId="2" xfId="0" applyNumberFormat="1" applyFont="1" applyBorder="1" applyAlignment="1" applyProtection="1">
      <alignment vertical="center"/>
      <protection locked="0"/>
    </xf>
    <xf numFmtId="192" fontId="37" fillId="0" borderId="38" xfId="0" applyNumberFormat="1" applyFont="1" applyBorder="1" applyAlignment="1">
      <alignment vertical="center"/>
    </xf>
    <xf numFmtId="0" fontId="22" fillId="0" borderId="12" xfId="0" applyFont="1" applyBorder="1" applyAlignment="1">
      <alignment horizontal="center" vertical="center" shrinkToFit="1"/>
    </xf>
    <xf numFmtId="0" fontId="22" fillId="0" borderId="10" xfId="0" applyFont="1" applyBorder="1" applyAlignment="1">
      <alignment horizontal="center" vertical="center"/>
    </xf>
    <xf numFmtId="0" fontId="22" fillId="0" borderId="8" xfId="0" applyFont="1" applyBorder="1" applyAlignment="1">
      <alignment horizontal="center" vertical="center"/>
    </xf>
    <xf numFmtId="0" fontId="22" fillId="0" borderId="16" xfId="0" applyFont="1" applyBorder="1" applyAlignment="1">
      <alignment horizontal="center" vertical="center"/>
    </xf>
    <xf numFmtId="0" fontId="22" fillId="0" borderId="14" xfId="0" applyFont="1" applyBorder="1" applyAlignment="1">
      <alignment horizontal="right" vertical="center"/>
    </xf>
    <xf numFmtId="0" fontId="18" fillId="0" borderId="15" xfId="0" applyFont="1" applyBorder="1" applyAlignment="1">
      <alignment horizontal="right" vertical="center"/>
    </xf>
    <xf numFmtId="0" fontId="18" fillId="0" borderId="15" xfId="0" applyFont="1" applyBorder="1" applyAlignment="1">
      <alignment horizontal="center" vertical="center"/>
    </xf>
    <xf numFmtId="0" fontId="22" fillId="0" borderId="4" xfId="0" applyFont="1" applyBorder="1" applyAlignment="1">
      <alignment horizontal="distributed" wrapText="1"/>
    </xf>
    <xf numFmtId="0" fontId="28" fillId="0" borderId="12" xfId="0" applyFont="1" applyBorder="1" applyAlignment="1">
      <alignment horizontal="center" vertical="center"/>
    </xf>
    <xf numFmtId="0" fontId="22" fillId="0" borderId="9" xfId="0" applyFont="1" applyBorder="1" applyAlignment="1">
      <alignment horizontal="distributed" vertical="top" wrapText="1"/>
    </xf>
    <xf numFmtId="0" fontId="18" fillId="0" borderId="4" xfId="0" applyFont="1" applyBorder="1" applyAlignment="1"/>
    <xf numFmtId="0" fontId="44" fillId="0" borderId="4" xfId="0" applyFont="1" applyBorder="1" applyAlignment="1"/>
    <xf numFmtId="190" fontId="27" fillId="0" borderId="34" xfId="0" applyNumberFormat="1" applyFont="1" applyBorder="1" applyAlignment="1">
      <alignment horizontal="right" vertical="center" shrinkToFit="1"/>
    </xf>
    <xf numFmtId="190" fontId="18" fillId="0" borderId="35" xfId="0" applyNumberFormat="1" applyFont="1" applyBorder="1" applyAlignment="1" applyProtection="1">
      <alignment horizontal="right" vertical="center"/>
      <protection locked="0"/>
    </xf>
    <xf numFmtId="190" fontId="18" fillId="0" borderId="35" xfId="0" applyNumberFormat="1" applyFont="1" applyBorder="1" applyAlignment="1">
      <alignment horizontal="right" vertical="center"/>
    </xf>
    <xf numFmtId="176" fontId="18" fillId="0" borderId="12" xfId="1" applyFont="1" applyBorder="1" applyAlignment="1" applyProtection="1">
      <alignment vertical="center"/>
      <protection locked="0"/>
    </xf>
    <xf numFmtId="176" fontId="18" fillId="0" borderId="12" xfId="1" applyFont="1" applyBorder="1" applyAlignment="1" applyProtection="1">
      <alignment vertical="center"/>
    </xf>
    <xf numFmtId="0" fontId="18" fillId="0" borderId="7" xfId="0" applyFont="1" applyBorder="1" applyAlignment="1" applyProtection="1">
      <alignment horizontal="right" vertical="center"/>
      <protection locked="0"/>
    </xf>
    <xf numFmtId="0" fontId="18" fillId="0" borderId="7" xfId="0" applyFont="1" applyBorder="1" applyAlignment="1">
      <alignment horizontal="right" vertical="center"/>
    </xf>
    <xf numFmtId="190" fontId="27" fillId="0" borderId="14" xfId="0" applyNumberFormat="1" applyFont="1" applyBorder="1" applyAlignment="1">
      <alignment horizontal="right" vertical="center" shrinkToFit="1"/>
    </xf>
    <xf numFmtId="190" fontId="18" fillId="0" borderId="16" xfId="0" applyNumberFormat="1" applyFont="1" applyBorder="1" applyAlignment="1" applyProtection="1">
      <alignment horizontal="right" vertical="center"/>
      <protection locked="0"/>
    </xf>
    <xf numFmtId="190" fontId="18" fillId="0" borderId="16" xfId="0" applyNumberFormat="1" applyFont="1" applyBorder="1" applyAlignment="1">
      <alignment horizontal="right" vertical="center"/>
    </xf>
    <xf numFmtId="176" fontId="18" fillId="0" borderId="0" xfId="1" applyFont="1" applyBorder="1" applyAlignment="1" applyProtection="1">
      <alignment vertical="center"/>
      <protection locked="0"/>
    </xf>
    <xf numFmtId="176" fontId="18" fillId="0" borderId="0" xfId="1" applyFont="1" applyBorder="1" applyAlignment="1" applyProtection="1">
      <alignment vertical="center"/>
    </xf>
    <xf numFmtId="0" fontId="25" fillId="0" borderId="7" xfId="0" applyFont="1" applyBorder="1" applyAlignment="1">
      <alignment horizontal="center" vertical="center" wrapText="1"/>
    </xf>
    <xf numFmtId="176" fontId="18" fillId="0" borderId="12" xfId="1" applyFont="1" applyBorder="1" applyAlignment="1" applyProtection="1">
      <alignment horizontal="center" vertical="center"/>
    </xf>
    <xf numFmtId="176" fontId="18" fillId="0" borderId="3" xfId="1" applyFont="1" applyBorder="1" applyAlignment="1" applyProtection="1">
      <alignment horizontal="center" vertical="center"/>
      <protection locked="0"/>
    </xf>
    <xf numFmtId="176" fontId="18" fillId="0" borderId="3" xfId="1" applyFont="1" applyBorder="1" applyAlignment="1" applyProtection="1">
      <alignment horizontal="center" vertical="center"/>
    </xf>
    <xf numFmtId="176" fontId="18" fillId="0" borderId="9" xfId="1" applyFont="1" applyBorder="1" applyAlignment="1" applyProtection="1">
      <alignment vertical="center"/>
      <protection locked="0"/>
    </xf>
    <xf numFmtId="176" fontId="18" fillId="0" borderId="9" xfId="1" applyFont="1" applyBorder="1" applyAlignment="1" applyProtection="1">
      <alignment vertical="center"/>
    </xf>
    <xf numFmtId="0" fontId="22" fillId="0" borderId="2" xfId="0" applyFont="1" applyBorder="1" applyAlignment="1">
      <alignment horizontal="center" vertical="center" textRotation="255" wrapText="1"/>
    </xf>
    <xf numFmtId="176" fontId="18" fillId="0" borderId="7" xfId="1" applyFont="1" applyBorder="1" applyAlignment="1" applyProtection="1">
      <alignment vertical="center" wrapText="1"/>
      <protection locked="0"/>
    </xf>
    <xf numFmtId="176" fontId="18" fillId="0" borderId="7" xfId="1" applyFont="1" applyBorder="1" applyAlignment="1" applyProtection="1">
      <alignment vertical="center" wrapText="1"/>
    </xf>
    <xf numFmtId="176" fontId="28" fillId="0" borderId="9" xfId="1" applyFont="1" applyBorder="1" applyAlignment="1" applyProtection="1">
      <alignment horizontal="center" vertical="center" wrapText="1"/>
    </xf>
    <xf numFmtId="0" fontId="22" fillId="0" borderId="3" xfId="0" applyFont="1" applyBorder="1" applyAlignment="1">
      <alignment horizontal="left" vertical="center"/>
    </xf>
    <xf numFmtId="190" fontId="18" fillId="0" borderId="15" xfId="0" applyNumberFormat="1" applyFont="1" applyBorder="1" applyAlignment="1" applyProtection="1">
      <alignment horizontal="right" vertical="center"/>
      <protection locked="0"/>
    </xf>
    <xf numFmtId="190" fontId="18" fillId="0" borderId="15" xfId="0" applyNumberFormat="1" applyFont="1" applyBorder="1" applyAlignment="1">
      <alignment horizontal="right" vertical="center"/>
    </xf>
    <xf numFmtId="183" fontId="37" fillId="0" borderId="2" xfId="1" applyNumberFormat="1" applyFont="1" applyBorder="1" applyAlignment="1" applyProtection="1">
      <alignment vertical="center"/>
    </xf>
    <xf numFmtId="0" fontId="0" fillId="0" borderId="19" xfId="0" applyFont="1" applyBorder="1" applyAlignment="1"/>
    <xf numFmtId="183" fontId="37" fillId="0" borderId="2" xfId="1" applyNumberFormat="1" applyFont="1" applyBorder="1" applyAlignment="1" applyProtection="1">
      <alignment horizontal="right" vertical="center"/>
    </xf>
    <xf numFmtId="192" fontId="18" fillId="0" borderId="17" xfId="1" applyNumberFormat="1" applyFont="1" applyBorder="1" applyAlignment="1" applyProtection="1">
      <alignment horizontal="right" vertical="center"/>
    </xf>
    <xf numFmtId="192" fontId="0" fillId="0" borderId="17" xfId="0" applyNumberFormat="1" applyFont="1" applyBorder="1" applyAlignment="1">
      <alignment horizontal="right" vertical="center"/>
    </xf>
    <xf numFmtId="0" fontId="22" fillId="0" borderId="4" xfId="0" applyFont="1" applyBorder="1" applyAlignment="1">
      <alignment horizontal="center" vertical="center" shrinkToFit="1"/>
    </xf>
    <xf numFmtId="176" fontId="18" fillId="0" borderId="8" xfId="1" applyFont="1" applyBorder="1" applyAlignment="1" applyProtection="1">
      <alignment vertical="center"/>
    </xf>
    <xf numFmtId="178" fontId="37" fillId="0" borderId="8" xfId="1" applyNumberFormat="1" applyFont="1" applyBorder="1" applyAlignment="1" applyProtection="1">
      <alignment vertical="center"/>
    </xf>
    <xf numFmtId="176" fontId="18" fillId="0" borderId="8" xfId="1" applyFont="1" applyBorder="1" applyAlignment="1" applyProtection="1">
      <alignment horizontal="right" vertical="center"/>
    </xf>
    <xf numFmtId="178" fontId="37" fillId="0" borderId="8" xfId="1" applyNumberFormat="1" applyFont="1" applyBorder="1" applyAlignment="1" applyProtection="1">
      <alignment horizontal="right" vertical="center"/>
    </xf>
    <xf numFmtId="192" fontId="37" fillId="0" borderId="8" xfId="0" applyNumberFormat="1" applyFont="1" applyBorder="1" applyAlignment="1">
      <alignment horizontal="right" vertical="center"/>
    </xf>
    <xf numFmtId="0" fontId="18" fillId="0" borderId="19" xfId="0" applyFont="1" applyBorder="1" applyAlignment="1">
      <alignment vertical="center"/>
    </xf>
    <xf numFmtId="192" fontId="37" fillId="0" borderId="2" xfId="0" applyNumberFormat="1" applyFont="1" applyBorder="1" applyAlignment="1">
      <alignment horizontal="right" vertical="center"/>
    </xf>
    <xf numFmtId="0" fontId="22" fillId="0" borderId="2" xfId="0" applyFont="1" applyBorder="1" applyAlignment="1">
      <alignment horizontal="distributed" vertical="center" textRotation="255"/>
    </xf>
    <xf numFmtId="0" fontId="28" fillId="0" borderId="0" xfId="0" applyFont="1" applyBorder="1" applyAlignment="1">
      <alignment horizontal="distributed" vertical="center" wrapText="1" shrinkToFit="1"/>
    </xf>
    <xf numFmtId="0" fontId="27" fillId="0" borderId="4" xfId="0" applyFont="1" applyBorder="1" applyAlignment="1">
      <alignment horizontal="center" vertical="center" wrapText="1"/>
    </xf>
    <xf numFmtId="176" fontId="37" fillId="0" borderId="14" xfId="1" applyFont="1" applyBorder="1" applyAlignment="1" applyProtection="1">
      <alignment horizontal="right" vertical="center"/>
    </xf>
    <xf numFmtId="176" fontId="37" fillId="0" borderId="9" xfId="1" applyFont="1" applyBorder="1" applyAlignment="1" applyProtection="1">
      <alignment horizontal="right" vertical="center"/>
    </xf>
    <xf numFmtId="178" fontId="37" fillId="0" borderId="14" xfId="1" applyNumberFormat="1" applyFont="1" applyBorder="1" applyAlignment="1" applyProtection="1">
      <alignment horizontal="right" vertical="center"/>
    </xf>
    <xf numFmtId="0" fontId="46" fillId="4" borderId="0" xfId="0" applyFont="1" applyFill="1" applyBorder="1" applyAlignment="1">
      <alignment horizontal="right" vertical="center"/>
    </xf>
    <xf numFmtId="0" fontId="46" fillId="0" borderId="54" xfId="0" applyFont="1" applyBorder="1" applyAlignment="1">
      <alignment horizontal="center" vertical="center"/>
    </xf>
    <xf numFmtId="0" fontId="46" fillId="0" borderId="55" xfId="0" applyFont="1" applyBorder="1" applyAlignment="1">
      <alignment horizontal="center" vertical="center"/>
    </xf>
    <xf numFmtId="0" fontId="46" fillId="0" borderId="73" xfId="0" applyFont="1" applyBorder="1" applyAlignment="1">
      <alignment horizontal="center" vertical="center"/>
    </xf>
    <xf numFmtId="0" fontId="46" fillId="0" borderId="74" xfId="0" applyFont="1" applyBorder="1" applyAlignment="1">
      <alignment horizontal="center" vertical="center"/>
    </xf>
    <xf numFmtId="0" fontId="46" fillId="0" borderId="50" xfId="0" applyFont="1" applyBorder="1" applyAlignment="1">
      <alignment horizontal="center" vertical="center"/>
    </xf>
    <xf numFmtId="0" fontId="46" fillId="0" borderId="52" xfId="0" applyFont="1" applyBorder="1" applyAlignment="1">
      <alignment horizontal="center" vertical="center"/>
    </xf>
    <xf numFmtId="0" fontId="94" fillId="0" borderId="9" xfId="0" applyFont="1" applyBorder="1" applyAlignment="1">
      <alignment horizontal="distributed"/>
    </xf>
    <xf numFmtId="0" fontId="94" fillId="0" borderId="40" xfId="0" applyFont="1" applyBorder="1" applyAlignment="1">
      <alignment horizontal="distributed"/>
    </xf>
    <xf numFmtId="0" fontId="46" fillId="4" borderId="41" xfId="0" applyFont="1" applyFill="1" applyBorder="1" applyAlignment="1">
      <alignment horizontal="right" vertical="center"/>
    </xf>
    <xf numFmtId="0" fontId="46" fillId="0" borderId="42" xfId="0" applyFont="1" applyBorder="1" applyAlignment="1">
      <alignment horizontal="center" vertical="center"/>
    </xf>
    <xf numFmtId="0" fontId="46" fillId="0" borderId="44" xfId="0" applyFont="1" applyBorder="1" applyAlignment="1">
      <alignment horizontal="center" vertical="center"/>
    </xf>
    <xf numFmtId="178" fontId="59" fillId="0" borderId="0" xfId="1" applyNumberFormat="1" applyFont="1" applyBorder="1" applyAlignment="1" applyProtection="1">
      <alignment horizontal="right" vertical="center"/>
    </xf>
    <xf numFmtId="176" fontId="51" fillId="0" borderId="0" xfId="1" applyFont="1" applyBorder="1" applyAlignment="1" applyProtection="1">
      <alignment horizontal="left" vertical="center"/>
    </xf>
    <xf numFmtId="176" fontId="51" fillId="0" borderId="0" xfId="1" applyFont="1" applyBorder="1" applyAlignment="1" applyProtection="1">
      <alignment horizontal="left" vertical="center" shrinkToFit="1"/>
    </xf>
    <xf numFmtId="176" fontId="59" fillId="0" borderId="75" xfId="1" applyFont="1" applyBorder="1" applyAlignment="1" applyProtection="1">
      <alignment horizontal="right" vertical="center"/>
    </xf>
    <xf numFmtId="176" fontId="59" fillId="0" borderId="0" xfId="1" applyFont="1" applyBorder="1" applyAlignment="1" applyProtection="1">
      <alignment horizontal="right" vertical="center"/>
    </xf>
    <xf numFmtId="0" fontId="94" fillId="0" borderId="75" xfId="0" applyFont="1" applyBorder="1" applyAlignment="1">
      <alignment horizontal="distributed"/>
    </xf>
    <xf numFmtId="0" fontId="51" fillId="2" borderId="0" xfId="0" applyFont="1" applyFill="1" applyBorder="1" applyAlignment="1">
      <alignment horizontal="center" vertical="center"/>
    </xf>
    <xf numFmtId="0" fontId="33" fillId="0" borderId="81" xfId="0" applyFont="1" applyBorder="1" applyAlignment="1">
      <alignment horizontal="distributed" vertical="center"/>
    </xf>
    <xf numFmtId="178" fontId="59" fillId="2" borderId="6" xfId="1" applyNumberFormat="1" applyFont="1" applyFill="1" applyBorder="1" applyAlignment="1" applyProtection="1">
      <alignment vertical="center"/>
    </xf>
    <xf numFmtId="198" fontId="59" fillId="2" borderId="6" xfId="1" applyNumberFormat="1" applyFont="1" applyFill="1" applyBorder="1" applyAlignment="1" applyProtection="1">
      <alignment vertical="center"/>
    </xf>
    <xf numFmtId="198" fontId="59" fillId="0" borderId="6" xfId="1" applyNumberFormat="1" applyFont="1" applyBorder="1" applyAlignment="1" applyProtection="1">
      <alignment vertical="center"/>
    </xf>
    <xf numFmtId="178" fontId="59" fillId="0" borderId="6" xfId="1" applyNumberFormat="1" applyFont="1" applyBorder="1" applyAlignment="1" applyProtection="1">
      <alignment vertical="center"/>
    </xf>
    <xf numFmtId="0" fontId="59" fillId="0" borderId="82" xfId="0" applyFont="1" applyBorder="1" applyAlignment="1">
      <alignment vertical="center" wrapText="1"/>
    </xf>
    <xf numFmtId="0" fontId="51" fillId="0" borderId="86" xfId="0" applyFont="1" applyBorder="1" applyAlignment="1">
      <alignment horizontal="center" vertical="center"/>
    </xf>
    <xf numFmtId="176" fontId="59" fillId="0" borderId="97" xfId="1" applyFont="1" applyBorder="1" applyAlignment="1" applyProtection="1">
      <alignment vertical="center"/>
    </xf>
    <xf numFmtId="198" fontId="59" fillId="0" borderId="97" xfId="1" applyNumberFormat="1" applyFont="1" applyBorder="1" applyAlignment="1" applyProtection="1">
      <alignment vertical="center"/>
    </xf>
    <xf numFmtId="0" fontId="59" fillId="0" borderId="90" xfId="0" applyFont="1" applyBorder="1" applyAlignment="1">
      <alignment vertical="center" wrapText="1"/>
    </xf>
    <xf numFmtId="0" fontId="46" fillId="0" borderId="81" xfId="0" applyFont="1" applyBorder="1" applyAlignment="1">
      <alignment horizontal="distributed" vertical="center"/>
    </xf>
    <xf numFmtId="176" fontId="59" fillId="2" borderId="6" xfId="1" applyFont="1" applyFill="1" applyBorder="1" applyAlignment="1" applyProtection="1">
      <alignment vertical="center"/>
    </xf>
    <xf numFmtId="198" fontId="59" fillId="2" borderId="6" xfId="1" applyNumberFormat="1" applyFont="1" applyFill="1" applyBorder="1" applyAlignment="1" applyProtection="1">
      <alignment vertical="center"/>
      <protection locked="0"/>
    </xf>
    <xf numFmtId="176" fontId="59" fillId="0" borderId="6" xfId="1" applyFont="1" applyBorder="1" applyAlignment="1" applyProtection="1">
      <alignment vertical="center"/>
    </xf>
    <xf numFmtId="0" fontId="92" fillId="0" borderId="82" xfId="0" applyFont="1" applyBorder="1" applyAlignment="1">
      <alignment vertical="center"/>
    </xf>
    <xf numFmtId="178" fontId="94" fillId="0" borderId="75" xfId="0" applyNumberFormat="1" applyFont="1" applyBorder="1" applyAlignment="1">
      <alignment horizontal="distributed" vertical="center"/>
    </xf>
    <xf numFmtId="0" fontId="51" fillId="0" borderId="76" xfId="0" applyFont="1" applyBorder="1" applyAlignment="1">
      <alignment horizontal="center" vertical="center"/>
    </xf>
    <xf numFmtId="0" fontId="51" fillId="0" borderId="77" xfId="0" applyFont="1" applyBorder="1" applyAlignment="1">
      <alignment horizontal="distributed" vertical="center"/>
    </xf>
    <xf numFmtId="0" fontId="33" fillId="0" borderId="77" xfId="0" applyFont="1" applyBorder="1" applyAlignment="1">
      <alignment horizontal="distributed" vertical="center"/>
    </xf>
    <xf numFmtId="0" fontId="51" fillId="0" borderId="78" xfId="0" applyFont="1" applyBorder="1" applyAlignment="1">
      <alignment horizontal="center" vertical="center"/>
    </xf>
    <xf numFmtId="0" fontId="92" fillId="0" borderId="98" xfId="0" applyFont="1" applyBorder="1" applyAlignment="1">
      <alignment horizontal="distributed" vertical="center"/>
    </xf>
    <xf numFmtId="0" fontId="46" fillId="0" borderId="5" xfId="0" applyFont="1" applyBorder="1" applyAlignment="1">
      <alignment horizontal="right" vertical="center"/>
    </xf>
    <xf numFmtId="0" fontId="92" fillId="0" borderId="99" xfId="0" applyFont="1" applyBorder="1" applyAlignment="1">
      <alignment horizontal="distributed" vertical="center"/>
    </xf>
    <xf numFmtId="0" fontId="33" fillId="0" borderId="83" xfId="0" applyFont="1" applyBorder="1" applyAlignment="1">
      <alignment horizontal="center" vertical="center" shrinkToFit="1"/>
    </xf>
    <xf numFmtId="0" fontId="66" fillId="2" borderId="2" xfId="0" applyFont="1" applyFill="1" applyBorder="1" applyAlignment="1">
      <alignment horizontal="distributed" vertical="center" wrapText="1"/>
    </xf>
    <xf numFmtId="0" fontId="59" fillId="2" borderId="6" xfId="0" applyFont="1" applyFill="1" applyBorder="1" applyAlignment="1">
      <alignment horizontal="center" vertical="center"/>
    </xf>
    <xf numFmtId="176" fontId="59" fillId="2" borderId="6" xfId="1" applyFont="1" applyFill="1" applyBorder="1" applyAlignment="1" applyProtection="1">
      <alignment horizontal="right" vertical="center"/>
      <protection locked="0"/>
    </xf>
    <xf numFmtId="176" fontId="59" fillId="2" borderId="6" xfId="1" applyFont="1" applyFill="1" applyBorder="1" applyAlignment="1" applyProtection="1">
      <alignment horizontal="right" vertical="center"/>
    </xf>
    <xf numFmtId="176" fontId="59" fillId="0" borderId="2" xfId="0" applyNumberFormat="1" applyFont="1" applyBorder="1" applyAlignment="1">
      <alignment horizontal="right" vertical="center"/>
    </xf>
    <xf numFmtId="0" fontId="59" fillId="0" borderId="82" xfId="0" applyFont="1" applyBorder="1" applyAlignment="1">
      <alignment horizontal="center" vertical="center"/>
    </xf>
    <xf numFmtId="0" fontId="59" fillId="0" borderId="87" xfId="0" applyFont="1" applyBorder="1" applyAlignment="1">
      <alignment horizontal="center" vertical="center"/>
    </xf>
    <xf numFmtId="176" fontId="59" fillId="0" borderId="89" xfId="0" applyNumberFormat="1" applyFont="1" applyBorder="1" applyAlignment="1">
      <alignment horizontal="right" vertical="center"/>
    </xf>
    <xf numFmtId="176" fontId="59" fillId="0" borderId="97" xfId="0" applyNumberFormat="1" applyFont="1" applyBorder="1" applyAlignment="1">
      <alignment horizontal="right" vertical="center"/>
    </xf>
    <xf numFmtId="178" fontId="59" fillId="0" borderId="90" xfId="0" applyNumberFormat="1" applyFont="1" applyBorder="1" applyAlignment="1">
      <alignment horizontal="center" vertical="center"/>
    </xf>
    <xf numFmtId="0" fontId="33" fillId="0" borderId="81" xfId="0" applyFont="1" applyBorder="1" applyAlignment="1">
      <alignment horizontal="center" vertical="center"/>
    </xf>
    <xf numFmtId="0" fontId="66" fillId="2" borderId="6" xfId="0" applyFont="1" applyFill="1" applyBorder="1" applyAlignment="1">
      <alignment horizontal="distributed" vertical="center" wrapText="1"/>
    </xf>
    <xf numFmtId="176" fontId="59" fillId="0" borderId="6" xfId="0" applyNumberFormat="1" applyFont="1" applyBorder="1" applyAlignment="1">
      <alignment horizontal="right" vertical="center"/>
    </xf>
    <xf numFmtId="0" fontId="33" fillId="0" borderId="83" xfId="0" applyFont="1" applyBorder="1" applyAlignment="1">
      <alignment horizontal="center" vertical="center"/>
    </xf>
    <xf numFmtId="0" fontId="51" fillId="0" borderId="76" xfId="0" applyFont="1" applyBorder="1" applyAlignment="1">
      <alignment horizontal="distributed" vertical="center" indent="1"/>
    </xf>
    <xf numFmtId="0" fontId="51" fillId="0" borderId="96" xfId="0" applyFont="1" applyBorder="1" applyAlignment="1">
      <alignment horizontal="distributed" vertical="center" indent="1"/>
    </xf>
    <xf numFmtId="0" fontId="51" fillId="0" borderId="77" xfId="0" applyFont="1" applyBorder="1" applyAlignment="1">
      <alignment horizontal="center" vertical="center"/>
    </xf>
    <xf numFmtId="0" fontId="33" fillId="0" borderId="77" xfId="0" applyFont="1" applyBorder="1" applyAlignment="1">
      <alignment horizontal="distributed" vertical="center" wrapText="1" indent="1"/>
    </xf>
    <xf numFmtId="0" fontId="33" fillId="0" borderId="2" xfId="0" applyFont="1" applyBorder="1" applyAlignment="1">
      <alignment horizontal="center" vertical="center"/>
    </xf>
    <xf numFmtId="0" fontId="33" fillId="0" borderId="3" xfId="0" applyFont="1" applyBorder="1" applyAlignment="1">
      <alignment horizontal="center" vertical="center"/>
    </xf>
    <xf numFmtId="0" fontId="51" fillId="0" borderId="81" xfId="0" applyFont="1" applyBorder="1" applyAlignment="1">
      <alignment horizontal="distributed" vertical="center"/>
    </xf>
    <xf numFmtId="178" fontId="59" fillId="2" borderId="14" xfId="0" applyNumberFormat="1" applyFont="1" applyFill="1" applyBorder="1" applyAlignment="1" applyProtection="1">
      <alignment horizontal="right" vertical="center"/>
      <protection locked="0"/>
    </xf>
    <xf numFmtId="178" fontId="59" fillId="2" borderId="14" xfId="0" applyNumberFormat="1" applyFont="1" applyFill="1" applyBorder="1" applyAlignment="1">
      <alignment horizontal="right" vertical="center"/>
    </xf>
    <xf numFmtId="0" fontId="51" fillId="0" borderId="6" xfId="0" applyFont="1" applyBorder="1" applyAlignment="1">
      <alignment horizontal="distributed" vertical="center"/>
    </xf>
    <xf numFmtId="0" fontId="51" fillId="0" borderId="82" xfId="0" applyFont="1" applyBorder="1" applyAlignment="1">
      <alignment horizontal="left" vertical="center" wrapText="1"/>
    </xf>
    <xf numFmtId="178" fontId="59" fillId="0" borderId="88" xfId="0" applyNumberFormat="1" applyFont="1" applyBorder="1" applyAlignment="1">
      <alignment horizontal="right" vertical="center"/>
    </xf>
    <xf numFmtId="178" fontId="59" fillId="0" borderId="87" xfId="0" applyNumberFormat="1" applyFont="1" applyBorder="1" applyAlignment="1">
      <alignment horizontal="center" vertical="center"/>
    </xf>
    <xf numFmtId="0" fontId="59" fillId="0" borderId="90" xfId="0" applyFont="1" applyBorder="1" applyAlignment="1">
      <alignment horizontal="distributed" vertical="center"/>
    </xf>
    <xf numFmtId="176" fontId="59" fillId="2" borderId="14" xfId="1" applyFont="1" applyFill="1" applyBorder="1" applyAlignment="1" applyProtection="1">
      <alignment horizontal="right" vertical="center"/>
      <protection locked="0"/>
    </xf>
    <xf numFmtId="176" fontId="59" fillId="2" borderId="14" xfId="1" applyFont="1" applyFill="1" applyBorder="1" applyAlignment="1" applyProtection="1">
      <alignment horizontal="right" vertical="center"/>
    </xf>
    <xf numFmtId="0" fontId="51" fillId="0" borderId="6" xfId="0" applyFont="1" applyBorder="1" applyAlignment="1">
      <alignment horizontal="distributed" vertical="center" indent="1"/>
    </xf>
    <xf numFmtId="0" fontId="51" fillId="0" borderId="91" xfId="0" applyFont="1" applyBorder="1" applyAlignment="1">
      <alignment horizontal="left" vertical="center"/>
    </xf>
    <xf numFmtId="178" fontId="59" fillId="0" borderId="92" xfId="0" applyNumberFormat="1" applyFont="1" applyBorder="1" applyAlignment="1">
      <alignment horizontal="right" vertical="center"/>
    </xf>
    <xf numFmtId="178" fontId="59" fillId="0" borderId="94" xfId="0" applyNumberFormat="1" applyFont="1" applyBorder="1" applyAlignment="1">
      <alignment horizontal="center" vertical="center"/>
    </xf>
    <xf numFmtId="0" fontId="59" fillId="0" borderId="95" xfId="0" applyFont="1" applyBorder="1" applyAlignment="1">
      <alignment horizontal="distributed" vertical="center"/>
    </xf>
    <xf numFmtId="0" fontId="51" fillId="0" borderId="91" xfId="0" applyFont="1" applyBorder="1" applyAlignment="1">
      <alignment horizontal="center" vertical="center"/>
    </xf>
    <xf numFmtId="0" fontId="51" fillId="0" borderId="82" xfId="0" applyFont="1" applyBorder="1" applyAlignment="1">
      <alignment horizontal="center" vertical="center"/>
    </xf>
    <xf numFmtId="176" fontId="59" fillId="0" borderId="14" xfId="1" applyFont="1" applyBorder="1" applyAlignment="1" applyProtection="1">
      <alignment horizontal="right" vertical="center"/>
      <protection locked="0"/>
    </xf>
    <xf numFmtId="176" fontId="59" fillId="0" borderId="14" xfId="1" applyFont="1" applyBorder="1" applyAlignment="1" applyProtection="1">
      <alignment horizontal="right" vertical="center"/>
    </xf>
    <xf numFmtId="0" fontId="92" fillId="0" borderId="2" xfId="0" applyFont="1" applyBorder="1" applyAlignment="1">
      <alignment horizontal="distributed" vertical="center" indent="1"/>
    </xf>
    <xf numFmtId="0" fontId="59" fillId="0" borderId="91" xfId="0" applyFont="1" applyBorder="1" applyAlignment="1">
      <alignment horizontal="center" vertical="center"/>
    </xf>
    <xf numFmtId="0" fontId="92" fillId="0" borderId="6" xfId="0" applyFont="1" applyBorder="1" applyAlignment="1">
      <alignment horizontal="distributed" vertical="center" indent="1"/>
    </xf>
    <xf numFmtId="0" fontId="46" fillId="0" borderId="6" xfId="0" applyFont="1" applyBorder="1" applyAlignment="1">
      <alignment horizontal="center" vertical="center"/>
    </xf>
    <xf numFmtId="178" fontId="59" fillId="0" borderId="14" xfId="0" applyNumberFormat="1" applyFont="1" applyBorder="1" applyAlignment="1" applyProtection="1">
      <alignment horizontal="right" vertical="center"/>
      <protection locked="0"/>
    </xf>
    <xf numFmtId="178" fontId="59" fillId="0" borderId="14" xfId="0" applyNumberFormat="1" applyFont="1" applyBorder="1" applyAlignment="1">
      <alignment horizontal="right" vertical="center"/>
    </xf>
    <xf numFmtId="0" fontId="48" fillId="0" borderId="82" xfId="0" applyFont="1" applyBorder="1" applyAlignment="1">
      <alignment horizontal="left" vertical="center" wrapText="1"/>
    </xf>
    <xf numFmtId="178" fontId="59" fillId="0" borderId="53" xfId="0" applyNumberFormat="1" applyFont="1" applyBorder="1" applyAlignment="1">
      <alignment horizontal="right" vertical="top"/>
    </xf>
    <xf numFmtId="0" fontId="59" fillId="0" borderId="87" xfId="0" applyFont="1" applyBorder="1" applyAlignment="1">
      <alignment horizontal="distributed" vertical="center"/>
    </xf>
    <xf numFmtId="0" fontId="59" fillId="0" borderId="90" xfId="0" applyFont="1" applyBorder="1" applyAlignment="1">
      <alignment horizontal="left" vertical="center" wrapText="1"/>
    </xf>
    <xf numFmtId="0" fontId="59" fillId="0" borderId="6" xfId="0" applyFont="1" applyBorder="1" applyAlignment="1">
      <alignment horizontal="center" vertical="center"/>
    </xf>
    <xf numFmtId="0" fontId="59" fillId="0" borderId="2" xfId="0" applyFont="1" applyBorder="1" applyAlignment="1">
      <alignment horizontal="center" vertical="center"/>
    </xf>
    <xf numFmtId="0" fontId="59" fillId="0" borderId="83" xfId="0" applyFont="1" applyBorder="1" applyAlignment="1">
      <alignment horizontal="distributed" vertical="center"/>
    </xf>
    <xf numFmtId="178" fontId="59" fillId="0" borderId="7" xfId="0" applyNumberFormat="1" applyFont="1" applyBorder="1" applyAlignment="1" applyProtection="1">
      <alignment horizontal="right" vertical="center"/>
      <protection locked="0"/>
    </xf>
    <xf numFmtId="178" fontId="59" fillId="0" borderId="7" xfId="0" applyNumberFormat="1" applyFont="1" applyBorder="1" applyAlignment="1">
      <alignment horizontal="right" vertical="center"/>
    </xf>
    <xf numFmtId="0" fontId="59" fillId="0" borderId="91" xfId="0" applyFont="1" applyBorder="1" applyAlignment="1">
      <alignment vertical="center" wrapText="1"/>
    </xf>
    <xf numFmtId="0" fontId="95" fillId="0" borderId="0" xfId="0" applyFont="1" applyBorder="1" applyAlignment="1">
      <alignment horizontal="distributed"/>
    </xf>
    <xf numFmtId="0" fontId="51" fillId="0" borderId="76" xfId="0" applyFont="1" applyBorder="1" applyAlignment="1">
      <alignment horizontal="distributed" vertical="center"/>
    </xf>
    <xf numFmtId="0" fontId="64" fillId="0" borderId="81" xfId="0" applyFont="1" applyBorder="1" applyAlignment="1">
      <alignment horizontal="distributed" vertical="center" wrapText="1"/>
    </xf>
    <xf numFmtId="0" fontId="51" fillId="0" borderId="83" xfId="0" applyFont="1" applyBorder="1" applyAlignment="1">
      <alignment horizontal="center" vertical="center"/>
    </xf>
    <xf numFmtId="0" fontId="51" fillId="0" borderId="45" xfId="0" applyFont="1" applyBorder="1" applyAlignment="1">
      <alignment horizontal="distributed" vertical="center"/>
    </xf>
    <xf numFmtId="0" fontId="51" fillId="0" borderId="8" xfId="0" applyFont="1" applyBorder="1" applyAlignment="1">
      <alignment horizontal="distributed" vertical="center" indent="1"/>
    </xf>
    <xf numFmtId="178" fontId="59" fillId="2" borderId="10" xfId="0" applyNumberFormat="1" applyFont="1" applyFill="1" applyBorder="1" applyAlignment="1" applyProtection="1">
      <alignment horizontal="right" vertical="center"/>
      <protection locked="0"/>
    </xf>
    <xf numFmtId="178" fontId="59" fillId="2" borderId="10" xfId="0" applyNumberFormat="1" applyFont="1" applyFill="1" applyBorder="1" applyAlignment="1">
      <alignment horizontal="right" vertical="center"/>
    </xf>
    <xf numFmtId="0" fontId="51" fillId="0" borderId="46" xfId="0" applyFont="1" applyBorder="1" applyAlignment="1">
      <alignment horizontal="left" vertical="center" shrinkToFit="1"/>
    </xf>
    <xf numFmtId="49" fontId="59" fillId="0" borderId="102" xfId="0" applyNumberFormat="1" applyFont="1" applyBorder="1" applyAlignment="1">
      <alignment horizontal="center" vertical="center"/>
    </xf>
    <xf numFmtId="178" fontId="51" fillId="0" borderId="49" xfId="0" applyNumberFormat="1" applyFont="1" applyBorder="1" applyAlignment="1">
      <alignment horizontal="left" vertical="center"/>
    </xf>
    <xf numFmtId="49" fontId="59" fillId="0" borderId="61" xfId="0" applyNumberFormat="1" applyFont="1" applyBorder="1" applyAlignment="1">
      <alignment horizontal="center" vertical="center"/>
    </xf>
    <xf numFmtId="178" fontId="51" fillId="0" borderId="114" xfId="0" applyNumberFormat="1" applyFont="1" applyBorder="1" applyAlignment="1">
      <alignment horizontal="left" vertical="center"/>
    </xf>
    <xf numFmtId="178" fontId="94" fillId="0" borderId="75" xfId="0" applyNumberFormat="1" applyFont="1" applyBorder="1" applyAlignment="1">
      <alignment horizontal="distributed"/>
    </xf>
    <xf numFmtId="178" fontId="82" fillId="0" borderId="55" xfId="0" applyNumberFormat="1" applyFont="1" applyBorder="1" applyAlignment="1">
      <alignment horizontal="distributed"/>
    </xf>
    <xf numFmtId="178" fontId="51" fillId="0" borderId="79" xfId="0" applyNumberFormat="1" applyFont="1" applyBorder="1" applyAlignment="1">
      <alignment horizontal="center" vertical="center"/>
    </xf>
    <xf numFmtId="178" fontId="51" fillId="0" borderId="103" xfId="0" applyNumberFormat="1" applyFont="1" applyBorder="1" applyAlignment="1">
      <alignment horizontal="center" vertical="center"/>
    </xf>
    <xf numFmtId="178" fontId="51" fillId="0" borderId="84" xfId="0" applyNumberFormat="1" applyFont="1" applyBorder="1" applyAlignment="1">
      <alignment horizontal="center" vertical="center"/>
    </xf>
    <xf numFmtId="0" fontId="92" fillId="0" borderId="45" xfId="0" applyFont="1" applyBorder="1" applyAlignment="1">
      <alignment horizontal="center" vertical="top" shrinkToFit="1"/>
    </xf>
    <xf numFmtId="0" fontId="92" fillId="0" borderId="67" xfId="0" applyFont="1" applyBorder="1" applyAlignment="1">
      <alignment horizontal="center" vertical="center" shrinkToFit="1"/>
    </xf>
    <xf numFmtId="0" fontId="46" fillId="0" borderId="45" xfId="0" applyFont="1" applyBorder="1" applyAlignment="1">
      <alignment horizontal="distributed" vertical="center" shrinkToFit="1"/>
    </xf>
    <xf numFmtId="0" fontId="46" fillId="0" borderId="67" xfId="0" applyFont="1" applyBorder="1" applyAlignment="1">
      <alignment horizontal="distributed" vertical="center" shrinkToFit="1"/>
    </xf>
    <xf numFmtId="0" fontId="46" fillId="0" borderId="50" xfId="0" applyFont="1" applyBorder="1" applyAlignment="1">
      <alignment horizontal="center" vertical="center" shrinkToFit="1"/>
    </xf>
    <xf numFmtId="0" fontId="46" fillId="0" borderId="124" xfId="0" applyFont="1" applyBorder="1" applyAlignment="1">
      <alignment horizontal="center" vertical="center" shrinkToFit="1"/>
    </xf>
    <xf numFmtId="0" fontId="33" fillId="0" borderId="0" xfId="0" applyFont="1" applyBorder="1" applyAlignment="1">
      <alignment horizontal="right" vertical="center"/>
    </xf>
    <xf numFmtId="0" fontId="46" fillId="0" borderId="42" xfId="0" applyFont="1" applyBorder="1" applyAlignment="1">
      <alignment horizontal="center" vertical="center" wrapText="1"/>
    </xf>
    <xf numFmtId="0" fontId="46" fillId="0" borderId="117" xfId="0" applyFont="1" applyBorder="1" applyAlignment="1">
      <alignment horizontal="center" vertical="center" wrapText="1"/>
    </xf>
    <xf numFmtId="0" fontId="97" fillId="0" borderId="45" xfId="0" applyFont="1" applyBorder="1" applyAlignment="1">
      <alignment horizontal="left" vertical="center" shrinkToFit="1"/>
    </xf>
    <xf numFmtId="0" fontId="97" fillId="0" borderId="67" xfId="0" applyFont="1" applyBorder="1" applyAlignment="1">
      <alignment horizontal="left" vertical="center" shrinkToFit="1"/>
    </xf>
    <xf numFmtId="0" fontId="92" fillId="0" borderId="16" xfId="0" applyFont="1" applyBorder="1" applyAlignment="1">
      <alignment vertical="center" shrinkToFit="1"/>
    </xf>
    <xf numFmtId="0" fontId="46" fillId="0" borderId="50" xfId="0" applyFont="1" applyBorder="1" applyAlignment="1">
      <alignment horizontal="center" vertical="center" wrapText="1"/>
    </xf>
    <xf numFmtId="0" fontId="46" fillId="0" borderId="52" xfId="0" applyFont="1" applyBorder="1" applyAlignment="1">
      <alignment horizontal="center" vertical="center" wrapText="1"/>
    </xf>
    <xf numFmtId="0" fontId="94" fillId="0" borderId="9" xfId="0" applyFont="1" applyBorder="1" applyAlignment="1">
      <alignment horizontal="distributed" vertical="center"/>
    </xf>
    <xf numFmtId="0" fontId="94" fillId="0" borderId="40" xfId="0" applyFont="1" applyBorder="1" applyAlignment="1">
      <alignment horizontal="distributed" vertical="center"/>
    </xf>
    <xf numFmtId="0" fontId="97" fillId="0" borderId="45" xfId="0" applyFont="1" applyBorder="1" applyAlignment="1">
      <alignment horizontal="left" vertical="center"/>
    </xf>
    <xf numFmtId="0" fontId="97" fillId="0" borderId="67" xfId="0" applyFont="1" applyBorder="1" applyAlignment="1">
      <alignment horizontal="left" vertical="center"/>
    </xf>
    <xf numFmtId="0" fontId="46" fillId="0" borderId="45" xfId="0" applyFont="1" applyBorder="1" applyAlignment="1">
      <alignment horizontal="distributed" vertical="center" indent="1"/>
    </xf>
    <xf numFmtId="0" fontId="46" fillId="0" borderId="67" xfId="0" applyFont="1" applyBorder="1" applyAlignment="1">
      <alignment horizontal="distributed" vertical="center" indent="1"/>
    </xf>
    <xf numFmtId="3" fontId="121" fillId="0" borderId="97" xfId="0" applyNumberFormat="1" applyFont="1" applyBorder="1" applyAlignment="1">
      <alignment vertical="center"/>
    </xf>
    <xf numFmtId="0" fontId="51" fillId="0" borderId="87" xfId="0" applyFont="1" applyBorder="1" applyAlignment="1">
      <alignment horizontal="left" vertical="center" wrapText="1"/>
    </xf>
    <xf numFmtId="0" fontId="51" fillId="0" borderId="90" xfId="0" applyFont="1" applyBorder="1" applyAlignment="1">
      <alignment horizontal="center" vertical="center" wrapText="1"/>
    </xf>
    <xf numFmtId="0" fontId="36" fillId="0" borderId="45" xfId="0" applyFont="1" applyBorder="1" applyAlignment="1">
      <alignment horizontal="center" vertical="center"/>
    </xf>
    <xf numFmtId="3" fontId="71" fillId="0" borderId="8" xfId="0" applyNumberFormat="1" applyFont="1" applyBorder="1" applyAlignment="1">
      <alignment vertical="center"/>
    </xf>
    <xf numFmtId="0" fontId="71" fillId="0" borderId="8" xfId="0" applyFont="1" applyBorder="1" applyAlignment="1">
      <alignment horizontal="center" vertical="center" shrinkToFit="1"/>
    </xf>
    <xf numFmtId="0" fontId="36" fillId="0" borderId="46" xfId="0" applyFont="1" applyBorder="1" applyAlignment="1">
      <alignment horizontal="left" vertical="center"/>
    </xf>
    <xf numFmtId="0" fontId="51" fillId="0" borderId="45" xfId="0" applyFont="1" applyBorder="1" applyAlignment="1">
      <alignment horizontal="distributed" vertical="center" indent="1"/>
    </xf>
    <xf numFmtId="199" fontId="44" fillId="0" borderId="8" xfId="0" applyNumberFormat="1" applyFont="1" applyBorder="1" applyAlignment="1" applyProtection="1">
      <alignment vertical="center" wrapText="1"/>
      <protection locked="0"/>
    </xf>
    <xf numFmtId="199" fontId="44" fillId="0" borderId="8" xfId="0" applyNumberFormat="1" applyFont="1" applyBorder="1" applyAlignment="1">
      <alignment vertical="center" wrapText="1"/>
    </xf>
    <xf numFmtId="0" fontId="59" fillId="0" borderId="85" xfId="0" applyFont="1" applyBorder="1" applyAlignment="1">
      <alignment horizontal="left" vertical="center"/>
    </xf>
    <xf numFmtId="0" fontId="51" fillId="0" borderId="126" xfId="0" applyFont="1" applyBorder="1" applyAlignment="1">
      <alignment horizontal="center" vertical="center"/>
    </xf>
    <xf numFmtId="0" fontId="51" fillId="0" borderId="101" xfId="0" applyFont="1" applyBorder="1" applyAlignment="1">
      <alignment horizontal="center" vertical="center"/>
    </xf>
    <xf numFmtId="0" fontId="51" fillId="0" borderId="5" xfId="0" applyFont="1" applyBorder="1" applyAlignment="1">
      <alignment horizontal="right" vertical="center" wrapText="1"/>
    </xf>
    <xf numFmtId="0" fontId="51" fillId="0" borderId="5" xfId="0" applyFont="1" applyBorder="1" applyAlignment="1">
      <alignment horizontal="center" vertical="center" wrapText="1"/>
    </xf>
    <xf numFmtId="0" fontId="51" fillId="0" borderId="80" xfId="0" applyFont="1" applyBorder="1" applyAlignment="1">
      <alignment horizontal="center" vertical="center" wrapText="1"/>
    </xf>
    <xf numFmtId="0" fontId="119" fillId="0" borderId="0" xfId="0" applyFont="1" applyBorder="1" applyAlignment="1">
      <alignment horizontal="center" vertical="center"/>
    </xf>
    <xf numFmtId="0" fontId="51" fillId="0" borderId="81" xfId="0" applyFont="1" applyBorder="1" applyAlignment="1">
      <alignment horizontal="distributed" vertical="center" indent="1"/>
    </xf>
    <xf numFmtId="3" fontId="44" fillId="0" borderId="6" xfId="0" applyNumberFormat="1" applyFont="1" applyBorder="1" applyAlignment="1" applyProtection="1">
      <alignment vertical="center"/>
      <protection locked="0"/>
    </xf>
    <xf numFmtId="3" fontId="44" fillId="0" borderId="6" xfId="0" applyNumberFormat="1" applyFont="1" applyBorder="1" applyAlignment="1">
      <alignment vertical="center"/>
    </xf>
    <xf numFmtId="0" fontId="51" fillId="0" borderId="6" xfId="0" applyFont="1" applyBorder="1" applyAlignment="1">
      <alignment horizontal="center" vertical="center" shrinkToFit="1"/>
    </xf>
    <xf numFmtId="0" fontId="59" fillId="0" borderId="113" xfId="0" applyFont="1" applyBorder="1" applyAlignment="1">
      <alignment horizontal="left" vertical="center"/>
    </xf>
    <xf numFmtId="0" fontId="51" fillId="0" borderId="83" xfId="0" applyFont="1" applyBorder="1" applyAlignment="1">
      <alignment horizontal="distributed" vertical="center" indent="1"/>
    </xf>
    <xf numFmtId="3" fontId="44" fillId="0" borderId="8" xfId="0" applyNumberFormat="1" applyFont="1" applyBorder="1" applyAlignment="1" applyProtection="1">
      <alignment vertical="center"/>
      <protection locked="0"/>
    </xf>
    <xf numFmtId="3" fontId="44" fillId="0" borderId="8" xfId="0" applyNumberFormat="1" applyFont="1" applyBorder="1" applyAlignment="1">
      <alignment vertical="center"/>
    </xf>
    <xf numFmtId="0" fontId="59" fillId="0" borderId="6" xfId="0" applyFont="1" applyBorder="1" applyAlignment="1">
      <alignment horizontal="distributed" vertical="center" indent="1"/>
    </xf>
    <xf numFmtId="0" fontId="51" fillId="0" borderId="86" xfId="0" applyFont="1" applyBorder="1" applyAlignment="1">
      <alignment horizontal="distributed" vertical="center" indent="1"/>
    </xf>
    <xf numFmtId="0" fontId="51" fillId="0" borderId="84" xfId="0" applyFont="1" applyBorder="1" applyAlignment="1">
      <alignment horizontal="left" vertical="center" shrinkToFit="1"/>
    </xf>
    <xf numFmtId="0" fontId="51" fillId="0" borderId="83" xfId="0" applyFont="1" applyBorder="1" applyAlignment="1">
      <alignment horizontal="distributed" vertical="center" wrapText="1" indent="1"/>
    </xf>
    <xf numFmtId="199" fontId="121" fillId="0" borderId="2" xfId="0" applyNumberFormat="1" applyFont="1" applyBorder="1" applyAlignment="1">
      <alignment horizontal="right" vertical="center" wrapText="1"/>
    </xf>
    <xf numFmtId="0" fontId="51" fillId="0" borderId="87" xfId="0" applyFont="1" applyBorder="1" applyAlignment="1">
      <alignment horizontal="center" vertical="center"/>
    </xf>
    <xf numFmtId="199" fontId="121" fillId="0" borderId="97" xfId="0" applyNumberFormat="1" applyFont="1" applyBorder="1" applyAlignment="1">
      <alignment horizontal="right" vertical="center" wrapText="1"/>
    </xf>
    <xf numFmtId="0" fontId="59" fillId="0" borderId="125" xfId="0" applyFont="1" applyBorder="1" applyAlignment="1">
      <alignment horizontal="center" vertical="center"/>
    </xf>
    <xf numFmtId="199" fontId="44" fillId="0" borderId="2" xfId="0" applyNumberFormat="1" applyFont="1" applyBorder="1" applyAlignment="1" applyProtection="1">
      <alignment horizontal="right" vertical="center" wrapText="1"/>
      <protection locked="0"/>
    </xf>
    <xf numFmtId="199" fontId="44" fillId="0" borderId="2" xfId="0" applyNumberFormat="1" applyFont="1" applyBorder="1" applyAlignment="1">
      <alignment horizontal="right" vertical="center" wrapText="1"/>
    </xf>
    <xf numFmtId="0" fontId="51" fillId="0" borderId="81" xfId="0" applyFont="1" applyBorder="1" applyAlignment="1">
      <alignment horizontal="center" vertical="center"/>
    </xf>
    <xf numFmtId="199" fontId="44" fillId="0" borderId="6" xfId="0" applyNumberFormat="1" applyFont="1" applyBorder="1" applyAlignment="1" applyProtection="1">
      <alignment horizontal="right" vertical="center" wrapText="1"/>
      <protection locked="0"/>
    </xf>
    <xf numFmtId="199" fontId="44" fillId="0" borderId="6" xfId="0" applyNumberFormat="1" applyFont="1" applyBorder="1" applyAlignment="1">
      <alignment horizontal="right" vertical="center" wrapText="1"/>
    </xf>
    <xf numFmtId="0" fontId="51" fillId="0" borderId="113" xfId="0" applyFont="1" applyBorder="1" applyAlignment="1">
      <alignment horizontal="left" vertical="center"/>
    </xf>
    <xf numFmtId="0" fontId="64" fillId="0" borderId="0" xfId="0" applyFont="1" applyBorder="1" applyAlignment="1">
      <alignment horizontal="center" vertical="center"/>
    </xf>
    <xf numFmtId="0" fontId="51" fillId="0" borderId="44" xfId="0" applyFont="1" applyBorder="1" applyAlignment="1">
      <alignment horizontal="center" vertical="center"/>
    </xf>
    <xf numFmtId="0" fontId="33" fillId="0" borderId="61" xfId="0" applyFont="1" applyBorder="1" applyAlignment="1">
      <alignment vertical="center" wrapText="1"/>
    </xf>
    <xf numFmtId="0" fontId="33" fillId="0" borderId="115" xfId="0" applyFont="1" applyBorder="1" applyAlignment="1">
      <alignment vertical="top" wrapText="1"/>
    </xf>
    <xf numFmtId="0" fontId="33" fillId="0" borderId="127" xfId="0" applyFont="1" applyBorder="1" applyAlignment="1">
      <alignment horizontal="center" vertical="center" wrapText="1"/>
    </xf>
    <xf numFmtId="0" fontId="33" fillId="0" borderId="103" xfId="0" applyFont="1" applyBorder="1" applyAlignment="1">
      <alignment horizontal="distributed" vertical="center" wrapText="1"/>
    </xf>
    <xf numFmtId="0" fontId="33" fillId="0" borderId="128" xfId="0" applyFont="1" applyBorder="1" applyAlignment="1">
      <alignment horizontal="center" vertical="center" wrapText="1"/>
    </xf>
    <xf numFmtId="0" fontId="33" fillId="0" borderId="79" xfId="0" applyFont="1" applyBorder="1" applyAlignment="1"/>
    <xf numFmtId="0" fontId="64" fillId="0" borderId="100" xfId="0" applyFont="1" applyBorder="1" applyAlignment="1">
      <alignment vertical="top" wrapText="1"/>
    </xf>
    <xf numFmtId="0" fontId="123" fillId="0" borderId="61" xfId="0" applyFont="1" applyBorder="1" applyAlignment="1">
      <alignment horizontal="center" vertical="top" wrapText="1"/>
    </xf>
    <xf numFmtId="0" fontId="64" fillId="0" borderId="61" xfId="0" applyFont="1" applyBorder="1" applyAlignment="1">
      <alignment vertical="top" wrapText="1"/>
    </xf>
    <xf numFmtId="0" fontId="124" fillId="0" borderId="102" xfId="0" applyFont="1" applyBorder="1" applyAlignment="1">
      <alignment horizontal="center" vertical="top" wrapText="1"/>
    </xf>
    <xf numFmtId="0" fontId="64" fillId="0" borderId="0" xfId="0" applyFont="1" applyBorder="1" applyAlignment="1">
      <alignment horizontal="left" vertical="center"/>
    </xf>
    <xf numFmtId="199" fontId="64" fillId="0" borderId="0" xfId="0" applyNumberFormat="1" applyFont="1" applyBorder="1" applyAlignment="1">
      <alignment horizontal="right" vertical="center" wrapText="1"/>
    </xf>
    <xf numFmtId="3" fontId="64" fillId="0" borderId="0" xfId="0" applyNumberFormat="1" applyFont="1" applyBorder="1" applyAlignment="1">
      <alignment horizontal="right" vertical="center" wrapText="1"/>
    </xf>
    <xf numFmtId="0" fontId="127" fillId="0" borderId="0" xfId="0" applyFont="1" applyBorder="1" applyAlignment="1">
      <alignment horizontal="center" vertical="center"/>
    </xf>
    <xf numFmtId="0" fontId="128" fillId="0" borderId="0" xfId="0" applyFont="1" applyBorder="1" applyAlignment="1">
      <alignment horizontal="center" vertical="center"/>
    </xf>
    <xf numFmtId="0" fontId="64" fillId="0" borderId="0" xfId="0" applyFont="1" applyBorder="1" applyAlignment="1">
      <alignment horizontal="center" vertical="center" wrapText="1"/>
    </xf>
    <xf numFmtId="0" fontId="64" fillId="0" borderId="0" xfId="0" applyFont="1" applyBorder="1" applyAlignment="1">
      <alignment horizontal="right" vertical="center" wrapText="1"/>
    </xf>
    <xf numFmtId="3" fontId="89" fillId="0" borderId="0" xfId="0" applyNumberFormat="1" applyFont="1" applyBorder="1" applyAlignment="1">
      <alignment horizontal="right" vertical="center" wrapText="1"/>
    </xf>
    <xf numFmtId="0" fontId="6" fillId="0" borderId="0" xfId="0" applyFont="1" applyBorder="1" applyAlignment="1">
      <alignment horizontal="center" vertical="center"/>
    </xf>
    <xf numFmtId="0" fontId="89" fillId="0" borderId="0" xfId="0" applyFont="1" applyBorder="1" applyAlignment="1">
      <alignment horizontal="center" vertical="center" wrapText="1"/>
    </xf>
    <xf numFmtId="0" fontId="89" fillId="0" borderId="0" xfId="0" applyFont="1" applyBorder="1" applyAlignment="1">
      <alignment horizontal="right" vertical="center" wrapText="1"/>
    </xf>
    <xf numFmtId="0" fontId="92" fillId="0" borderId="81" xfId="0" applyFont="1" applyBorder="1" applyAlignment="1">
      <alignment vertical="top" wrapText="1"/>
    </xf>
    <xf numFmtId="0" fontId="46" fillId="0" borderId="124" xfId="0" applyFont="1" applyBorder="1" applyAlignment="1">
      <alignment horizontal="center" vertical="center" wrapText="1"/>
    </xf>
    <xf numFmtId="0" fontId="92" fillId="0" borderId="61" xfId="0" applyFont="1" applyBorder="1" applyAlignment="1">
      <alignment vertical="top"/>
    </xf>
    <xf numFmtId="0" fontId="92" fillId="0" borderId="67" xfId="0" applyFont="1" applyBorder="1" applyAlignment="1">
      <alignment vertical="center"/>
    </xf>
    <xf numFmtId="0" fontId="46" fillId="0" borderId="45" xfId="0" applyFont="1" applyBorder="1" applyAlignment="1">
      <alignment horizontal="distributed" vertical="center"/>
    </xf>
    <xf numFmtId="0" fontId="46" fillId="0" borderId="67" xfId="0" applyFont="1" applyBorder="1" applyAlignment="1">
      <alignment horizontal="distributed" vertical="center"/>
    </xf>
    <xf numFmtId="0" fontId="46" fillId="0" borderId="45" xfId="0" applyFont="1" applyBorder="1" applyAlignment="1">
      <alignment horizontal="center" vertical="center"/>
    </xf>
    <xf numFmtId="0" fontId="97" fillId="0" borderId="61" xfId="0" applyFont="1" applyBorder="1" applyAlignment="1">
      <alignment vertical="center"/>
    </xf>
    <xf numFmtId="0" fontId="97" fillId="0" borderId="67" xfId="0" applyFont="1" applyBorder="1" applyAlignment="1">
      <alignment vertical="center"/>
    </xf>
    <xf numFmtId="0" fontId="46" fillId="0" borderId="122" xfId="0" applyFont="1" applyBorder="1" applyAlignment="1">
      <alignment horizontal="center" vertical="center" wrapText="1"/>
    </xf>
    <xf numFmtId="0" fontId="51" fillId="0" borderId="82" xfId="0" applyFont="1" applyBorder="1" applyAlignment="1">
      <alignment horizontal="left" vertical="center"/>
    </xf>
    <xf numFmtId="0" fontId="51" fillId="0" borderId="68" xfId="0" applyFont="1" applyBorder="1" applyAlignment="1">
      <alignment horizontal="center" vertical="center"/>
    </xf>
    <xf numFmtId="3" fontId="121" fillId="0" borderId="69" xfId="0" applyNumberFormat="1" applyFont="1" applyBorder="1" applyAlignment="1">
      <alignment vertical="center"/>
    </xf>
    <xf numFmtId="0" fontId="51" fillId="0" borderId="94" xfId="0" applyFont="1" applyBorder="1" applyAlignment="1">
      <alignment horizontal="left" vertical="center" wrapText="1"/>
    </xf>
    <xf numFmtId="0" fontId="51" fillId="0" borderId="95" xfId="0" applyFont="1" applyBorder="1" applyAlignment="1">
      <alignment horizontal="center" vertical="center" wrapText="1"/>
    </xf>
    <xf numFmtId="3" fontId="44" fillId="0" borderId="2" xfId="0" applyNumberFormat="1" applyFont="1" applyBorder="1" applyAlignment="1" applyProtection="1">
      <alignment vertical="center"/>
      <protection locked="0"/>
    </xf>
    <xf numFmtId="3" fontId="44" fillId="0" borderId="2" xfId="0" applyNumberFormat="1" applyFont="1" applyBorder="1" applyAlignment="1">
      <alignment vertical="center"/>
    </xf>
    <xf numFmtId="0" fontId="59" fillId="0" borderId="91" xfId="0" applyFont="1" applyBorder="1" applyAlignment="1">
      <alignment horizontal="left" vertical="center"/>
    </xf>
    <xf numFmtId="0" fontId="51" fillId="0" borderId="8" xfId="0" applyFont="1" applyBorder="1" applyAlignment="1">
      <alignment horizontal="center" vertical="center" shrinkToFit="1"/>
    </xf>
    <xf numFmtId="0" fontId="59" fillId="0" borderId="8" xfId="0" applyFont="1" applyBorder="1" applyAlignment="1">
      <alignment horizontal="center" vertical="center" shrinkToFit="1"/>
    </xf>
    <xf numFmtId="0" fontId="59" fillId="0" borderId="46" xfId="0" applyFont="1" applyBorder="1" applyAlignment="1">
      <alignment horizontal="left" vertical="center"/>
    </xf>
    <xf numFmtId="0" fontId="59" fillId="0" borderId="8" xfId="0" applyFont="1" applyBorder="1" applyAlignment="1">
      <alignment horizontal="left" vertical="center"/>
    </xf>
    <xf numFmtId="199" fontId="121" fillId="0" borderId="88" xfId="0" applyNumberFormat="1" applyFont="1" applyBorder="1" applyAlignment="1">
      <alignment horizontal="right" vertical="center" wrapText="1"/>
    </xf>
    <xf numFmtId="0" fontId="59" fillId="0" borderId="90" xfId="0" applyFont="1" applyBorder="1" applyAlignment="1">
      <alignment horizontal="center" vertical="center"/>
    </xf>
    <xf numFmtId="199" fontId="44" fillId="0" borderId="14" xfId="0" applyNumberFormat="1" applyFont="1" applyBorder="1" applyAlignment="1" applyProtection="1">
      <alignment horizontal="right" vertical="center" wrapText="1"/>
      <protection locked="0"/>
    </xf>
    <xf numFmtId="199" fontId="44" fillId="0" borderId="14" xfId="0" applyNumberFormat="1" applyFont="1" applyBorder="1" applyAlignment="1">
      <alignment horizontal="right" vertical="center" wrapText="1"/>
    </xf>
    <xf numFmtId="0" fontId="51" fillId="0" borderId="127" xfId="0" applyFont="1" applyBorder="1" applyAlignment="1">
      <alignment horizontal="center" vertical="center" wrapText="1"/>
    </xf>
    <xf numFmtId="0" fontId="51" fillId="0" borderId="104" xfId="0" applyFont="1" applyBorder="1" applyAlignment="1">
      <alignment horizontal="distributed" vertical="center" wrapText="1"/>
    </xf>
    <xf numFmtId="0" fontId="51" fillId="0" borderId="128" xfId="0" applyFont="1" applyBorder="1" applyAlignment="1">
      <alignment horizontal="center" vertical="center" wrapText="1"/>
    </xf>
    <xf numFmtId="0" fontId="46" fillId="0" borderId="61" xfId="0" applyFont="1" applyBorder="1" applyAlignment="1">
      <alignment horizontal="center" vertical="center"/>
    </xf>
    <xf numFmtId="0" fontId="46" fillId="0" borderId="115" xfId="0" applyFont="1" applyBorder="1" applyAlignment="1">
      <alignment vertical="center" wrapText="1"/>
    </xf>
    <xf numFmtId="0" fontId="46" fillId="0" borderId="114" xfId="0" applyFont="1" applyBorder="1" applyAlignment="1">
      <alignment vertical="center" wrapText="1"/>
    </xf>
    <xf numFmtId="0" fontId="97" fillId="0" borderId="61" xfId="0" applyFont="1" applyBorder="1" applyAlignment="1">
      <alignment horizontal="left" vertical="center"/>
    </xf>
    <xf numFmtId="0" fontId="92" fillId="0" borderId="16" xfId="0" applyFont="1" applyBorder="1" applyAlignment="1">
      <alignment horizontal="left" vertical="center"/>
    </xf>
    <xf numFmtId="3" fontId="64" fillId="0" borderId="0" xfId="0" applyNumberFormat="1" applyFont="1" applyBorder="1" applyAlignment="1">
      <alignment vertical="center"/>
    </xf>
    <xf numFmtId="0" fontId="64" fillId="0" borderId="0" xfId="0" applyFont="1" applyBorder="1" applyAlignment="1">
      <alignment horizontal="left" vertical="center" wrapText="1"/>
    </xf>
    <xf numFmtId="0" fontId="33" fillId="0" borderId="45" xfId="0" applyFont="1" applyBorder="1" applyAlignment="1">
      <alignment horizontal="distributed" vertical="center"/>
    </xf>
    <xf numFmtId="3" fontId="89" fillId="0" borderId="8" xfId="0" applyNumberFormat="1" applyFont="1" applyBorder="1" applyAlignment="1" applyProtection="1">
      <alignment vertical="center"/>
      <protection locked="0"/>
    </xf>
    <xf numFmtId="3" fontId="89" fillId="0" borderId="8" xfId="0" applyNumberFormat="1" applyFont="1" applyBorder="1" applyAlignment="1">
      <alignment vertical="center"/>
    </xf>
    <xf numFmtId="0" fontId="33" fillId="0" borderId="8" xfId="0" applyFont="1" applyBorder="1" applyAlignment="1">
      <alignment horizontal="center" vertical="center" shrinkToFit="1"/>
    </xf>
    <xf numFmtId="0" fontId="64" fillId="0" borderId="85" xfId="0" applyFont="1" applyBorder="1" applyAlignment="1">
      <alignment horizontal="left" vertical="center"/>
    </xf>
    <xf numFmtId="0" fontId="33" fillId="0" borderId="86" xfId="0" applyFont="1" applyBorder="1" applyAlignment="1">
      <alignment horizontal="center" vertical="center"/>
    </xf>
    <xf numFmtId="3" fontId="125" fillId="0" borderId="97" xfId="0" applyNumberFormat="1" applyFont="1" applyBorder="1" applyAlignment="1">
      <alignment vertical="center"/>
    </xf>
    <xf numFmtId="0" fontId="33" fillId="0" borderId="87" xfId="0" applyFont="1" applyBorder="1" applyAlignment="1">
      <alignment horizontal="left" vertical="center" wrapText="1"/>
    </xf>
    <xf numFmtId="0" fontId="33" fillId="0" borderId="90" xfId="0" applyFont="1" applyBorder="1" applyAlignment="1">
      <alignment horizontal="center" vertical="center" wrapText="1"/>
    </xf>
    <xf numFmtId="0" fontId="33" fillId="0" borderId="76" xfId="0" applyFont="1" applyBorder="1" applyAlignment="1">
      <alignment horizontal="center" vertical="center"/>
    </xf>
    <xf numFmtId="0" fontId="33" fillId="0" borderId="77" xfId="0" applyFont="1" applyBorder="1" applyAlignment="1">
      <alignment horizontal="center" vertical="center"/>
    </xf>
    <xf numFmtId="0" fontId="33" fillId="0" borderId="126" xfId="0" applyFont="1" applyBorder="1" applyAlignment="1">
      <alignment horizontal="center" vertical="center"/>
    </xf>
    <xf numFmtId="0" fontId="33" fillId="0" borderId="101" xfId="0" applyFont="1" applyBorder="1" applyAlignment="1">
      <alignment horizontal="center" vertical="center"/>
    </xf>
    <xf numFmtId="0" fontId="33" fillId="0" borderId="5" xfId="0" applyFont="1" applyBorder="1" applyAlignment="1">
      <alignment horizontal="right" vertical="center" wrapText="1"/>
    </xf>
    <xf numFmtId="0" fontId="33" fillId="0" borderId="5" xfId="0" applyFont="1" applyBorder="1" applyAlignment="1">
      <alignment horizontal="center" vertical="center" wrapText="1"/>
    </xf>
    <xf numFmtId="0" fontId="33" fillId="0" borderId="80" xfId="0" applyFont="1" applyBorder="1" applyAlignment="1">
      <alignment horizontal="center" vertical="center" wrapText="1"/>
    </xf>
    <xf numFmtId="3" fontId="89" fillId="0" borderId="6" xfId="0" applyNumberFormat="1" applyFont="1" applyBorder="1" applyAlignment="1">
      <alignment vertical="center"/>
    </xf>
    <xf numFmtId="0" fontId="33" fillId="0" borderId="68" xfId="0" applyFont="1" applyBorder="1" applyAlignment="1">
      <alignment horizontal="center" vertical="center"/>
    </xf>
    <xf numFmtId="0" fontId="33" fillId="0" borderId="87" xfId="0" applyFont="1" applyBorder="1" applyAlignment="1">
      <alignment horizontal="center" vertical="center"/>
    </xf>
    <xf numFmtId="199" fontId="125" fillId="0" borderId="97" xfId="0" applyNumberFormat="1" applyFont="1" applyBorder="1" applyAlignment="1">
      <alignment horizontal="right" vertical="center" wrapText="1"/>
    </xf>
    <xf numFmtId="0" fontId="64" fillId="0" borderId="125" xfId="0" applyFont="1" applyBorder="1" applyAlignment="1">
      <alignment horizontal="center" vertical="center"/>
    </xf>
    <xf numFmtId="0" fontId="33" fillId="0" borderId="5" xfId="0" applyFont="1" applyBorder="1" applyAlignment="1">
      <alignment horizontal="right" vertical="center"/>
    </xf>
    <xf numFmtId="0" fontId="33" fillId="0" borderId="6" xfId="0" applyFont="1" applyBorder="1" applyAlignment="1">
      <alignment horizontal="distributed" vertical="center" indent="1"/>
    </xf>
    <xf numFmtId="199" fontId="89" fillId="0" borderId="6" xfId="0" applyNumberFormat="1" applyFont="1" applyBorder="1" applyAlignment="1" applyProtection="1">
      <alignment horizontal="right" vertical="center" wrapText="1"/>
      <protection locked="0"/>
    </xf>
    <xf numFmtId="199" fontId="89" fillId="0" borderId="6" xfId="0" applyNumberFormat="1" applyFont="1" applyBorder="1" applyAlignment="1">
      <alignment horizontal="right" vertical="center" wrapText="1"/>
    </xf>
    <xf numFmtId="0" fontId="51" fillId="0" borderId="113" xfId="0" applyFont="1" applyBorder="1" applyAlignment="1">
      <alignment horizontal="left" vertical="center" wrapText="1"/>
    </xf>
    <xf numFmtId="0" fontId="33" fillId="0" borderId="44" xfId="0" applyFont="1" applyBorder="1" applyAlignment="1">
      <alignment horizontal="center" vertical="center"/>
    </xf>
    <xf numFmtId="0" fontId="33" fillId="0" borderId="105" xfId="0" applyFont="1" applyBorder="1" applyAlignment="1">
      <alignment horizontal="distributed" vertical="center" wrapText="1"/>
    </xf>
    <xf numFmtId="0" fontId="54" fillId="0" borderId="61" xfId="0" applyFont="1" applyBorder="1" applyAlignment="1">
      <alignment vertical="top" wrapText="1"/>
    </xf>
    <xf numFmtId="0" fontId="97" fillId="0" borderId="45" xfId="0" applyFont="1" applyBorder="1" applyAlignment="1">
      <alignment vertical="center"/>
    </xf>
    <xf numFmtId="0" fontId="46" fillId="0" borderId="61" xfId="0" applyFont="1" applyBorder="1" applyAlignment="1">
      <alignment horizontal="distributed" vertical="center"/>
    </xf>
    <xf numFmtId="0" fontId="130" fillId="0" borderId="0" xfId="0" applyFont="1" applyBorder="1" applyAlignment="1">
      <alignment horizontal="center" vertical="center"/>
    </xf>
    <xf numFmtId="0" fontId="94" fillId="0" borderId="75" xfId="0" applyFont="1" applyBorder="1" applyAlignment="1">
      <alignment horizontal="distributed" vertical="center"/>
    </xf>
    <xf numFmtId="218" fontId="64" fillId="0" borderId="0" xfId="0" applyNumberFormat="1" applyFont="1" applyBorder="1" applyAlignment="1">
      <alignment horizontal="right" vertical="center"/>
    </xf>
    <xf numFmtId="219" fontId="64" fillId="0" borderId="0" xfId="0" applyNumberFormat="1" applyFont="1" applyBorder="1" applyAlignment="1">
      <alignment horizontal="right" vertical="center"/>
    </xf>
    <xf numFmtId="0" fontId="114" fillId="0" borderId="67" xfId="0" applyFont="1" applyBorder="1" applyAlignment="1">
      <alignment vertical="center"/>
    </xf>
    <xf numFmtId="0" fontId="46" fillId="0" borderId="45" xfId="0" applyFont="1" applyBorder="1" applyAlignment="1">
      <alignment vertical="center" shrinkToFit="1"/>
    </xf>
    <xf numFmtId="0" fontId="92" fillId="0" borderId="81" xfId="0" applyFont="1" applyBorder="1" applyAlignment="1">
      <alignment vertical="center"/>
    </xf>
    <xf numFmtId="0" fontId="46" fillId="0" borderId="67" xfId="0" applyFont="1" applyBorder="1" applyAlignment="1">
      <alignment horizontal="center" vertical="center"/>
    </xf>
    <xf numFmtId="0" fontId="92" fillId="0" borderId="148" xfId="0" applyFont="1" applyBorder="1" applyAlignment="1">
      <alignment vertical="center"/>
    </xf>
    <xf numFmtId="0" fontId="114" fillId="0" borderId="61" xfId="0" applyFont="1" applyBorder="1" applyAlignment="1">
      <alignment vertical="center"/>
    </xf>
    <xf numFmtId="217" fontId="64" fillId="0" borderId="0" xfId="0" applyNumberFormat="1" applyFont="1" applyBorder="1" applyAlignment="1">
      <alignment horizontal="right" vertical="center"/>
    </xf>
    <xf numFmtId="3" fontId="44" fillId="0" borderId="10" xfId="0" applyNumberFormat="1" applyFont="1" applyBorder="1" applyAlignment="1">
      <alignment vertical="center"/>
    </xf>
    <xf numFmtId="3" fontId="44" fillId="0" borderId="0" xfId="0" applyNumberFormat="1" applyFont="1" applyBorder="1" applyAlignment="1">
      <alignment vertical="center"/>
    </xf>
    <xf numFmtId="3" fontId="44" fillId="0" borderId="0" xfId="0" applyNumberFormat="1" applyFont="1" applyBorder="1" applyAlignment="1" applyProtection="1">
      <alignment vertical="center"/>
      <protection locked="0"/>
    </xf>
    <xf numFmtId="3" fontId="121" fillId="0" borderId="88" xfId="0" applyNumberFormat="1" applyFont="1" applyBorder="1" applyAlignment="1">
      <alignment vertical="center"/>
    </xf>
    <xf numFmtId="3" fontId="131" fillId="0" borderId="136" xfId="0" applyNumberFormat="1" applyFont="1" applyBorder="1" applyAlignment="1">
      <alignment vertical="center" wrapText="1"/>
    </xf>
    <xf numFmtId="3" fontId="121" fillId="0" borderId="136" xfId="0" applyNumberFormat="1" applyFont="1" applyBorder="1" applyAlignment="1">
      <alignment vertical="center" wrapText="1"/>
    </xf>
    <xf numFmtId="0" fontId="59" fillId="0" borderId="98" xfId="0" applyFont="1" applyBorder="1" applyAlignment="1">
      <alignment horizontal="center" vertical="center" wrapText="1"/>
    </xf>
    <xf numFmtId="0" fontId="51" fillId="0" borderId="11" xfId="0" applyFont="1" applyBorder="1" applyAlignment="1">
      <alignment horizontal="right" vertical="center" wrapText="1"/>
    </xf>
    <xf numFmtId="0" fontId="51" fillId="0" borderId="4" xfId="0" applyFont="1" applyBorder="1" applyAlignment="1">
      <alignment horizontal="right" vertical="center" wrapText="1"/>
    </xf>
    <xf numFmtId="0" fontId="51" fillId="0" borderId="13" xfId="0" applyFont="1" applyBorder="1" applyAlignment="1">
      <alignment horizontal="right" vertical="center" wrapText="1"/>
    </xf>
    <xf numFmtId="0" fontId="51" fillId="0" borderId="150" xfId="0" applyFont="1" applyBorder="1" applyAlignment="1">
      <alignment horizontal="center" vertical="center"/>
    </xf>
    <xf numFmtId="0" fontId="51" fillId="0" borderId="55" xfId="0" applyFont="1" applyBorder="1" applyAlignment="1">
      <alignment horizontal="center" vertical="center"/>
    </xf>
    <xf numFmtId="3" fontId="121" fillId="0" borderId="88" xfId="0" applyNumberFormat="1" applyFont="1" applyBorder="1" applyAlignment="1">
      <alignment horizontal="right" vertical="center" wrapText="1"/>
    </xf>
    <xf numFmtId="3" fontId="44" fillId="0" borderId="6" xfId="0" applyNumberFormat="1" applyFont="1" applyBorder="1" applyAlignment="1" applyProtection="1">
      <alignment horizontal="right" vertical="center"/>
      <protection locked="0"/>
    </xf>
    <xf numFmtId="3" fontId="44" fillId="0" borderId="6" xfId="0" applyNumberFormat="1" applyFont="1" applyBorder="1" applyAlignment="1">
      <alignment horizontal="right" vertical="center"/>
    </xf>
    <xf numFmtId="0" fontId="51" fillId="0" borderId="16" xfId="0" applyFont="1" applyBorder="1" applyAlignment="1">
      <alignment horizontal="distributed" vertical="center" indent="1"/>
    </xf>
    <xf numFmtId="3" fontId="121" fillId="0" borderId="97" xfId="0" applyNumberFormat="1" applyFont="1" applyBorder="1" applyAlignment="1">
      <alignment horizontal="right" vertical="center"/>
    </xf>
    <xf numFmtId="0" fontId="59" fillId="0" borderId="149" xfId="0" applyFont="1" applyBorder="1" applyAlignment="1">
      <alignment horizontal="center" vertical="center" wrapText="1"/>
    </xf>
    <xf numFmtId="0" fontId="51" fillId="0" borderId="96" xfId="0" applyFont="1" applyBorder="1" applyAlignment="1">
      <alignment horizontal="center" vertical="center"/>
    </xf>
    <xf numFmtId="0" fontId="51" fillId="0" borderId="16" xfId="0" applyFont="1" applyBorder="1" applyAlignment="1">
      <alignment horizontal="center" vertical="center" wrapText="1"/>
    </xf>
    <xf numFmtId="0" fontId="22" fillId="0" borderId="113" xfId="0" applyFont="1" applyBorder="1" applyAlignment="1">
      <alignment horizontal="left" vertical="center"/>
    </xf>
    <xf numFmtId="0" fontId="124" fillId="0" borderId="61" xfId="0" applyFont="1" applyBorder="1" applyAlignment="1">
      <alignment horizontal="center" vertical="top" wrapText="1"/>
    </xf>
    <xf numFmtId="0" fontId="28" fillId="0" borderId="0" xfId="0" applyFont="1" applyBorder="1" applyAlignment="1">
      <alignment horizontal="right" vertical="center"/>
    </xf>
    <xf numFmtId="0" fontId="28" fillId="0" borderId="54" xfId="0" applyFont="1" applyBorder="1" applyAlignment="1">
      <alignment horizontal="center" vertical="center"/>
    </xf>
    <xf numFmtId="0" fontId="28" fillId="0" borderId="55" xfId="0" applyFont="1" applyBorder="1" applyAlignment="1">
      <alignment horizontal="center" vertical="center"/>
    </xf>
    <xf numFmtId="0" fontId="28" fillId="0" borderId="50" xfId="0" applyFont="1" applyBorder="1" applyAlignment="1">
      <alignment horizontal="center" vertical="center"/>
    </xf>
    <xf numFmtId="0" fontId="28" fillId="0" borderId="52" xfId="0" applyFont="1" applyBorder="1" applyAlignment="1">
      <alignment horizontal="center" vertical="center"/>
    </xf>
    <xf numFmtId="0" fontId="28" fillId="0" borderId="53" xfId="0" applyFont="1" applyBorder="1" applyAlignment="1">
      <alignment horizontal="left" vertical="center" wrapText="1"/>
    </xf>
    <xf numFmtId="0" fontId="135" fillId="0" borderId="9" xfId="0" applyFont="1" applyBorder="1" applyAlignment="1">
      <alignment horizontal="distributed"/>
    </xf>
    <xf numFmtId="0" fontId="135" fillId="0" borderId="40" xfId="0" applyFont="1" applyBorder="1" applyAlignment="1">
      <alignment horizontal="distributed"/>
    </xf>
    <xf numFmtId="0" fontId="28" fillId="0" borderId="41" xfId="0" applyFont="1" applyBorder="1" applyAlignment="1">
      <alignment horizontal="right" vertical="center"/>
    </xf>
    <xf numFmtId="0" fontId="28" fillId="0" borderId="42" xfId="0" applyFont="1" applyBorder="1" applyAlignment="1">
      <alignment horizontal="center" vertical="center"/>
    </xf>
    <xf numFmtId="0" fontId="28" fillId="0" borderId="44" xfId="0" applyFont="1" applyBorder="1" applyAlignment="1">
      <alignment horizontal="center" vertical="center"/>
    </xf>
    <xf numFmtId="178" fontId="44" fillId="0" borderId="115" xfId="0" applyNumberFormat="1" applyFont="1" applyBorder="1" applyAlignment="1">
      <alignment horizontal="right" vertical="center"/>
    </xf>
    <xf numFmtId="178" fontId="44" fillId="0" borderId="73" xfId="0" applyNumberFormat="1" applyFont="1" applyBorder="1" applyAlignment="1">
      <alignment horizontal="center" vertical="center"/>
    </xf>
    <xf numFmtId="0" fontId="27" fillId="0" borderId="156" xfId="0" applyFont="1" applyBorder="1" applyAlignment="1">
      <alignment horizontal="left" vertical="center"/>
    </xf>
    <xf numFmtId="178" fontId="22" fillId="0" borderId="73" xfId="0" applyNumberFormat="1" applyFont="1" applyBorder="1" applyAlignment="1">
      <alignment horizontal="center"/>
    </xf>
    <xf numFmtId="178" fontId="44" fillId="0" borderId="0" xfId="0" applyNumberFormat="1" applyFont="1" applyBorder="1" applyAlignment="1">
      <alignment horizontal="right"/>
    </xf>
    <xf numFmtId="0" fontId="44" fillId="0" borderId="53" xfId="0" applyFont="1" applyBorder="1" applyAlignment="1">
      <alignment horizontal="center"/>
    </xf>
    <xf numFmtId="0" fontId="22" fillId="0" borderId="0" xfId="0" applyFont="1" applyBorder="1" applyAlignment="1">
      <alignment horizontal="left" vertical="center"/>
    </xf>
    <xf numFmtId="199" fontId="44" fillId="0" borderId="0" xfId="0" applyNumberFormat="1" applyFont="1" applyBorder="1" applyAlignment="1" applyProtection="1">
      <alignment vertical="center"/>
      <protection locked="0"/>
    </xf>
    <xf numFmtId="199" fontId="44" fillId="0" borderId="0" xfId="0" applyNumberFormat="1" applyFont="1" applyBorder="1" applyAlignment="1">
      <alignment vertical="center"/>
    </xf>
    <xf numFmtId="178" fontId="121" fillId="0" borderId="40" xfId="0" applyNumberFormat="1" applyFont="1" applyBorder="1" applyAlignment="1">
      <alignment horizontal="right" vertical="center"/>
    </xf>
    <xf numFmtId="0" fontId="135" fillId="0" borderId="75" xfId="0" applyFont="1" applyBorder="1" applyAlignment="1">
      <alignment horizontal="distributed"/>
    </xf>
    <xf numFmtId="0" fontId="136" fillId="0" borderId="0" xfId="0" applyFont="1" applyBorder="1" applyAlignment="1">
      <alignment horizontal="distributed"/>
    </xf>
    <xf numFmtId="178" fontId="121" fillId="0" borderId="0" xfId="0" applyNumberFormat="1" applyFont="1" applyBorder="1" applyAlignment="1">
      <alignment horizontal="right" vertical="center"/>
    </xf>
    <xf numFmtId="178" fontId="44" fillId="0" borderId="0" xfId="0" applyNumberFormat="1" applyFont="1" applyBorder="1" applyAlignment="1">
      <alignment horizontal="right" vertical="center"/>
    </xf>
    <xf numFmtId="178" fontId="44" fillId="0" borderId="0" xfId="0" applyNumberFormat="1" applyFont="1" applyBorder="1" applyAlignment="1" applyProtection="1">
      <alignment horizontal="right" vertical="center"/>
      <protection locked="0"/>
    </xf>
    <xf numFmtId="0" fontId="22" fillId="0" borderId="83" xfId="0" applyFont="1" applyBorder="1" applyAlignment="1">
      <alignment horizontal="distributed" vertical="center"/>
    </xf>
    <xf numFmtId="178" fontId="44" fillId="0" borderId="2" xfId="0" applyNumberFormat="1" applyFont="1" applyBorder="1" applyAlignment="1" applyProtection="1">
      <alignment horizontal="right" vertical="center"/>
      <protection locked="0"/>
    </xf>
    <xf numFmtId="178" fontId="44" fillId="0" borderId="2" xfId="0" applyNumberFormat="1" applyFont="1" applyBorder="1" applyAlignment="1">
      <alignment horizontal="right" vertical="center"/>
    </xf>
    <xf numFmtId="178" fontId="121" fillId="0" borderId="91" xfId="0" applyNumberFormat="1" applyFont="1" applyBorder="1" applyAlignment="1">
      <alignment horizontal="right" vertical="center"/>
    </xf>
    <xf numFmtId="0" fontId="22" fillId="0" borderId="86" xfId="0" applyFont="1" applyBorder="1" applyAlignment="1">
      <alignment horizontal="center" vertical="center"/>
    </xf>
    <xf numFmtId="178" fontId="121" fillId="0" borderId="97" xfId="0" applyNumberFormat="1" applyFont="1" applyBorder="1" applyAlignment="1">
      <alignment horizontal="right" vertical="center"/>
    </xf>
    <xf numFmtId="178" fontId="121" fillId="0" borderId="153" xfId="0" applyNumberFormat="1" applyFont="1" applyBorder="1" applyAlignment="1">
      <alignment horizontal="right" vertical="center"/>
    </xf>
    <xf numFmtId="0" fontId="43" fillId="0" borderId="98" xfId="0" applyFont="1" applyBorder="1" applyAlignment="1">
      <alignment horizontal="center" vertical="center"/>
    </xf>
    <xf numFmtId="0" fontId="28" fillId="0" borderId="5" xfId="0" applyFont="1" applyBorder="1" applyAlignment="1">
      <alignment horizontal="right" vertical="center"/>
    </xf>
    <xf numFmtId="0" fontId="28" fillId="0" borderId="99" xfId="0" applyFont="1" applyBorder="1" applyAlignment="1">
      <alignment horizontal="right" vertical="center"/>
    </xf>
    <xf numFmtId="0" fontId="22" fillId="0" borderId="81" xfId="0" applyFont="1" applyBorder="1" applyAlignment="1">
      <alignment horizontal="distributed" vertical="center"/>
    </xf>
    <xf numFmtId="178" fontId="44" fillId="0" borderId="6" xfId="0" applyNumberFormat="1" applyFont="1" applyBorder="1" applyAlignment="1">
      <alignment horizontal="right" vertical="center"/>
    </xf>
    <xf numFmtId="178" fontId="121" fillId="0" borderId="82" xfId="0" applyNumberFormat="1" applyFont="1" applyBorder="1" applyAlignment="1">
      <alignment horizontal="right" vertical="center"/>
    </xf>
    <xf numFmtId="0" fontId="89" fillId="0" borderId="90" xfId="0" applyFont="1" applyBorder="1" applyAlignment="1">
      <alignment horizontal="left" vertical="center" wrapText="1"/>
    </xf>
    <xf numFmtId="0" fontId="22" fillId="0" borderId="76" xfId="0" applyFont="1" applyBorder="1" applyAlignment="1">
      <alignment horizontal="center" vertical="center"/>
    </xf>
    <xf numFmtId="0" fontId="22" fillId="0" borderId="77" xfId="0" applyFont="1" applyBorder="1" applyAlignment="1">
      <alignment horizontal="distributed" vertical="center"/>
    </xf>
    <xf numFmtId="0" fontId="22" fillId="0" borderId="78" xfId="0" applyFont="1" applyBorder="1" applyAlignment="1">
      <alignment horizontal="center" vertical="center"/>
    </xf>
    <xf numFmtId="0" fontId="135" fillId="0" borderId="75" xfId="0" applyFont="1" applyBorder="1" applyAlignment="1"/>
    <xf numFmtId="0" fontId="27" fillId="0" borderId="77" xfId="0" applyFont="1" applyBorder="1" applyAlignment="1">
      <alignment horizontal="distributed" vertical="center"/>
    </xf>
    <xf numFmtId="0" fontId="72" fillId="0" borderId="98" xfId="0" applyFont="1" applyBorder="1" applyAlignment="1">
      <alignment horizontal="distributed" vertical="center"/>
    </xf>
    <xf numFmtId="0" fontId="27" fillId="0" borderId="91" xfId="0" applyFont="1" applyBorder="1" applyAlignment="1">
      <alignment horizontal="left" vertical="center" wrapText="1"/>
    </xf>
    <xf numFmtId="0" fontId="22" fillId="0" borderId="81" xfId="0" applyFont="1" applyBorder="1" applyAlignment="1">
      <alignment horizontal="distributed" vertical="center" shrinkToFit="1"/>
    </xf>
    <xf numFmtId="178" fontId="121" fillId="0" borderId="6" xfId="0" applyNumberFormat="1" applyFont="1" applyBorder="1" applyAlignment="1">
      <alignment horizontal="right" vertical="center"/>
    </xf>
    <xf numFmtId="0" fontId="22" fillId="2" borderId="81" xfId="0" applyFont="1" applyFill="1" applyBorder="1" applyAlignment="1">
      <alignment horizontal="distributed" vertical="top"/>
    </xf>
    <xf numFmtId="178" fontId="44" fillId="2" borderId="6" xfId="0" applyNumberFormat="1" applyFont="1" applyFill="1" applyBorder="1" applyAlignment="1" applyProtection="1">
      <alignment horizontal="right" vertical="top"/>
      <protection locked="0"/>
    </xf>
    <xf numFmtId="178" fontId="44" fillId="2" borderId="6" xfId="0" applyNumberFormat="1" applyFont="1" applyFill="1" applyBorder="1" applyAlignment="1">
      <alignment horizontal="right" vertical="top"/>
    </xf>
    <xf numFmtId="0" fontId="44" fillId="2" borderId="82" xfId="0" applyFont="1" applyFill="1" applyBorder="1" applyAlignment="1">
      <alignment horizontal="left" vertical="top" wrapText="1"/>
    </xf>
    <xf numFmtId="0" fontId="22" fillId="2" borderId="86" xfId="0" applyFont="1" applyFill="1" applyBorder="1" applyAlignment="1">
      <alignment horizontal="center" vertical="center"/>
    </xf>
    <xf numFmtId="178" fontId="44" fillId="2" borderId="97" xfId="0" applyNumberFormat="1" applyFont="1" applyFill="1" applyBorder="1" applyAlignment="1">
      <alignment horizontal="right" vertical="center"/>
    </xf>
    <xf numFmtId="0" fontId="44" fillId="2" borderId="90" xfId="0" applyFont="1" applyFill="1" applyBorder="1" applyAlignment="1">
      <alignment horizontal="left" vertical="center" wrapText="1"/>
    </xf>
    <xf numFmtId="0" fontId="148" fillId="2" borderId="75" xfId="0" applyFont="1" applyFill="1" applyBorder="1" applyAlignment="1">
      <alignment horizontal="distributed"/>
    </xf>
    <xf numFmtId="0" fontId="136" fillId="2" borderId="0" xfId="0" applyFont="1" applyFill="1" applyBorder="1" applyAlignment="1">
      <alignment horizontal="distributed"/>
    </xf>
    <xf numFmtId="0" fontId="22" fillId="2" borderId="76" xfId="0" applyFont="1" applyFill="1" applyBorder="1" applyAlignment="1">
      <alignment horizontal="center" vertical="center"/>
    </xf>
    <xf numFmtId="0" fontId="22" fillId="2" borderId="77" xfId="0" applyFont="1" applyFill="1" applyBorder="1" applyAlignment="1">
      <alignment horizontal="distributed" vertical="center"/>
    </xf>
    <xf numFmtId="0" fontId="27" fillId="2" borderId="77" xfId="0" applyFont="1" applyFill="1" applyBorder="1" applyAlignment="1">
      <alignment horizontal="distributed" vertical="center"/>
    </xf>
    <xf numFmtId="0" fontId="22" fillId="2" borderId="78" xfId="0" applyFont="1" applyFill="1" applyBorder="1" applyAlignment="1">
      <alignment horizontal="center" vertical="center"/>
    </xf>
    <xf numFmtId="0" fontId="72" fillId="2" borderId="98" xfId="0" applyFont="1" applyFill="1" applyBorder="1" applyAlignment="1">
      <alignment horizontal="center" vertical="center"/>
    </xf>
    <xf numFmtId="0" fontId="28" fillId="2" borderId="5" xfId="0" applyFont="1" applyFill="1" applyBorder="1" applyAlignment="1">
      <alignment horizontal="right" vertical="center"/>
    </xf>
    <xf numFmtId="0" fontId="72" fillId="2" borderId="99" xfId="0" applyFont="1" applyFill="1" applyBorder="1" applyAlignment="1">
      <alignment horizontal="distributed" vertical="center"/>
    </xf>
    <xf numFmtId="0" fontId="28" fillId="2" borderId="83" xfId="0" applyFont="1" applyFill="1" applyBorder="1" applyAlignment="1">
      <alignment horizontal="distributed" vertical="center"/>
    </xf>
    <xf numFmtId="178" fontId="72" fillId="2" borderId="2" xfId="0" applyNumberFormat="1" applyFont="1" applyFill="1" applyBorder="1" applyAlignment="1" applyProtection="1">
      <alignment horizontal="center" vertical="center"/>
      <protection locked="0"/>
    </xf>
    <xf numFmtId="178" fontId="72" fillId="2" borderId="2" xfId="0" applyNumberFormat="1" applyFont="1" applyFill="1" applyBorder="1" applyAlignment="1">
      <alignment horizontal="center" vertical="center"/>
    </xf>
    <xf numFmtId="178" fontId="72" fillId="2" borderId="2" xfId="0" applyNumberFormat="1" applyFont="1" applyFill="1" applyBorder="1" applyAlignment="1" applyProtection="1">
      <alignment vertical="center"/>
      <protection locked="0"/>
    </xf>
    <xf numFmtId="178" fontId="72" fillId="2" borderId="2" xfId="0" applyNumberFormat="1" applyFont="1" applyFill="1" applyBorder="1" applyAlignment="1">
      <alignment vertical="center"/>
    </xf>
    <xf numFmtId="49" fontId="28" fillId="2" borderId="2" xfId="0" applyNumberFormat="1" applyFont="1" applyFill="1" applyBorder="1" applyAlignment="1">
      <alignment horizontal="right" vertical="center"/>
    </xf>
    <xf numFmtId="0" fontId="28" fillId="2" borderId="91" xfId="0" applyFont="1" applyFill="1" applyBorder="1" applyAlignment="1">
      <alignment horizontal="left" vertical="center" wrapText="1"/>
    </xf>
    <xf numFmtId="0" fontId="28" fillId="2" borderId="86" xfId="0" applyFont="1" applyFill="1" applyBorder="1" applyAlignment="1">
      <alignment horizontal="center" vertical="center"/>
    </xf>
    <xf numFmtId="178" fontId="72" fillId="2" borderId="87" xfId="0" applyNumberFormat="1" applyFont="1" applyFill="1" applyBorder="1" applyAlignment="1">
      <alignment horizontal="center" vertical="center"/>
    </xf>
    <xf numFmtId="178" fontId="72" fillId="2" borderId="97" xfId="0" applyNumberFormat="1" applyFont="1" applyFill="1" applyBorder="1" applyAlignment="1">
      <alignment vertical="center"/>
    </xf>
    <xf numFmtId="178" fontId="72" fillId="2" borderId="87" xfId="0" applyNumberFormat="1" applyFont="1" applyFill="1" applyBorder="1" applyAlignment="1">
      <alignment vertical="center"/>
    </xf>
    <xf numFmtId="0" fontId="72" fillId="2" borderId="90" xfId="0" applyFont="1" applyFill="1" applyBorder="1" applyAlignment="1">
      <alignment horizontal="left" vertical="center" wrapText="1"/>
    </xf>
    <xf numFmtId="178" fontId="28" fillId="2" borderId="5" xfId="0" applyNumberFormat="1" applyFont="1" applyFill="1" applyBorder="1" applyAlignment="1">
      <alignment horizontal="right" vertical="center"/>
    </xf>
    <xf numFmtId="0" fontId="28" fillId="2" borderId="81" xfId="0" applyFont="1" applyFill="1" applyBorder="1" applyAlignment="1">
      <alignment horizontal="distributed" vertical="top"/>
    </xf>
    <xf numFmtId="49" fontId="28" fillId="2" borderId="6" xfId="0" applyNumberFormat="1" applyFont="1" applyFill="1" applyBorder="1" applyAlignment="1">
      <alignment horizontal="center" vertical="top"/>
    </xf>
    <xf numFmtId="178" fontId="72" fillId="2" borderId="6" xfId="0" applyNumberFormat="1" applyFont="1" applyFill="1" applyBorder="1" applyAlignment="1" applyProtection="1">
      <alignment vertical="top"/>
      <protection locked="0"/>
    </xf>
    <xf numFmtId="178" fontId="72" fillId="2" borderId="6" xfId="0" applyNumberFormat="1" applyFont="1" applyFill="1" applyBorder="1" applyAlignment="1">
      <alignment vertical="top"/>
    </xf>
    <xf numFmtId="197" fontId="72" fillId="2" borderId="6" xfId="0" applyNumberFormat="1" applyFont="1" applyFill="1" applyBorder="1" applyAlignment="1">
      <alignment vertical="top"/>
    </xf>
    <xf numFmtId="0" fontId="135" fillId="2" borderId="75" xfId="0" applyFont="1" applyFill="1" applyBorder="1" applyAlignment="1">
      <alignment horizontal="distributed"/>
    </xf>
    <xf numFmtId="0" fontId="25" fillId="2" borderId="76" xfId="0" applyFont="1" applyFill="1" applyBorder="1" applyAlignment="1">
      <alignment horizontal="distributed" vertical="center"/>
    </xf>
    <xf numFmtId="178" fontId="25" fillId="2" borderId="77" xfId="0" applyNumberFormat="1" applyFont="1" applyFill="1" applyBorder="1" applyAlignment="1">
      <alignment horizontal="distributed" vertical="center"/>
    </xf>
    <xf numFmtId="0" fontId="25" fillId="2" borderId="77" xfId="0" applyFont="1" applyFill="1" applyBorder="1" applyAlignment="1">
      <alignment horizontal="distributed" vertical="center"/>
    </xf>
    <xf numFmtId="0" fontId="25" fillId="2" borderId="78" xfId="0" applyFont="1" applyFill="1" applyBorder="1" applyAlignment="1">
      <alignment horizontal="center" vertical="center"/>
    </xf>
    <xf numFmtId="0" fontId="89" fillId="0" borderId="82" xfId="0" applyFont="1" applyBorder="1" applyAlignment="1">
      <alignment horizontal="left" vertical="center" wrapText="1"/>
    </xf>
    <xf numFmtId="178" fontId="44" fillId="0" borderId="97" xfId="0" applyNumberFormat="1" applyFont="1" applyBorder="1" applyAlignment="1">
      <alignment horizontal="right" vertical="center"/>
    </xf>
    <xf numFmtId="0" fontId="72" fillId="0" borderId="99" xfId="0" applyFont="1" applyBorder="1" applyAlignment="1">
      <alignment horizontal="distributed" vertical="center"/>
    </xf>
    <xf numFmtId="0" fontId="22" fillId="0" borderId="81" xfId="0" applyFont="1" applyBorder="1" applyAlignment="1">
      <alignment horizontal="center" vertical="center"/>
    </xf>
    <xf numFmtId="176" fontId="22" fillId="0" borderId="6" xfId="1" applyFont="1" applyBorder="1" applyAlignment="1" applyProtection="1">
      <alignment horizontal="center" vertical="center"/>
    </xf>
    <xf numFmtId="176" fontId="22" fillId="0" borderId="6" xfId="1" applyFont="1" applyBorder="1" applyAlignment="1" applyProtection="1">
      <alignment horizontal="center" vertical="center"/>
      <protection locked="0"/>
    </xf>
    <xf numFmtId="176" fontId="44" fillId="0" borderId="6" xfId="1" applyFont="1" applyBorder="1" applyAlignment="1" applyProtection="1">
      <alignment horizontal="right" vertical="center"/>
      <protection locked="0"/>
    </xf>
    <xf numFmtId="176" fontId="44" fillId="0" borderId="6" xfId="1" applyFont="1" applyBorder="1" applyAlignment="1" applyProtection="1">
      <alignment horizontal="right" vertical="center"/>
    </xf>
    <xf numFmtId="194" fontId="121" fillId="0" borderId="6" xfId="0" applyNumberFormat="1" applyFont="1" applyBorder="1" applyAlignment="1">
      <alignment horizontal="center" vertical="center"/>
    </xf>
    <xf numFmtId="176" fontId="28" fillId="0" borderId="82" xfId="1" applyFont="1" applyBorder="1" applyAlignment="1" applyProtection="1">
      <alignment horizontal="left" vertical="center" wrapText="1" shrinkToFit="1"/>
    </xf>
    <xf numFmtId="176" fontId="78" fillId="0" borderId="87" xfId="1" applyFont="1" applyBorder="1" applyAlignment="1" applyProtection="1">
      <alignment horizontal="center" vertical="center"/>
    </xf>
    <xf numFmtId="176" fontId="121" fillId="0" borderId="97" xfId="1" applyFont="1" applyBorder="1" applyAlignment="1" applyProtection="1">
      <alignment horizontal="center" vertical="center"/>
    </xf>
    <xf numFmtId="176" fontId="121" fillId="0" borderId="97" xfId="1" applyFont="1" applyBorder="1" applyAlignment="1" applyProtection="1">
      <alignment horizontal="right" vertical="center"/>
    </xf>
    <xf numFmtId="176" fontId="78" fillId="0" borderId="90" xfId="1" applyFont="1" applyBorder="1" applyAlignment="1" applyProtection="1">
      <alignment horizontal="center" vertical="center"/>
    </xf>
    <xf numFmtId="0" fontId="22" fillId="0" borderId="77" xfId="0" applyFont="1" applyBorder="1" applyAlignment="1">
      <alignment horizontal="center" vertical="center"/>
    </xf>
    <xf numFmtId="178" fontId="22" fillId="0" borderId="77" xfId="0" applyNumberFormat="1" applyFont="1" applyBorder="1" applyAlignment="1">
      <alignment horizontal="center" vertical="center"/>
    </xf>
    <xf numFmtId="178" fontId="28" fillId="0" borderId="77" xfId="0" applyNumberFormat="1" applyFont="1" applyBorder="1" applyAlignment="1">
      <alignment horizontal="center" vertical="center"/>
    </xf>
    <xf numFmtId="0" fontId="22" fillId="0" borderId="78" xfId="0" applyFont="1" applyBorder="1" applyAlignment="1">
      <alignment horizontal="center" vertical="center" wrapText="1"/>
    </xf>
    <xf numFmtId="0" fontId="27" fillId="0" borderId="154" xfId="0" applyFont="1" applyBorder="1" applyAlignment="1">
      <alignment horizontal="distributed" vertical="center"/>
    </xf>
    <xf numFmtId="176" fontId="22" fillId="0" borderId="38" xfId="1" applyFont="1" applyBorder="1" applyAlignment="1" applyProtection="1">
      <alignment horizontal="center" vertical="center"/>
    </xf>
    <xf numFmtId="176" fontId="22" fillId="0" borderId="38" xfId="1" applyFont="1" applyBorder="1" applyAlignment="1" applyProtection="1">
      <alignment horizontal="center" vertical="center"/>
      <protection locked="0"/>
    </xf>
    <xf numFmtId="176" fontId="44" fillId="0" borderId="38" xfId="1" applyFont="1" applyBorder="1" applyAlignment="1" applyProtection="1">
      <alignment horizontal="right" vertical="center"/>
      <protection locked="0"/>
    </xf>
    <xf numFmtId="176" fontId="44" fillId="0" borderId="38" xfId="1" applyFont="1" applyBorder="1" applyAlignment="1" applyProtection="1">
      <alignment horizontal="right" vertical="center"/>
    </xf>
    <xf numFmtId="194" fontId="121" fillId="0" borderId="38" xfId="0" applyNumberFormat="1" applyFont="1" applyBorder="1" applyAlignment="1">
      <alignment horizontal="center" vertical="center"/>
    </xf>
    <xf numFmtId="176" fontId="28" fillId="0" borderId="155" xfId="1" applyFont="1" applyBorder="1" applyAlignment="1" applyProtection="1">
      <alignment horizontal="left" vertical="center" wrapText="1" shrinkToFit="1"/>
    </xf>
    <xf numFmtId="176" fontId="121" fillId="0" borderId="69" xfId="1" applyFont="1" applyBorder="1" applyAlignment="1" applyProtection="1">
      <alignment horizontal="right" vertical="center"/>
    </xf>
    <xf numFmtId="0" fontId="44" fillId="0" borderId="90" xfId="0" applyFont="1" applyBorder="1" applyAlignment="1">
      <alignment horizontal="center" vertical="center" wrapText="1"/>
    </xf>
    <xf numFmtId="178" fontId="22" fillId="0" borderId="77" xfId="0" applyNumberFormat="1" applyFont="1" applyBorder="1" applyAlignment="1">
      <alignment horizontal="distributed" vertical="center"/>
    </xf>
    <xf numFmtId="0" fontId="27" fillId="0" borderId="77" xfId="0" applyFont="1" applyBorder="1" applyAlignment="1">
      <alignment horizontal="distributed" vertical="center" shrinkToFit="1"/>
    </xf>
    <xf numFmtId="176" fontId="121" fillId="0" borderId="6" xfId="1" applyFont="1" applyBorder="1" applyAlignment="1" applyProtection="1">
      <alignment horizontal="right" vertical="center"/>
    </xf>
    <xf numFmtId="0" fontId="72" fillId="0" borderId="82" xfId="0" applyFont="1" applyBorder="1" applyAlignment="1">
      <alignment horizontal="left" vertical="center" wrapText="1"/>
    </xf>
    <xf numFmtId="0" fontId="46" fillId="0" borderId="6" xfId="0" applyFont="1" applyBorder="1" applyAlignment="1">
      <alignment horizontal="distributed" vertical="center"/>
    </xf>
    <xf numFmtId="0" fontId="46" fillId="0" borderId="82" xfId="0" applyFont="1" applyBorder="1" applyAlignment="1">
      <alignment horizontal="left" vertical="center" wrapText="1"/>
    </xf>
    <xf numFmtId="178" fontId="59" fillId="0" borderId="87" xfId="0" applyNumberFormat="1" applyFont="1" applyBorder="1" applyAlignment="1">
      <alignment horizontal="distributed" vertical="center"/>
    </xf>
    <xf numFmtId="178" fontId="121" fillId="0" borderId="88" xfId="0" applyNumberFormat="1" applyFont="1" applyBorder="1" applyAlignment="1">
      <alignment horizontal="right" vertical="center"/>
    </xf>
    <xf numFmtId="178" fontId="44" fillId="0" borderId="87" xfId="0" applyNumberFormat="1" applyFont="1" applyBorder="1" applyAlignment="1">
      <alignment horizontal="center" vertical="center"/>
    </xf>
    <xf numFmtId="178" fontId="147" fillId="0" borderId="53" xfId="0" applyNumberFormat="1" applyFont="1" applyBorder="1" applyAlignment="1">
      <alignment horizontal="right" vertical="center"/>
    </xf>
    <xf numFmtId="178" fontId="71" fillId="0" borderId="53" xfId="0" applyNumberFormat="1" applyFont="1" applyBorder="1" applyAlignment="1">
      <alignment horizontal="right" vertical="center"/>
    </xf>
    <xf numFmtId="0" fontId="22" fillId="0" borderId="150" xfId="0" applyFont="1" applyBorder="1" applyAlignment="1">
      <alignment horizontal="center" vertical="center"/>
    </xf>
    <xf numFmtId="0" fontId="22" fillId="0" borderId="81" xfId="0" applyFont="1" applyBorder="1" applyAlignment="1">
      <alignment horizontal="distributed" vertical="center" indent="1"/>
    </xf>
    <xf numFmtId="178" fontId="44" fillId="0" borderId="14" xfId="0" applyNumberFormat="1" applyFont="1" applyBorder="1" applyAlignment="1" applyProtection="1">
      <alignment horizontal="right" vertical="center"/>
      <protection locked="0"/>
    </xf>
    <xf numFmtId="178" fontId="44" fillId="0" borderId="14" xfId="0" applyNumberFormat="1" applyFont="1" applyBorder="1" applyAlignment="1">
      <alignment horizontal="right" vertical="center"/>
    </xf>
    <xf numFmtId="178" fontId="22" fillId="0" borderId="6" xfId="0" applyNumberFormat="1" applyFont="1" applyBorder="1" applyAlignment="1">
      <alignment horizontal="distributed" vertical="center" indent="1"/>
    </xf>
    <xf numFmtId="0" fontId="22" fillId="0" borderId="82" xfId="0" applyFont="1" applyBorder="1" applyAlignment="1">
      <alignment horizontal="left" vertical="center" wrapText="1"/>
    </xf>
    <xf numFmtId="178" fontId="27" fillId="0" borderId="6" xfId="0" applyNumberFormat="1" applyFont="1" applyBorder="1" applyAlignment="1">
      <alignment horizontal="distributed" vertical="center" indent="1"/>
    </xf>
    <xf numFmtId="178" fontId="44" fillId="0" borderId="87" xfId="0" applyNumberFormat="1" applyFont="1" applyBorder="1" applyAlignment="1">
      <alignment horizontal="distributed" vertical="center"/>
    </xf>
    <xf numFmtId="0" fontId="44" fillId="0" borderId="90" xfId="0" applyFont="1" applyBorder="1" applyAlignment="1">
      <alignment horizontal="left" vertical="center" wrapText="1"/>
    </xf>
    <xf numFmtId="0" fontId="22" fillId="0" borderId="83" xfId="0" applyFont="1" applyBorder="1" applyAlignment="1">
      <alignment horizontal="distributed" vertical="center" indent="1"/>
    </xf>
    <xf numFmtId="0" fontId="27" fillId="0" borderId="82" xfId="0" applyFont="1" applyBorder="1" applyAlignment="1">
      <alignment horizontal="left" vertical="center" wrapText="1"/>
    </xf>
    <xf numFmtId="0" fontId="28" fillId="0" borderId="82" xfId="0" applyFont="1" applyBorder="1" applyAlignment="1">
      <alignment horizontal="left" vertical="center" shrinkToFit="1"/>
    </xf>
    <xf numFmtId="178" fontId="121" fillId="0" borderId="92" xfId="0" applyNumberFormat="1" applyFont="1" applyBorder="1" applyAlignment="1">
      <alignment horizontal="right" vertical="center"/>
    </xf>
    <xf numFmtId="178" fontId="89" fillId="0" borderId="94" xfId="0" applyNumberFormat="1" applyFont="1" applyBorder="1" applyAlignment="1">
      <alignment horizontal="distributed" vertical="center"/>
    </xf>
    <xf numFmtId="0" fontId="89" fillId="0" borderId="95" xfId="0" applyFont="1" applyBorder="1" applyAlignment="1">
      <alignment horizontal="left" vertical="center" wrapText="1"/>
    </xf>
    <xf numFmtId="178" fontId="44" fillId="0" borderId="7" xfId="0" applyNumberFormat="1" applyFont="1" applyBorder="1" applyAlignment="1" applyProtection="1">
      <alignment horizontal="right" vertical="center"/>
      <protection locked="0"/>
    </xf>
    <xf numFmtId="178" fontId="44" fillId="0" borderId="7" xfId="0" applyNumberFormat="1" applyFont="1" applyBorder="1" applyAlignment="1">
      <alignment horizontal="right" vertical="center"/>
    </xf>
    <xf numFmtId="178" fontId="27" fillId="0" borderId="2" xfId="0" applyNumberFormat="1" applyFont="1" applyBorder="1" applyAlignment="1">
      <alignment horizontal="distributed" vertical="center" indent="1"/>
    </xf>
    <xf numFmtId="0" fontId="145" fillId="0" borderId="91" xfId="0" applyFont="1" applyBorder="1" applyAlignment="1">
      <alignment vertical="center" shrinkToFit="1"/>
    </xf>
    <xf numFmtId="178" fontId="89" fillId="0" borderId="6" xfId="0" applyNumberFormat="1" applyFont="1" applyBorder="1" applyAlignment="1">
      <alignment horizontal="distributed" vertical="center" indent="1"/>
    </xf>
    <xf numFmtId="0" fontId="27" fillId="0" borderId="82" xfId="0" applyFont="1" applyBorder="1" applyAlignment="1">
      <alignment horizontal="left" vertical="center" shrinkToFit="1"/>
    </xf>
    <xf numFmtId="176" fontId="44" fillId="0" borderId="14" xfId="1" applyFont="1" applyBorder="1" applyAlignment="1" applyProtection="1">
      <alignment vertical="center"/>
      <protection locked="0"/>
    </xf>
    <xf numFmtId="176" fontId="44" fillId="0" borderId="14" xfId="1" applyFont="1" applyBorder="1" applyAlignment="1" applyProtection="1">
      <alignment vertical="center"/>
    </xf>
    <xf numFmtId="0" fontId="27" fillId="0" borderId="6" xfId="0" applyFont="1" applyBorder="1" applyAlignment="1">
      <alignment horizontal="distributed" vertical="center" indent="1"/>
    </xf>
    <xf numFmtId="0" fontId="28" fillId="0" borderId="82" xfId="0" applyFont="1" applyBorder="1" applyAlignment="1">
      <alignment horizontal="left" vertical="center" wrapText="1"/>
    </xf>
    <xf numFmtId="178" fontId="141" fillId="0" borderId="2" xfId="0" applyNumberFormat="1" applyFont="1" applyBorder="1" applyAlignment="1">
      <alignment horizontal="distributed" vertical="center" indent="1"/>
    </xf>
    <xf numFmtId="0" fontId="28" fillId="0" borderId="91" xfId="0" applyFont="1" applyBorder="1" applyAlignment="1">
      <alignment horizontal="left" vertical="center" wrapText="1"/>
    </xf>
    <xf numFmtId="178" fontId="25" fillId="0" borderId="2" xfId="0" applyNumberFormat="1" applyFont="1" applyBorder="1" applyAlignment="1">
      <alignment horizontal="center" vertical="center" shrinkToFit="1"/>
    </xf>
    <xf numFmtId="178" fontId="121" fillId="0" borderId="88" xfId="0" applyNumberFormat="1" applyFont="1" applyBorder="1" applyAlignment="1">
      <alignment horizontal="right" vertical="center" wrapText="1"/>
    </xf>
    <xf numFmtId="0" fontId="44" fillId="0" borderId="153" xfId="0" applyFont="1" applyBorder="1" applyAlignment="1">
      <alignment horizontal="center" vertical="center" wrapText="1"/>
    </xf>
    <xf numFmtId="0" fontId="72" fillId="0" borderId="6" xfId="0" applyFont="1" applyBorder="1" applyAlignment="1">
      <alignment horizontal="left" vertical="center" wrapText="1"/>
    </xf>
    <xf numFmtId="220" fontId="44" fillId="0" borderId="14" xfId="0" applyNumberFormat="1" applyFont="1" applyBorder="1" applyAlignment="1">
      <alignment horizontal="center" vertical="center"/>
    </xf>
    <xf numFmtId="178" fontId="44" fillId="0" borderId="6" xfId="0" applyNumberFormat="1" applyFont="1" applyBorder="1" applyAlignment="1">
      <alignment horizontal="center" vertical="center" shrinkToFit="1"/>
    </xf>
    <xf numFmtId="178" fontId="44" fillId="0" borderId="14" xfId="0" applyNumberFormat="1" applyFont="1" applyBorder="1" applyAlignment="1">
      <alignment horizontal="right" vertical="center" shrinkToFit="1"/>
    </xf>
    <xf numFmtId="0" fontId="72" fillId="0" borderId="82" xfId="0" applyFont="1" applyBorder="1" applyAlignment="1">
      <alignment horizontal="center" vertical="center" wrapText="1"/>
    </xf>
    <xf numFmtId="0" fontId="72" fillId="0" borderId="2" xfId="0" applyFont="1" applyBorder="1" applyAlignment="1">
      <alignment horizontal="left" vertical="center" wrapText="1"/>
    </xf>
    <xf numFmtId="178" fontId="44" fillId="0" borderId="7" xfId="0" applyNumberFormat="1" applyFont="1" applyBorder="1" applyAlignment="1">
      <alignment horizontal="right" vertical="center" shrinkToFit="1"/>
    </xf>
    <xf numFmtId="0" fontId="72" fillId="0" borderId="91" xfId="0" applyFont="1" applyBorder="1" applyAlignment="1">
      <alignment horizontal="center" vertical="center" wrapText="1"/>
    </xf>
    <xf numFmtId="0" fontId="22" fillId="0" borderId="150" xfId="0" applyFont="1" applyBorder="1" applyAlignment="1">
      <alignment horizontal="center" vertical="center" wrapText="1"/>
    </xf>
    <xf numFmtId="178" fontId="22" fillId="0" borderId="6" xfId="0" applyNumberFormat="1" applyFont="1" applyBorder="1" applyAlignment="1">
      <alignment horizontal="center" vertical="center" shrinkToFit="1"/>
    </xf>
    <xf numFmtId="0" fontId="25" fillId="0" borderId="82" xfId="0" applyFont="1" applyBorder="1" applyAlignment="1">
      <alignment horizontal="left" vertical="center" wrapText="1"/>
    </xf>
    <xf numFmtId="0" fontId="44" fillId="0" borderId="87" xfId="0" applyFont="1" applyBorder="1" applyAlignment="1">
      <alignment horizontal="distributed" vertical="center"/>
    </xf>
    <xf numFmtId="0" fontId="22" fillId="0" borderId="76" xfId="0" applyFont="1" applyBorder="1" applyAlignment="1">
      <alignment horizontal="distributed" vertical="center"/>
    </xf>
    <xf numFmtId="0" fontId="22" fillId="0" borderId="82" xfId="0" applyFont="1" applyBorder="1" applyAlignment="1">
      <alignment horizontal="left" vertical="top" wrapText="1"/>
    </xf>
    <xf numFmtId="49" fontId="59" fillId="0" borderId="102" xfId="0" applyNumberFormat="1" applyFont="1" applyBorder="1" applyAlignment="1">
      <alignment horizontal="center" vertical="top"/>
    </xf>
    <xf numFmtId="178" fontId="22" fillId="0" borderId="49" xfId="0" applyNumberFormat="1" applyFont="1" applyBorder="1" applyAlignment="1">
      <alignment horizontal="left" vertical="center"/>
    </xf>
    <xf numFmtId="178" fontId="51" fillId="0" borderId="114" xfId="0" applyNumberFormat="1" applyFont="1" applyBorder="1" applyAlignment="1">
      <alignment horizontal="left" vertical="top"/>
    </xf>
    <xf numFmtId="178" fontId="135" fillId="0" borderId="75" xfId="0" applyNumberFormat="1" applyFont="1" applyBorder="1" applyAlignment="1">
      <alignment horizontal="distributed"/>
    </xf>
    <xf numFmtId="178" fontId="1" fillId="0" borderId="55" xfId="0" applyNumberFormat="1" applyFont="1" applyBorder="1" applyAlignment="1">
      <alignment horizontal="distributed"/>
    </xf>
    <xf numFmtId="178" fontId="22" fillId="0" borderId="79" xfId="0" applyNumberFormat="1" applyFont="1" applyBorder="1" applyAlignment="1">
      <alignment horizontal="center" vertical="center"/>
    </xf>
    <xf numFmtId="178" fontId="22" fillId="0" borderId="103" xfId="0" applyNumberFormat="1" applyFont="1" applyBorder="1" applyAlignment="1">
      <alignment horizontal="center" vertical="center"/>
    </xf>
    <xf numFmtId="178" fontId="22" fillId="0" borderId="84" xfId="0" applyNumberFormat="1" applyFont="1" applyBorder="1" applyAlignment="1">
      <alignment horizontal="center" vertical="center"/>
    </xf>
    <xf numFmtId="0" fontId="46" fillId="0" borderId="0" xfId="0" applyFont="1" applyBorder="1" applyAlignment="1">
      <alignment horizontal="right" vertical="center"/>
    </xf>
    <xf numFmtId="0" fontId="92" fillId="0" borderId="0" xfId="0" applyFont="1" applyBorder="1" applyAlignment="1">
      <alignment vertical="center"/>
    </xf>
    <xf numFmtId="0" fontId="92" fillId="0" borderId="0" xfId="0" applyFont="1" applyBorder="1" applyAlignment="1">
      <alignment horizontal="left" vertical="center"/>
    </xf>
    <xf numFmtId="176" fontId="94" fillId="0" borderId="9" xfId="1" applyFont="1" applyBorder="1" applyAlignment="1" applyProtection="1">
      <alignment horizontal="distributed"/>
    </xf>
    <xf numFmtId="176" fontId="94" fillId="0" borderId="40" xfId="1" applyFont="1" applyBorder="1" applyAlignment="1" applyProtection="1">
      <alignment horizontal="distributed"/>
    </xf>
    <xf numFmtId="176" fontId="92" fillId="4" borderId="41" xfId="1" applyFont="1" applyFill="1" applyBorder="1" applyAlignment="1" applyProtection="1">
      <alignment horizontal="right" vertical="center"/>
    </xf>
    <xf numFmtId="176" fontId="46" fillId="0" borderId="42" xfId="1" applyFont="1" applyBorder="1" applyAlignment="1" applyProtection="1">
      <alignment horizontal="center" vertical="center"/>
    </xf>
    <xf numFmtId="176" fontId="46" fillId="0" borderId="44" xfId="1" applyFont="1" applyBorder="1" applyAlignment="1" applyProtection="1">
      <alignment horizontal="center" vertical="center"/>
    </xf>
    <xf numFmtId="0" fontId="46" fillId="0" borderId="0" xfId="0" applyFont="1" applyBorder="1" applyAlignment="1">
      <alignment horizontal="left" vertical="center"/>
    </xf>
    <xf numFmtId="178" fontId="59" fillId="0" borderId="0" xfId="0" applyNumberFormat="1" applyFont="1" applyBorder="1" applyAlignment="1" applyProtection="1">
      <alignment horizontal="right" vertical="center"/>
      <protection locked="0"/>
    </xf>
    <xf numFmtId="0" fontId="51" fillId="0" borderId="0" xfId="0" applyFont="1" applyBorder="1" applyAlignment="1">
      <alignment horizontal="left" vertical="center"/>
    </xf>
    <xf numFmtId="178" fontId="59" fillId="0" borderId="75" xfId="0" applyNumberFormat="1" applyFont="1" applyBorder="1" applyAlignment="1">
      <alignment horizontal="right" vertical="center"/>
    </xf>
    <xf numFmtId="0" fontId="59" fillId="0" borderId="90" xfId="0" applyFont="1" applyBorder="1" applyAlignment="1">
      <alignment horizontal="center" vertical="center" wrapText="1"/>
    </xf>
    <xf numFmtId="178" fontId="59" fillId="0" borderId="0" xfId="0" applyNumberFormat="1" applyFont="1" applyBorder="1" applyAlignment="1">
      <alignment vertical="center"/>
    </xf>
    <xf numFmtId="178" fontId="59" fillId="0" borderId="0" xfId="0" applyNumberFormat="1" applyFont="1" applyBorder="1" applyAlignment="1" applyProtection="1">
      <alignment vertical="center"/>
      <protection locked="0"/>
    </xf>
    <xf numFmtId="0" fontId="33" fillId="0" borderId="81" xfId="0" applyFont="1" applyBorder="1" applyAlignment="1">
      <alignment horizontal="distributed" vertical="center" shrinkToFit="1"/>
    </xf>
    <xf numFmtId="178" fontId="59" fillId="0" borderId="6" xfId="0" applyNumberFormat="1" applyFont="1" applyBorder="1" applyAlignment="1" applyProtection="1">
      <alignment horizontal="right" vertical="center"/>
      <protection locked="0"/>
    </xf>
    <xf numFmtId="178" fontId="59" fillId="0" borderId="6" xfId="0" applyNumberFormat="1" applyFont="1" applyBorder="1" applyAlignment="1">
      <alignment horizontal="right" vertical="center"/>
    </xf>
    <xf numFmtId="178" fontId="59" fillId="0" borderId="97" xfId="0" applyNumberFormat="1" applyFont="1" applyBorder="1" applyAlignment="1">
      <alignment horizontal="right" vertical="center"/>
    </xf>
    <xf numFmtId="178" fontId="59" fillId="2" borderId="6" xfId="0" applyNumberFormat="1" applyFont="1" applyFill="1" applyBorder="1" applyAlignment="1">
      <alignment horizontal="right" vertical="center"/>
    </xf>
    <xf numFmtId="0" fontId="66" fillId="0" borderId="82" xfId="0" applyFont="1" applyBorder="1" applyAlignment="1">
      <alignment horizontal="left" vertical="center" wrapText="1"/>
    </xf>
    <xf numFmtId="176" fontId="59" fillId="0" borderId="6" xfId="1" applyFont="1" applyBorder="1" applyAlignment="1" applyProtection="1">
      <alignment horizontal="right" vertical="center"/>
    </xf>
    <xf numFmtId="176" fontId="59" fillId="0" borderId="6" xfId="1" applyFont="1" applyBorder="1" applyAlignment="1" applyProtection="1">
      <alignment horizontal="right" vertical="center"/>
      <protection locked="0"/>
    </xf>
    <xf numFmtId="0" fontId="46" fillId="0" borderId="83" xfId="0" applyFont="1" applyBorder="1" applyAlignment="1">
      <alignment horizontal="distributed" vertical="center"/>
    </xf>
    <xf numFmtId="0" fontId="33" fillId="0" borderId="83" xfId="0" applyFont="1" applyBorder="1" applyAlignment="1">
      <alignment horizontal="distributed" vertical="center"/>
    </xf>
    <xf numFmtId="178" fontId="59" fillId="2" borderId="2" xfId="0" applyNumberFormat="1" applyFont="1" applyFill="1" applyBorder="1" applyAlignment="1">
      <alignment horizontal="right" vertical="center"/>
    </xf>
    <xf numFmtId="178" fontId="59" fillId="0" borderId="2" xfId="0" applyNumberFormat="1" applyFont="1" applyBorder="1" applyAlignment="1">
      <alignment horizontal="right" vertical="center"/>
    </xf>
    <xf numFmtId="178" fontId="59" fillId="0" borderId="91" xfId="0" applyNumberFormat="1" applyFont="1" applyBorder="1" applyAlignment="1">
      <alignment vertical="center"/>
    </xf>
    <xf numFmtId="178" fontId="59" fillId="0" borderId="153" xfId="0" applyNumberFormat="1" applyFont="1" applyBorder="1" applyAlignment="1">
      <alignment vertical="center"/>
    </xf>
    <xf numFmtId="178" fontId="59" fillId="0" borderId="82" xfId="0" applyNumberFormat="1" applyFont="1" applyBorder="1" applyAlignment="1">
      <alignment vertical="center"/>
    </xf>
    <xf numFmtId="178" fontId="59" fillId="2" borderId="6" xfId="0" applyNumberFormat="1" applyFont="1" applyFill="1" applyBorder="1" applyAlignment="1" applyProtection="1">
      <alignment horizontal="right" vertical="center"/>
      <protection locked="0"/>
    </xf>
    <xf numFmtId="0" fontId="64" fillId="0" borderId="90" xfId="0" applyFont="1" applyBorder="1" applyAlignment="1">
      <alignment horizontal="center" vertical="center" wrapText="1"/>
    </xf>
    <xf numFmtId="0" fontId="54" fillId="0" borderId="98" xfId="0" applyFont="1" applyBorder="1" applyAlignment="1">
      <alignment horizontal="center" vertical="center"/>
    </xf>
    <xf numFmtId="0" fontId="46" fillId="0" borderId="99" xfId="0" applyFont="1" applyBorder="1" applyAlignment="1">
      <alignment horizontal="right" vertical="center"/>
    </xf>
    <xf numFmtId="0" fontId="152" fillId="0" borderId="75" xfId="0" applyFont="1" applyBorder="1" applyAlignment="1">
      <alignment horizontal="distributed"/>
    </xf>
    <xf numFmtId="0" fontId="92" fillId="0" borderId="98" xfId="0" applyFont="1" applyBorder="1" applyAlignment="1">
      <alignment horizontal="center" vertical="center"/>
    </xf>
    <xf numFmtId="0" fontId="59" fillId="0" borderId="6" xfId="0" applyFont="1" applyBorder="1" applyAlignment="1" applyProtection="1">
      <alignment horizontal="right" vertical="center"/>
      <protection locked="0"/>
    </xf>
    <xf numFmtId="0" fontId="59" fillId="0" borderId="6" xfId="0" applyFont="1" applyBorder="1" applyAlignment="1">
      <alignment horizontal="right" vertical="center"/>
    </xf>
    <xf numFmtId="0" fontId="46" fillId="0" borderId="82" xfId="0" applyFont="1" applyBorder="1" applyAlignment="1">
      <alignment vertical="center" wrapText="1"/>
    </xf>
    <xf numFmtId="176" fontId="59" fillId="0" borderId="87" xfId="1" applyFont="1" applyBorder="1" applyAlignment="1" applyProtection="1">
      <alignment horizontal="right" vertical="center"/>
    </xf>
    <xf numFmtId="176" fontId="59" fillId="0" borderId="97" xfId="1" applyFont="1" applyBorder="1" applyAlignment="1" applyProtection="1">
      <alignment horizontal="right" vertical="center"/>
    </xf>
    <xf numFmtId="183" fontId="59" fillId="0" borderId="97" xfId="1" applyNumberFormat="1" applyFont="1" applyBorder="1" applyAlignment="1" applyProtection="1">
      <alignment horizontal="right" vertical="center"/>
    </xf>
    <xf numFmtId="49" fontId="64" fillId="0" borderId="90" xfId="0" applyNumberFormat="1" applyFont="1" applyBorder="1" applyAlignment="1">
      <alignment horizontal="center" vertical="center" wrapText="1"/>
    </xf>
    <xf numFmtId="176" fontId="59" fillId="0" borderId="94" xfId="1" applyFont="1" applyBorder="1" applyAlignment="1" applyProtection="1">
      <alignment horizontal="right" vertical="center"/>
    </xf>
    <xf numFmtId="176" fontId="59" fillId="0" borderId="69" xfId="1" applyFont="1" applyBorder="1" applyAlignment="1" applyProtection="1">
      <alignment horizontal="right" vertical="center"/>
    </xf>
    <xf numFmtId="176" fontId="59" fillId="0" borderId="107" xfId="1" applyFont="1" applyBorder="1" applyAlignment="1" applyProtection="1">
      <alignment horizontal="right" vertical="center"/>
    </xf>
    <xf numFmtId="183" fontId="59" fillId="0" borderId="69" xfId="1" applyNumberFormat="1" applyFont="1" applyBorder="1" applyAlignment="1" applyProtection="1">
      <alignment horizontal="right" vertical="center"/>
    </xf>
    <xf numFmtId="49" fontId="64" fillId="0" borderId="95" xfId="0" applyNumberFormat="1" applyFont="1" applyBorder="1" applyAlignment="1">
      <alignment horizontal="center" vertical="center" wrapText="1"/>
    </xf>
    <xf numFmtId="0" fontId="33" fillId="0" borderId="158" xfId="0" applyFont="1" applyBorder="1" applyAlignment="1">
      <alignment horizontal="distributed" vertical="center"/>
    </xf>
    <xf numFmtId="176" fontId="59" fillId="0" borderId="37" xfId="1" applyFont="1" applyBorder="1" applyAlignment="1" applyProtection="1">
      <alignment horizontal="center" vertical="center"/>
      <protection locked="0"/>
    </xf>
    <xf numFmtId="176" fontId="59" fillId="0" borderId="37" xfId="1" applyFont="1" applyBorder="1" applyAlignment="1" applyProtection="1">
      <alignment horizontal="center" vertical="center"/>
    </xf>
    <xf numFmtId="176" fontId="59" fillId="0" borderId="37" xfId="1" applyFont="1" applyBorder="1" applyAlignment="1" applyProtection="1">
      <alignment horizontal="right" vertical="center"/>
      <protection locked="0"/>
    </xf>
    <xf numFmtId="176" fontId="59" fillId="0" borderId="37" xfId="1" applyFont="1" applyBorder="1" applyAlignment="1" applyProtection="1">
      <alignment horizontal="right" vertical="center"/>
    </xf>
    <xf numFmtId="176" fontId="59" fillId="0" borderId="30" xfId="1" applyFont="1" applyBorder="1" applyAlignment="1" applyProtection="1">
      <alignment horizontal="right" vertical="center"/>
      <protection locked="0"/>
    </xf>
    <xf numFmtId="176" fontId="59" fillId="0" borderId="30" xfId="1" applyFont="1" applyBorder="1" applyAlignment="1" applyProtection="1">
      <alignment horizontal="right" vertical="center"/>
    </xf>
    <xf numFmtId="183" fontId="59" fillId="0" borderId="37" xfId="1" applyNumberFormat="1" applyFont="1" applyBorder="1" applyAlignment="1" applyProtection="1">
      <alignment horizontal="right" vertical="center"/>
    </xf>
    <xf numFmtId="176" fontId="59" fillId="0" borderId="6" xfId="1" applyFont="1" applyBorder="1" applyAlignment="1" applyProtection="1">
      <alignment horizontal="center" vertical="center"/>
      <protection locked="0"/>
    </xf>
    <xf numFmtId="176" fontId="59" fillId="0" borderId="6" xfId="1" applyFont="1" applyBorder="1" applyAlignment="1" applyProtection="1">
      <alignment horizontal="center" vertical="center"/>
    </xf>
    <xf numFmtId="176" fontId="59" fillId="0" borderId="15" xfId="1" applyFont="1" applyBorder="1" applyAlignment="1" applyProtection="1">
      <alignment horizontal="right" vertical="center"/>
      <protection locked="0"/>
    </xf>
    <xf numFmtId="176" fontId="59" fillId="0" borderId="15" xfId="1" applyFont="1" applyBorder="1" applyAlignment="1" applyProtection="1">
      <alignment horizontal="right" vertical="center"/>
    </xf>
    <xf numFmtId="176" fontId="59" fillId="0" borderId="39" xfId="1" applyFont="1" applyBorder="1" applyAlignment="1" applyProtection="1">
      <alignment horizontal="right" vertical="center"/>
      <protection locked="0"/>
    </xf>
    <xf numFmtId="176" fontId="59" fillId="0" borderId="39" xfId="1" applyFont="1" applyBorder="1" applyAlignment="1" applyProtection="1">
      <alignment horizontal="right" vertical="center"/>
    </xf>
    <xf numFmtId="176" fontId="59" fillId="0" borderId="163" xfId="1" applyFont="1" applyBorder="1" applyAlignment="1" applyProtection="1">
      <alignment horizontal="right" vertical="center"/>
      <protection locked="0"/>
    </xf>
    <xf numFmtId="176" fontId="59" fillId="0" borderId="163" xfId="1" applyFont="1" applyBorder="1" applyAlignment="1" applyProtection="1">
      <alignment horizontal="right" vertical="center"/>
    </xf>
    <xf numFmtId="0" fontId="33" fillId="0" borderId="164" xfId="0" applyFont="1" applyBorder="1" applyAlignment="1">
      <alignment horizontal="distributed" vertical="center"/>
    </xf>
    <xf numFmtId="176" fontId="59" fillId="0" borderId="39" xfId="1" applyFont="1" applyBorder="1" applyAlignment="1" applyProtection="1">
      <alignment horizontal="center" vertical="center"/>
      <protection locked="0"/>
    </xf>
    <xf numFmtId="176" fontId="59" fillId="0" borderId="39" xfId="1" applyFont="1" applyBorder="1" applyAlignment="1" applyProtection="1">
      <alignment horizontal="center" vertical="center"/>
    </xf>
    <xf numFmtId="176" fontId="59" fillId="0" borderId="17" xfId="1" applyFont="1" applyBorder="1" applyAlignment="1" applyProtection="1">
      <alignment horizontal="center" vertical="center"/>
    </xf>
    <xf numFmtId="176" fontId="59" fillId="0" borderId="2" xfId="1" applyFont="1" applyBorder="1" applyAlignment="1" applyProtection="1">
      <alignment horizontal="right" vertical="center"/>
    </xf>
    <xf numFmtId="183" fontId="59" fillId="0" borderId="2" xfId="1" applyNumberFormat="1" applyFont="1" applyBorder="1" applyAlignment="1" applyProtection="1">
      <alignment horizontal="right" vertical="center"/>
    </xf>
    <xf numFmtId="49" fontId="64" fillId="0" borderId="160" xfId="0" applyNumberFormat="1" applyFont="1" applyBorder="1" applyAlignment="1">
      <alignment horizontal="center" vertical="center" wrapText="1"/>
    </xf>
    <xf numFmtId="0" fontId="33" fillId="0" borderId="162" xfId="0" applyFont="1" applyBorder="1" applyAlignment="1">
      <alignment horizontal="distributed" vertical="center"/>
    </xf>
    <xf numFmtId="176" fontId="59" fillId="0" borderId="36" xfId="1" applyFont="1" applyBorder="1" applyAlignment="1" applyProtection="1">
      <alignment horizontal="center" vertical="center"/>
      <protection locked="0"/>
    </xf>
    <xf numFmtId="176" fontId="59" fillId="0" borderId="36" xfId="1" applyFont="1" applyBorder="1" applyAlignment="1" applyProtection="1">
      <alignment horizontal="center" vertical="center"/>
    </xf>
    <xf numFmtId="176" fontId="59" fillId="0" borderId="36" xfId="1" applyFont="1" applyBorder="1" applyAlignment="1" applyProtection="1">
      <alignment horizontal="right" vertical="center"/>
      <protection locked="0"/>
    </xf>
    <xf numFmtId="176" fontId="59" fillId="0" borderId="36" xfId="1" applyFont="1" applyBorder="1" applyAlignment="1" applyProtection="1">
      <alignment horizontal="right" vertical="center"/>
    </xf>
    <xf numFmtId="176" fontId="59" fillId="0" borderId="161" xfId="1" applyFont="1" applyBorder="1" applyAlignment="1" applyProtection="1">
      <alignment horizontal="right" vertical="center"/>
      <protection locked="0"/>
    </xf>
    <xf numFmtId="176" fontId="59" fillId="0" borderId="161" xfId="1" applyFont="1" applyBorder="1" applyAlignment="1" applyProtection="1">
      <alignment horizontal="right" vertical="center"/>
    </xf>
    <xf numFmtId="49" fontId="92" fillId="0" borderId="99" xfId="0" applyNumberFormat="1" applyFont="1" applyBorder="1" applyAlignment="1">
      <alignment horizontal="center" vertical="center" wrapText="1"/>
    </xf>
    <xf numFmtId="0" fontId="33" fillId="0" borderId="154" xfId="0" applyFont="1" applyBorder="1" applyAlignment="1">
      <alignment horizontal="distributed" vertical="center"/>
    </xf>
    <xf numFmtId="176" fontId="59" fillId="0" borderId="38" xfId="1" applyFont="1" applyBorder="1" applyAlignment="1" applyProtection="1">
      <alignment horizontal="center" vertical="center"/>
      <protection locked="0"/>
    </xf>
    <xf numFmtId="176" fontId="59" fillId="0" borderId="38" xfId="1" applyFont="1" applyBorder="1" applyAlignment="1" applyProtection="1">
      <alignment horizontal="center" vertical="center"/>
    </xf>
    <xf numFmtId="176" fontId="59" fillId="0" borderId="2" xfId="1" applyFont="1" applyBorder="1" applyAlignment="1" applyProtection="1">
      <alignment horizontal="right" vertical="center"/>
      <protection locked="0"/>
    </xf>
    <xf numFmtId="183" fontId="59" fillId="0" borderId="8" xfId="1" applyNumberFormat="1" applyFont="1" applyBorder="1" applyAlignment="1" applyProtection="1">
      <alignment horizontal="right" vertical="center"/>
    </xf>
    <xf numFmtId="176" fontId="59" fillId="0" borderId="38" xfId="1" applyFont="1" applyBorder="1" applyAlignment="1" applyProtection="1">
      <alignment horizontal="right" vertical="center"/>
      <protection locked="0"/>
    </xf>
    <xf numFmtId="176" fontId="59" fillId="0" borderId="38" xfId="1" applyFont="1" applyBorder="1" applyAlignment="1" applyProtection="1">
      <alignment horizontal="right" vertical="center"/>
    </xf>
    <xf numFmtId="176" fontId="59" fillId="0" borderId="157" xfId="1" applyFont="1" applyBorder="1" applyAlignment="1" applyProtection="1">
      <alignment horizontal="right" vertical="center"/>
      <protection locked="0"/>
    </xf>
    <xf numFmtId="176" fontId="59" fillId="0" borderId="157" xfId="1" applyFont="1" applyBorder="1" applyAlignment="1" applyProtection="1">
      <alignment horizontal="right" vertical="center"/>
    </xf>
    <xf numFmtId="183" fontId="59" fillId="0" borderId="38" xfId="1" applyNumberFormat="1" applyFont="1" applyBorder="1" applyAlignment="1" applyProtection="1">
      <alignment horizontal="right" vertical="center"/>
    </xf>
    <xf numFmtId="49" fontId="92" fillId="0" borderId="82" xfId="0" applyNumberFormat="1" applyFont="1" applyBorder="1" applyAlignment="1">
      <alignment horizontal="left" vertical="center" wrapText="1"/>
    </xf>
    <xf numFmtId="176" fontId="59" fillId="0" borderId="159" xfId="1" applyFont="1" applyBorder="1" applyAlignment="1" applyProtection="1">
      <alignment horizontal="right" vertical="center"/>
      <protection locked="0"/>
    </xf>
    <xf numFmtId="176" fontId="59" fillId="0" borderId="159" xfId="1" applyFont="1" applyBorder="1" applyAlignment="1" applyProtection="1">
      <alignment horizontal="right" vertical="center"/>
    </xf>
    <xf numFmtId="176" fontId="59" fillId="0" borderId="33" xfId="1" applyFont="1" applyBorder="1" applyAlignment="1" applyProtection="1">
      <alignment horizontal="right" vertical="center"/>
      <protection locked="0"/>
    </xf>
    <xf numFmtId="176" fontId="59" fillId="0" borderId="33" xfId="1" applyFont="1" applyBorder="1" applyAlignment="1" applyProtection="1">
      <alignment horizontal="right" vertical="center"/>
    </xf>
    <xf numFmtId="183" fontId="59" fillId="0" borderId="159" xfId="1" applyNumberFormat="1" applyFont="1" applyBorder="1" applyAlignment="1" applyProtection="1">
      <alignment horizontal="right" vertical="center"/>
    </xf>
    <xf numFmtId="0" fontId="33" fillId="0" borderId="76" xfId="0" applyFont="1" applyBorder="1" applyAlignment="1">
      <alignment horizontal="distributed" vertical="center"/>
    </xf>
    <xf numFmtId="178" fontId="33" fillId="0" borderId="77" xfId="0" applyNumberFormat="1" applyFont="1" applyBorder="1" applyAlignment="1">
      <alignment horizontal="distributed" vertical="center"/>
    </xf>
    <xf numFmtId="0" fontId="33" fillId="0" borderId="96" xfId="0" applyFont="1" applyBorder="1" applyAlignment="1">
      <alignment horizontal="center" vertical="center"/>
    </xf>
    <xf numFmtId="0" fontId="33" fillId="0" borderId="78" xfId="0" applyFont="1" applyBorder="1" applyAlignment="1">
      <alignment horizontal="center" vertical="center"/>
    </xf>
    <xf numFmtId="0" fontId="92" fillId="0" borderId="98" xfId="0" applyFont="1" applyBorder="1" applyAlignment="1">
      <alignment horizontal="right" vertical="center"/>
    </xf>
    <xf numFmtId="178" fontId="46" fillId="0" borderId="5" xfId="0" applyNumberFormat="1" applyFont="1" applyBorder="1" applyAlignment="1">
      <alignment horizontal="right" vertical="center"/>
    </xf>
    <xf numFmtId="0" fontId="46" fillId="0" borderId="13" xfId="0" applyFont="1" applyBorder="1" applyAlignment="1">
      <alignment horizontal="right" vertical="center"/>
    </xf>
    <xf numFmtId="0" fontId="92" fillId="0" borderId="90" xfId="0" applyFont="1" applyBorder="1" applyAlignment="1">
      <alignment horizontal="left" vertical="center" wrapText="1"/>
    </xf>
    <xf numFmtId="178" fontId="59" fillId="0" borderId="2" xfId="0" applyNumberFormat="1" applyFont="1" applyBorder="1" applyAlignment="1" applyProtection="1">
      <alignment horizontal="right" vertical="center"/>
      <protection locked="0"/>
    </xf>
    <xf numFmtId="0" fontId="92" fillId="0" borderId="91" xfId="0" applyFont="1" applyBorder="1" applyAlignment="1">
      <alignment horizontal="left" vertical="center" wrapText="1"/>
    </xf>
    <xf numFmtId="0" fontId="33" fillId="0" borderId="77" xfId="0" applyFont="1" applyBorder="1" applyAlignment="1">
      <alignment horizontal="distributed" vertical="center" shrinkToFit="1"/>
    </xf>
    <xf numFmtId="0" fontId="99" fillId="0" borderId="91" xfId="0" applyFont="1" applyBorder="1" applyAlignment="1">
      <alignment horizontal="left" vertical="center" wrapText="1"/>
    </xf>
    <xf numFmtId="0" fontId="66" fillId="2" borderId="82" xfId="0" applyFont="1" applyFill="1" applyBorder="1" applyAlignment="1">
      <alignment horizontal="left" vertical="center" wrapText="1"/>
    </xf>
    <xf numFmtId="0" fontId="64" fillId="0" borderId="6" xfId="0" applyFont="1" applyBorder="1" applyAlignment="1">
      <alignment horizontal="distributed" vertical="center"/>
    </xf>
    <xf numFmtId="0" fontId="64" fillId="0" borderId="90" xfId="0" applyFont="1" applyBorder="1" applyAlignment="1">
      <alignment horizontal="distributed" vertical="center"/>
    </xf>
    <xf numFmtId="0" fontId="46" fillId="0" borderId="91" xfId="0" applyFont="1" applyBorder="1" applyAlignment="1">
      <alignment horizontal="left" vertical="center" wrapText="1"/>
    </xf>
    <xf numFmtId="178" fontId="51" fillId="0" borderId="6" xfId="0" applyNumberFormat="1" applyFont="1" applyBorder="1" applyAlignment="1">
      <alignment horizontal="distributed" vertical="center"/>
    </xf>
    <xf numFmtId="0" fontId="46" fillId="2" borderId="82" xfId="0" applyFont="1" applyFill="1" applyBorder="1" applyAlignment="1">
      <alignment horizontal="left" vertical="center" wrapText="1"/>
    </xf>
    <xf numFmtId="178" fontId="51" fillId="0" borderId="2" xfId="0" applyNumberFormat="1" applyFont="1" applyBorder="1" applyAlignment="1">
      <alignment horizontal="distributed" vertical="center"/>
    </xf>
    <xf numFmtId="0" fontId="33" fillId="0" borderId="82" xfId="0" applyFont="1" applyBorder="1" applyAlignment="1">
      <alignment horizontal="left" vertical="center" wrapText="1" shrinkToFit="1"/>
    </xf>
    <xf numFmtId="0" fontId="33" fillId="0" borderId="82" xfId="0" applyFont="1" applyBorder="1" applyAlignment="1">
      <alignment horizontal="left" vertical="center" shrinkToFit="1"/>
    </xf>
    <xf numFmtId="0" fontId="51" fillId="0" borderId="83" xfId="0" applyFont="1" applyBorder="1" applyAlignment="1">
      <alignment horizontal="distributed" vertical="center"/>
    </xf>
    <xf numFmtId="0" fontId="59" fillId="0" borderId="2" xfId="0" applyFont="1" applyBorder="1" applyAlignment="1">
      <alignment horizontal="center" vertical="center" shrinkToFit="1"/>
    </xf>
    <xf numFmtId="0" fontId="33" fillId="0" borderId="82" xfId="0" applyFont="1" applyBorder="1" applyAlignment="1">
      <alignment horizontal="left" vertical="center" wrapText="1"/>
    </xf>
    <xf numFmtId="0" fontId="51" fillId="0" borderId="6" xfId="0" applyFont="1" applyBorder="1" applyAlignment="1">
      <alignment horizontal="distributed" vertical="distributed" wrapText="1"/>
    </xf>
    <xf numFmtId="176" fontId="59" fillId="0" borderId="14" xfId="1" applyFont="1" applyBorder="1" applyAlignment="1" applyProtection="1">
      <alignment vertical="center"/>
      <protection locked="0"/>
    </xf>
    <xf numFmtId="176" fontId="59" fillId="0" borderId="14" xfId="1" applyFont="1" applyBorder="1" applyAlignment="1" applyProtection="1">
      <alignment vertical="center"/>
    </xf>
    <xf numFmtId="178" fontId="64" fillId="0" borderId="87" xfId="0" applyNumberFormat="1" applyFont="1" applyBorder="1" applyAlignment="1">
      <alignment horizontal="center" vertical="center"/>
    </xf>
    <xf numFmtId="0" fontId="51" fillId="0" borderId="81" xfId="0" applyFont="1" applyBorder="1" applyAlignment="1">
      <alignment horizontal="distributed" vertical="center" wrapText="1"/>
    </xf>
    <xf numFmtId="0" fontId="51" fillId="0" borderId="82" xfId="0" applyFont="1" applyBorder="1" applyAlignment="1">
      <alignment vertical="center" wrapText="1"/>
    </xf>
    <xf numFmtId="0" fontId="64" fillId="0" borderId="90" xfId="0" applyFont="1" applyBorder="1" applyAlignment="1">
      <alignment horizontal="left" vertical="center" wrapText="1"/>
    </xf>
    <xf numFmtId="0" fontId="222" fillId="29" borderId="0" xfId="0" applyFont="1" applyFill="1" applyBorder="1" applyAlignment="1">
      <alignment horizontal="left" vertical="center" indent="1"/>
    </xf>
    <xf numFmtId="0" fontId="212" fillId="0" borderId="22" xfId="0" applyFont="1" applyFill="1" applyBorder="1" applyAlignment="1">
      <alignment horizontal="left" vertical="center" indent="1"/>
    </xf>
    <xf numFmtId="0" fontId="212" fillId="29" borderId="22" xfId="0" applyFont="1" applyFill="1" applyBorder="1" applyAlignment="1">
      <alignment horizontal="left" vertical="center" indent="1"/>
    </xf>
    <xf numFmtId="0" fontId="46" fillId="0" borderId="67" xfId="0" applyFont="1" applyBorder="1" applyAlignment="1">
      <alignment horizontal="left" vertical="center" wrapText="1" indent="1"/>
    </xf>
    <xf numFmtId="178" fontId="72" fillId="0" borderId="8" xfId="0" applyNumberFormat="1" applyFont="1" applyBorder="1" applyAlignment="1">
      <alignment horizontal="right" vertical="center"/>
    </xf>
    <xf numFmtId="0" fontId="48" fillId="0" borderId="67" xfId="0" applyFont="1" applyBorder="1" applyAlignment="1">
      <alignment horizontal="left" vertical="center" wrapText="1" indent="2"/>
    </xf>
    <xf numFmtId="178" fontId="72" fillId="0" borderId="8" xfId="0" applyNumberFormat="1" applyFont="1" applyBorder="1" applyAlignment="1">
      <alignment vertical="center"/>
    </xf>
    <xf numFmtId="0" fontId="72" fillId="0" borderId="53" xfId="0" applyFont="1" applyBorder="1" applyAlignment="1">
      <alignment vertical="center" wrapText="1"/>
    </xf>
    <xf numFmtId="0" fontId="51" fillId="0" borderId="81" xfId="0" applyFont="1" applyBorder="1" applyAlignment="1">
      <alignment horizontal="distributed" vertical="top"/>
    </xf>
    <xf numFmtId="0" fontId="51" fillId="0" borderId="91" xfId="0" applyFont="1" applyBorder="1" applyAlignment="1">
      <alignment horizontal="left" vertical="center" wrapText="1"/>
    </xf>
    <xf numFmtId="178" fontId="44" fillId="0" borderId="6" xfId="0" applyNumberFormat="1" applyFont="1" applyBorder="1" applyAlignment="1">
      <alignment horizontal="right" vertical="top"/>
    </xf>
    <xf numFmtId="178" fontId="121" fillId="0" borderId="6" xfId="0" applyNumberFormat="1" applyFont="1" applyBorder="1" applyAlignment="1">
      <alignment horizontal="right" vertical="top"/>
    </xf>
    <xf numFmtId="0" fontId="33" fillId="0" borderId="81" xfId="0" applyFont="1" applyBorder="1" applyAlignment="1">
      <alignment horizontal="distributed" vertical="top" shrinkToFit="1"/>
    </xf>
    <xf numFmtId="222" fontId="44" fillId="0" borderId="6" xfId="0" applyNumberFormat="1" applyFont="1" applyBorder="1" applyAlignment="1">
      <alignment horizontal="right" vertical="top"/>
    </xf>
    <xf numFmtId="0" fontId="59" fillId="0" borderId="82" xfId="0" applyFont="1" applyBorder="1" applyAlignment="1">
      <alignment horizontal="left" vertical="top" wrapText="1"/>
    </xf>
    <xf numFmtId="0" fontId="33" fillId="0" borderId="81" xfId="0" applyFont="1" applyBorder="1" applyAlignment="1">
      <alignment horizontal="center" vertical="top" shrinkToFit="1"/>
    </xf>
    <xf numFmtId="0" fontId="46" fillId="0" borderId="86" xfId="0" applyFont="1" applyBorder="1" applyAlignment="1">
      <alignment horizontal="center" vertical="center"/>
    </xf>
    <xf numFmtId="178" fontId="92" fillId="0" borderId="87" xfId="0" applyNumberFormat="1" applyFont="1" applyBorder="1" applyAlignment="1">
      <alignment horizontal="center" vertical="center"/>
    </xf>
    <xf numFmtId="178" fontId="113" fillId="0" borderId="97" xfId="0" applyNumberFormat="1" applyFont="1" applyBorder="1" applyAlignment="1">
      <alignment horizontal="right" vertical="center"/>
    </xf>
    <xf numFmtId="0" fontId="92" fillId="0" borderId="87" xfId="0" applyFont="1" applyBorder="1" applyAlignment="1">
      <alignment horizontal="right" vertical="center"/>
    </xf>
    <xf numFmtId="0" fontId="46" fillId="0" borderId="81" xfId="0" applyFont="1" applyBorder="1" applyAlignment="1">
      <alignment horizontal="distributed" vertical="top"/>
    </xf>
    <xf numFmtId="49" fontId="28" fillId="0" borderId="6" xfId="0" applyNumberFormat="1" applyFont="1" applyBorder="1" applyAlignment="1">
      <alignment horizontal="center" vertical="top"/>
    </xf>
    <xf numFmtId="178" fontId="72" fillId="0" borderId="6" xfId="0" applyNumberFormat="1" applyFont="1" applyBorder="1" applyAlignment="1">
      <alignment horizontal="right" vertical="top"/>
    </xf>
    <xf numFmtId="178" fontId="113" fillId="0" borderId="6" xfId="0" applyNumberFormat="1" applyFont="1" applyBorder="1" applyAlignment="1">
      <alignment horizontal="right" vertical="top"/>
    </xf>
    <xf numFmtId="194" fontId="113" fillId="0" borderId="6" xfId="0" applyNumberFormat="1" applyFont="1" applyBorder="1" applyAlignment="1">
      <alignment horizontal="center" vertical="top"/>
    </xf>
    <xf numFmtId="0" fontId="46" fillId="0" borderId="82" xfId="0" applyFont="1" applyBorder="1" applyAlignment="1">
      <alignment horizontal="left" vertical="top" wrapText="1"/>
    </xf>
    <xf numFmtId="0" fontId="46" fillId="0" borderId="76" xfId="0" applyFont="1" applyBorder="1" applyAlignment="1">
      <alignment horizontal="distributed" vertical="center"/>
    </xf>
    <xf numFmtId="178" fontId="46" fillId="0" borderId="77" xfId="0" applyNumberFormat="1" applyFont="1" applyBorder="1" applyAlignment="1">
      <alignment horizontal="distributed" vertical="center"/>
    </xf>
    <xf numFmtId="0" fontId="46" fillId="0" borderId="77" xfId="0" applyFont="1" applyBorder="1" applyAlignment="1">
      <alignment horizontal="distributed" vertical="center"/>
    </xf>
    <xf numFmtId="0" fontId="46" fillId="0" borderId="77" xfId="0" applyFont="1" applyBorder="1" applyAlignment="1">
      <alignment vertical="center" shrinkToFit="1"/>
    </xf>
    <xf numFmtId="0" fontId="46" fillId="0" borderId="78" xfId="0" applyFont="1" applyBorder="1" applyAlignment="1">
      <alignment horizontal="center" vertical="center"/>
    </xf>
    <xf numFmtId="0" fontId="46" fillId="0" borderId="77" xfId="0" applyFont="1" applyBorder="1" applyAlignment="1">
      <alignment horizontal="distributed" vertical="center" shrinkToFit="1"/>
    </xf>
    <xf numFmtId="0" fontId="54" fillId="0" borderId="99" xfId="0" applyFont="1" applyBorder="1" applyAlignment="1">
      <alignment horizontal="distributed" vertical="center"/>
    </xf>
    <xf numFmtId="222" fontId="44" fillId="0" borderId="7" xfId="0" applyNumberFormat="1" applyFont="1" applyBorder="1" applyAlignment="1">
      <alignment horizontal="right" vertical="center"/>
    </xf>
    <xf numFmtId="178" fontId="22" fillId="0" borderId="6" xfId="0" applyNumberFormat="1" applyFont="1" applyBorder="1" applyAlignment="1">
      <alignment horizontal="distributed" vertical="center" indent="2"/>
    </xf>
    <xf numFmtId="222" fontId="44" fillId="0" borderId="14" xfId="0" applyNumberFormat="1" applyFont="1" applyBorder="1" applyAlignment="1">
      <alignment horizontal="right" vertical="center"/>
    </xf>
    <xf numFmtId="178" fontId="22" fillId="0" borderId="6" xfId="0" applyNumberFormat="1" applyFont="1" applyBorder="1" applyAlignment="1">
      <alignment horizontal="distributed" vertical="center" wrapText="1" indent="2"/>
    </xf>
    <xf numFmtId="178" fontId="59" fillId="0" borderId="94" xfId="0" applyNumberFormat="1" applyFont="1" applyBorder="1" applyAlignment="1">
      <alignment horizontal="left" vertical="center"/>
    </xf>
    <xf numFmtId="0" fontId="59" fillId="0" borderId="95" xfId="0" applyFont="1" applyBorder="1" applyAlignment="1">
      <alignment horizontal="left" vertical="center" wrapText="1"/>
    </xf>
    <xf numFmtId="0" fontId="83" fillId="0" borderId="82" xfId="0" applyFont="1" applyBorder="1" applyAlignment="1">
      <alignment horizontal="left" vertical="center" wrapText="1"/>
    </xf>
    <xf numFmtId="0" fontId="83" fillId="0" borderId="91" xfId="0" applyFont="1" applyBorder="1" applyAlignment="1">
      <alignment horizontal="left" vertical="center" shrinkToFit="1"/>
    </xf>
    <xf numFmtId="178" fontId="59" fillId="0" borderId="94" xfId="0" applyNumberFormat="1" applyFont="1" applyBorder="1" applyAlignment="1">
      <alignment horizontal="distributed" vertical="center"/>
    </xf>
    <xf numFmtId="202" fontId="83" fillId="0" borderId="6" xfId="0" applyNumberFormat="1" applyFont="1" applyBorder="1" applyAlignment="1">
      <alignment horizontal="distributed" vertical="center"/>
    </xf>
    <xf numFmtId="178" fontId="83" fillId="0" borderId="2" xfId="0" applyNumberFormat="1" applyFont="1" applyBorder="1" applyAlignment="1">
      <alignment horizontal="left" vertical="center" wrapText="1"/>
    </xf>
    <xf numFmtId="0" fontId="51" fillId="0" borderId="2" xfId="0" applyFont="1" applyBorder="1" applyAlignment="1">
      <alignment horizontal="distributed" vertical="center"/>
    </xf>
    <xf numFmtId="0" fontId="22" fillId="4" borderId="91" xfId="0" applyFont="1" applyFill="1" applyBorder="1" applyAlignment="1">
      <alignment horizontal="left" vertical="center" wrapText="1"/>
    </xf>
    <xf numFmtId="0" fontId="51" fillId="0" borderId="81" xfId="0" applyFont="1" applyBorder="1" applyAlignment="1">
      <alignment horizontal="distributed" vertical="top" indent="1"/>
    </xf>
    <xf numFmtId="178" fontId="44" fillId="0" borderId="14" xfId="0" applyNumberFormat="1" applyFont="1" applyBorder="1" applyAlignment="1">
      <alignment horizontal="right" vertical="top"/>
    </xf>
    <xf numFmtId="0" fontId="51" fillId="0" borderId="6" xfId="0" applyFont="1" applyBorder="1" applyAlignment="1">
      <alignment horizontal="distributed" vertical="top"/>
    </xf>
    <xf numFmtId="0" fontId="59" fillId="0" borderId="2" xfId="0" applyFont="1" applyBorder="1" applyAlignment="1">
      <alignment horizontal="distributed" vertical="center"/>
    </xf>
    <xf numFmtId="0" fontId="51" fillId="7" borderId="91" xfId="0" applyFont="1" applyFill="1" applyBorder="1" applyAlignment="1">
      <alignment horizontal="left" vertical="center" wrapText="1"/>
    </xf>
    <xf numFmtId="178" fontId="121" fillId="0" borderId="69" xfId="0" applyNumberFormat="1" applyFont="1" applyBorder="1" applyAlignment="1">
      <alignment horizontal="right" vertical="center"/>
    </xf>
    <xf numFmtId="178" fontId="51" fillId="0" borderId="77" xfId="0" applyNumberFormat="1" applyFont="1" applyBorder="1" applyAlignment="1">
      <alignment horizontal="distributed" vertical="center"/>
    </xf>
    <xf numFmtId="0" fontId="48" fillId="0" borderId="2" xfId="0" applyFont="1" applyBorder="1" applyAlignment="1">
      <alignment horizontal="center" vertical="center" wrapText="1"/>
    </xf>
    <xf numFmtId="0" fontId="92" fillId="0" borderId="99" xfId="0" applyFont="1" applyBorder="1" applyAlignment="1">
      <alignment horizontal="center" vertical="center"/>
    </xf>
    <xf numFmtId="0" fontId="51" fillId="0" borderId="81" xfId="0" applyFont="1" applyBorder="1" applyAlignment="1">
      <alignment horizontal="center" vertical="top"/>
    </xf>
    <xf numFmtId="0" fontId="59" fillId="0" borderId="94" xfId="0" applyFont="1" applyBorder="1" applyAlignment="1">
      <alignment horizontal="distributed" vertical="center"/>
    </xf>
    <xf numFmtId="0" fontId="64" fillId="0" borderId="95" xfId="0" applyFont="1" applyBorder="1" applyAlignment="1">
      <alignment horizontal="left" vertical="center" wrapText="1"/>
    </xf>
    <xf numFmtId="0" fontId="64" fillId="0" borderId="98" xfId="0" applyFont="1" applyBorder="1" applyAlignment="1">
      <alignment horizontal="center" vertical="center" wrapText="1"/>
    </xf>
    <xf numFmtId="0" fontId="46" fillId="4" borderId="5" xfId="0" applyFont="1" applyFill="1" applyBorder="1" applyAlignment="1">
      <alignment horizontal="right" vertical="center"/>
    </xf>
    <xf numFmtId="0" fontId="27" fillId="4" borderId="91" xfId="0" applyFont="1" applyFill="1" applyBorder="1" applyAlignment="1">
      <alignment horizontal="left" vertical="center" wrapText="1"/>
    </xf>
    <xf numFmtId="178" fontId="44" fillId="4" borderId="6" xfId="0" applyNumberFormat="1" applyFont="1" applyFill="1" applyBorder="1" applyAlignment="1">
      <alignment horizontal="right" vertical="top"/>
    </xf>
    <xf numFmtId="178" fontId="121" fillId="4" borderId="6" xfId="0" applyNumberFormat="1" applyFont="1" applyFill="1" applyBorder="1" applyAlignment="1">
      <alignment horizontal="right" vertical="top"/>
    </xf>
    <xf numFmtId="0" fontId="51" fillId="0" borderId="6" xfId="0" applyFont="1" applyBorder="1" applyAlignment="1">
      <alignment horizontal="center" vertical="top"/>
    </xf>
    <xf numFmtId="0" fontId="51" fillId="0" borderId="82" xfId="0" applyFont="1" applyBorder="1" applyAlignment="1">
      <alignment horizontal="left" vertical="top" wrapText="1"/>
    </xf>
    <xf numFmtId="180" fontId="49" fillId="0" borderId="7" xfId="0" applyNumberFormat="1" applyFont="1" applyFill="1" applyBorder="1" applyAlignment="1" applyProtection="1">
      <alignment horizontal="right" vertical="center"/>
      <protection locked="0"/>
    </xf>
    <xf numFmtId="180" fontId="49" fillId="0" borderId="7" xfId="0" applyNumberFormat="1" applyFont="1" applyFill="1" applyBorder="1" applyAlignment="1">
      <alignment horizontal="right" vertical="center"/>
    </xf>
    <xf numFmtId="181" fontId="49" fillId="0" borderId="7" xfId="0" applyNumberFormat="1" applyFont="1" applyFill="1" applyBorder="1" applyAlignment="1" applyProtection="1">
      <alignment horizontal="right" vertical="center"/>
      <protection locked="0"/>
    </xf>
    <xf numFmtId="181" fontId="49" fillId="0" borderId="7" xfId="0" applyNumberFormat="1" applyFont="1" applyFill="1" applyBorder="1" applyAlignment="1">
      <alignment horizontal="right" vertical="center"/>
    </xf>
    <xf numFmtId="0" fontId="51" fillId="0" borderId="2" xfId="0" applyFont="1" applyFill="1" applyBorder="1" applyAlignment="1">
      <alignment horizontal="center" vertical="center"/>
    </xf>
    <xf numFmtId="182" fontId="49" fillId="0" borderId="7" xfId="0" applyNumberFormat="1" applyFont="1" applyFill="1" applyBorder="1" applyAlignment="1">
      <alignment horizontal="right" vertical="center"/>
    </xf>
    <xf numFmtId="182" fontId="49" fillId="0" borderId="7" xfId="0" applyNumberFormat="1" applyFont="1" applyFill="1" applyBorder="1" applyAlignment="1" applyProtection="1">
      <alignment horizontal="right" vertical="center"/>
      <protection locked="0"/>
    </xf>
    <xf numFmtId="176" fontId="49" fillId="0" borderId="2" xfId="1" applyFont="1" applyFill="1" applyBorder="1" applyAlignment="1" applyProtection="1">
      <alignment vertical="center"/>
      <protection locked="0"/>
    </xf>
    <xf numFmtId="176" fontId="49" fillId="0" borderId="2" xfId="1" applyFont="1" applyFill="1" applyBorder="1" applyAlignment="1" applyProtection="1">
      <alignment vertical="center"/>
    </xf>
    <xf numFmtId="0" fontId="36" fillId="0" borderId="12" xfId="0" applyFont="1" applyFill="1" applyBorder="1" applyAlignment="1">
      <alignment horizontal="distributed" vertical="center"/>
    </xf>
    <xf numFmtId="176" fontId="45" fillId="0" borderId="2" xfId="1" applyFont="1" applyFill="1" applyBorder="1" applyAlignment="1" applyProtection="1">
      <alignment vertical="center"/>
      <protection locked="0"/>
    </xf>
    <xf numFmtId="176" fontId="45" fillId="0" borderId="2" xfId="1" applyFont="1" applyFill="1" applyBorder="1" applyAlignment="1" applyProtection="1">
      <alignment vertical="center"/>
    </xf>
    <xf numFmtId="183" fontId="49" fillId="0" borderId="2" xfId="1" applyNumberFormat="1" applyFont="1" applyFill="1" applyBorder="1" applyAlignment="1" applyProtection="1">
      <alignment vertical="center"/>
    </xf>
    <xf numFmtId="183" fontId="49" fillId="0" borderId="2" xfId="0" applyNumberFormat="1" applyFont="1" applyFill="1" applyBorder="1" applyAlignment="1">
      <alignment vertical="center"/>
    </xf>
    <xf numFmtId="176" fontId="68" fillId="0" borderId="22" xfId="0" applyNumberFormat="1" applyFont="1" applyFill="1" applyBorder="1"/>
    <xf numFmtId="176" fontId="69" fillId="0" borderId="22" xfId="0" applyNumberFormat="1" applyFont="1" applyFill="1" applyBorder="1"/>
    <xf numFmtId="0" fontId="40" fillId="0" borderId="0" xfId="0" applyFont="1" applyFill="1" applyAlignment="1">
      <alignment vertical="center"/>
    </xf>
    <xf numFmtId="0" fontId="32" fillId="0" borderId="0" xfId="0" applyFont="1" applyFill="1" applyAlignment="1">
      <alignment vertical="center"/>
    </xf>
    <xf numFmtId="196" fontId="49" fillId="0" borderId="12" xfId="0" applyNumberFormat="1" applyFont="1" applyFill="1" applyBorder="1" applyAlignment="1" applyProtection="1">
      <alignment horizontal="right" vertical="center"/>
      <protection locked="0"/>
    </xf>
    <xf numFmtId="196" fontId="49" fillId="0" borderId="12" xfId="0" applyNumberFormat="1" applyFont="1" applyFill="1" applyBorder="1" applyAlignment="1">
      <alignment horizontal="right" vertical="center"/>
    </xf>
    <xf numFmtId="196" fontId="49" fillId="0" borderId="9" xfId="0" applyNumberFormat="1" applyFont="1" applyFill="1" applyBorder="1" applyAlignment="1" applyProtection="1">
      <alignment horizontal="right" vertical="center"/>
      <protection locked="0"/>
    </xf>
    <xf numFmtId="196" fontId="49" fillId="0" borderId="9" xfId="0" applyNumberFormat="1" applyFont="1" applyFill="1" applyBorder="1" applyAlignment="1">
      <alignment horizontal="right" vertical="center"/>
    </xf>
    <xf numFmtId="178" fontId="49" fillId="0" borderId="11" xfId="1" applyNumberFormat="1" applyFont="1" applyFill="1" applyBorder="1" applyAlignment="1" applyProtection="1">
      <alignment horizontal="right" vertical="center"/>
      <protection locked="0"/>
    </xf>
    <xf numFmtId="178" fontId="49" fillId="0" borderId="11" xfId="1" applyNumberFormat="1" applyFont="1" applyFill="1" applyBorder="1" applyAlignment="1" applyProtection="1">
      <alignment horizontal="right" vertical="center"/>
    </xf>
    <xf numFmtId="178" fontId="49" fillId="0" borderId="10" xfId="1" applyNumberFormat="1" applyFont="1" applyFill="1" applyBorder="1" applyAlignment="1" applyProtection="1">
      <alignment horizontal="right" vertical="center"/>
      <protection locked="0"/>
    </xf>
    <xf numFmtId="178" fontId="49" fillId="0" borderId="10" xfId="1" applyNumberFormat="1" applyFont="1" applyFill="1" applyBorder="1" applyAlignment="1" applyProtection="1">
      <alignment horizontal="right" vertical="center"/>
    </xf>
    <xf numFmtId="178" fontId="49" fillId="0" borderId="28" xfId="1" applyNumberFormat="1" applyFont="1" applyFill="1" applyBorder="1" applyAlignment="1" applyProtection="1">
      <alignment horizontal="right" vertical="center"/>
      <protection locked="0"/>
    </xf>
    <xf numFmtId="178" fontId="49" fillId="0" borderId="28" xfId="1" applyNumberFormat="1" applyFont="1" applyFill="1" applyBorder="1" applyAlignment="1" applyProtection="1">
      <alignment horizontal="right" vertical="center"/>
    </xf>
    <xf numFmtId="178" fontId="49" fillId="0" borderId="14" xfId="1" applyNumberFormat="1" applyFont="1" applyFill="1" applyBorder="1" applyAlignment="1" applyProtection="1">
      <alignment horizontal="right" vertical="center"/>
      <protection locked="0"/>
    </xf>
    <xf numFmtId="178" fontId="49" fillId="0" borderId="14" xfId="1" applyNumberFormat="1" applyFont="1" applyFill="1" applyBorder="1" applyAlignment="1" applyProtection="1">
      <alignment horizontal="right" vertical="center"/>
    </xf>
    <xf numFmtId="178" fontId="49" fillId="0" borderId="31" xfId="1" applyNumberFormat="1" applyFont="1" applyFill="1" applyBorder="1" applyAlignment="1" applyProtection="1">
      <alignment horizontal="right" vertical="center"/>
      <protection locked="0"/>
    </xf>
    <xf numFmtId="178" fontId="49" fillId="0" borderId="31" xfId="1" applyNumberFormat="1" applyFont="1" applyFill="1" applyBorder="1" applyAlignment="1" applyProtection="1">
      <alignment horizontal="right" vertical="center"/>
    </xf>
    <xf numFmtId="178" fontId="49" fillId="0" borderId="7" xfId="1" applyNumberFormat="1" applyFont="1" applyFill="1" applyBorder="1" applyAlignment="1" applyProtection="1">
      <alignment horizontal="right" vertical="center"/>
      <protection locked="0"/>
    </xf>
    <xf numFmtId="178" fontId="49" fillId="0" borderId="7" xfId="1" applyNumberFormat="1" applyFont="1" applyFill="1" applyBorder="1" applyAlignment="1" applyProtection="1">
      <alignment horizontal="right" vertical="center"/>
    </xf>
    <xf numFmtId="178" fontId="49" fillId="0" borderId="12" xfId="1" applyNumberFormat="1" applyFont="1" applyFill="1" applyBorder="1" applyAlignment="1" applyProtection="1">
      <alignment horizontal="right" vertical="center"/>
      <protection locked="0"/>
    </xf>
    <xf numFmtId="178" fontId="49" fillId="0" borderId="12" xfId="1" applyNumberFormat="1" applyFont="1" applyFill="1" applyBorder="1" applyAlignment="1" applyProtection="1">
      <alignment horizontal="right" vertical="center"/>
    </xf>
    <xf numFmtId="178" fontId="49" fillId="0" borderId="9" xfId="1" applyNumberFormat="1" applyFont="1" applyFill="1" applyBorder="1" applyAlignment="1" applyProtection="1">
      <alignment horizontal="right" vertical="center"/>
    </xf>
    <xf numFmtId="176" fontId="49" fillId="0" borderId="4" xfId="1" applyFont="1" applyFill="1" applyBorder="1" applyAlignment="1" applyProtection="1">
      <alignment horizontal="right" vertical="center"/>
      <protection locked="0"/>
    </xf>
    <xf numFmtId="176" fontId="49" fillId="0" borderId="4" xfId="1" applyFont="1" applyFill="1" applyBorder="1" applyAlignment="1" applyProtection="1">
      <alignment horizontal="right" vertical="center"/>
    </xf>
    <xf numFmtId="176" fontId="49" fillId="0" borderId="11" xfId="1" applyFont="1" applyFill="1" applyBorder="1" applyAlignment="1" applyProtection="1">
      <alignment horizontal="right" vertical="center"/>
    </xf>
    <xf numFmtId="176" fontId="49" fillId="0" borderId="11" xfId="1" applyFont="1" applyFill="1" applyBorder="1" applyAlignment="1" applyProtection="1">
      <alignment horizontal="right" vertical="center"/>
      <protection locked="0"/>
    </xf>
    <xf numFmtId="176" fontId="49" fillId="0" borderId="7" xfId="1" applyFont="1" applyFill="1" applyBorder="1" applyAlignment="1" applyProtection="1">
      <alignment horizontal="right" vertical="center"/>
      <protection locked="0"/>
    </xf>
    <xf numFmtId="176" fontId="49" fillId="0" borderId="7" xfId="1" applyFont="1" applyFill="1" applyBorder="1" applyAlignment="1" applyProtection="1">
      <alignment horizontal="right" vertical="center"/>
    </xf>
    <xf numFmtId="176" fontId="49" fillId="0" borderId="14" xfId="1" applyFont="1" applyFill="1" applyBorder="1" applyAlignment="1" applyProtection="1">
      <alignment horizontal="right" vertical="center"/>
      <protection locked="0"/>
    </xf>
    <xf numFmtId="176" fontId="49" fillId="0" borderId="14" xfId="1" applyFont="1" applyFill="1" applyBorder="1" applyAlignment="1" applyProtection="1">
      <alignment horizontal="right" vertical="center"/>
    </xf>
    <xf numFmtId="176" fontId="49" fillId="0" borderId="12" xfId="1" applyFont="1" applyFill="1" applyBorder="1" applyAlignment="1" applyProtection="1">
      <alignment horizontal="right" vertical="center"/>
      <protection locked="0"/>
    </xf>
    <xf numFmtId="176" fontId="49" fillId="0" borderId="12" xfId="1" applyFont="1" applyFill="1" applyBorder="1" applyAlignment="1" applyProtection="1">
      <alignment horizontal="right" vertical="center"/>
    </xf>
    <xf numFmtId="176" fontId="49" fillId="0" borderId="7" xfId="1" applyFont="1" applyFill="1" applyBorder="1" applyAlignment="1" applyProtection="1">
      <alignment vertical="center"/>
      <protection locked="0"/>
    </xf>
    <xf numFmtId="176" fontId="49" fillId="0" borderId="7" xfId="1" applyFont="1" applyFill="1" applyBorder="1" applyAlignment="1" applyProtection="1">
      <alignment vertical="center"/>
    </xf>
    <xf numFmtId="176" fontId="49" fillId="0" borderId="2" xfId="1" applyFont="1" applyFill="1" applyBorder="1" applyAlignment="1" applyProtection="1">
      <alignment horizontal="right" vertical="center"/>
      <protection locked="0"/>
    </xf>
    <xf numFmtId="176" fontId="49" fillId="0" borderId="2" xfId="1" applyFont="1" applyFill="1" applyBorder="1" applyAlignment="1" applyProtection="1">
      <alignment horizontal="right" vertical="center"/>
    </xf>
    <xf numFmtId="0" fontId="51" fillId="0" borderId="0" xfId="0" applyFont="1" applyFill="1" applyAlignment="1"/>
    <xf numFmtId="0" fontId="59" fillId="0" borderId="0" xfId="0" applyFont="1" applyFill="1" applyAlignment="1">
      <alignment horizontal="distributed"/>
    </xf>
    <xf numFmtId="0" fontId="52" fillId="0" borderId="0" xfId="0" applyFont="1" applyFill="1" applyAlignment="1">
      <alignment horizontal="distributed"/>
    </xf>
    <xf numFmtId="0" fontId="32" fillId="0" borderId="0" xfId="5" applyFont="1" applyFill="1" applyBorder="1" applyAlignment="1">
      <alignment vertical="center"/>
    </xf>
    <xf numFmtId="0" fontId="32" fillId="0" borderId="0" xfId="5" applyFont="1" applyFill="1" applyAlignment="1">
      <alignment vertical="center"/>
    </xf>
    <xf numFmtId="0" fontId="22" fillId="0" borderId="0" xfId="0" applyFont="1" applyFill="1" applyAlignment="1"/>
    <xf numFmtId="0" fontId="44" fillId="0" borderId="0" xfId="0" applyFont="1" applyFill="1" applyAlignment="1">
      <alignment horizontal="distributed"/>
    </xf>
    <xf numFmtId="0" fontId="0" fillId="0" borderId="0" xfId="0" applyFont="1" applyFill="1" applyAlignment="1"/>
    <xf numFmtId="178" fontId="59" fillId="0" borderId="14" xfId="0" applyNumberFormat="1" applyFont="1" applyFill="1" applyBorder="1" applyAlignment="1" applyProtection="1">
      <alignment horizontal="right" vertical="center"/>
      <protection locked="0"/>
    </xf>
    <xf numFmtId="178" fontId="59" fillId="0" borderId="14" xfId="0" applyNumberFormat="1" applyFont="1" applyFill="1" applyBorder="1" applyAlignment="1">
      <alignment horizontal="right" vertical="center"/>
    </xf>
    <xf numFmtId="178" fontId="59" fillId="0" borderId="10" xfId="0" applyNumberFormat="1" applyFont="1" applyFill="1" applyBorder="1" applyAlignment="1" applyProtection="1">
      <alignment horizontal="right" vertical="center"/>
      <protection locked="0"/>
    </xf>
    <xf numFmtId="178" fontId="59" fillId="0" borderId="10" xfId="0" applyNumberFormat="1" applyFont="1" applyFill="1" applyBorder="1" applyAlignment="1">
      <alignment horizontal="right" vertical="center"/>
    </xf>
    <xf numFmtId="176" fontId="59" fillId="0" borderId="14" xfId="1" applyFont="1" applyFill="1" applyBorder="1" applyAlignment="1" applyProtection="1">
      <alignment horizontal="right" vertical="center"/>
      <protection locked="0"/>
    </xf>
    <xf numFmtId="176" fontId="59" fillId="0" borderId="14" xfId="1" applyFont="1" applyFill="1" applyBorder="1" applyAlignment="1" applyProtection="1">
      <alignment horizontal="right" vertical="center"/>
    </xf>
    <xf numFmtId="0" fontId="66" fillId="0" borderId="6" xfId="0" applyFont="1" applyFill="1" applyBorder="1" applyAlignment="1">
      <alignment horizontal="distributed" vertical="center" wrapText="1"/>
    </xf>
    <xf numFmtId="0" fontId="59" fillId="0" borderId="6" xfId="0" applyFont="1" applyFill="1" applyBorder="1" applyAlignment="1">
      <alignment horizontal="center" vertical="center"/>
    </xf>
    <xf numFmtId="176" fontId="59" fillId="0" borderId="6" xfId="1" applyFont="1" applyFill="1" applyBorder="1" applyAlignment="1" applyProtection="1">
      <alignment horizontal="right" vertical="center"/>
      <protection locked="0"/>
    </xf>
    <xf numFmtId="176" fontId="59" fillId="0" borderId="6" xfId="1" applyFont="1" applyFill="1" applyBorder="1" applyAlignment="1" applyProtection="1">
      <alignment horizontal="right" vertical="center"/>
    </xf>
    <xf numFmtId="0" fontId="66" fillId="0" borderId="2" xfId="0" applyFont="1" applyFill="1" applyBorder="1" applyAlignment="1">
      <alignment horizontal="distributed" vertical="center" wrapText="1"/>
    </xf>
    <xf numFmtId="176" fontId="59" fillId="0" borderId="6" xfId="1" applyFont="1" applyFill="1" applyBorder="1" applyAlignment="1" applyProtection="1">
      <alignment vertical="center"/>
    </xf>
    <xf numFmtId="198" fontId="59" fillId="0" borderId="6" xfId="1" applyNumberFormat="1" applyFont="1" applyFill="1" applyBorder="1" applyAlignment="1" applyProtection="1">
      <alignment vertical="center"/>
      <protection locked="0"/>
    </xf>
    <xf numFmtId="198" fontId="59" fillId="0" borderId="6" xfId="1" applyNumberFormat="1" applyFont="1" applyFill="1" applyBorder="1" applyAlignment="1" applyProtection="1">
      <alignment vertical="center"/>
    </xf>
    <xf numFmtId="178" fontId="59" fillId="0" borderId="6" xfId="1" applyNumberFormat="1" applyFont="1" applyFill="1" applyBorder="1" applyAlignment="1" applyProtection="1">
      <alignment vertical="center"/>
    </xf>
    <xf numFmtId="0" fontId="51" fillId="0" borderId="0" xfId="0" applyFont="1" applyFill="1" applyBorder="1" applyAlignment="1">
      <alignment horizontal="center" vertical="center"/>
    </xf>
    <xf numFmtId="178" fontId="54" fillId="0" borderId="40" xfId="0" applyNumberFormat="1" applyFont="1" applyFill="1" applyBorder="1" applyAlignment="1">
      <alignment horizontal="distributed"/>
    </xf>
    <xf numFmtId="178" fontId="64" fillId="0" borderId="2" xfId="0" applyNumberFormat="1" applyFont="1" applyFill="1" applyBorder="1" applyAlignment="1">
      <alignment vertical="center"/>
    </xf>
    <xf numFmtId="178" fontId="64" fillId="0" borderId="3" xfId="0" applyNumberFormat="1" applyFont="1" applyFill="1" applyBorder="1" applyAlignment="1" applyProtection="1">
      <alignment vertical="center"/>
      <protection locked="0"/>
    </xf>
    <xf numFmtId="178" fontId="64" fillId="0" borderId="3" xfId="0" applyNumberFormat="1" applyFont="1" applyFill="1" applyBorder="1" applyAlignment="1">
      <alignment vertical="center"/>
    </xf>
    <xf numFmtId="178" fontId="64" fillId="0" borderId="14" xfId="0" applyNumberFormat="1" applyFont="1" applyFill="1" applyBorder="1" applyAlignment="1">
      <alignment vertical="center"/>
    </xf>
    <xf numFmtId="178" fontId="64" fillId="0" borderId="6" xfId="0" applyNumberFormat="1" applyFont="1" applyFill="1" applyBorder="1" applyAlignment="1" applyProtection="1">
      <alignment vertical="center"/>
      <protection locked="0"/>
    </xf>
    <xf numFmtId="178" fontId="64" fillId="0" borderId="14" xfId="0" applyNumberFormat="1" applyFont="1" applyFill="1" applyBorder="1" applyAlignment="1" applyProtection="1">
      <alignment vertical="center"/>
      <protection locked="0"/>
    </xf>
    <xf numFmtId="178" fontId="64" fillId="0" borderId="6" xfId="0" applyNumberFormat="1" applyFont="1" applyFill="1" applyBorder="1" applyAlignment="1">
      <alignment vertical="center"/>
    </xf>
    <xf numFmtId="178" fontId="64" fillId="0" borderId="5" xfId="0" applyNumberFormat="1" applyFont="1" applyFill="1" applyBorder="1" applyAlignment="1">
      <alignment vertical="center"/>
    </xf>
    <xf numFmtId="199" fontId="52" fillId="0" borderId="0" xfId="0" applyNumberFormat="1" applyFont="1" applyFill="1" applyProtection="1">
      <protection locked="0"/>
    </xf>
    <xf numFmtId="178" fontId="110" fillId="0" borderId="103" xfId="0" applyNumberFormat="1" applyFont="1" applyFill="1" applyBorder="1" applyAlignment="1">
      <alignment horizontal="distributed" vertical="center" wrapText="1"/>
    </xf>
    <xf numFmtId="0" fontId="43" fillId="0" borderId="0" xfId="0" applyFont="1" applyFill="1" applyBorder="1" applyAlignment="1"/>
    <xf numFmtId="0" fontId="135" fillId="0" borderId="75" xfId="0" applyFont="1" applyFill="1" applyBorder="1" applyAlignment="1">
      <alignment horizontal="distributed"/>
    </xf>
    <xf numFmtId="0" fontId="136" fillId="0" borderId="0" xfId="0" applyFont="1" applyFill="1" applyBorder="1" applyAlignment="1">
      <alignment horizontal="distributed"/>
    </xf>
    <xf numFmtId="0" fontId="43" fillId="0" borderId="0" xfId="0" applyFont="1" applyFill="1" applyBorder="1" applyAlignment="1">
      <alignment horizontal="right" vertical="center"/>
    </xf>
    <xf numFmtId="0" fontId="25" fillId="0" borderId="76" xfId="0" applyFont="1" applyFill="1" applyBorder="1" applyAlignment="1">
      <alignment horizontal="distributed" vertical="center"/>
    </xf>
    <xf numFmtId="178" fontId="25" fillId="0" borderId="77" xfId="0" applyNumberFormat="1" applyFont="1" applyFill="1" applyBorder="1" applyAlignment="1">
      <alignment horizontal="distributed" vertical="center"/>
    </xf>
    <xf numFmtId="0" fontId="25" fillId="0" borderId="77" xfId="0" applyFont="1" applyFill="1" applyBorder="1" applyAlignment="1">
      <alignment horizontal="distributed" vertical="center"/>
    </xf>
    <xf numFmtId="0" fontId="25" fillId="0" borderId="78" xfId="0" applyFont="1" applyFill="1" applyBorder="1" applyAlignment="1">
      <alignment horizontal="center" vertical="center"/>
    </xf>
    <xf numFmtId="0" fontId="72" fillId="0" borderId="98" xfId="0" applyFont="1" applyFill="1" applyBorder="1" applyAlignment="1">
      <alignment horizontal="center" vertical="center"/>
    </xf>
    <xf numFmtId="178" fontId="28" fillId="0" borderId="5" xfId="0" applyNumberFormat="1" applyFont="1" applyFill="1" applyBorder="1" applyAlignment="1">
      <alignment horizontal="right" vertical="center"/>
    </xf>
    <xf numFmtId="0" fontId="28" fillId="0" borderId="5" xfId="0" applyFont="1" applyFill="1" applyBorder="1" applyAlignment="1">
      <alignment horizontal="right" vertical="center"/>
    </xf>
    <xf numFmtId="0" fontId="28" fillId="0" borderId="91" xfId="0" applyFont="1" applyFill="1" applyBorder="1" applyAlignment="1">
      <alignment horizontal="left" vertical="center" wrapText="1"/>
    </xf>
    <xf numFmtId="0" fontId="28" fillId="0" borderId="81" xfId="0" applyFont="1" applyFill="1" applyBorder="1" applyAlignment="1">
      <alignment horizontal="distributed" vertical="top"/>
    </xf>
    <xf numFmtId="49" fontId="28" fillId="0" borderId="6" xfId="0" applyNumberFormat="1" applyFont="1" applyFill="1" applyBorder="1" applyAlignment="1">
      <alignment horizontal="center" vertical="top"/>
    </xf>
    <xf numFmtId="178" fontId="72" fillId="0" borderId="6" xfId="0" applyNumberFormat="1" applyFont="1" applyFill="1" applyBorder="1" applyAlignment="1" applyProtection="1">
      <alignment vertical="top"/>
      <protection locked="0"/>
    </xf>
    <xf numFmtId="178" fontId="72" fillId="0" borderId="6" xfId="0" applyNumberFormat="1" applyFont="1" applyFill="1" applyBorder="1" applyAlignment="1">
      <alignment vertical="top"/>
    </xf>
    <xf numFmtId="197" fontId="72" fillId="0" borderId="6" xfId="0" applyNumberFormat="1" applyFont="1" applyFill="1" applyBorder="1" applyAlignment="1">
      <alignment vertical="top"/>
    </xf>
    <xf numFmtId="0" fontId="28" fillId="0" borderId="83" xfId="0" applyFont="1" applyFill="1" applyBorder="1" applyAlignment="1">
      <alignment horizontal="distributed" vertical="center"/>
    </xf>
    <xf numFmtId="178" fontId="72" fillId="0" borderId="2" xfId="0" applyNumberFormat="1" applyFont="1" applyFill="1" applyBorder="1" applyAlignment="1" applyProtection="1">
      <alignment horizontal="center" vertical="center"/>
      <protection locked="0"/>
    </xf>
    <xf numFmtId="178" fontId="72" fillId="0" borderId="2" xfId="0" applyNumberFormat="1" applyFont="1" applyFill="1" applyBorder="1" applyAlignment="1">
      <alignment horizontal="center" vertical="center"/>
    </xf>
    <xf numFmtId="178" fontId="72" fillId="0" borderId="2" xfId="0" applyNumberFormat="1" applyFont="1" applyFill="1" applyBorder="1" applyAlignment="1" applyProtection="1">
      <alignment vertical="center"/>
      <protection locked="0"/>
    </xf>
    <xf numFmtId="178" fontId="72" fillId="0" borderId="2" xfId="0" applyNumberFormat="1" applyFont="1" applyFill="1" applyBorder="1" applyAlignment="1">
      <alignment vertical="center"/>
    </xf>
    <xf numFmtId="49" fontId="28" fillId="0" borderId="2" xfId="0" applyNumberFormat="1" applyFont="1" applyFill="1" applyBorder="1" applyAlignment="1">
      <alignment horizontal="right" vertical="center"/>
    </xf>
    <xf numFmtId="0" fontId="28" fillId="0" borderId="86" xfId="0" applyFont="1" applyFill="1" applyBorder="1" applyAlignment="1">
      <alignment horizontal="center" vertical="center"/>
    </xf>
    <xf numFmtId="178" fontId="72" fillId="0" borderId="87" xfId="0" applyNumberFormat="1" applyFont="1" applyFill="1" applyBorder="1" applyAlignment="1">
      <alignment horizontal="center" vertical="center"/>
    </xf>
    <xf numFmtId="178" fontId="72" fillId="0" borderId="97" xfId="0" applyNumberFormat="1" applyFont="1" applyFill="1" applyBorder="1" applyAlignment="1">
      <alignment vertical="center"/>
    </xf>
    <xf numFmtId="178" fontId="72" fillId="0" borderId="87" xfId="0" applyNumberFormat="1" applyFont="1" applyFill="1" applyBorder="1" applyAlignment="1">
      <alignment vertical="center"/>
    </xf>
    <xf numFmtId="0" fontId="72" fillId="0" borderId="90" xfId="0" applyFont="1" applyFill="1" applyBorder="1" applyAlignment="1">
      <alignment horizontal="left" vertical="center" wrapText="1"/>
    </xf>
    <xf numFmtId="0" fontId="148" fillId="0" borderId="75" xfId="0" applyFont="1" applyFill="1" applyBorder="1" applyAlignment="1">
      <alignment horizontal="distributed"/>
    </xf>
    <xf numFmtId="0" fontId="22" fillId="0" borderId="76" xfId="0" applyFont="1" applyFill="1" applyBorder="1" applyAlignment="1">
      <alignment horizontal="center" vertical="center"/>
    </xf>
    <xf numFmtId="0" fontId="22" fillId="0" borderId="77" xfId="0" applyFont="1" applyFill="1" applyBorder="1" applyAlignment="1">
      <alignment horizontal="distributed" vertical="center"/>
    </xf>
    <xf numFmtId="0" fontId="27" fillId="0" borderId="77" xfId="0" applyFont="1" applyFill="1" applyBorder="1" applyAlignment="1">
      <alignment horizontal="distributed" vertical="center"/>
    </xf>
    <xf numFmtId="0" fontId="22" fillId="0" borderId="78" xfId="0" applyFont="1" applyFill="1" applyBorder="1" applyAlignment="1">
      <alignment horizontal="center" vertical="center"/>
    </xf>
    <xf numFmtId="0" fontId="72" fillId="0" borderId="99" xfId="0" applyFont="1" applyFill="1" applyBorder="1" applyAlignment="1">
      <alignment horizontal="distributed" vertical="center"/>
    </xf>
    <xf numFmtId="0" fontId="22" fillId="0" borderId="81" xfId="0" applyFont="1" applyFill="1" applyBorder="1" applyAlignment="1">
      <alignment horizontal="distributed" vertical="top"/>
    </xf>
    <xf numFmtId="178" fontId="44" fillId="0" borderId="6" xfId="0" applyNumberFormat="1" applyFont="1" applyFill="1" applyBorder="1" applyAlignment="1" applyProtection="1">
      <alignment horizontal="right" vertical="top"/>
      <protection locked="0"/>
    </xf>
    <xf numFmtId="178" fontId="44" fillId="0" borderId="6" xfId="0" applyNumberFormat="1" applyFont="1" applyFill="1" applyBorder="1" applyAlignment="1">
      <alignment horizontal="right" vertical="top"/>
    </xf>
    <xf numFmtId="0" fontId="44" fillId="0" borderId="82" xfId="0" applyFont="1" applyFill="1" applyBorder="1" applyAlignment="1">
      <alignment horizontal="left" vertical="top" wrapText="1"/>
    </xf>
    <xf numFmtId="0" fontId="22" fillId="0" borderId="86" xfId="0" applyFont="1" applyFill="1" applyBorder="1" applyAlignment="1">
      <alignment horizontal="center" vertical="center"/>
    </xf>
    <xf numFmtId="178" fontId="44" fillId="0" borderId="97" xfId="0" applyNumberFormat="1" applyFont="1" applyFill="1" applyBorder="1" applyAlignment="1">
      <alignment horizontal="right" vertical="center"/>
    </xf>
    <xf numFmtId="0" fontId="44" fillId="0" borderId="90" xfId="0" applyFont="1" applyFill="1" applyBorder="1" applyAlignment="1">
      <alignment horizontal="left" vertical="center" wrapText="1"/>
    </xf>
    <xf numFmtId="0" fontId="46" fillId="0" borderId="82" xfId="0" applyFont="1" applyFill="1" applyBorder="1" applyAlignment="1">
      <alignment horizontal="left" vertical="center" wrapText="1"/>
    </xf>
    <xf numFmtId="0" fontId="66" fillId="0" borderId="82" xfId="0" applyFont="1" applyFill="1" applyBorder="1" applyAlignment="1">
      <alignment horizontal="left" vertical="center" wrapText="1"/>
    </xf>
    <xf numFmtId="178" fontId="59" fillId="0" borderId="6" xfId="0" applyNumberFormat="1" applyFont="1" applyFill="1" applyBorder="1" applyAlignment="1">
      <alignment horizontal="right" vertical="center"/>
    </xf>
    <xf numFmtId="178" fontId="59" fillId="0" borderId="6" xfId="0" applyNumberFormat="1" applyFont="1" applyFill="1" applyBorder="1" applyAlignment="1" applyProtection="1">
      <alignment horizontal="right" vertical="center"/>
      <protection locked="0"/>
    </xf>
    <xf numFmtId="178" fontId="59" fillId="0" borderId="2" xfId="0" applyNumberFormat="1" applyFont="1" applyFill="1" applyBorder="1" applyAlignment="1">
      <alignment horizontal="right" vertical="center"/>
    </xf>
    <xf numFmtId="0" fontId="167" fillId="2" borderId="174" xfId="0" applyNumberFormat="1" applyFont="1" applyFill="1" applyBorder="1" applyAlignment="1">
      <alignment horizontal="center" vertical="center"/>
    </xf>
  </cellXfs>
  <cellStyles count="6">
    <cellStyle name="パーセント" xfId="2" builtinId="5"/>
    <cellStyle name="桁区切り" xfId="1" builtinId="6"/>
    <cellStyle name="桁区切り 2" xfId="4" xr:uid="{00000000-0005-0000-0000-000007000000}"/>
    <cellStyle name="標準" xfId="0" builtinId="0"/>
    <cellStyle name="標準 2" xfId="5" xr:uid="{00000000-0005-0000-0000-000008000000}"/>
    <cellStyle name="標準_資産の構成割合" xfId="3" xr:uid="{00000000-0005-0000-0000-000006000000}"/>
  </cellStyles>
  <dxfs count="7">
    <dxf>
      <font>
        <b/>
        <sz val="10"/>
        <color rgb="FF9C0006"/>
        <name val="游ゴシック"/>
      </font>
      <fill>
        <patternFill patternType="solid">
          <fgColor rgb="FFFFC7CE"/>
          <bgColor rgb="FFFFC7CE"/>
        </patternFill>
      </fill>
    </dxf>
    <dxf>
      <font>
        <b/>
        <sz val="9.5"/>
        <color rgb="FF9C0006"/>
        <name val="游ゴシック"/>
      </font>
      <fill>
        <patternFill patternType="solid">
          <fgColor rgb="FFFFC7CE"/>
          <bgColor rgb="FFFFC7CE"/>
        </patternFill>
      </fill>
    </dxf>
    <dxf>
      <font>
        <sz val="9.5"/>
        <color rgb="FF000000"/>
        <name val="游ゴシック"/>
      </font>
      <fill>
        <patternFill patternType="solid">
          <fgColor rgb="FFF2F2F2"/>
          <bgColor rgb="FFF2F2F2"/>
        </patternFill>
      </fill>
    </dxf>
    <dxf>
      <font>
        <b/>
        <sz val="9.5"/>
        <color rgb="FF9C5700"/>
        <name val="游ゴシック"/>
      </font>
      <fill>
        <patternFill patternType="solid">
          <fgColor rgb="FFFFEB9C"/>
          <bgColor rgb="FFFFEB9C"/>
        </patternFill>
      </fill>
    </dxf>
    <dxf>
      <font>
        <b/>
        <sz val="10"/>
        <color rgb="FF9C0006"/>
        <name val="游ゴシック"/>
      </font>
      <fill>
        <patternFill patternType="solid">
          <fgColor rgb="FFFFC7CE"/>
          <bgColor rgb="FFFFC7CE"/>
        </patternFill>
      </fill>
    </dxf>
    <dxf>
      <font>
        <b/>
        <sz val="12"/>
        <color rgb="FF9C0006"/>
        <name val="游ゴシック"/>
      </font>
      <fill>
        <patternFill patternType="solid">
          <fgColor rgb="FFFFC7CE"/>
          <bgColor rgb="FFFFC7CE"/>
        </patternFill>
      </fill>
    </dxf>
    <dxf>
      <fill>
        <patternFill patternType="solid">
          <fgColor rgb="FFFFFF00"/>
          <bgColor rgb="FFFFFF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E8E8E8"/>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DDEBF7"/>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c:style val="2"/>
  <c:chart>
    <c:title>
      <c:tx>
        <c:rich>
          <a:bodyPr rot="0"/>
          <a:lstStyle/>
          <a:p>
            <a:pPr>
              <a:defRPr sz="1000" b="0" strike="noStrike" spc="-1">
                <a:solidFill>
                  <a:srgbClr val="000000"/>
                </a:solidFill>
                <a:latin typeface="ＭＳ 明朝"/>
              </a:defRPr>
            </a:pPr>
            <a:r>
              <a:rPr lang="en-US" altLang="ja-JP" sz="1000" b="0" strike="noStrike" spc="-1">
                <a:solidFill>
                  <a:srgbClr val="000000"/>
                </a:solidFill>
                <a:latin typeface="ＭＳ 明朝"/>
              </a:rPr>
              <a:t>674,926</a:t>
            </a:r>
            <a:r>
              <a:rPr lang="ja-JP" altLang="en-US" sz="1000" b="0" strike="noStrike" spc="-1">
                <a:solidFill>
                  <a:srgbClr val="000000"/>
                </a:solidFill>
                <a:latin typeface="ＭＳ 明朝"/>
              </a:rPr>
              <a:t>円</a:t>
            </a:r>
          </a:p>
        </c:rich>
      </c:tx>
      <c:layout>
        <c:manualLayout>
          <c:xMode val="edge"/>
          <c:yMode val="edge"/>
          <c:x val="0.42586801379199701"/>
          <c:y val="0.56319389929348396"/>
        </c:manualLayout>
      </c:layout>
      <c:overlay val="0"/>
      <c:spPr>
        <a:solidFill>
          <a:srgbClr val="FFFFFF"/>
        </a:solidFill>
        <a:ln w="0">
          <a:noFill/>
        </a:ln>
      </c:spPr>
    </c:title>
    <c:autoTitleDeleted val="0"/>
    <c:plotArea>
      <c:layout>
        <c:manualLayout>
          <c:layoutTarget val="inner"/>
          <c:xMode val="edge"/>
          <c:yMode val="edge"/>
          <c:x val="0.20720070563707799"/>
          <c:y val="0.235505214758327"/>
          <c:w val="0.62697458102798498"/>
          <c:h val="0.74711225748570098"/>
        </c:manualLayout>
      </c:layout>
      <c:doughnutChart>
        <c:varyColors val="1"/>
        <c:ser>
          <c:idx val="0"/>
          <c:order val="0"/>
          <c:tx>
            <c:strRef>
              <c:f>報告_P8グラフデータ!$B$4</c:f>
              <c:strCache>
                <c:ptCount val="1"/>
                <c:pt idx="0">
                  <c:v>金額（G列を手補正）</c:v>
                </c:pt>
              </c:strCache>
            </c:strRef>
          </c:tx>
          <c:spPr>
            <a:noFill/>
            <a:ln w="12600">
              <a:solidFill>
                <a:srgbClr val="000000"/>
              </a:solidFill>
              <a:round/>
            </a:ln>
          </c:spPr>
          <c:dPt>
            <c:idx val="0"/>
            <c:bubble3D val="0"/>
            <c:extLst>
              <c:ext xmlns:c16="http://schemas.microsoft.com/office/drawing/2014/chart" uri="{C3380CC4-5D6E-409C-BE32-E72D297353CC}">
                <c16:uniqueId val="{00000001-4F5A-411A-BFDB-C1907199A509}"/>
              </c:ext>
            </c:extLst>
          </c:dPt>
          <c:dPt>
            <c:idx val="1"/>
            <c:bubble3D val="0"/>
            <c:extLst>
              <c:ext xmlns:c16="http://schemas.microsoft.com/office/drawing/2014/chart" uri="{C3380CC4-5D6E-409C-BE32-E72D297353CC}">
                <c16:uniqueId val="{00000003-4F5A-411A-BFDB-C1907199A509}"/>
              </c:ext>
            </c:extLst>
          </c:dPt>
          <c:dPt>
            <c:idx val="2"/>
            <c:bubble3D val="0"/>
            <c:extLst>
              <c:ext xmlns:c16="http://schemas.microsoft.com/office/drawing/2014/chart" uri="{C3380CC4-5D6E-409C-BE32-E72D297353CC}">
                <c16:uniqueId val="{00000005-4F5A-411A-BFDB-C1907199A509}"/>
              </c:ext>
            </c:extLst>
          </c:dPt>
          <c:dPt>
            <c:idx val="3"/>
            <c:bubble3D val="0"/>
            <c:extLst>
              <c:ext xmlns:c16="http://schemas.microsoft.com/office/drawing/2014/chart" uri="{C3380CC4-5D6E-409C-BE32-E72D297353CC}">
                <c16:uniqueId val="{00000007-4F5A-411A-BFDB-C1907199A509}"/>
              </c:ext>
            </c:extLst>
          </c:dPt>
          <c:dPt>
            <c:idx val="4"/>
            <c:bubble3D val="0"/>
            <c:extLst>
              <c:ext xmlns:c16="http://schemas.microsoft.com/office/drawing/2014/chart" uri="{C3380CC4-5D6E-409C-BE32-E72D297353CC}">
                <c16:uniqueId val="{00000009-4F5A-411A-BFDB-C1907199A509}"/>
              </c:ext>
            </c:extLst>
          </c:dPt>
          <c:dPt>
            <c:idx val="5"/>
            <c:bubble3D val="0"/>
            <c:extLst>
              <c:ext xmlns:c16="http://schemas.microsoft.com/office/drawing/2014/chart" uri="{C3380CC4-5D6E-409C-BE32-E72D297353CC}">
                <c16:uniqueId val="{0000000B-4F5A-411A-BFDB-C1907199A509}"/>
              </c:ext>
            </c:extLst>
          </c:dPt>
          <c:dLbls>
            <c:dLbl>
              <c:idx val="0"/>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4F5A-411A-BFDB-C1907199A509}"/>
                </c:ext>
              </c:extLst>
            </c:dLbl>
            <c:dLbl>
              <c:idx val="1"/>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4F5A-411A-BFDB-C1907199A509}"/>
                </c:ext>
              </c:extLst>
            </c:dLbl>
            <c:dLbl>
              <c:idx val="2"/>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5-4F5A-411A-BFDB-C1907199A509}"/>
                </c:ext>
              </c:extLst>
            </c:dLbl>
            <c:dLbl>
              <c:idx val="3"/>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7-4F5A-411A-BFDB-C1907199A509}"/>
                </c:ext>
              </c:extLst>
            </c:dLbl>
            <c:dLbl>
              <c:idx val="4"/>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9-4F5A-411A-BFDB-C1907199A509}"/>
                </c:ext>
              </c:extLst>
            </c:dLbl>
            <c:dLbl>
              <c:idx val="5"/>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B-4F5A-411A-BFDB-C1907199A509}"/>
                </c:ext>
              </c:extLst>
            </c:dLbl>
            <c:spPr>
              <a:noFill/>
              <a:ln>
                <a:noFill/>
              </a:ln>
              <a:effectLst/>
            </c:spPr>
            <c:txPr>
              <a:bodyPr wrap="none"/>
              <a:lstStyle/>
              <a:p>
                <a:pPr>
                  <a:defRPr sz="1000" b="0" strike="noStrike" spc="-1">
                    <a:latin typeface="Arial"/>
                  </a:defRPr>
                </a:pPr>
                <a:endParaRPr lang="ja-JP"/>
              </a:p>
            </c:txPr>
            <c:showLegendKey val="0"/>
            <c:showVal val="0"/>
            <c:showCatName val="0"/>
            <c:showSerName val="0"/>
            <c:showPercent val="0"/>
            <c:showBubbleSize val="1"/>
            <c:separator> </c:separator>
            <c:showLeaderLines val="1"/>
            <c:extLst>
              <c:ext xmlns:c15="http://schemas.microsoft.com/office/drawing/2012/chart" uri="{CE6537A1-D6FC-4f65-9D91-7224C49458BB}"/>
            </c:extLst>
          </c:dLbls>
          <c:cat>
            <c:strRef>
              <c:f>報告_P8グラフデータ!$A$5:$A$10</c:f>
              <c:strCache>
                <c:ptCount val="6"/>
                <c:pt idx="0">
                  <c:v>掛金・負担金等</c:v>
                </c:pt>
                <c:pt idx="1">
                  <c:v>前年度繰越支払準備金</c:v>
                </c:pt>
                <c:pt idx="2">
                  <c:v>利息及び配当金</c:v>
                </c:pt>
                <c:pt idx="3">
                  <c:v>交付金</c:v>
                </c:pt>
                <c:pt idx="4">
                  <c:v>賠償金</c:v>
                </c:pt>
                <c:pt idx="5">
                  <c:v>その他</c:v>
                </c:pt>
              </c:strCache>
            </c:strRef>
          </c:cat>
          <c:val>
            <c:numRef>
              <c:f>報告_P8グラフデータ!$B$5:$B$10</c:f>
              <c:numCache>
                <c:formatCode>#,##0_ "円"</c:formatCode>
                <c:ptCount val="6"/>
                <c:pt idx="0">
                  <c:v>591821</c:v>
                </c:pt>
                <c:pt idx="1">
                  <c:v>45972</c:v>
                </c:pt>
                <c:pt idx="2">
                  <c:v>0</c:v>
                </c:pt>
                <c:pt idx="3">
                  <c:v>36503</c:v>
                </c:pt>
                <c:pt idx="4">
                  <c:v>75</c:v>
                </c:pt>
                <c:pt idx="5">
                  <c:v>555</c:v>
                </c:pt>
              </c:numCache>
            </c:numRef>
          </c:val>
          <c:extLst>
            <c:ext xmlns:c16="http://schemas.microsoft.com/office/drawing/2014/chart" uri="{C3380CC4-5D6E-409C-BE32-E72D297353CC}">
              <c16:uniqueId val="{0000000C-4F5A-411A-BFDB-C1907199A509}"/>
            </c:ext>
          </c:extLst>
        </c:ser>
        <c:dLbls>
          <c:showLegendKey val="0"/>
          <c:showVal val="0"/>
          <c:showCatName val="0"/>
          <c:showSerName val="0"/>
          <c:showPercent val="0"/>
          <c:showBubbleSize val="0"/>
          <c:showLeaderLines val="1"/>
        </c:dLbls>
        <c:firstSliceAng val="0"/>
        <c:holeSize val="50"/>
      </c:doughnutChart>
      <c:spPr>
        <a:noFill/>
        <a:ln w="12600">
          <a:noFill/>
        </a:ln>
      </c:spPr>
    </c:plotArea>
    <c:plotVisOnly val="1"/>
    <c:dispBlanksAs val="zero"/>
    <c:showDLblsOverMax val="1"/>
  </c:chart>
  <c:spPr>
    <a:noFill/>
    <a:ln w="1260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c:style val="2"/>
  <c:chart>
    <c:title>
      <c:tx>
        <c:rich>
          <a:bodyPr rot="0"/>
          <a:lstStyle/>
          <a:p>
            <a:pPr>
              <a:defRPr sz="950" b="0" strike="noStrike" spc="-1">
                <a:solidFill>
                  <a:srgbClr val="000000"/>
                </a:solidFill>
                <a:latin typeface="ＭＳ 明朝"/>
              </a:defRPr>
            </a:pPr>
            <a:r>
              <a:rPr lang="en-US" altLang="ja-JP" sz="950" b="0" strike="noStrike" spc="-1">
                <a:solidFill>
                  <a:srgbClr val="000000"/>
                </a:solidFill>
                <a:latin typeface="ＭＳ 明朝"/>
              </a:rPr>
              <a:t>635,162</a:t>
            </a:r>
            <a:r>
              <a:rPr lang="ja-JP" altLang="en-US" sz="950" b="0" strike="noStrike" spc="-1">
                <a:solidFill>
                  <a:srgbClr val="000000"/>
                </a:solidFill>
                <a:latin typeface="ＭＳ 明朝"/>
              </a:rPr>
              <a:t>円</a:t>
            </a:r>
          </a:p>
        </c:rich>
      </c:tx>
      <c:layout>
        <c:manualLayout>
          <c:xMode val="edge"/>
          <c:yMode val="edge"/>
          <c:x val="0.48607263773468801"/>
          <c:y val="0.54283337953978394"/>
        </c:manualLayout>
      </c:layout>
      <c:overlay val="0"/>
      <c:spPr>
        <a:solidFill>
          <a:srgbClr val="FFFFFF"/>
        </a:solidFill>
        <a:ln w="0">
          <a:noFill/>
        </a:ln>
      </c:spPr>
    </c:title>
    <c:autoTitleDeleted val="0"/>
    <c:plotArea>
      <c:layout>
        <c:manualLayout>
          <c:layoutTarget val="inner"/>
          <c:xMode val="edge"/>
          <c:yMode val="edge"/>
          <c:x val="0.27839335180055402"/>
          <c:y val="0.26633398022363902"/>
          <c:w val="0.59972299168975096"/>
          <c:h val="0.61657887441086801"/>
        </c:manualLayout>
      </c:layout>
      <c:doughnutChart>
        <c:varyColors val="1"/>
        <c:ser>
          <c:idx val="0"/>
          <c:order val="0"/>
          <c:tx>
            <c:strRef>
              <c:f>報告_P8グラフデータ!$B$13</c:f>
              <c:strCache>
                <c:ptCount val="1"/>
                <c:pt idx="0">
                  <c:v>金額（G列を手補正）</c:v>
                </c:pt>
              </c:strCache>
            </c:strRef>
          </c:tx>
          <c:spPr>
            <a:noFill/>
            <a:ln w="12600">
              <a:solidFill>
                <a:srgbClr val="000000"/>
              </a:solidFill>
              <a:round/>
            </a:ln>
          </c:spPr>
          <c:dPt>
            <c:idx val="0"/>
            <c:bubble3D val="0"/>
            <c:extLst>
              <c:ext xmlns:c16="http://schemas.microsoft.com/office/drawing/2014/chart" uri="{C3380CC4-5D6E-409C-BE32-E72D297353CC}">
                <c16:uniqueId val="{00000001-C5B5-43D9-9A9D-D1FFDE15AE74}"/>
              </c:ext>
            </c:extLst>
          </c:dPt>
          <c:dPt>
            <c:idx val="1"/>
            <c:bubble3D val="0"/>
            <c:extLst>
              <c:ext xmlns:c16="http://schemas.microsoft.com/office/drawing/2014/chart" uri="{C3380CC4-5D6E-409C-BE32-E72D297353CC}">
                <c16:uniqueId val="{00000003-C5B5-43D9-9A9D-D1FFDE15AE74}"/>
              </c:ext>
            </c:extLst>
          </c:dPt>
          <c:dPt>
            <c:idx val="2"/>
            <c:bubble3D val="0"/>
            <c:extLst>
              <c:ext xmlns:c16="http://schemas.microsoft.com/office/drawing/2014/chart" uri="{C3380CC4-5D6E-409C-BE32-E72D297353CC}">
                <c16:uniqueId val="{00000005-C5B5-43D9-9A9D-D1FFDE15AE74}"/>
              </c:ext>
            </c:extLst>
          </c:dPt>
          <c:dPt>
            <c:idx val="3"/>
            <c:bubble3D val="0"/>
            <c:extLst>
              <c:ext xmlns:c16="http://schemas.microsoft.com/office/drawing/2014/chart" uri="{C3380CC4-5D6E-409C-BE32-E72D297353CC}">
                <c16:uniqueId val="{00000007-C5B5-43D9-9A9D-D1FFDE15AE74}"/>
              </c:ext>
            </c:extLst>
          </c:dPt>
          <c:dPt>
            <c:idx val="4"/>
            <c:bubble3D val="0"/>
            <c:extLst>
              <c:ext xmlns:c16="http://schemas.microsoft.com/office/drawing/2014/chart" uri="{C3380CC4-5D6E-409C-BE32-E72D297353CC}">
                <c16:uniqueId val="{00000009-C5B5-43D9-9A9D-D1FFDE15AE74}"/>
              </c:ext>
            </c:extLst>
          </c:dPt>
          <c:dPt>
            <c:idx val="5"/>
            <c:bubble3D val="0"/>
            <c:extLst>
              <c:ext xmlns:c16="http://schemas.microsoft.com/office/drawing/2014/chart" uri="{C3380CC4-5D6E-409C-BE32-E72D297353CC}">
                <c16:uniqueId val="{0000000B-C5B5-43D9-9A9D-D1FFDE15AE74}"/>
              </c:ext>
            </c:extLst>
          </c:dPt>
          <c:dPt>
            <c:idx val="6"/>
            <c:bubble3D val="0"/>
            <c:extLst>
              <c:ext xmlns:c16="http://schemas.microsoft.com/office/drawing/2014/chart" uri="{C3380CC4-5D6E-409C-BE32-E72D297353CC}">
                <c16:uniqueId val="{0000000D-C5B5-43D9-9A9D-D1FFDE15AE74}"/>
              </c:ext>
            </c:extLst>
          </c:dPt>
          <c:dPt>
            <c:idx val="7"/>
            <c:bubble3D val="0"/>
            <c:extLst>
              <c:ext xmlns:c16="http://schemas.microsoft.com/office/drawing/2014/chart" uri="{C3380CC4-5D6E-409C-BE32-E72D297353CC}">
                <c16:uniqueId val="{0000000F-C5B5-43D9-9A9D-D1FFDE15AE74}"/>
              </c:ext>
            </c:extLst>
          </c:dPt>
          <c:dLbls>
            <c:dLbl>
              <c:idx val="0"/>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C5B5-43D9-9A9D-D1FFDE15AE74}"/>
                </c:ext>
              </c:extLst>
            </c:dLbl>
            <c:dLbl>
              <c:idx val="1"/>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C5B5-43D9-9A9D-D1FFDE15AE74}"/>
                </c:ext>
              </c:extLst>
            </c:dLbl>
            <c:dLbl>
              <c:idx val="2"/>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5-C5B5-43D9-9A9D-D1FFDE15AE74}"/>
                </c:ext>
              </c:extLst>
            </c:dLbl>
            <c:dLbl>
              <c:idx val="3"/>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7-C5B5-43D9-9A9D-D1FFDE15AE74}"/>
                </c:ext>
              </c:extLst>
            </c:dLbl>
            <c:dLbl>
              <c:idx val="4"/>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9-C5B5-43D9-9A9D-D1FFDE15AE74}"/>
                </c:ext>
              </c:extLst>
            </c:dLbl>
            <c:dLbl>
              <c:idx val="5"/>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B-C5B5-43D9-9A9D-D1FFDE15AE74}"/>
                </c:ext>
              </c:extLst>
            </c:dLbl>
            <c:dLbl>
              <c:idx val="6"/>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D-C5B5-43D9-9A9D-D1FFDE15AE74}"/>
                </c:ext>
              </c:extLst>
            </c:dLbl>
            <c:dLbl>
              <c:idx val="7"/>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F-C5B5-43D9-9A9D-D1FFDE15AE74}"/>
                </c:ext>
              </c:extLst>
            </c:dLbl>
            <c:spPr>
              <a:noFill/>
              <a:ln>
                <a:noFill/>
              </a:ln>
              <a:effectLst/>
            </c:spPr>
            <c:txPr>
              <a:bodyPr wrap="none"/>
              <a:lstStyle/>
              <a:p>
                <a:pPr>
                  <a:defRPr sz="1000" b="0" strike="noStrike" spc="-1">
                    <a:latin typeface="Arial"/>
                  </a:defRPr>
                </a:pPr>
                <a:endParaRPr lang="ja-JP"/>
              </a:p>
            </c:txPr>
            <c:showLegendKey val="0"/>
            <c:showVal val="0"/>
            <c:showCatName val="0"/>
            <c:showSerName val="0"/>
            <c:showPercent val="0"/>
            <c:showBubbleSize val="1"/>
            <c:separator> </c:separator>
            <c:showLeaderLines val="1"/>
            <c:extLst>
              <c:ext xmlns:c15="http://schemas.microsoft.com/office/drawing/2012/chart" uri="{CE6537A1-D6FC-4f65-9D91-7224C49458BB}"/>
            </c:extLst>
          </c:dLbls>
          <c:cat>
            <c:strRef>
              <c:f>報告_P8グラフデータ!$A$14:$A$21</c:f>
              <c:strCache>
                <c:ptCount val="8"/>
                <c:pt idx="0">
                  <c:v>法定給付</c:v>
                </c:pt>
                <c:pt idx="1">
                  <c:v>退職者給付拠出金・病床転換支援金</c:v>
                </c:pt>
                <c:pt idx="2">
                  <c:v>前期高齢者納付金・後期高齢者支援金等</c:v>
                </c:pt>
                <c:pt idx="3">
                  <c:v>次年度繰越支払準備金</c:v>
                </c:pt>
                <c:pt idx="4">
                  <c:v>附加給付</c:v>
                </c:pt>
                <c:pt idx="5">
                  <c:v>その他</c:v>
                </c:pt>
                <c:pt idx="6">
                  <c:v>一部負担金払戻金</c:v>
                </c:pt>
                <c:pt idx="7">
                  <c:v>業務経理へ繰入</c:v>
                </c:pt>
              </c:strCache>
            </c:strRef>
          </c:cat>
          <c:val>
            <c:numRef>
              <c:f>報告_P8グラフデータ!$B$14:$B$21</c:f>
              <c:numCache>
                <c:formatCode>#,##0.0_ "円"</c:formatCode>
                <c:ptCount val="8"/>
                <c:pt idx="0" formatCode="#,##0_ &quot;円&quot;">
                  <c:v>310301</c:v>
                </c:pt>
                <c:pt idx="1">
                  <c:v>0</c:v>
                </c:pt>
                <c:pt idx="2" formatCode="#,##0_ &quot;円&quot;">
                  <c:v>230992</c:v>
                </c:pt>
                <c:pt idx="3" formatCode="#,##0_ &quot;円&quot;">
                  <c:v>47625</c:v>
                </c:pt>
                <c:pt idx="4" formatCode="#,##0_ &quot;円&quot;">
                  <c:v>1907</c:v>
                </c:pt>
                <c:pt idx="5" formatCode="#,##0_ &quot;円&quot;">
                  <c:v>39357</c:v>
                </c:pt>
                <c:pt idx="6" formatCode="#,##0_ &quot;円&quot;">
                  <c:v>4359</c:v>
                </c:pt>
                <c:pt idx="7" formatCode="#,##0_ &quot;円&quot;">
                  <c:v>621</c:v>
                </c:pt>
              </c:numCache>
            </c:numRef>
          </c:val>
          <c:extLst>
            <c:ext xmlns:c16="http://schemas.microsoft.com/office/drawing/2014/chart" uri="{C3380CC4-5D6E-409C-BE32-E72D297353CC}">
              <c16:uniqueId val="{00000010-C5B5-43D9-9A9D-D1FFDE15AE74}"/>
            </c:ext>
          </c:extLst>
        </c:ser>
        <c:dLbls>
          <c:showLegendKey val="0"/>
          <c:showVal val="0"/>
          <c:showCatName val="0"/>
          <c:showSerName val="0"/>
          <c:showPercent val="0"/>
          <c:showBubbleSize val="0"/>
          <c:showLeaderLines val="1"/>
        </c:dLbls>
        <c:firstSliceAng val="0"/>
        <c:holeSize val="50"/>
      </c:doughnutChart>
      <c:spPr>
        <a:noFill/>
        <a:ln w="12600">
          <a:noFill/>
        </a:ln>
      </c:spPr>
    </c:plotArea>
    <c:plotVisOnly val="1"/>
    <c:dispBlanksAs val="zero"/>
    <c:showDLblsOverMax val="1"/>
  </c:chart>
  <c:spPr>
    <a:noFill/>
    <a:ln w="12600">
      <a:noFill/>
    </a:ln>
  </c:spPr>
  <c:printSettings>
    <c:headerFooter/>
    <c:pageMargins b="0.75" l="0.7" r="0.7" t="0.75" header="0.3" footer="0.3"/>
    <c:pageSetup/>
  </c:printSettings>
  <c:userShapes r:id="rId1"/>
</c:chartSpace>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editAs="oneCell">
    <xdr:from>
      <xdr:col>5</xdr:col>
      <xdr:colOff>56520</xdr:colOff>
      <xdr:row>60</xdr:row>
      <xdr:rowOff>142560</xdr:rowOff>
    </xdr:from>
    <xdr:to>
      <xdr:col>5</xdr:col>
      <xdr:colOff>293400</xdr:colOff>
      <xdr:row>60</xdr:row>
      <xdr:rowOff>142560</xdr:rowOff>
    </xdr:to>
    <xdr:sp macro="" textlink="">
      <xdr:nvSpPr>
        <xdr:cNvPr id="2" name="直線コネクタ 29">
          <a:extLst>
            <a:ext uri="{FF2B5EF4-FFF2-40B4-BE49-F238E27FC236}">
              <a16:creationId xmlns:a16="http://schemas.microsoft.com/office/drawing/2014/main" id="{00000000-0008-0000-0400-000002000000}"/>
            </a:ext>
          </a:extLst>
        </xdr:cNvPr>
        <xdr:cNvSpPr/>
      </xdr:nvSpPr>
      <xdr:spPr>
        <a:xfrm>
          <a:off x="1756440" y="16035480"/>
          <a:ext cx="23688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168840</xdr:colOff>
      <xdr:row>60</xdr:row>
      <xdr:rowOff>152280</xdr:rowOff>
    </xdr:from>
    <xdr:to>
      <xdr:col>5</xdr:col>
      <xdr:colOff>169200</xdr:colOff>
      <xdr:row>62</xdr:row>
      <xdr:rowOff>133920</xdr:rowOff>
    </xdr:to>
    <xdr:sp macro="" textlink="">
      <xdr:nvSpPr>
        <xdr:cNvPr id="3" name="直線コネクタ 30">
          <a:extLst>
            <a:ext uri="{FF2B5EF4-FFF2-40B4-BE49-F238E27FC236}">
              <a16:creationId xmlns:a16="http://schemas.microsoft.com/office/drawing/2014/main" id="{00000000-0008-0000-0400-000003000000}"/>
            </a:ext>
          </a:extLst>
        </xdr:cNvPr>
        <xdr:cNvSpPr/>
      </xdr:nvSpPr>
      <xdr:spPr>
        <a:xfrm>
          <a:off x="1868760" y="16045200"/>
          <a:ext cx="360" cy="53892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168840</xdr:colOff>
      <xdr:row>62</xdr:row>
      <xdr:rowOff>133920</xdr:rowOff>
    </xdr:from>
    <xdr:to>
      <xdr:col>5</xdr:col>
      <xdr:colOff>304560</xdr:colOff>
      <xdr:row>62</xdr:row>
      <xdr:rowOff>133920</xdr:rowOff>
    </xdr:to>
    <xdr:sp macro="" textlink="">
      <xdr:nvSpPr>
        <xdr:cNvPr id="4" name="直線コネクタ 32">
          <a:extLst>
            <a:ext uri="{FF2B5EF4-FFF2-40B4-BE49-F238E27FC236}">
              <a16:creationId xmlns:a16="http://schemas.microsoft.com/office/drawing/2014/main" id="{00000000-0008-0000-0400-000004000000}"/>
            </a:ext>
          </a:extLst>
        </xdr:cNvPr>
        <xdr:cNvSpPr/>
      </xdr:nvSpPr>
      <xdr:spPr>
        <a:xfrm>
          <a:off x="1868760" y="16584120"/>
          <a:ext cx="13572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10</xdr:col>
      <xdr:colOff>236520</xdr:colOff>
      <xdr:row>60</xdr:row>
      <xdr:rowOff>152280</xdr:rowOff>
    </xdr:from>
    <xdr:to>
      <xdr:col>12</xdr:col>
      <xdr:colOff>248040</xdr:colOff>
      <xdr:row>60</xdr:row>
      <xdr:rowOff>152280</xdr:rowOff>
    </xdr:to>
    <xdr:sp macro="" textlink="">
      <xdr:nvSpPr>
        <xdr:cNvPr id="5" name="直線コネクタ 38">
          <a:extLst>
            <a:ext uri="{FF2B5EF4-FFF2-40B4-BE49-F238E27FC236}">
              <a16:creationId xmlns:a16="http://schemas.microsoft.com/office/drawing/2014/main" id="{00000000-0008-0000-0400-000005000000}"/>
            </a:ext>
          </a:extLst>
        </xdr:cNvPr>
        <xdr:cNvSpPr/>
      </xdr:nvSpPr>
      <xdr:spPr>
        <a:xfrm>
          <a:off x="3668760" y="16045200"/>
          <a:ext cx="68724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10</xdr:col>
      <xdr:colOff>236520</xdr:colOff>
      <xdr:row>61</xdr:row>
      <xdr:rowOff>162360</xdr:rowOff>
    </xdr:from>
    <xdr:to>
      <xdr:col>12</xdr:col>
      <xdr:colOff>248040</xdr:colOff>
      <xdr:row>61</xdr:row>
      <xdr:rowOff>162360</xdr:rowOff>
    </xdr:to>
    <xdr:sp macro="" textlink="">
      <xdr:nvSpPr>
        <xdr:cNvPr id="6" name="直線コネクタ 38">
          <a:extLst>
            <a:ext uri="{FF2B5EF4-FFF2-40B4-BE49-F238E27FC236}">
              <a16:creationId xmlns:a16="http://schemas.microsoft.com/office/drawing/2014/main" id="{00000000-0008-0000-0400-000006000000}"/>
            </a:ext>
          </a:extLst>
        </xdr:cNvPr>
        <xdr:cNvSpPr/>
      </xdr:nvSpPr>
      <xdr:spPr>
        <a:xfrm>
          <a:off x="3668760" y="16333920"/>
          <a:ext cx="68724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11</xdr:col>
      <xdr:colOff>90000</xdr:colOff>
      <xdr:row>62</xdr:row>
      <xdr:rowOff>152640</xdr:rowOff>
    </xdr:from>
    <xdr:to>
      <xdr:col>12</xdr:col>
      <xdr:colOff>225360</xdr:colOff>
      <xdr:row>62</xdr:row>
      <xdr:rowOff>152640</xdr:rowOff>
    </xdr:to>
    <xdr:sp macro="" textlink="">
      <xdr:nvSpPr>
        <xdr:cNvPr id="7" name="直線コネクタ 38">
          <a:extLst>
            <a:ext uri="{FF2B5EF4-FFF2-40B4-BE49-F238E27FC236}">
              <a16:creationId xmlns:a16="http://schemas.microsoft.com/office/drawing/2014/main" id="{00000000-0008-0000-0400-000007000000}"/>
            </a:ext>
          </a:extLst>
        </xdr:cNvPr>
        <xdr:cNvSpPr/>
      </xdr:nvSpPr>
      <xdr:spPr>
        <a:xfrm>
          <a:off x="3859920" y="16602840"/>
          <a:ext cx="47340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180000</xdr:colOff>
      <xdr:row>61</xdr:row>
      <xdr:rowOff>162360</xdr:rowOff>
    </xdr:from>
    <xdr:to>
      <xdr:col>5</xdr:col>
      <xdr:colOff>315720</xdr:colOff>
      <xdr:row>61</xdr:row>
      <xdr:rowOff>162360</xdr:rowOff>
    </xdr:to>
    <xdr:sp macro="" textlink="">
      <xdr:nvSpPr>
        <xdr:cNvPr id="8" name="直線コネクタ 32">
          <a:extLst>
            <a:ext uri="{FF2B5EF4-FFF2-40B4-BE49-F238E27FC236}">
              <a16:creationId xmlns:a16="http://schemas.microsoft.com/office/drawing/2014/main" id="{00000000-0008-0000-0400-000008000000}"/>
            </a:ext>
          </a:extLst>
        </xdr:cNvPr>
        <xdr:cNvSpPr/>
      </xdr:nvSpPr>
      <xdr:spPr>
        <a:xfrm>
          <a:off x="1879920" y="16333920"/>
          <a:ext cx="13572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7</xdr:row>
      <xdr:rowOff>9720</xdr:rowOff>
    </xdr:from>
    <xdr:to>
      <xdr:col>11</xdr:col>
      <xdr:colOff>146160</xdr:colOff>
      <xdr:row>8</xdr:row>
      <xdr:rowOff>218880</xdr:rowOff>
    </xdr:to>
    <xdr:sp macro="" textlink="">
      <xdr:nvSpPr>
        <xdr:cNvPr id="7" name="Line 1">
          <a:extLst>
            <a:ext uri="{FF2B5EF4-FFF2-40B4-BE49-F238E27FC236}">
              <a16:creationId xmlns:a16="http://schemas.microsoft.com/office/drawing/2014/main" id="{00000000-0008-0000-0500-000007000000}"/>
            </a:ext>
          </a:extLst>
        </xdr:cNvPr>
        <xdr:cNvSpPr/>
      </xdr:nvSpPr>
      <xdr:spPr>
        <a:xfrm>
          <a:off x="0" y="2484360"/>
          <a:ext cx="2000520" cy="437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14</xdr:row>
      <xdr:rowOff>9360</xdr:rowOff>
    </xdr:from>
    <xdr:to>
      <xdr:col>12</xdr:col>
      <xdr:colOff>146160</xdr:colOff>
      <xdr:row>15</xdr:row>
      <xdr:rowOff>266760</xdr:rowOff>
    </xdr:to>
    <xdr:sp macro="" textlink="">
      <xdr:nvSpPr>
        <xdr:cNvPr id="8" name="Line 2">
          <a:extLst>
            <a:ext uri="{FF2B5EF4-FFF2-40B4-BE49-F238E27FC236}">
              <a16:creationId xmlns:a16="http://schemas.microsoft.com/office/drawing/2014/main" id="{00000000-0008-0000-0500-000008000000}"/>
            </a:ext>
          </a:extLst>
        </xdr:cNvPr>
        <xdr:cNvSpPr/>
      </xdr:nvSpPr>
      <xdr:spPr>
        <a:xfrm>
          <a:off x="11160" y="4677120"/>
          <a:ext cx="2135160" cy="5241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34</xdr:row>
      <xdr:rowOff>9720</xdr:rowOff>
    </xdr:from>
    <xdr:to>
      <xdr:col>11</xdr:col>
      <xdr:colOff>134640</xdr:colOff>
      <xdr:row>35</xdr:row>
      <xdr:rowOff>266760</xdr:rowOff>
    </xdr:to>
    <xdr:sp macro="" textlink="">
      <xdr:nvSpPr>
        <xdr:cNvPr id="9" name="Line 4">
          <a:extLst>
            <a:ext uri="{FF2B5EF4-FFF2-40B4-BE49-F238E27FC236}">
              <a16:creationId xmlns:a16="http://schemas.microsoft.com/office/drawing/2014/main" id="{00000000-0008-0000-0500-000009000000}"/>
            </a:ext>
          </a:extLst>
        </xdr:cNvPr>
        <xdr:cNvSpPr/>
      </xdr:nvSpPr>
      <xdr:spPr>
        <a:xfrm>
          <a:off x="0" y="10478160"/>
          <a:ext cx="1989000" cy="5238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-360</xdr:colOff>
      <xdr:row>85</xdr:row>
      <xdr:rowOff>0</xdr:rowOff>
    </xdr:from>
    <xdr:to>
      <xdr:col>11</xdr:col>
      <xdr:colOff>145800</xdr:colOff>
      <xdr:row>86</xdr:row>
      <xdr:rowOff>266760</xdr:rowOff>
    </xdr:to>
    <xdr:sp macro="" textlink="">
      <xdr:nvSpPr>
        <xdr:cNvPr id="10" name="Line 6">
          <a:extLst>
            <a:ext uri="{FF2B5EF4-FFF2-40B4-BE49-F238E27FC236}">
              <a16:creationId xmlns:a16="http://schemas.microsoft.com/office/drawing/2014/main" id="{00000000-0008-0000-0500-00000A000000}"/>
            </a:ext>
          </a:extLst>
        </xdr:cNvPr>
        <xdr:cNvSpPr/>
      </xdr:nvSpPr>
      <xdr:spPr>
        <a:xfrm flipH="1" flipV="1">
          <a:off x="-360" y="26432640"/>
          <a:ext cx="2000520" cy="5428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62</xdr:row>
      <xdr:rowOff>9360</xdr:rowOff>
    </xdr:from>
    <xdr:to>
      <xdr:col>11</xdr:col>
      <xdr:colOff>134640</xdr:colOff>
      <xdr:row>63</xdr:row>
      <xdr:rowOff>266760</xdr:rowOff>
    </xdr:to>
    <xdr:sp macro="" textlink="">
      <xdr:nvSpPr>
        <xdr:cNvPr id="11" name="Line 235">
          <a:extLst>
            <a:ext uri="{FF2B5EF4-FFF2-40B4-BE49-F238E27FC236}">
              <a16:creationId xmlns:a16="http://schemas.microsoft.com/office/drawing/2014/main" id="{00000000-0008-0000-0500-00000B000000}"/>
            </a:ext>
          </a:extLst>
        </xdr:cNvPr>
        <xdr:cNvSpPr/>
      </xdr:nvSpPr>
      <xdr:spPr>
        <a:xfrm>
          <a:off x="0" y="19698120"/>
          <a:ext cx="1989000" cy="5241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33480</xdr:colOff>
      <xdr:row>4</xdr:row>
      <xdr:rowOff>18720</xdr:rowOff>
    </xdr:from>
    <xdr:to>
      <xdr:col>15</xdr:col>
      <xdr:colOff>11520</xdr:colOff>
      <xdr:row>5</xdr:row>
      <xdr:rowOff>219240</xdr:rowOff>
    </xdr:to>
    <xdr:sp macro="" textlink="">
      <xdr:nvSpPr>
        <xdr:cNvPr id="12" name="Line 346">
          <a:extLst>
            <a:ext uri="{FF2B5EF4-FFF2-40B4-BE49-F238E27FC236}">
              <a16:creationId xmlns:a16="http://schemas.microsoft.com/office/drawing/2014/main" id="{00000000-0008-0000-0600-00000C000000}"/>
            </a:ext>
          </a:extLst>
        </xdr:cNvPr>
        <xdr:cNvSpPr/>
      </xdr:nvSpPr>
      <xdr:spPr>
        <a:xfrm>
          <a:off x="33480" y="992880"/>
          <a:ext cx="2438640" cy="4194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16</xdr:row>
      <xdr:rowOff>9360</xdr:rowOff>
    </xdr:from>
    <xdr:to>
      <xdr:col>14</xdr:col>
      <xdr:colOff>146160</xdr:colOff>
      <xdr:row>17</xdr:row>
      <xdr:rowOff>218880</xdr:rowOff>
    </xdr:to>
    <xdr:sp macro="" textlink="">
      <xdr:nvSpPr>
        <xdr:cNvPr id="13" name="Line 345">
          <a:extLst>
            <a:ext uri="{FF2B5EF4-FFF2-40B4-BE49-F238E27FC236}">
              <a16:creationId xmlns:a16="http://schemas.microsoft.com/office/drawing/2014/main" id="{00000000-0008-0000-0600-00000D000000}"/>
            </a:ext>
          </a:extLst>
        </xdr:cNvPr>
        <xdr:cNvSpPr/>
      </xdr:nvSpPr>
      <xdr:spPr>
        <a:xfrm>
          <a:off x="0" y="3612240"/>
          <a:ext cx="2460600" cy="428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33480</xdr:colOff>
      <xdr:row>114</xdr:row>
      <xdr:rowOff>47520</xdr:rowOff>
    </xdr:from>
    <xdr:to>
      <xdr:col>103</xdr:col>
      <xdr:colOff>33120</xdr:colOff>
      <xdr:row>126</xdr:row>
      <xdr:rowOff>313920</xdr:rowOff>
    </xdr:to>
    <xdr:graphicFrame macro="">
      <xdr:nvGraphicFramePr>
        <xdr:cNvPr id="14" name="グラフ 308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84</xdr:col>
      <xdr:colOff>0</xdr:colOff>
      <xdr:row>113</xdr:row>
      <xdr:rowOff>28800</xdr:rowOff>
    </xdr:from>
    <xdr:to>
      <xdr:col>189</xdr:col>
      <xdr:colOff>11160</xdr:colOff>
      <xdr:row>128</xdr:row>
      <xdr:rowOff>95040</xdr:rowOff>
    </xdr:to>
    <xdr:graphicFrame macro="">
      <xdr:nvGraphicFramePr>
        <xdr:cNvPr id="15" name="グラフ 308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130</xdr:col>
      <xdr:colOff>11160</xdr:colOff>
      <xdr:row>116</xdr:row>
      <xdr:rowOff>18720</xdr:rowOff>
    </xdr:from>
    <xdr:to>
      <xdr:col>135</xdr:col>
      <xdr:colOff>33120</xdr:colOff>
      <xdr:row>118</xdr:row>
      <xdr:rowOff>56880</xdr:rowOff>
    </xdr:to>
    <xdr:sp macro="" textlink="">
      <xdr:nvSpPr>
        <xdr:cNvPr id="17" name="Line 3085">
          <a:extLst>
            <a:ext uri="{FF2B5EF4-FFF2-40B4-BE49-F238E27FC236}">
              <a16:creationId xmlns:a16="http://schemas.microsoft.com/office/drawing/2014/main" id="{00000000-0008-0000-0700-000011000000}"/>
            </a:ext>
          </a:extLst>
        </xdr:cNvPr>
        <xdr:cNvSpPr/>
      </xdr:nvSpPr>
      <xdr:spPr>
        <a:xfrm>
          <a:off x="5789520" y="31502520"/>
          <a:ext cx="244440" cy="51444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39</xdr:col>
      <xdr:colOff>33480</xdr:colOff>
      <xdr:row>124</xdr:row>
      <xdr:rowOff>0</xdr:rowOff>
    </xdr:from>
    <xdr:to>
      <xdr:col>67</xdr:col>
      <xdr:colOff>44280</xdr:colOff>
      <xdr:row>125</xdr:row>
      <xdr:rowOff>275760</xdr:rowOff>
    </xdr:to>
    <xdr:sp macro="" textlink="">
      <xdr:nvSpPr>
        <xdr:cNvPr id="18" name="Text Box 3086">
          <a:extLst>
            <a:ext uri="{FF2B5EF4-FFF2-40B4-BE49-F238E27FC236}">
              <a16:creationId xmlns:a16="http://schemas.microsoft.com/office/drawing/2014/main" id="{00000000-0008-0000-0700-000012000000}"/>
            </a:ext>
          </a:extLst>
        </xdr:cNvPr>
        <xdr:cNvSpPr/>
      </xdr:nvSpPr>
      <xdr:spPr>
        <a:xfrm>
          <a:off x="1766880" y="33388920"/>
          <a:ext cx="1255680" cy="5140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掛金・負担金等</a:t>
          </a:r>
          <a:endParaRPr lang="en-US" sz="1000" b="0" strike="noStrike" spc="-1">
            <a:latin typeface="Times New Roman"/>
          </a:endParaRPr>
        </a:p>
        <a:p>
          <a:pPr algn="ctr"/>
          <a:r>
            <a:rPr lang="en-US" sz="1000" b="0" strike="noStrike" spc="-1">
              <a:solidFill>
                <a:srgbClr val="000000"/>
              </a:solidFill>
              <a:latin typeface="ＭＳ 明朝"/>
            </a:rPr>
            <a:t>591,821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87.69%</a:t>
          </a:r>
          <a:endParaRPr lang="en-US" sz="1000" b="0" strike="noStrike" spc="-1">
            <a:latin typeface="Times New Roman"/>
          </a:endParaRPr>
        </a:p>
      </xdr:txBody>
    </xdr:sp>
    <xdr:clientData/>
  </xdr:twoCellAnchor>
  <xdr:twoCellAnchor editAs="oneCell">
    <xdr:from>
      <xdr:col>1</xdr:col>
      <xdr:colOff>33480</xdr:colOff>
      <xdr:row>117</xdr:row>
      <xdr:rowOff>47520</xdr:rowOff>
    </xdr:from>
    <xdr:to>
      <xdr:col>24</xdr:col>
      <xdr:colOff>44640</xdr:colOff>
      <xdr:row>120</xdr:row>
      <xdr:rowOff>47520</xdr:rowOff>
    </xdr:to>
    <xdr:sp macro="" textlink="">
      <xdr:nvSpPr>
        <xdr:cNvPr id="19" name="Text Box 3087">
          <a:extLst>
            <a:ext uri="{FF2B5EF4-FFF2-40B4-BE49-F238E27FC236}">
              <a16:creationId xmlns:a16="http://schemas.microsoft.com/office/drawing/2014/main" id="{00000000-0008-0000-0700-000013000000}"/>
            </a:ext>
          </a:extLst>
        </xdr:cNvPr>
        <xdr:cNvSpPr/>
      </xdr:nvSpPr>
      <xdr:spPr>
        <a:xfrm>
          <a:off x="77760" y="31769640"/>
          <a:ext cx="1033560" cy="71424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前年度繰越</a:t>
          </a:r>
          <a:endParaRPr lang="en-US" sz="1000" b="0" strike="noStrike" spc="-1">
            <a:latin typeface="Times New Roman"/>
          </a:endParaRPr>
        </a:p>
        <a:p>
          <a:pPr algn="ctr"/>
          <a:r>
            <a:rPr lang="zh-CN" sz="1000" b="0" strike="noStrike" spc="-1">
              <a:solidFill>
                <a:srgbClr val="000000"/>
              </a:solidFill>
              <a:latin typeface="ＭＳ 明朝"/>
            </a:rPr>
            <a:t>支払準備金</a:t>
          </a:r>
          <a:endParaRPr lang="en-US" sz="1000" b="0" strike="noStrike" spc="-1">
            <a:latin typeface="Times New Roman"/>
          </a:endParaRPr>
        </a:p>
        <a:p>
          <a:pPr algn="ctr"/>
          <a:r>
            <a:rPr lang="en-US" sz="1000" b="0" strike="noStrike" spc="-1">
              <a:solidFill>
                <a:srgbClr val="000000"/>
              </a:solidFill>
              <a:latin typeface="ＭＳ 明朝"/>
            </a:rPr>
            <a:t>45,972</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6.81%</a:t>
          </a:r>
          <a:endParaRPr lang="en-US" sz="1000" b="0" strike="noStrike" spc="-1">
            <a:latin typeface="Times New Roman"/>
          </a:endParaRPr>
        </a:p>
      </xdr:txBody>
    </xdr:sp>
    <xdr:clientData/>
  </xdr:twoCellAnchor>
  <xdr:twoCellAnchor editAs="oneCell">
    <xdr:from>
      <xdr:col>18</xdr:col>
      <xdr:colOff>10800</xdr:colOff>
      <xdr:row>112</xdr:row>
      <xdr:rowOff>142920</xdr:rowOff>
    </xdr:from>
    <xdr:to>
      <xdr:col>46</xdr:col>
      <xdr:colOff>22320</xdr:colOff>
      <xdr:row>114</xdr:row>
      <xdr:rowOff>200160</xdr:rowOff>
    </xdr:to>
    <xdr:sp macro="" textlink="">
      <xdr:nvSpPr>
        <xdr:cNvPr id="20" name="Text Box 3088">
          <a:extLst>
            <a:ext uri="{FF2B5EF4-FFF2-40B4-BE49-F238E27FC236}">
              <a16:creationId xmlns:a16="http://schemas.microsoft.com/office/drawing/2014/main" id="{00000000-0008-0000-0700-000014000000}"/>
            </a:ext>
          </a:extLst>
        </xdr:cNvPr>
        <xdr:cNvSpPr/>
      </xdr:nvSpPr>
      <xdr:spPr>
        <a:xfrm>
          <a:off x="811080" y="30674520"/>
          <a:ext cx="1256040" cy="53316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交付金</a:t>
          </a:r>
          <a:endParaRPr lang="en-US" sz="1000" b="0" strike="noStrike" spc="-1">
            <a:latin typeface="Times New Roman"/>
          </a:endParaRPr>
        </a:p>
        <a:p>
          <a:pPr algn="ctr"/>
          <a:r>
            <a:rPr lang="en-US" sz="1000" b="0" strike="noStrike" spc="-1">
              <a:solidFill>
                <a:srgbClr val="000000"/>
              </a:solidFill>
              <a:latin typeface="ＭＳ 明朝"/>
            </a:rPr>
            <a:t>36,503</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5.41%</a:t>
          </a:r>
          <a:endParaRPr lang="en-US" sz="1000" b="0" strike="noStrike" spc="-1">
            <a:latin typeface="Times New Roman"/>
          </a:endParaRPr>
        </a:p>
        <a:p>
          <a:pPr algn="ct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50</xdr:col>
      <xdr:colOff>0</xdr:colOff>
      <xdr:row>112</xdr:row>
      <xdr:rowOff>152280</xdr:rowOff>
    </xdr:from>
    <xdr:to>
      <xdr:col>68</xdr:col>
      <xdr:colOff>22320</xdr:colOff>
      <xdr:row>114</xdr:row>
      <xdr:rowOff>228960</xdr:rowOff>
    </xdr:to>
    <xdr:sp macro="" textlink="">
      <xdr:nvSpPr>
        <xdr:cNvPr id="21" name="Text Box 3090">
          <a:extLst>
            <a:ext uri="{FF2B5EF4-FFF2-40B4-BE49-F238E27FC236}">
              <a16:creationId xmlns:a16="http://schemas.microsoft.com/office/drawing/2014/main" id="{00000000-0008-0000-0700-000015000000}"/>
            </a:ext>
          </a:extLst>
        </xdr:cNvPr>
        <xdr:cNvSpPr/>
      </xdr:nvSpPr>
      <xdr:spPr>
        <a:xfrm>
          <a:off x="2222640" y="30683880"/>
          <a:ext cx="822240" cy="5526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賠償金</a:t>
          </a:r>
          <a:endParaRPr lang="en-US" sz="1000" b="0" strike="noStrike" spc="-1">
            <a:latin typeface="Times New Roman"/>
          </a:endParaRPr>
        </a:p>
        <a:p>
          <a:pPr algn="ctr"/>
          <a:r>
            <a:rPr lang="en-US" sz="1000" b="0" strike="noStrike" spc="-1">
              <a:solidFill>
                <a:srgbClr val="000000"/>
              </a:solidFill>
              <a:latin typeface="ＭＳ 明朝"/>
            </a:rPr>
            <a:t>75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0.01%</a:t>
          </a: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158</xdr:col>
      <xdr:colOff>21960</xdr:colOff>
      <xdr:row>121</xdr:row>
      <xdr:rowOff>114120</xdr:rowOff>
    </xdr:from>
    <xdr:to>
      <xdr:col>184</xdr:col>
      <xdr:colOff>33480</xdr:colOff>
      <xdr:row>123</xdr:row>
      <xdr:rowOff>190440</xdr:rowOff>
    </xdr:to>
    <xdr:sp macro="" textlink="">
      <xdr:nvSpPr>
        <xdr:cNvPr id="22" name="Text Box 3091">
          <a:extLst>
            <a:ext uri="{FF2B5EF4-FFF2-40B4-BE49-F238E27FC236}">
              <a16:creationId xmlns:a16="http://schemas.microsoft.com/office/drawing/2014/main" id="{00000000-0008-0000-0700-000016000000}"/>
            </a:ext>
          </a:extLst>
        </xdr:cNvPr>
        <xdr:cNvSpPr/>
      </xdr:nvSpPr>
      <xdr:spPr>
        <a:xfrm>
          <a:off x="7045200" y="32788800"/>
          <a:ext cx="1167120" cy="5526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法定給付</a:t>
          </a:r>
          <a:endParaRPr lang="en-US" sz="1000" b="0" strike="noStrike" spc="-1">
            <a:latin typeface="Times New Roman"/>
          </a:endParaRPr>
        </a:p>
        <a:p>
          <a:pPr algn="ctr"/>
          <a:r>
            <a:rPr lang="en-US" sz="1000" b="0" strike="noStrike" spc="-1">
              <a:solidFill>
                <a:srgbClr val="000000"/>
              </a:solidFill>
              <a:latin typeface="ＭＳ 明朝"/>
            </a:rPr>
            <a:t>310,301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48.85%</a:t>
          </a:r>
          <a:endParaRPr lang="en-US" sz="1000" b="0" strike="noStrike" spc="-1">
            <a:latin typeface="Times New Roman"/>
          </a:endParaRPr>
        </a:p>
      </xdr:txBody>
    </xdr:sp>
    <xdr:clientData/>
  </xdr:twoCellAnchor>
  <xdr:twoCellAnchor editAs="oneCell">
    <xdr:from>
      <xdr:col>95</xdr:col>
      <xdr:colOff>11160</xdr:colOff>
      <xdr:row>122</xdr:row>
      <xdr:rowOff>152640</xdr:rowOff>
    </xdr:from>
    <xdr:to>
      <xdr:col>131</xdr:col>
      <xdr:colOff>22320</xdr:colOff>
      <xdr:row>125</xdr:row>
      <xdr:rowOff>199800</xdr:rowOff>
    </xdr:to>
    <xdr:sp macro="" textlink="">
      <xdr:nvSpPr>
        <xdr:cNvPr id="23" name="Text Box 3093">
          <a:extLst>
            <a:ext uri="{FF2B5EF4-FFF2-40B4-BE49-F238E27FC236}">
              <a16:creationId xmlns:a16="http://schemas.microsoft.com/office/drawing/2014/main" id="{00000000-0008-0000-0700-000017000000}"/>
            </a:ext>
          </a:extLst>
        </xdr:cNvPr>
        <xdr:cNvSpPr/>
      </xdr:nvSpPr>
      <xdr:spPr>
        <a:xfrm>
          <a:off x="4233960" y="33065280"/>
          <a:ext cx="1611360" cy="76176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前期高齢者納付金・</a:t>
          </a:r>
          <a:endParaRPr lang="en-US" sz="1000" b="0" strike="noStrike" spc="-1">
            <a:latin typeface="Times New Roman"/>
          </a:endParaRPr>
        </a:p>
        <a:p>
          <a:pPr algn="ctr"/>
          <a:r>
            <a:rPr lang="zh-CN" sz="1000" b="0" strike="noStrike" spc="-1">
              <a:solidFill>
                <a:srgbClr val="000000"/>
              </a:solidFill>
              <a:latin typeface="ＭＳ 明朝"/>
            </a:rPr>
            <a:t>後期高齢者支援金</a:t>
          </a:r>
          <a:endParaRPr lang="en-US" sz="1000" b="0" strike="noStrike" spc="-1">
            <a:latin typeface="Times New Roman"/>
          </a:endParaRPr>
        </a:p>
        <a:p>
          <a:pPr algn="ctr"/>
          <a:r>
            <a:rPr lang="en-US" sz="1000" b="0" strike="noStrike" spc="-1">
              <a:solidFill>
                <a:srgbClr val="000000"/>
              </a:solidFill>
              <a:latin typeface="ＭＳ 明朝"/>
            </a:rPr>
            <a:t>230,992</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36.37%</a:t>
          </a:r>
          <a:endParaRPr lang="en-US" sz="1000" b="0" strike="noStrike" spc="-1">
            <a:latin typeface="Times New Roman"/>
          </a:endParaRPr>
        </a:p>
      </xdr:txBody>
    </xdr:sp>
    <xdr:clientData/>
  </xdr:twoCellAnchor>
  <xdr:twoCellAnchor editAs="oneCell">
    <xdr:from>
      <xdr:col>23</xdr:col>
      <xdr:colOff>22320</xdr:colOff>
      <xdr:row>117</xdr:row>
      <xdr:rowOff>209160</xdr:rowOff>
    </xdr:from>
    <xdr:to>
      <xdr:col>37</xdr:col>
      <xdr:colOff>44640</xdr:colOff>
      <xdr:row>118</xdr:row>
      <xdr:rowOff>190800</xdr:rowOff>
    </xdr:to>
    <xdr:sp macro="" textlink="">
      <xdr:nvSpPr>
        <xdr:cNvPr id="24" name="Line 3095">
          <a:extLst>
            <a:ext uri="{FF2B5EF4-FFF2-40B4-BE49-F238E27FC236}">
              <a16:creationId xmlns:a16="http://schemas.microsoft.com/office/drawing/2014/main" id="{00000000-0008-0000-0700-000018000000}"/>
            </a:ext>
          </a:extLst>
        </xdr:cNvPr>
        <xdr:cNvSpPr/>
      </xdr:nvSpPr>
      <xdr:spPr>
        <a:xfrm>
          <a:off x="1044720" y="31931280"/>
          <a:ext cx="644400" cy="21960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88</xdr:col>
      <xdr:colOff>21960</xdr:colOff>
      <xdr:row>118</xdr:row>
      <xdr:rowOff>162000</xdr:rowOff>
    </xdr:from>
    <xdr:to>
      <xdr:col>111</xdr:col>
      <xdr:colOff>11160</xdr:colOff>
      <xdr:row>121</xdr:row>
      <xdr:rowOff>143280</xdr:rowOff>
    </xdr:to>
    <xdr:sp macro="" textlink="">
      <xdr:nvSpPr>
        <xdr:cNvPr id="25" name="Text Box 3098">
          <a:extLst>
            <a:ext uri="{FF2B5EF4-FFF2-40B4-BE49-F238E27FC236}">
              <a16:creationId xmlns:a16="http://schemas.microsoft.com/office/drawing/2014/main" id="{00000000-0008-0000-0700-000019000000}"/>
            </a:ext>
          </a:extLst>
        </xdr:cNvPr>
        <xdr:cNvSpPr/>
      </xdr:nvSpPr>
      <xdr:spPr>
        <a:xfrm>
          <a:off x="3933720" y="32122080"/>
          <a:ext cx="1011240" cy="6958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次年度繰越</a:t>
          </a:r>
          <a:endParaRPr lang="en-US" sz="1000" b="0" strike="noStrike" spc="-1">
            <a:latin typeface="Times New Roman"/>
          </a:endParaRPr>
        </a:p>
        <a:p>
          <a:pPr algn="ctr"/>
          <a:r>
            <a:rPr lang="zh-CN" sz="1000" b="0" strike="noStrike" spc="-1">
              <a:solidFill>
                <a:srgbClr val="000000"/>
              </a:solidFill>
              <a:latin typeface="ＭＳ 明朝"/>
            </a:rPr>
            <a:t>支払準備金</a:t>
          </a:r>
          <a:endParaRPr lang="en-US" sz="1000" b="0" strike="noStrike" spc="-1">
            <a:latin typeface="Times New Roman"/>
          </a:endParaRPr>
        </a:p>
        <a:p>
          <a:pPr algn="ctr"/>
          <a:r>
            <a:rPr lang="en-US" sz="1000" b="0" strike="noStrike" spc="-1">
              <a:solidFill>
                <a:srgbClr val="000000"/>
              </a:solidFill>
              <a:latin typeface="ＭＳ 明朝"/>
            </a:rPr>
            <a:t>47,625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7.50%</a:t>
          </a:r>
          <a:endParaRPr lang="en-US" sz="1000" b="0" strike="noStrike" spc="-1">
            <a:latin typeface="Times New Roman"/>
          </a:endParaRPr>
        </a:p>
      </xdr:txBody>
    </xdr:sp>
    <xdr:clientData/>
  </xdr:twoCellAnchor>
  <xdr:twoCellAnchor editAs="oneCell">
    <xdr:from>
      <xdr:col>111</xdr:col>
      <xdr:colOff>0</xdr:colOff>
      <xdr:row>119</xdr:row>
      <xdr:rowOff>47160</xdr:rowOff>
    </xdr:from>
    <xdr:to>
      <xdr:col>124</xdr:col>
      <xdr:colOff>33120</xdr:colOff>
      <xdr:row>119</xdr:row>
      <xdr:rowOff>132480</xdr:rowOff>
    </xdr:to>
    <xdr:sp macro="" textlink="">
      <xdr:nvSpPr>
        <xdr:cNvPr id="26" name="Line 3099">
          <a:extLst>
            <a:ext uri="{FF2B5EF4-FFF2-40B4-BE49-F238E27FC236}">
              <a16:creationId xmlns:a16="http://schemas.microsoft.com/office/drawing/2014/main" id="{00000000-0008-0000-0700-00001A000000}"/>
            </a:ext>
          </a:extLst>
        </xdr:cNvPr>
        <xdr:cNvSpPr/>
      </xdr:nvSpPr>
      <xdr:spPr>
        <a:xfrm flipV="1">
          <a:off x="4933800" y="32245560"/>
          <a:ext cx="611280" cy="8532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95</xdr:col>
      <xdr:colOff>11160</xdr:colOff>
      <xdr:row>116</xdr:row>
      <xdr:rowOff>38160</xdr:rowOff>
    </xdr:from>
    <xdr:to>
      <xdr:col>115</xdr:col>
      <xdr:colOff>22320</xdr:colOff>
      <xdr:row>118</xdr:row>
      <xdr:rowOff>85680</xdr:rowOff>
    </xdr:to>
    <xdr:sp macro="" textlink="">
      <xdr:nvSpPr>
        <xdr:cNvPr id="27" name="Text Box 3100">
          <a:extLst>
            <a:ext uri="{FF2B5EF4-FFF2-40B4-BE49-F238E27FC236}">
              <a16:creationId xmlns:a16="http://schemas.microsoft.com/office/drawing/2014/main" id="{00000000-0008-0000-0700-00001B000000}"/>
            </a:ext>
          </a:extLst>
        </xdr:cNvPr>
        <xdr:cNvSpPr/>
      </xdr:nvSpPr>
      <xdr:spPr>
        <a:xfrm>
          <a:off x="4233960" y="31521960"/>
          <a:ext cx="900000" cy="5238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附加給付</a:t>
          </a:r>
          <a:endParaRPr lang="en-US" sz="1000" b="0" strike="noStrike" spc="-1">
            <a:latin typeface="Times New Roman"/>
          </a:endParaRPr>
        </a:p>
        <a:p>
          <a:pPr algn="ctr"/>
          <a:r>
            <a:rPr lang="en-US" sz="1000" b="0" strike="noStrike" spc="-1">
              <a:solidFill>
                <a:srgbClr val="000000"/>
              </a:solidFill>
              <a:latin typeface="ＭＳ 明朝"/>
            </a:rPr>
            <a:t>1,907</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0.30%</a:t>
          </a:r>
          <a:endParaRPr lang="en-US" sz="1000" b="0" strike="noStrike" spc="-1">
            <a:latin typeface="Times New Roman"/>
          </a:endParaRPr>
        </a:p>
      </xdr:txBody>
    </xdr:sp>
    <xdr:clientData/>
  </xdr:twoCellAnchor>
  <xdr:twoCellAnchor editAs="oneCell">
    <xdr:from>
      <xdr:col>116</xdr:col>
      <xdr:colOff>11160</xdr:colOff>
      <xdr:row>114</xdr:row>
      <xdr:rowOff>76320</xdr:rowOff>
    </xdr:from>
    <xdr:to>
      <xdr:col>132</xdr:col>
      <xdr:colOff>33480</xdr:colOff>
      <xdr:row>116</xdr:row>
      <xdr:rowOff>123840</xdr:rowOff>
    </xdr:to>
    <xdr:sp macro="" textlink="">
      <xdr:nvSpPr>
        <xdr:cNvPr id="28" name="Text Box 3101">
          <a:extLst>
            <a:ext uri="{FF2B5EF4-FFF2-40B4-BE49-F238E27FC236}">
              <a16:creationId xmlns:a16="http://schemas.microsoft.com/office/drawing/2014/main" id="{00000000-0008-0000-0700-00001C000000}"/>
            </a:ext>
          </a:extLst>
        </xdr:cNvPr>
        <xdr:cNvSpPr/>
      </xdr:nvSpPr>
      <xdr:spPr>
        <a:xfrm>
          <a:off x="5167440" y="31083840"/>
          <a:ext cx="733320" cy="5238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その他</a:t>
          </a:r>
          <a:endParaRPr lang="en-US" sz="1000" b="0" strike="noStrike" spc="-1">
            <a:latin typeface="Times New Roman"/>
          </a:endParaRPr>
        </a:p>
        <a:p>
          <a:pPr algn="ctr"/>
          <a:r>
            <a:rPr lang="en-US" sz="1000" b="0" strike="noStrike" spc="-1">
              <a:solidFill>
                <a:srgbClr val="000000"/>
              </a:solidFill>
              <a:latin typeface="ＭＳ 明朝"/>
            </a:rPr>
            <a:t>39,357</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6.20%</a:t>
          </a:r>
          <a:endParaRPr lang="en-US" sz="1000" b="0" strike="noStrike" spc="-1">
            <a:latin typeface="Times New Roman"/>
          </a:endParaRPr>
        </a:p>
      </xdr:txBody>
    </xdr:sp>
    <xdr:clientData/>
  </xdr:twoCellAnchor>
  <xdr:twoCellAnchor editAs="oneCell">
    <xdr:from>
      <xdr:col>134</xdr:col>
      <xdr:colOff>22320</xdr:colOff>
      <xdr:row>113</xdr:row>
      <xdr:rowOff>114480</xdr:rowOff>
    </xdr:from>
    <xdr:to>
      <xdr:col>157</xdr:col>
      <xdr:colOff>33480</xdr:colOff>
      <xdr:row>116</xdr:row>
      <xdr:rowOff>105120</xdr:rowOff>
    </xdr:to>
    <xdr:sp macro="" textlink="">
      <xdr:nvSpPr>
        <xdr:cNvPr id="29" name="Text Box 3102">
          <a:extLst>
            <a:ext uri="{FF2B5EF4-FFF2-40B4-BE49-F238E27FC236}">
              <a16:creationId xmlns:a16="http://schemas.microsoft.com/office/drawing/2014/main" id="{00000000-0008-0000-0700-00001D000000}"/>
            </a:ext>
          </a:extLst>
        </xdr:cNvPr>
        <xdr:cNvSpPr/>
      </xdr:nvSpPr>
      <xdr:spPr>
        <a:xfrm>
          <a:off x="5978520" y="30884040"/>
          <a:ext cx="1033560" cy="7048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一部負担金</a:t>
          </a:r>
          <a:endParaRPr lang="en-US" sz="1000" b="0" strike="noStrike" spc="-1">
            <a:latin typeface="Times New Roman"/>
          </a:endParaRPr>
        </a:p>
        <a:p>
          <a:pPr algn="ctr"/>
          <a:r>
            <a:rPr lang="zh-CN" sz="1000" b="0" strike="noStrike" spc="-1">
              <a:solidFill>
                <a:srgbClr val="000000"/>
              </a:solidFill>
              <a:latin typeface="ＭＳ 明朝"/>
            </a:rPr>
            <a:t>払戻金</a:t>
          </a:r>
          <a:endParaRPr lang="en-US" sz="1000" b="0" strike="noStrike" spc="-1">
            <a:latin typeface="Times New Roman"/>
          </a:endParaRPr>
        </a:p>
        <a:p>
          <a:pPr algn="ctr"/>
          <a:r>
            <a:rPr lang="en-US" sz="1000" b="0" strike="noStrike" spc="-1">
              <a:solidFill>
                <a:srgbClr val="000000"/>
              </a:solidFill>
              <a:latin typeface="ＭＳ 明朝"/>
            </a:rPr>
            <a:t>4,359</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0.68%</a:t>
          </a:r>
          <a:endParaRPr lang="en-US" sz="1000" b="0" strike="noStrike" spc="-1">
            <a:latin typeface="Times New Roman"/>
          </a:endParaRPr>
        </a:p>
      </xdr:txBody>
    </xdr:sp>
    <xdr:clientData/>
  </xdr:twoCellAnchor>
  <xdr:twoCellAnchor editAs="oneCell">
    <xdr:from>
      <xdr:col>116</xdr:col>
      <xdr:colOff>11160</xdr:colOff>
      <xdr:row>117</xdr:row>
      <xdr:rowOff>47520</xdr:rowOff>
    </xdr:from>
    <xdr:to>
      <xdr:col>130</xdr:col>
      <xdr:colOff>33480</xdr:colOff>
      <xdr:row>117</xdr:row>
      <xdr:rowOff>219600</xdr:rowOff>
    </xdr:to>
    <xdr:sp macro="" textlink="">
      <xdr:nvSpPr>
        <xdr:cNvPr id="30" name="Line 3103">
          <a:extLst>
            <a:ext uri="{FF2B5EF4-FFF2-40B4-BE49-F238E27FC236}">
              <a16:creationId xmlns:a16="http://schemas.microsoft.com/office/drawing/2014/main" id="{00000000-0008-0000-0700-00001E000000}"/>
            </a:ext>
          </a:extLst>
        </xdr:cNvPr>
        <xdr:cNvSpPr/>
      </xdr:nvSpPr>
      <xdr:spPr>
        <a:xfrm>
          <a:off x="5167440" y="31769640"/>
          <a:ext cx="644400" cy="1720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142</xdr:col>
      <xdr:colOff>22320</xdr:colOff>
      <xdr:row>116</xdr:row>
      <xdr:rowOff>105120</xdr:rowOff>
    </xdr:from>
    <xdr:to>
      <xdr:col>143</xdr:col>
      <xdr:colOff>21960</xdr:colOff>
      <xdr:row>117</xdr:row>
      <xdr:rowOff>199800</xdr:rowOff>
    </xdr:to>
    <xdr:sp macro="" textlink="">
      <xdr:nvSpPr>
        <xdr:cNvPr id="31" name="Line 3104">
          <a:extLst>
            <a:ext uri="{FF2B5EF4-FFF2-40B4-BE49-F238E27FC236}">
              <a16:creationId xmlns:a16="http://schemas.microsoft.com/office/drawing/2014/main" id="{00000000-0008-0000-0700-00001F000000}"/>
            </a:ext>
          </a:extLst>
        </xdr:cNvPr>
        <xdr:cNvSpPr/>
      </xdr:nvSpPr>
      <xdr:spPr>
        <a:xfrm>
          <a:off x="6334200" y="31588920"/>
          <a:ext cx="44280" cy="33300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158</xdr:col>
      <xdr:colOff>21960</xdr:colOff>
      <xdr:row>114</xdr:row>
      <xdr:rowOff>219600</xdr:rowOff>
    </xdr:from>
    <xdr:to>
      <xdr:col>186</xdr:col>
      <xdr:colOff>11160</xdr:colOff>
      <xdr:row>117</xdr:row>
      <xdr:rowOff>94680</xdr:rowOff>
    </xdr:to>
    <xdr:sp macro="" textlink="">
      <xdr:nvSpPr>
        <xdr:cNvPr id="32" name="Text Box 3105">
          <a:extLst>
            <a:ext uri="{FF2B5EF4-FFF2-40B4-BE49-F238E27FC236}">
              <a16:creationId xmlns:a16="http://schemas.microsoft.com/office/drawing/2014/main" id="{00000000-0008-0000-0700-000020000000}"/>
            </a:ext>
          </a:extLst>
        </xdr:cNvPr>
        <xdr:cNvSpPr/>
      </xdr:nvSpPr>
      <xdr:spPr>
        <a:xfrm>
          <a:off x="7045200" y="31227120"/>
          <a:ext cx="1233720" cy="5896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業務経理へ繰入</a:t>
          </a:r>
          <a:endParaRPr lang="en-US" sz="1000" b="0" strike="noStrike" spc="-1">
            <a:latin typeface="Times New Roman"/>
          </a:endParaRPr>
        </a:p>
        <a:p>
          <a:pPr algn="ctr"/>
          <a:r>
            <a:rPr lang="en-US" sz="1000" b="0" strike="noStrike" spc="-1">
              <a:solidFill>
                <a:srgbClr val="000000"/>
              </a:solidFill>
              <a:latin typeface="ＭＳ 明朝"/>
            </a:rPr>
            <a:t>621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0.10%</a:t>
          </a:r>
          <a:endParaRPr lang="en-US" sz="1000" b="0" strike="noStrike" spc="-1">
            <a:latin typeface="Times New Roman"/>
          </a:endParaRPr>
        </a:p>
      </xdr:txBody>
    </xdr:sp>
    <xdr:clientData/>
  </xdr:twoCellAnchor>
  <xdr:twoCellAnchor editAs="oneCell">
    <xdr:from>
      <xdr:col>54</xdr:col>
      <xdr:colOff>10440</xdr:colOff>
      <xdr:row>116</xdr:row>
      <xdr:rowOff>56880</xdr:rowOff>
    </xdr:from>
    <xdr:to>
      <xdr:col>68</xdr:col>
      <xdr:colOff>33120</xdr:colOff>
      <xdr:row>117</xdr:row>
      <xdr:rowOff>143280</xdr:rowOff>
    </xdr:to>
    <xdr:sp macro="" textlink="">
      <xdr:nvSpPr>
        <xdr:cNvPr id="33" name="Line 3109">
          <a:extLst>
            <a:ext uri="{FF2B5EF4-FFF2-40B4-BE49-F238E27FC236}">
              <a16:creationId xmlns:a16="http://schemas.microsoft.com/office/drawing/2014/main" id="{00000000-0008-0000-0700-000021000000}"/>
            </a:ext>
          </a:extLst>
        </xdr:cNvPr>
        <xdr:cNvSpPr/>
      </xdr:nvSpPr>
      <xdr:spPr>
        <a:xfrm flipH="1">
          <a:off x="2410920" y="31540680"/>
          <a:ext cx="644760" cy="32472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39</xdr:col>
      <xdr:colOff>11160</xdr:colOff>
      <xdr:row>114</xdr:row>
      <xdr:rowOff>209520</xdr:rowOff>
    </xdr:from>
    <xdr:to>
      <xdr:col>48</xdr:col>
      <xdr:colOff>44280</xdr:colOff>
      <xdr:row>117</xdr:row>
      <xdr:rowOff>209160</xdr:rowOff>
    </xdr:to>
    <xdr:sp macro="" textlink="">
      <xdr:nvSpPr>
        <xdr:cNvPr id="34" name="Line 3110">
          <a:extLst>
            <a:ext uri="{FF2B5EF4-FFF2-40B4-BE49-F238E27FC236}">
              <a16:creationId xmlns:a16="http://schemas.microsoft.com/office/drawing/2014/main" id="{00000000-0008-0000-0700-000022000000}"/>
            </a:ext>
          </a:extLst>
        </xdr:cNvPr>
        <xdr:cNvSpPr/>
      </xdr:nvSpPr>
      <xdr:spPr>
        <a:xfrm>
          <a:off x="1744560" y="31217040"/>
          <a:ext cx="433440" cy="71424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33</xdr:row>
      <xdr:rowOff>9000</xdr:rowOff>
    </xdr:from>
    <xdr:to>
      <xdr:col>50</xdr:col>
      <xdr:colOff>44280</xdr:colOff>
      <xdr:row>35</xdr:row>
      <xdr:rowOff>9000</xdr:rowOff>
    </xdr:to>
    <xdr:sp macro="" textlink="">
      <xdr:nvSpPr>
        <xdr:cNvPr id="35" name="Line 3075">
          <a:extLst>
            <a:ext uri="{FF2B5EF4-FFF2-40B4-BE49-F238E27FC236}">
              <a16:creationId xmlns:a16="http://schemas.microsoft.com/office/drawing/2014/main" id="{00000000-0008-0000-0700-000023000000}"/>
            </a:ext>
          </a:extLst>
        </xdr:cNvPr>
        <xdr:cNvSpPr/>
      </xdr:nvSpPr>
      <xdr:spPr>
        <a:xfrm>
          <a:off x="0" y="7598520"/>
          <a:ext cx="2266920" cy="5144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46</xdr:row>
      <xdr:rowOff>9360</xdr:rowOff>
    </xdr:from>
    <xdr:to>
      <xdr:col>50</xdr:col>
      <xdr:colOff>44280</xdr:colOff>
      <xdr:row>48</xdr:row>
      <xdr:rowOff>9720</xdr:rowOff>
    </xdr:to>
    <xdr:sp macro="" textlink="">
      <xdr:nvSpPr>
        <xdr:cNvPr id="36" name="Line 3078">
          <a:extLst>
            <a:ext uri="{FF2B5EF4-FFF2-40B4-BE49-F238E27FC236}">
              <a16:creationId xmlns:a16="http://schemas.microsoft.com/office/drawing/2014/main" id="{00000000-0008-0000-0700-000024000000}"/>
            </a:ext>
          </a:extLst>
        </xdr:cNvPr>
        <xdr:cNvSpPr/>
      </xdr:nvSpPr>
      <xdr:spPr>
        <a:xfrm>
          <a:off x="0" y="10666080"/>
          <a:ext cx="2266920" cy="4953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79</xdr:row>
      <xdr:rowOff>10080</xdr:rowOff>
    </xdr:from>
    <xdr:to>
      <xdr:col>50</xdr:col>
      <xdr:colOff>44280</xdr:colOff>
      <xdr:row>81</xdr:row>
      <xdr:rowOff>9360</xdr:rowOff>
    </xdr:to>
    <xdr:sp macro="" textlink="">
      <xdr:nvSpPr>
        <xdr:cNvPr id="37" name="Line 3080">
          <a:extLst>
            <a:ext uri="{FF2B5EF4-FFF2-40B4-BE49-F238E27FC236}">
              <a16:creationId xmlns:a16="http://schemas.microsoft.com/office/drawing/2014/main" id="{00000000-0008-0000-0700-000025000000}"/>
            </a:ext>
          </a:extLst>
        </xdr:cNvPr>
        <xdr:cNvSpPr/>
      </xdr:nvSpPr>
      <xdr:spPr>
        <a:xfrm>
          <a:off x="0" y="20639160"/>
          <a:ext cx="2266920" cy="51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69</xdr:col>
      <xdr:colOff>0</xdr:colOff>
      <xdr:row>114</xdr:row>
      <xdr:rowOff>200160</xdr:rowOff>
    </xdr:from>
    <xdr:to>
      <xdr:col>87</xdr:col>
      <xdr:colOff>22320</xdr:colOff>
      <xdr:row>117</xdr:row>
      <xdr:rowOff>28800</xdr:rowOff>
    </xdr:to>
    <xdr:sp macro="" textlink="">
      <xdr:nvSpPr>
        <xdr:cNvPr id="38" name="Text Box 3090">
          <a:extLst>
            <a:ext uri="{FF2B5EF4-FFF2-40B4-BE49-F238E27FC236}">
              <a16:creationId xmlns:a16="http://schemas.microsoft.com/office/drawing/2014/main" id="{00000000-0008-0000-0700-000026000000}"/>
            </a:ext>
          </a:extLst>
        </xdr:cNvPr>
        <xdr:cNvSpPr/>
      </xdr:nvSpPr>
      <xdr:spPr>
        <a:xfrm>
          <a:off x="3067200" y="31207680"/>
          <a:ext cx="822240" cy="54324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その他</a:t>
          </a:r>
          <a:endParaRPr lang="en-US" sz="1000" b="0" strike="noStrike" spc="-1">
            <a:latin typeface="Times New Roman"/>
          </a:endParaRPr>
        </a:p>
        <a:p>
          <a:pPr algn="ctr"/>
          <a:r>
            <a:rPr lang="en-US" sz="1000" b="0" strike="noStrike" spc="-1">
              <a:solidFill>
                <a:srgbClr val="000000"/>
              </a:solidFill>
              <a:latin typeface="ＭＳ 明朝"/>
            </a:rPr>
            <a:t>555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0.08%</a:t>
          </a: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53</xdr:col>
      <xdr:colOff>21960</xdr:colOff>
      <xdr:row>114</xdr:row>
      <xdr:rowOff>190800</xdr:rowOff>
    </xdr:from>
    <xdr:to>
      <xdr:col>61</xdr:col>
      <xdr:colOff>43920</xdr:colOff>
      <xdr:row>117</xdr:row>
      <xdr:rowOff>94680</xdr:rowOff>
    </xdr:to>
    <xdr:sp macro="" textlink="">
      <xdr:nvSpPr>
        <xdr:cNvPr id="39" name="Line 3110">
          <a:extLst>
            <a:ext uri="{FF2B5EF4-FFF2-40B4-BE49-F238E27FC236}">
              <a16:creationId xmlns:a16="http://schemas.microsoft.com/office/drawing/2014/main" id="{00000000-0008-0000-0700-000027000000}"/>
            </a:ext>
          </a:extLst>
        </xdr:cNvPr>
        <xdr:cNvSpPr/>
      </xdr:nvSpPr>
      <xdr:spPr>
        <a:xfrm flipH="1">
          <a:off x="2377800" y="31198320"/>
          <a:ext cx="377640" cy="6184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xdr:row>
      <xdr:rowOff>9000</xdr:rowOff>
    </xdr:from>
    <xdr:to>
      <xdr:col>50</xdr:col>
      <xdr:colOff>44280</xdr:colOff>
      <xdr:row>4</xdr:row>
      <xdr:rowOff>9000</xdr:rowOff>
    </xdr:to>
    <xdr:sp macro="" textlink="">
      <xdr:nvSpPr>
        <xdr:cNvPr id="40" name="Line 3073">
          <a:extLst>
            <a:ext uri="{FF2B5EF4-FFF2-40B4-BE49-F238E27FC236}">
              <a16:creationId xmlns:a16="http://schemas.microsoft.com/office/drawing/2014/main" id="{00000000-0008-0000-0700-000028000000}"/>
            </a:ext>
          </a:extLst>
        </xdr:cNvPr>
        <xdr:cNvSpPr/>
      </xdr:nvSpPr>
      <xdr:spPr>
        <a:xfrm>
          <a:off x="0" y="454680"/>
          <a:ext cx="2266920" cy="5144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5.xml><?xml version="1.0" encoding="utf-8"?>
<c:userShapes xmlns:c="http://schemas.openxmlformats.org/drawingml/2006/chart">
  <cdr:relSizeAnchor xmlns:cdr="http://schemas.openxmlformats.org/drawingml/2006/chartDrawing">
    <cdr:from>
      <cdr:x>0.57225</cdr:x>
      <cdr:y>0.24</cdr:y>
    </cdr:from>
    <cdr:to>
      <cdr:x>0.69598</cdr:x>
      <cdr:y>0.29304</cdr:y>
    </cdr:to>
    <cdr:sp macro="" textlink="">
      <cdr:nvSpPr>
        <cdr:cNvPr id="16" name="Line 3104"/>
        <cdr:cNvSpPr/>
      </cdr:nvSpPr>
      <cdr:spPr>
        <a:xfrm xmlns:a="http://schemas.openxmlformats.org/drawingml/2006/main" flipH="1">
          <a:off x="2677320" y="934920"/>
          <a:ext cx="578880" cy="206640"/>
        </a:xfrm>
        <a:prstGeom xmlns:a="http://schemas.openxmlformats.org/drawingml/2006/main" prst="line">
          <a:avLst/>
        </a:prstGeom>
        <a:ln xmlns:a="http://schemas.openxmlformats.org/drawingml/2006/main" w="9360">
          <a:solidFill>
            <a:srgbClr val="000000"/>
          </a:solidFill>
          <a:miter/>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cdr:style>
    </cdr:sp>
  </cdr:relSizeAnchor>
</c:userShapes>
</file>

<file path=xl/drawings/drawing6.xml><?xml version="1.0" encoding="utf-8"?>
<xdr:wsDr xmlns:xdr="http://schemas.openxmlformats.org/drawingml/2006/spreadsheetDrawing" xmlns:a="http://schemas.openxmlformats.org/drawingml/2006/main">
  <xdr:twoCellAnchor editAs="oneCell">
    <xdr:from>
      <xdr:col>0</xdr:col>
      <xdr:colOff>0</xdr:colOff>
      <xdr:row>52</xdr:row>
      <xdr:rowOff>0</xdr:rowOff>
    </xdr:from>
    <xdr:to>
      <xdr:col>12</xdr:col>
      <xdr:colOff>11160</xdr:colOff>
      <xdr:row>53</xdr:row>
      <xdr:rowOff>219240</xdr:rowOff>
    </xdr:to>
    <xdr:sp macro="" textlink="">
      <xdr:nvSpPr>
        <xdr:cNvPr id="41" name="Line 52">
          <a:extLst>
            <a:ext uri="{FF2B5EF4-FFF2-40B4-BE49-F238E27FC236}">
              <a16:creationId xmlns:a16="http://schemas.microsoft.com/office/drawing/2014/main" id="{00000000-0008-0000-0A00-000029000000}"/>
            </a:ext>
          </a:extLst>
        </xdr:cNvPr>
        <xdr:cNvSpPr/>
      </xdr:nvSpPr>
      <xdr:spPr>
        <a:xfrm>
          <a:off x="0" y="10689120"/>
          <a:ext cx="180900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29</xdr:row>
      <xdr:rowOff>0</xdr:rowOff>
    </xdr:from>
    <xdr:to>
      <xdr:col>12</xdr:col>
      <xdr:colOff>11160</xdr:colOff>
      <xdr:row>30</xdr:row>
      <xdr:rowOff>218880</xdr:rowOff>
    </xdr:to>
    <xdr:sp macro="" textlink="">
      <xdr:nvSpPr>
        <xdr:cNvPr id="42" name="Line 14">
          <a:extLst>
            <a:ext uri="{FF2B5EF4-FFF2-40B4-BE49-F238E27FC236}">
              <a16:creationId xmlns:a16="http://schemas.microsoft.com/office/drawing/2014/main" id="{00000000-0008-0000-0A00-00002A000000}"/>
            </a:ext>
          </a:extLst>
        </xdr:cNvPr>
        <xdr:cNvSpPr/>
      </xdr:nvSpPr>
      <xdr:spPr>
        <a:xfrm>
          <a:off x="11160" y="5447520"/>
          <a:ext cx="179784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44</xdr:row>
      <xdr:rowOff>48240</xdr:rowOff>
    </xdr:from>
    <xdr:to>
      <xdr:col>12</xdr:col>
      <xdr:colOff>11160</xdr:colOff>
      <xdr:row>45</xdr:row>
      <xdr:rowOff>219240</xdr:rowOff>
    </xdr:to>
    <xdr:sp macro="" textlink="">
      <xdr:nvSpPr>
        <xdr:cNvPr id="43" name="Line 14">
          <a:extLst>
            <a:ext uri="{FF2B5EF4-FFF2-40B4-BE49-F238E27FC236}">
              <a16:creationId xmlns:a16="http://schemas.microsoft.com/office/drawing/2014/main" id="{00000000-0008-0000-0A00-00002B000000}"/>
            </a:ext>
          </a:extLst>
        </xdr:cNvPr>
        <xdr:cNvSpPr/>
      </xdr:nvSpPr>
      <xdr:spPr>
        <a:xfrm>
          <a:off x="11160" y="8800920"/>
          <a:ext cx="1797840" cy="3902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37</xdr:row>
      <xdr:rowOff>0</xdr:rowOff>
    </xdr:from>
    <xdr:to>
      <xdr:col>12</xdr:col>
      <xdr:colOff>11160</xdr:colOff>
      <xdr:row>38</xdr:row>
      <xdr:rowOff>219240</xdr:rowOff>
    </xdr:to>
    <xdr:sp macro="" textlink="">
      <xdr:nvSpPr>
        <xdr:cNvPr id="44" name="Line 52">
          <a:extLst>
            <a:ext uri="{FF2B5EF4-FFF2-40B4-BE49-F238E27FC236}">
              <a16:creationId xmlns:a16="http://schemas.microsoft.com/office/drawing/2014/main" id="{00000000-0008-0000-0B00-00002C000000}"/>
            </a:ext>
          </a:extLst>
        </xdr:cNvPr>
        <xdr:cNvSpPr/>
      </xdr:nvSpPr>
      <xdr:spPr>
        <a:xfrm>
          <a:off x="0" y="7832160"/>
          <a:ext cx="180900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16</xdr:row>
      <xdr:rowOff>0</xdr:rowOff>
    </xdr:from>
    <xdr:to>
      <xdr:col>12</xdr:col>
      <xdr:colOff>11160</xdr:colOff>
      <xdr:row>17</xdr:row>
      <xdr:rowOff>219240</xdr:rowOff>
    </xdr:to>
    <xdr:sp macro="" textlink="">
      <xdr:nvSpPr>
        <xdr:cNvPr id="45" name="Line 14">
          <a:extLst>
            <a:ext uri="{FF2B5EF4-FFF2-40B4-BE49-F238E27FC236}">
              <a16:creationId xmlns:a16="http://schemas.microsoft.com/office/drawing/2014/main" id="{00000000-0008-0000-0B00-00002D000000}"/>
            </a:ext>
          </a:extLst>
        </xdr:cNvPr>
        <xdr:cNvSpPr/>
      </xdr:nvSpPr>
      <xdr:spPr>
        <a:xfrm>
          <a:off x="11160" y="3029040"/>
          <a:ext cx="179784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29</xdr:row>
      <xdr:rowOff>47880</xdr:rowOff>
    </xdr:from>
    <xdr:to>
      <xdr:col>12</xdr:col>
      <xdr:colOff>11160</xdr:colOff>
      <xdr:row>30</xdr:row>
      <xdr:rowOff>219240</xdr:rowOff>
    </xdr:to>
    <xdr:sp macro="" textlink="">
      <xdr:nvSpPr>
        <xdr:cNvPr id="46" name="Line 14">
          <a:extLst>
            <a:ext uri="{FF2B5EF4-FFF2-40B4-BE49-F238E27FC236}">
              <a16:creationId xmlns:a16="http://schemas.microsoft.com/office/drawing/2014/main" id="{00000000-0008-0000-0B00-00002E000000}"/>
            </a:ext>
          </a:extLst>
        </xdr:cNvPr>
        <xdr:cNvSpPr/>
      </xdr:nvSpPr>
      <xdr:spPr>
        <a:xfrm>
          <a:off x="11160" y="5943960"/>
          <a:ext cx="1797840" cy="3902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40</xdr:row>
      <xdr:rowOff>0</xdr:rowOff>
    </xdr:from>
    <xdr:to>
      <xdr:col>12</xdr:col>
      <xdr:colOff>11160</xdr:colOff>
      <xdr:row>41</xdr:row>
      <xdr:rowOff>317160</xdr:rowOff>
    </xdr:to>
    <xdr:sp macro="" textlink="">
      <xdr:nvSpPr>
        <xdr:cNvPr id="47" name="Line 52">
          <a:extLst>
            <a:ext uri="{FF2B5EF4-FFF2-40B4-BE49-F238E27FC236}">
              <a16:creationId xmlns:a16="http://schemas.microsoft.com/office/drawing/2014/main" id="{00000000-0008-0000-0C00-00002F000000}"/>
            </a:ext>
          </a:extLst>
        </xdr:cNvPr>
        <xdr:cNvSpPr/>
      </xdr:nvSpPr>
      <xdr:spPr>
        <a:xfrm>
          <a:off x="0" y="9105840"/>
          <a:ext cx="1876320" cy="6339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22</xdr:row>
      <xdr:rowOff>0</xdr:rowOff>
    </xdr:from>
    <xdr:to>
      <xdr:col>12</xdr:col>
      <xdr:colOff>11160</xdr:colOff>
      <xdr:row>23</xdr:row>
      <xdr:rowOff>255240</xdr:rowOff>
    </xdr:to>
    <xdr:sp macro="" textlink="">
      <xdr:nvSpPr>
        <xdr:cNvPr id="48" name="Line 14">
          <a:extLst>
            <a:ext uri="{FF2B5EF4-FFF2-40B4-BE49-F238E27FC236}">
              <a16:creationId xmlns:a16="http://schemas.microsoft.com/office/drawing/2014/main" id="{00000000-0008-0000-0C00-000030000000}"/>
            </a:ext>
          </a:extLst>
        </xdr:cNvPr>
        <xdr:cNvSpPr/>
      </xdr:nvSpPr>
      <xdr:spPr>
        <a:xfrm>
          <a:off x="11160" y="4331880"/>
          <a:ext cx="1865160" cy="5104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34</xdr:row>
      <xdr:rowOff>48240</xdr:rowOff>
    </xdr:from>
    <xdr:to>
      <xdr:col>12</xdr:col>
      <xdr:colOff>11160</xdr:colOff>
      <xdr:row>35</xdr:row>
      <xdr:rowOff>228600</xdr:rowOff>
    </xdr:to>
    <xdr:sp macro="" textlink="">
      <xdr:nvSpPr>
        <xdr:cNvPr id="49" name="Line 14">
          <a:extLst>
            <a:ext uri="{FF2B5EF4-FFF2-40B4-BE49-F238E27FC236}">
              <a16:creationId xmlns:a16="http://schemas.microsoft.com/office/drawing/2014/main" id="{00000000-0008-0000-0C00-000031000000}"/>
            </a:ext>
          </a:extLst>
        </xdr:cNvPr>
        <xdr:cNvSpPr/>
      </xdr:nvSpPr>
      <xdr:spPr>
        <a:xfrm>
          <a:off x="11160" y="7460640"/>
          <a:ext cx="1865160" cy="5230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22320</xdr:colOff>
      <xdr:row>5</xdr:row>
      <xdr:rowOff>0</xdr:rowOff>
    </xdr:from>
    <xdr:to>
      <xdr:col>5</xdr:col>
      <xdr:colOff>1440</xdr:colOff>
      <xdr:row>6</xdr:row>
      <xdr:rowOff>214560</xdr:rowOff>
    </xdr:to>
    <xdr:sp macro="" textlink="">
      <xdr:nvSpPr>
        <xdr:cNvPr id="50" name="Line 5">
          <a:extLst>
            <a:ext uri="{FF2B5EF4-FFF2-40B4-BE49-F238E27FC236}">
              <a16:creationId xmlns:a16="http://schemas.microsoft.com/office/drawing/2014/main" id="{00000000-0008-0000-0D00-000032000000}"/>
            </a:ext>
          </a:extLst>
        </xdr:cNvPr>
        <xdr:cNvSpPr/>
      </xdr:nvSpPr>
      <xdr:spPr>
        <a:xfrm>
          <a:off x="225000" y="1044000"/>
          <a:ext cx="1847880" cy="429120"/>
        </a:xfrm>
        <a:prstGeom prst="line">
          <a:avLst/>
        </a:prstGeom>
        <a:ln w="32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xdr:col>
      <xdr:colOff>22320</xdr:colOff>
      <xdr:row>14</xdr:row>
      <xdr:rowOff>0</xdr:rowOff>
    </xdr:from>
    <xdr:to>
      <xdr:col>5</xdr:col>
      <xdr:colOff>1440</xdr:colOff>
      <xdr:row>15</xdr:row>
      <xdr:rowOff>214560</xdr:rowOff>
    </xdr:to>
    <xdr:sp macro="" textlink="">
      <xdr:nvSpPr>
        <xdr:cNvPr id="51" name="Line 5">
          <a:extLst>
            <a:ext uri="{FF2B5EF4-FFF2-40B4-BE49-F238E27FC236}">
              <a16:creationId xmlns:a16="http://schemas.microsoft.com/office/drawing/2014/main" id="{00000000-0008-0000-0D00-000033000000}"/>
            </a:ext>
          </a:extLst>
        </xdr:cNvPr>
        <xdr:cNvSpPr/>
      </xdr:nvSpPr>
      <xdr:spPr>
        <a:xfrm>
          <a:off x="225000" y="2975760"/>
          <a:ext cx="1847880" cy="429120"/>
        </a:xfrm>
        <a:prstGeom prst="line">
          <a:avLst/>
        </a:prstGeom>
        <a:ln w="32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xdr:col>
      <xdr:colOff>0</xdr:colOff>
      <xdr:row>26</xdr:row>
      <xdr:rowOff>190800</xdr:rowOff>
    </xdr:from>
    <xdr:to>
      <xdr:col>9</xdr:col>
      <xdr:colOff>1647360</xdr:colOff>
      <xdr:row>42</xdr:row>
      <xdr:rowOff>199800</xdr:rowOff>
    </xdr:to>
    <xdr:pic>
      <xdr:nvPicPr>
        <xdr:cNvPr id="52" name="図 4">
          <a:extLst>
            <a:ext uri="{FF2B5EF4-FFF2-40B4-BE49-F238E27FC236}">
              <a16:creationId xmlns:a16="http://schemas.microsoft.com/office/drawing/2014/main" id="{00000000-0008-0000-0D00-000034000000}"/>
            </a:ext>
          </a:extLst>
        </xdr:cNvPr>
        <xdr:cNvPicPr/>
      </xdr:nvPicPr>
      <xdr:blipFill>
        <a:blip xmlns:r="http://schemas.openxmlformats.org/officeDocument/2006/relationships" r:embed="rId1"/>
        <a:stretch/>
      </xdr:blipFill>
      <xdr:spPr>
        <a:xfrm>
          <a:off x="202680" y="5742000"/>
          <a:ext cx="10277640" cy="3361680"/>
        </a:xfrm>
        <a:prstGeom prst="rect">
          <a:avLst/>
        </a:prstGeom>
        <a:ln w="0">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11160</xdr:colOff>
      <xdr:row>24</xdr:row>
      <xdr:rowOff>10080</xdr:rowOff>
    </xdr:from>
    <xdr:to>
      <xdr:col>11</xdr:col>
      <xdr:colOff>146160</xdr:colOff>
      <xdr:row>25</xdr:row>
      <xdr:rowOff>228600</xdr:rowOff>
    </xdr:to>
    <xdr:sp macro="" textlink="">
      <xdr:nvSpPr>
        <xdr:cNvPr id="53" name="Line 69">
          <a:extLst>
            <a:ext uri="{FF2B5EF4-FFF2-40B4-BE49-F238E27FC236}">
              <a16:creationId xmlns:a16="http://schemas.microsoft.com/office/drawing/2014/main" id="{00000000-0008-0000-0F00-000035000000}"/>
            </a:ext>
          </a:extLst>
        </xdr:cNvPr>
        <xdr:cNvSpPr/>
      </xdr:nvSpPr>
      <xdr:spPr>
        <a:xfrm>
          <a:off x="11160" y="6546600"/>
          <a:ext cx="1741680" cy="447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2</xdr:row>
      <xdr:rowOff>19440</xdr:rowOff>
    </xdr:from>
    <xdr:to>
      <xdr:col>11</xdr:col>
      <xdr:colOff>123480</xdr:colOff>
      <xdr:row>3</xdr:row>
      <xdr:rowOff>266760</xdr:rowOff>
    </xdr:to>
    <xdr:sp macro="" textlink="">
      <xdr:nvSpPr>
        <xdr:cNvPr id="54" name="Line 17">
          <a:extLst>
            <a:ext uri="{FF2B5EF4-FFF2-40B4-BE49-F238E27FC236}">
              <a16:creationId xmlns:a16="http://schemas.microsoft.com/office/drawing/2014/main" id="{00000000-0008-0000-1000-000036000000}"/>
            </a:ext>
          </a:extLst>
        </xdr:cNvPr>
        <xdr:cNvSpPr/>
      </xdr:nvSpPr>
      <xdr:spPr>
        <a:xfrm>
          <a:off x="0" y="438480"/>
          <a:ext cx="1775160" cy="4950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20</xdr:row>
      <xdr:rowOff>0</xdr:rowOff>
    </xdr:from>
    <xdr:to>
      <xdr:col>0</xdr:col>
      <xdr:colOff>0</xdr:colOff>
      <xdr:row>20</xdr:row>
      <xdr:rowOff>10080</xdr:rowOff>
    </xdr:to>
    <xdr:sp macro="" textlink="">
      <xdr:nvSpPr>
        <xdr:cNvPr id="55" name="Line 18">
          <a:extLst>
            <a:ext uri="{FF2B5EF4-FFF2-40B4-BE49-F238E27FC236}">
              <a16:creationId xmlns:a16="http://schemas.microsoft.com/office/drawing/2014/main" id="{00000000-0008-0000-1000-000037000000}"/>
            </a:ext>
          </a:extLst>
        </xdr:cNvPr>
        <xdr:cNvSpPr/>
      </xdr:nvSpPr>
      <xdr:spPr>
        <a:xfrm>
          <a:off x="0" y="5267160"/>
          <a:ext cx="0" cy="100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11160</xdr:colOff>
      <xdr:row>17</xdr:row>
      <xdr:rowOff>9720</xdr:rowOff>
    </xdr:from>
    <xdr:to>
      <xdr:col>11</xdr:col>
      <xdr:colOff>146160</xdr:colOff>
      <xdr:row>18</xdr:row>
      <xdr:rowOff>304920</xdr:rowOff>
    </xdr:to>
    <xdr:sp macro="" textlink="">
      <xdr:nvSpPr>
        <xdr:cNvPr id="56" name="Line 14">
          <a:extLst>
            <a:ext uri="{FF2B5EF4-FFF2-40B4-BE49-F238E27FC236}">
              <a16:creationId xmlns:a16="http://schemas.microsoft.com/office/drawing/2014/main" id="{00000000-0008-0000-1100-000038000000}"/>
            </a:ext>
          </a:extLst>
        </xdr:cNvPr>
        <xdr:cNvSpPr/>
      </xdr:nvSpPr>
      <xdr:spPr>
        <a:xfrm>
          <a:off x="11160" y="3492000"/>
          <a:ext cx="1843200" cy="60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36</xdr:row>
      <xdr:rowOff>9360</xdr:rowOff>
    </xdr:from>
    <xdr:to>
      <xdr:col>11</xdr:col>
      <xdr:colOff>146160</xdr:colOff>
      <xdr:row>37</xdr:row>
      <xdr:rowOff>304920</xdr:rowOff>
    </xdr:to>
    <xdr:sp macro="" textlink="">
      <xdr:nvSpPr>
        <xdr:cNvPr id="57" name="Line 48">
          <a:extLst>
            <a:ext uri="{FF2B5EF4-FFF2-40B4-BE49-F238E27FC236}">
              <a16:creationId xmlns:a16="http://schemas.microsoft.com/office/drawing/2014/main" id="{00000000-0008-0000-1100-000039000000}"/>
            </a:ext>
          </a:extLst>
        </xdr:cNvPr>
        <xdr:cNvSpPr/>
      </xdr:nvSpPr>
      <xdr:spPr>
        <a:xfrm>
          <a:off x="11160" y="9401760"/>
          <a:ext cx="1843200" cy="60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43</xdr:row>
      <xdr:rowOff>9360</xdr:rowOff>
    </xdr:from>
    <xdr:to>
      <xdr:col>11</xdr:col>
      <xdr:colOff>146160</xdr:colOff>
      <xdr:row>44</xdr:row>
      <xdr:rowOff>218880</xdr:rowOff>
    </xdr:to>
    <xdr:sp macro="" textlink="">
      <xdr:nvSpPr>
        <xdr:cNvPr id="58" name="Line 52">
          <a:extLst>
            <a:ext uri="{FF2B5EF4-FFF2-40B4-BE49-F238E27FC236}">
              <a16:creationId xmlns:a16="http://schemas.microsoft.com/office/drawing/2014/main" id="{00000000-0008-0000-1100-00003A000000}"/>
            </a:ext>
          </a:extLst>
        </xdr:cNvPr>
        <xdr:cNvSpPr/>
      </xdr:nvSpPr>
      <xdr:spPr>
        <a:xfrm>
          <a:off x="11160" y="11580840"/>
          <a:ext cx="1843200" cy="428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6</xdr:row>
      <xdr:rowOff>9360</xdr:rowOff>
    </xdr:from>
    <xdr:to>
      <xdr:col>12</xdr:col>
      <xdr:colOff>134640</xdr:colOff>
      <xdr:row>7</xdr:row>
      <xdr:rowOff>285840</xdr:rowOff>
    </xdr:to>
    <xdr:sp macro="" textlink="">
      <xdr:nvSpPr>
        <xdr:cNvPr id="59" name="Line 64">
          <a:extLst>
            <a:ext uri="{FF2B5EF4-FFF2-40B4-BE49-F238E27FC236}">
              <a16:creationId xmlns:a16="http://schemas.microsoft.com/office/drawing/2014/main" id="{00000000-0008-0000-1100-00003B000000}"/>
            </a:ext>
          </a:extLst>
        </xdr:cNvPr>
        <xdr:cNvSpPr/>
      </xdr:nvSpPr>
      <xdr:spPr>
        <a:xfrm>
          <a:off x="0" y="759960"/>
          <a:ext cx="1989000" cy="4935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11160</xdr:colOff>
      <xdr:row>12</xdr:row>
      <xdr:rowOff>10080</xdr:rowOff>
    </xdr:from>
    <xdr:to>
      <xdr:col>14</xdr:col>
      <xdr:colOff>146160</xdr:colOff>
      <xdr:row>14</xdr:row>
      <xdr:rowOff>10080</xdr:rowOff>
    </xdr:to>
    <xdr:sp macro="" textlink="">
      <xdr:nvSpPr>
        <xdr:cNvPr id="60" name="Line 5">
          <a:extLst>
            <a:ext uri="{FF2B5EF4-FFF2-40B4-BE49-F238E27FC236}">
              <a16:creationId xmlns:a16="http://schemas.microsoft.com/office/drawing/2014/main" id="{00000000-0008-0000-1200-00003C000000}"/>
            </a:ext>
          </a:extLst>
        </xdr:cNvPr>
        <xdr:cNvSpPr/>
      </xdr:nvSpPr>
      <xdr:spPr>
        <a:xfrm>
          <a:off x="11160" y="4077360"/>
          <a:ext cx="2166480" cy="5713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xdr:row>
      <xdr:rowOff>10080</xdr:rowOff>
    </xdr:from>
    <xdr:to>
      <xdr:col>14</xdr:col>
      <xdr:colOff>146160</xdr:colOff>
      <xdr:row>5</xdr:row>
      <xdr:rowOff>8640</xdr:rowOff>
    </xdr:to>
    <xdr:sp macro="" textlink="">
      <xdr:nvSpPr>
        <xdr:cNvPr id="61" name="Line 10">
          <a:extLst>
            <a:ext uri="{FF2B5EF4-FFF2-40B4-BE49-F238E27FC236}">
              <a16:creationId xmlns:a16="http://schemas.microsoft.com/office/drawing/2014/main" id="{00000000-0008-0000-1200-00003D000000}"/>
            </a:ext>
          </a:extLst>
        </xdr:cNvPr>
        <xdr:cNvSpPr/>
      </xdr:nvSpPr>
      <xdr:spPr>
        <a:xfrm>
          <a:off x="11160" y="745920"/>
          <a:ext cx="2166480" cy="6325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0</xdr:colOff>
      <xdr:row>42</xdr:row>
      <xdr:rowOff>114840</xdr:rowOff>
    </xdr:from>
    <xdr:to>
      <xdr:col>11</xdr:col>
      <xdr:colOff>12240</xdr:colOff>
      <xdr:row>42</xdr:row>
      <xdr:rowOff>114840</xdr:rowOff>
    </xdr:to>
    <xdr:sp macro="" textlink="">
      <xdr:nvSpPr>
        <xdr:cNvPr id="62" name="直線コネクタ 36">
          <a:extLst>
            <a:ext uri="{FF2B5EF4-FFF2-40B4-BE49-F238E27FC236}">
              <a16:creationId xmlns:a16="http://schemas.microsoft.com/office/drawing/2014/main" id="{00000000-0008-0000-1400-00003E000000}"/>
            </a:ext>
          </a:extLst>
        </xdr:cNvPr>
        <xdr:cNvSpPr/>
      </xdr:nvSpPr>
      <xdr:spPr>
        <a:xfrm>
          <a:off x="9518760" y="7552440"/>
          <a:ext cx="687240" cy="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9</xdr:col>
      <xdr:colOff>0</xdr:colOff>
      <xdr:row>42</xdr:row>
      <xdr:rowOff>114840</xdr:rowOff>
    </xdr:from>
    <xdr:to>
      <xdr:col>9</xdr:col>
      <xdr:colOff>22680</xdr:colOff>
      <xdr:row>59</xdr:row>
      <xdr:rowOff>123840</xdr:rowOff>
    </xdr:to>
    <xdr:sp macro="" textlink="">
      <xdr:nvSpPr>
        <xdr:cNvPr id="63" name="直線コネクタ 38">
          <a:extLst>
            <a:ext uri="{FF2B5EF4-FFF2-40B4-BE49-F238E27FC236}">
              <a16:creationId xmlns:a16="http://schemas.microsoft.com/office/drawing/2014/main" id="{00000000-0008-0000-1400-00003F000000}"/>
            </a:ext>
          </a:extLst>
        </xdr:cNvPr>
        <xdr:cNvSpPr/>
      </xdr:nvSpPr>
      <xdr:spPr>
        <a:xfrm>
          <a:off x="9518760" y="7552440"/>
          <a:ext cx="22680" cy="34552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8</xdr:col>
      <xdr:colOff>10440</xdr:colOff>
      <xdr:row>59</xdr:row>
      <xdr:rowOff>123840</xdr:rowOff>
    </xdr:from>
    <xdr:to>
      <xdr:col>9</xdr:col>
      <xdr:colOff>22320</xdr:colOff>
      <xdr:row>59</xdr:row>
      <xdr:rowOff>133920</xdr:rowOff>
    </xdr:to>
    <xdr:cxnSp macro="">
      <xdr:nvCxnSpPr>
        <xdr:cNvPr id="64" name="直線矢印コネクタ 40">
          <a:extLst>
            <a:ext uri="{FF2B5EF4-FFF2-40B4-BE49-F238E27FC236}">
              <a16:creationId xmlns:a16="http://schemas.microsoft.com/office/drawing/2014/main" id="{00000000-0008-0000-1400-000040000000}"/>
            </a:ext>
          </a:extLst>
        </xdr:cNvPr>
        <xdr:cNvCxnSpPr/>
      </xdr:nvCxnSpPr>
      <xdr:spPr>
        <a:xfrm flipH="1">
          <a:off x="8379720" y="11007720"/>
          <a:ext cx="1161720" cy="10440"/>
        </a:xfrm>
        <a:prstGeom prst="straightConnector1">
          <a:avLst/>
        </a:prstGeom>
        <a:ln w="9360">
          <a:solidFill>
            <a:srgbClr val="000000"/>
          </a:solidFill>
          <a:miter/>
          <a:tailEnd type="triangle" w="med" len="med"/>
        </a:ln>
      </xdr:spPr>
    </xdr:cxnSp>
    <xdr:clientData/>
  </xdr:twoCellAnchor>
</xdr:wsDr>
</file>

<file path=xl/drawings/drawing15.xml><?xml version="1.0" encoding="utf-8"?>
<xdr:wsDr xmlns:xdr="http://schemas.openxmlformats.org/drawingml/2006/spreadsheetDrawing" xmlns:a="http://schemas.openxmlformats.org/drawingml/2006/main">
  <xdr:twoCellAnchor editAs="oneCell">
    <xdr:from>
      <xdr:col>26</xdr:col>
      <xdr:colOff>123480</xdr:colOff>
      <xdr:row>78</xdr:row>
      <xdr:rowOff>0</xdr:rowOff>
    </xdr:from>
    <xdr:to>
      <xdr:col>28</xdr:col>
      <xdr:colOff>474120</xdr:colOff>
      <xdr:row>79</xdr:row>
      <xdr:rowOff>9000</xdr:rowOff>
    </xdr:to>
    <xdr:sp macro="" textlink="">
      <xdr:nvSpPr>
        <xdr:cNvPr id="65" name="正方形/長方形 1">
          <a:extLst>
            <a:ext uri="{FF2B5EF4-FFF2-40B4-BE49-F238E27FC236}">
              <a16:creationId xmlns:a16="http://schemas.microsoft.com/office/drawing/2014/main" id="{00000000-0008-0000-2C00-000041000000}"/>
            </a:ext>
          </a:extLst>
        </xdr:cNvPr>
        <xdr:cNvSpPr/>
      </xdr:nvSpPr>
      <xdr:spPr>
        <a:xfrm>
          <a:off x="9176760" y="8867880"/>
          <a:ext cx="1679760" cy="3423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前受収益　非表示</a:t>
          </a:r>
          <a:endParaRPr lang="en-US" sz="1100" b="0" strike="noStrike" spc="-1">
            <a:latin typeface="Times New Roman"/>
          </a:endParaRPr>
        </a:p>
      </xdr:txBody>
    </xdr:sp>
    <xdr:clientData/>
  </xdr:twoCellAnchor>
  <xdr:twoCellAnchor editAs="oneCell">
    <xdr:from>
      <xdr:col>26</xdr:col>
      <xdr:colOff>22320</xdr:colOff>
      <xdr:row>6</xdr:row>
      <xdr:rowOff>190800</xdr:rowOff>
    </xdr:from>
    <xdr:to>
      <xdr:col>28</xdr:col>
      <xdr:colOff>586080</xdr:colOff>
      <xdr:row>36</xdr:row>
      <xdr:rowOff>105120</xdr:rowOff>
    </xdr:to>
    <xdr:sp macro="" textlink="">
      <xdr:nvSpPr>
        <xdr:cNvPr id="66" name="正方形/長方形 2">
          <a:extLst>
            <a:ext uri="{FF2B5EF4-FFF2-40B4-BE49-F238E27FC236}">
              <a16:creationId xmlns:a16="http://schemas.microsoft.com/office/drawing/2014/main" id="{00000000-0008-0000-2C00-000042000000}"/>
            </a:ext>
          </a:extLst>
        </xdr:cNvPr>
        <xdr:cNvSpPr/>
      </xdr:nvSpPr>
      <xdr:spPr>
        <a:xfrm>
          <a:off x="9075600" y="1600560"/>
          <a:ext cx="1892880" cy="2001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前払い費用非表示</a:t>
          </a:r>
          <a:endParaRPr lang="en-US" sz="1100" b="0" strike="noStrike" spc="-1">
            <a:latin typeface="Times New Roman"/>
          </a:endParaRPr>
        </a:p>
      </xdr:txBody>
    </xdr:sp>
    <xdr:clientData/>
  </xdr:twoCellAnchor>
  <xdr:twoCellAnchor editAs="oneCell">
    <xdr:from>
      <xdr:col>26</xdr:col>
      <xdr:colOff>0</xdr:colOff>
      <xdr:row>71</xdr:row>
      <xdr:rowOff>0</xdr:rowOff>
    </xdr:from>
    <xdr:to>
      <xdr:col>28</xdr:col>
      <xdr:colOff>349560</xdr:colOff>
      <xdr:row>73</xdr:row>
      <xdr:rowOff>114840</xdr:rowOff>
    </xdr:to>
    <xdr:sp macro="" textlink="">
      <xdr:nvSpPr>
        <xdr:cNvPr id="67" name="正方形/長方形 4">
          <a:extLst>
            <a:ext uri="{FF2B5EF4-FFF2-40B4-BE49-F238E27FC236}">
              <a16:creationId xmlns:a16="http://schemas.microsoft.com/office/drawing/2014/main" id="{00000000-0008-0000-2C00-000043000000}"/>
            </a:ext>
          </a:extLst>
        </xdr:cNvPr>
        <xdr:cNvSpPr/>
      </xdr:nvSpPr>
      <xdr:spPr>
        <a:xfrm>
          <a:off x="9053280" y="7429680"/>
          <a:ext cx="1678680" cy="50508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未払費用明細表　非表示</a:t>
          </a:r>
          <a:endParaRPr lang="en-US" sz="1100" b="0" strike="noStrike" spc="-1">
            <a:latin typeface="Times New Roman"/>
          </a:endParaRPr>
        </a:p>
      </xdr:txBody>
    </xdr:sp>
    <xdr:clientData/>
  </xdr:twoCellAnchor>
  <xdr:twoCellAnchor editAs="oneCell">
    <xdr:from>
      <xdr:col>26</xdr:col>
      <xdr:colOff>112320</xdr:colOff>
      <xdr:row>79</xdr:row>
      <xdr:rowOff>57960</xdr:rowOff>
    </xdr:from>
    <xdr:to>
      <xdr:col>28</xdr:col>
      <xdr:colOff>462600</xdr:colOff>
      <xdr:row>79</xdr:row>
      <xdr:rowOff>571320</xdr:rowOff>
    </xdr:to>
    <xdr:sp macro="" textlink="">
      <xdr:nvSpPr>
        <xdr:cNvPr id="68" name="正方形/長方形 5">
          <a:extLst>
            <a:ext uri="{FF2B5EF4-FFF2-40B4-BE49-F238E27FC236}">
              <a16:creationId xmlns:a16="http://schemas.microsoft.com/office/drawing/2014/main" id="{00000000-0008-0000-2C00-000044000000}"/>
            </a:ext>
          </a:extLst>
        </xdr:cNvPr>
        <xdr:cNvSpPr/>
      </xdr:nvSpPr>
      <xdr:spPr>
        <a:xfrm>
          <a:off x="9165600" y="9259200"/>
          <a:ext cx="1679400" cy="5133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固定資産明細表　非表示</a:t>
          </a:r>
          <a:endParaRPr lang="en-US" sz="1100" b="0" strike="noStrike" spc="-1">
            <a:latin typeface="Times New Roman"/>
          </a:endParaRPr>
        </a:p>
      </xdr:txBody>
    </xdr:sp>
    <xdr:clientData/>
  </xdr:twoCellAnchor>
  <xdr:twoCellAnchor editAs="oneCell">
    <xdr:from>
      <xdr:col>27</xdr:col>
      <xdr:colOff>67320</xdr:colOff>
      <xdr:row>131</xdr:row>
      <xdr:rowOff>57240</xdr:rowOff>
    </xdr:from>
    <xdr:to>
      <xdr:col>28</xdr:col>
      <xdr:colOff>789120</xdr:colOff>
      <xdr:row>135</xdr:row>
      <xdr:rowOff>114120</xdr:rowOff>
    </xdr:to>
    <xdr:sp macro="" textlink="">
      <xdr:nvSpPr>
        <xdr:cNvPr id="69" name="正方形/長方形 6">
          <a:extLst>
            <a:ext uri="{FF2B5EF4-FFF2-40B4-BE49-F238E27FC236}">
              <a16:creationId xmlns:a16="http://schemas.microsoft.com/office/drawing/2014/main" id="{00000000-0008-0000-2C00-000045000000}"/>
            </a:ext>
          </a:extLst>
        </xdr:cNvPr>
        <xdr:cNvSpPr/>
      </xdr:nvSpPr>
      <xdr:spPr>
        <a:xfrm>
          <a:off x="9492120" y="9829800"/>
          <a:ext cx="1679400" cy="83808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加入金明細表　減価償却累計額明細表</a:t>
          </a:r>
          <a:r>
            <a:rPr lang="en-US" sz="1100" b="0" strike="noStrike" spc="-1">
              <a:solidFill>
                <a:srgbClr val="FFFFFF"/>
              </a:solidFill>
              <a:latin typeface="Calibri"/>
            </a:rPr>
            <a:t> </a:t>
          </a:r>
          <a:r>
            <a:rPr lang="zh-CN" sz="1100" b="0" strike="noStrike" spc="-1">
              <a:solidFill>
                <a:srgbClr val="FFFFFF"/>
              </a:solidFill>
              <a:latin typeface="ＭＳ Ｐゴシック"/>
            </a:rPr>
            <a:t>非表示</a:t>
          </a:r>
          <a:endParaRPr lang="en-US" sz="1100" b="0" strike="noStrike" spc="-1">
            <a:latin typeface="Times New Roman"/>
          </a:endParaRPr>
        </a:p>
      </xdr:txBody>
    </xdr:sp>
    <xdr:clientData/>
  </xdr:twoCellAnchor>
</xdr:wsDr>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2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43.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4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4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4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51.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8BA89-D101-4D5B-B71E-6077044548BA}">
  <sheetPr codeName="Sheet1">
    <pageSetUpPr fitToPage="1"/>
  </sheetPr>
  <dimension ref="A1:H126"/>
  <sheetViews>
    <sheetView tabSelected="1" zoomScaleNormal="100" workbookViewId="0">
      <pane ySplit="4" topLeftCell="A112" activePane="bottomLeft" state="frozen"/>
      <selection pane="bottomLeft" activeCell="C119" sqref="C119"/>
    </sheetView>
  </sheetViews>
  <sheetFormatPr defaultRowHeight="13.2"/>
  <cols>
    <col min="1" max="1" width="16" style="1698" customWidth="1"/>
    <col min="2" max="2" width="28" style="1698" customWidth="1"/>
    <col min="3" max="3" width="16" style="1698" customWidth="1"/>
    <col min="4" max="5" width="24" style="1698" customWidth="1"/>
    <col min="6" max="6" width="53.21875" style="1698" customWidth="1"/>
    <col min="7" max="7" width="39.5546875" style="1698" customWidth="1"/>
    <col min="8" max="8" width="24" style="1698" customWidth="1"/>
  </cols>
  <sheetData>
    <row r="1" spans="1:8" ht="28.05" customHeight="1">
      <c r="A1" s="1805" t="str">
        <f ca="1">IF(チェック!$L$6&gt;0,"【要確認】整合性チェックで NG が "&amp;チェック!$L$6&amp;" 件あります（「チェック」シートで内容を確認してください）","チェック結果：全 "&amp;チェック!$M$6&amp;" 項目 異常なし（数式エラー検査を含む）")</f>
        <v>チェック結果：全 171 項目 異常なし（数式エラー検査を含む）</v>
      </c>
      <c r="B1" s="1805"/>
      <c r="C1" s="1805"/>
      <c r="D1" s="1805"/>
      <c r="E1" s="1805"/>
      <c r="F1" s="1805"/>
      <c r="G1" s="1805"/>
      <c r="H1" s="1805"/>
    </row>
    <row r="2" spans="1:8" ht="34.049999999999997" customHeight="1">
      <c r="A2" s="1799" t="str">
        <f>"広島市職員共済組合  令和"&amp;C6&amp;"年度 決算書（事業状況報告書・決算報告書・財務諸表） 入力ガイド"</f>
        <v>広島市職員共済組合  令和7年度 決算書（事業状況報告書・決算報告書・財務諸表） 入力ガイド</v>
      </c>
      <c r="B2" s="1799"/>
      <c r="C2" s="1799"/>
      <c r="D2" s="1799"/>
      <c r="E2" s="1799"/>
      <c r="F2" s="1799"/>
      <c r="G2" s="1799"/>
      <c r="H2" s="1799"/>
    </row>
    <row r="3" spans="1:8" ht="25.05" customHeight="1">
      <c r="A3" s="1794" t="str">
        <f>HYPERLINK("#'入力セル一覧'!A1","[1] 入力セル一覧（837箇所）を開く")</f>
        <v>[1] 入力セル一覧（837箇所）を開く</v>
      </c>
      <c r="B3" s="1794"/>
      <c r="C3" s="1794" t="str">
        <f>HYPERLINK("#'前年度貼付'!A1","[2] 前年度貼付シート（325項目）を開く")</f>
        <v>[2] 前年度貼付シート（325項目）を開く</v>
      </c>
      <c r="D3" s="1794"/>
      <c r="E3" s="1794" t="str">
        <f>HYPERLINK("#'貸付_入力'!A1","[3] 貸付経理 専用入力パネルを開く")</f>
        <v>[3] 貸付経理 専用入力パネルを開く</v>
      </c>
      <c r="F3" s="1794"/>
      <c r="G3" s="1800" t="str">
        <f>HYPERLINK("#'チェック'!A1","[4] チェック結果(171項目)")</f>
        <v>[4] チェック結果(171項目)</v>
      </c>
      <c r="H3" s="1783" t="str">
        <f>HYPERLINK("#'入力ガイド'!A116","[5] マクロの案内")</f>
        <v>[5] マクロの案内</v>
      </c>
    </row>
    <row r="4" spans="1:8" ht="19.95" customHeight="1">
      <c r="A4" s="1808" t="s">
        <v>1288</v>
      </c>
      <c r="B4" s="1808"/>
      <c r="C4" s="1808"/>
      <c r="D4" s="1808"/>
      <c r="E4" s="1808"/>
      <c r="F4" s="1808"/>
      <c r="G4" s="1808"/>
      <c r="H4" s="1808"/>
    </row>
    <row r="5" spans="1:8" ht="22.05" customHeight="1">
      <c r="A5" s="1796" t="s">
        <v>1289</v>
      </c>
      <c r="B5" s="1796"/>
      <c r="C5" s="1796"/>
      <c r="D5" s="1793" t="s">
        <v>1290</v>
      </c>
      <c r="E5" s="1793" t="s">
        <v>1291</v>
      </c>
      <c r="F5" s="1793" t="s">
        <v>1292</v>
      </c>
      <c r="G5" s="1793" t="s">
        <v>1293</v>
      </c>
      <c r="H5" s="1793"/>
    </row>
    <row r="6" spans="1:8" ht="22.05" customHeight="1">
      <c r="A6" s="1701" t="s">
        <v>1294</v>
      </c>
      <c r="B6" s="1702" t="s">
        <v>1295</v>
      </c>
      <c r="C6" s="1703">
        <v>7</v>
      </c>
      <c r="D6" s="1804" t="str">
        <f ca="1">IF(チェック!$L$6=0,"171 / 171 OK","NG "&amp;チェック!$L$6&amp;" 件")</f>
        <v>171 / 171 OK</v>
      </c>
      <c r="E6" s="1807" t="str">
        <f>"入力済 "&amp;COUNTIF(入力セル一覧!$G$6:$G$842,"入力済")&amp;" / 837"</f>
        <v>入力済 628 / 837</v>
      </c>
      <c r="F6" s="1804" t="str">
        <f>IF(COUNTBLANK(前年度貼付!$E$8:$E$332)=0,"325 / 325 完了","未貼付 "&amp;COUNTBLANK(前年度貼付!$E$8:$E$332)&amp;" 件")</f>
        <v>325 / 325 完了</v>
      </c>
      <c r="G6" s="1795" t="str">
        <f>"自 令和"&amp;C6&amp;"年4月1日 ～ 至 令和"&amp;(C6+1)&amp;"年3月31日"</f>
        <v>自 令和7年4月1日 ～ 至 令和8年3月31日</v>
      </c>
      <c r="H6" s="1795"/>
    </row>
    <row r="7" spans="1:8" ht="22.05" customHeight="1">
      <c r="A7" s="1701" t="s">
        <v>1294</v>
      </c>
      <c r="B7" s="1702" t="s">
        <v>1296</v>
      </c>
      <c r="C7" s="1704">
        <v>8</v>
      </c>
      <c r="D7" s="1804"/>
      <c r="E7" s="1807"/>
      <c r="F7" s="1804"/>
      <c r="G7" s="1795"/>
      <c r="H7" s="1795"/>
    </row>
    <row r="8" spans="1:8" ht="22.05" customHeight="1">
      <c r="A8" s="1701" t="s">
        <v>1294</v>
      </c>
      <c r="B8" s="1702" t="s">
        <v>1297</v>
      </c>
      <c r="C8" s="1705">
        <v>4</v>
      </c>
      <c r="D8" s="1782" t="s">
        <v>1298</v>
      </c>
      <c r="E8" s="1782" t="str">
        <f>"0確認: "&amp;COUNTIF(入力セル一覧!$G$6:$G$842,"0（確認）")&amp;"件 ｜ 空欄: "&amp;COUNTIF(入力セル一覧!$G$6:$G$842,"未入力（空欄）")&amp;"件"</f>
        <v>0確認: 201件 ｜ 空欄: 8件</v>
      </c>
      <c r="F8" s="1782" t="s">
        <v>1299</v>
      </c>
      <c r="G8" s="1782" t="str">
        <f>"精算表審査・作成日：令和"&amp;C7&amp;"年"&amp;C8&amp;"月"&amp;C9&amp;"日 ｜ 印刷対象：48シート"</f>
        <v>精算表審査・作成日：令和8年4月22日 ｜ 印刷対象：48シート</v>
      </c>
      <c r="H8" s="1782"/>
    </row>
    <row r="9" spans="1:8" ht="22.05" customHeight="1">
      <c r="A9" s="1701" t="s">
        <v>1294</v>
      </c>
      <c r="B9" s="1702" t="s">
        <v>1300</v>
      </c>
      <c r="C9" s="1706">
        <v>22</v>
      </c>
      <c r="D9" s="1782"/>
      <c r="E9" s="1782"/>
      <c r="F9" s="1782"/>
      <c r="G9" s="1782"/>
      <c r="H9" s="1782"/>
    </row>
    <row r="10" spans="1:8" ht="20" customHeight="1">
      <c r="F10" s="1702" t="inlineStr">
        <is>
          <t>手入力セルの黄色表示（1＝表示、0＝非表示。印刷時は自動で0になります）</t>
        </is>
      </c>
      <c r="G10" s="3178">
        <v>1</v>
      </c>
    </row>
    <row r="11" spans="1:8" ht="25.05" customHeight="1">
      <c r="A11" s="1790" t="s">
        <v>3255</v>
      </c>
      <c r="B11" s="1790"/>
      <c r="C11" s="1790"/>
      <c r="D11" s="1790"/>
      <c r="E11" s="1790"/>
      <c r="F11" s="1790"/>
      <c r="G11" s="1790"/>
      <c r="H11" s="1790"/>
    </row>
    <row r="12" spans="1:8" ht="22.95" customHeight="1">
      <c r="A12" s="1700" t="s">
        <v>1301</v>
      </c>
      <c r="B12" s="1707" t="s">
        <v>1302</v>
      </c>
      <c r="C12" s="1797" t="s">
        <v>1303</v>
      </c>
      <c r="D12" s="1797"/>
      <c r="E12" s="1797"/>
      <c r="F12" s="1797"/>
      <c r="G12" s="1709" t="str">
        <f>IF(チェック!H189="OK","完了","要確認")</f>
        <v>完了</v>
      </c>
      <c r="H12" s="1710" t="str">
        <f>HYPERLINK("#'入力ガイド'!C6","[設定セル C6 へ]")</f>
        <v>[設定セル C6 へ]</v>
      </c>
    </row>
    <row r="13" spans="1:8" ht="22.95" customHeight="1">
      <c r="A13" s="1700" t="s">
        <v>1304</v>
      </c>
      <c r="B13" s="1707" t="s">
        <v>1305</v>
      </c>
      <c r="C13" s="1786" t="s">
        <v>1306</v>
      </c>
      <c r="D13" s="1786"/>
      <c r="E13" s="1786"/>
      <c r="F13" s="1786"/>
      <c r="G13" s="1709" t="str">
        <f>IF(チェック!H188="OK","完了（325件）","未貼付あり")</f>
        <v>完了（325件）</v>
      </c>
      <c r="H13" s="1710" t="str">
        <f>HYPERLINK("#'前年度貼付'!E8","[前年度貼付シートへ]")</f>
        <v>[前年度貼付シートへ]</v>
      </c>
    </row>
    <row r="14" spans="1:8" ht="22.95" customHeight="1">
      <c r="A14" s="1700" t="s">
        <v>1307</v>
      </c>
      <c r="B14" s="1707" t="s">
        <v>1308</v>
      </c>
      <c r="C14" s="1797" t="s">
        <v>1309</v>
      </c>
      <c r="D14" s="1797"/>
      <c r="E14" s="1797"/>
      <c r="F14" s="1797"/>
      <c r="G14" s="1709" t="str">
        <f>IF(COUNTIF(貸付_入力!C77:C86,"NG")=0,"完了（OK）","要確認")</f>
        <v>完了（OK）</v>
      </c>
      <c r="H14" s="1710" t="str">
        <f>HYPERLINK("#'貸付_入力'!C11","[貸付_入力シートへ]")</f>
        <v>[貸付_入力シートへ]</v>
      </c>
    </row>
    <row r="15" spans="1:8" ht="22.95" customHeight="1">
      <c r="A15" s="1700" t="s">
        <v>1310</v>
      </c>
      <c r="B15" s="1707" t="s">
        <v>1311</v>
      </c>
      <c r="C15" s="1786" t="s">
        <v>1312</v>
      </c>
      <c r="D15" s="1786"/>
      <c r="E15" s="1786"/>
      <c r="F15" s="1786"/>
      <c r="G15" s="1709" t="str">
        <f>"入力済 "&amp;COUNTIF(入力セル一覧!$G$6:$G$842,"入力済")&amp;"件"</f>
        <v>入力済 628件</v>
      </c>
      <c r="H15" s="1710" t="str">
        <f>HYPERLINK("#'入力セル一覧'!A6","[入力セル一覧へ]")</f>
        <v>[入力セル一覧へ]</v>
      </c>
    </row>
    <row r="16" spans="1:8" ht="22.95" customHeight="1">
      <c r="A16" s="1700" t="s">
        <v>1313</v>
      </c>
      <c r="B16" s="1707" t="s">
        <v>1314</v>
      </c>
      <c r="C16" s="1797" t="s">
        <v>1315</v>
      </c>
      <c r="D16" s="1797"/>
      <c r="E16" s="1797"/>
      <c r="F16" s="1797"/>
      <c r="G16" s="1709" t="str">
        <f ca="1">IF(チェック!$L$6=0,"全171項目 OK","NG "&amp;チェック!$L$6&amp;"件")</f>
        <v>全171項目 OK</v>
      </c>
      <c r="H16" s="1710" t="str">
        <f>HYPERLINK("#'チェック'!A1","[チェックシートへ]")</f>
        <v>[チェックシートへ]</v>
      </c>
    </row>
    <row r="17" spans="1:8" ht="22.95" customHeight="1">
      <c r="A17" s="1700" t="s">
        <v>1316</v>
      </c>
      <c r="B17" s="1707" t="s">
        <v>1317</v>
      </c>
      <c r="C17" s="1786" t="s">
        <v>1318</v>
      </c>
      <c r="D17" s="1786"/>
      <c r="E17" s="1786"/>
      <c r="F17" s="1786"/>
      <c r="G17" s="1709" t="s">
        <v>1319</v>
      </c>
      <c r="H17" s="1710" t="str">
        <f>HYPERLINK("#'表紙等'!A1","[表紙等シートへ]")</f>
        <v>[表紙等シートへ]</v>
      </c>
    </row>
    <row r="18" spans="1:8" ht="22.05" customHeight="1">
      <c r="A18" s="1798" t="s">
        <v>1320</v>
      </c>
      <c r="B18" s="1798"/>
      <c r="C18" s="1798"/>
      <c r="D18" s="1798"/>
      <c r="E18" s="1798"/>
      <c r="F18" s="1798"/>
      <c r="G18" s="1798"/>
      <c r="H18" s="1798"/>
    </row>
    <row r="19" spans="1:8" ht="12" customHeight="1"/>
    <row r="20" spans="1:8" ht="25.05" customHeight="1">
      <c r="A20" s="1790" t="s">
        <v>1321</v>
      </c>
      <c r="B20" s="1790"/>
      <c r="C20" s="1790"/>
      <c r="D20" s="1790"/>
      <c r="E20" s="1790"/>
      <c r="F20" s="1790"/>
      <c r="G20" s="1790"/>
      <c r="H20" s="1790"/>
    </row>
    <row r="21" spans="1:8" ht="24" customHeight="1">
      <c r="A21" s="1700" t="s">
        <v>1322</v>
      </c>
      <c r="B21" s="1700" t="s">
        <v>1323</v>
      </c>
      <c r="C21" s="1700" t="s">
        <v>1324</v>
      </c>
      <c r="D21" s="1700" t="s">
        <v>1325</v>
      </c>
      <c r="E21" s="1700" t="s">
        <v>1326</v>
      </c>
      <c r="F21" s="1700" t="s">
        <v>1327</v>
      </c>
      <c r="G21" s="1700" t="s">
        <v>1328</v>
      </c>
      <c r="H21" s="1700" t="s">
        <v>1329</v>
      </c>
    </row>
    <row r="22" spans="1:8" ht="22.05" customHeight="1">
      <c r="A22" s="1712">
        <v>1</v>
      </c>
      <c r="B22" s="1702" t="s">
        <v>7</v>
      </c>
      <c r="C22" s="1713">
        <f>COUNTIFS(チェック!$B$6:$B$195,B22,チェック!$H$6:$H$195,"NG")</f>
        <v>0</v>
      </c>
      <c r="D22" s="1713">
        <f>COUNTIF(チェック!$B$6:$B$195,B22)</f>
        <v>40</v>
      </c>
      <c r="E22" s="1714" t="str">
        <f t="shared" ref="E22:E31" si="0">IF(C22&gt;0,"NGあり","OK")</f>
        <v>OK</v>
      </c>
      <c r="F22" s="1715">
        <f>COUNTIF(入力セル一覧!$A$6:$A$842,"短期経理")</f>
        <v>235</v>
      </c>
      <c r="G22" s="1710" t="str">
        <f>HYPERLINK("#'報告_短期P7-10'!A1","[報告書] 短期P7-10")</f>
        <v>[報告書] 短期P7-10</v>
      </c>
      <c r="H22" s="1710" t="str">
        <f>HYPERLINK("#'短期_財務諸表'!A1","[財務諸表] 短期経理")</f>
        <v>[財務諸表] 短期経理</v>
      </c>
    </row>
    <row r="23" spans="1:8" ht="22.05" customHeight="1">
      <c r="A23" s="1716">
        <v>2</v>
      </c>
      <c r="B23" s="1717" t="s">
        <v>8</v>
      </c>
      <c r="C23" s="1718">
        <f>COUNTIFS(チェック!$B$6:$B$195,B23,チェック!$H$6:$H$195,"NG")</f>
        <v>0</v>
      </c>
      <c r="D23" s="1718">
        <f>COUNTIF(チェック!$B$6:$B$195,B23)</f>
        <v>14</v>
      </c>
      <c r="E23" s="1714" t="str">
        <f t="shared" si="0"/>
        <v>OK</v>
      </c>
      <c r="F23" s="1719">
        <f>COUNTIF(入力セル一覧!$A$6:$A$842,"厚生年金保険経理")</f>
        <v>30</v>
      </c>
      <c r="G23" s="1710" t="str">
        <f>HYPERLINK("#'報告_厚生年金P14'!A1","[報告書] 厚生年金P14")</f>
        <v>[報告書] 厚生年金P14</v>
      </c>
      <c r="H23" s="1710" t="str">
        <f>HYPERLINK("#'厚生_貸借・損益'!A1","[財務諸表] 厚生年金")</f>
        <v>[財務諸表] 厚生年金</v>
      </c>
    </row>
    <row r="24" spans="1:8" ht="22.05" customHeight="1">
      <c r="A24" s="1712">
        <v>3</v>
      </c>
      <c r="B24" s="1702" t="s">
        <v>9</v>
      </c>
      <c r="C24" s="1713">
        <f>COUNTIFS(チェック!$B$6:$B$195,B24,チェック!$H$6:$H$195,"NG")</f>
        <v>0</v>
      </c>
      <c r="D24" s="1713">
        <f>COUNTIF(チェック!$B$6:$B$195,B24)</f>
        <v>13</v>
      </c>
      <c r="E24" s="1714" t="str">
        <f t="shared" si="0"/>
        <v>OK</v>
      </c>
      <c r="F24" s="1715">
        <f>COUNTIF(入力セル一覧!$A$6:$A$842,"退職等年金経理")</f>
        <v>23</v>
      </c>
      <c r="G24" s="1710" t="str">
        <f>HYPERLINK("#'報告_退職等年金P15'!A1","[報告書] 退職等年金P15")</f>
        <v>[報告書] 退職等年金P15</v>
      </c>
      <c r="H24" s="1710" t="str">
        <f>HYPERLINK("#'退職等_貸借・損益'!A1","[財務諸表] 退職等年金")</f>
        <v>[財務諸表] 退職等年金</v>
      </c>
    </row>
    <row r="25" spans="1:8" ht="22.05" customHeight="1">
      <c r="A25" s="1716">
        <v>4</v>
      </c>
      <c r="B25" s="1717" t="s">
        <v>10</v>
      </c>
      <c r="C25" s="1718">
        <f>COUNTIFS(チェック!$B$6:$B$195,B25,チェック!$H$6:$H$195,"NG")</f>
        <v>0</v>
      </c>
      <c r="D25" s="1718">
        <f>COUNTIF(チェック!$B$6:$B$195,B25)</f>
        <v>10</v>
      </c>
      <c r="E25" s="1714" t="str">
        <f t="shared" si="0"/>
        <v>OK</v>
      </c>
      <c r="F25" s="1719">
        <f>COUNTIF(入力セル一覧!$A$6:$A$842,"経過的長期経理")</f>
        <v>17</v>
      </c>
      <c r="G25" s="1710" t="str">
        <f>HYPERLINK("#'報告_経過的長期P16'!A1","[報告書] 経過的長期P16")</f>
        <v>[報告書] 経過的長期P16</v>
      </c>
      <c r="H25" s="1710" t="str">
        <f>HYPERLINK("#'経過的_貸借・損益'!A1","[財務諸表] 経過的長期")</f>
        <v>[財務諸表] 経過的長期</v>
      </c>
    </row>
    <row r="26" spans="1:8" ht="22.05" customHeight="1">
      <c r="A26" s="1712">
        <v>5</v>
      </c>
      <c r="B26" s="1702" t="s">
        <v>11</v>
      </c>
      <c r="C26" s="1713">
        <f>COUNTIFS(チェック!$B$6:$B$195,B26,チェック!$H$6:$H$195,"NG")</f>
        <v>0</v>
      </c>
      <c r="D26" s="1713">
        <f>COUNTIF(チェック!$B$6:$B$195,B26)</f>
        <v>15</v>
      </c>
      <c r="E26" s="1714" t="str">
        <f t="shared" si="0"/>
        <v>OK</v>
      </c>
      <c r="F26" s="1715">
        <f>COUNTIF(入力セル一覧!$A$6:$A$842,"退職等年金預託金管理経理")</f>
        <v>17</v>
      </c>
      <c r="G26" s="1710" t="str">
        <f>HYPERLINK("#'報告_預託金P17'!A1","[報告書] 預託金P17")</f>
        <v>[報告書] 預託金P17</v>
      </c>
      <c r="H26" s="1710" t="str">
        <f>HYPERLINK("#'預託金_貸借・損益'!A1","[財務諸表] 預託金管理")</f>
        <v>[財務諸表] 預託金管理</v>
      </c>
    </row>
    <row r="27" spans="1:8" ht="22.05" customHeight="1">
      <c r="A27" s="1716">
        <v>6</v>
      </c>
      <c r="B27" s="1717" t="s">
        <v>12</v>
      </c>
      <c r="C27" s="1718">
        <f>COUNTIFS(チェック!$B$6:$B$195,B27,チェック!$H$6:$H$195,"NG")</f>
        <v>0</v>
      </c>
      <c r="D27" s="1718">
        <f>COUNTIF(チェック!$B$6:$B$195,B27)</f>
        <v>22</v>
      </c>
      <c r="E27" s="1714" t="str">
        <f t="shared" si="0"/>
        <v>OK</v>
      </c>
      <c r="F27" s="1719">
        <f>COUNTIF(入力セル一覧!$A$6:$A$842,"業務経理")</f>
        <v>87</v>
      </c>
      <c r="G27" s="1710" t="str">
        <f>HYPERLINK("#'報告_業務P18'!A1","[報告書] 業務P18-19")</f>
        <v>[報告書] 業務P18-19</v>
      </c>
      <c r="H27" s="1710" t="str">
        <f>HYPERLINK("#'業務_財務諸表'!A1","[財務諸表] 業務経理")</f>
        <v>[財務諸表] 業務経理</v>
      </c>
    </row>
    <row r="28" spans="1:8" ht="22.05" customHeight="1">
      <c r="A28" s="1712">
        <v>7</v>
      </c>
      <c r="B28" s="1702" t="s">
        <v>13</v>
      </c>
      <c r="C28" s="1713">
        <f>COUNTIFS(チェック!$B$6:$B$195,B28,チェック!$H$6:$H$195,"NG")</f>
        <v>0</v>
      </c>
      <c r="D28" s="1713">
        <f>COUNTIF(チェック!$B$6:$B$195,B28)</f>
        <v>21</v>
      </c>
      <c r="E28" s="1714" t="str">
        <f t="shared" si="0"/>
        <v>OK</v>
      </c>
      <c r="F28" s="1715">
        <f>COUNTIF(入力セル一覧!$A$6:$A$842,"保健経理")</f>
        <v>198</v>
      </c>
      <c r="G28" s="1710" t="str">
        <f>HYPERLINK("#'報告_保健P20-22'!A1","[報告書] 保健P20-22")</f>
        <v>[報告書] 保健P20-22</v>
      </c>
      <c r="H28" s="1710" t="str">
        <f>HYPERLINK("#'保健_財務諸表'!A1","[財務諸表] 保健経理")</f>
        <v>[財務諸表] 保健経理</v>
      </c>
    </row>
    <row r="29" spans="1:8" ht="22.05" customHeight="1">
      <c r="A29" s="1716">
        <v>8</v>
      </c>
      <c r="B29" s="1717" t="s">
        <v>14</v>
      </c>
      <c r="C29" s="1718">
        <f>COUNTIFS(チェック!$B$6:$B$195,B29,チェック!$H$6:$H$195,"NG")</f>
        <v>0</v>
      </c>
      <c r="D29" s="1718">
        <f>COUNTIF(チェック!$B$6:$B$195,B29)</f>
        <v>28</v>
      </c>
      <c r="E29" s="1714" t="str">
        <f t="shared" si="0"/>
        <v>OK</v>
      </c>
      <c r="F29" s="1719">
        <f>COUNTIF(入力セル一覧!$A$6:$A$842,"貸付経理")</f>
        <v>132</v>
      </c>
      <c r="G29" s="1710" t="str">
        <f>HYPERLINK("#'報告_貸付P23-25'!A1","[報告書] 貸付P23-25")</f>
        <v>[報告書] 貸付P23-25</v>
      </c>
      <c r="H29" s="1710" t="str">
        <f>HYPERLINK("#'貸付_入力'!A1","[専用入力] 貸付_入力")</f>
        <v>[専用入力] 貸付_入力</v>
      </c>
    </row>
    <row r="30" spans="1:8" ht="22.05" customHeight="1">
      <c r="A30" s="1712">
        <v>9</v>
      </c>
      <c r="B30" s="1702" t="s">
        <v>1330</v>
      </c>
      <c r="C30" s="1713">
        <f ca="1">COUNTIFS(チェック!$B$6:$B$195,B30,チェック!$H$6:$H$195,"NG")</f>
        <v>0</v>
      </c>
      <c r="D30" s="1713">
        <f>COUNTIF(チェック!$B$6:$B$195,B30)</f>
        <v>8</v>
      </c>
      <c r="E30" s="1714" t="str">
        <f t="shared" ca="1" si="0"/>
        <v>OK</v>
      </c>
      <c r="F30" s="1715">
        <f>COUNTIF(入力セル一覧!$A$6:$A$842,"共通（総括・概況・表紙）")</f>
        <v>98</v>
      </c>
      <c r="G30" s="1710" t="str">
        <f>HYPERLINK("#'報告_総括P3-5'!A1","[報告書] 概況・総括P1-5")</f>
        <v>[報告書] 概況・総括P1-5</v>
      </c>
      <c r="H30" s="1710" t="str">
        <f>HYPERLINK("#'チェック'!A181","[全体検査] エラー・リンク")</f>
        <v>[全体検査] エラー・リンク</v>
      </c>
    </row>
    <row r="31" spans="1:8" ht="25.05" customHeight="1">
      <c r="A31" s="1720" t="s">
        <v>474</v>
      </c>
      <c r="B31" s="1721" t="s">
        <v>413</v>
      </c>
      <c r="C31" s="1722">
        <f ca="1">SUM(C22:C30)</f>
        <v>0</v>
      </c>
      <c r="D31" s="1722">
        <f>SUM(D22:D30)</f>
        <v>171</v>
      </c>
      <c r="E31" s="1723" t="str">
        <f t="shared" ca="1" si="0"/>
        <v>OK</v>
      </c>
      <c r="F31" s="1724">
        <f>SUM(F22:F30)</f>
        <v>837</v>
      </c>
      <c r="G31" s="1725" t="str">
        <f>HYPERLINK("#'入力セル一覧'!A1","[一覧] 全837セルを見る")</f>
        <v>[一覧] 全837セルを見る</v>
      </c>
      <c r="H31" s="1725" t="str">
        <f>HYPERLINK("#'チェック'!A1","[詳細] 全171項目を見る")</f>
        <v>[詳細] 全171項目を見る</v>
      </c>
    </row>
    <row r="32" spans="1:8" ht="12" customHeight="1"/>
    <row r="33" spans="1:8" ht="25.05" customHeight="1">
      <c r="A33" s="1790" t="s">
        <v>1331</v>
      </c>
      <c r="B33" s="1790"/>
      <c r="C33" s="1790"/>
      <c r="D33" s="1790"/>
      <c r="E33" s="1790"/>
      <c r="F33" s="1790"/>
      <c r="G33" s="1790"/>
      <c r="H33" s="1790"/>
    </row>
    <row r="34" spans="1:8" ht="19.95" customHeight="1">
      <c r="A34" s="1726" t="s">
        <v>1332</v>
      </c>
      <c r="B34" s="1727" t="str">
        <f>HYPERLINK("#'入力ガイド'!A1","入力ガイド")</f>
        <v>入力ガイド</v>
      </c>
      <c r="C34" s="1781" t="s">
        <v>1333</v>
      </c>
      <c r="D34" s="1781"/>
      <c r="E34" s="1781"/>
      <c r="F34" s="1726" t="s">
        <v>1334</v>
      </c>
      <c r="G34" s="1788" t="s">
        <v>1335</v>
      </c>
      <c r="H34" s="1788"/>
    </row>
    <row r="35" spans="1:8" ht="19.95" customHeight="1">
      <c r="A35" s="1726" t="s">
        <v>1332</v>
      </c>
      <c r="B35" s="1730" t="str">
        <f>HYPERLINK("#'入力セル一覧'!A1","入力セル一覧")</f>
        <v>入力セル一覧</v>
      </c>
      <c r="C35" s="1785" t="s">
        <v>1336</v>
      </c>
      <c r="D35" s="1785"/>
      <c r="E35" s="1785"/>
      <c r="F35" s="1726" t="s">
        <v>1334</v>
      </c>
      <c r="G35" s="1780" t="s">
        <v>1337</v>
      </c>
      <c r="H35" s="1780"/>
    </row>
    <row r="36" spans="1:8" ht="19.95" customHeight="1">
      <c r="A36" s="1726" t="s">
        <v>1332</v>
      </c>
      <c r="B36" s="1727" t="str">
        <f>HYPERLINK("#'前年度貼付'!A1","前年度貼付")</f>
        <v>前年度貼付</v>
      </c>
      <c r="C36" s="1781" t="s">
        <v>1338</v>
      </c>
      <c r="D36" s="1781"/>
      <c r="E36" s="1781"/>
      <c r="F36" s="1726" t="s">
        <v>1334</v>
      </c>
      <c r="G36" s="1788" t="s">
        <v>1339</v>
      </c>
      <c r="H36" s="1788"/>
    </row>
    <row r="37" spans="1:8" ht="19.95" customHeight="1">
      <c r="A37" s="1732" t="s">
        <v>1332</v>
      </c>
      <c r="B37" s="1730" t="str">
        <f>HYPERLINK("#'チェック'!A1","チェック")</f>
        <v>チェック</v>
      </c>
      <c r="C37" s="1785" t="s">
        <v>1340</v>
      </c>
      <c r="D37" s="1785"/>
      <c r="E37" s="1785"/>
      <c r="F37" s="1726" t="s">
        <v>1334</v>
      </c>
      <c r="G37" s="1780" t="s">
        <v>1341</v>
      </c>
      <c r="H37" s="1780"/>
    </row>
    <row r="38" spans="1:8" ht="19.95" customHeight="1">
      <c r="A38" s="1733" t="s">
        <v>1342</v>
      </c>
      <c r="B38" s="1727" t="str">
        <f>HYPERLINK("#'表紙等'!A1","表紙等")</f>
        <v>表紙等</v>
      </c>
      <c r="C38" s="1781" t="s">
        <v>1343</v>
      </c>
      <c r="D38" s="1781"/>
      <c r="E38" s="1781"/>
      <c r="F38" s="1732" t="s">
        <v>1344</v>
      </c>
      <c r="G38" s="1788" t="s">
        <v>1345</v>
      </c>
      <c r="H38" s="1788"/>
    </row>
    <row r="39" spans="1:8" ht="19.95" customHeight="1">
      <c r="A39" s="1733" t="s">
        <v>1342</v>
      </c>
      <c r="B39" s="1730" t="str">
        <f>HYPERLINK("#'目次'!A1","目次")</f>
        <v>目次</v>
      </c>
      <c r="C39" s="1785" t="s">
        <v>1346</v>
      </c>
      <c r="D39" s="1785"/>
      <c r="E39" s="1785"/>
      <c r="F39" s="1732" t="s">
        <v>1344</v>
      </c>
      <c r="G39" s="1780" t="s">
        <v>1347</v>
      </c>
      <c r="H39" s="1780"/>
    </row>
    <row r="40" spans="1:8" ht="19.95" customHeight="1">
      <c r="A40" s="1733" t="s">
        <v>1348</v>
      </c>
      <c r="B40" s="1727" t="str">
        <f>HYPERLINK("#'報告_概況P1-2'!A1","報告_概況P1-2")</f>
        <v>報告_概況P1-2</v>
      </c>
      <c r="C40" s="1781" t="s">
        <v>1349</v>
      </c>
      <c r="D40" s="1781"/>
      <c r="E40" s="1781"/>
      <c r="F40" s="1732" t="s">
        <v>1344</v>
      </c>
      <c r="G40" s="1788" t="s">
        <v>1350</v>
      </c>
      <c r="H40" s="1788"/>
    </row>
    <row r="41" spans="1:8" ht="19.95" customHeight="1">
      <c r="A41" s="1733" t="s">
        <v>1351</v>
      </c>
      <c r="B41" s="1730" t="str">
        <f>HYPERLINK("#'報告_総括P3-5'!A1","報告_総括P3-5")</f>
        <v>報告_総括P3-5</v>
      </c>
      <c r="C41" s="1785" t="s">
        <v>1352</v>
      </c>
      <c r="D41" s="1785"/>
      <c r="E41" s="1785"/>
      <c r="F41" s="1732" t="s">
        <v>1344</v>
      </c>
      <c r="G41" s="1780" t="s">
        <v>1353</v>
      </c>
      <c r="H41" s="1780"/>
    </row>
    <row r="42" spans="1:8" ht="19.95" customHeight="1">
      <c r="A42" s="1734" t="s">
        <v>1354</v>
      </c>
      <c r="B42" s="1727" t="str">
        <f>HYPERLINK("#'報告_短期P6'!A1","報告_短期P6")</f>
        <v>報告_短期P6</v>
      </c>
      <c r="C42" s="1781" t="s">
        <v>1355</v>
      </c>
      <c r="D42" s="1781"/>
      <c r="E42" s="1781"/>
      <c r="F42" s="1732" t="s">
        <v>1344</v>
      </c>
      <c r="G42" s="1788" t="s">
        <v>1356</v>
      </c>
      <c r="H42" s="1788"/>
    </row>
    <row r="43" spans="1:8" ht="19.95" customHeight="1">
      <c r="A43" s="1734" t="s">
        <v>1354</v>
      </c>
      <c r="B43" s="1730" t="str">
        <f>HYPERLINK("#'報告_短期P7-10'!A1","報告_短期P7-10")</f>
        <v>報告_短期P7-10</v>
      </c>
      <c r="C43" s="1785" t="s">
        <v>1357</v>
      </c>
      <c r="D43" s="1785"/>
      <c r="E43" s="1785"/>
      <c r="F43" s="1732" t="s">
        <v>1358</v>
      </c>
      <c r="G43" s="1780" t="s">
        <v>1359</v>
      </c>
      <c r="H43" s="1780"/>
    </row>
    <row r="44" spans="1:8" ht="19.95" customHeight="1">
      <c r="A44" s="1734" t="s">
        <v>1354</v>
      </c>
      <c r="B44" s="1727" t="str">
        <f>HYPERLINK("#'報告_短期P11-13'!A1","報告_短期P11-13")</f>
        <v>報告_短期P11-13</v>
      </c>
      <c r="C44" s="1781" t="s">
        <v>1360</v>
      </c>
      <c r="D44" s="1781"/>
      <c r="E44" s="1781"/>
      <c r="F44" s="1732" t="s">
        <v>1361</v>
      </c>
      <c r="G44" s="1788" t="s">
        <v>1362</v>
      </c>
      <c r="H44" s="1788"/>
    </row>
    <row r="45" spans="1:8" ht="19.95" customHeight="1">
      <c r="A45" s="1735" t="s">
        <v>1363</v>
      </c>
      <c r="B45" s="1730" t="str">
        <f>HYPERLINK("#'報告_P8グラフデータ'!A1","報告_P8グラフデータ")</f>
        <v>報告_P8グラフデータ</v>
      </c>
      <c r="C45" s="1785" t="s">
        <v>1364</v>
      </c>
      <c r="D45" s="1785"/>
      <c r="E45" s="1785"/>
      <c r="F45" s="1735" t="s">
        <v>1365</v>
      </c>
      <c r="G45" s="1780" t="s">
        <v>1366</v>
      </c>
      <c r="H45" s="1780"/>
    </row>
    <row r="46" spans="1:8" ht="19.95" customHeight="1">
      <c r="A46" s="1736" t="s">
        <v>1367</v>
      </c>
      <c r="B46" s="1727" t="str">
        <f>HYPERLINK("#'報告_厚生年金P14'!A1","報告_厚生年金P14")</f>
        <v>報告_厚生年金P14</v>
      </c>
      <c r="C46" s="1781" t="s">
        <v>1368</v>
      </c>
      <c r="D46" s="1781"/>
      <c r="E46" s="1781"/>
      <c r="F46" s="1732" t="s">
        <v>1344</v>
      </c>
      <c r="G46" s="1788" t="s">
        <v>1369</v>
      </c>
      <c r="H46" s="1788"/>
    </row>
    <row r="47" spans="1:8" ht="19.95" customHeight="1">
      <c r="A47" s="1736" t="s">
        <v>1367</v>
      </c>
      <c r="B47" s="1730" t="str">
        <f>HYPERLINK("#'報告_退職等年金P15'!A1","報告_退職等年金P15")</f>
        <v>報告_退職等年金P15</v>
      </c>
      <c r="C47" s="1785" t="s">
        <v>1370</v>
      </c>
      <c r="D47" s="1785"/>
      <c r="E47" s="1785"/>
      <c r="F47" s="1732" t="s">
        <v>1344</v>
      </c>
      <c r="G47" s="1780" t="s">
        <v>1371</v>
      </c>
      <c r="H47" s="1780"/>
    </row>
    <row r="48" spans="1:8" ht="19.95" customHeight="1">
      <c r="A48" s="1736" t="s">
        <v>1367</v>
      </c>
      <c r="B48" s="1727" t="str">
        <f>HYPERLINK("#'報告_経過的長期P16'!A1","報告_経過的長期P16")</f>
        <v>報告_経過的長期P16</v>
      </c>
      <c r="C48" s="1781" t="s">
        <v>1372</v>
      </c>
      <c r="D48" s="1781"/>
      <c r="E48" s="1781"/>
      <c r="F48" s="1732" t="s">
        <v>1344</v>
      </c>
      <c r="G48" s="1788" t="s">
        <v>1373</v>
      </c>
      <c r="H48" s="1788"/>
    </row>
    <row r="49" spans="1:8" ht="19.95" customHeight="1">
      <c r="A49" s="1736" t="s">
        <v>1367</v>
      </c>
      <c r="B49" s="1730" t="str">
        <f>HYPERLINK("#'報告_預託金P17'!A1","報告_預託金P17")</f>
        <v>報告_預託金P17</v>
      </c>
      <c r="C49" s="1785" t="s">
        <v>1374</v>
      </c>
      <c r="D49" s="1785"/>
      <c r="E49" s="1785"/>
      <c r="F49" s="1732" t="s">
        <v>1344</v>
      </c>
      <c r="G49" s="1780" t="s">
        <v>1375</v>
      </c>
      <c r="H49" s="1780"/>
    </row>
    <row r="50" spans="1:8" ht="19.95" customHeight="1">
      <c r="A50" s="1735" t="s">
        <v>1376</v>
      </c>
      <c r="B50" s="1727" t="str">
        <f>HYPERLINK("#'報告_預託金のカメラ'!A1","報告_預託金のカメラ")</f>
        <v>報告_預託金のカメラ</v>
      </c>
      <c r="C50" s="1781" t="s">
        <v>1377</v>
      </c>
      <c r="D50" s="1781"/>
      <c r="E50" s="1781"/>
      <c r="F50" s="1735" t="s">
        <v>1365</v>
      </c>
      <c r="G50" s="1788" t="s">
        <v>1378</v>
      </c>
      <c r="H50" s="1788"/>
    </row>
    <row r="51" spans="1:8" ht="19.95" customHeight="1">
      <c r="A51" s="1732" t="s">
        <v>1379</v>
      </c>
      <c r="B51" s="1730" t="str">
        <f>HYPERLINK("#'報告_業務P18'!A1","報告_業務P18")</f>
        <v>報告_業務P18</v>
      </c>
      <c r="C51" s="1785" t="s">
        <v>1380</v>
      </c>
      <c r="D51" s="1785"/>
      <c r="E51" s="1785"/>
      <c r="F51" s="1732" t="s">
        <v>1344</v>
      </c>
      <c r="G51" s="1780" t="s">
        <v>1381</v>
      </c>
      <c r="H51" s="1780"/>
    </row>
    <row r="52" spans="1:8" ht="19.95" customHeight="1">
      <c r="A52" s="1732" t="s">
        <v>1379</v>
      </c>
      <c r="B52" s="1727" t="str">
        <f>HYPERLINK("#'報告_業務P19'!A1","報告_業務P19")</f>
        <v>報告_業務P19</v>
      </c>
      <c r="C52" s="1781" t="s">
        <v>1382</v>
      </c>
      <c r="D52" s="1781"/>
      <c r="E52" s="1781"/>
      <c r="F52" s="1732" t="s">
        <v>1344</v>
      </c>
      <c r="G52" s="1788" t="s">
        <v>1383</v>
      </c>
      <c r="H52" s="1788"/>
    </row>
    <row r="53" spans="1:8" ht="19.95" customHeight="1">
      <c r="A53" s="1732" t="s">
        <v>1384</v>
      </c>
      <c r="B53" s="1730" t="str">
        <f>HYPERLINK("#'報告_保健P20-22'!A1","報告_保健P20-22")</f>
        <v>報告_保健P20-22</v>
      </c>
      <c r="C53" s="1785" t="s">
        <v>1385</v>
      </c>
      <c r="D53" s="1785"/>
      <c r="E53" s="1785"/>
      <c r="F53" s="1732" t="s">
        <v>1344</v>
      </c>
      <c r="G53" s="1780" t="s">
        <v>1386</v>
      </c>
      <c r="H53" s="1780"/>
    </row>
    <row r="54" spans="1:8" ht="19.95" customHeight="1">
      <c r="A54" s="1726" t="s">
        <v>1387</v>
      </c>
      <c r="B54" s="1727" t="str">
        <f>HYPERLINK("#'報告_貸付P23-25'!A1","報告_貸付P23-25")</f>
        <v>報告_貸付P23-25</v>
      </c>
      <c r="C54" s="1781" t="s">
        <v>1388</v>
      </c>
      <c r="D54" s="1781"/>
      <c r="E54" s="1781"/>
      <c r="F54" s="1732" t="s">
        <v>1344</v>
      </c>
      <c r="G54" s="1788" t="s">
        <v>1389</v>
      </c>
      <c r="H54" s="1788"/>
    </row>
    <row r="55" spans="1:8" ht="19.95" customHeight="1">
      <c r="A55" s="1735" t="s">
        <v>1390</v>
      </c>
      <c r="B55" s="1730" t="str">
        <f>HYPERLINK("#'報告_白紙P26'!A1","報告_白紙P26")</f>
        <v>報告_白紙P26</v>
      </c>
      <c r="C55" s="1785" t="s">
        <v>1391</v>
      </c>
      <c r="D55" s="1785"/>
      <c r="E55" s="1785"/>
      <c r="F55" s="1735" t="s">
        <v>1392</v>
      </c>
      <c r="G55" s="1780" t="s">
        <v>1393</v>
      </c>
      <c r="H55" s="1780"/>
    </row>
    <row r="56" spans="1:8" ht="19.95" customHeight="1">
      <c r="A56" s="1737" t="s">
        <v>1394</v>
      </c>
      <c r="B56" s="1727" t="str">
        <f>HYPERLINK("#'短期_財務諸表'!A1","短期_財務諸表")</f>
        <v>短期_財務諸表</v>
      </c>
      <c r="C56" s="1781" t="s">
        <v>1395</v>
      </c>
      <c r="D56" s="1781"/>
      <c r="E56" s="1781"/>
      <c r="F56" s="1732" t="s">
        <v>1344</v>
      </c>
      <c r="G56" s="1788" t="s">
        <v>1396</v>
      </c>
      <c r="H56" s="1788"/>
    </row>
    <row r="57" spans="1:8" ht="19.95" customHeight="1">
      <c r="A57" s="1737" t="s">
        <v>1394</v>
      </c>
      <c r="B57" s="1730" t="str">
        <f>HYPERLINK("#'短期_附属明細表'!A1","短期_附属明細表")</f>
        <v>短期_附属明細表</v>
      </c>
      <c r="C57" s="1785" t="s">
        <v>1397</v>
      </c>
      <c r="D57" s="1785"/>
      <c r="E57" s="1785"/>
      <c r="F57" s="1732" t="s">
        <v>1344</v>
      </c>
      <c r="G57" s="1780" t="s">
        <v>1398</v>
      </c>
      <c r="H57" s="1780"/>
    </row>
    <row r="58" spans="1:8" ht="19.95" customHeight="1">
      <c r="A58" s="1737" t="s">
        <v>1394</v>
      </c>
      <c r="B58" s="1727" t="str">
        <f>HYPERLINK("#'短期_決算精算表'!A1","短期_決算精算表")</f>
        <v>短期_決算精算表</v>
      </c>
      <c r="C58" s="1781" t="s">
        <v>1399</v>
      </c>
      <c r="D58" s="1781"/>
      <c r="E58" s="1781"/>
      <c r="F58" s="1732" t="s">
        <v>1344</v>
      </c>
      <c r="G58" s="1788" t="s">
        <v>1400</v>
      </c>
      <c r="H58" s="1788"/>
    </row>
    <row r="59" spans="1:8" ht="19.95" customHeight="1">
      <c r="A59" s="1736" t="s">
        <v>1401</v>
      </c>
      <c r="B59" s="1730" t="str">
        <f>HYPERLINK("#'厚生_貸借・損益'!A1","厚生_貸借・損益")</f>
        <v>厚生_貸借・損益</v>
      </c>
      <c r="C59" s="1785" t="s">
        <v>1402</v>
      </c>
      <c r="D59" s="1785"/>
      <c r="E59" s="1785"/>
      <c r="F59" s="1732" t="s">
        <v>1344</v>
      </c>
      <c r="G59" s="1780" t="s">
        <v>1403</v>
      </c>
      <c r="H59" s="1780"/>
    </row>
    <row r="60" spans="1:8" ht="19.95" customHeight="1">
      <c r="A60" s="1736" t="s">
        <v>1401</v>
      </c>
      <c r="B60" s="1727" t="str">
        <f>HYPERLINK("#'厚生_預金・立替・未収'!A1","厚生_預金・立替・未収")</f>
        <v>厚生_預金・立替・未収</v>
      </c>
      <c r="C60" s="1781" t="s">
        <v>1404</v>
      </c>
      <c r="D60" s="1781"/>
      <c r="E60" s="1781"/>
      <c r="F60" s="1732" t="s">
        <v>1344</v>
      </c>
      <c r="G60" s="1788" t="s">
        <v>1405</v>
      </c>
      <c r="H60" s="1788"/>
    </row>
    <row r="61" spans="1:8" ht="19.95" customHeight="1">
      <c r="A61" s="1736" t="s">
        <v>1401</v>
      </c>
      <c r="B61" s="1730" t="str">
        <f>HYPERLINK("#'厚生_決算精算表'!A1","厚生_決算精算表")</f>
        <v>厚生_決算精算表</v>
      </c>
      <c r="C61" s="1785" t="s">
        <v>1406</v>
      </c>
      <c r="D61" s="1785"/>
      <c r="E61" s="1785"/>
      <c r="F61" s="1732" t="s">
        <v>1344</v>
      </c>
      <c r="G61" s="1780" t="s">
        <v>1407</v>
      </c>
      <c r="H61" s="1780"/>
    </row>
    <row r="62" spans="1:8" ht="19.95" customHeight="1">
      <c r="A62" s="1735" t="s">
        <v>1390</v>
      </c>
      <c r="B62" s="1727" t="str">
        <f>HYPERLINK("#'厚生_白紙'!A1","厚生_白紙")</f>
        <v>厚生_白紙</v>
      </c>
      <c r="C62" s="1781" t="s">
        <v>1408</v>
      </c>
      <c r="D62" s="1781"/>
      <c r="E62" s="1781"/>
      <c r="F62" s="1735" t="s">
        <v>1392</v>
      </c>
      <c r="G62" s="1788" t="s">
        <v>1393</v>
      </c>
      <c r="H62" s="1788"/>
    </row>
    <row r="63" spans="1:8" ht="19.95" customHeight="1">
      <c r="A63" s="1736" t="s">
        <v>1409</v>
      </c>
      <c r="B63" s="1730" t="str">
        <f>HYPERLINK("#'退職等_貸借・損益'!A1","退職等_貸借・損益")</f>
        <v>退職等_貸借・損益</v>
      </c>
      <c r="C63" s="1785" t="s">
        <v>1410</v>
      </c>
      <c r="D63" s="1785"/>
      <c r="E63" s="1785"/>
      <c r="F63" s="1732" t="s">
        <v>1344</v>
      </c>
      <c r="G63" s="1780" t="s">
        <v>1403</v>
      </c>
      <c r="H63" s="1780"/>
    </row>
    <row r="64" spans="1:8" ht="19.95" customHeight="1">
      <c r="A64" s="1736" t="s">
        <v>1409</v>
      </c>
      <c r="B64" s="1727" t="str">
        <f>HYPERLINK("#'退職等_預金・立替・未収'!A1","退職等_預金・立替・未収")</f>
        <v>退職等_預金・立替・未収</v>
      </c>
      <c r="C64" s="1781" t="s">
        <v>1411</v>
      </c>
      <c r="D64" s="1781"/>
      <c r="E64" s="1781"/>
      <c r="F64" s="1732" t="s">
        <v>1344</v>
      </c>
      <c r="G64" s="1788" t="s">
        <v>1412</v>
      </c>
      <c r="H64" s="1788"/>
    </row>
    <row r="65" spans="1:8" ht="19.95" customHeight="1">
      <c r="A65" s="1736" t="s">
        <v>1409</v>
      </c>
      <c r="B65" s="1730" t="str">
        <f>HYPERLINK("#'退職等_決算精算表'!A1","退職等_決算精算表")</f>
        <v>退職等_決算精算表</v>
      </c>
      <c r="C65" s="1785" t="s">
        <v>1413</v>
      </c>
      <c r="D65" s="1785"/>
      <c r="E65" s="1785"/>
      <c r="F65" s="1732" t="s">
        <v>1344</v>
      </c>
      <c r="G65" s="1780" t="s">
        <v>1407</v>
      </c>
      <c r="H65" s="1780"/>
    </row>
    <row r="66" spans="1:8" ht="19.95" customHeight="1">
      <c r="A66" s="1735" t="s">
        <v>1390</v>
      </c>
      <c r="B66" s="1727" t="str">
        <f>HYPERLINK("#'退職等_白紙'!A1","退職等_白紙")</f>
        <v>退職等_白紙</v>
      </c>
      <c r="C66" s="1781" t="s">
        <v>1414</v>
      </c>
      <c r="D66" s="1781"/>
      <c r="E66" s="1781"/>
      <c r="F66" s="1735" t="s">
        <v>1392</v>
      </c>
      <c r="G66" s="1788" t="s">
        <v>1393</v>
      </c>
      <c r="H66" s="1788"/>
    </row>
    <row r="67" spans="1:8" ht="19.95" customHeight="1">
      <c r="A67" s="1736" t="s">
        <v>1415</v>
      </c>
      <c r="B67" s="1730" t="str">
        <f>HYPERLINK("#'経過的_貸借・損益'!A1","経過的_貸借・損益")</f>
        <v>経過的_貸借・損益</v>
      </c>
      <c r="C67" s="1785" t="s">
        <v>1416</v>
      </c>
      <c r="D67" s="1785"/>
      <c r="E67" s="1785"/>
      <c r="F67" s="1732" t="s">
        <v>1344</v>
      </c>
      <c r="G67" s="1780" t="s">
        <v>1403</v>
      </c>
      <c r="H67" s="1780"/>
    </row>
    <row r="68" spans="1:8" ht="19.95" customHeight="1">
      <c r="A68" s="1736" t="s">
        <v>1415</v>
      </c>
      <c r="B68" s="1727" t="str">
        <f>HYPERLINK("#'経過的_預金・立替・未収'!A1","経過的_預金・立替・未収")</f>
        <v>経過的_預金・立替・未収</v>
      </c>
      <c r="C68" s="1781" t="s">
        <v>1417</v>
      </c>
      <c r="D68" s="1781"/>
      <c r="E68" s="1781"/>
      <c r="F68" s="1732" t="s">
        <v>1344</v>
      </c>
      <c r="G68" s="1788" t="s">
        <v>1412</v>
      </c>
      <c r="H68" s="1788"/>
    </row>
    <row r="69" spans="1:8" ht="19.95" customHeight="1">
      <c r="A69" s="1736" t="s">
        <v>1415</v>
      </c>
      <c r="B69" s="1730" t="str">
        <f>HYPERLINK("#'経過的_決算精算表'!A1","経過的_決算精算表")</f>
        <v>経過的_決算精算表</v>
      </c>
      <c r="C69" s="1785" t="s">
        <v>1418</v>
      </c>
      <c r="D69" s="1785"/>
      <c r="E69" s="1785"/>
      <c r="F69" s="1732" t="s">
        <v>1344</v>
      </c>
      <c r="G69" s="1780" t="s">
        <v>1419</v>
      </c>
      <c r="H69" s="1780"/>
    </row>
    <row r="70" spans="1:8" ht="19.95" customHeight="1">
      <c r="A70" s="1735" t="s">
        <v>1390</v>
      </c>
      <c r="B70" s="1727" t="str">
        <f>HYPERLINK("#'経過的_白紙'!A1","経過的_白紙")</f>
        <v>経過的_白紙</v>
      </c>
      <c r="C70" s="1781" t="s">
        <v>1420</v>
      </c>
      <c r="D70" s="1781"/>
      <c r="E70" s="1781"/>
      <c r="F70" s="1735" t="s">
        <v>1392</v>
      </c>
      <c r="G70" s="1788" t="s">
        <v>1393</v>
      </c>
      <c r="H70" s="1788"/>
    </row>
    <row r="71" spans="1:8" ht="19.95" customHeight="1">
      <c r="A71" s="1736" t="s">
        <v>1421</v>
      </c>
      <c r="B71" s="1730" t="str">
        <f>HYPERLINK("#'預託金_貸借・損益'!A1","預託金_貸借・損益")</f>
        <v>預託金_貸借・損益</v>
      </c>
      <c r="C71" s="1785" t="s">
        <v>1422</v>
      </c>
      <c r="D71" s="1785"/>
      <c r="E71" s="1785"/>
      <c r="F71" s="1732" t="s">
        <v>1344</v>
      </c>
      <c r="G71" s="1780" t="s">
        <v>1403</v>
      </c>
      <c r="H71" s="1780"/>
    </row>
    <row r="72" spans="1:8" ht="19.95" customHeight="1">
      <c r="A72" s="1736" t="s">
        <v>1421</v>
      </c>
      <c r="B72" s="1727" t="str">
        <f>HYPERLINK("#'預託金_預金・未収・貸付・預託金'!A1","預託金_預金・未収・貸付・預託金")</f>
        <v>預託金_預金・未収・貸付・預託金</v>
      </c>
      <c r="C72" s="1781" t="s">
        <v>1423</v>
      </c>
      <c r="D72" s="1781"/>
      <c r="E72" s="1781"/>
      <c r="F72" s="1732" t="s">
        <v>1344</v>
      </c>
      <c r="G72" s="1788" t="s">
        <v>1424</v>
      </c>
      <c r="H72" s="1788"/>
    </row>
    <row r="73" spans="1:8" ht="19.95" customHeight="1">
      <c r="A73" s="1736" t="s">
        <v>1421</v>
      </c>
      <c r="B73" s="1730" t="str">
        <f>HYPERLINK("#'預託金_決算精算表'!A1","預託金_決算精算表")</f>
        <v>預託金_決算精算表</v>
      </c>
      <c r="C73" s="1785" t="s">
        <v>1425</v>
      </c>
      <c r="D73" s="1785"/>
      <c r="E73" s="1785"/>
      <c r="F73" s="1732" t="s">
        <v>1344</v>
      </c>
      <c r="G73" s="1780" t="s">
        <v>1426</v>
      </c>
      <c r="H73" s="1780"/>
    </row>
    <row r="74" spans="1:8" ht="19.95" customHeight="1">
      <c r="A74" s="1735" t="s">
        <v>1390</v>
      </c>
      <c r="B74" s="1727" t="str">
        <f>HYPERLINK("#'預託金_白紙'!A1","預託金_白紙")</f>
        <v>預託金_白紙</v>
      </c>
      <c r="C74" s="1781" t="s">
        <v>1427</v>
      </c>
      <c r="D74" s="1781"/>
      <c r="E74" s="1781"/>
      <c r="F74" s="1735" t="s">
        <v>1392</v>
      </c>
      <c r="G74" s="1788" t="s">
        <v>1393</v>
      </c>
      <c r="H74" s="1788"/>
    </row>
    <row r="75" spans="1:8" ht="19.95" customHeight="1">
      <c r="A75" s="1732" t="s">
        <v>1428</v>
      </c>
      <c r="B75" s="1730" t="str">
        <f>HYPERLINK("#'業務_財務諸表'!A1","業務_財務諸表")</f>
        <v>業務_財務諸表</v>
      </c>
      <c r="C75" s="1785" t="s">
        <v>1429</v>
      </c>
      <c r="D75" s="1785"/>
      <c r="E75" s="1785"/>
      <c r="F75" s="1732" t="s">
        <v>1344</v>
      </c>
      <c r="G75" s="1780" t="s">
        <v>1403</v>
      </c>
      <c r="H75" s="1780"/>
    </row>
    <row r="76" spans="1:8" ht="19.95" customHeight="1">
      <c r="A76" s="1732" t="s">
        <v>1428</v>
      </c>
      <c r="B76" s="1727" t="str">
        <f>HYPERLINK("#'業務_附属明細表'!A1","業務_附属明細表")</f>
        <v>業務_附属明細表</v>
      </c>
      <c r="C76" s="1781" t="s">
        <v>1430</v>
      </c>
      <c r="D76" s="1781"/>
      <c r="E76" s="1781"/>
      <c r="F76" s="1732" t="s">
        <v>1344</v>
      </c>
      <c r="G76" s="1788" t="s">
        <v>1431</v>
      </c>
      <c r="H76" s="1788"/>
    </row>
    <row r="77" spans="1:8" ht="19.95" customHeight="1">
      <c r="A77" s="1732" t="s">
        <v>1428</v>
      </c>
      <c r="B77" s="1730" t="str">
        <f>HYPERLINK("#'業務_決算精算表'!A1","業務_決算精算表")</f>
        <v>業務_決算精算表</v>
      </c>
      <c r="C77" s="1785" t="s">
        <v>1432</v>
      </c>
      <c r="D77" s="1785"/>
      <c r="E77" s="1785"/>
      <c r="F77" s="1732" t="s">
        <v>1344</v>
      </c>
      <c r="G77" s="1780" t="s">
        <v>1433</v>
      </c>
      <c r="H77" s="1780"/>
    </row>
    <row r="78" spans="1:8" ht="19.95" customHeight="1">
      <c r="A78" s="1735" t="s">
        <v>1390</v>
      </c>
      <c r="B78" s="1727" t="str">
        <f>HYPERLINK("#'業務_白紙'!A1","業務_白紙")</f>
        <v>業務_白紙</v>
      </c>
      <c r="C78" s="1781" t="s">
        <v>1434</v>
      </c>
      <c r="D78" s="1781"/>
      <c r="E78" s="1781"/>
      <c r="F78" s="1735" t="s">
        <v>1392</v>
      </c>
      <c r="G78" s="1788" t="s">
        <v>1393</v>
      </c>
      <c r="H78" s="1788"/>
    </row>
    <row r="79" spans="1:8" ht="19.95" customHeight="1">
      <c r="A79" s="1732" t="s">
        <v>1435</v>
      </c>
      <c r="B79" s="1730" t="str">
        <f>HYPERLINK("#'保健_財務諸表'!A1","保健_財務諸表")</f>
        <v>保健_財務諸表</v>
      </c>
      <c r="C79" s="1785" t="s">
        <v>1436</v>
      </c>
      <c r="D79" s="1785"/>
      <c r="E79" s="1785"/>
      <c r="F79" s="1732" t="s">
        <v>1344</v>
      </c>
      <c r="G79" s="1780" t="s">
        <v>1403</v>
      </c>
      <c r="H79" s="1780"/>
    </row>
    <row r="80" spans="1:8" ht="19.95" customHeight="1">
      <c r="A80" s="1732" t="s">
        <v>1435</v>
      </c>
      <c r="B80" s="1727" t="str">
        <f>HYPERLINK("#'保健_附属明細表'!A1","保健_附属明細表")</f>
        <v>保健_附属明細表</v>
      </c>
      <c r="C80" s="1781" t="s">
        <v>1437</v>
      </c>
      <c r="D80" s="1781"/>
      <c r="E80" s="1781"/>
      <c r="F80" s="1732" t="s">
        <v>1344</v>
      </c>
      <c r="G80" s="1788" t="s">
        <v>1438</v>
      </c>
      <c r="H80" s="1788"/>
    </row>
    <row r="81" spans="1:8" ht="19.95" customHeight="1">
      <c r="A81" s="1732" t="s">
        <v>1435</v>
      </c>
      <c r="B81" s="1730" t="str">
        <f>HYPERLINK("#'保健_決算精算表'!A1","保健_決算精算表")</f>
        <v>保健_決算精算表</v>
      </c>
      <c r="C81" s="1785" t="s">
        <v>1439</v>
      </c>
      <c r="D81" s="1785"/>
      <c r="E81" s="1785"/>
      <c r="F81" s="1732" t="s">
        <v>1344</v>
      </c>
      <c r="G81" s="1780" t="s">
        <v>1433</v>
      </c>
      <c r="H81" s="1780"/>
    </row>
    <row r="82" spans="1:8" ht="19.95" customHeight="1">
      <c r="A82" s="1726" t="s">
        <v>1440</v>
      </c>
      <c r="B82" s="1727" t="str">
        <f>HYPERLINK("#'貸付_入力'!A1","貸付_入力")</f>
        <v>貸付_入力</v>
      </c>
      <c r="C82" s="1781" t="s">
        <v>1441</v>
      </c>
      <c r="D82" s="1781"/>
      <c r="E82" s="1781"/>
      <c r="F82" s="1726" t="s">
        <v>1334</v>
      </c>
      <c r="G82" s="1788" t="s">
        <v>1442</v>
      </c>
      <c r="H82" s="1788"/>
    </row>
    <row r="83" spans="1:8" ht="19.95" customHeight="1">
      <c r="A83" s="1738" t="s">
        <v>1443</v>
      </c>
      <c r="B83" s="1730" t="str">
        <f>HYPERLINK("#'貸付_財務諸表'!A1","貸付_財務諸表")</f>
        <v>貸付_財務諸表</v>
      </c>
      <c r="C83" s="1785" t="s">
        <v>1444</v>
      </c>
      <c r="D83" s="1785"/>
      <c r="E83" s="1785"/>
      <c r="F83" s="1732" t="s">
        <v>1344</v>
      </c>
      <c r="G83" s="1780" t="s">
        <v>1445</v>
      </c>
      <c r="H83" s="1780"/>
    </row>
    <row r="84" spans="1:8" ht="19.95" customHeight="1">
      <c r="A84" s="1738" t="s">
        <v>1443</v>
      </c>
      <c r="B84" s="1727" t="str">
        <f>HYPERLINK("#'貸付_附属明細表'!A1","貸付_附属明細表")</f>
        <v>貸付_附属明細表</v>
      </c>
      <c r="C84" s="1781" t="s">
        <v>1446</v>
      </c>
      <c r="D84" s="1781"/>
      <c r="E84" s="1781"/>
      <c r="F84" s="1732" t="s">
        <v>1344</v>
      </c>
      <c r="G84" s="1788" t="s">
        <v>1445</v>
      </c>
      <c r="H84" s="1788"/>
    </row>
    <row r="85" spans="1:8" ht="19.95" customHeight="1">
      <c r="A85" s="1738" t="s">
        <v>1443</v>
      </c>
      <c r="B85" s="1730" t="str">
        <f>HYPERLINK("#'貸付_決算精算表'!A1","貸付_決算精算表")</f>
        <v>貸付_決算精算表</v>
      </c>
      <c r="C85" s="1785" t="s">
        <v>1447</v>
      </c>
      <c r="D85" s="1785"/>
      <c r="E85" s="1785"/>
      <c r="F85" s="1732" t="s">
        <v>1344</v>
      </c>
      <c r="G85" s="1780" t="s">
        <v>1445</v>
      </c>
      <c r="H85" s="1780"/>
    </row>
    <row r="86" spans="1:8" ht="19.95" customHeight="1">
      <c r="A86" s="1735" t="s">
        <v>1390</v>
      </c>
      <c r="B86" s="1727" t="str">
        <f>HYPERLINK("#'貸付_白紙'!A1","貸付_白紙")</f>
        <v>貸付_白紙</v>
      </c>
      <c r="C86" s="1781" t="s">
        <v>1448</v>
      </c>
      <c r="D86" s="1781"/>
      <c r="E86" s="1781"/>
      <c r="F86" s="1735" t="s">
        <v>1392</v>
      </c>
      <c r="G86" s="1788" t="s">
        <v>1393</v>
      </c>
      <c r="H86" s="1788"/>
    </row>
    <row r="87" spans="1:8" ht="19.95" customHeight="1">
      <c r="A87" s="1806" t="s">
        <v>1449</v>
      </c>
      <c r="B87" s="1806"/>
      <c r="C87" s="1806"/>
      <c r="D87" s="1806"/>
      <c r="E87" s="1806"/>
      <c r="F87" s="1806"/>
      <c r="G87" s="1806"/>
      <c r="H87" s="1806"/>
    </row>
    <row r="88" spans="1:8" ht="12" customHeight="1"/>
    <row r="89" spans="1:8" ht="25.05" customHeight="1">
      <c r="A89" s="1790" t="s">
        <v>1450</v>
      </c>
      <c r="B89" s="1790"/>
      <c r="C89" s="1790"/>
      <c r="D89" s="1790"/>
      <c r="E89" s="1790"/>
      <c r="F89" s="1790"/>
      <c r="G89" s="1790"/>
      <c r="H89" s="1790"/>
    </row>
    <row r="90" spans="1:8" ht="22.05" customHeight="1">
      <c r="A90" s="1700" t="s">
        <v>1451</v>
      </c>
      <c r="B90" s="1700" t="s">
        <v>1452</v>
      </c>
      <c r="C90" s="1700" t="s">
        <v>1453</v>
      </c>
      <c r="D90" s="1793" t="s">
        <v>1454</v>
      </c>
      <c r="E90" s="1793"/>
      <c r="F90" s="1793"/>
      <c r="G90" s="1793" t="s">
        <v>1455</v>
      </c>
      <c r="H90" s="1793"/>
    </row>
    <row r="91" spans="1:8" ht="22.05" customHeight="1">
      <c r="A91" s="1739">
        <v>1</v>
      </c>
      <c r="B91" s="1740" t="s">
        <v>1456</v>
      </c>
      <c r="C91" s="1741" t="str">
        <f>HYPERLINK("#'報告_短期P7-10'!DD38","DD38、DD40、DD41")</f>
        <v>DD38、DD40、DD41</v>
      </c>
      <c r="D91" s="1791" t="s">
        <v>1457</v>
      </c>
      <c r="E91" s="1791"/>
      <c r="F91" s="1791"/>
      <c r="G91" s="1784" t="s">
        <v>1458</v>
      </c>
      <c r="H91" s="1784"/>
    </row>
    <row r="92" spans="1:8" ht="22.05" customHeight="1">
      <c r="A92" s="1742">
        <v>2</v>
      </c>
      <c r="B92" s="1743" t="s">
        <v>1459</v>
      </c>
      <c r="C92" s="1744" t="str">
        <f>HYPERLINK("#'報告_貸付P23-25'!AD38","AD38")</f>
        <v>AD38</v>
      </c>
      <c r="D92" s="1787" t="s">
        <v>1460</v>
      </c>
      <c r="E92" s="1787"/>
      <c r="F92" s="1787"/>
      <c r="G92" s="1792" t="s">
        <v>1461</v>
      </c>
      <c r="H92" s="1792"/>
    </row>
    <row r="93" spans="1:8" ht="22.05" customHeight="1">
      <c r="A93" s="1739">
        <v>3</v>
      </c>
      <c r="B93" s="1740" t="s">
        <v>1462</v>
      </c>
      <c r="C93" s="1741" t="str">
        <f>HYPERLINK("#'預託金_預金・未収・貸付・預託金'!C21","C21")</f>
        <v>C21</v>
      </c>
      <c r="D93" s="1791" t="s">
        <v>1463</v>
      </c>
      <c r="E93" s="1791"/>
      <c r="F93" s="1791"/>
      <c r="G93" s="1784" t="s">
        <v>1464</v>
      </c>
      <c r="H93" s="1784"/>
    </row>
    <row r="94" spans="1:8" ht="22.05" customHeight="1">
      <c r="A94" s="1742">
        <v>4</v>
      </c>
      <c r="B94" s="1743" t="s">
        <v>1462</v>
      </c>
      <c r="C94" s="1744" t="str">
        <f>HYPERLINK("#'預託金_預金・未収・貸付・預託金'!F21","F21")</f>
        <v>F21</v>
      </c>
      <c r="D94" s="1787" t="s">
        <v>1465</v>
      </c>
      <c r="E94" s="1787"/>
      <c r="F94" s="1787"/>
      <c r="G94" s="1792" t="s">
        <v>1464</v>
      </c>
      <c r="H94" s="1792"/>
    </row>
    <row r="95" spans="1:8" ht="22.05" customHeight="1">
      <c r="A95" s="1739">
        <v>5</v>
      </c>
      <c r="B95" s="1740" t="s">
        <v>1462</v>
      </c>
      <c r="C95" s="1741" t="str">
        <f>HYPERLINK("#'預託金_預金・未収・貸付・預託金'!I21","I21")</f>
        <v>I21</v>
      </c>
      <c r="D95" s="1791" t="s">
        <v>1466</v>
      </c>
      <c r="E95" s="1791"/>
      <c r="F95" s="1791"/>
      <c r="G95" s="1784" t="s">
        <v>1464</v>
      </c>
      <c r="H95" s="1784"/>
    </row>
    <row r="96" spans="1:8" ht="22.05" customHeight="1">
      <c r="A96" s="1742">
        <v>6</v>
      </c>
      <c r="B96" s="1743" t="s">
        <v>1467</v>
      </c>
      <c r="C96" s="1744" t="str">
        <f>HYPERLINK("#'業務_附属明細表'!G31","G31")</f>
        <v>G31</v>
      </c>
      <c r="D96" s="1787" t="s">
        <v>1468</v>
      </c>
      <c r="E96" s="1787"/>
      <c r="F96" s="1787"/>
      <c r="G96" s="1792" t="s">
        <v>1464</v>
      </c>
      <c r="H96" s="1792"/>
    </row>
    <row r="97" spans="1:8" ht="28.05" customHeight="1">
      <c r="A97" s="1739">
        <v>7</v>
      </c>
      <c r="B97" s="1740" t="s">
        <v>1469</v>
      </c>
      <c r="C97" s="1741" t="str">
        <f>HYPERLINK("#'報告_P8グラフデータ'!C5","C5、C6 ほか12個")</f>
        <v>C5、C6 ほか12個</v>
      </c>
      <c r="D97" s="1791" t="s">
        <v>1470</v>
      </c>
      <c r="E97" s="1791"/>
      <c r="F97" s="1791"/>
      <c r="G97" s="1784" t="s">
        <v>1458</v>
      </c>
      <c r="H97" s="1784"/>
    </row>
    <row r="98" spans="1:8" ht="22.05" customHeight="1">
      <c r="A98" s="1742">
        <v>8</v>
      </c>
      <c r="B98" s="1743" t="s">
        <v>1471</v>
      </c>
      <c r="C98" s="1744" t="str">
        <f>HYPERLINK("#'貸付_入力'!C42","C42")</f>
        <v>C42</v>
      </c>
      <c r="D98" s="1787" t="s">
        <v>1472</v>
      </c>
      <c r="E98" s="1787"/>
      <c r="F98" s="1787"/>
      <c r="G98" s="1792" t="s">
        <v>1473</v>
      </c>
      <c r="H98" s="1792"/>
    </row>
    <row r="99" spans="1:8" ht="22.05" customHeight="1">
      <c r="A99" s="1739">
        <v>9</v>
      </c>
      <c r="B99" s="1740" t="s">
        <v>1467</v>
      </c>
      <c r="C99" s="1741" t="str">
        <f>HYPERLINK("#'業務_附属明細表'!M91","M91")</f>
        <v>M91</v>
      </c>
      <c r="D99" s="1791" t="s">
        <v>1474</v>
      </c>
      <c r="E99" s="1791"/>
      <c r="F99" s="1791"/>
      <c r="G99" s="1784" t="s">
        <v>1473</v>
      </c>
      <c r="H99" s="1784"/>
    </row>
    <row r="100" spans="1:8" ht="22.05" customHeight="1">
      <c r="A100" s="1742">
        <v>10</v>
      </c>
      <c r="B100" s="1743" t="s">
        <v>1475</v>
      </c>
      <c r="C100" s="1744" t="str">
        <f>HYPERLINK("#'保健_附属明細表'!M147","M147")</f>
        <v>M147</v>
      </c>
      <c r="D100" s="1787" t="s">
        <v>1476</v>
      </c>
      <c r="E100" s="1787"/>
      <c r="F100" s="1787"/>
      <c r="G100" s="1792" t="s">
        <v>1473</v>
      </c>
      <c r="H100" s="1792"/>
    </row>
    <row r="101" spans="1:8" ht="22.05" customHeight="1">
      <c r="A101" s="1739">
        <v>11</v>
      </c>
      <c r="B101" s="1740" t="s">
        <v>1477</v>
      </c>
      <c r="C101" s="1741" t="str">
        <f>HYPERLINK("#'貸付_決算精算表'!D31","D31")</f>
        <v>D31</v>
      </c>
      <c r="D101" s="1791" t="s">
        <v>1478</v>
      </c>
      <c r="E101" s="1791"/>
      <c r="F101" s="1791"/>
      <c r="G101" s="1784" t="s">
        <v>1479</v>
      </c>
      <c r="H101" s="1784"/>
    </row>
    <row r="102" spans="1:8" ht="22.05" customHeight="1">
      <c r="A102" s="1742">
        <v>12</v>
      </c>
      <c r="B102" s="1743" t="s">
        <v>1480</v>
      </c>
      <c r="C102" s="1744" t="s">
        <v>1481</v>
      </c>
      <c r="D102" s="1787" t="s">
        <v>1482</v>
      </c>
      <c r="E102" s="1787"/>
      <c r="F102" s="1787"/>
      <c r="G102" s="1792" t="s">
        <v>1483</v>
      </c>
      <c r="H102" s="1792"/>
    </row>
    <row r="103" spans="1:8" ht="12" customHeight="1"/>
    <row r="104" spans="1:8" ht="25.05" customHeight="1">
      <c r="A104" s="1790" t="s">
        <v>1484</v>
      </c>
      <c r="B104" s="1790"/>
      <c r="C104" s="1790"/>
      <c r="D104" s="1790"/>
      <c r="E104" s="1790"/>
      <c r="F104" s="1790"/>
      <c r="G104" s="1790"/>
      <c r="H104" s="1790"/>
    </row>
    <row r="105" spans="1:8" ht="22.05" customHeight="1">
      <c r="A105" s="1700" t="s">
        <v>1451</v>
      </c>
      <c r="B105" s="1700" t="s">
        <v>1452</v>
      </c>
      <c r="C105" s="1700" t="s">
        <v>1453</v>
      </c>
      <c r="D105" s="1793" t="s">
        <v>1485</v>
      </c>
      <c r="E105" s="1793"/>
      <c r="F105" s="1793"/>
      <c r="G105" s="1793" t="s">
        <v>1486</v>
      </c>
      <c r="H105" s="1793"/>
    </row>
    <row r="106" spans="1:8" ht="28.05" customHeight="1">
      <c r="A106" s="1742">
        <v>1</v>
      </c>
      <c r="B106" s="1743" t="s">
        <v>1487</v>
      </c>
      <c r="C106" s="1744" t="str">
        <f>HYPERLINK("#'退職等_貸借・損益'!L9","L9")</f>
        <v>L9</v>
      </c>
      <c r="D106" s="1787" t="s">
        <v>1488</v>
      </c>
      <c r="E106" s="1787"/>
      <c r="F106" s="1787"/>
      <c r="G106" s="1789" t="s">
        <v>1489</v>
      </c>
      <c r="H106" s="1789"/>
    </row>
    <row r="107" spans="1:8" ht="28.05" customHeight="1">
      <c r="A107" s="1739">
        <v>2</v>
      </c>
      <c r="B107" s="1740" t="s">
        <v>1490</v>
      </c>
      <c r="C107" s="1741" t="str">
        <f>HYPERLINK("#'貸付_財務諸表'!F20","F20")</f>
        <v>F20</v>
      </c>
      <c r="D107" s="1791" t="s">
        <v>1491</v>
      </c>
      <c r="E107" s="1791"/>
      <c r="F107" s="1791"/>
      <c r="G107" s="1789" t="s">
        <v>1492</v>
      </c>
      <c r="H107" s="1789"/>
    </row>
    <row r="108" spans="1:8" ht="28.05" customHeight="1">
      <c r="A108" s="1742">
        <v>3</v>
      </c>
      <c r="B108" s="1743" t="s">
        <v>1475</v>
      </c>
      <c r="C108" s="1744" t="str">
        <f>HYPERLINK("#'保健_附属明細表'!J138","J138")</f>
        <v>J138</v>
      </c>
      <c r="D108" s="1787" t="s">
        <v>1493</v>
      </c>
      <c r="E108" s="1787"/>
      <c r="F108" s="1787"/>
      <c r="G108" s="1789" t="s">
        <v>1494</v>
      </c>
      <c r="H108" s="1789"/>
    </row>
    <row r="109" spans="1:8" ht="28.05" customHeight="1">
      <c r="A109" s="1739">
        <v>4</v>
      </c>
      <c r="B109" s="1740" t="s">
        <v>1495</v>
      </c>
      <c r="C109" s="1741" t="str">
        <f>HYPERLINK("#'短期_附属明細表'!E110","E110")</f>
        <v>E110</v>
      </c>
      <c r="D109" s="1791" t="s">
        <v>1496</v>
      </c>
      <c r="E109" s="1791"/>
      <c r="F109" s="1791"/>
      <c r="G109" s="1789" t="s">
        <v>1497</v>
      </c>
      <c r="H109" s="1789"/>
    </row>
    <row r="110" spans="1:8" ht="28.05" customHeight="1">
      <c r="A110" s="1742">
        <v>5</v>
      </c>
      <c r="B110" s="1743" t="s">
        <v>1498</v>
      </c>
      <c r="C110" s="1744" t="str">
        <f>HYPERLINK("#'報告_業務P19'!AN23","AN23")</f>
        <v>AN23</v>
      </c>
      <c r="D110" s="1787" t="s">
        <v>1499</v>
      </c>
      <c r="E110" s="1787"/>
      <c r="F110" s="1787"/>
      <c r="G110" s="1789" t="s">
        <v>1500</v>
      </c>
      <c r="H110" s="1789"/>
    </row>
    <row r="111" spans="1:8" ht="28.05" customHeight="1">
      <c r="A111" s="1739">
        <v>6</v>
      </c>
      <c r="B111" s="1740" t="s">
        <v>1501</v>
      </c>
      <c r="C111" s="1741" t="str">
        <f>HYPERLINK("#'報告_短期P11-13'!AD18","AD18")</f>
        <v>AD18</v>
      </c>
      <c r="D111" s="1791" t="s">
        <v>1502</v>
      </c>
      <c r="E111" s="1791"/>
      <c r="F111" s="1791"/>
      <c r="G111" s="1789" t="s">
        <v>1503</v>
      </c>
      <c r="H111" s="1789"/>
    </row>
    <row r="112" spans="1:8" ht="28.05" customHeight="1">
      <c r="A112" s="1742">
        <v>7</v>
      </c>
      <c r="B112" s="1743" t="s">
        <v>1501</v>
      </c>
      <c r="C112" s="1744" t="str">
        <f>HYPERLINK("#'報告_短期P11-13'!AA49","AA49")</f>
        <v>AA49</v>
      </c>
      <c r="D112" s="1787" t="s">
        <v>1504</v>
      </c>
      <c r="E112" s="1787"/>
      <c r="F112" s="1787"/>
      <c r="G112" s="1789" t="s">
        <v>1505</v>
      </c>
      <c r="H112" s="1789"/>
    </row>
    <row r="113" spans="1:8" ht="28.05" customHeight="1">
      <c r="A113" s="1739">
        <v>8</v>
      </c>
      <c r="B113" s="1740" t="s">
        <v>1506</v>
      </c>
      <c r="C113" s="1741" t="str">
        <f>HYPERLINK("#'報告_総括P3-5'!V28","V28")</f>
        <v>V28</v>
      </c>
      <c r="D113" s="1791" t="s">
        <v>1507</v>
      </c>
      <c r="E113" s="1791"/>
      <c r="F113" s="1791"/>
      <c r="G113" s="1789" t="s">
        <v>1508</v>
      </c>
      <c r="H113" s="1789"/>
    </row>
    <row r="114" spans="1:8" ht="28.05" customHeight="1">
      <c r="A114" s="1742">
        <v>9</v>
      </c>
      <c r="B114" s="1743" t="s">
        <v>1469</v>
      </c>
      <c r="C114" s="1744" t="str">
        <f>HYPERLINK("#'報告_P8グラフデータ'!B5","B5")</f>
        <v>B5</v>
      </c>
      <c r="D114" s="1787" t="s">
        <v>1509</v>
      </c>
      <c r="E114" s="1787"/>
      <c r="F114" s="1787"/>
      <c r="G114" s="1789" t="s">
        <v>1510</v>
      </c>
      <c r="H114" s="1789"/>
    </row>
    <row r="115" spans="1:8" ht="13.95" customHeight="1"/>
    <row r="116" spans="1:8" ht="25.95" customHeight="1">
      <c r="A116" s="1802" t="s">
        <v>1511</v>
      </c>
      <c r="B116" s="1802"/>
      <c r="C116" s="1802"/>
      <c r="D116" s="1802"/>
      <c r="E116" s="1802"/>
      <c r="F116" s="1802"/>
      <c r="G116" s="1802"/>
      <c r="H116" s="1802"/>
    </row>
    <row r="117" spans="1:8" ht="28.05" customHeight="1">
      <c r="A117" s="1803" t="s">
        <v>1512</v>
      </c>
      <c r="B117" s="1803"/>
      <c r="C117" s="1803"/>
      <c r="D117" s="1803"/>
      <c r="E117" s="1803"/>
      <c r="F117" s="1803"/>
      <c r="G117" s="1803"/>
      <c r="H117" s="1803"/>
    </row>
    <row r="118" spans="1:8" ht="22.05" customHeight="1">
      <c r="A118" s="1745" t="s">
        <v>1513</v>
      </c>
      <c r="B118" s="1745" t="s">
        <v>1514</v>
      </c>
      <c r="C118" s="1745" t="s">
        <v>1515</v>
      </c>
      <c r="D118" s="1801" t="s">
        <v>1516</v>
      </c>
      <c r="E118" s="1801"/>
      <c r="F118" s="1801"/>
      <c r="G118" s="1801" t="s">
        <v>1517</v>
      </c>
      <c r="H118" s="1801"/>
    </row>
    <row r="119" spans="1:8" ht="25.95" customHeight="1">
      <c r="A119" s="1746">
        <v>1</v>
      </c>
      <c r="B119" s="1747" t="s">
        <v>1518</v>
      </c>
      <c r="C119" s="1748" t="s">
        <v>1519</v>
      </c>
      <c r="D119" s="1791" t="s">
        <v>1520</v>
      </c>
      <c r="E119" s="1791"/>
      <c r="F119" s="1791"/>
      <c r="G119" s="1784" t="s">
        <v>1521</v>
      </c>
      <c r="H119" s="1784"/>
    </row>
    <row r="120" spans="1:8" ht="25.95" customHeight="1">
      <c r="A120" s="1746">
        <v>2</v>
      </c>
      <c r="B120" s="1749" t="s">
        <v>1522</v>
      </c>
      <c r="C120" s="1748" t="s">
        <v>1523</v>
      </c>
      <c r="D120" s="1787" t="s">
        <v>1524</v>
      </c>
      <c r="E120" s="1787"/>
      <c r="F120" s="1787"/>
      <c r="G120" s="1792" t="s">
        <v>1525</v>
      </c>
      <c r="H120" s="1792"/>
    </row>
    <row r="121" spans="1:8" ht="25.95" customHeight="1">
      <c r="A121" s="1746">
        <v>3</v>
      </c>
      <c r="B121" s="1747" t="s">
        <v>1526</v>
      </c>
      <c r="C121" s="1748" t="s">
        <v>1527</v>
      </c>
      <c r="D121" s="1791" t="s">
        <v>1528</v>
      </c>
      <c r="E121" s="1791"/>
      <c r="F121" s="1791"/>
      <c r="G121" s="1784" t="s">
        <v>1529</v>
      </c>
      <c r="H121" s="1784"/>
    </row>
    <row r="122" spans="1:8" ht="25.95" customHeight="1">
      <c r="A122" s="1746">
        <v>4</v>
      </c>
      <c r="B122" s="1749" t="s">
        <v>1530</v>
      </c>
      <c r="C122" s="1748" t="s">
        <v>1531</v>
      </c>
      <c r="D122" s="1787" t="s">
        <v>1532</v>
      </c>
      <c r="E122" s="1787"/>
      <c r="F122" s="1787"/>
      <c r="G122" s="1792" t="s">
        <v>1533</v>
      </c>
      <c r="H122" s="1792"/>
    </row>
    <row r="123" spans="1:8" ht="25.95" customHeight="1">
      <c r="A123" s="1746">
        <v>5</v>
      </c>
      <c r="B123" s="1747" t="s">
        <v>1534</v>
      </c>
      <c r="C123" s="1748" t="s">
        <v>1535</v>
      </c>
      <c r="D123" s="1791" t="s">
        <v>1536</v>
      </c>
      <c r="E123" s="1791"/>
      <c r="F123" s="1791"/>
      <c r="G123" s="1784" t="s">
        <v>1537</v>
      </c>
      <c r="H123" s="1784"/>
    </row>
    <row r="124" spans="1:8" ht="25.95" customHeight="1">
      <c r="A124" s="1746">
        <v>6</v>
      </c>
      <c r="B124" s="1749" t="s">
        <v>1538</v>
      </c>
      <c r="C124" s="1748" t="s">
        <v>1539</v>
      </c>
      <c r="D124" s="1787" t="s">
        <v>1540</v>
      </c>
      <c r="E124" s="1787"/>
      <c r="F124" s="1787"/>
      <c r="G124" s="1792" t="s">
        <v>1541</v>
      </c>
      <c r="H124" s="1792"/>
    </row>
    <row r="125" spans="1:8" ht="25.95" customHeight="1">
      <c r="A125" s="1746">
        <v>7</v>
      </c>
      <c r="B125" s="1747" t="s">
        <v>1542</v>
      </c>
      <c r="C125" s="1748" t="s">
        <v>1543</v>
      </c>
      <c r="D125" s="1791" t="s">
        <v>1544</v>
      </c>
      <c r="E125" s="1791"/>
      <c r="F125" s="1791"/>
      <c r="G125" s="1784" t="s">
        <v>1545</v>
      </c>
      <c r="H125" s="1784"/>
    </row>
    <row r="126" spans="1:8" ht="25.95" customHeight="1">
      <c r="A126" s="1746">
        <v>8</v>
      </c>
      <c r="B126" s="1749" t="s">
        <v>1546</v>
      </c>
      <c r="C126" s="1748" t="s">
        <v>1547</v>
      </c>
      <c r="D126" s="1787" t="s">
        <v>1548</v>
      </c>
      <c r="E126" s="1787"/>
      <c r="F126" s="1787"/>
      <c r="G126" s="1792" t="s">
        <v>1549</v>
      </c>
      <c r="H126" s="1792"/>
    </row>
  </sheetData>
  <sheetProtection formatCells="0" formatColumns="0" formatRows="0" insertColumns="0" insertRows="0" insertHyperlinks="0" deleteColumns="0" deleteRows="0" selectLockedCells="1"/>
  <mergeCells count="206">
    <mergeCell ref="F5"/>
    <mergeCell ref="G55:H55"/>
    <mergeCell ref="A4:H4"/>
    <mergeCell ref="C58:E58"/>
    <mergeCell ref="D90:F90"/>
    <mergeCell ref="G109:H109"/>
    <mergeCell ref="G47:H47"/>
    <mergeCell ref="C45:E45"/>
    <mergeCell ref="G119:H119"/>
    <mergeCell ref="G46:H46"/>
    <mergeCell ref="G40:H40"/>
    <mergeCell ref="G111:H111"/>
    <mergeCell ref="C65:E65"/>
    <mergeCell ref="C47:E47"/>
    <mergeCell ref="D126:F126"/>
    <mergeCell ref="G120:H120"/>
    <mergeCell ref="G98:H98"/>
    <mergeCell ref="G36:H36"/>
    <mergeCell ref="A11:H11"/>
    <mergeCell ref="C56:E56"/>
    <mergeCell ref="G107:H107"/>
    <mergeCell ref="A1:H1"/>
    <mergeCell ref="C43:E43"/>
    <mergeCell ref="D125:F125"/>
    <mergeCell ref="G82:H82"/>
    <mergeCell ref="D112:F112"/>
    <mergeCell ref="C76:E76"/>
    <mergeCell ref="A87:H87"/>
    <mergeCell ref="D118:F118"/>
    <mergeCell ref="G53:H53"/>
    <mergeCell ref="E6:E7"/>
    <mergeCell ref="G93:H93"/>
    <mergeCell ref="C82:E82"/>
    <mergeCell ref="D114:F114"/>
    <mergeCell ref="A89:H89"/>
    <mergeCell ref="G74:H74"/>
    <mergeCell ref="E5"/>
    <mergeCell ref="G83:H83"/>
    <mergeCell ref="G106:H106"/>
    <mergeCell ref="D101:F101"/>
    <mergeCell ref="A117:H117"/>
    <mergeCell ref="D6:D7"/>
    <mergeCell ref="D124:F124"/>
    <mergeCell ref="F6:F7"/>
    <mergeCell ref="G56:H56"/>
    <mergeCell ref="G96:H96"/>
    <mergeCell ref="C54:E54"/>
    <mergeCell ref="G105:H105"/>
    <mergeCell ref="G43:H43"/>
    <mergeCell ref="C41:E41"/>
    <mergeCell ref="G52:H52"/>
    <mergeCell ref="G72:H72"/>
    <mergeCell ref="C66:E66"/>
    <mergeCell ref="D98:F98"/>
    <mergeCell ref="G92:H92"/>
    <mergeCell ref="C53:E53"/>
    <mergeCell ref="G124:H124"/>
    <mergeCell ref="C16:F16"/>
    <mergeCell ref="G45:H45"/>
    <mergeCell ref="C86:E86"/>
    <mergeCell ref="C68:E68"/>
    <mergeCell ref="C83:E83"/>
    <mergeCell ref="G126:H126"/>
    <mergeCell ref="G39:H39"/>
    <mergeCell ref="G122:H122"/>
    <mergeCell ref="C36:E36"/>
    <mergeCell ref="D122:F122"/>
    <mergeCell ref="F8:F9"/>
    <mergeCell ref="G101:H101"/>
    <mergeCell ref="G37:H37"/>
    <mergeCell ref="G69:H69"/>
    <mergeCell ref="D121:F121"/>
    <mergeCell ref="C67:E67"/>
    <mergeCell ref="G78:H78"/>
    <mergeCell ref="G118:H118"/>
    <mergeCell ref="C72:E72"/>
    <mergeCell ref="D113:F113"/>
    <mergeCell ref="C37:E37"/>
    <mergeCell ref="D123:F123"/>
    <mergeCell ref="C69:E69"/>
    <mergeCell ref="G80:H80"/>
    <mergeCell ref="G95:H95"/>
    <mergeCell ref="A33:H33"/>
    <mergeCell ref="C78:E78"/>
    <mergeCell ref="A116:H116"/>
    <mergeCell ref="G64:H64"/>
    <mergeCell ref="A2:H2"/>
    <mergeCell ref="D110:F110"/>
    <mergeCell ref="G65:H65"/>
    <mergeCell ref="D100:F100"/>
    <mergeCell ref="G8:H9"/>
    <mergeCell ref="D109:F109"/>
    <mergeCell ref="G35:H35"/>
    <mergeCell ref="G3"/>
    <mergeCell ref="A20:H20"/>
    <mergeCell ref="G76:H76"/>
    <mergeCell ref="C79:E79"/>
    <mergeCell ref="G90:H90"/>
    <mergeCell ref="C73:E73"/>
    <mergeCell ref="G99:H99"/>
    <mergeCell ref="C35:E35"/>
    <mergeCell ref="G60:H60"/>
    <mergeCell ref="D108:F108"/>
    <mergeCell ref="C63:E63"/>
    <mergeCell ref="D95:F95"/>
    <mergeCell ref="C50:E50"/>
    <mergeCell ref="C55:E55"/>
    <mergeCell ref="G42:H42"/>
    <mergeCell ref="D97:F97"/>
    <mergeCell ref="A3:B3"/>
    <mergeCell ref="D106:F106"/>
    <mergeCell ref="G125:H125"/>
    <mergeCell ref="A5:C5"/>
    <mergeCell ref="G38:H38"/>
    <mergeCell ref="C52:E52"/>
    <mergeCell ref="C61:E61"/>
    <mergeCell ref="D93:F93"/>
    <mergeCell ref="C39:E39"/>
    <mergeCell ref="G112:H112"/>
    <mergeCell ref="C70:E70"/>
    <mergeCell ref="C48:E48"/>
    <mergeCell ref="G62:H62"/>
    <mergeCell ref="C14:F14"/>
    <mergeCell ref="C81:E81"/>
    <mergeCell ref="C38:E38"/>
    <mergeCell ref="A18:H18"/>
    <mergeCell ref="G49:H49"/>
    <mergeCell ref="D111:F111"/>
    <mergeCell ref="G79:H79"/>
    <mergeCell ref="C62:E62"/>
    <mergeCell ref="G73:H73"/>
    <mergeCell ref="G51:H51"/>
    <mergeCell ref="D99:F99"/>
    <mergeCell ref="G54:H54"/>
    <mergeCell ref="G123:H123"/>
    <mergeCell ref="C77:E77"/>
    <mergeCell ref="C34:E34"/>
    <mergeCell ref="G110:H110"/>
    <mergeCell ref="C42:E42"/>
    <mergeCell ref="D119:F119"/>
    <mergeCell ref="G113:H113"/>
    <mergeCell ref="G91:H91"/>
    <mergeCell ref="C74:E74"/>
    <mergeCell ref="G85:H85"/>
    <mergeCell ref="G100:H100"/>
    <mergeCell ref="G94:H94"/>
    <mergeCell ref="D96:F96"/>
    <mergeCell ref="G44:H44"/>
    <mergeCell ref="G75:H75"/>
    <mergeCell ref="G84:H84"/>
    <mergeCell ref="D105:F105"/>
    <mergeCell ref="G102:H102"/>
    <mergeCell ref="C85:E85"/>
    <mergeCell ref="G59:H59"/>
    <mergeCell ref="G77:H77"/>
    <mergeCell ref="D120:F120"/>
    <mergeCell ref="G86:H86"/>
    <mergeCell ref="C75:E75"/>
    <mergeCell ref="D102:F102"/>
    <mergeCell ref="G57:H57"/>
    <mergeCell ref="C15:F15"/>
    <mergeCell ref="G66:H66"/>
    <mergeCell ref="D92:F92"/>
    <mergeCell ref="G121:H121"/>
    <mergeCell ref="G34:H34"/>
    <mergeCell ref="C57:E57"/>
    <mergeCell ref="G68:H68"/>
    <mergeCell ref="D94:F94"/>
    <mergeCell ref="G108:H108"/>
    <mergeCell ref="A104:H104"/>
    <mergeCell ref="C49:E49"/>
    <mergeCell ref="G58:H58"/>
    <mergeCell ref="G114:H114"/>
    <mergeCell ref="C17:F17"/>
    <mergeCell ref="C84:E84"/>
    <mergeCell ref="D107:F107"/>
    <mergeCell ref="G67:H67"/>
    <mergeCell ref="G61:H61"/>
    <mergeCell ref="C59:E59"/>
    <mergeCell ref="G70:H70"/>
    <mergeCell ref="D91:F91"/>
    <mergeCell ref="G48:H48"/>
    <mergeCell ref="G81:H81"/>
    <mergeCell ref="C44:E44"/>
    <mergeCell ref="E8:E9"/>
    <mergeCell ref="C80:E80"/>
    <mergeCell ref="H3"/>
    <mergeCell ref="C40:E40"/>
    <mergeCell ref="G71:H71"/>
    <mergeCell ref="G97:H97"/>
    <mergeCell ref="C51:E51"/>
    <mergeCell ref="C13:F13"/>
    <mergeCell ref="C60:E60"/>
    <mergeCell ref="C71:E71"/>
    <mergeCell ref="D8:D9"/>
    <mergeCell ref="C3:D3"/>
    <mergeCell ref="E3:F3"/>
    <mergeCell ref="G6:H7"/>
    <mergeCell ref="D5"/>
    <mergeCell ref="C46:E46"/>
    <mergeCell ref="C12:F12"/>
    <mergeCell ref="G63:H63"/>
    <mergeCell ref="G41:H41"/>
    <mergeCell ref="G50:H50"/>
    <mergeCell ref="C64:E64"/>
    <mergeCell ref="G5:H5"/>
  </mergeCells>
  <phoneticPr fontId="155"/>
  <conditionalFormatting sqref="E22:E31">
    <cfRule type="cellIs" dxfId="4" priority="5" stopIfTrue="1" operator="equal">
      <formula>"NGあり"</formula>
    </cfRule>
  </conditionalFormatting>
  <pageMargins left="0.5" right="0.5" top="0.6" bottom="0.6" header="0.3" footer="0.3"/>
  <pageSetup paperSize="9" fitToHeight="0" orientation="portrait"/>
  <extLst>
    <ext xmlns:x14="http://schemas.microsoft.com/office/spreadsheetml/2009/9/main" uri="{78C0D931-6437-407d-A8EE-F0AAD7539E65}">
      <x14:conditionalFormattings>
        <x14:conditionalFormatting xmlns:xm="http://schemas.microsoft.com/office/excel/2006/main">
          <x14:cfRule type="expression" priority="4" stopIfTrue="1" id="{00000000-000E-0000-0000-000004000000}">
            <xm:f>チェック!$L$6&gt;0</xm:f>
            <x14:dxf>
              <font>
                <b/>
                <sz val="12"/>
                <color rgb="FF9C0006"/>
                <name val="游ゴシック"/>
              </font>
              <fill>
                <patternFill patternType="solid">
                  <fgColor rgb="FFFFC7CE"/>
                  <bgColor rgb="FFFFC7CE"/>
                </patternFill>
              </fill>
            </x14:dxf>
          </x14:cfRule>
          <xm:sqref>A1:H1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BEB7A-C1EB-43C1-A46E-E358520D6EEC}">
  <sheetPr codeName="Sheet2">
    <tabColor rgb="FFA6A6A6"/>
    <pageSetUpPr fitToPage="1"/>
  </sheetPr>
  <dimension ref="A1:I843"/>
  <sheetViews>
    <sheetView zoomScaleNormal="100" workbookViewId="0">
      <pane ySplit="5" topLeftCell="A14" activePane="bottomLeft" state="frozen"/>
      <selection pane="bottomLeft" activeCell="A3" sqref="A3:G3"/>
    </sheetView>
  </sheetViews>
  <sheetFormatPr defaultRowHeight="13.2"/>
  <cols>
    <col min="1" max="1" width="24" style="1698" customWidth="1"/>
    <col min="2" max="2" width="28" style="1698" customWidth="1"/>
    <col min="3" max="3" width="13" style="1698" customWidth="1"/>
    <col min="4" max="4" width="46" style="1698" customWidth="1"/>
    <col min="5" max="5" width="20" style="1698" customWidth="1"/>
    <col min="6" max="6" width="26" style="1698" customWidth="1"/>
    <col min="7" max="7" width="18" style="1698" customWidth="1"/>
    <col min="8" max="8" width="52" style="1698" customWidth="1"/>
    <col min="9" max="9" width="36" style="1698" customWidth="1"/>
  </cols>
  <sheetData>
    <row r="1" spans="1:7" ht="30" customHeight="1">
      <c r="A1" s="1811" t="s">
        <v>1550</v>
      </c>
      <c r="B1" s="1811"/>
      <c r="C1" s="1811"/>
      <c r="D1" s="1811"/>
      <c r="E1" s="1811"/>
      <c r="F1" s="1811"/>
      <c r="G1" s="1811"/>
    </row>
    <row r="2" spans="1:7" ht="22.05" customHeight="1">
      <c r="A2" s="1809" t="s">
        <v>1551</v>
      </c>
      <c r="B2" s="1809"/>
      <c r="C2" s="1809"/>
      <c r="D2" s="1809"/>
      <c r="E2" s="1809"/>
      <c r="F2" s="1809"/>
      <c r="G2" s="1710" t="str">
        <f>HYPERLINK("#'入力ガイド'!A1","入力ガイドへ戻る")</f>
        <v>入力ガイドへ戻る</v>
      </c>
    </row>
    <row r="3" spans="1:7" ht="25.05" customHeight="1">
      <c r="A3" s="1812" t="str">
        <f>"手入力セル総数："&amp;COUNTA(C6:C842)&amp;" 個  ｜  入力済："&amp;COUNTIF(G6:G842,"入力済")&amp;" 個  ｜  0（確認済）："&amp;COUNTIF(G6:G842,"0（確認）")&amp;" 個  ｜  未入力（空欄）："&amp;COUNTIF(G6:G842,"未入力（空欄）")&amp;" 個  ＋  前年度貼付シート（325項目）"</f>
        <v>手入力セル総数：837 個  ｜  入力済：628 個  ｜  0（確認済）：201 個  ｜  未入力（空欄）：8 個  ＋  前年度貼付シート（325項目）</v>
      </c>
      <c r="B3" s="1812"/>
      <c r="C3" s="1812"/>
      <c r="D3" s="1812"/>
      <c r="E3" s="1812"/>
      <c r="F3" s="1812"/>
      <c r="G3" s="1812"/>
    </row>
    <row r="4" spans="1:7" ht="22.05" customHeight="1">
      <c r="A4" s="1750" t="str">
        <f>HYPERLINK("#'入力ガイド'!A1","入力ガイドへ")</f>
        <v>入力ガイドへ</v>
      </c>
      <c r="B4" s="1750" t="str">
        <f>HYPERLINK("#'前年度貼付'!A1","前年度貼付（325件）")</f>
        <v>前年度貼付（325件）</v>
      </c>
      <c r="C4" s="1810" t="str">
        <f>HYPERLINK("#'貸付_入力'!A1","貸付_入力")</f>
        <v>貸付_入力</v>
      </c>
      <c r="D4" s="1810"/>
      <c r="E4" s="1810" t="str">
        <f>HYPERLINK("#'チェック'!A1","チェック結果（全171項目）")</f>
        <v>チェック結果（全171項目）</v>
      </c>
      <c r="F4" s="1810"/>
      <c r="G4" s="1750" t="str">
        <f>HYPERLINK("#'入力セル一覧'!A810","最下部（貸付）へ")</f>
        <v>最下部（貸付）へ</v>
      </c>
    </row>
    <row r="5" spans="1:9" ht="25.05" customHeight="1">
      <c r="A5" s="1751" t="s">
        <v>1323</v>
      </c>
      <c r="B5" s="1751" t="s">
        <v>1552</v>
      </c>
      <c r="C5" s="1751" t="s">
        <v>1553</v>
      </c>
      <c r="D5" s="1751" t="s">
        <v>1554</v>
      </c>
      <c r="E5" s="1751" t="s">
        <v>1555</v>
      </c>
      <c r="F5" s="1751" t="s">
        <v>1556</v>
      </c>
      <c r="G5" s="1751" t="s">
        <v>1557</v>
      </c>
      <c r="H5" s="1751" t="inlineStr">
        <is>
          <t>反映先（直接）</t>
        </is>
      </c>
      <c r="I5" s="1751" t="inlineStr">
        <is>
          <t>影響する他の帳票</t>
        </is>
      </c>
    </row>
    <row r="6" spans="1:9" ht="19.95" customHeight="1">
      <c r="A6" s="1752" t="s">
        <v>2</v>
      </c>
      <c r="B6" s="1708" t="s">
        <v>3</v>
      </c>
      <c r="C6" s="1753" t="str">
        <f>HYPERLINK("#'目次'!B9","B9")</f>
        <v>B9</v>
      </c>
      <c r="D6" s="1708" t="s">
        <v>1558</v>
      </c>
      <c r="E6" s="1754">
        <f>IF(目次!B9="","",目次!B9)</f>
        <v>1</v>
      </c>
      <c r="F6" s="1708" t="s">
        <v>1559</v>
      </c>
      <c r="G6" s="1709" t="str">
        <f t="shared" ref="G6:G69" si="0">IF(E6="","未入力（空欄）",IF(E6=0,"0（確認）","入力済"))</f>
        <v>入力済</v>
      </c>
      <c r="H6" s="1708" t="inlineStr">
        <is>
          <t>なし（このセルのみ）</t>
        </is>
      </c>
      <c r="I6" s="1708" t="inlineStr">
        <is>
          <t>―</t>
        </is>
      </c>
    </row>
    <row r="7" spans="1:9" ht="19.95" customHeight="1">
      <c r="A7" s="1755" t="s">
        <v>2</v>
      </c>
      <c r="B7" s="1711" t="s">
        <v>3</v>
      </c>
      <c r="C7" s="1756" t="str">
        <f>HYPERLINK("#'目次'!O9","O9")</f>
        <v>O9</v>
      </c>
      <c r="D7" s="1711" t="s">
        <v>1560</v>
      </c>
      <c r="E7" s="1757">
        <f>IF(目次!O9="","",目次!O9)</f>
        <v>1</v>
      </c>
      <c r="F7" s="1711" t="s">
        <v>1559</v>
      </c>
      <c r="G7" s="1709" t="str">
        <f t="shared" si="0"/>
        <v>入力済</v>
      </c>
      <c r="H7" s="1708" t="inlineStr">
        <is>
          <t>なし（このセルのみ）</t>
        </is>
      </c>
      <c r="I7" s="1708" t="inlineStr">
        <is>
          <t>―</t>
        </is>
      </c>
    </row>
    <row r="8" spans="1:9" ht="19.95" customHeight="1">
      <c r="A8" s="1752" t="s">
        <v>2</v>
      </c>
      <c r="B8" s="1708" t="s">
        <v>3</v>
      </c>
      <c r="C8" s="1753" t="str">
        <f>HYPERLINK("#'目次'!B15","B15")</f>
        <v>B15</v>
      </c>
      <c r="D8" s="1708" t="s">
        <v>1561</v>
      </c>
      <c r="E8" s="1754">
        <f>IF(目次!B15="","",目次!B15)</f>
        <v>2</v>
      </c>
      <c r="F8" s="1708" t="s">
        <v>1559</v>
      </c>
      <c r="G8" s="1709" t="str">
        <f t="shared" si="0"/>
        <v>入力済</v>
      </c>
      <c r="H8" s="1708" t="inlineStr">
        <is>
          <t>なし（このセルのみ）</t>
        </is>
      </c>
      <c r="I8" s="1708" t="inlineStr">
        <is>
          <t>―</t>
        </is>
      </c>
    </row>
    <row r="9" spans="1:9" ht="19.95" customHeight="1">
      <c r="A9" s="1755" t="s">
        <v>2</v>
      </c>
      <c r="B9" s="1711" t="s">
        <v>3</v>
      </c>
      <c r="C9" s="1756" t="str">
        <f>HYPERLINK("#'目次'!O15","O15")</f>
        <v>O15</v>
      </c>
      <c r="D9" s="1711" t="s">
        <v>1562</v>
      </c>
      <c r="E9" s="1757">
        <f>IF(目次!O15="","",目次!O15)</f>
        <v>3</v>
      </c>
      <c r="F9" s="1711" t="s">
        <v>1559</v>
      </c>
      <c r="G9" s="1709" t="str">
        <f t="shared" si="0"/>
        <v>入力済</v>
      </c>
      <c r="H9" s="1708" t="inlineStr">
        <is>
          <t>なし（このセルのみ）</t>
        </is>
      </c>
      <c r="I9" s="1708" t="inlineStr">
        <is>
          <t>―</t>
        </is>
      </c>
    </row>
    <row r="10" spans="1:9" ht="19.95" customHeight="1">
      <c r="A10" s="1752" t="s">
        <v>2</v>
      </c>
      <c r="B10" s="1708" t="s">
        <v>3</v>
      </c>
      <c r="C10" s="1753" t="str">
        <f>HYPERLINK("#'目次'!B21","B21")</f>
        <v>B21</v>
      </c>
      <c r="D10" s="1708" t="s">
        <v>1563</v>
      </c>
      <c r="E10" s="1754">
        <f>IF(目次!B21="","",目次!B21)</f>
        <v>3</v>
      </c>
      <c r="F10" s="1708" t="s">
        <v>1559</v>
      </c>
      <c r="G10" s="1709" t="str">
        <f t="shared" si="0"/>
        <v>入力済</v>
      </c>
      <c r="H10" s="1708" t="inlineStr">
        <is>
          <t>なし（このセルのみ）</t>
        </is>
      </c>
      <c r="I10" s="1708" t="inlineStr">
        <is>
          <t>―</t>
        </is>
      </c>
    </row>
    <row r="11" spans="1:9" ht="19.95" customHeight="1">
      <c r="A11" s="1755" t="s">
        <v>2</v>
      </c>
      <c r="B11" s="1711" t="s">
        <v>3</v>
      </c>
      <c r="C11" s="1756" t="str">
        <f>HYPERLINK("#'目次'!O25","O25")</f>
        <v>O25</v>
      </c>
      <c r="D11" s="1711" t="s">
        <v>1564</v>
      </c>
      <c r="E11" s="1757">
        <f>IF(目次!O25="","",目次!O25)</f>
        <v>27</v>
      </c>
      <c r="F11" s="1711" t="s">
        <v>1559</v>
      </c>
      <c r="G11" s="1709" t="str">
        <f t="shared" si="0"/>
        <v>入力済</v>
      </c>
      <c r="H11" s="1708" t="inlineStr">
        <is>
          <t>なし（このセルのみ）</t>
        </is>
      </c>
      <c r="I11" s="1708" t="inlineStr">
        <is>
          <t>―</t>
        </is>
      </c>
    </row>
    <row r="12" spans="1:9" ht="19.95" customHeight="1">
      <c r="A12" s="1752" t="s">
        <v>2</v>
      </c>
      <c r="B12" s="1708" t="s">
        <v>3</v>
      </c>
      <c r="C12" s="1753" t="str">
        <f>HYPERLINK("#'目次'!O28","O28")</f>
        <v>O28</v>
      </c>
      <c r="D12" s="1708" t="s">
        <v>1565</v>
      </c>
      <c r="E12" s="1754">
        <f>IF(目次!O28="","",目次!O28)</f>
        <v>31</v>
      </c>
      <c r="F12" s="1708" t="s">
        <v>1559</v>
      </c>
      <c r="G12" s="1709" t="str">
        <f t="shared" si="0"/>
        <v>入力済</v>
      </c>
      <c r="H12" s="1708" t="inlineStr">
        <is>
          <t>なし（このセルのみ）</t>
        </is>
      </c>
      <c r="I12" s="1708" t="inlineStr">
        <is>
          <t>―</t>
        </is>
      </c>
    </row>
    <row r="13" spans="1:9" ht="19.95" customHeight="1">
      <c r="A13" s="1755" t="s">
        <v>2</v>
      </c>
      <c r="B13" s="1711" t="s">
        <v>3</v>
      </c>
      <c r="C13" s="1756" t="str">
        <f>HYPERLINK("#'目次'!O31","O31")</f>
        <v>O31</v>
      </c>
      <c r="D13" s="1711" t="s">
        <v>1566</v>
      </c>
      <c r="E13" s="1757">
        <f>IF(目次!O31="","",目次!O31)</f>
        <v>35</v>
      </c>
      <c r="F13" s="1711" t="s">
        <v>1559</v>
      </c>
      <c r="G13" s="1709" t="str">
        <f t="shared" si="0"/>
        <v>入力済</v>
      </c>
      <c r="H13" s="1708" t="inlineStr">
        <is>
          <t>なし（このセルのみ）</t>
        </is>
      </c>
      <c r="I13" s="1708" t="inlineStr">
        <is>
          <t>―</t>
        </is>
      </c>
    </row>
    <row r="14" spans="1:9" ht="19.95" customHeight="1">
      <c r="A14" s="1752" t="s">
        <v>2</v>
      </c>
      <c r="B14" s="1708" t="s">
        <v>3</v>
      </c>
      <c r="C14" s="1753" t="str">
        <f>HYPERLINK("#'目次'!O34","O34")</f>
        <v>O34</v>
      </c>
      <c r="D14" s="1708" t="s">
        <v>1567</v>
      </c>
      <c r="E14" s="1754">
        <f>IF(目次!O34="","",目次!O34)</f>
        <v>39</v>
      </c>
      <c r="F14" s="1708" t="s">
        <v>1559</v>
      </c>
      <c r="G14" s="1709" t="str">
        <f t="shared" si="0"/>
        <v>入力済</v>
      </c>
      <c r="H14" s="1708" t="inlineStr">
        <is>
          <t>なし（このセルのみ）</t>
        </is>
      </c>
      <c r="I14" s="1708" t="inlineStr">
        <is>
          <t>―</t>
        </is>
      </c>
    </row>
    <row r="15" spans="1:9" ht="19.95" customHeight="1">
      <c r="A15" s="1755" t="s">
        <v>2</v>
      </c>
      <c r="B15" s="1711" t="s">
        <v>3</v>
      </c>
      <c r="C15" s="1756" t="str">
        <f>HYPERLINK("#'目次'!O37","O37")</f>
        <v>O37</v>
      </c>
      <c r="D15" s="1711" t="s">
        <v>1568</v>
      </c>
      <c r="E15" s="1757">
        <f>IF(目次!O37="","",目次!O37)</f>
        <v>43</v>
      </c>
      <c r="F15" s="1711" t="s">
        <v>1559</v>
      </c>
      <c r="G15" s="1709" t="str">
        <f t="shared" si="0"/>
        <v>入力済</v>
      </c>
      <c r="H15" s="1708" t="inlineStr">
        <is>
          <t>なし（このセルのみ）</t>
        </is>
      </c>
      <c r="I15" s="1708" t="inlineStr">
        <is>
          <t>―</t>
        </is>
      </c>
    </row>
    <row r="16" spans="1:9" ht="19.95" customHeight="1">
      <c r="A16" s="1752" t="s">
        <v>2</v>
      </c>
      <c r="B16" s="1708" t="s">
        <v>3</v>
      </c>
      <c r="C16" s="1753" t="str">
        <f>HYPERLINK("#'目次'!O40","O40")</f>
        <v>O40</v>
      </c>
      <c r="D16" s="1708" t="s">
        <v>1569</v>
      </c>
      <c r="E16" s="1754">
        <f>IF(目次!O40="","",目次!O40)</f>
        <v>47</v>
      </c>
      <c r="F16" s="1708" t="s">
        <v>1559</v>
      </c>
      <c r="G16" s="1709" t="str">
        <f t="shared" si="0"/>
        <v>入力済</v>
      </c>
      <c r="H16" s="1708" t="inlineStr">
        <is>
          <t>なし（このセルのみ）</t>
        </is>
      </c>
      <c r="I16" s="1708" t="inlineStr">
        <is>
          <t>―</t>
        </is>
      </c>
    </row>
    <row r="17" spans="1:9" ht="19.95" customHeight="1">
      <c r="A17" s="1755" t="s">
        <v>2</v>
      </c>
      <c r="B17" s="1711" t="s">
        <v>3</v>
      </c>
      <c r="C17" s="1756" t="str">
        <f>HYPERLINK("#'目次'!O43","O43")</f>
        <v>O43</v>
      </c>
      <c r="D17" s="1711" t="s">
        <v>1570</v>
      </c>
      <c r="E17" s="1757">
        <f>IF(目次!O43="","",目次!O43)</f>
        <v>53</v>
      </c>
      <c r="F17" s="1711" t="s">
        <v>1559</v>
      </c>
      <c r="G17" s="1709" t="str">
        <f t="shared" si="0"/>
        <v>入力済</v>
      </c>
      <c r="H17" s="1708" t="inlineStr">
        <is>
          <t>なし（このセルのみ）</t>
        </is>
      </c>
      <c r="I17" s="1708" t="inlineStr">
        <is>
          <t>―</t>
        </is>
      </c>
    </row>
    <row r="18" spans="1:9" ht="19.95" customHeight="1">
      <c r="A18" s="1752" t="s">
        <v>2</v>
      </c>
      <c r="B18" s="1708" t="s">
        <v>3</v>
      </c>
      <c r="C18" s="1753" t="str">
        <f>HYPERLINK("#'目次'!O46","O46")</f>
        <v>O46</v>
      </c>
      <c r="D18" s="1708" t="s">
        <v>1571</v>
      </c>
      <c r="E18" s="1754">
        <f>IF(目次!O46="","",目次!O46)</f>
        <v>59</v>
      </c>
      <c r="F18" s="1708" t="s">
        <v>1559</v>
      </c>
      <c r="G18" s="1709" t="str">
        <f t="shared" si="0"/>
        <v>入力済</v>
      </c>
      <c r="H18" s="1708" t="inlineStr">
        <is>
          <t>なし（このセルのみ）</t>
        </is>
      </c>
      <c r="I18" s="1708" t="inlineStr">
        <is>
          <t>―</t>
        </is>
      </c>
    </row>
    <row r="19" spans="1:9" ht="19.95" customHeight="1">
      <c r="A19" s="1755" t="s">
        <v>2</v>
      </c>
      <c r="B19" s="1711" t="s">
        <v>1572</v>
      </c>
      <c r="C19" s="1756" t="str">
        <f>HYPERLINK("#'報告_概況P1-2'!G55","G55")</f>
        <v>G55</v>
      </c>
      <c r="D19" s="1711" t="s">
        <v>1573</v>
      </c>
      <c r="E19" s="1757">
        <f>IF('報告_概況P1-2'!G55="","",'報告_概況P1-2'!G55)</f>
        <v>1</v>
      </c>
      <c r="F19" s="1711" t="s">
        <v>1574</v>
      </c>
      <c r="G19" s="1709" t="str">
        <f t="shared" si="0"/>
        <v>入力済</v>
      </c>
      <c r="H19" s="1708" t="inlineStr">
        <is>
          <t>報告_概況P1-2 G57,W55</t>
        </is>
      </c>
      <c r="I19" s="1708" t="inlineStr">
        <is>
          <t>同じシート内のみ</t>
        </is>
      </c>
    </row>
    <row r="20" spans="1:9" ht="19.95" customHeight="1">
      <c r="A20" s="1752" t="s">
        <v>2</v>
      </c>
      <c r="B20" s="1708" t="s">
        <v>1572</v>
      </c>
      <c r="C20" s="1753" t="str">
        <f>HYPERLINK("#'報告_概況P1-2'!I55","I55")</f>
        <v>I55</v>
      </c>
      <c r="D20" s="1708" t="s">
        <v>1575</v>
      </c>
      <c r="E20" s="1754">
        <f>IF('報告_概況P1-2'!I55="","",'報告_概況P1-2'!I55)</f>
        <v>1</v>
      </c>
      <c r="F20" s="1708" t="s">
        <v>1574</v>
      </c>
      <c r="G20" s="1709" t="str">
        <f t="shared" si="0"/>
        <v>入力済</v>
      </c>
      <c r="H20" s="1708" t="inlineStr">
        <is>
          <t>報告_概況P1-2 I57,W55</t>
        </is>
      </c>
      <c r="I20" s="1708" t="inlineStr">
        <is>
          <t>同じシート内のみ</t>
        </is>
      </c>
    </row>
    <row r="21" spans="1:9" ht="19.95" customHeight="1">
      <c r="A21" s="1755" t="s">
        <v>2</v>
      </c>
      <c r="B21" s="1711" t="s">
        <v>1572</v>
      </c>
      <c r="C21" s="1756" t="str">
        <f>HYPERLINK("#'報告_概況P1-2'!K55","K55")</f>
        <v>K55</v>
      </c>
      <c r="D21" s="1711" t="s">
        <v>1576</v>
      </c>
      <c r="E21" s="1757">
        <f>IF('報告_概況P1-2'!K55="","",'報告_概況P1-2'!K55)</f>
        <v>2</v>
      </c>
      <c r="F21" s="1711" t="s">
        <v>1574</v>
      </c>
      <c r="G21" s="1709" t="str">
        <f t="shared" si="0"/>
        <v>入力済</v>
      </c>
      <c r="H21" s="1708" t="inlineStr">
        <is>
          <t>報告_概況P1-2 K57,W55</t>
        </is>
      </c>
      <c r="I21" s="1708" t="inlineStr">
        <is>
          <t>同じシート内のみ</t>
        </is>
      </c>
    </row>
    <row r="22" spans="1:9" ht="19.95" customHeight="1">
      <c r="A22" s="1752" t="s">
        <v>2</v>
      </c>
      <c r="B22" s="1708" t="s">
        <v>1572</v>
      </c>
      <c r="C22" s="1753" t="str">
        <f>HYPERLINK("#'報告_概況P1-2'!M55","M55")</f>
        <v>M55</v>
      </c>
      <c r="D22" s="1708" t="s">
        <v>1577</v>
      </c>
      <c r="E22" s="1754">
        <f>IF('報告_概況P1-2'!M55="","",'報告_概況P1-2'!M55)</f>
        <v>1</v>
      </c>
      <c r="F22" s="1708" t="s">
        <v>1574</v>
      </c>
      <c r="G22" s="1709" t="str">
        <f t="shared" si="0"/>
        <v>入力済</v>
      </c>
      <c r="H22" s="1708" t="inlineStr">
        <is>
          <t>報告_概況P1-2 M57,W55</t>
        </is>
      </c>
      <c r="I22" s="1708" t="inlineStr">
        <is>
          <t>同じシート内のみ</t>
        </is>
      </c>
    </row>
    <row r="23" spans="1:9" ht="19.95" customHeight="1">
      <c r="A23" s="1755" t="s">
        <v>2</v>
      </c>
      <c r="B23" s="1711" t="s">
        <v>1572</v>
      </c>
      <c r="C23" s="1756" t="str">
        <f>HYPERLINK("#'報告_概況P1-2'!O55","O55")</f>
        <v>O55</v>
      </c>
      <c r="D23" s="1711" t="s">
        <v>1578</v>
      </c>
      <c r="E23" s="1757">
        <f>IF('報告_概況P1-2'!O55="","",'報告_概況P1-2'!O55)</f>
        <v>2</v>
      </c>
      <c r="F23" s="1711" t="s">
        <v>1574</v>
      </c>
      <c r="G23" s="1709" t="str">
        <f t="shared" si="0"/>
        <v>入力済</v>
      </c>
      <c r="H23" s="1708" t="inlineStr">
        <is>
          <t>報告_概況P1-2 O57,W55</t>
        </is>
      </c>
      <c r="I23" s="1708" t="inlineStr">
        <is>
          <t>同じシート内のみ</t>
        </is>
      </c>
    </row>
    <row r="24" spans="1:9" ht="19.95" customHeight="1">
      <c r="A24" s="1752" t="s">
        <v>2</v>
      </c>
      <c r="B24" s="1708" t="s">
        <v>1572</v>
      </c>
      <c r="C24" s="1753" t="str">
        <f>HYPERLINK("#'報告_概況P1-2'!Q55","Q55")</f>
        <v>Q55</v>
      </c>
      <c r="D24" s="1708" t="s">
        <v>1579</v>
      </c>
      <c r="E24" s="1754">
        <f>IF('報告_概況P1-2'!Q55="","",'報告_概況P1-2'!Q55)</f>
        <v>4</v>
      </c>
      <c r="F24" s="1708" t="s">
        <v>1574</v>
      </c>
      <c r="G24" s="1709" t="str">
        <f t="shared" si="0"/>
        <v>入力済</v>
      </c>
      <c r="H24" s="1708" t="inlineStr">
        <is>
          <t>報告_概況P1-2 Q57,W55</t>
        </is>
      </c>
      <c r="I24" s="1708" t="inlineStr">
        <is>
          <t>同じシート内のみ</t>
        </is>
      </c>
    </row>
    <row r="25" spans="1:9" ht="19.95" customHeight="1">
      <c r="A25" s="1755" t="s">
        <v>2</v>
      </c>
      <c r="B25" s="1711" t="s">
        <v>1572</v>
      </c>
      <c r="C25" s="1756" t="str">
        <f>HYPERLINK("#'報告_概況P1-2'!S55","S55")</f>
        <v>S55</v>
      </c>
      <c r="D25" s="1711" t="s">
        <v>1580</v>
      </c>
      <c r="E25" s="1757">
        <f>IF('報告_概況P1-2'!S55="","",'報告_概況P1-2'!S55)</f>
        <v>7</v>
      </c>
      <c r="F25" s="1711" t="s">
        <v>1574</v>
      </c>
      <c r="G25" s="1709" t="str">
        <f t="shared" si="0"/>
        <v>入力済</v>
      </c>
      <c r="H25" s="1708" t="inlineStr">
        <is>
          <t>報告_概況P1-2 S57,W55</t>
        </is>
      </c>
      <c r="I25" s="1708" t="inlineStr">
        <is>
          <t>同じシート内のみ</t>
        </is>
      </c>
    </row>
    <row r="26" spans="1:9" ht="19.95" customHeight="1">
      <c r="A26" s="1752" t="s">
        <v>2</v>
      </c>
      <c r="B26" s="1708" t="s">
        <v>1572</v>
      </c>
      <c r="C26" s="1753" t="str">
        <f>HYPERLINK("#'報告_概況P1-2'!U55","U55")</f>
        <v>U55</v>
      </c>
      <c r="D26" s="1708" t="s">
        <v>1581</v>
      </c>
      <c r="E26" s="1754">
        <f>IF('報告_概況P1-2'!U55="","",'報告_概況P1-2'!U55)</f>
        <v>9</v>
      </c>
      <c r="F26" s="1708" t="s">
        <v>1574</v>
      </c>
      <c r="G26" s="1709" t="str">
        <f t="shared" si="0"/>
        <v>入力済</v>
      </c>
      <c r="H26" s="1708" t="inlineStr">
        <is>
          <t>報告_概況P1-2 U57,W55</t>
        </is>
      </c>
      <c r="I26" s="1708" t="inlineStr">
        <is>
          <t>同じシート内のみ</t>
        </is>
      </c>
    </row>
    <row r="27" spans="1:9" ht="19.95" customHeight="1">
      <c r="A27" s="1755" t="s">
        <v>2</v>
      </c>
      <c r="B27" s="1711" t="s">
        <v>1506</v>
      </c>
      <c r="C27" s="1756" t="str">
        <f>HYPERLINK("#'報告_総括P3-5'!M10","M10")</f>
        <v>M10</v>
      </c>
      <c r="D27" s="1711" t="s">
        <v>1582</v>
      </c>
      <c r="E27" s="1757">
        <f>IF('報告_総括P3-5'!M10="","",'報告_総括P3-5'!M10)</f>
        <v>1</v>
      </c>
      <c r="F27" s="1711" t="s">
        <v>373</v>
      </c>
      <c r="G27" s="1709" t="str">
        <f t="shared" si="0"/>
        <v>入力済</v>
      </c>
      <c r="H27" s="1708" t="inlineStr">
        <is>
          <t>報告_総括P3-5 U10</t>
        </is>
      </c>
      <c r="I27" s="1708" t="inlineStr">
        <is>
          <t>同じシート内のみ</t>
        </is>
      </c>
    </row>
    <row r="28" spans="1:9" ht="19.95" customHeight="1">
      <c r="A28" s="1752" t="s">
        <v>2</v>
      </c>
      <c r="B28" s="1708" t="s">
        <v>1506</v>
      </c>
      <c r="C28" s="1753" t="str">
        <f>HYPERLINK("#'報告_総括P3-5'!N17","N17")</f>
        <v>N17</v>
      </c>
      <c r="D28" s="1708" t="s">
        <v>1583</v>
      </c>
      <c r="E28" s="1754">
        <f>IF('報告_総括P3-5'!N17="","",'報告_総括P3-5'!N17)</f>
        <v>11587</v>
      </c>
      <c r="F28" s="1708" t="s">
        <v>373</v>
      </c>
      <c r="G28" s="1709" t="str">
        <f t="shared" si="0"/>
        <v>入力済</v>
      </c>
      <c r="H28" s="1708" t="inlineStr">
        <is>
          <t>報告_総括P3-5 N25,AD17</t>
        </is>
      </c>
      <c r="I28" s="1708" t="inlineStr">
        <is>
          <t>同じシート内のみ</t>
        </is>
      </c>
    </row>
    <row r="29" spans="1:9" ht="19.95" customHeight="1">
      <c r="A29" s="1755" t="s">
        <v>2</v>
      </c>
      <c r="B29" s="1711" t="s">
        <v>1506</v>
      </c>
      <c r="C29" s="1756" t="str">
        <f>HYPERLINK("#'報告_総括P3-5'!V17","V17")</f>
        <v>V17</v>
      </c>
      <c r="D29" s="1711" t="s">
        <v>1584</v>
      </c>
      <c r="E29" s="1757">
        <f>IF('報告_総括P3-5'!V17="","",'報告_総括P3-5'!V17)</f>
        <v>11647</v>
      </c>
      <c r="F29" s="1711" t="s">
        <v>1585</v>
      </c>
      <c r="G29" s="1709" t="str">
        <f t="shared" si="0"/>
        <v>入力済</v>
      </c>
      <c r="H29" s="1708" t="inlineStr">
        <is>
          <t>報告_総括P3-5 V25,AA37,AA39…</t>
        </is>
      </c>
      <c r="I29" s="1708" t="inlineStr">
        <is>
          <t>同じシート内のみ</t>
        </is>
      </c>
    </row>
    <row r="30" spans="1:9" ht="19.95" customHeight="1">
      <c r="A30" s="1752" t="s">
        <v>2</v>
      </c>
      <c r="B30" s="1708" t="s">
        <v>1506</v>
      </c>
      <c r="C30" s="1753" t="str">
        <f>HYPERLINK("#'報告_総括P3-5'!Q18","Q18")</f>
        <v>Q18</v>
      </c>
      <c r="D30" s="1708" t="s">
        <v>1586</v>
      </c>
      <c r="E30" s="1754">
        <f>IF('報告_総括P3-5'!Q18="","",'報告_総括P3-5'!Q18)</f>
        <v>7</v>
      </c>
      <c r="F30" s="1708" t="s">
        <v>373</v>
      </c>
      <c r="G30" s="1709" t="str">
        <f t="shared" si="0"/>
        <v>入力済</v>
      </c>
      <c r="H30" s="1708" t="inlineStr">
        <is>
          <t>報告_総括P3-5 AG18</t>
        </is>
      </c>
      <c r="I30" s="1708" t="inlineStr">
        <is>
          <t>同じシート内のみ</t>
        </is>
      </c>
    </row>
    <row r="31" spans="1:9" ht="19.95" customHeight="1">
      <c r="A31" s="1755" t="s">
        <v>2</v>
      </c>
      <c r="B31" s="1711" t="s">
        <v>1506</v>
      </c>
      <c r="C31" s="1756" t="str">
        <f>HYPERLINK("#'報告_総括P3-5'!Y18","Y18")</f>
        <v>Y18</v>
      </c>
      <c r="D31" s="1711" t="s">
        <v>1587</v>
      </c>
      <c r="E31" s="1757">
        <f>IF('報告_総括P3-5'!Y18="","",'報告_総括P3-5'!Y18)</f>
        <v>7</v>
      </c>
      <c r="F31" s="1711" t="s">
        <v>1585</v>
      </c>
      <c r="G31" s="1709" t="str">
        <f t="shared" si="0"/>
        <v>入力済</v>
      </c>
      <c r="H31" s="1708" t="inlineStr">
        <is>
          <t>報告_総括P3-5 AA38,AA40,AG18…</t>
        </is>
      </c>
      <c r="I31" s="1708" t="inlineStr">
        <is>
          <t>同じシート内のみ</t>
        </is>
      </c>
    </row>
    <row r="32" spans="1:9" ht="19.95" customHeight="1">
      <c r="A32" s="1752" t="s">
        <v>2</v>
      </c>
      <c r="B32" s="1708" t="s">
        <v>1506</v>
      </c>
      <c r="C32" s="1753" t="str">
        <f>HYPERLINK("#'報告_総括P3-5'!N19","N19")</f>
        <v>N19</v>
      </c>
      <c r="D32" s="1708" t="s">
        <v>1588</v>
      </c>
      <c r="E32" s="1754">
        <f>IF('報告_総括P3-5'!N19="","",'報告_総括P3-5'!N19)</f>
        <v>6128</v>
      </c>
      <c r="F32" s="1708" t="s">
        <v>373</v>
      </c>
      <c r="G32" s="1709" t="str">
        <f t="shared" si="0"/>
        <v>入力済</v>
      </c>
      <c r="H32" s="1708" t="inlineStr">
        <is>
          <t>報告_総括P3-5 N25,N28,AD19</t>
        </is>
      </c>
      <c r="I32" s="1708" t="inlineStr">
        <is>
          <t>同じシート内のみ</t>
        </is>
      </c>
    </row>
    <row r="33" spans="1:9" ht="19.95" customHeight="1">
      <c r="A33" s="1755" t="s">
        <v>2</v>
      </c>
      <c r="B33" s="1711" t="s">
        <v>1506</v>
      </c>
      <c r="C33" s="1756" t="str">
        <f>HYPERLINK("#'報告_総括P3-5'!V19","V19")</f>
        <v>V19</v>
      </c>
      <c r="D33" s="1711" t="s">
        <v>1589</v>
      </c>
      <c r="E33" s="1757">
        <f>IF('報告_総括P3-5'!V19="","",'報告_総括P3-5'!V19)</f>
        <v>6019</v>
      </c>
      <c r="F33" s="1711" t="s">
        <v>1585</v>
      </c>
      <c r="G33" s="1709" t="str">
        <f t="shared" si="0"/>
        <v>入力済</v>
      </c>
      <c r="H33" s="1708" t="inlineStr">
        <is>
          <t>報告_総括P3-5 V25,V28,AA41…</t>
        </is>
      </c>
      <c r="I33" s="1708" t="inlineStr">
        <is>
          <t>同じシート内のみ</t>
        </is>
      </c>
    </row>
    <row r="34" spans="1:9" ht="19.95" customHeight="1">
      <c r="A34" s="1752" t="s">
        <v>2</v>
      </c>
      <c r="B34" s="1708" t="s">
        <v>1506</v>
      </c>
      <c r="C34" s="1753" t="str">
        <f>HYPERLINK("#'報告_総括P3-5'!N20","N20")</f>
        <v>N20</v>
      </c>
      <c r="D34" s="1708" t="s">
        <v>1590</v>
      </c>
      <c r="E34" s="1754">
        <f>IF('報告_総括P3-5'!N20="","",'報告_総括P3-5'!N20)</f>
        <v>1</v>
      </c>
      <c r="F34" s="1708" t="s">
        <v>373</v>
      </c>
      <c r="G34" s="1709" t="str">
        <f t="shared" si="0"/>
        <v>入力済</v>
      </c>
      <c r="H34" s="1708" t="inlineStr">
        <is>
          <t>報告_総括P3-5 N25,AD20</t>
        </is>
      </c>
      <c r="I34" s="1708" t="inlineStr">
        <is>
          <t>同じシート内のみ</t>
        </is>
      </c>
    </row>
    <row r="35" spans="1:9" ht="19.95" customHeight="1">
      <c r="A35" s="1755" t="s">
        <v>2</v>
      </c>
      <c r="B35" s="1711" t="s">
        <v>1506</v>
      </c>
      <c r="C35" s="1756" t="str">
        <f>HYPERLINK("#'報告_総括P3-5'!V20","V20")</f>
        <v>V20</v>
      </c>
      <c r="D35" s="1711" t="s">
        <v>1591</v>
      </c>
      <c r="E35" s="1757">
        <f>IF('報告_総括P3-5'!V20="","",'報告_総括P3-5'!V20)</f>
        <v>1</v>
      </c>
      <c r="F35" s="1711" t="s">
        <v>1585</v>
      </c>
      <c r="G35" s="1709" t="str">
        <f t="shared" si="0"/>
        <v>入力済</v>
      </c>
      <c r="H35" s="1708" t="inlineStr">
        <is>
          <t>報告_総括P3-5 V25,AA42,AA43…</t>
        </is>
      </c>
      <c r="I35" s="1708" t="inlineStr">
        <is>
          <t>同じシート内のみ</t>
        </is>
      </c>
    </row>
    <row r="36" spans="1:9" ht="19.95" customHeight="1">
      <c r="A36" s="1752" t="s">
        <v>2</v>
      </c>
      <c r="B36" s="1708" t="s">
        <v>1506</v>
      </c>
      <c r="C36" s="1753" t="str">
        <f>HYPERLINK("#'報告_総括P3-5'!N21","N21")</f>
        <v>N21</v>
      </c>
      <c r="D36" s="1708" t="s">
        <v>1592</v>
      </c>
      <c r="E36" s="1754">
        <f>IF('報告_総括P3-5'!N21="","",'報告_総括P3-5'!N21)</f>
        <v>1277</v>
      </c>
      <c r="F36" s="1708" t="s">
        <v>373</v>
      </c>
      <c r="G36" s="1709" t="str">
        <f t="shared" si="0"/>
        <v>入力済</v>
      </c>
      <c r="H36" s="1708" t="inlineStr">
        <is>
          <t>報告_総括P3-5 N25,AD21</t>
        </is>
      </c>
      <c r="I36" s="1708" t="inlineStr">
        <is>
          <t>同じシート内のみ</t>
        </is>
      </c>
    </row>
    <row r="37" spans="1:9" ht="19.95" customHeight="1">
      <c r="A37" s="1755" t="s">
        <v>2</v>
      </c>
      <c r="B37" s="1711" t="s">
        <v>1506</v>
      </c>
      <c r="C37" s="1756" t="str">
        <f>HYPERLINK("#'報告_総括P3-5'!V21","V21")</f>
        <v>V21</v>
      </c>
      <c r="D37" s="1711" t="s">
        <v>1593</v>
      </c>
      <c r="E37" s="1757">
        <f>IF('報告_総括P3-5'!V21="","",'報告_総括P3-5'!V21)</f>
        <v>1275</v>
      </c>
      <c r="F37" s="1711" t="s">
        <v>1585</v>
      </c>
      <c r="G37" s="1709" t="str">
        <f t="shared" si="0"/>
        <v>入力済</v>
      </c>
      <c r="H37" s="1708" t="inlineStr">
        <is>
          <t>報告_総括P3-5 V25,AA44,AA45…</t>
        </is>
      </c>
      <c r="I37" s="1708" t="inlineStr">
        <is>
          <t>同じシート内のみ</t>
        </is>
      </c>
    </row>
    <row r="38" spans="1:9" ht="19.95" customHeight="1">
      <c r="A38" s="1752" t="s">
        <v>2</v>
      </c>
      <c r="B38" s="1708" t="s">
        <v>1506</v>
      </c>
      <c r="C38" s="1753" t="str">
        <f>HYPERLINK("#'報告_総括P3-5'!N22","N22")</f>
        <v>N22</v>
      </c>
      <c r="D38" s="1708" t="s">
        <v>1594</v>
      </c>
      <c r="E38" s="1754">
        <f>IF('報告_総括P3-5'!N22="","",'報告_総括P3-5'!N22)</f>
        <v>27</v>
      </c>
      <c r="F38" s="1708" t="s">
        <v>373</v>
      </c>
      <c r="G38" s="1709" t="str">
        <f t="shared" si="0"/>
        <v>入力済</v>
      </c>
      <c r="H38" s="1708" t="inlineStr">
        <is>
          <t>報告_総括P3-5 N25,N28,AD22</t>
        </is>
      </c>
      <c r="I38" s="1708" t="inlineStr">
        <is>
          <t>同じシート内のみ</t>
        </is>
      </c>
    </row>
    <row r="39" spans="1:9" ht="19.95" customHeight="1">
      <c r="A39" s="1755" t="s">
        <v>2</v>
      </c>
      <c r="B39" s="1711" t="s">
        <v>1506</v>
      </c>
      <c r="C39" s="1756" t="str">
        <f>HYPERLINK("#'報告_総括P3-5'!V22","V22")</f>
        <v>V22</v>
      </c>
      <c r="D39" s="1711" t="s">
        <v>1595</v>
      </c>
      <c r="E39" s="1757">
        <f>IF('報告_総括P3-5'!V22="","",'報告_総括P3-5'!V22)</f>
        <v>28</v>
      </c>
      <c r="F39" s="1711" t="s">
        <v>1585</v>
      </c>
      <c r="G39" s="1709" t="str">
        <f t="shared" si="0"/>
        <v>入力済</v>
      </c>
      <c r="H39" s="1708" t="inlineStr">
        <is>
          <t>報告_総括P3-5 V25,V28,AA46…</t>
        </is>
      </c>
      <c r="I39" s="1708" t="inlineStr">
        <is>
          <t>同じシート内のみ</t>
        </is>
      </c>
    </row>
    <row r="40" spans="1:9" ht="19.95" customHeight="1">
      <c r="A40" s="1752" t="s">
        <v>2</v>
      </c>
      <c r="B40" s="1708" t="s">
        <v>1506</v>
      </c>
      <c r="C40" s="1753" t="str">
        <f>HYPERLINK("#'報告_総括P3-5'!N23","N23")</f>
        <v>N23</v>
      </c>
      <c r="D40" s="1708" t="s">
        <v>1596</v>
      </c>
      <c r="E40" s="1754">
        <f>IF('報告_総括P3-5'!N23="","",'報告_総括P3-5'!N23)</f>
        <v>5</v>
      </c>
      <c r="F40" s="1708" t="s">
        <v>373</v>
      </c>
      <c r="G40" s="1709" t="str">
        <f t="shared" si="0"/>
        <v>入力済</v>
      </c>
      <c r="H40" s="1708" t="inlineStr">
        <is>
          <t>報告_総括P3-5 N25,AD23</t>
        </is>
      </c>
      <c r="I40" s="1708" t="inlineStr">
        <is>
          <t>同じシート内のみ</t>
        </is>
      </c>
    </row>
    <row r="41" spans="1:9" ht="19.95" customHeight="1">
      <c r="A41" s="1755" t="s">
        <v>2</v>
      </c>
      <c r="B41" s="1711" t="s">
        <v>1506</v>
      </c>
      <c r="C41" s="1756" t="str">
        <f>HYPERLINK("#'報告_総括P3-5'!V23","V23")</f>
        <v>V23</v>
      </c>
      <c r="D41" s="1711" t="s">
        <v>1597</v>
      </c>
      <c r="E41" s="1757">
        <f>IF('報告_総括P3-5'!V23="","",'報告_総括P3-5'!V23)</f>
        <v>3</v>
      </c>
      <c r="F41" s="1711" t="s">
        <v>1585</v>
      </c>
      <c r="G41" s="1709" t="str">
        <f t="shared" si="0"/>
        <v>入力済</v>
      </c>
      <c r="H41" s="1708" t="inlineStr">
        <is>
          <t>報告_総括P3-5 V25,AA47,AA50…</t>
        </is>
      </c>
      <c r="I41" s="1708" t="inlineStr">
        <is>
          <t>同じシート内のみ</t>
        </is>
      </c>
    </row>
    <row r="42" spans="1:9" ht="19.95" customHeight="1">
      <c r="A42" s="1752" t="s">
        <v>2</v>
      </c>
      <c r="B42" s="1708" t="s">
        <v>1506</v>
      </c>
      <c r="C42" s="1753" t="str">
        <f>HYPERLINK("#'報告_総括P3-5'!Q24","Q24")</f>
        <v>Q24</v>
      </c>
      <c r="D42" s="1708" t="s">
        <v>1598</v>
      </c>
      <c r="E42" s="1754">
        <f>IF('報告_総括P3-5'!Q24="","",'報告_総括P3-5'!Q24)</f>
        <v>5</v>
      </c>
      <c r="F42" s="1708" t="s">
        <v>373</v>
      </c>
      <c r="G42" s="1709" t="str">
        <f t="shared" si="0"/>
        <v>入力済</v>
      </c>
      <c r="H42" s="1708" t="inlineStr">
        <is>
          <t>報告_総括P3-5 AG24</t>
        </is>
      </c>
      <c r="I42" s="1708" t="inlineStr">
        <is>
          <t>同じシート内のみ</t>
        </is>
      </c>
    </row>
    <row r="43" spans="1:9" ht="19.95" customHeight="1">
      <c r="A43" s="1755" t="s">
        <v>2</v>
      </c>
      <c r="B43" s="1711" t="s">
        <v>1506</v>
      </c>
      <c r="C43" s="1756" t="str">
        <f>HYPERLINK("#'報告_総括P3-5'!Y24","Y24")</f>
        <v>Y24</v>
      </c>
      <c r="D43" s="1711" t="s">
        <v>1599</v>
      </c>
      <c r="E43" s="1757">
        <f>IF('報告_総括P3-5'!Y24="","",'報告_総括P3-5'!Y24)</f>
        <v>3</v>
      </c>
      <c r="F43" s="1711" t="s">
        <v>1585</v>
      </c>
      <c r="G43" s="1709" t="str">
        <f t="shared" si="0"/>
        <v>入力済</v>
      </c>
      <c r="H43" s="1708" t="inlineStr">
        <is>
          <t>報告_総括P3-5 AG24,AW24</t>
        </is>
      </c>
      <c r="I43" s="1708" t="inlineStr">
        <is>
          <t>同じシート内のみ</t>
        </is>
      </c>
    </row>
    <row r="44" spans="1:9" ht="19.95" customHeight="1">
      <c r="A44" s="1752" t="s">
        <v>2</v>
      </c>
      <c r="B44" s="1708" t="s">
        <v>1506</v>
      </c>
      <c r="C44" s="1753" t="str">
        <f>HYPERLINK("#'報告_総括P3-5'!N26","N26")</f>
        <v>N26</v>
      </c>
      <c r="D44" s="1708" t="s">
        <v>1600</v>
      </c>
      <c r="E44" s="1754">
        <f>IF('報告_総括P3-5'!N26="","",'報告_総括P3-5'!N26)</f>
        <v>453</v>
      </c>
      <c r="F44" s="1708" t="s">
        <v>373</v>
      </c>
      <c r="G44" s="1709" t="str">
        <f t="shared" si="0"/>
        <v>入力済</v>
      </c>
      <c r="H44" s="1708" t="inlineStr">
        <is>
          <t>報告_総括P3-5 N27,AD26</t>
        </is>
      </c>
      <c r="I44" s="1708" t="inlineStr">
        <is>
          <t>同じシート内のみ</t>
        </is>
      </c>
    </row>
    <row r="45" spans="1:9" ht="19.95" customHeight="1">
      <c r="A45" s="1755" t="s">
        <v>2</v>
      </c>
      <c r="B45" s="1711" t="s">
        <v>1506</v>
      </c>
      <c r="C45" s="1756" t="str">
        <f>HYPERLINK("#'報告_総括P3-5'!V26","V26")</f>
        <v>V26</v>
      </c>
      <c r="D45" s="1711" t="s">
        <v>1601</v>
      </c>
      <c r="E45" s="1757">
        <f>IF('報告_総括P3-5'!V26="","",'報告_総括P3-5'!V26)</f>
        <v>328</v>
      </c>
      <c r="F45" s="1711" t="s">
        <v>1585</v>
      </c>
      <c r="G45" s="1709" t="str">
        <f t="shared" si="0"/>
        <v>入力済</v>
      </c>
      <c r="H45" s="1708" t="inlineStr">
        <is>
          <t>報告_総括P3-5 V27,AA51,AD26…</t>
        </is>
      </c>
      <c r="I45" s="1708" t="inlineStr">
        <is>
          <t>同じシート内のみ</t>
        </is>
      </c>
    </row>
    <row r="46" spans="1:9" ht="19.95" customHeight="1">
      <c r="A46" s="1752" t="s">
        <v>2</v>
      </c>
      <c r="B46" s="1708" t="s">
        <v>1506</v>
      </c>
      <c r="C46" s="1753" t="str">
        <f>HYPERLINK("#'報告_総括P3-5'!M37","M37")</f>
        <v>M37</v>
      </c>
      <c r="D46" s="1708" t="s">
        <v>1602</v>
      </c>
      <c r="E46" s="1754">
        <f>IF('報告_総括P3-5'!M37="","",'報告_総括P3-5'!M37)</f>
        <v>4830508</v>
      </c>
      <c r="F46" s="1708" t="s">
        <v>373</v>
      </c>
      <c r="G46" s="1709" t="str">
        <f t="shared" si="0"/>
        <v>入力済</v>
      </c>
      <c r="H46" s="1708" t="inlineStr">
        <is>
          <t>報告_総括P3-5 M49,AF37</t>
        </is>
      </c>
      <c r="I46" s="1708" t="inlineStr">
        <is>
          <t>同じシート内のみ</t>
        </is>
      </c>
    </row>
    <row r="47" spans="1:9" ht="19.95" customHeight="1">
      <c r="A47" s="1755" t="s">
        <v>2</v>
      </c>
      <c r="B47" s="1711" t="s">
        <v>1506</v>
      </c>
      <c r="C47" s="1756" t="str">
        <f>HYPERLINK("#'報告_総括P3-5'!T37","T37")</f>
        <v>T37</v>
      </c>
      <c r="D47" s="1711" t="s">
        <v>1603</v>
      </c>
      <c r="E47" s="1757">
        <f>IF('報告_総括P3-5'!T37="","",'報告_総括P3-5'!T37)</f>
        <v>5026190</v>
      </c>
      <c r="F47" s="1711" t="s">
        <v>1585</v>
      </c>
      <c r="G47" s="1709" t="str">
        <f t="shared" si="0"/>
        <v>入力済</v>
      </c>
      <c r="H47" s="1708" t="inlineStr">
        <is>
          <t>報告_総括P3-5 T49,AA37,AF37…</t>
        </is>
      </c>
      <c r="I47" s="1708" t="inlineStr">
        <is>
          <t>同じシート内のみ</t>
        </is>
      </c>
    </row>
    <row r="48" spans="1:9" ht="19.95" customHeight="1">
      <c r="A48" s="1752" t="s">
        <v>2</v>
      </c>
      <c r="B48" s="1708" t="s">
        <v>1506</v>
      </c>
      <c r="C48" s="1753" t="str">
        <f>HYPERLINK("#'報告_総括P3-5'!M38","M38")</f>
        <v>M38</v>
      </c>
      <c r="D48" s="1708" t="s">
        <v>1604</v>
      </c>
      <c r="E48" s="1754">
        <f>IF('報告_総括P3-5'!M38="","",'報告_総括P3-5'!M38)</f>
        <v>4550</v>
      </c>
      <c r="F48" s="1708" t="s">
        <v>373</v>
      </c>
      <c r="G48" s="1709" t="str">
        <f t="shared" si="0"/>
        <v>入力済</v>
      </c>
      <c r="H48" s="1708" t="inlineStr">
        <is>
          <t>報告_総括P3-5 AF38</t>
        </is>
      </c>
      <c r="I48" s="1708" t="inlineStr">
        <is>
          <t>同じシート内のみ</t>
        </is>
      </c>
    </row>
    <row r="49" spans="1:9" ht="19.95" customHeight="1">
      <c r="A49" s="1755" t="s">
        <v>2</v>
      </c>
      <c r="B49" s="1711" t="s">
        <v>1506</v>
      </c>
      <c r="C49" s="1756" t="str">
        <f>HYPERLINK("#'報告_総括P3-5'!T38","T38")</f>
        <v>T38</v>
      </c>
      <c r="D49" s="1711" t="s">
        <v>1605</v>
      </c>
      <c r="E49" s="1757">
        <f>IF('報告_総括P3-5'!T38="","",'報告_総括P3-5'!T38)</f>
        <v>4520</v>
      </c>
      <c r="F49" s="1711" t="s">
        <v>1585</v>
      </c>
      <c r="G49" s="1709" t="str">
        <f t="shared" si="0"/>
        <v>入力済</v>
      </c>
      <c r="H49" s="1708" t="inlineStr">
        <is>
          <t>報告_総括P3-5 AA38,AF38,AU38</t>
        </is>
      </c>
      <c r="I49" s="1708" t="inlineStr">
        <is>
          <t>同じシート内のみ</t>
        </is>
      </c>
    </row>
    <row r="50" spans="1:9" ht="19.95" customHeight="1">
      <c r="A50" s="1752" t="s">
        <v>2</v>
      </c>
      <c r="B50" s="1708" t="s">
        <v>1506</v>
      </c>
      <c r="C50" s="1753" t="str">
        <f>HYPERLINK("#'報告_総括P3-5'!M39","M39")</f>
        <v>M39</v>
      </c>
      <c r="D50" s="1708" t="s">
        <v>1606</v>
      </c>
      <c r="E50" s="1754">
        <f>IF('報告_総括P3-5'!M39="","",'報告_総括P3-5'!M39)</f>
        <v>4988188</v>
      </c>
      <c r="F50" s="1708" t="s">
        <v>373</v>
      </c>
      <c r="G50" s="1709" t="str">
        <f t="shared" si="0"/>
        <v>入力済</v>
      </c>
      <c r="H50" s="1708" t="inlineStr">
        <is>
          <t>報告_総括P3-5 M50,AF39</t>
        </is>
      </c>
      <c r="I50" s="1708" t="inlineStr">
        <is>
          <t>同じシート内のみ</t>
        </is>
      </c>
    </row>
    <row r="51" spans="1:9" ht="19.95" customHeight="1">
      <c r="A51" s="1755" t="s">
        <v>2</v>
      </c>
      <c r="B51" s="1711" t="s">
        <v>1506</v>
      </c>
      <c r="C51" s="1756" t="str">
        <f>HYPERLINK("#'報告_総括P3-5'!T39","T39")</f>
        <v>T39</v>
      </c>
      <c r="D51" s="1711" t="s">
        <v>1607</v>
      </c>
      <c r="E51" s="1757">
        <f>IF('報告_総括P3-5'!T39="","",'報告_総括P3-5'!T39)</f>
        <v>5267530</v>
      </c>
      <c r="F51" s="1711" t="s">
        <v>1585</v>
      </c>
      <c r="G51" s="1709" t="str">
        <f t="shared" si="0"/>
        <v>入力済</v>
      </c>
      <c r="H51" s="1708" t="inlineStr">
        <is>
          <t>報告_総括P3-5 T50,AA39,AF39…</t>
        </is>
      </c>
      <c r="I51" s="1708" t="inlineStr">
        <is>
          <t>同じシート内のみ</t>
        </is>
      </c>
    </row>
    <row r="52" spans="1:9" ht="19.95" customHeight="1">
      <c r="A52" s="1752" t="s">
        <v>2</v>
      </c>
      <c r="B52" s="1708" t="s">
        <v>1506</v>
      </c>
      <c r="C52" s="1753" t="str">
        <f>HYPERLINK("#'報告_総括P3-5'!M40","M40")</f>
        <v>M40</v>
      </c>
      <c r="D52" s="1708" t="s">
        <v>1608</v>
      </c>
      <c r="E52" s="1754">
        <f>IF('報告_総括P3-5'!M40="","",'報告_総括P3-5'!M40)</f>
        <v>6390</v>
      </c>
      <c r="F52" s="1708" t="s">
        <v>373</v>
      </c>
      <c r="G52" s="1709" t="str">
        <f t="shared" si="0"/>
        <v>入力済</v>
      </c>
      <c r="H52" s="1708" t="inlineStr">
        <is>
          <t>報告_総括P3-5 AF40</t>
        </is>
      </c>
      <c r="I52" s="1708" t="inlineStr">
        <is>
          <t>同じシート内のみ</t>
        </is>
      </c>
    </row>
    <row r="53" spans="1:9" ht="19.95" customHeight="1">
      <c r="A53" s="1755" t="s">
        <v>2</v>
      </c>
      <c r="B53" s="1711" t="s">
        <v>1506</v>
      </c>
      <c r="C53" s="1756" t="str">
        <f>HYPERLINK("#'報告_総括P3-5'!T40","T40")</f>
        <v>T40</v>
      </c>
      <c r="D53" s="1711" t="s">
        <v>1609</v>
      </c>
      <c r="E53" s="1757">
        <f>IF('報告_総括P3-5'!T40="","",'報告_総括P3-5'!T40)</f>
        <v>6260</v>
      </c>
      <c r="F53" s="1711" t="s">
        <v>1585</v>
      </c>
      <c r="G53" s="1709" t="str">
        <f t="shared" si="0"/>
        <v>入力済</v>
      </c>
      <c r="H53" s="1708" t="inlineStr">
        <is>
          <t>報告_総括P3-5 AA40,AF40,AU40</t>
        </is>
      </c>
      <c r="I53" s="1708" t="inlineStr">
        <is>
          <t>同じシート内のみ</t>
        </is>
      </c>
    </row>
    <row r="54" spans="1:9" ht="19.95" customHeight="1">
      <c r="A54" s="1752" t="s">
        <v>2</v>
      </c>
      <c r="B54" s="1708" t="s">
        <v>1506</v>
      </c>
      <c r="C54" s="1753" t="str">
        <f>HYPERLINK("#'報告_総括P3-5'!M41","M41")</f>
        <v>M41</v>
      </c>
      <c r="D54" s="1708" t="s">
        <v>1610</v>
      </c>
      <c r="E54" s="1754">
        <f>IF('報告_総括P3-5'!M41="","",'報告_総括P3-5'!M41)</f>
        <v>1096666</v>
      </c>
      <c r="F54" s="1708" t="s">
        <v>373</v>
      </c>
      <c r="G54" s="1709" t="str">
        <f t="shared" si="0"/>
        <v>入力済</v>
      </c>
      <c r="H54" s="1708" t="inlineStr">
        <is>
          <t>報告_総括P3-5 M50,AF41</t>
        </is>
      </c>
      <c r="I54" s="1708" t="inlineStr">
        <is>
          <t>同じシート内のみ</t>
        </is>
      </c>
    </row>
    <row r="55" spans="1:9" ht="19.95" customHeight="1">
      <c r="A55" s="1755" t="s">
        <v>2</v>
      </c>
      <c r="B55" s="1711" t="s">
        <v>1506</v>
      </c>
      <c r="C55" s="1756" t="str">
        <f>HYPERLINK("#'報告_総括P3-5'!T41","T41")</f>
        <v>T41</v>
      </c>
      <c r="D55" s="1711" t="s">
        <v>1611</v>
      </c>
      <c r="E55" s="1757">
        <f>IF('報告_総括P3-5'!T41="","",'報告_総括P3-5'!T41)</f>
        <v>1148376</v>
      </c>
      <c r="F55" s="1711" t="s">
        <v>1585</v>
      </c>
      <c r="G55" s="1709" t="str">
        <f t="shared" si="0"/>
        <v>入力済</v>
      </c>
      <c r="H55" s="1708" t="inlineStr">
        <is>
          <t>報告_総括P3-5 T50,AA41,AF41…</t>
        </is>
      </c>
      <c r="I55" s="1708" t="inlineStr">
        <is>
          <t>同じシート内のみ</t>
        </is>
      </c>
    </row>
    <row r="56" spans="1:9" ht="19.95" customHeight="1">
      <c r="A56" s="1752" t="s">
        <v>2</v>
      </c>
      <c r="B56" s="1708" t="s">
        <v>1506</v>
      </c>
      <c r="C56" s="1753" t="str">
        <f>HYPERLINK("#'報告_総括P3-5'!M42","M42")</f>
        <v>M42</v>
      </c>
      <c r="D56" s="1708" t="s">
        <v>1612</v>
      </c>
      <c r="E56" s="1754">
        <f>IF('報告_総括P3-5'!M42="","",'報告_総括P3-5'!M42)</f>
        <v>650</v>
      </c>
      <c r="F56" s="1708" t="s">
        <v>373</v>
      </c>
      <c r="G56" s="1709" t="str">
        <f t="shared" si="0"/>
        <v>入力済</v>
      </c>
      <c r="H56" s="1708" t="inlineStr">
        <is>
          <t>報告_総括P3-5 M49,AF42</t>
        </is>
      </c>
      <c r="I56" s="1708" t="inlineStr">
        <is>
          <t>同じシート内のみ</t>
        </is>
      </c>
    </row>
    <row r="57" spans="1:9" ht="19.95" customHeight="1">
      <c r="A57" s="1755" t="s">
        <v>2</v>
      </c>
      <c r="B57" s="1711" t="s">
        <v>1506</v>
      </c>
      <c r="C57" s="1756" t="str">
        <f>HYPERLINK("#'報告_総括P3-5'!T42","T42")</f>
        <v>T42</v>
      </c>
      <c r="D57" s="1711" t="s">
        <v>1613</v>
      </c>
      <c r="E57" s="1757">
        <f>IF('報告_総括P3-5'!T42="","",'報告_総括P3-5'!T42)</f>
        <v>650</v>
      </c>
      <c r="F57" s="1711" t="s">
        <v>1585</v>
      </c>
      <c r="G57" s="1709" t="str">
        <f t="shared" si="0"/>
        <v>入力済</v>
      </c>
      <c r="H57" s="1708" t="inlineStr">
        <is>
          <t>報告_総括P3-5 T49,AA42,AF42…</t>
        </is>
      </c>
      <c r="I57" s="1708" t="inlineStr">
        <is>
          <t>同じシート内のみ</t>
        </is>
      </c>
    </row>
    <row r="58" spans="1:9" ht="19.95" customHeight="1">
      <c r="A58" s="1752" t="s">
        <v>2</v>
      </c>
      <c r="B58" s="1708" t="s">
        <v>1506</v>
      </c>
      <c r="C58" s="1753" t="str">
        <f>HYPERLINK("#'報告_総括P3-5'!M43","M43")</f>
        <v>M43</v>
      </c>
      <c r="D58" s="1708" t="s">
        <v>1614</v>
      </c>
      <c r="E58" s="1754">
        <f>IF('報告_総括P3-5'!M43="","",'報告_総括P3-5'!M43)</f>
        <v>1330</v>
      </c>
      <c r="F58" s="1708" t="s">
        <v>373</v>
      </c>
      <c r="G58" s="1709" t="str">
        <f t="shared" si="0"/>
        <v>入力済</v>
      </c>
      <c r="H58" s="1708" t="inlineStr">
        <is>
          <t>報告_総括P3-5 M50,AF43</t>
        </is>
      </c>
      <c r="I58" s="1708" t="inlineStr">
        <is>
          <t>同じシート内のみ</t>
        </is>
      </c>
    </row>
    <row r="59" spans="1:9" ht="19.95" customHeight="1">
      <c r="A59" s="1755" t="s">
        <v>2</v>
      </c>
      <c r="B59" s="1711" t="s">
        <v>1506</v>
      </c>
      <c r="C59" s="1756" t="str">
        <f>HYPERLINK("#'報告_総括P3-5'!T43","T43")</f>
        <v>T43</v>
      </c>
      <c r="D59" s="1711" t="s">
        <v>1615</v>
      </c>
      <c r="E59" s="1757">
        <f>IF('報告_総括P3-5'!T43="","",'報告_総括P3-5'!T43)</f>
        <v>1330</v>
      </c>
      <c r="F59" s="1711" t="s">
        <v>1585</v>
      </c>
      <c r="G59" s="1709" t="str">
        <f t="shared" si="0"/>
        <v>入力済</v>
      </c>
      <c r="H59" s="1708" t="inlineStr">
        <is>
          <t>報告_総括P3-5 T50,AA43,AF43…</t>
        </is>
      </c>
      <c r="I59" s="1708" t="inlineStr">
        <is>
          <t>同じシート内のみ</t>
        </is>
      </c>
    </row>
    <row r="60" spans="1:9" ht="19.95" customHeight="1">
      <c r="A60" s="1752" t="s">
        <v>2</v>
      </c>
      <c r="B60" s="1708" t="s">
        <v>1506</v>
      </c>
      <c r="C60" s="1753" t="str">
        <f>HYPERLINK("#'報告_総括P3-5'!M44","M44")</f>
        <v>M44</v>
      </c>
      <c r="D60" s="1708" t="s">
        <v>1616</v>
      </c>
      <c r="E60" s="1754">
        <f>IF('報告_総括P3-5'!M44="","",'報告_総括P3-5'!M44)</f>
        <v>509020</v>
      </c>
      <c r="F60" s="1708" t="s">
        <v>373</v>
      </c>
      <c r="G60" s="1709" t="str">
        <f t="shared" si="0"/>
        <v>入力済</v>
      </c>
      <c r="H60" s="1708" t="inlineStr">
        <is>
          <t>報告_総括P3-5 M49,AF44</t>
        </is>
      </c>
      <c r="I60" s="1708" t="inlineStr">
        <is>
          <t>同じシート内のみ</t>
        </is>
      </c>
    </row>
    <row r="61" spans="1:9" ht="19.95" customHeight="1">
      <c r="A61" s="1755" t="s">
        <v>2</v>
      </c>
      <c r="B61" s="1711" t="s">
        <v>1506</v>
      </c>
      <c r="C61" s="1756" t="str">
        <f>HYPERLINK("#'報告_総括P3-5'!T44","T44")</f>
        <v>T44</v>
      </c>
      <c r="D61" s="1711" t="s">
        <v>1617</v>
      </c>
      <c r="E61" s="1757">
        <f>IF('報告_総括P3-5'!T44="","",'報告_総括P3-5'!T44)</f>
        <v>565600</v>
      </c>
      <c r="F61" s="1711" t="s">
        <v>1585</v>
      </c>
      <c r="G61" s="1709" t="str">
        <f t="shared" si="0"/>
        <v>入力済</v>
      </c>
      <c r="H61" s="1708" t="inlineStr">
        <is>
          <t>報告_総括P3-5 T49,AA44,AF44…</t>
        </is>
      </c>
      <c r="I61" s="1708" t="inlineStr">
        <is>
          <t>同じシート内のみ</t>
        </is>
      </c>
    </row>
    <row r="62" spans="1:9" ht="19.95" customHeight="1">
      <c r="A62" s="1752" t="s">
        <v>2</v>
      </c>
      <c r="B62" s="1708" t="s">
        <v>1506</v>
      </c>
      <c r="C62" s="1753" t="str">
        <f>HYPERLINK("#'報告_総括P3-5'!M45","M45")</f>
        <v>M45</v>
      </c>
      <c r="D62" s="1708" t="s">
        <v>1618</v>
      </c>
      <c r="E62" s="1754">
        <f>IF('報告_総括P3-5'!M45="","",'報告_総括P3-5'!M45)</f>
        <v>509550</v>
      </c>
      <c r="F62" s="1708" t="s">
        <v>373</v>
      </c>
      <c r="G62" s="1709" t="str">
        <f t="shared" si="0"/>
        <v>入力済</v>
      </c>
      <c r="H62" s="1708" t="inlineStr">
        <is>
          <t>報告_総括P3-5 M50,AF45</t>
        </is>
      </c>
      <c r="I62" s="1708" t="inlineStr">
        <is>
          <t>同じシート内のみ</t>
        </is>
      </c>
    </row>
    <row r="63" spans="1:9" ht="19.95" customHeight="1">
      <c r="A63" s="1755" t="s">
        <v>2</v>
      </c>
      <c r="B63" s="1711" t="s">
        <v>1506</v>
      </c>
      <c r="C63" s="1756" t="str">
        <f>HYPERLINK("#'報告_総括P3-5'!T45","T45")</f>
        <v>T45</v>
      </c>
      <c r="D63" s="1711" t="s">
        <v>1619</v>
      </c>
      <c r="E63" s="1757">
        <f>IF('報告_総括P3-5'!T45="","",'報告_総括P3-5'!T45)</f>
        <v>566180</v>
      </c>
      <c r="F63" s="1711" t="s">
        <v>1585</v>
      </c>
      <c r="G63" s="1709" t="str">
        <f t="shared" si="0"/>
        <v>入力済</v>
      </c>
      <c r="H63" s="1708" t="inlineStr">
        <is>
          <t>報告_総括P3-5 T50,AA45,AF45…</t>
        </is>
      </c>
      <c r="I63" s="1708" t="inlineStr">
        <is>
          <t>同じシート内のみ</t>
        </is>
      </c>
    </row>
    <row r="64" spans="1:9" ht="19.95" customHeight="1">
      <c r="A64" s="1752" t="s">
        <v>2</v>
      </c>
      <c r="B64" s="1708" t="s">
        <v>1506</v>
      </c>
      <c r="C64" s="1753" t="str">
        <f>HYPERLINK("#'報告_総括P3-5'!M46","M46")</f>
        <v>M46</v>
      </c>
      <c r="D64" s="1708" t="s">
        <v>1620</v>
      </c>
      <c r="E64" s="1754">
        <f>IF('報告_総括P3-5'!M46="","",'報告_総括P3-5'!M46)</f>
        <v>4132</v>
      </c>
      <c r="F64" s="1708" t="s">
        <v>373</v>
      </c>
      <c r="G64" s="1709" t="str">
        <f t="shared" si="0"/>
        <v>入力済</v>
      </c>
      <c r="H64" s="1708" t="inlineStr">
        <is>
          <t>報告_総括P3-5 M50,AF46</t>
        </is>
      </c>
      <c r="I64" s="1708" t="inlineStr">
        <is>
          <t>同じシート内のみ</t>
        </is>
      </c>
    </row>
    <row r="65" spans="1:9" ht="19.95" customHeight="1">
      <c r="A65" s="1755" t="s">
        <v>2</v>
      </c>
      <c r="B65" s="1711" t="s">
        <v>1506</v>
      </c>
      <c r="C65" s="1756" t="str">
        <f>HYPERLINK("#'報告_総括P3-5'!T46","T46")</f>
        <v>T46</v>
      </c>
      <c r="D65" s="1711" t="s">
        <v>1621</v>
      </c>
      <c r="E65" s="1757">
        <f>IF('報告_総括P3-5'!T46="","",'報告_総括P3-5'!T46)</f>
        <v>4660</v>
      </c>
      <c r="F65" s="1711" t="s">
        <v>1585</v>
      </c>
      <c r="G65" s="1709" t="str">
        <f t="shared" si="0"/>
        <v>入力済</v>
      </c>
      <c r="H65" s="1708" t="inlineStr">
        <is>
          <t>報告_総括P3-5 T50,AA46,AF46…</t>
        </is>
      </c>
      <c r="I65" s="1708" t="inlineStr">
        <is>
          <t>同じシート内のみ</t>
        </is>
      </c>
    </row>
    <row r="66" spans="1:9" ht="19.95" customHeight="1">
      <c r="A66" s="1752" t="s">
        <v>2</v>
      </c>
      <c r="B66" s="1708" t="s">
        <v>1506</v>
      </c>
      <c r="C66" s="1753" t="str">
        <f>HYPERLINK("#'報告_総括P3-5'!M47","M47")</f>
        <v>M47</v>
      </c>
      <c r="D66" s="1708" t="s">
        <v>1622</v>
      </c>
      <c r="E66" s="1754">
        <f>IF('報告_総括P3-5'!M47="","",'報告_総括P3-5'!M47)</f>
        <v>2800</v>
      </c>
      <c r="F66" s="1708" t="s">
        <v>373</v>
      </c>
      <c r="G66" s="1709" t="str">
        <f t="shared" si="0"/>
        <v>入力済</v>
      </c>
      <c r="H66" s="1708" t="inlineStr">
        <is>
          <t>報告_総括P3-5 M48,M49,AF47</t>
        </is>
      </c>
      <c r="I66" s="1708" t="inlineStr">
        <is>
          <t>同じシート内のみ</t>
        </is>
      </c>
    </row>
    <row r="67" spans="1:9" ht="19.95" customHeight="1">
      <c r="A67" s="1755" t="s">
        <v>2</v>
      </c>
      <c r="B67" s="1711" t="s">
        <v>1506</v>
      </c>
      <c r="C67" s="1756" t="str">
        <f>HYPERLINK("#'報告_総括P3-5'!T47","T47")</f>
        <v>T47</v>
      </c>
      <c r="D67" s="1711" t="s">
        <v>1623</v>
      </c>
      <c r="E67" s="1757">
        <f>IF('報告_総括P3-5'!T47="","",'報告_総括P3-5'!T47)</f>
        <v>1680</v>
      </c>
      <c r="F67" s="1711" t="s">
        <v>1585</v>
      </c>
      <c r="G67" s="1709" t="str">
        <f t="shared" si="0"/>
        <v>入力済</v>
      </c>
      <c r="H67" s="1708" t="inlineStr">
        <is>
          <t>報告_総括P3-5 T48,T49,AA47…</t>
        </is>
      </c>
      <c r="I67" s="1708" t="inlineStr">
        <is>
          <t>同じシート内のみ</t>
        </is>
      </c>
    </row>
    <row r="68" spans="1:9" ht="19.95" customHeight="1">
      <c r="A68" s="1752" t="s">
        <v>2</v>
      </c>
      <c r="B68" s="1708" t="s">
        <v>1506</v>
      </c>
      <c r="C68" s="1753" t="str">
        <f>HYPERLINK("#'報告_総括P3-5'!M51","M51")</f>
        <v>M51</v>
      </c>
      <c r="D68" s="1708" t="s">
        <v>1624</v>
      </c>
      <c r="E68" s="1754">
        <f>IF('報告_総括P3-5'!M51="","",'報告_総括P3-5'!M51)</f>
        <v>74028</v>
      </c>
      <c r="F68" s="1708" t="s">
        <v>373</v>
      </c>
      <c r="G68" s="1709" t="str">
        <f t="shared" si="0"/>
        <v>入力済</v>
      </c>
      <c r="H68" s="1708" t="inlineStr">
        <is>
          <t>報告_総括P3-5 M53,AF51</t>
        </is>
      </c>
      <c r="I68" s="1708" t="inlineStr">
        <is>
          <t>同じシート内のみ</t>
        </is>
      </c>
    </row>
    <row r="69" spans="1:9" ht="19.95" customHeight="1">
      <c r="A69" s="1755" t="s">
        <v>2</v>
      </c>
      <c r="B69" s="1711" t="s">
        <v>1506</v>
      </c>
      <c r="C69" s="1756" t="str">
        <f>HYPERLINK("#'報告_総括P3-5'!T51","T51")</f>
        <v>T51</v>
      </c>
      <c r="D69" s="1711" t="s">
        <v>1624</v>
      </c>
      <c r="E69" s="1757">
        <f>IF('報告_総括P3-5'!T51="","",'報告_総括P3-5'!T51)</f>
        <v>75830</v>
      </c>
      <c r="F69" s="1711" t="s">
        <v>1585</v>
      </c>
      <c r="G69" s="1709" t="str">
        <f t="shared" si="0"/>
        <v>入力済</v>
      </c>
      <c r="H69" s="1708" t="inlineStr">
        <is>
          <t>報告_総括P3-5 T53,AA51,AF51…</t>
        </is>
      </c>
      <c r="I69" s="1708" t="inlineStr">
        <is>
          <t>同じシート内のみ</t>
        </is>
      </c>
    </row>
    <row r="70" spans="1:9" ht="19.95" customHeight="1">
      <c r="A70" s="1752" t="s">
        <v>2</v>
      </c>
      <c r="B70" s="1708" t="s">
        <v>1506</v>
      </c>
      <c r="C70" s="1753" t="str">
        <f>HYPERLINK("#'報告_総括P3-5'!M65","M65")</f>
        <v>M65</v>
      </c>
      <c r="D70" s="1708" t="s">
        <v>1602</v>
      </c>
      <c r="E70" s="1754">
        <f>IF('報告_総括P3-5'!M65="","",'報告_総括P3-5'!M65)</f>
        <v>18383873</v>
      </c>
      <c r="F70" s="1708" t="s">
        <v>373</v>
      </c>
      <c r="G70" s="1709" t="str">
        <f t="shared" ref="G70:G133" si="1">IF(E70="","未入力（空欄）",IF(E70=0,"0（確認）","入力済"))</f>
        <v>入力済</v>
      </c>
      <c r="H70" s="1708" t="inlineStr">
        <is>
          <t>報告_総括P3-5 M77,AC65</t>
        </is>
      </c>
      <c r="I70" s="1708" t="inlineStr">
        <is>
          <t>同じシート内のみ</t>
        </is>
      </c>
    </row>
    <row r="71" spans="1:9" ht="19.95" customHeight="1">
      <c r="A71" s="1755" t="s">
        <v>2</v>
      </c>
      <c r="B71" s="1711" t="s">
        <v>1506</v>
      </c>
      <c r="C71" s="1756" t="str">
        <f>HYPERLINK("#'報告_総括P3-5'!U65","U65")</f>
        <v>U65</v>
      </c>
      <c r="D71" s="1711" t="s">
        <v>1603</v>
      </c>
      <c r="E71" s="1757">
        <f>IF('報告_総括P3-5'!U65="","",'報告_総括P3-5'!U65)</f>
        <v>19591421</v>
      </c>
      <c r="F71" s="1711" t="s">
        <v>1585</v>
      </c>
      <c r="G71" s="1709" t="str">
        <f t="shared" si="1"/>
        <v>入力済</v>
      </c>
      <c r="H71" s="1708" t="inlineStr">
        <is>
          <t>報告_総括P3-5 U77,AC65,AT65</t>
        </is>
      </c>
      <c r="I71" s="1708" t="inlineStr">
        <is>
          <t>同じシート内のみ</t>
        </is>
      </c>
    </row>
    <row r="72" spans="1:9" ht="19.95" customHeight="1">
      <c r="A72" s="1752" t="s">
        <v>2</v>
      </c>
      <c r="B72" s="1708" t="s">
        <v>1506</v>
      </c>
      <c r="C72" s="1753" t="str">
        <f>HYPERLINK("#'報告_総括P3-5'!M66","M66")</f>
        <v>M66</v>
      </c>
      <c r="D72" s="1708" t="s">
        <v>1604</v>
      </c>
      <c r="E72" s="1754">
        <f>IF('報告_総括P3-5'!M66="","",'報告_総括P3-5'!M66)</f>
        <v>22670</v>
      </c>
      <c r="F72" s="1708" t="s">
        <v>373</v>
      </c>
      <c r="G72" s="1709" t="str">
        <f t="shared" si="1"/>
        <v>入力済</v>
      </c>
      <c r="H72" s="1708" t="inlineStr">
        <is>
          <t>報告_総括P3-5 AC66</t>
        </is>
      </c>
      <c r="I72" s="1708" t="inlineStr">
        <is>
          <t>同じシート内のみ</t>
        </is>
      </c>
    </row>
    <row r="73" spans="1:9" ht="19.95" customHeight="1">
      <c r="A73" s="1755" t="s">
        <v>2</v>
      </c>
      <c r="B73" s="1711" t="s">
        <v>1506</v>
      </c>
      <c r="C73" s="1756" t="str">
        <f>HYPERLINK("#'報告_総括P3-5'!U66","U66")</f>
        <v>U66</v>
      </c>
      <c r="D73" s="1711" t="s">
        <v>1605</v>
      </c>
      <c r="E73" s="1757">
        <f>IF('報告_総括P3-5'!U66="","",'報告_総括P3-5'!U66)</f>
        <v>22831</v>
      </c>
      <c r="F73" s="1711" t="s">
        <v>1585</v>
      </c>
      <c r="G73" s="1709" t="str">
        <f t="shared" si="1"/>
        <v>入力済</v>
      </c>
      <c r="H73" s="1708" t="inlineStr">
        <is>
          <t>報告_総括P3-5 AC66,AT66</t>
        </is>
      </c>
      <c r="I73" s="1708" t="inlineStr">
        <is>
          <t>同じシート内のみ</t>
        </is>
      </c>
    </row>
    <row r="74" spans="1:9" ht="19.95" customHeight="1">
      <c r="A74" s="1752" t="s">
        <v>2</v>
      </c>
      <c r="B74" s="1708" t="s">
        <v>1506</v>
      </c>
      <c r="C74" s="1753" t="str">
        <f>HYPERLINK("#'報告_総括P3-5'!M67","M67")</f>
        <v>M67</v>
      </c>
      <c r="D74" s="1708" t="s">
        <v>1606</v>
      </c>
      <c r="E74" s="1754">
        <f>IF('報告_総括P3-5'!M67="","",'報告_総括P3-5'!M67)</f>
        <v>19899534</v>
      </c>
      <c r="F74" s="1708" t="s">
        <v>373</v>
      </c>
      <c r="G74" s="1709" t="str">
        <f t="shared" si="1"/>
        <v>入力済</v>
      </c>
      <c r="H74" s="1708" t="inlineStr">
        <is>
          <t>報告_総括P3-5 M78,AC67</t>
        </is>
      </c>
      <c r="I74" s="1708" t="inlineStr">
        <is>
          <t>同じシート内のみ</t>
        </is>
      </c>
    </row>
    <row r="75" spans="1:9" ht="19.95" customHeight="1">
      <c r="A75" s="1755" t="s">
        <v>2</v>
      </c>
      <c r="B75" s="1711" t="s">
        <v>1506</v>
      </c>
      <c r="C75" s="1756" t="str">
        <f>HYPERLINK("#'報告_総括P3-5'!U67","U67")</f>
        <v>U67</v>
      </c>
      <c r="D75" s="1711" t="s">
        <v>1607</v>
      </c>
      <c r="E75" s="1757">
        <f>IF('報告_総括P3-5'!U67="","",'報告_総括P3-5'!U67)</f>
        <v>19673117</v>
      </c>
      <c r="F75" s="1711" t="s">
        <v>1585</v>
      </c>
      <c r="G75" s="1709" t="str">
        <f t="shared" si="1"/>
        <v>入力済</v>
      </c>
      <c r="H75" s="1708" t="inlineStr">
        <is>
          <t>報告_総括P3-5 U78,AC67,AT67</t>
        </is>
      </c>
      <c r="I75" s="1708" t="inlineStr">
        <is>
          <t>同じシート内のみ</t>
        </is>
      </c>
    </row>
    <row r="76" spans="1:9" ht="19.95" customHeight="1">
      <c r="A76" s="1752" t="s">
        <v>2</v>
      </c>
      <c r="B76" s="1708" t="s">
        <v>1506</v>
      </c>
      <c r="C76" s="1753" t="str">
        <f>HYPERLINK("#'報告_総括P3-5'!M68","M68")</f>
        <v>M68</v>
      </c>
      <c r="D76" s="1708" t="s">
        <v>1608</v>
      </c>
      <c r="E76" s="1754">
        <f>IF('報告_総括P3-5'!M68="","",'報告_総括P3-5'!M68)</f>
        <v>34571</v>
      </c>
      <c r="F76" s="1708" t="s">
        <v>373</v>
      </c>
      <c r="G76" s="1709" t="str">
        <f t="shared" si="1"/>
        <v>入力済</v>
      </c>
      <c r="H76" s="1708" t="inlineStr">
        <is>
          <t>報告_総括P3-5 AC68</t>
        </is>
      </c>
      <c r="I76" s="1708" t="inlineStr">
        <is>
          <t>同じシート内のみ</t>
        </is>
      </c>
    </row>
    <row r="77" spans="1:9" ht="19.95" customHeight="1">
      <c r="A77" s="1755" t="s">
        <v>2</v>
      </c>
      <c r="B77" s="1711" t="s">
        <v>1506</v>
      </c>
      <c r="C77" s="1756" t="str">
        <f>HYPERLINK("#'報告_総括P3-5'!U68","U68")</f>
        <v>U68</v>
      </c>
      <c r="D77" s="1711" t="s">
        <v>1609</v>
      </c>
      <c r="E77" s="1757">
        <f>IF('報告_総括P3-5'!U68="","",'報告_総括P3-5'!U68)</f>
        <v>30569</v>
      </c>
      <c r="F77" s="1711" t="s">
        <v>1585</v>
      </c>
      <c r="G77" s="1709" t="str">
        <f t="shared" si="1"/>
        <v>入力済</v>
      </c>
      <c r="H77" s="1708" t="inlineStr">
        <is>
          <t>報告_総括P3-5 AC68,AT68</t>
        </is>
      </c>
      <c r="I77" s="1708" t="inlineStr">
        <is>
          <t>同じシート内のみ</t>
        </is>
      </c>
    </row>
    <row r="78" spans="1:9" ht="19.95" customHeight="1">
      <c r="A78" s="1752" t="s">
        <v>2</v>
      </c>
      <c r="B78" s="1708" t="s">
        <v>1506</v>
      </c>
      <c r="C78" s="1753" t="str">
        <f>HYPERLINK("#'報告_総括P3-5'!M69","M69")</f>
        <v>M69</v>
      </c>
      <c r="D78" s="1708" t="s">
        <v>1610</v>
      </c>
      <c r="E78" s="1754">
        <f>IF('報告_総括P3-5'!M69="","",'報告_総括P3-5'!M69)</f>
        <v>2594977</v>
      </c>
      <c r="F78" s="1708" t="s">
        <v>373</v>
      </c>
      <c r="G78" s="1709" t="str">
        <f t="shared" si="1"/>
        <v>入力済</v>
      </c>
      <c r="H78" s="1708" t="inlineStr">
        <is>
          <t>報告_総括P3-5 M78,AC69</t>
        </is>
      </c>
      <c r="I78" s="1708" t="inlineStr">
        <is>
          <t>同じシート内のみ</t>
        </is>
      </c>
    </row>
    <row r="79" spans="1:9" ht="19.95" customHeight="1">
      <c r="A79" s="1755" t="s">
        <v>2</v>
      </c>
      <c r="B79" s="1711" t="s">
        <v>1506</v>
      </c>
      <c r="C79" s="1756" t="str">
        <f>HYPERLINK("#'報告_総括P3-5'!U69","U69")</f>
        <v>U69</v>
      </c>
      <c r="D79" s="1711" t="s">
        <v>1611</v>
      </c>
      <c r="E79" s="1757">
        <f>IF('報告_総括P3-5'!U69="","",'報告_総括P3-5'!U69)</f>
        <v>4067808</v>
      </c>
      <c r="F79" s="1711" t="s">
        <v>1585</v>
      </c>
      <c r="G79" s="1709" t="str">
        <f t="shared" si="1"/>
        <v>入力済</v>
      </c>
      <c r="H79" s="1708" t="inlineStr">
        <is>
          <t>報告_総括P3-5 U78,AC69,AT69</t>
        </is>
      </c>
      <c r="I79" s="1708" t="inlineStr">
        <is>
          <t>同じシート内のみ</t>
        </is>
      </c>
    </row>
    <row r="80" spans="1:9" ht="19.95" customHeight="1">
      <c r="A80" s="1752" t="s">
        <v>2</v>
      </c>
      <c r="B80" s="1708" t="s">
        <v>1506</v>
      </c>
      <c r="C80" s="1753" t="str">
        <f>HYPERLINK("#'報告_総括P3-5'!M70","M70")</f>
        <v>M70</v>
      </c>
      <c r="D80" s="1708" t="s">
        <v>1612</v>
      </c>
      <c r="E80" s="1754">
        <f>IF('報告_総括P3-5'!M70="","",'報告_総括P3-5'!M70)</f>
        <v>3647</v>
      </c>
      <c r="F80" s="1708" t="s">
        <v>373</v>
      </c>
      <c r="G80" s="1709" t="str">
        <f t="shared" si="1"/>
        <v>入力済</v>
      </c>
      <c r="H80" s="1708" t="inlineStr">
        <is>
          <t>報告_総括P3-5 M77,AC70</t>
        </is>
      </c>
      <c r="I80" s="1708" t="inlineStr">
        <is>
          <t>同じシート内のみ</t>
        </is>
      </c>
    </row>
    <row r="81" spans="1:9" ht="19.95" customHeight="1">
      <c r="A81" s="1755" t="s">
        <v>2</v>
      </c>
      <c r="B81" s="1711" t="s">
        <v>1506</v>
      </c>
      <c r="C81" s="1756" t="str">
        <f>HYPERLINK("#'報告_総括P3-5'!U70","U70")</f>
        <v>U70</v>
      </c>
      <c r="D81" s="1711" t="s">
        <v>1613</v>
      </c>
      <c r="E81" s="1757">
        <f>IF('報告_総括P3-5'!U70="","",'報告_総括P3-5'!U70)</f>
        <v>3728</v>
      </c>
      <c r="F81" s="1711" t="s">
        <v>1585</v>
      </c>
      <c r="G81" s="1709" t="str">
        <f t="shared" si="1"/>
        <v>入力済</v>
      </c>
      <c r="H81" s="1708" t="inlineStr">
        <is>
          <t>報告_総括P3-5 U77,AC70,AT70</t>
        </is>
      </c>
      <c r="I81" s="1708" t="inlineStr">
        <is>
          <t>同じシート内のみ</t>
        </is>
      </c>
    </row>
    <row r="82" spans="1:9" ht="19.95" customHeight="1">
      <c r="A82" s="1752" t="s">
        <v>2</v>
      </c>
      <c r="B82" s="1708" t="s">
        <v>1506</v>
      </c>
      <c r="C82" s="1753" t="str">
        <f>HYPERLINK("#'報告_総括P3-5'!M71","M71")</f>
        <v>M71</v>
      </c>
      <c r="D82" s="1708" t="s">
        <v>1614</v>
      </c>
      <c r="E82" s="1754">
        <f>IF('報告_総括P3-5'!M71="","",'報告_総括P3-5'!M71)</f>
        <v>5730</v>
      </c>
      <c r="F82" s="1708" t="s">
        <v>373</v>
      </c>
      <c r="G82" s="1709" t="str">
        <f t="shared" si="1"/>
        <v>入力済</v>
      </c>
      <c r="H82" s="1708" t="inlineStr">
        <is>
          <t>報告_総括P3-5 M78,AC71</t>
        </is>
      </c>
      <c r="I82" s="1708" t="inlineStr">
        <is>
          <t>同じシート内のみ</t>
        </is>
      </c>
    </row>
    <row r="83" spans="1:9" ht="19.95" customHeight="1">
      <c r="A83" s="1755" t="s">
        <v>2</v>
      </c>
      <c r="B83" s="1711" t="s">
        <v>1506</v>
      </c>
      <c r="C83" s="1756" t="str">
        <f>HYPERLINK("#'報告_総括P3-5'!U71","U71")</f>
        <v>U71</v>
      </c>
      <c r="D83" s="1711" t="s">
        <v>1615</v>
      </c>
      <c r="E83" s="1757">
        <f>IF('報告_総括P3-5'!U71="","",'報告_総括P3-5'!U71)</f>
        <v>5730</v>
      </c>
      <c r="F83" s="1711" t="s">
        <v>1585</v>
      </c>
      <c r="G83" s="1709" t="str">
        <f t="shared" si="1"/>
        <v>入力済</v>
      </c>
      <c r="H83" s="1708" t="inlineStr">
        <is>
          <t>報告_総括P3-5 U78,AC71,AT71</t>
        </is>
      </c>
      <c r="I83" s="1708" t="inlineStr">
        <is>
          <t>同じシート内のみ</t>
        </is>
      </c>
    </row>
    <row r="84" spans="1:9" ht="19.95" customHeight="1">
      <c r="A84" s="1752" t="s">
        <v>2</v>
      </c>
      <c r="B84" s="1708" t="s">
        <v>1506</v>
      </c>
      <c r="C84" s="1753" t="str">
        <f>HYPERLINK("#'報告_総括P3-5'!M72","M72")</f>
        <v>M72</v>
      </c>
      <c r="D84" s="1708" t="s">
        <v>1616</v>
      </c>
      <c r="E84" s="1754">
        <f>IF('報告_総括P3-5'!M72="","",'報告_総括P3-5'!M72)</f>
        <v>1986451</v>
      </c>
      <c r="F84" s="1708" t="s">
        <v>373</v>
      </c>
      <c r="G84" s="1709" t="str">
        <f t="shared" si="1"/>
        <v>入力済</v>
      </c>
      <c r="H84" s="1708" t="inlineStr">
        <is>
          <t>報告_総括P3-5 M77,AC72</t>
        </is>
      </c>
      <c r="I84" s="1708" t="inlineStr">
        <is>
          <t>同じシート内のみ</t>
        </is>
      </c>
    </row>
    <row r="85" spans="1:9" ht="19.95" customHeight="1">
      <c r="A85" s="1755" t="s">
        <v>2</v>
      </c>
      <c r="B85" s="1711" t="s">
        <v>1506</v>
      </c>
      <c r="C85" s="1756" t="str">
        <f>HYPERLINK("#'報告_総括P3-5'!U72","U72")</f>
        <v>U72</v>
      </c>
      <c r="D85" s="1711" t="s">
        <v>1617</v>
      </c>
      <c r="E85" s="1757">
        <f>IF('報告_総括P3-5'!U72="","",'報告_総括P3-5'!U72)</f>
        <v>2118061</v>
      </c>
      <c r="F85" s="1711" t="s">
        <v>1585</v>
      </c>
      <c r="G85" s="1709" t="str">
        <f t="shared" si="1"/>
        <v>入力済</v>
      </c>
      <c r="H85" s="1708" t="inlineStr">
        <is>
          <t>報告_総括P3-5 U77,AC72,AT72</t>
        </is>
      </c>
      <c r="I85" s="1708" t="inlineStr">
        <is>
          <t>同じシート内のみ</t>
        </is>
      </c>
    </row>
    <row r="86" spans="1:9" ht="19.95" customHeight="1">
      <c r="A86" s="1752" t="s">
        <v>2</v>
      </c>
      <c r="B86" s="1708" t="s">
        <v>1506</v>
      </c>
      <c r="C86" s="1753" t="str">
        <f>HYPERLINK("#'報告_総括P3-5'!M73","M73")</f>
        <v>M73</v>
      </c>
      <c r="D86" s="1708" t="s">
        <v>1618</v>
      </c>
      <c r="E86" s="1754">
        <f>IF('報告_総括P3-5'!M73="","",'報告_総括P3-5'!M73)</f>
        <v>2013601</v>
      </c>
      <c r="F86" s="1708" t="s">
        <v>373</v>
      </c>
      <c r="G86" s="1709" t="str">
        <f t="shared" si="1"/>
        <v>入力済</v>
      </c>
      <c r="H86" s="1708" t="inlineStr">
        <is>
          <t>報告_総括P3-5 M78,AC73</t>
        </is>
      </c>
      <c r="I86" s="1708" t="inlineStr">
        <is>
          <t>同じシート内のみ</t>
        </is>
      </c>
    </row>
    <row r="87" spans="1:9" ht="19.95" customHeight="1">
      <c r="A87" s="1755" t="s">
        <v>2</v>
      </c>
      <c r="B87" s="1711" t="s">
        <v>1506</v>
      </c>
      <c r="C87" s="1756" t="str">
        <f>HYPERLINK("#'報告_総括P3-5'!U73","U73")</f>
        <v>U73</v>
      </c>
      <c r="D87" s="1711" t="s">
        <v>1619</v>
      </c>
      <c r="E87" s="1757">
        <f>IF('報告_総括P3-5'!U73="","",'報告_総括P3-5'!U73)</f>
        <v>2118061</v>
      </c>
      <c r="F87" s="1711" t="s">
        <v>1585</v>
      </c>
      <c r="G87" s="1709" t="str">
        <f t="shared" si="1"/>
        <v>入力済</v>
      </c>
      <c r="H87" s="1708" t="inlineStr">
        <is>
          <t>報告_総括P3-5 U78,AC73,AT73</t>
        </is>
      </c>
      <c r="I87" s="1708" t="inlineStr">
        <is>
          <t>同じシート内のみ</t>
        </is>
      </c>
    </row>
    <row r="88" spans="1:9" ht="19.95" customHeight="1">
      <c r="A88" s="1752" t="s">
        <v>2</v>
      </c>
      <c r="B88" s="1708" t="s">
        <v>1506</v>
      </c>
      <c r="C88" s="1753" t="str">
        <f>HYPERLINK("#'報告_総括P3-5'!M74","M74")</f>
        <v>M74</v>
      </c>
      <c r="D88" s="1708" t="s">
        <v>1620</v>
      </c>
      <c r="E88" s="1754">
        <f>IF('報告_総括P3-5'!M74="","",'報告_総括P3-5'!M74)</f>
        <v>12995</v>
      </c>
      <c r="F88" s="1708" t="s">
        <v>373</v>
      </c>
      <c r="G88" s="1709" t="str">
        <f t="shared" si="1"/>
        <v>入力済</v>
      </c>
      <c r="H88" s="1708" t="inlineStr">
        <is>
          <t>報告_総括P3-5 M78,AC74</t>
        </is>
      </c>
      <c r="I88" s="1708" t="inlineStr">
        <is>
          <t>同じシート内のみ</t>
        </is>
      </c>
    </row>
    <row r="89" spans="1:9" ht="19.95" customHeight="1">
      <c r="A89" s="1755" t="s">
        <v>2</v>
      </c>
      <c r="B89" s="1711" t="s">
        <v>1506</v>
      </c>
      <c r="C89" s="1756" t="str">
        <f>HYPERLINK("#'報告_総括P3-5'!U74","U74")</f>
        <v>U74</v>
      </c>
      <c r="D89" s="1711" t="s">
        <v>1621</v>
      </c>
      <c r="E89" s="1757">
        <f>IF('報告_総括P3-5'!U74="","",'報告_総括P3-5'!U74)</f>
        <v>19504</v>
      </c>
      <c r="F89" s="1711" t="s">
        <v>1585</v>
      </c>
      <c r="G89" s="1709" t="str">
        <f t="shared" si="1"/>
        <v>入力済</v>
      </c>
      <c r="H89" s="1708" t="inlineStr">
        <is>
          <t>報告_総括P3-5 U78,AC74,AT74</t>
        </is>
      </c>
      <c r="I89" s="1708" t="inlineStr">
        <is>
          <t>同じシート内のみ</t>
        </is>
      </c>
    </row>
    <row r="90" spans="1:9" ht="19.95" customHeight="1">
      <c r="A90" s="1752" t="s">
        <v>2</v>
      </c>
      <c r="B90" s="1708" t="s">
        <v>1506</v>
      </c>
      <c r="C90" s="1753" t="str">
        <f>HYPERLINK("#'報告_総括P3-5'!M75","M75")</f>
        <v>M75</v>
      </c>
      <c r="D90" s="1708" t="s">
        <v>1622</v>
      </c>
      <c r="E90" s="1754">
        <f>IF('報告_総括P3-5'!M75="","",'報告_総括P3-5'!M75)</f>
        <v>12707</v>
      </c>
      <c r="F90" s="1708" t="s">
        <v>373</v>
      </c>
      <c r="G90" s="1709" t="str">
        <f t="shared" si="1"/>
        <v>入力済</v>
      </c>
      <c r="H90" s="1708" t="inlineStr">
        <is>
          <t>報告_総括P3-5 M76,M77,AC75</t>
        </is>
      </c>
      <c r="I90" s="1708" t="inlineStr">
        <is>
          <t>同じシート内のみ</t>
        </is>
      </c>
    </row>
    <row r="91" spans="1:9" ht="19.95" customHeight="1">
      <c r="A91" s="1755" t="s">
        <v>2</v>
      </c>
      <c r="B91" s="1711" t="s">
        <v>1506</v>
      </c>
      <c r="C91" s="1756" t="str">
        <f>HYPERLINK("#'報告_総括P3-5'!U75","U75")</f>
        <v>U75</v>
      </c>
      <c r="D91" s="1711" t="s">
        <v>1623</v>
      </c>
      <c r="E91" s="1757">
        <f>IF('報告_総括P3-5'!U75="","",'報告_総括P3-5'!U75)</f>
        <v>7871</v>
      </c>
      <c r="F91" s="1711" t="s">
        <v>1585</v>
      </c>
      <c r="G91" s="1709" t="str">
        <f t="shared" si="1"/>
        <v>入力済</v>
      </c>
      <c r="H91" s="1708" t="inlineStr">
        <is>
          <t>報告_総括P3-5 U76,U77,AC75…</t>
        </is>
      </c>
      <c r="I91" s="1708" t="inlineStr">
        <is>
          <t>同じシート内のみ</t>
        </is>
      </c>
    </row>
    <row r="92" spans="1:9" ht="19.95" customHeight="1">
      <c r="A92" s="1752" t="s">
        <v>2</v>
      </c>
      <c r="B92" s="1708" t="s">
        <v>1506</v>
      </c>
      <c r="C92" s="1753" t="str">
        <f>HYPERLINK("#'報告_総括P3-5'!M88","M88")</f>
        <v>M88</v>
      </c>
      <c r="D92" s="1708" t="s">
        <v>1583</v>
      </c>
      <c r="E92" s="1754">
        <f>IF('報告_総括P3-5'!M88="","",'報告_総括P3-5'!M88)</f>
        <v>7837</v>
      </c>
      <c r="F92" s="1708" t="s">
        <v>373</v>
      </c>
      <c r="G92" s="1709" t="str">
        <f t="shared" si="1"/>
        <v>入力済</v>
      </c>
      <c r="H92" s="1708" t="inlineStr">
        <is>
          <t>報告_総括P3-5 M93,AA88</t>
        </is>
      </c>
      <c r="I92" s="1708" t="inlineStr">
        <is>
          <t>同じシート内のみ</t>
        </is>
      </c>
    </row>
    <row r="93" spans="1:9" ht="19.95" customHeight="1">
      <c r="A93" s="1755" t="s">
        <v>2</v>
      </c>
      <c r="B93" s="1711" t="s">
        <v>1506</v>
      </c>
      <c r="C93" s="1756" t="str">
        <f>HYPERLINK("#'報告_総括P3-5'!T88","T88")</f>
        <v>T88</v>
      </c>
      <c r="D93" s="1711" t="s">
        <v>1584</v>
      </c>
      <c r="E93" s="1757">
        <f>IF('報告_総括P3-5'!T88="","",'報告_総括P3-5'!T88)</f>
        <v>7623</v>
      </c>
      <c r="F93" s="1711" t="s">
        <v>1585</v>
      </c>
      <c r="G93" s="1709" t="str">
        <f t="shared" si="1"/>
        <v>入力済</v>
      </c>
      <c r="H93" s="1708" t="inlineStr">
        <is>
          <t>報告_総括P3-5 T93,AA88,AO88…</t>
        </is>
      </c>
      <c r="I93" s="1708" t="inlineStr">
        <is>
          <t>同じシート内のみ</t>
        </is>
      </c>
    </row>
    <row r="94" spans="1:9" ht="19.95" customHeight="1">
      <c r="A94" s="1752" t="s">
        <v>2</v>
      </c>
      <c r="B94" s="1708" t="s">
        <v>1506</v>
      </c>
      <c r="C94" s="1753" t="str">
        <f>HYPERLINK("#'報告_総括P3-5'!M89","M89")</f>
        <v>M89</v>
      </c>
      <c r="D94" s="1708" t="s">
        <v>1588</v>
      </c>
      <c r="E94" s="1754">
        <f>IF('報告_総括P3-5'!M89="","",'報告_総括P3-5'!M89)</f>
        <v>1014</v>
      </c>
      <c r="F94" s="1708" t="s">
        <v>373</v>
      </c>
      <c r="G94" s="1709" t="str">
        <f t="shared" si="1"/>
        <v>入力済</v>
      </c>
      <c r="H94" s="1708" t="inlineStr">
        <is>
          <t>報告_総括P3-5 M93,AA89</t>
        </is>
      </c>
      <c r="I94" s="1708" t="inlineStr">
        <is>
          <t>同じシート内のみ</t>
        </is>
      </c>
    </row>
    <row r="95" spans="1:9" ht="19.95" customHeight="1">
      <c r="A95" s="1755" t="s">
        <v>2</v>
      </c>
      <c r="B95" s="1711" t="s">
        <v>1506</v>
      </c>
      <c r="C95" s="1756" t="str">
        <f>HYPERLINK("#'報告_総括P3-5'!T89","T89")</f>
        <v>T89</v>
      </c>
      <c r="D95" s="1711" t="s">
        <v>1589</v>
      </c>
      <c r="E95" s="1757">
        <f>IF('報告_総括P3-5'!T89="","",'報告_総括P3-5'!T89)</f>
        <v>965</v>
      </c>
      <c r="F95" s="1711" t="s">
        <v>1585</v>
      </c>
      <c r="G95" s="1709" t="str">
        <f t="shared" si="1"/>
        <v>入力済</v>
      </c>
      <c r="H95" s="1708" t="inlineStr">
        <is>
          <t>報告_総括P3-5 T93,AA89,AO89…</t>
        </is>
      </c>
      <c r="I95" s="1708" t="inlineStr">
        <is>
          <t>同じシート内のみ</t>
        </is>
      </c>
    </row>
    <row r="96" spans="1:9" ht="19.95" customHeight="1">
      <c r="A96" s="1752" t="s">
        <v>2</v>
      </c>
      <c r="B96" s="1708" t="s">
        <v>1506</v>
      </c>
      <c r="C96" s="1753" t="str">
        <f>HYPERLINK("#'報告_総括P3-5'!M90","M90")</f>
        <v>M90</v>
      </c>
      <c r="D96" s="1708" t="s">
        <v>1590</v>
      </c>
      <c r="E96" s="1754">
        <f>IF('報告_総括P3-5'!M90="","",'報告_総括P3-5'!M90)</f>
        <v>1</v>
      </c>
      <c r="F96" s="1708" t="s">
        <v>373</v>
      </c>
      <c r="G96" s="1709" t="str">
        <f t="shared" si="1"/>
        <v>入力済</v>
      </c>
      <c r="H96" s="1708" t="inlineStr">
        <is>
          <t>報告_総括P3-5 M93,AA90</t>
        </is>
      </c>
      <c r="I96" s="1708" t="inlineStr">
        <is>
          <t>同じシート内のみ</t>
        </is>
      </c>
    </row>
    <row r="97" spans="1:9" ht="19.95" customHeight="1">
      <c r="A97" s="1755" t="s">
        <v>2</v>
      </c>
      <c r="B97" s="1711" t="s">
        <v>1506</v>
      </c>
      <c r="C97" s="1756" t="str">
        <f>HYPERLINK("#'報告_総括P3-5'!T90","T90")</f>
        <v>T90</v>
      </c>
      <c r="D97" s="1711" t="s">
        <v>1591</v>
      </c>
      <c r="E97" s="1757">
        <f>IF('報告_総括P3-5'!T90="","",'報告_総括P3-5'!T90)</f>
        <v>1</v>
      </c>
      <c r="F97" s="1711" t="s">
        <v>1585</v>
      </c>
      <c r="G97" s="1709" t="str">
        <f t="shared" si="1"/>
        <v>入力済</v>
      </c>
      <c r="H97" s="1708" t="inlineStr">
        <is>
          <t>報告_総括P3-5 T93,AA90,AO90…</t>
        </is>
      </c>
      <c r="I97" s="1708" t="inlineStr">
        <is>
          <t>同じシート内のみ</t>
        </is>
      </c>
    </row>
    <row r="98" spans="1:9" ht="19.95" customHeight="1">
      <c r="A98" s="1752" t="s">
        <v>2</v>
      </c>
      <c r="B98" s="1708" t="s">
        <v>1506</v>
      </c>
      <c r="C98" s="1753" t="str">
        <f>HYPERLINK("#'報告_総括P3-5'!M91","M91")</f>
        <v>M91</v>
      </c>
      <c r="D98" s="1708" t="s">
        <v>1592</v>
      </c>
      <c r="E98" s="1754">
        <f>IF('報告_総括P3-5'!M91="","",'報告_総括P3-5'!M91)</f>
        <v>1945</v>
      </c>
      <c r="F98" s="1708" t="s">
        <v>373</v>
      </c>
      <c r="G98" s="1709" t="str">
        <f t="shared" si="1"/>
        <v>入力済</v>
      </c>
      <c r="H98" s="1708" t="inlineStr">
        <is>
          <t>報告_総括P3-5 M93,AA91</t>
        </is>
      </c>
      <c r="I98" s="1708" t="inlineStr">
        <is>
          <t>同じシート内のみ</t>
        </is>
      </c>
    </row>
    <row r="99" spans="1:9" ht="19.95" customHeight="1">
      <c r="A99" s="1755" t="s">
        <v>2</v>
      </c>
      <c r="B99" s="1711" t="s">
        <v>1506</v>
      </c>
      <c r="C99" s="1756" t="str">
        <f>HYPERLINK("#'報告_総括P3-5'!T91","T91")</f>
        <v>T91</v>
      </c>
      <c r="D99" s="1711" t="s">
        <v>1593</v>
      </c>
      <c r="E99" s="1757">
        <f>IF('報告_総括P3-5'!T91="","",'報告_総括P3-5'!T91)</f>
        <v>1961</v>
      </c>
      <c r="F99" s="1711" t="s">
        <v>1585</v>
      </c>
      <c r="G99" s="1709" t="str">
        <f t="shared" si="1"/>
        <v>入力済</v>
      </c>
      <c r="H99" s="1708" t="inlineStr">
        <is>
          <t>報告_総括P3-5 T93,AA91,AO91…</t>
        </is>
      </c>
      <c r="I99" s="1708" t="inlineStr">
        <is>
          <t>同じシート内のみ</t>
        </is>
      </c>
    </row>
    <row r="100" spans="1:9" ht="19.95" customHeight="1">
      <c r="A100" s="1752" t="s">
        <v>2</v>
      </c>
      <c r="B100" s="1708" t="s">
        <v>1506</v>
      </c>
      <c r="C100" s="1753" t="str">
        <f>HYPERLINK("#'報告_総括P3-5'!M92","M92")</f>
        <v>M92</v>
      </c>
      <c r="D100" s="1708" t="s">
        <v>1594</v>
      </c>
      <c r="E100" s="1754">
        <f>IF('報告_総括P3-5'!M92="","",'報告_総括P3-5'!M92)</f>
        <v>0</v>
      </c>
      <c r="F100" s="1708" t="s">
        <v>373</v>
      </c>
      <c r="G100" s="1709" t="str">
        <f t="shared" si="1"/>
        <v>0（確認）</v>
      </c>
      <c r="H100" s="1708" t="inlineStr">
        <is>
          <t>報告_総括P3-5 AA92</t>
        </is>
      </c>
      <c r="I100" s="1708" t="inlineStr">
        <is>
          <t>同じシート内のみ</t>
        </is>
      </c>
    </row>
    <row r="101" spans="1:9" ht="19.95" customHeight="1">
      <c r="A101" s="1755" t="s">
        <v>2</v>
      </c>
      <c r="B101" s="1711" t="s">
        <v>1506</v>
      </c>
      <c r="C101" s="1756" t="str">
        <f>HYPERLINK("#'報告_総括P3-5'!T92","T92")</f>
        <v>T92</v>
      </c>
      <c r="D101" s="1711" t="s">
        <v>1595</v>
      </c>
      <c r="E101" s="1757">
        <f>IF('報告_総括P3-5'!T92="","",'報告_総括P3-5'!T92)</f>
        <v>0</v>
      </c>
      <c r="F101" s="1711" t="s">
        <v>1585</v>
      </c>
      <c r="G101" s="1709" t="str">
        <f t="shared" si="1"/>
        <v>0（確認）</v>
      </c>
      <c r="H101" s="1708" t="inlineStr">
        <is>
          <t>報告_総括P3-5 AA92,AO92,AV92</t>
        </is>
      </c>
      <c r="I101" s="1708" t="inlineStr">
        <is>
          <t>同じシート内のみ</t>
        </is>
      </c>
    </row>
    <row r="102" spans="1:9" ht="19.95" customHeight="1">
      <c r="A102" s="1752" t="s">
        <v>2</v>
      </c>
      <c r="B102" s="1708" t="s">
        <v>1506</v>
      </c>
      <c r="C102" s="1753" t="str">
        <f>HYPERLINK("#'報告_総括P3-5'!M94","M94")</f>
        <v>M94</v>
      </c>
      <c r="D102" s="1708" t="s">
        <v>1600</v>
      </c>
      <c r="E102" s="1754">
        <f>IF('報告_総括P3-5'!M94="","",'報告_総括P3-5'!M94)</f>
        <v>163</v>
      </c>
      <c r="F102" s="1708" t="s">
        <v>373</v>
      </c>
      <c r="G102" s="1709" t="str">
        <f t="shared" si="1"/>
        <v>入力済</v>
      </c>
      <c r="H102" s="1708" t="inlineStr">
        <is>
          <t>報告_総括P3-5 M95,AA94</t>
        </is>
      </c>
      <c r="I102" s="1708" t="inlineStr">
        <is>
          <t>同じシート内のみ</t>
        </is>
      </c>
    </row>
    <row r="103" spans="1:9" ht="19.95" customHeight="1">
      <c r="A103" s="1755" t="s">
        <v>2</v>
      </c>
      <c r="B103" s="1711" t="s">
        <v>1506</v>
      </c>
      <c r="C103" s="1756" t="str">
        <f>HYPERLINK("#'報告_総括P3-5'!T94","T94")</f>
        <v>T94</v>
      </c>
      <c r="D103" s="1711" t="s">
        <v>1601</v>
      </c>
      <c r="E103" s="1757">
        <f>IF('報告_総括P3-5'!T94="","",'報告_総括P3-5'!T94)</f>
        <v>133</v>
      </c>
      <c r="F103" s="1711" t="s">
        <v>1585</v>
      </c>
      <c r="G103" s="1709" t="str">
        <f t="shared" si="1"/>
        <v>入力済</v>
      </c>
      <c r="H103" s="1708" t="inlineStr">
        <is>
          <t>報告_総括P3-5 T95,AA94,AO94…</t>
        </is>
      </c>
      <c r="I103" s="1708" t="inlineStr">
        <is>
          <t>同じシート内のみ</t>
        </is>
      </c>
    </row>
    <row r="104" spans="1:9" ht="19.95" customHeight="1">
      <c r="A104" s="1752" t="s">
        <v>7</v>
      </c>
      <c r="B104" s="1708" t="s">
        <v>1625</v>
      </c>
      <c r="C104" s="1753" t="str">
        <f>HYPERLINK("#'報告_短期P6'!P7","P7")</f>
        <v>P7</v>
      </c>
      <c r="D104" s="1708" t="s">
        <v>1626</v>
      </c>
      <c r="E104" s="1754">
        <f>IF(報告_短期P6!P7="","",報告_短期P6!P7)</f>
        <v>52.91</v>
      </c>
      <c r="F104" s="1708" t="s">
        <v>1627</v>
      </c>
      <c r="G104" s="1709" t="str">
        <f t="shared" si="1"/>
        <v>入力済</v>
      </c>
      <c r="H104" s="1708" t="inlineStr">
        <is>
          <t>報告_短期P6 AF7</t>
        </is>
      </c>
      <c r="I104" s="1708" t="inlineStr">
        <is>
          <t>同じシート内のみ</t>
        </is>
      </c>
    </row>
    <row r="105" spans="1:9" ht="19.95" customHeight="1">
      <c r="A105" s="1755" t="s">
        <v>7</v>
      </c>
      <c r="B105" s="1711" t="s">
        <v>1625</v>
      </c>
      <c r="C105" s="1756" t="str">
        <f>HYPERLINK("#'報告_短期P6'!X7","X7")</f>
        <v>X7</v>
      </c>
      <c r="D105" s="1711" t="s">
        <v>1628</v>
      </c>
      <c r="E105" s="1757">
        <f>IF(報告_短期P6!X7="","",報告_短期P6!X7)</f>
        <v>52.91</v>
      </c>
      <c r="F105" s="1711" t="s">
        <v>1627</v>
      </c>
      <c r="G105" s="1709" t="str">
        <f t="shared" si="1"/>
        <v>入力済</v>
      </c>
      <c r="H105" s="1708" t="inlineStr">
        <is>
          <t>報告_短期P6 AF7</t>
        </is>
      </c>
      <c r="I105" s="1708" t="inlineStr">
        <is>
          <t>同じシート内のみ</t>
        </is>
      </c>
    </row>
    <row r="106" spans="1:9" ht="19.95" customHeight="1">
      <c r="A106" s="1752" t="s">
        <v>7</v>
      </c>
      <c r="B106" s="1708" t="s">
        <v>1625</v>
      </c>
      <c r="C106" s="1753" t="str">
        <f>HYPERLINK("#'報告_短期P6'!P8","P8")</f>
        <v>P8</v>
      </c>
      <c r="D106" s="1708" t="s">
        <v>1629</v>
      </c>
      <c r="E106" s="1754">
        <f>IF(報告_短期P6!P8="","",報告_短期P6!P8)</f>
        <v>52.91</v>
      </c>
      <c r="F106" s="1708" t="s">
        <v>1627</v>
      </c>
      <c r="G106" s="1709" t="str">
        <f t="shared" si="1"/>
        <v>入力済</v>
      </c>
      <c r="H106" s="1708" t="inlineStr">
        <is>
          <t>報告_短期P6 AF8</t>
        </is>
      </c>
      <c r="I106" s="1708" t="inlineStr">
        <is>
          <t>同じシート内のみ</t>
        </is>
      </c>
    </row>
    <row r="107" spans="1:9" ht="19.95" customHeight="1">
      <c r="A107" s="1755" t="s">
        <v>7</v>
      </c>
      <c r="B107" s="1711" t="s">
        <v>1625</v>
      </c>
      <c r="C107" s="1756" t="str">
        <f>HYPERLINK("#'報告_短期P6'!X8","X8")</f>
        <v>X8</v>
      </c>
      <c r="D107" s="1711" t="s">
        <v>1630</v>
      </c>
      <c r="E107" s="1757">
        <f>IF(報告_短期P6!X8="","",報告_短期P6!X8)</f>
        <v>52.91</v>
      </c>
      <c r="F107" s="1711" t="s">
        <v>1627</v>
      </c>
      <c r="G107" s="1709" t="str">
        <f t="shared" si="1"/>
        <v>入力済</v>
      </c>
      <c r="H107" s="1708" t="inlineStr">
        <is>
          <t>報告_短期P6 AF8</t>
        </is>
      </c>
      <c r="I107" s="1708" t="inlineStr">
        <is>
          <t>同じシート内のみ</t>
        </is>
      </c>
    </row>
    <row r="108" spans="1:9" ht="19.95" customHeight="1">
      <c r="A108" s="1752" t="s">
        <v>7</v>
      </c>
      <c r="B108" s="1708" t="s">
        <v>1625</v>
      </c>
      <c r="C108" s="1753" t="str">
        <f>HYPERLINK("#'報告_短期P6'!P9","P9")</f>
        <v>P9</v>
      </c>
      <c r="D108" s="1708" t="s">
        <v>1631</v>
      </c>
      <c r="E108" s="1754">
        <f>IF(報告_短期P6!P9="","",報告_短期P6!P9)</f>
        <v>52.91</v>
      </c>
      <c r="F108" s="1708" t="s">
        <v>1627</v>
      </c>
      <c r="G108" s="1709" t="str">
        <f t="shared" si="1"/>
        <v>入力済</v>
      </c>
      <c r="H108" s="1708" t="inlineStr">
        <is>
          <t>報告_短期P6 AF9</t>
        </is>
      </c>
      <c r="I108" s="1708" t="inlineStr">
        <is>
          <t>同じシート内のみ</t>
        </is>
      </c>
    </row>
    <row r="109" spans="1:9" ht="19.95" customHeight="1">
      <c r="A109" s="1755" t="s">
        <v>7</v>
      </c>
      <c r="B109" s="1711" t="s">
        <v>1625</v>
      </c>
      <c r="C109" s="1756" t="str">
        <f>HYPERLINK("#'報告_短期P6'!X9","X9")</f>
        <v>X9</v>
      </c>
      <c r="D109" s="1711" t="s">
        <v>1632</v>
      </c>
      <c r="E109" s="1757">
        <f>IF(報告_短期P6!X9="","",報告_短期P6!X9)</f>
        <v>52.91</v>
      </c>
      <c r="F109" s="1711" t="s">
        <v>1627</v>
      </c>
      <c r="G109" s="1709" t="str">
        <f t="shared" si="1"/>
        <v>入力済</v>
      </c>
      <c r="H109" s="1708" t="inlineStr">
        <is>
          <t>報告_短期P6 AF9</t>
        </is>
      </c>
      <c r="I109" s="1708" t="inlineStr">
        <is>
          <t>同じシート内のみ</t>
        </is>
      </c>
    </row>
    <row r="110" spans="1:9" ht="19.95" customHeight="1">
      <c r="A110" s="1752" t="s">
        <v>7</v>
      </c>
      <c r="B110" s="1708" t="s">
        <v>1625</v>
      </c>
      <c r="C110" s="1753" t="str">
        <f>HYPERLINK("#'報告_短期P6'!P10","P10")</f>
        <v>P10</v>
      </c>
      <c r="D110" s="1708" t="s">
        <v>1633</v>
      </c>
      <c r="E110" s="1754">
        <f>IF(報告_短期P6!P10="","",報告_短期P6!P10)</f>
        <v>52.91</v>
      </c>
      <c r="F110" s="1708" t="s">
        <v>1627</v>
      </c>
      <c r="G110" s="1709" t="str">
        <f t="shared" si="1"/>
        <v>入力済</v>
      </c>
      <c r="H110" s="1708" t="inlineStr">
        <is>
          <t>報告_短期P6 AF10</t>
        </is>
      </c>
      <c r="I110" s="1708" t="inlineStr">
        <is>
          <t>同じシート内のみ</t>
        </is>
      </c>
    </row>
    <row r="111" spans="1:9" ht="19.95" customHeight="1">
      <c r="A111" s="1755" t="s">
        <v>7</v>
      </c>
      <c r="B111" s="1711" t="s">
        <v>1625</v>
      </c>
      <c r="C111" s="1756" t="str">
        <f>HYPERLINK("#'報告_短期P6'!X10","X10")</f>
        <v>X10</v>
      </c>
      <c r="D111" s="1711" t="s">
        <v>1634</v>
      </c>
      <c r="E111" s="1757">
        <f>IF(報告_短期P6!X10="","",報告_短期P6!X10)</f>
        <v>52.91</v>
      </c>
      <c r="F111" s="1711" t="s">
        <v>1627</v>
      </c>
      <c r="G111" s="1709" t="str">
        <f t="shared" si="1"/>
        <v>入力済</v>
      </c>
      <c r="H111" s="1708" t="inlineStr">
        <is>
          <t>報告_短期P6 AF10</t>
        </is>
      </c>
      <c r="I111" s="1708" t="inlineStr">
        <is>
          <t>同じシート内のみ</t>
        </is>
      </c>
    </row>
    <row r="112" spans="1:9" ht="19.95" customHeight="1">
      <c r="A112" s="1752" t="s">
        <v>7</v>
      </c>
      <c r="B112" s="1708" t="s">
        <v>1625</v>
      </c>
      <c r="C112" s="1753" t="str">
        <f>HYPERLINK("#'報告_短期P6'!P11","P11")</f>
        <v>P11</v>
      </c>
      <c r="D112" s="1708" t="s">
        <v>1635</v>
      </c>
      <c r="E112" s="1754">
        <f>IF(報告_短期P6!P11="","",報告_短期P6!P11)</f>
        <v>2.52</v>
      </c>
      <c r="F112" s="1708" t="s">
        <v>1627</v>
      </c>
      <c r="G112" s="1709" t="str">
        <f t="shared" si="1"/>
        <v>入力済</v>
      </c>
      <c r="H112" s="1708" t="inlineStr">
        <is>
          <t>報告_短期P6 AF11</t>
        </is>
      </c>
      <c r="I112" s="1708" t="inlineStr">
        <is>
          <t>同じシート内のみ</t>
        </is>
      </c>
    </row>
    <row r="113" spans="1:9" ht="19.95" customHeight="1">
      <c r="A113" s="1755" t="s">
        <v>7</v>
      </c>
      <c r="B113" s="1711" t="s">
        <v>1625</v>
      </c>
      <c r="C113" s="1756" t="str">
        <f>HYPERLINK("#'報告_短期P6'!X11","X11")</f>
        <v>X11</v>
      </c>
      <c r="D113" s="1711" t="s">
        <v>1636</v>
      </c>
      <c r="E113" s="1757">
        <f>IF(報告_短期P6!X11="","",報告_短期P6!X11)</f>
        <v>2.52</v>
      </c>
      <c r="F113" s="1711" t="s">
        <v>1627</v>
      </c>
      <c r="G113" s="1709" t="str">
        <f t="shared" si="1"/>
        <v>入力済</v>
      </c>
      <c r="H113" s="1708" t="inlineStr">
        <is>
          <t>報告_短期P6 AF11</t>
        </is>
      </c>
      <c r="I113" s="1708" t="inlineStr">
        <is>
          <t>同じシート内のみ</t>
        </is>
      </c>
    </row>
    <row r="114" spans="1:9" ht="19.95" customHeight="1">
      <c r="A114" s="1752" t="s">
        <v>7</v>
      </c>
      <c r="B114" s="1708" t="s">
        <v>1625</v>
      </c>
      <c r="C114" s="1753" t="str">
        <f>HYPERLINK("#'報告_短期P6'!P12","P12")</f>
        <v>P12</v>
      </c>
      <c r="D114" s="1708" t="s">
        <v>1637</v>
      </c>
      <c r="E114" s="1754">
        <f>IF(報告_短期P6!P12="","",報告_短期P6!P12)</f>
        <v>105.82</v>
      </c>
      <c r="F114" s="1708" t="s">
        <v>1627</v>
      </c>
      <c r="G114" s="1709" t="str">
        <f t="shared" si="1"/>
        <v>入力済</v>
      </c>
      <c r="H114" s="1708" t="inlineStr">
        <is>
          <t>報告_短期P6 AF12</t>
        </is>
      </c>
      <c r="I114" s="1708" t="inlineStr">
        <is>
          <t>同じシート内のみ</t>
        </is>
      </c>
    </row>
    <row r="115" spans="1:9" ht="19.95" customHeight="1">
      <c r="A115" s="1755" t="s">
        <v>7</v>
      </c>
      <c r="B115" s="1711" t="s">
        <v>1625</v>
      </c>
      <c r="C115" s="1756" t="str">
        <f>HYPERLINK("#'報告_短期P6'!P19","P19")</f>
        <v>P19</v>
      </c>
      <c r="D115" s="1711" t="s">
        <v>1626</v>
      </c>
      <c r="E115" s="1757">
        <f>IF(報告_短期P6!P19="","",報告_短期P6!P19)</f>
        <v>7.9</v>
      </c>
      <c r="F115" s="1711" t="s">
        <v>1627</v>
      </c>
      <c r="G115" s="1709" t="str">
        <f t="shared" si="1"/>
        <v>入力済</v>
      </c>
      <c r="H115" s="1708" t="inlineStr">
        <is>
          <t>報告_短期P6 AF19</t>
        </is>
      </c>
      <c r="I115" s="1708" t="inlineStr">
        <is>
          <t>同じシート内のみ</t>
        </is>
      </c>
    </row>
    <row r="116" spans="1:9" ht="19.95" customHeight="1">
      <c r="A116" s="1752" t="s">
        <v>7</v>
      </c>
      <c r="B116" s="1708" t="s">
        <v>1625</v>
      </c>
      <c r="C116" s="1753" t="str">
        <f>HYPERLINK("#'報告_短期P6'!X19","X19")</f>
        <v>X19</v>
      </c>
      <c r="D116" s="1708" t="s">
        <v>1628</v>
      </c>
      <c r="E116" s="1754">
        <f>IF(報告_短期P6!X19="","",報告_短期P6!X19)</f>
        <v>7.9</v>
      </c>
      <c r="F116" s="1708" t="s">
        <v>1627</v>
      </c>
      <c r="G116" s="1709" t="str">
        <f t="shared" si="1"/>
        <v>入力済</v>
      </c>
      <c r="H116" s="1708" t="inlineStr">
        <is>
          <t>報告_短期P6 AF19</t>
        </is>
      </c>
      <c r="I116" s="1708" t="inlineStr">
        <is>
          <t>同じシート内のみ</t>
        </is>
      </c>
    </row>
    <row r="117" spans="1:9" ht="19.95" customHeight="1">
      <c r="A117" s="1755" t="s">
        <v>7</v>
      </c>
      <c r="B117" s="1711" t="s">
        <v>1625</v>
      </c>
      <c r="C117" s="1756" t="str">
        <f>HYPERLINK("#'報告_短期P6'!P20","P20")</f>
        <v>P20</v>
      </c>
      <c r="D117" s="1711" t="s">
        <v>1629</v>
      </c>
      <c r="E117" s="1757">
        <f>IF(報告_短期P6!P20="","",報告_短期P6!P20)</f>
        <v>7.9</v>
      </c>
      <c r="F117" s="1711" t="s">
        <v>1627</v>
      </c>
      <c r="G117" s="1709" t="str">
        <f t="shared" si="1"/>
        <v>入力済</v>
      </c>
      <c r="H117" s="1708" t="inlineStr">
        <is>
          <t>報告_短期P6 AF20</t>
        </is>
      </c>
      <c r="I117" s="1708" t="inlineStr">
        <is>
          <t>同じシート内のみ</t>
        </is>
      </c>
    </row>
    <row r="118" spans="1:9" ht="19.95" customHeight="1">
      <c r="A118" s="1752" t="s">
        <v>7</v>
      </c>
      <c r="B118" s="1708" t="s">
        <v>1625</v>
      </c>
      <c r="C118" s="1753" t="str">
        <f>HYPERLINK("#'報告_短期P6'!X20","X20")</f>
        <v>X20</v>
      </c>
      <c r="D118" s="1708" t="s">
        <v>1630</v>
      </c>
      <c r="E118" s="1754">
        <f>IF(報告_短期P6!X20="","",報告_短期P6!X20)</f>
        <v>7.9</v>
      </c>
      <c r="F118" s="1708" t="s">
        <v>1627</v>
      </c>
      <c r="G118" s="1709" t="str">
        <f t="shared" si="1"/>
        <v>入力済</v>
      </c>
      <c r="H118" s="1708" t="inlineStr">
        <is>
          <t>報告_短期P6 AF20</t>
        </is>
      </c>
      <c r="I118" s="1708" t="inlineStr">
        <is>
          <t>同じシート内のみ</t>
        </is>
      </c>
    </row>
    <row r="119" spans="1:9" ht="19.95" customHeight="1">
      <c r="A119" s="1755" t="s">
        <v>7</v>
      </c>
      <c r="B119" s="1711" t="s">
        <v>1625</v>
      </c>
      <c r="C119" s="1756" t="str">
        <f>HYPERLINK("#'報告_短期P6'!P21","P21")</f>
        <v>P21</v>
      </c>
      <c r="D119" s="1711" t="s">
        <v>1631</v>
      </c>
      <c r="E119" s="1757">
        <f>IF(報告_短期P6!P21="","",報告_短期P6!P21)</f>
        <v>7.9</v>
      </c>
      <c r="F119" s="1711" t="s">
        <v>1627</v>
      </c>
      <c r="G119" s="1709" t="str">
        <f t="shared" si="1"/>
        <v>入力済</v>
      </c>
      <c r="H119" s="1708" t="inlineStr">
        <is>
          <t>報告_短期P6 AF21</t>
        </is>
      </c>
      <c r="I119" s="1708" t="inlineStr">
        <is>
          <t>同じシート内のみ</t>
        </is>
      </c>
    </row>
    <row r="120" spans="1:9" ht="19.95" customHeight="1">
      <c r="A120" s="1752" t="s">
        <v>7</v>
      </c>
      <c r="B120" s="1708" t="s">
        <v>1625</v>
      </c>
      <c r="C120" s="1753" t="str">
        <f>HYPERLINK("#'報告_短期P6'!X21","X21")</f>
        <v>X21</v>
      </c>
      <c r="D120" s="1708" t="s">
        <v>1632</v>
      </c>
      <c r="E120" s="1754">
        <f>IF(報告_短期P6!X21="","",報告_短期P6!X21)</f>
        <v>7.9</v>
      </c>
      <c r="F120" s="1708" t="s">
        <v>1627</v>
      </c>
      <c r="G120" s="1709" t="str">
        <f t="shared" si="1"/>
        <v>入力済</v>
      </c>
      <c r="H120" s="1708" t="inlineStr">
        <is>
          <t>報告_短期P6 AF21</t>
        </is>
      </c>
      <c r="I120" s="1708" t="inlineStr">
        <is>
          <t>同じシート内のみ</t>
        </is>
      </c>
    </row>
    <row r="121" spans="1:9" ht="19.95" customHeight="1">
      <c r="A121" s="1755" t="s">
        <v>7</v>
      </c>
      <c r="B121" s="1711" t="s">
        <v>1625</v>
      </c>
      <c r="C121" s="1756" t="str">
        <f>HYPERLINK("#'報告_短期P6'!P22","P22")</f>
        <v>P22</v>
      </c>
      <c r="D121" s="1711" t="s">
        <v>1633</v>
      </c>
      <c r="E121" s="1757">
        <f>IF(報告_短期P6!P22="","",報告_短期P6!P22)</f>
        <v>7.9</v>
      </c>
      <c r="F121" s="1711" t="s">
        <v>1627</v>
      </c>
      <c r="G121" s="1709" t="str">
        <f t="shared" si="1"/>
        <v>入力済</v>
      </c>
      <c r="H121" s="1708" t="inlineStr">
        <is>
          <t>報告_短期P6 AF22</t>
        </is>
      </c>
      <c r="I121" s="1708" t="inlineStr">
        <is>
          <t>同じシート内のみ</t>
        </is>
      </c>
    </row>
    <row r="122" spans="1:9" ht="19.95" customHeight="1">
      <c r="A122" s="1752" t="s">
        <v>7</v>
      </c>
      <c r="B122" s="1708" t="s">
        <v>1625</v>
      </c>
      <c r="C122" s="1753" t="str">
        <f>HYPERLINK("#'報告_短期P6'!X22","X22")</f>
        <v>X22</v>
      </c>
      <c r="D122" s="1708" t="s">
        <v>1634</v>
      </c>
      <c r="E122" s="1754">
        <f>IF(報告_短期P6!X22="","",報告_短期P6!X22)</f>
        <v>7.9</v>
      </c>
      <c r="F122" s="1708" t="s">
        <v>1627</v>
      </c>
      <c r="G122" s="1709" t="str">
        <f t="shared" si="1"/>
        <v>入力済</v>
      </c>
      <c r="H122" s="1708" t="inlineStr">
        <is>
          <t>報告_短期P6 AF22</t>
        </is>
      </c>
      <c r="I122" s="1708" t="inlineStr">
        <is>
          <t>同じシート内のみ</t>
        </is>
      </c>
    </row>
    <row r="123" spans="1:9" ht="19.95" customHeight="1">
      <c r="A123" s="1755" t="s">
        <v>7</v>
      </c>
      <c r="B123" s="1711" t="s">
        <v>1625</v>
      </c>
      <c r="C123" s="1756" t="str">
        <f>HYPERLINK("#'報告_短期P6'!P23","P23")</f>
        <v>P23</v>
      </c>
      <c r="D123" s="1711" t="s">
        <v>1637</v>
      </c>
      <c r="E123" s="1757">
        <f>IF(報告_短期P6!P23="","",報告_短期P6!P23)</f>
        <v>15.8</v>
      </c>
      <c r="F123" s="1711" t="s">
        <v>1627</v>
      </c>
      <c r="G123" s="1709" t="str">
        <f t="shared" si="1"/>
        <v>入力済</v>
      </c>
      <c r="H123" s="1708" t="inlineStr">
        <is>
          <t>報告_短期P6 AF23</t>
        </is>
      </c>
      <c r="I123" s="1708" t="inlineStr">
        <is>
          <t>同じシート内のみ</t>
        </is>
      </c>
    </row>
    <row r="124" spans="1:9" ht="19.95" customHeight="1">
      <c r="A124" s="1752" t="s">
        <v>7</v>
      </c>
      <c r="B124" s="1708" t="s">
        <v>1625</v>
      </c>
      <c r="C124" s="1753" t="str">
        <f>HYPERLINK("#'報告_短期P6'!AF29","AF29")</f>
        <v>AF29</v>
      </c>
      <c r="D124" s="1708" t="s">
        <v>1638</v>
      </c>
      <c r="E124" s="1754">
        <f>IF(報告_短期P6!AF29="","",報告_短期P6!AF29)</f>
        <v>0.1</v>
      </c>
      <c r="F124" s="1708" t="s">
        <v>1639</v>
      </c>
      <c r="G124" s="1709" t="str">
        <f t="shared" si="1"/>
        <v>入力済</v>
      </c>
      <c r="H124" s="1708" t="inlineStr">
        <is>
          <t>なし（このセルのみ）</t>
        </is>
      </c>
      <c r="I124" s="1708" t="inlineStr">
        <is>
          <t>―</t>
        </is>
      </c>
    </row>
    <row r="125" spans="1:9" ht="19.95" customHeight="1">
      <c r="A125" s="1755" t="s">
        <v>7</v>
      </c>
      <c r="B125" s="1711" t="s">
        <v>1625</v>
      </c>
      <c r="C125" s="1756" t="str">
        <f>HYPERLINK("#'報告_短期P6'!AF30","AF30")</f>
        <v>AF30</v>
      </c>
      <c r="D125" s="1711" t="s">
        <v>1640</v>
      </c>
      <c r="E125" s="1757">
        <f>IF(報告_短期P6!AF30="","",報告_短期P6!AF30)</f>
        <v>0.87</v>
      </c>
      <c r="F125" s="1711" t="s">
        <v>1639</v>
      </c>
      <c r="G125" s="1709" t="str">
        <f t="shared" si="1"/>
        <v>入力済</v>
      </c>
      <c r="H125" s="1708" t="inlineStr">
        <is>
          <t>なし（このセルのみ）</t>
        </is>
      </c>
      <c r="I125" s="1708" t="inlineStr">
        <is>
          <t>―</t>
        </is>
      </c>
    </row>
    <row r="126" spans="1:9" ht="19.95" customHeight="1">
      <c r="A126" s="1752" t="s">
        <v>7</v>
      </c>
      <c r="B126" s="1708" t="s">
        <v>1456</v>
      </c>
      <c r="C126" s="1753" t="str">
        <f>HYPERLINK("#'報告_短期P7-10'!AZ5","AZ5")</f>
        <v>AZ5</v>
      </c>
      <c r="D126" s="1708" t="s">
        <v>1641</v>
      </c>
      <c r="E126" s="1754">
        <f>IF('報告_短期P7-10'!AZ5="","",'報告_短期P7-10'!AZ5)</f>
        <v>5350860000</v>
      </c>
      <c r="F126" s="1708" t="s">
        <v>373</v>
      </c>
      <c r="G126" s="1709" t="str">
        <f t="shared" si="1"/>
        <v>入力済</v>
      </c>
      <c r="H126" s="1708" t="inlineStr">
        <is>
          <t>報告_短期P7-10 AZ30,DD5</t>
        </is>
      </c>
      <c r="I126" s="1708" t="inlineStr">
        <is>
          <t>同じシート内のみ</t>
        </is>
      </c>
    </row>
    <row r="127" spans="1:9" ht="19.95" customHeight="1">
      <c r="A127" s="1755" t="s">
        <v>7</v>
      </c>
      <c r="B127" s="1711" t="s">
        <v>1456</v>
      </c>
      <c r="C127" s="1756" t="str">
        <f>HYPERLINK("#'報告_短期P7-10'!AZ6","AZ6")</f>
        <v>AZ6</v>
      </c>
      <c r="D127" s="1711" t="s">
        <v>1642</v>
      </c>
      <c r="E127" s="1757">
        <f>IF('報告_短期P7-10'!AZ6="","",'報告_短期P7-10'!AZ6)</f>
        <v>67236000</v>
      </c>
      <c r="F127" s="1711" t="s">
        <v>373</v>
      </c>
      <c r="G127" s="1709" t="str">
        <f t="shared" si="1"/>
        <v>入力済</v>
      </c>
      <c r="H127" s="1708" t="inlineStr">
        <is>
          <t>報告_短期P7-10 AZ30,DD6</t>
        </is>
      </c>
      <c r="I127" s="1708" t="inlineStr">
        <is>
          <t>同じシート内のみ</t>
        </is>
      </c>
    </row>
    <row r="128" spans="1:9" ht="19.95" customHeight="1">
      <c r="A128" s="1752" t="s">
        <v>7</v>
      </c>
      <c r="B128" s="1708" t="s">
        <v>1456</v>
      </c>
      <c r="C128" s="1753" t="str">
        <f>HYPERLINK("#'報告_短期P7-10'!CB6","CB6")</f>
        <v>CB6</v>
      </c>
      <c r="D128" s="1708" t="s">
        <v>1643</v>
      </c>
      <c r="E128" s="1754">
        <f>IF('報告_短期P7-10'!CB6="","",'報告_短期P7-10'!CB6)</f>
        <v>68555495</v>
      </c>
      <c r="F128" s="1708" t="s">
        <v>1644</v>
      </c>
      <c r="G128" s="1709" t="str">
        <f t="shared" si="1"/>
        <v>入力済</v>
      </c>
      <c r="H128" s="1708" t="inlineStr">
        <is>
          <t>報告_短期P7-10 AZ36,CB5,CB30…、報告_P8グラフデータ F5</t>
        </is>
      </c>
      <c r="I128" s="1708" t="inlineStr">
        <is>
          <t>報告_P8グラフデータ</t>
        </is>
      </c>
    </row>
    <row r="129" spans="1:9" ht="19.95" customHeight="1">
      <c r="A129" s="1755" t="s">
        <v>7</v>
      </c>
      <c r="B129" s="1711" t="s">
        <v>1456</v>
      </c>
      <c r="C129" s="1756" t="str">
        <f>HYPERLINK("#'報告_短期P7-10'!AZ7","AZ7")</f>
        <v>AZ7</v>
      </c>
      <c r="D129" s="1711" t="s">
        <v>1645</v>
      </c>
      <c r="E129" s="1757">
        <f>IF('報告_短期P7-10'!AZ7="","",'報告_短期P7-10'!AZ7)</f>
        <v>467896000</v>
      </c>
      <c r="F129" s="1711" t="s">
        <v>373</v>
      </c>
      <c r="G129" s="1709" t="str">
        <f t="shared" si="1"/>
        <v>入力済</v>
      </c>
      <c r="H129" s="1708" t="inlineStr">
        <is>
          <t>報告_短期P7-10 AZ30,DD7</t>
        </is>
      </c>
      <c r="I129" s="1708" t="inlineStr">
        <is>
          <t>同じシート内のみ</t>
        </is>
      </c>
    </row>
    <row r="130" spans="1:9" ht="19.95" customHeight="1">
      <c r="A130" s="1752" t="s">
        <v>7</v>
      </c>
      <c r="B130" s="1708" t="s">
        <v>1456</v>
      </c>
      <c r="C130" s="1753" t="str">
        <f>HYPERLINK("#'報告_短期P7-10'!AZ8","AZ8")</f>
        <v>AZ8</v>
      </c>
      <c r="D130" s="1708" t="s">
        <v>1646</v>
      </c>
      <c r="E130" s="1754">
        <f>IF('報告_短期P7-10'!AZ8="","",'報告_短期P7-10'!AZ8)</f>
        <v>5350860000</v>
      </c>
      <c r="F130" s="1708" t="s">
        <v>373</v>
      </c>
      <c r="G130" s="1709" t="str">
        <f t="shared" si="1"/>
        <v>入力済</v>
      </c>
      <c r="H130" s="1708" t="inlineStr">
        <is>
          <t>報告_短期P7-10 AZ30,DD8</t>
        </is>
      </c>
      <c r="I130" s="1708" t="inlineStr">
        <is>
          <t>同じシート内のみ</t>
        </is>
      </c>
    </row>
    <row r="131" spans="1:9" ht="19.95" customHeight="1">
      <c r="A131" s="1755" t="s">
        <v>7</v>
      </c>
      <c r="B131" s="1711" t="s">
        <v>1456</v>
      </c>
      <c r="C131" s="1756" t="str">
        <f>HYPERLINK("#'報告_短期P7-10'!AZ9","AZ9")</f>
        <v>AZ9</v>
      </c>
      <c r="D131" s="1711" t="s">
        <v>1647</v>
      </c>
      <c r="E131" s="1757">
        <f>IF('報告_短期P7-10'!AZ9="","",'報告_短期P7-10'!AZ9)</f>
        <v>467896000</v>
      </c>
      <c r="F131" s="1711" t="s">
        <v>373</v>
      </c>
      <c r="G131" s="1709" t="str">
        <f t="shared" si="1"/>
        <v>入力済</v>
      </c>
      <c r="H131" s="1708" t="inlineStr">
        <is>
          <t>報告_短期P7-10 AZ30,DD9</t>
        </is>
      </c>
      <c r="I131" s="1708" t="inlineStr">
        <is>
          <t>同じシート内のみ</t>
        </is>
      </c>
    </row>
    <row r="132" spans="1:9" ht="19.95" customHeight="1">
      <c r="A132" s="1752" t="s">
        <v>7</v>
      </c>
      <c r="B132" s="1708" t="s">
        <v>1456</v>
      </c>
      <c r="C132" s="1753" t="str">
        <f>HYPERLINK("#'報告_短期P7-10'!AZ10","AZ10")</f>
        <v>AZ10</v>
      </c>
      <c r="D132" s="1708" t="s">
        <v>1648</v>
      </c>
      <c r="E132" s="1754">
        <f>IF('報告_短期P7-10'!AZ10="","",'報告_短期P7-10'!AZ10)</f>
        <v>92578000</v>
      </c>
      <c r="F132" s="1708" t="s">
        <v>373</v>
      </c>
      <c r="G132" s="1709" t="str">
        <f t="shared" si="1"/>
        <v>入力済</v>
      </c>
      <c r="H132" s="1708" t="inlineStr">
        <is>
          <t>報告_短期P7-10 AZ30,DD10</t>
        </is>
      </c>
      <c r="I132" s="1708" t="inlineStr">
        <is>
          <t>同じシート内のみ</t>
        </is>
      </c>
    </row>
    <row r="133" spans="1:9" ht="19.95" customHeight="1">
      <c r="A133" s="1755" t="s">
        <v>7</v>
      </c>
      <c r="B133" s="1711" t="s">
        <v>1456</v>
      </c>
      <c r="C133" s="1756" t="str">
        <f>HYPERLINK("#'報告_短期P7-10'!AZ11","AZ11")</f>
        <v>AZ11</v>
      </c>
      <c r="D133" s="1711" t="s">
        <v>1649</v>
      </c>
      <c r="E133" s="1757">
        <f>IF('報告_短期P7-10'!AZ11="","",'報告_短期P7-10'!AZ11)</f>
        <v>4729000</v>
      </c>
      <c r="F133" s="1711" t="s">
        <v>373</v>
      </c>
      <c r="G133" s="1709" t="str">
        <f t="shared" si="1"/>
        <v>入力済</v>
      </c>
      <c r="H133" s="1708" t="inlineStr">
        <is>
          <t>報告_短期P7-10 AZ30,DD11</t>
        </is>
      </c>
      <c r="I133" s="1708" t="inlineStr">
        <is>
          <t>同じシート内のみ</t>
        </is>
      </c>
    </row>
    <row r="134" spans="1:9" ht="19.95" customHeight="1">
      <c r="A134" s="1752" t="s">
        <v>7</v>
      </c>
      <c r="B134" s="1708" t="s">
        <v>1456</v>
      </c>
      <c r="C134" s="1753" t="str">
        <f>HYPERLINK("#'報告_短期P7-10'!AZ12","AZ12")</f>
        <v>AZ12</v>
      </c>
      <c r="D134" s="1708" t="s">
        <v>1650</v>
      </c>
      <c r="E134" s="1754">
        <f>IF('報告_短期P7-10'!AZ12="","",'報告_短期P7-10'!AZ12)</f>
        <v>7420000</v>
      </c>
      <c r="F134" s="1708" t="s">
        <v>373</v>
      </c>
      <c r="G134" s="1709" t="str">
        <f t="shared" ref="G134:G197" si="2">IF(E134="","未入力（空欄）",IF(E134=0,"0（確認）","入力済"))</f>
        <v>入力済</v>
      </c>
      <c r="H134" s="1708" t="inlineStr">
        <is>
          <t>報告_短期P7-10 AZ30,DD12</t>
        </is>
      </c>
      <c r="I134" s="1708" t="inlineStr">
        <is>
          <t>同じシート内のみ</t>
        </is>
      </c>
    </row>
    <row r="135" spans="1:9" ht="19.95" customHeight="1">
      <c r="A135" s="1755" t="s">
        <v>7</v>
      </c>
      <c r="B135" s="1711" t="s">
        <v>1456</v>
      </c>
      <c r="C135" s="1756" t="str">
        <f>HYPERLINK("#'報告_短期P7-10'!AZ13","AZ13")</f>
        <v>AZ13</v>
      </c>
      <c r="D135" s="1711" t="s">
        <v>1651</v>
      </c>
      <c r="E135" s="1757">
        <f>IF('報告_短期P7-10'!AZ13="","",'報告_短期P7-10'!AZ13)</f>
        <v>0</v>
      </c>
      <c r="F135" s="1711" t="s">
        <v>373</v>
      </c>
      <c r="G135" s="1709" t="str">
        <f t="shared" si="2"/>
        <v>0（確認）</v>
      </c>
      <c r="H135" s="1708" t="inlineStr">
        <is>
          <t>報告_短期P7-10 AZ30,DD13</t>
        </is>
      </c>
      <c r="I135" s="1708" t="inlineStr">
        <is>
          <t>同じシート内のみ</t>
        </is>
      </c>
    </row>
    <row r="136" spans="1:9" ht="19.95" customHeight="1">
      <c r="A136" s="1752" t="s">
        <v>7</v>
      </c>
      <c r="B136" s="1708" t="s">
        <v>1456</v>
      </c>
      <c r="C136" s="1753" t="str">
        <f>HYPERLINK("#'報告_短期P7-10'!AZ14","AZ14")</f>
        <v>AZ14</v>
      </c>
      <c r="D136" s="1708" t="s">
        <v>1652</v>
      </c>
      <c r="E136" s="1754">
        <f>IF('報告_短期P7-10'!AZ14="","",'報告_短期P7-10'!AZ14)</f>
        <v>0</v>
      </c>
      <c r="F136" s="1708" t="s">
        <v>373</v>
      </c>
      <c r="G136" s="1709" t="str">
        <f t="shared" si="2"/>
        <v>0（確認）</v>
      </c>
      <c r="H136" s="1708" t="inlineStr">
        <is>
          <t>報告_短期P7-10 AZ30,DD14</t>
        </is>
      </c>
      <c r="I136" s="1708" t="inlineStr">
        <is>
          <t>同じシート内のみ</t>
        </is>
      </c>
    </row>
    <row r="137" spans="1:9" ht="19.95" customHeight="1">
      <c r="A137" s="1755" t="s">
        <v>7</v>
      </c>
      <c r="B137" s="1711" t="s">
        <v>1456</v>
      </c>
      <c r="C137" s="1756" t="str">
        <f>HYPERLINK("#'報告_短期P7-10'!CB14","CB14")</f>
        <v>CB14</v>
      </c>
      <c r="D137" s="1711" t="s">
        <v>1653</v>
      </c>
      <c r="E137" s="1757">
        <f>IF('報告_短期P7-10'!CB14="","",'報告_短期P7-10'!CB14)</f>
        <v>0</v>
      </c>
      <c r="F137" s="1711" t="s">
        <v>1644</v>
      </c>
      <c r="G137" s="1709" t="str">
        <f t="shared" si="2"/>
        <v>0（確認）</v>
      </c>
      <c r="H137" s="1708" t="inlineStr">
        <is>
          <t>報告_短期P7-10 CB30,DD14,FH14</t>
        </is>
      </c>
      <c r="I137" s="1708" t="inlineStr">
        <is>
          <t>同じシート内のみ</t>
        </is>
      </c>
    </row>
    <row r="138" spans="1:9" ht="19.95" customHeight="1">
      <c r="A138" s="1752" t="s">
        <v>7</v>
      </c>
      <c r="B138" s="1708" t="s">
        <v>1456</v>
      </c>
      <c r="C138" s="1753" t="str">
        <f>HYPERLINK("#'報告_短期P7-10'!AZ15","AZ15")</f>
        <v>AZ15</v>
      </c>
      <c r="D138" s="1708" t="s">
        <v>1654</v>
      </c>
      <c r="E138" s="1754">
        <f>IF('報告_短期P7-10'!AZ15="","",'報告_短期P7-10'!AZ15)</f>
        <v>0</v>
      </c>
      <c r="F138" s="1708" t="s">
        <v>373</v>
      </c>
      <c r="G138" s="1709" t="str">
        <f t="shared" si="2"/>
        <v>0（確認）</v>
      </c>
      <c r="H138" s="1708" t="inlineStr">
        <is>
          <t>報告_短期P7-10 AZ30,DD15</t>
        </is>
      </c>
      <c r="I138" s="1708" t="inlineStr">
        <is>
          <t>同じシート内のみ</t>
        </is>
      </c>
    </row>
    <row r="139" spans="1:9" ht="19.95" customHeight="1">
      <c r="A139" s="1755" t="s">
        <v>7</v>
      </c>
      <c r="B139" s="1711" t="s">
        <v>1456</v>
      </c>
      <c r="C139" s="1756" t="str">
        <f>HYPERLINK("#'報告_短期P7-10'!CB15","CB15")</f>
        <v>CB15</v>
      </c>
      <c r="D139" s="1711" t="s">
        <v>1655</v>
      </c>
      <c r="E139" s="1757">
        <f>IF('報告_短期P7-10'!CB15="","",'報告_短期P7-10'!CB15)</f>
        <v>0</v>
      </c>
      <c r="F139" s="1711" t="s">
        <v>1644</v>
      </c>
      <c r="G139" s="1709" t="str">
        <f t="shared" si="2"/>
        <v>0（確認）</v>
      </c>
      <c r="H139" s="1708" t="inlineStr">
        <is>
          <t>報告_短期P7-10 CB30,DD15,FH15</t>
        </is>
      </c>
      <c r="I139" s="1708" t="inlineStr">
        <is>
          <t>同じシート内のみ</t>
        </is>
      </c>
    </row>
    <row r="140" spans="1:9" ht="19.95" customHeight="1">
      <c r="A140" s="1752" t="s">
        <v>7</v>
      </c>
      <c r="B140" s="1708" t="s">
        <v>1456</v>
      </c>
      <c r="C140" s="1753" t="str">
        <f>HYPERLINK("#'報告_短期P7-10'!AZ16","AZ16")</f>
        <v>AZ16</v>
      </c>
      <c r="D140" s="1708" t="s">
        <v>1656</v>
      </c>
      <c r="E140" s="1754">
        <f>IF('報告_短期P7-10'!AZ16="","",'報告_短期P7-10'!AZ16)</f>
        <v>0</v>
      </c>
      <c r="F140" s="1708" t="s">
        <v>373</v>
      </c>
      <c r="G140" s="1709" t="str">
        <f t="shared" si="2"/>
        <v>0（確認）</v>
      </c>
      <c r="H140" s="1708" t="inlineStr">
        <is>
          <t>報告_短期P7-10 AZ30,DD16</t>
        </is>
      </c>
      <c r="I140" s="1708" t="inlineStr">
        <is>
          <t>同じシート内のみ</t>
        </is>
      </c>
    </row>
    <row r="141" spans="1:9" ht="19.95" customHeight="1">
      <c r="A141" s="1755" t="s">
        <v>7</v>
      </c>
      <c r="B141" s="1711" t="s">
        <v>1456</v>
      </c>
      <c r="C141" s="1756" t="str">
        <f>HYPERLINK("#'報告_短期P7-10'!CB16","CB16")</f>
        <v>CB16</v>
      </c>
      <c r="D141" s="1711" t="s">
        <v>1657</v>
      </c>
      <c r="E141" s="1757">
        <f>IF('報告_短期P7-10'!CB16="","",'報告_短期P7-10'!CB16)</f>
        <v>0</v>
      </c>
      <c r="F141" s="1711" t="s">
        <v>1644</v>
      </c>
      <c r="G141" s="1709" t="str">
        <f t="shared" si="2"/>
        <v>0（確認）</v>
      </c>
      <c r="H141" s="1708" t="inlineStr">
        <is>
          <t>報告_短期P7-10 CB30,DD16,FH16</t>
        </is>
      </c>
      <c r="I141" s="1708" t="inlineStr">
        <is>
          <t>同じシート内のみ</t>
        </is>
      </c>
    </row>
    <row r="142" spans="1:9" ht="19.95" customHeight="1">
      <c r="A142" s="1752" t="s">
        <v>7</v>
      </c>
      <c r="B142" s="1708" t="s">
        <v>1456</v>
      </c>
      <c r="C142" s="1753" t="str">
        <f>HYPERLINK("#'報告_短期P7-10'!AZ17","AZ17")</f>
        <v>AZ17</v>
      </c>
      <c r="D142" s="1708" t="s">
        <v>1658</v>
      </c>
      <c r="E142" s="1754">
        <f>IF('報告_短期P7-10'!AZ17="","",'報告_短期P7-10'!AZ17)</f>
        <v>100418000</v>
      </c>
      <c r="F142" s="1708" t="s">
        <v>373</v>
      </c>
      <c r="G142" s="1709" t="str">
        <f t="shared" si="2"/>
        <v>入力済</v>
      </c>
      <c r="H142" s="1708" t="inlineStr">
        <is>
          <t>報告_短期P7-10 AZ30,DD17</t>
        </is>
      </c>
      <c r="I142" s="1708" t="inlineStr">
        <is>
          <t>同じシート内のみ</t>
        </is>
      </c>
    </row>
    <row r="143" spans="1:9" ht="19.95" customHeight="1">
      <c r="A143" s="1755" t="s">
        <v>7</v>
      </c>
      <c r="B143" s="1711" t="s">
        <v>1456</v>
      </c>
      <c r="C143" s="1756" t="str">
        <f>HYPERLINK("#'報告_短期P7-10'!AZ18","AZ18")</f>
        <v>AZ18</v>
      </c>
      <c r="D143" s="1711" t="s">
        <v>42</v>
      </c>
      <c r="E143" s="1757">
        <f>IF('報告_短期P7-10'!AZ18="","",'報告_短期P7-10'!AZ18)</f>
        <v>3000</v>
      </c>
      <c r="F143" s="1711" t="s">
        <v>373</v>
      </c>
      <c r="G143" s="1709" t="str">
        <f t="shared" si="2"/>
        <v>入力済</v>
      </c>
      <c r="H143" s="1708" t="inlineStr">
        <is>
          <t>報告_短期P7-10 AZ30,DD18</t>
        </is>
      </c>
      <c r="I143" s="1708" t="inlineStr">
        <is>
          <t>同じシート内のみ</t>
        </is>
      </c>
    </row>
    <row r="144" spans="1:9" ht="19.95" customHeight="1">
      <c r="A144" s="1752" t="s">
        <v>7</v>
      </c>
      <c r="B144" s="1708" t="s">
        <v>1456</v>
      </c>
      <c r="C144" s="1753" t="str">
        <f>HYPERLINK("#'報告_短期P7-10'!AZ20","AZ20")</f>
        <v>AZ20</v>
      </c>
      <c r="D144" s="1708" t="s">
        <v>43</v>
      </c>
      <c r="E144" s="1754">
        <f>IF('報告_短期P7-10'!AZ20="","",'報告_短期P7-10'!AZ20)</f>
        <v>0</v>
      </c>
      <c r="F144" s="1708" t="s">
        <v>373</v>
      </c>
      <c r="G144" s="1709" t="str">
        <f t="shared" si="2"/>
        <v>0（確認）</v>
      </c>
      <c r="H144" s="1708" t="inlineStr">
        <is>
          <t>報告_短期P7-10 AZ30,DD20</t>
        </is>
      </c>
      <c r="I144" s="1708" t="inlineStr">
        <is>
          <t>同じシート内のみ</t>
        </is>
      </c>
    </row>
    <row r="145" spans="1:9" ht="19.95" customHeight="1">
      <c r="A145" s="1755" t="s">
        <v>7</v>
      </c>
      <c r="B145" s="1711" t="s">
        <v>1456</v>
      </c>
      <c r="C145" s="1756" t="str">
        <f>HYPERLINK("#'報告_短期P7-10'!AZ22","AZ22")</f>
        <v>AZ22</v>
      </c>
      <c r="D145" s="1711" t="s">
        <v>44</v>
      </c>
      <c r="E145" s="1757">
        <f>IF('報告_短期P7-10'!AZ22="","",'報告_短期P7-10'!AZ22)</f>
        <v>0</v>
      </c>
      <c r="F145" s="1711" t="s">
        <v>373</v>
      </c>
      <c r="G145" s="1709" t="str">
        <f t="shared" si="2"/>
        <v>0（確認）</v>
      </c>
      <c r="H145" s="1708" t="inlineStr">
        <is>
          <t>報告_短期P7-10 AZ30,DD22</t>
        </is>
      </c>
      <c r="I145" s="1708" t="inlineStr">
        <is>
          <t>同じシート内のみ</t>
        </is>
      </c>
    </row>
    <row r="146" spans="1:9" ht="19.95" customHeight="1">
      <c r="A146" s="1752" t="s">
        <v>7</v>
      </c>
      <c r="B146" s="1708" t="s">
        <v>1456</v>
      </c>
      <c r="C146" s="1753" t="str">
        <f>HYPERLINK("#'報告_短期P7-10'!AZ23","AZ23")</f>
        <v>AZ23</v>
      </c>
      <c r="D146" s="1708" t="s">
        <v>45</v>
      </c>
      <c r="E146" s="1754">
        <f>IF('報告_短期P7-10'!AZ23="","",'報告_短期P7-10'!AZ23)</f>
        <v>10372000</v>
      </c>
      <c r="F146" s="1708" t="s">
        <v>373</v>
      </c>
      <c r="G146" s="1709" t="str">
        <f t="shared" si="2"/>
        <v>入力済</v>
      </c>
      <c r="H146" s="1708" t="inlineStr">
        <is>
          <t>報告_短期P7-10 AZ30,DD23</t>
        </is>
      </c>
      <c r="I146" s="1708" t="inlineStr">
        <is>
          <t>同じシート内のみ</t>
        </is>
      </c>
    </row>
    <row r="147" spans="1:9" ht="19.95" customHeight="1">
      <c r="A147" s="1755" t="s">
        <v>7</v>
      </c>
      <c r="B147" s="1711" t="s">
        <v>1456</v>
      </c>
      <c r="C147" s="1756" t="str">
        <f>HYPERLINK("#'報告_短期P7-10'!AZ24","AZ24")</f>
        <v>AZ24</v>
      </c>
      <c r="D147" s="1711" t="s">
        <v>46</v>
      </c>
      <c r="E147" s="1757">
        <f>IF('報告_短期P7-10'!AZ24="","",'報告_短期P7-10'!AZ24)</f>
        <v>0</v>
      </c>
      <c r="F147" s="1711" t="s">
        <v>373</v>
      </c>
      <c r="G147" s="1709" t="str">
        <f t="shared" si="2"/>
        <v>0（確認）</v>
      </c>
      <c r="H147" s="1708" t="inlineStr">
        <is>
          <t>報告_短期P7-10 AZ30,DD24</t>
        </is>
      </c>
      <c r="I147" s="1708" t="inlineStr">
        <is>
          <t>同じシート内のみ</t>
        </is>
      </c>
    </row>
    <row r="148" spans="1:9" ht="19.95" customHeight="1">
      <c r="A148" s="1752" t="s">
        <v>7</v>
      </c>
      <c r="B148" s="1708" t="s">
        <v>1456</v>
      </c>
      <c r="C148" s="1753" t="str">
        <f>HYPERLINK("#'報告_短期P7-10'!AZ25","AZ25")</f>
        <v>AZ25</v>
      </c>
      <c r="D148" s="1708" t="s">
        <v>47</v>
      </c>
      <c r="E148" s="1754">
        <f>IF('報告_短期P7-10'!AZ25="","",'報告_短期P7-10'!AZ25)</f>
        <v>0</v>
      </c>
      <c r="F148" s="1708" t="s">
        <v>373</v>
      </c>
      <c r="G148" s="1709" t="str">
        <f t="shared" si="2"/>
        <v>0（確認）</v>
      </c>
      <c r="H148" s="1708" t="inlineStr">
        <is>
          <t>報告_短期P7-10 AZ30,DD25</t>
        </is>
      </c>
      <c r="I148" s="1708" t="inlineStr">
        <is>
          <t>同じシート内のみ</t>
        </is>
      </c>
    </row>
    <row r="149" spans="1:9" ht="19.95" customHeight="1">
      <c r="A149" s="1755" t="s">
        <v>7</v>
      </c>
      <c r="B149" s="1711" t="s">
        <v>1456</v>
      </c>
      <c r="C149" s="1756" t="str">
        <f>HYPERLINK("#'報告_短期P7-10'!AZ26","AZ26")</f>
        <v>AZ26</v>
      </c>
      <c r="D149" s="1711" t="s">
        <v>48</v>
      </c>
      <c r="E149" s="1757">
        <f>IF('報告_短期P7-10'!AZ26="","",'報告_短期P7-10'!AZ26)</f>
        <v>0</v>
      </c>
      <c r="F149" s="1711" t="s">
        <v>373</v>
      </c>
      <c r="G149" s="1709" t="str">
        <f t="shared" si="2"/>
        <v>0（確認）</v>
      </c>
      <c r="H149" s="1708" t="inlineStr">
        <is>
          <t>報告_短期P7-10 AZ30,DD26</t>
        </is>
      </c>
      <c r="I149" s="1708" t="inlineStr">
        <is>
          <t>同じシート内のみ</t>
        </is>
      </c>
    </row>
    <row r="150" spans="1:9" ht="19.95" customHeight="1">
      <c r="A150" s="1752" t="s">
        <v>7</v>
      </c>
      <c r="B150" s="1708" t="s">
        <v>1456</v>
      </c>
      <c r="C150" s="1753" t="str">
        <f>HYPERLINK("#'報告_短期P7-10'!CB26","CB26")</f>
        <v>CB26</v>
      </c>
      <c r="D150" s="1708" t="s">
        <v>48</v>
      </c>
      <c r="E150" s="1754">
        <f>IF('報告_短期P7-10'!CB26="","",'報告_短期P7-10'!CB26)</f>
        <v>0</v>
      </c>
      <c r="F150" s="1708" t="s">
        <v>1644</v>
      </c>
      <c r="G150" s="1709" t="str">
        <f t="shared" si="2"/>
        <v>0（確認）</v>
      </c>
      <c r="H150" s="1708" t="inlineStr">
        <is>
          <t>報告_短期P7-10 CB30,DD26,FH26</t>
        </is>
      </c>
      <c r="I150" s="1708" t="inlineStr">
        <is>
          <t>同じシート内のみ</t>
        </is>
      </c>
    </row>
    <row r="151" spans="1:9" ht="19.95" customHeight="1">
      <c r="A151" s="1755" t="s">
        <v>7</v>
      </c>
      <c r="B151" s="1711" t="s">
        <v>1456</v>
      </c>
      <c r="C151" s="1756" t="str">
        <f>HYPERLINK("#'報告_短期P7-10'!AZ27","AZ27")</f>
        <v>AZ27</v>
      </c>
      <c r="D151" s="1711" t="s">
        <v>49</v>
      </c>
      <c r="E151" s="1757">
        <f>IF('報告_短期P7-10'!AZ27="","",'報告_短期P7-10'!AZ27)</f>
        <v>1000</v>
      </c>
      <c r="F151" s="1711" t="s">
        <v>373</v>
      </c>
      <c r="G151" s="1709" t="str">
        <f t="shared" si="2"/>
        <v>入力済</v>
      </c>
      <c r="H151" s="1708" t="inlineStr">
        <is>
          <t>報告_短期P7-10 AZ30,DD27</t>
        </is>
      </c>
      <c r="I151" s="1708" t="inlineStr">
        <is>
          <t>同じシート内のみ</t>
        </is>
      </c>
    </row>
    <row r="152" spans="1:9" ht="19.95" customHeight="1">
      <c r="A152" s="1752" t="s">
        <v>7</v>
      </c>
      <c r="B152" s="1708" t="s">
        <v>1456</v>
      </c>
      <c r="C152" s="1753" t="str">
        <f>HYPERLINK("#'報告_短期P7-10'!AZ28","AZ28")</f>
        <v>AZ28</v>
      </c>
      <c r="D152" s="1708" t="s">
        <v>50</v>
      </c>
      <c r="E152" s="1754">
        <f>IF('報告_短期P7-10'!AZ28="","",'報告_短期P7-10'!AZ28)</f>
        <v>902582000</v>
      </c>
      <c r="F152" s="1708" t="s">
        <v>373</v>
      </c>
      <c r="G152" s="1709" t="str">
        <f t="shared" si="2"/>
        <v>入力済</v>
      </c>
      <c r="H152" s="1708" t="inlineStr">
        <is>
          <t>報告_短期P7-10 AZ30,DD28</t>
        </is>
      </c>
      <c r="I152" s="1708" t="inlineStr">
        <is>
          <t>同じシート内のみ</t>
        </is>
      </c>
    </row>
    <row r="153" spans="1:9" ht="19.95" customHeight="1">
      <c r="A153" s="1755" t="s">
        <v>7</v>
      </c>
      <c r="B153" s="1711" t="s">
        <v>1456</v>
      </c>
      <c r="C153" s="1756" t="str">
        <f>HYPERLINK("#'報告_短期P7-10'!AZ29","AZ29")</f>
        <v>AZ29</v>
      </c>
      <c r="D153" s="1711" t="s">
        <v>51</v>
      </c>
      <c r="E153" s="1757">
        <f>IF('報告_短期P7-10'!AZ29="","",'報告_短期P7-10'!AZ29)</f>
        <v>3326000</v>
      </c>
      <c r="F153" s="1711" t="s">
        <v>373</v>
      </c>
      <c r="G153" s="1709" t="str">
        <f t="shared" si="2"/>
        <v>入力済</v>
      </c>
      <c r="H153" s="1708" t="inlineStr">
        <is>
          <t>報告_短期P7-10 AZ30,DD29</t>
        </is>
      </c>
      <c r="I153" s="1708" t="inlineStr">
        <is>
          <t>同じシート内のみ</t>
        </is>
      </c>
    </row>
    <row r="154" spans="1:9" ht="19.95" customHeight="1">
      <c r="A154" s="1752" t="s">
        <v>7</v>
      </c>
      <c r="B154" s="1708" t="s">
        <v>1456</v>
      </c>
      <c r="C154" s="1753" t="str">
        <f>HYPERLINK("#'報告_短期P7-10'!AZ49","AZ49")</f>
        <v>AZ49</v>
      </c>
      <c r="D154" s="1708" t="s">
        <v>1659</v>
      </c>
      <c r="E154" s="1754">
        <f>IF('報告_短期P7-10'!AZ49="","",'報告_短期P7-10'!AZ49)</f>
        <v>2312372000</v>
      </c>
      <c r="F154" s="1708" t="s">
        <v>373</v>
      </c>
      <c r="G154" s="1709" t="str">
        <f t="shared" si="2"/>
        <v>入力済</v>
      </c>
      <c r="H154" s="1708" t="inlineStr">
        <is>
          <t>報告_短期P7-10 AZ66,DD49</t>
        </is>
      </c>
      <c r="I154" s="1708" t="inlineStr">
        <is>
          <t>同じシート内のみ</t>
        </is>
      </c>
    </row>
    <row r="155" spans="1:9" ht="19.95" customHeight="1">
      <c r="A155" s="1755" t="s">
        <v>7</v>
      </c>
      <c r="B155" s="1711" t="s">
        <v>1456</v>
      </c>
      <c r="C155" s="1756" t="str">
        <f>HYPERLINK("#'報告_短期P7-10'!CB49","CB49")</f>
        <v>CB49</v>
      </c>
      <c r="D155" s="1711" t="s">
        <v>1660</v>
      </c>
      <c r="E155" s="1757">
        <f>IF('報告_短期P7-10'!CB49="","",'報告_短期P7-10'!CB49)</f>
        <v>2267481074</v>
      </c>
      <c r="F155" s="1711" t="s">
        <v>1644</v>
      </c>
      <c r="G155" s="1709" t="str">
        <f t="shared" si="2"/>
        <v>入力済</v>
      </c>
      <c r="H155" s="1708" t="inlineStr">
        <is>
          <t>報告_短期P7-10 CB66,DD49,FH49</t>
        </is>
      </c>
      <c r="I155" s="1708" t="inlineStr">
        <is>
          <t>報告_短期P11-13、報告_P8グラフデータ、短期_財務諸表、短期_附属明細表 ほか1シート</t>
        </is>
      </c>
    </row>
    <row r="156" spans="1:9" ht="19.95" customHeight="1">
      <c r="A156" s="1752" t="s">
        <v>7</v>
      </c>
      <c r="B156" s="1708" t="s">
        <v>1456</v>
      </c>
      <c r="C156" s="1753" t="str">
        <f>HYPERLINK("#'報告_短期P7-10'!AZ50","AZ50")</f>
        <v>AZ50</v>
      </c>
      <c r="D156" s="1708" t="s">
        <v>1661</v>
      </c>
      <c r="E156" s="1754">
        <f>IF('報告_短期P7-10'!AZ50="","",'報告_短期P7-10'!AZ50)</f>
        <v>9957000</v>
      </c>
      <c r="F156" s="1708" t="s">
        <v>373</v>
      </c>
      <c r="G156" s="1709" t="str">
        <f t="shared" si="2"/>
        <v>入力済</v>
      </c>
      <c r="H156" s="1708" t="inlineStr">
        <is>
          <t>報告_短期P7-10 AZ66,DD50</t>
        </is>
      </c>
      <c r="I156" s="1708" t="inlineStr">
        <is>
          <t>同じシート内のみ</t>
        </is>
      </c>
    </row>
    <row r="157" spans="1:9" ht="19.95" customHeight="1">
      <c r="A157" s="1755" t="s">
        <v>7</v>
      </c>
      <c r="B157" s="1711" t="s">
        <v>1456</v>
      </c>
      <c r="C157" s="1756" t="str">
        <f>HYPERLINK("#'報告_短期P7-10'!CB50","CB50")</f>
        <v>CB50</v>
      </c>
      <c r="D157" s="1711" t="s">
        <v>1662</v>
      </c>
      <c r="E157" s="1757">
        <f>IF('報告_短期P7-10'!CB50="","",'報告_短期P7-10'!CB50)</f>
        <v>9189131</v>
      </c>
      <c r="F157" s="1711" t="s">
        <v>1644</v>
      </c>
      <c r="G157" s="1709" t="str">
        <f t="shared" si="2"/>
        <v>入力済</v>
      </c>
      <c r="H157" s="1708" t="inlineStr">
        <is>
          <t>報告_短期P7-10 CB66,DD50,FH50</t>
        </is>
      </c>
      <c r="I157" s="1708" t="inlineStr">
        <is>
          <t>報告_短期P11-13、報告_P8グラフデータ、短期_財務諸表、短期_附属明細表 ほか1シート</t>
        </is>
      </c>
    </row>
    <row r="158" spans="1:9" ht="19.95" customHeight="1">
      <c r="A158" s="1752" t="s">
        <v>7</v>
      </c>
      <c r="B158" s="1708" t="s">
        <v>1456</v>
      </c>
      <c r="C158" s="1753" t="str">
        <f>HYPERLINK("#'報告_短期P7-10'!AZ51","AZ51")</f>
        <v>AZ51</v>
      </c>
      <c r="D158" s="1708" t="s">
        <v>1663</v>
      </c>
      <c r="E158" s="1754">
        <f>IF('報告_短期P7-10'!AZ51="","",'報告_短期P7-10'!AZ51)</f>
        <v>15549000</v>
      </c>
      <c r="F158" s="1708" t="s">
        <v>373</v>
      </c>
      <c r="G158" s="1709" t="str">
        <f t="shared" si="2"/>
        <v>入力済</v>
      </c>
      <c r="H158" s="1708" t="inlineStr">
        <is>
          <t>報告_短期P7-10 AZ66,DD51</t>
        </is>
      </c>
      <c r="I158" s="1708" t="inlineStr">
        <is>
          <t>同じシート内のみ</t>
        </is>
      </c>
    </row>
    <row r="159" spans="1:9" ht="19.95" customHeight="1">
      <c r="A159" s="1755" t="s">
        <v>7</v>
      </c>
      <c r="B159" s="1711" t="s">
        <v>1456</v>
      </c>
      <c r="C159" s="1756" t="str">
        <f>HYPERLINK("#'報告_短期P7-10'!CB51","CB51")</f>
        <v>CB51</v>
      </c>
      <c r="D159" s="1711" t="s">
        <v>1664</v>
      </c>
      <c r="E159" s="1757">
        <f>IF('報告_短期P7-10'!CB51="","",'報告_短期P7-10'!CB51)</f>
        <v>10108630</v>
      </c>
      <c r="F159" s="1711" t="s">
        <v>1644</v>
      </c>
      <c r="G159" s="1709" t="str">
        <f t="shared" si="2"/>
        <v>入力済</v>
      </c>
      <c r="H159" s="1708" t="inlineStr">
        <is>
          <t>報告_短期P7-10 CB66,CP142,DD51…</t>
        </is>
      </c>
      <c r="I159" s="1708" t="inlineStr">
        <is>
          <t>報告_短期P11-13、報告_P8グラフデータ、短期_財務諸表、短期_附属明細表 ほか1シート</t>
        </is>
      </c>
    </row>
    <row r="160" spans="1:9" ht="19.95" customHeight="1">
      <c r="A160" s="1752" t="s">
        <v>7</v>
      </c>
      <c r="B160" s="1708" t="s">
        <v>1456</v>
      </c>
      <c r="C160" s="1753" t="str">
        <f>HYPERLINK("#'報告_短期P7-10'!AZ52","AZ52")</f>
        <v>AZ52</v>
      </c>
      <c r="D160" s="1708" t="s">
        <v>1665</v>
      </c>
      <c r="E160" s="1754">
        <f>IF('報告_短期P7-10'!AZ52="","",'報告_短期P7-10'!AZ52)</f>
        <v>1296961000</v>
      </c>
      <c r="F160" s="1708" t="s">
        <v>373</v>
      </c>
      <c r="G160" s="1709" t="str">
        <f t="shared" si="2"/>
        <v>入力済</v>
      </c>
      <c r="H160" s="1708" t="inlineStr">
        <is>
          <t>報告_短期P7-10 AZ66,DD52</t>
        </is>
      </c>
      <c r="I160" s="1708" t="inlineStr">
        <is>
          <t>同じシート内のみ</t>
        </is>
      </c>
    </row>
    <row r="161" spans="1:9" ht="19.95" customHeight="1">
      <c r="A161" s="1755" t="s">
        <v>7</v>
      </c>
      <c r="B161" s="1711" t="s">
        <v>1456</v>
      </c>
      <c r="C161" s="1756" t="str">
        <f>HYPERLINK("#'報告_短期P7-10'!CB52","CB52")</f>
        <v>CB52</v>
      </c>
      <c r="D161" s="1711" t="s">
        <v>1666</v>
      </c>
      <c r="E161" s="1757">
        <f>IF('報告_短期P7-10'!CB52="","",'報告_短期P7-10'!CB52)</f>
        <v>1228428283</v>
      </c>
      <c r="F161" s="1711" t="s">
        <v>1644</v>
      </c>
      <c r="G161" s="1709" t="str">
        <f t="shared" si="2"/>
        <v>入力済</v>
      </c>
      <c r="H161" s="1708" t="inlineStr">
        <is>
          <t>報告_短期P7-10 CB66,DD52,FH52</t>
        </is>
      </c>
      <c r="I161" s="1708" t="inlineStr">
        <is>
          <t>報告_短期P11-13、報告_P8グラフデータ、短期_財務諸表、短期_附属明細表 ほか1シート</t>
        </is>
      </c>
    </row>
    <row r="162" spans="1:9" ht="19.95" customHeight="1">
      <c r="A162" s="1752" t="s">
        <v>7</v>
      </c>
      <c r="B162" s="1708" t="s">
        <v>1456</v>
      </c>
      <c r="C162" s="1753" t="str">
        <f>HYPERLINK("#'報告_短期P7-10'!AZ53","AZ53")</f>
        <v>AZ53</v>
      </c>
      <c r="D162" s="1708" t="s">
        <v>1667</v>
      </c>
      <c r="E162" s="1754">
        <f>IF('報告_短期P7-10'!AZ53="","",'報告_短期P7-10'!AZ53)</f>
        <v>26966000</v>
      </c>
      <c r="F162" s="1708" t="s">
        <v>373</v>
      </c>
      <c r="G162" s="1709" t="str">
        <f t="shared" si="2"/>
        <v>入力済</v>
      </c>
      <c r="H162" s="1708" t="inlineStr">
        <is>
          <t>報告_短期P7-10 AZ66,DD53</t>
        </is>
      </c>
      <c r="I162" s="1708" t="inlineStr">
        <is>
          <t>同じシート内のみ</t>
        </is>
      </c>
    </row>
    <row r="163" spans="1:9" ht="19.95" customHeight="1">
      <c r="A163" s="1755" t="s">
        <v>7</v>
      </c>
      <c r="B163" s="1711" t="s">
        <v>1456</v>
      </c>
      <c r="C163" s="1756" t="str">
        <f>HYPERLINK("#'報告_短期P7-10'!CB53","CB53")</f>
        <v>CB53</v>
      </c>
      <c r="D163" s="1711" t="s">
        <v>1668</v>
      </c>
      <c r="E163" s="1757">
        <f>IF('報告_短期P7-10'!CB53="","",'報告_短期P7-10'!CB53)</f>
        <v>39360367</v>
      </c>
      <c r="F163" s="1711" t="s">
        <v>1644</v>
      </c>
      <c r="G163" s="1709" t="str">
        <f t="shared" si="2"/>
        <v>入力済</v>
      </c>
      <c r="H163" s="1708" t="inlineStr">
        <is>
          <t>報告_短期P7-10 CB66,CP151,DD53…</t>
        </is>
      </c>
      <c r="I163" s="1708" t="inlineStr">
        <is>
          <t>報告_短期P11-13、報告_P8グラフデータ、短期_財務諸表、短期_附属明細表 ほか1シート</t>
        </is>
      </c>
    </row>
    <row r="164" spans="1:9" ht="19.95" customHeight="1">
      <c r="A164" s="1752" t="s">
        <v>7</v>
      </c>
      <c r="B164" s="1708" t="s">
        <v>1456</v>
      </c>
      <c r="C164" s="1753" t="str">
        <f>HYPERLINK("#'報告_短期P7-10'!AZ54","AZ54")</f>
        <v>AZ54</v>
      </c>
      <c r="D164" s="1708" t="s">
        <v>1669</v>
      </c>
      <c r="E164" s="1754">
        <f>IF('報告_短期P7-10'!AZ54="","",'報告_短期P7-10'!AZ54)</f>
        <v>392687000</v>
      </c>
      <c r="F164" s="1708" t="s">
        <v>373</v>
      </c>
      <c r="G164" s="1709" t="str">
        <f t="shared" si="2"/>
        <v>入力済</v>
      </c>
      <c r="H164" s="1708" t="inlineStr">
        <is>
          <t>報告_短期P7-10 AZ66,DD54</t>
        </is>
      </c>
      <c r="I164" s="1708" t="inlineStr">
        <is>
          <t>同じシート内のみ</t>
        </is>
      </c>
    </row>
    <row r="165" spans="1:9" ht="19.95" customHeight="1">
      <c r="A165" s="1755" t="s">
        <v>7</v>
      </c>
      <c r="B165" s="1711" t="s">
        <v>1456</v>
      </c>
      <c r="C165" s="1756" t="str">
        <f>HYPERLINK("#'報告_短期P7-10'!CB54","CB54")</f>
        <v>CB54</v>
      </c>
      <c r="D165" s="1711" t="s">
        <v>1670</v>
      </c>
      <c r="E165" s="1757">
        <f>IF('報告_短期P7-10'!CB54="","",'報告_短期P7-10'!CB54)</f>
        <v>381627185</v>
      </c>
      <c r="F165" s="1711" t="s">
        <v>1644</v>
      </c>
      <c r="G165" s="1709" t="str">
        <f t="shared" si="2"/>
        <v>入力済</v>
      </c>
      <c r="H165" s="1708" t="inlineStr">
        <is>
          <t>報告_短期P7-10 CB66,CP154,DD54…</t>
        </is>
      </c>
      <c r="I165" s="1708" t="inlineStr">
        <is>
          <t>報告_短期P11-13、報告_P8グラフデータ、短期_財務諸表、短期_附属明細表 ほか1シート</t>
        </is>
      </c>
    </row>
    <row r="166" spans="1:9" ht="19.95" customHeight="1">
      <c r="A166" s="1752" t="s">
        <v>7</v>
      </c>
      <c r="B166" s="1708" t="s">
        <v>1456</v>
      </c>
      <c r="C166" s="1753" t="str">
        <f>HYPERLINK("#'報告_短期P7-10'!AZ55","AZ55")</f>
        <v>AZ55</v>
      </c>
      <c r="D166" s="1708" t="s">
        <v>1671</v>
      </c>
      <c r="E166" s="1754">
        <f>IF('報告_短期P7-10'!AZ55="","",'報告_短期P7-10'!AZ55)</f>
        <v>23978000</v>
      </c>
      <c r="F166" s="1708" t="s">
        <v>373</v>
      </c>
      <c r="G166" s="1709" t="str">
        <f t="shared" si="2"/>
        <v>入力済</v>
      </c>
      <c r="H166" s="1708" t="inlineStr">
        <is>
          <t>報告_短期P7-10 AZ66,DD55</t>
        </is>
      </c>
      <c r="I166" s="1708" t="inlineStr">
        <is>
          <t>同じシート内のみ</t>
        </is>
      </c>
    </row>
    <row r="167" spans="1:9" ht="19.95" customHeight="1">
      <c r="A167" s="1755" t="s">
        <v>7</v>
      </c>
      <c r="B167" s="1711" t="s">
        <v>1456</v>
      </c>
      <c r="C167" s="1756" t="str">
        <f>HYPERLINK("#'報告_短期P7-10'!CB55","CB55")</f>
        <v>CB55</v>
      </c>
      <c r="D167" s="1711" t="s">
        <v>1672</v>
      </c>
      <c r="E167" s="1757">
        <f>IF('報告_短期P7-10'!CB55="","",'報告_短期P7-10'!CB55)</f>
        <v>23086688</v>
      </c>
      <c r="F167" s="1711" t="s">
        <v>1644</v>
      </c>
      <c r="G167" s="1709" t="str">
        <f t="shared" si="2"/>
        <v>入力済</v>
      </c>
      <c r="H167" s="1708" t="inlineStr">
        <is>
          <t>報告_短期P7-10 CB66,DD55,FH55</t>
        </is>
      </c>
      <c r="I167" s="1708" t="inlineStr">
        <is>
          <t>報告_短期P11-13、報告_P8グラフデータ、短期_財務諸表、短期_附属明細表 ほか1シート</t>
        </is>
      </c>
    </row>
    <row r="168" spans="1:9" ht="19.95" customHeight="1">
      <c r="A168" s="1752" t="s">
        <v>7</v>
      </c>
      <c r="B168" s="1708" t="s">
        <v>1456</v>
      </c>
      <c r="C168" s="1753" t="str">
        <f>HYPERLINK("#'報告_短期P7-10'!AZ56","AZ56")</f>
        <v>AZ56</v>
      </c>
      <c r="D168" s="1708" t="s">
        <v>1673</v>
      </c>
      <c r="E168" s="1754">
        <f>IF('報告_短期P7-10'!AZ56="","",'報告_短期P7-10'!AZ56)</f>
        <v>9287000</v>
      </c>
      <c r="F168" s="1708" t="s">
        <v>373</v>
      </c>
      <c r="G168" s="1709" t="str">
        <f t="shared" si="2"/>
        <v>入力済</v>
      </c>
      <c r="H168" s="1708" t="inlineStr">
        <is>
          <t>報告_短期P7-10 AZ66,DD56</t>
        </is>
      </c>
      <c r="I168" s="1708" t="inlineStr">
        <is>
          <t>同じシート内のみ</t>
        </is>
      </c>
    </row>
    <row r="169" spans="1:9" ht="19.95" customHeight="1">
      <c r="A169" s="1755" t="s">
        <v>7</v>
      </c>
      <c r="B169" s="1711" t="s">
        <v>1456</v>
      </c>
      <c r="C169" s="1756" t="str">
        <f>HYPERLINK("#'報告_短期P7-10'!CB56","CB56")</f>
        <v>CB56</v>
      </c>
      <c r="D169" s="1711" t="s">
        <v>1674</v>
      </c>
      <c r="E169" s="1757">
        <f>IF('報告_短期P7-10'!CB56="","",'報告_短期P7-10'!CB56)</f>
        <v>8090156</v>
      </c>
      <c r="F169" s="1711" t="s">
        <v>1644</v>
      </c>
      <c r="G169" s="1709" t="str">
        <f t="shared" si="2"/>
        <v>入力済</v>
      </c>
      <c r="H169" s="1708" t="inlineStr">
        <is>
          <t>報告_短期P7-10 CB66,DD56,FH56</t>
        </is>
      </c>
      <c r="I169" s="1708" t="inlineStr">
        <is>
          <t>報告_短期P11-13、報告_P8グラフデータ、短期_財務諸表、短期_附属明細表 ほか1シート</t>
        </is>
      </c>
    </row>
    <row r="170" spans="1:9" ht="19.95" customHeight="1">
      <c r="A170" s="1752" t="s">
        <v>7</v>
      </c>
      <c r="B170" s="1708" t="s">
        <v>1456</v>
      </c>
      <c r="C170" s="1753" t="str">
        <f>HYPERLINK("#'報告_短期P7-10'!AZ57","AZ57")</f>
        <v>AZ57</v>
      </c>
      <c r="D170" s="1708" t="s">
        <v>1675</v>
      </c>
      <c r="E170" s="1754">
        <f>IF('報告_短期P7-10'!AZ57="","",'報告_短期P7-10'!AZ57)</f>
        <v>27129000</v>
      </c>
      <c r="F170" s="1708" t="s">
        <v>373</v>
      </c>
      <c r="G170" s="1709" t="str">
        <f t="shared" si="2"/>
        <v>入力済</v>
      </c>
      <c r="H170" s="1708" t="inlineStr">
        <is>
          <t>報告_短期P7-10 AZ66,DD57</t>
        </is>
      </c>
      <c r="I170" s="1708" t="inlineStr">
        <is>
          <t>同じシート内のみ</t>
        </is>
      </c>
    </row>
    <row r="171" spans="1:9" ht="19.95" customHeight="1">
      <c r="A171" s="1755" t="s">
        <v>7</v>
      </c>
      <c r="B171" s="1711" t="s">
        <v>1456</v>
      </c>
      <c r="C171" s="1756" t="str">
        <f>HYPERLINK("#'報告_短期P7-10'!CB57","CB57")</f>
        <v>CB57</v>
      </c>
      <c r="D171" s="1711" t="s">
        <v>1676</v>
      </c>
      <c r="E171" s="1757">
        <f>IF('報告_短期P7-10'!CB57="","",'報告_短期P7-10'!CB57)</f>
        <v>21842018</v>
      </c>
      <c r="F171" s="1711" t="s">
        <v>1644</v>
      </c>
      <c r="G171" s="1709" t="str">
        <f t="shared" si="2"/>
        <v>入力済</v>
      </c>
      <c r="H171" s="1708" t="inlineStr">
        <is>
          <t>報告_短期P7-10 CB66,CP154,DD57…</t>
        </is>
      </c>
      <c r="I171" s="1708" t="inlineStr">
        <is>
          <t>報告_短期P11-13、報告_P8グラフデータ、短期_財務諸表、短期_附属明細表 ほか1シート</t>
        </is>
      </c>
    </row>
    <row r="172" spans="1:9" ht="19.95" customHeight="1">
      <c r="A172" s="1752" t="s">
        <v>7</v>
      </c>
      <c r="B172" s="1708" t="s">
        <v>1456</v>
      </c>
      <c r="C172" s="1753" t="str">
        <f>HYPERLINK("#'報告_短期P7-10'!AZ58","AZ58")</f>
        <v>AZ58</v>
      </c>
      <c r="D172" s="1708" t="s">
        <v>1677</v>
      </c>
      <c r="E172" s="1754">
        <f>IF('報告_短期P7-10'!AZ58="","",'報告_短期P7-10'!AZ58)</f>
        <v>0</v>
      </c>
      <c r="F172" s="1708" t="s">
        <v>373</v>
      </c>
      <c r="G172" s="1709" t="str">
        <f t="shared" si="2"/>
        <v>0（確認）</v>
      </c>
      <c r="H172" s="1708" t="inlineStr">
        <is>
          <t>報告_短期P7-10 AZ66,DD58</t>
        </is>
      </c>
      <c r="I172" s="1708" t="inlineStr">
        <is>
          <t>同じシート内のみ</t>
        </is>
      </c>
    </row>
    <row r="173" spans="1:9" ht="19.95" customHeight="1">
      <c r="A173" s="1755" t="s">
        <v>7</v>
      </c>
      <c r="B173" s="1711" t="s">
        <v>1456</v>
      </c>
      <c r="C173" s="1756" t="str">
        <f>HYPERLINK("#'報告_短期P7-10'!CB58","CB58")</f>
        <v>CB58</v>
      </c>
      <c r="D173" s="1711" t="s">
        <v>1678</v>
      </c>
      <c r="E173" s="1757">
        <f>IF('報告_短期P7-10'!CB58="","",'報告_短期P7-10'!CB58)</f>
        <v>0</v>
      </c>
      <c r="F173" s="1711" t="s">
        <v>1644</v>
      </c>
      <c r="G173" s="1709" t="str">
        <f t="shared" si="2"/>
        <v>0（確認）</v>
      </c>
      <c r="H173" s="1708" t="inlineStr">
        <is>
          <t>報告_短期P7-10 CB66,DD58,FH58</t>
        </is>
      </c>
      <c r="I173" s="1708" t="inlineStr">
        <is>
          <t>報告_短期P11-13、報告_P8グラフデータ、短期_財務諸表、短期_附属明細表 ほか1シート</t>
        </is>
      </c>
    </row>
    <row r="174" spans="1:9" ht="19.95" customHeight="1">
      <c r="A174" s="1752" t="s">
        <v>7</v>
      </c>
      <c r="B174" s="1708" t="s">
        <v>1456</v>
      </c>
      <c r="C174" s="1753" t="str">
        <f>HYPERLINK("#'報告_短期P7-10'!AZ59","AZ59")</f>
        <v>AZ59</v>
      </c>
      <c r="D174" s="1708" t="s">
        <v>1679</v>
      </c>
      <c r="E174" s="1754">
        <f>IF('報告_短期P7-10'!AZ59="","",'報告_短期P7-10'!AZ59)</f>
        <v>979197000</v>
      </c>
      <c r="F174" s="1708" t="s">
        <v>373</v>
      </c>
      <c r="G174" s="1709" t="str">
        <f t="shared" si="2"/>
        <v>入力済</v>
      </c>
      <c r="H174" s="1708" t="inlineStr">
        <is>
          <t>報告_短期P7-10 AZ66,DD59</t>
        </is>
      </c>
      <c r="I174" s="1708" t="inlineStr">
        <is>
          <t>同じシート内のみ</t>
        </is>
      </c>
    </row>
    <row r="175" spans="1:9" ht="19.95" customHeight="1">
      <c r="A175" s="1755" t="s">
        <v>7</v>
      </c>
      <c r="B175" s="1711" t="s">
        <v>1456</v>
      </c>
      <c r="C175" s="1756" t="str">
        <f>HYPERLINK("#'報告_短期P7-10'!CB59","CB59")</f>
        <v>CB59</v>
      </c>
      <c r="D175" s="1711" t="s">
        <v>1680</v>
      </c>
      <c r="E175" s="1757">
        <f>IF('報告_短期P7-10'!CB59="","",'報告_短期P7-10'!CB59)</f>
        <v>1057716295</v>
      </c>
      <c r="F175" s="1711" t="s">
        <v>1644</v>
      </c>
      <c r="G175" s="1709" t="str">
        <f t="shared" si="2"/>
        <v>入力済</v>
      </c>
      <c r="H175" s="1708" t="inlineStr">
        <is>
          <t>報告_短期P7-10 CB66,DD59,FH59</t>
        </is>
      </c>
      <c r="I175" s="1708" t="inlineStr">
        <is>
          <t>報告_短期P11-13、報告_P8グラフデータ、短期_財務諸表、短期_附属明細表 ほか1シート</t>
        </is>
      </c>
    </row>
    <row r="176" spans="1:9" ht="19.95" customHeight="1">
      <c r="A176" s="1752" t="s">
        <v>7</v>
      </c>
      <c r="B176" s="1708" t="s">
        <v>1456</v>
      </c>
      <c r="C176" s="1753" t="str">
        <f>HYPERLINK("#'報告_短期P7-10'!AZ60","AZ60")</f>
        <v>AZ60</v>
      </c>
      <c r="D176" s="1708" t="s">
        <v>1681</v>
      </c>
      <c r="E176" s="1754">
        <f>IF('報告_短期P7-10'!AZ60="","",'報告_短期P7-10'!AZ60)</f>
        <v>1000</v>
      </c>
      <c r="F176" s="1708" t="s">
        <v>373</v>
      </c>
      <c r="G176" s="1709" t="str">
        <f t="shared" si="2"/>
        <v>入力済</v>
      </c>
      <c r="H176" s="1708" t="inlineStr">
        <is>
          <t>報告_短期P7-10 AZ66,DD60</t>
        </is>
      </c>
      <c r="I176" s="1708" t="inlineStr">
        <is>
          <t>同じシート内のみ</t>
        </is>
      </c>
    </row>
    <row r="177" spans="1:9" ht="19.95" customHeight="1">
      <c r="A177" s="1755" t="s">
        <v>7</v>
      </c>
      <c r="B177" s="1711" t="s">
        <v>1456</v>
      </c>
      <c r="C177" s="1756" t="str">
        <f>HYPERLINK("#'報告_短期P7-10'!CB60","CB60")</f>
        <v>CB60</v>
      </c>
      <c r="D177" s="1711" t="s">
        <v>1682</v>
      </c>
      <c r="E177" s="1757">
        <f>IF('報告_短期P7-10'!CB60="","",'報告_短期P7-10'!CB60)</f>
        <v>0</v>
      </c>
      <c r="F177" s="1711" t="s">
        <v>1644</v>
      </c>
      <c r="G177" s="1709" t="str">
        <f t="shared" si="2"/>
        <v>0（確認）</v>
      </c>
      <c r="H177" s="1708" t="inlineStr">
        <is>
          <t>報告_短期P7-10 CB66,DD60,FH60</t>
        </is>
      </c>
      <c r="I177" s="1708" t="inlineStr">
        <is>
          <t>報告_短期P11-13、報告_P8グラフデータ、短期_財務諸表、短期_附属明細表 ほか1シート</t>
        </is>
      </c>
    </row>
    <row r="178" spans="1:9" ht="19.95" customHeight="1">
      <c r="A178" s="1752" t="s">
        <v>7</v>
      </c>
      <c r="B178" s="1708" t="s">
        <v>1456</v>
      </c>
      <c r="C178" s="1753" t="str">
        <f>HYPERLINK("#'報告_短期P7-10'!AZ61","AZ61")</f>
        <v>AZ61</v>
      </c>
      <c r="D178" s="1708" t="s">
        <v>1683</v>
      </c>
      <c r="E178" s="1754">
        <f>IF('報告_短期P7-10'!AZ61="","",'報告_短期P7-10'!AZ61)</f>
        <v>1000</v>
      </c>
      <c r="F178" s="1708" t="s">
        <v>373</v>
      </c>
      <c r="G178" s="1709" t="str">
        <f t="shared" si="2"/>
        <v>入力済</v>
      </c>
      <c r="H178" s="1708" t="inlineStr">
        <is>
          <t>報告_短期P7-10 AZ66,DD61</t>
        </is>
      </c>
      <c r="I178" s="1708" t="inlineStr">
        <is>
          <t>同じシート内のみ</t>
        </is>
      </c>
    </row>
    <row r="179" spans="1:9" ht="19.95" customHeight="1">
      <c r="A179" s="1755" t="s">
        <v>7</v>
      </c>
      <c r="B179" s="1711" t="s">
        <v>1456</v>
      </c>
      <c r="C179" s="1756" t="str">
        <f>HYPERLINK("#'報告_短期P7-10'!CB61","CB61")</f>
        <v>CB61</v>
      </c>
      <c r="D179" s="1711" t="s">
        <v>1684</v>
      </c>
      <c r="E179" s="1757">
        <f>IF('報告_短期P7-10'!CB61="","",'報告_短期P7-10'!CB61)</f>
        <v>0</v>
      </c>
      <c r="F179" s="1711" t="s">
        <v>1644</v>
      </c>
      <c r="G179" s="1709" t="str">
        <f t="shared" si="2"/>
        <v>0（確認）</v>
      </c>
      <c r="H179" s="1708" t="inlineStr">
        <is>
          <t>報告_短期P7-10 CB66,DD61,FH61</t>
        </is>
      </c>
      <c r="I179" s="1708" t="inlineStr">
        <is>
          <t>報告_短期P11-13、報告_P8グラフデータ、短期_財務諸表、短期_附属明細表 ほか1シート</t>
        </is>
      </c>
    </row>
    <row r="180" spans="1:9" ht="19.95" customHeight="1">
      <c r="A180" s="1752" t="s">
        <v>7</v>
      </c>
      <c r="B180" s="1708" t="s">
        <v>1456</v>
      </c>
      <c r="C180" s="1753" t="str">
        <f>HYPERLINK("#'報告_短期P7-10'!AZ62","AZ62")</f>
        <v>AZ62</v>
      </c>
      <c r="D180" s="1708" t="s">
        <v>64</v>
      </c>
      <c r="E180" s="1754">
        <f>IF('報告_短期P7-10'!AZ62="","",'報告_短期P7-10'!AZ62)</f>
        <v>184469000</v>
      </c>
      <c r="F180" s="1708" t="s">
        <v>373</v>
      </c>
      <c r="G180" s="1709" t="str">
        <f t="shared" si="2"/>
        <v>入力済</v>
      </c>
      <c r="H180" s="1708" t="inlineStr">
        <is>
          <t>報告_短期P7-10 AZ66,DD62</t>
        </is>
      </c>
      <c r="I180" s="1708" t="inlineStr">
        <is>
          <t>同じシート内のみ</t>
        </is>
      </c>
    </row>
    <row r="181" spans="1:9" ht="19.95" customHeight="1">
      <c r="A181" s="1755" t="s">
        <v>7</v>
      </c>
      <c r="B181" s="1711" t="s">
        <v>1456</v>
      </c>
      <c r="C181" s="1756" t="str">
        <f>HYPERLINK("#'報告_短期P7-10'!CB62","CB62")</f>
        <v>CB62</v>
      </c>
      <c r="D181" s="1711" t="s">
        <v>64</v>
      </c>
      <c r="E181" s="1757">
        <f>IF('報告_短期P7-10'!CB62="","",'報告_短期P7-10'!CB62)</f>
        <v>187759301</v>
      </c>
      <c r="F181" s="1711" t="s">
        <v>1644</v>
      </c>
      <c r="G181" s="1709" t="str">
        <f t="shared" si="2"/>
        <v>入力済</v>
      </c>
      <c r="H181" s="1708" t="inlineStr">
        <is>
          <t>報告_短期P7-10 CB66,DD62,FH62</t>
        </is>
      </c>
      <c r="I181" s="1708" t="inlineStr">
        <is>
          <t>報告_短期P11-13、報告_P8グラフデータ、短期_財務諸表、短期_附属明細表 ほか1シート</t>
        </is>
      </c>
    </row>
    <row r="182" spans="1:9" ht="19.95" customHeight="1">
      <c r="A182" s="1752" t="s">
        <v>7</v>
      </c>
      <c r="B182" s="1708" t="s">
        <v>1456</v>
      </c>
      <c r="C182" s="1753" t="str">
        <f>HYPERLINK("#'報告_短期P7-10'!AZ63","AZ63")</f>
        <v>AZ63</v>
      </c>
      <c r="D182" s="1708" t="s">
        <v>65</v>
      </c>
      <c r="E182" s="1754">
        <f>IF('報告_短期P7-10'!AZ63="","",'報告_短期P7-10'!AZ63)</f>
        <v>40581000</v>
      </c>
      <c r="F182" s="1708" t="s">
        <v>373</v>
      </c>
      <c r="G182" s="1709" t="str">
        <f t="shared" si="2"/>
        <v>入力済</v>
      </c>
      <c r="H182" s="1708" t="inlineStr">
        <is>
          <t>報告_短期P7-10 AZ66,DD63</t>
        </is>
      </c>
      <c r="I182" s="1708" t="inlineStr">
        <is>
          <t>同じシート内のみ</t>
        </is>
      </c>
    </row>
    <row r="183" spans="1:9" ht="19.95" customHeight="1">
      <c r="A183" s="1755" t="s">
        <v>7</v>
      </c>
      <c r="B183" s="1711" t="s">
        <v>1456</v>
      </c>
      <c r="C183" s="1756" t="str">
        <f>HYPERLINK("#'報告_短期P7-10'!CB63","CB63")</f>
        <v>CB63</v>
      </c>
      <c r="D183" s="1711" t="s">
        <v>65</v>
      </c>
      <c r="E183" s="1757">
        <f>IF('報告_短期P7-10'!CB63="","",'報告_短期P7-10'!CB63)</f>
        <v>28863369</v>
      </c>
      <c r="F183" s="1711" t="s">
        <v>1644</v>
      </c>
      <c r="G183" s="1709" t="str">
        <f t="shared" si="2"/>
        <v>入力済</v>
      </c>
      <c r="H183" s="1708" t="inlineStr">
        <is>
          <t>報告_短期P7-10 CB66,DD63,FH63</t>
        </is>
      </c>
      <c r="I183" s="1708" t="inlineStr">
        <is>
          <t>報告_短期P11-13、報告_P8グラフデータ、短期_財務諸表、短期_附属明細表 ほか1シート</t>
        </is>
      </c>
    </row>
    <row r="184" spans="1:9" ht="19.95" customHeight="1">
      <c r="A184" s="1752" t="s">
        <v>7</v>
      </c>
      <c r="B184" s="1708" t="s">
        <v>1456</v>
      </c>
      <c r="C184" s="1753" t="str">
        <f>HYPERLINK("#'報告_短期P7-10'!AZ64","AZ64")</f>
        <v>AZ64</v>
      </c>
      <c r="D184" s="1708" t="s">
        <v>66</v>
      </c>
      <c r="E184" s="1754">
        <f>IF('報告_短期P7-10'!AZ64="","",'報告_短期P7-10'!AZ64)</f>
        <v>750000</v>
      </c>
      <c r="F184" s="1708" t="s">
        <v>373</v>
      </c>
      <c r="G184" s="1709" t="str">
        <f t="shared" si="2"/>
        <v>入力済</v>
      </c>
      <c r="H184" s="1708" t="inlineStr">
        <is>
          <t>報告_短期P7-10 AZ66,DD64</t>
        </is>
      </c>
      <c r="I184" s="1708" t="inlineStr">
        <is>
          <t>同じシート内のみ</t>
        </is>
      </c>
    </row>
    <row r="185" spans="1:9" ht="19.95" customHeight="1">
      <c r="A185" s="1755" t="s">
        <v>7</v>
      </c>
      <c r="B185" s="1711" t="s">
        <v>1456</v>
      </c>
      <c r="C185" s="1756" t="str">
        <f>HYPERLINK("#'報告_短期P7-10'!CB64","CB64")</f>
        <v>CB64</v>
      </c>
      <c r="D185" s="1711" t="s">
        <v>66</v>
      </c>
      <c r="E185" s="1757">
        <f>IF('報告_短期P7-10'!CB64="","",'報告_短期P7-10'!CB64)</f>
        <v>100000</v>
      </c>
      <c r="F185" s="1711" t="s">
        <v>1644</v>
      </c>
      <c r="G185" s="1709" t="str">
        <f t="shared" si="2"/>
        <v>入力済</v>
      </c>
      <c r="H185" s="1708" t="inlineStr">
        <is>
          <t>報告_短期P7-10 CB66,DD64,FH64</t>
        </is>
      </c>
      <c r="I185" s="1708" t="inlineStr">
        <is>
          <t>報告_短期P11-13、報告_P8グラフデータ、短期_財務諸表、短期_附属明細表 ほか1シート</t>
        </is>
      </c>
    </row>
    <row r="186" spans="1:9" ht="19.95" customHeight="1">
      <c r="A186" s="1752" t="s">
        <v>7</v>
      </c>
      <c r="B186" s="1708" t="s">
        <v>1456</v>
      </c>
      <c r="C186" s="1753" t="str">
        <f>HYPERLINK("#'報告_短期P7-10'!AZ65","AZ65")</f>
        <v>AZ65</v>
      </c>
      <c r="D186" s="1708" t="s">
        <v>67</v>
      </c>
      <c r="E186" s="1754">
        <f>IF('報告_短期P7-10'!AZ65="","",'報告_短期P7-10'!AZ65)</f>
        <v>350000</v>
      </c>
      <c r="F186" s="1708" t="s">
        <v>373</v>
      </c>
      <c r="G186" s="1709" t="str">
        <f t="shared" si="2"/>
        <v>入力済</v>
      </c>
      <c r="H186" s="1708" t="inlineStr">
        <is>
          <t>報告_短期P7-10 AZ66,DD65</t>
        </is>
      </c>
      <c r="I186" s="1708" t="inlineStr">
        <is>
          <t>同じシート内のみ</t>
        </is>
      </c>
    </row>
    <row r="187" spans="1:9" ht="19.95" customHeight="1">
      <c r="A187" s="1755" t="s">
        <v>7</v>
      </c>
      <c r="B187" s="1711" t="s">
        <v>1456</v>
      </c>
      <c r="C187" s="1756" t="str">
        <f>HYPERLINK("#'報告_短期P7-10'!CB65","CB65")</f>
        <v>CB65</v>
      </c>
      <c r="D187" s="1711" t="s">
        <v>67</v>
      </c>
      <c r="E187" s="1757">
        <f>IF('報告_短期P7-10'!CB65="","",'報告_短期P7-10'!CB65)</f>
        <v>350000</v>
      </c>
      <c r="F187" s="1711" t="s">
        <v>1644</v>
      </c>
      <c r="G187" s="1709" t="str">
        <f t="shared" si="2"/>
        <v>入力済</v>
      </c>
      <c r="H187" s="1708" t="inlineStr">
        <is>
          <t>報告_短期P7-10 CB66,DD65,FH65</t>
        </is>
      </c>
      <c r="I187" s="1708" t="inlineStr">
        <is>
          <t>報告_短期P11-13、報告_P8グラフデータ、短期_財務諸表、短期_附属明細表 ほか1シート</t>
        </is>
      </c>
    </row>
    <row r="188" spans="1:9" ht="19.95" customHeight="1">
      <c r="A188" s="1752" t="s">
        <v>7</v>
      </c>
      <c r="B188" s="1708" t="s">
        <v>1456</v>
      </c>
      <c r="C188" s="1753" t="str">
        <f>HYPERLINK("#'報告_短期P7-10'!AZ67","AZ67")</f>
        <v>AZ67</v>
      </c>
      <c r="D188" s="1708" t="s">
        <v>1685</v>
      </c>
      <c r="E188" s="1754">
        <f>IF('報告_短期P7-10'!AZ67="","",'報告_短期P7-10'!AZ67)</f>
        <v>88208000</v>
      </c>
      <c r="F188" s="1708" t="s">
        <v>373</v>
      </c>
      <c r="G188" s="1709" t="str">
        <f t="shared" si="2"/>
        <v>入力済</v>
      </c>
      <c r="H188" s="1708" t="inlineStr">
        <is>
          <t>報告_短期P7-10 AZ74,DD67</t>
        </is>
      </c>
      <c r="I188" s="1708" t="inlineStr">
        <is>
          <t>同じシート内のみ</t>
        </is>
      </c>
    </row>
    <row r="189" spans="1:9" ht="19.95" customHeight="1">
      <c r="A189" s="1755" t="s">
        <v>7</v>
      </c>
      <c r="B189" s="1711" t="s">
        <v>1456</v>
      </c>
      <c r="C189" s="1756" t="str">
        <f>HYPERLINK("#'報告_短期P7-10'!CB67","CB67")</f>
        <v>CB67</v>
      </c>
      <c r="D189" s="1711" t="s">
        <v>1685</v>
      </c>
      <c r="E189" s="1757">
        <f>IF('報告_短期P7-10'!CB67="","",'報告_短期P7-10'!CB67)</f>
        <v>62042212</v>
      </c>
      <c r="F189" s="1711" t="s">
        <v>1644</v>
      </c>
      <c r="G189" s="1709" t="str">
        <f t="shared" si="2"/>
        <v>入力済</v>
      </c>
      <c r="H189" s="1708" t="inlineStr">
        <is>
          <t>報告_短期P7-10 CB74,DD67,FH67</t>
        </is>
      </c>
      <c r="I189" s="1708" t="inlineStr">
        <is>
          <t>報告_短期P11-13、報告_P8グラフデータ、短期_財務諸表、短期_附属明細表 ほか1シート</t>
        </is>
      </c>
    </row>
    <row r="190" spans="1:9" ht="19.95" customHeight="1">
      <c r="A190" s="1752" t="s">
        <v>7</v>
      </c>
      <c r="B190" s="1708" t="s">
        <v>1456</v>
      </c>
      <c r="C190" s="1753" t="str">
        <f>HYPERLINK("#'報告_短期P7-10'!AZ68","AZ68")</f>
        <v>AZ68</v>
      </c>
      <c r="D190" s="1708" t="s">
        <v>69</v>
      </c>
      <c r="E190" s="1754">
        <f>IF('報告_短期P7-10'!AZ68="","",'報告_短期P7-10'!AZ68)</f>
        <v>1071000</v>
      </c>
      <c r="F190" s="1708" t="s">
        <v>373</v>
      </c>
      <c r="G190" s="1709" t="str">
        <f t="shared" si="2"/>
        <v>入力済</v>
      </c>
      <c r="H190" s="1708" t="inlineStr">
        <is>
          <t>報告_短期P7-10 AZ74,DD68</t>
        </is>
      </c>
      <c r="I190" s="1708" t="inlineStr">
        <is>
          <t>同じシート内のみ</t>
        </is>
      </c>
    </row>
    <row r="191" spans="1:9" ht="19.95" customHeight="1">
      <c r="A191" s="1755" t="s">
        <v>7</v>
      </c>
      <c r="B191" s="1711" t="s">
        <v>1456</v>
      </c>
      <c r="C191" s="1756" t="str">
        <f>HYPERLINK("#'報告_短期P7-10'!CB68","CB68")</f>
        <v>CB68</v>
      </c>
      <c r="D191" s="1711" t="s">
        <v>69</v>
      </c>
      <c r="E191" s="1757">
        <f>IF('報告_短期P7-10'!CB68="","",'報告_短期P7-10'!CB68)</f>
        <v>965439</v>
      </c>
      <c r="F191" s="1711" t="s">
        <v>1644</v>
      </c>
      <c r="G191" s="1709" t="str">
        <f t="shared" si="2"/>
        <v>入力済</v>
      </c>
      <c r="H191" s="1708" t="inlineStr">
        <is>
          <t>報告_短期P7-10 CB74,DD68,FH68</t>
        </is>
      </c>
      <c r="I191" s="1708" t="inlineStr">
        <is>
          <t>報告_短期P11-13、報告_P8グラフデータ、短期_財務諸表、短期_附属明細表 ほか1シート</t>
        </is>
      </c>
    </row>
    <row r="192" spans="1:9" ht="19.95" customHeight="1">
      <c r="A192" s="1752" t="s">
        <v>7</v>
      </c>
      <c r="B192" s="1708" t="s">
        <v>1456</v>
      </c>
      <c r="C192" s="1753" t="str">
        <f>HYPERLINK("#'報告_短期P7-10'!AZ69","AZ69")</f>
        <v>AZ69</v>
      </c>
      <c r="D192" s="1708" t="s">
        <v>70</v>
      </c>
      <c r="E192" s="1754">
        <f>IF('報告_短期P7-10'!AZ69="","",'報告_短期P7-10'!AZ69)</f>
        <v>1000</v>
      </c>
      <c r="F192" s="1708" t="s">
        <v>373</v>
      </c>
      <c r="G192" s="1709" t="str">
        <f t="shared" si="2"/>
        <v>入力済</v>
      </c>
      <c r="H192" s="1708" t="inlineStr">
        <is>
          <t>報告_短期P7-10 AZ74,DD69</t>
        </is>
      </c>
      <c r="I192" s="1708" t="inlineStr">
        <is>
          <t>同じシート内のみ</t>
        </is>
      </c>
    </row>
    <row r="193" spans="1:9" ht="19.95" customHeight="1">
      <c r="A193" s="1755" t="s">
        <v>7</v>
      </c>
      <c r="B193" s="1711" t="s">
        <v>1456</v>
      </c>
      <c r="C193" s="1756" t="str">
        <f>HYPERLINK("#'報告_短期P7-10'!CB69","CB69")</f>
        <v>CB69</v>
      </c>
      <c r="D193" s="1711" t="s">
        <v>70</v>
      </c>
      <c r="E193" s="1757">
        <f>IF('報告_短期P7-10'!CB69="","",'報告_短期P7-10'!CB69)</f>
        <v>0</v>
      </c>
      <c r="F193" s="1711" t="s">
        <v>1644</v>
      </c>
      <c r="G193" s="1709" t="str">
        <f t="shared" si="2"/>
        <v>0（確認）</v>
      </c>
      <c r="H193" s="1708" t="inlineStr">
        <is>
          <t>報告_短期P7-10 CB74,DD69,FH69</t>
        </is>
      </c>
      <c r="I193" s="1708" t="inlineStr">
        <is>
          <t>報告_短期P11-13、報告_P8グラフデータ、短期_財務諸表、短期_附属明細表 ほか1シート</t>
        </is>
      </c>
    </row>
    <row r="194" spans="1:9" ht="19.95" customHeight="1">
      <c r="A194" s="1752" t="s">
        <v>7</v>
      </c>
      <c r="B194" s="1708" t="s">
        <v>1456</v>
      </c>
      <c r="C194" s="1753" t="str">
        <f>HYPERLINK("#'報告_短期P7-10'!AZ70","AZ70")</f>
        <v>AZ70</v>
      </c>
      <c r="D194" s="1708" t="s">
        <v>71</v>
      </c>
      <c r="E194" s="1754">
        <f>IF('報告_短期P7-10'!AZ70="","",'報告_短期P7-10'!AZ70)</f>
        <v>569000000</v>
      </c>
      <c r="F194" s="1708" t="s">
        <v>373</v>
      </c>
      <c r="G194" s="1709" t="str">
        <f t="shared" si="2"/>
        <v>入力済</v>
      </c>
      <c r="H194" s="1708" t="inlineStr">
        <is>
          <t>報告_短期P7-10 AZ19,AZ74,DD70</t>
        </is>
      </c>
      <c r="I194" s="1708" t="inlineStr">
        <is>
          <t>同じシート内のみ</t>
        </is>
      </c>
    </row>
    <row r="195" spans="1:9" ht="19.95" customHeight="1">
      <c r="A195" s="1755" t="s">
        <v>7</v>
      </c>
      <c r="B195" s="1711" t="s">
        <v>1456</v>
      </c>
      <c r="C195" s="1756" t="str">
        <f>HYPERLINK("#'報告_短期P7-10'!CB70","CB70")</f>
        <v>CB70</v>
      </c>
      <c r="D195" s="1711" t="s">
        <v>71</v>
      </c>
      <c r="E195" s="1757">
        <f>IF('報告_短期P7-10'!CB70="","",'報告_短期P7-10'!CB70)</f>
        <v>568913474</v>
      </c>
      <c r="F195" s="1711" t="s">
        <v>1644</v>
      </c>
      <c r="G195" s="1709" t="str">
        <f t="shared" si="2"/>
        <v>入力済</v>
      </c>
      <c r="H195" s="1708" t="inlineStr">
        <is>
          <t>報告_短期P7-10 CB74,DD70,FH70</t>
        </is>
      </c>
      <c r="I195" s="1708" t="inlineStr">
        <is>
          <t>報告_短期P11-13、報告_P8グラフデータ、短期_財務諸表、短期_附属明細表 ほか1シート</t>
        </is>
      </c>
    </row>
    <row r="196" spans="1:9" ht="19.95" customHeight="1">
      <c r="A196" s="1752" t="s">
        <v>7</v>
      </c>
      <c r="B196" s="1708" t="s">
        <v>1456</v>
      </c>
      <c r="C196" s="1753" t="str">
        <f>HYPERLINK("#'報告_短期P7-10'!AZ71","AZ71")</f>
        <v>AZ71</v>
      </c>
      <c r="D196" s="1708" t="s">
        <v>72</v>
      </c>
      <c r="E196" s="1754">
        <f>IF('報告_短期P7-10'!AZ71="","",'報告_短期P7-10'!AZ71)</f>
        <v>9725000</v>
      </c>
      <c r="F196" s="1708" t="s">
        <v>373</v>
      </c>
      <c r="G196" s="1709" t="str">
        <f t="shared" si="2"/>
        <v>入力済</v>
      </c>
      <c r="H196" s="1708" t="inlineStr">
        <is>
          <t>報告_短期P7-10 AZ19,AZ74,DD71</t>
        </is>
      </c>
      <c r="I196" s="1708" t="inlineStr">
        <is>
          <t>同じシート内のみ</t>
        </is>
      </c>
    </row>
    <row r="197" spans="1:9" ht="19.95" customHeight="1">
      <c r="A197" s="1755" t="s">
        <v>7</v>
      </c>
      <c r="B197" s="1711" t="s">
        <v>1456</v>
      </c>
      <c r="C197" s="1756" t="str">
        <f>HYPERLINK("#'報告_短期P7-10'!CB71","CB71")</f>
        <v>CB71</v>
      </c>
      <c r="D197" s="1711" t="s">
        <v>72</v>
      </c>
      <c r="E197" s="1757">
        <f>IF('報告_短期P7-10'!CB71="","",'報告_短期P7-10'!CB71)</f>
        <v>9328251</v>
      </c>
      <c r="F197" s="1711" t="s">
        <v>1644</v>
      </c>
      <c r="G197" s="1709" t="str">
        <f t="shared" si="2"/>
        <v>入力済</v>
      </c>
      <c r="H197" s="1708" t="inlineStr">
        <is>
          <t>報告_短期P7-10 CB74,DD71,FH71</t>
        </is>
      </c>
      <c r="I197" s="1708" t="inlineStr">
        <is>
          <t>報告_短期P11-13、報告_P8グラフデータ、短期_財務諸表、短期_附属明細表 ほか1シート</t>
        </is>
      </c>
    </row>
    <row r="198" spans="1:9" ht="19.95" customHeight="1">
      <c r="A198" s="1752" t="s">
        <v>7</v>
      </c>
      <c r="B198" s="1708" t="s">
        <v>1456</v>
      </c>
      <c r="C198" s="1753" t="str">
        <f>HYPERLINK("#'報告_短期P7-10'!AZ72","AZ72")</f>
        <v>AZ72</v>
      </c>
      <c r="D198" s="1708" t="s">
        <v>73</v>
      </c>
      <c r="E198" s="1754">
        <f>IF('報告_短期P7-10'!AZ72="","",'報告_短期P7-10'!AZ72)</f>
        <v>4215000</v>
      </c>
      <c r="F198" s="1708" t="s">
        <v>373</v>
      </c>
      <c r="G198" s="1709" t="str">
        <f t="shared" ref="G198:G261" si="3">IF(E198="","未入力（空欄）",IF(E198=0,"0（確認）","入力済"))</f>
        <v>入力済</v>
      </c>
      <c r="H198" s="1708" t="inlineStr">
        <is>
          <t>報告_短期P7-10 AZ19,AZ74,DD72</t>
        </is>
      </c>
      <c r="I198" s="1708" t="inlineStr">
        <is>
          <t>同じシート内のみ</t>
        </is>
      </c>
    </row>
    <row r="199" spans="1:9" ht="19.95" customHeight="1">
      <c r="A199" s="1755" t="s">
        <v>7</v>
      </c>
      <c r="B199" s="1711" t="s">
        <v>1456</v>
      </c>
      <c r="C199" s="1756" t="str">
        <f>HYPERLINK("#'報告_短期P7-10'!CB72","CB72")</f>
        <v>CB72</v>
      </c>
      <c r="D199" s="1711" t="s">
        <v>73</v>
      </c>
      <c r="E199" s="1757">
        <f>IF('報告_短期P7-10'!CB72="","",'報告_短期P7-10'!CB72)</f>
        <v>3608457</v>
      </c>
      <c r="F199" s="1711" t="s">
        <v>1644</v>
      </c>
      <c r="G199" s="1709" t="str">
        <f t="shared" si="3"/>
        <v>入力済</v>
      </c>
      <c r="H199" s="1708" t="inlineStr">
        <is>
          <t>報告_短期P7-10 CB74,DD72,FH72</t>
        </is>
      </c>
      <c r="I199" s="1708" t="inlineStr">
        <is>
          <t>報告_短期P11-13、報告_P8グラフデータ、短期_財務諸表、短期_附属明細表 ほか1シート</t>
        </is>
      </c>
    </row>
    <row r="200" spans="1:9" ht="19.95" customHeight="1">
      <c r="A200" s="1752" t="s">
        <v>7</v>
      </c>
      <c r="B200" s="1708" t="s">
        <v>1456</v>
      </c>
      <c r="C200" s="1753" t="str">
        <f>HYPERLINK("#'報告_短期P7-10'!AZ73","AZ73")</f>
        <v>AZ73</v>
      </c>
      <c r="D200" s="1708" t="s">
        <v>74</v>
      </c>
      <c r="E200" s="1754">
        <f>IF('報告_短期P7-10'!AZ73="","",'報告_短期P7-10'!AZ73)</f>
        <v>4252000</v>
      </c>
      <c r="F200" s="1708" t="s">
        <v>373</v>
      </c>
      <c r="G200" s="1709" t="str">
        <f t="shared" si="3"/>
        <v>入力済</v>
      </c>
      <c r="H200" s="1708" t="inlineStr">
        <is>
          <t>報告_短期P7-10 AZ19,AZ74,DD73</t>
        </is>
      </c>
      <c r="I200" s="1708" t="inlineStr">
        <is>
          <t>同じシート内のみ</t>
        </is>
      </c>
    </row>
    <row r="201" spans="1:9" ht="19.95" customHeight="1">
      <c r="A201" s="1755" t="s">
        <v>7</v>
      </c>
      <c r="B201" s="1711" t="s">
        <v>1456</v>
      </c>
      <c r="C201" s="1756" t="str">
        <f>HYPERLINK("#'報告_短期P7-10'!CB73","CB73")</f>
        <v>CB73</v>
      </c>
      <c r="D201" s="1711" t="s">
        <v>74</v>
      </c>
      <c r="E201" s="1757">
        <f>IF('報告_短期P7-10'!CB73="","",'報告_短期P7-10'!CB73)</f>
        <v>5476402</v>
      </c>
      <c r="F201" s="1711" t="s">
        <v>1644</v>
      </c>
      <c r="G201" s="1709" t="str">
        <f t="shared" si="3"/>
        <v>入力済</v>
      </c>
      <c r="H201" s="1708" t="inlineStr">
        <is>
          <t>報告_短期P7-10 CB74,DD73,FH73</t>
        </is>
      </c>
      <c r="I201" s="1708" t="inlineStr">
        <is>
          <t>報告_短期P11-13、報告_P8グラフデータ、短期_財務諸表、短期_附属明細表 ほか1シート</t>
        </is>
      </c>
    </row>
    <row r="202" spans="1:9" ht="19.95" customHeight="1">
      <c r="A202" s="1752" t="s">
        <v>7</v>
      </c>
      <c r="B202" s="1708" t="s">
        <v>1456</v>
      </c>
      <c r="C202" s="1753" t="str">
        <f>HYPERLINK("#'報告_短期P7-10'!AZ75","AZ75")</f>
        <v>AZ75</v>
      </c>
      <c r="D202" s="1708" t="s">
        <v>1686</v>
      </c>
      <c r="E202" s="1754">
        <f>IF('報告_短期P7-10'!AZ75="","",'報告_短期P7-10'!AZ75)</f>
        <v>1000</v>
      </c>
      <c r="F202" s="1708" t="s">
        <v>373</v>
      </c>
      <c r="G202" s="1709" t="str">
        <f t="shared" si="3"/>
        <v>入力済</v>
      </c>
      <c r="H202" s="1708" t="inlineStr">
        <is>
          <t>報告_短期P7-10 AZ78,DD75</t>
        </is>
      </c>
      <c r="I202" s="1708" t="inlineStr">
        <is>
          <t>同じシート内のみ</t>
        </is>
      </c>
    </row>
    <row r="203" spans="1:9" ht="19.95" customHeight="1">
      <c r="A203" s="1755" t="s">
        <v>7</v>
      </c>
      <c r="B203" s="1711" t="s">
        <v>1456</v>
      </c>
      <c r="C203" s="1756" t="str">
        <f>HYPERLINK("#'報告_短期P7-10'!CB75","CB75")</f>
        <v>CB75</v>
      </c>
      <c r="D203" s="1711" t="s">
        <v>1686</v>
      </c>
      <c r="E203" s="1757">
        <f>IF('報告_短期P7-10'!CB75="","",'報告_短期P7-10'!CB75)</f>
        <v>0</v>
      </c>
      <c r="F203" s="1711" t="s">
        <v>1644</v>
      </c>
      <c r="G203" s="1709" t="str">
        <f t="shared" si="3"/>
        <v>0（確認）</v>
      </c>
      <c r="H203" s="1708" t="inlineStr">
        <is>
          <t>報告_短期P7-10 CB78,DD75,FH75</t>
        </is>
      </c>
      <c r="I203" s="1708" t="inlineStr">
        <is>
          <t>報告_P8グラフデータ</t>
        </is>
      </c>
    </row>
    <row r="204" spans="1:9" ht="19.95" customHeight="1">
      <c r="A204" s="1752" t="s">
        <v>7</v>
      </c>
      <c r="B204" s="1708" t="s">
        <v>1456</v>
      </c>
      <c r="C204" s="1753" t="str">
        <f>HYPERLINK("#'報告_短期P7-10'!AZ76","AZ76")</f>
        <v>AZ76</v>
      </c>
      <c r="D204" s="1708" t="s">
        <v>76</v>
      </c>
      <c r="E204" s="1754">
        <f>IF('報告_短期P7-10'!AZ76="","",'報告_短期P7-10'!AZ76)</f>
        <v>1000</v>
      </c>
      <c r="F204" s="1708" t="s">
        <v>373</v>
      </c>
      <c r="G204" s="1709" t="str">
        <f t="shared" si="3"/>
        <v>入力済</v>
      </c>
      <c r="H204" s="1708" t="inlineStr">
        <is>
          <t>報告_短期P7-10 AZ78,DD76</t>
        </is>
      </c>
      <c r="I204" s="1708" t="inlineStr">
        <is>
          <t>同じシート内のみ</t>
        </is>
      </c>
    </row>
    <row r="205" spans="1:9" ht="19.95" customHeight="1">
      <c r="A205" s="1755" t="s">
        <v>7</v>
      </c>
      <c r="B205" s="1711" t="s">
        <v>1456</v>
      </c>
      <c r="C205" s="1756" t="str">
        <f>HYPERLINK("#'報告_短期P7-10'!CB76","CB76")</f>
        <v>CB76</v>
      </c>
      <c r="D205" s="1711" t="s">
        <v>76</v>
      </c>
      <c r="E205" s="1757">
        <f>IF('報告_短期P7-10'!CB76="","",'報告_短期P7-10'!CB76)</f>
        <v>0</v>
      </c>
      <c r="F205" s="1711" t="s">
        <v>1644</v>
      </c>
      <c r="G205" s="1709" t="str">
        <f t="shared" si="3"/>
        <v>0（確認）</v>
      </c>
      <c r="H205" s="1708" t="inlineStr">
        <is>
          <t>報告_短期P7-10 CB78,DD76,FH76</t>
        </is>
      </c>
      <c r="I205" s="1708" t="inlineStr">
        <is>
          <t>報告_P8グラフデータ</t>
        </is>
      </c>
    </row>
    <row r="206" spans="1:9" ht="19.95" customHeight="1">
      <c r="A206" s="1752" t="s">
        <v>7</v>
      </c>
      <c r="B206" s="1708" t="s">
        <v>1456</v>
      </c>
      <c r="C206" s="1753" t="str">
        <f>HYPERLINK("#'報告_短期P7-10'!AZ77","AZ77")</f>
        <v>AZ77</v>
      </c>
      <c r="D206" s="1708" t="s">
        <v>77</v>
      </c>
      <c r="E206" s="1754">
        <f>IF('報告_短期P7-10'!AZ77="","",'報告_短期P7-10'!AZ77)</f>
        <v>1000</v>
      </c>
      <c r="F206" s="1708" t="s">
        <v>373</v>
      </c>
      <c r="G206" s="1709" t="str">
        <f t="shared" si="3"/>
        <v>入力済</v>
      </c>
      <c r="H206" s="1708" t="inlineStr">
        <is>
          <t>報告_短期P7-10 AZ78,DD77</t>
        </is>
      </c>
      <c r="I206" s="1708" t="inlineStr">
        <is>
          <t>同じシート内のみ</t>
        </is>
      </c>
    </row>
    <row r="207" spans="1:9" ht="19.95" customHeight="1">
      <c r="A207" s="1755" t="s">
        <v>7</v>
      </c>
      <c r="B207" s="1711" t="s">
        <v>1456</v>
      </c>
      <c r="C207" s="1756" t="str">
        <f>HYPERLINK("#'報告_短期P7-10'!CB77","CB77")</f>
        <v>CB77</v>
      </c>
      <c r="D207" s="1711" t="s">
        <v>77</v>
      </c>
      <c r="E207" s="1757">
        <f>IF('報告_短期P7-10'!CB77="","",'報告_短期P7-10'!CB77)</f>
        <v>0</v>
      </c>
      <c r="F207" s="1711" t="s">
        <v>1644</v>
      </c>
      <c r="G207" s="1709" t="str">
        <f t="shared" si="3"/>
        <v>0（確認）</v>
      </c>
      <c r="H207" s="1708" t="inlineStr">
        <is>
          <t>報告_短期P7-10 CB78,DD77,FH77</t>
        </is>
      </c>
      <c r="I207" s="1708" t="inlineStr">
        <is>
          <t>報告_P8グラフデータ</t>
        </is>
      </c>
    </row>
    <row r="208" spans="1:9" ht="19.95" customHeight="1">
      <c r="A208" s="1752" t="s">
        <v>7</v>
      </c>
      <c r="B208" s="1708" t="s">
        <v>1456</v>
      </c>
      <c r="C208" s="1753" t="str">
        <f>HYPERLINK("#'報告_短期P7-10'!AZ82","AZ82")</f>
        <v>AZ82</v>
      </c>
      <c r="D208" s="1708" t="s">
        <v>1687</v>
      </c>
      <c r="E208" s="1754">
        <f>IF('報告_短期P7-10'!AZ82="","",'報告_短期P7-10'!AZ82)</f>
        <v>23792000</v>
      </c>
      <c r="F208" s="1708" t="s">
        <v>373</v>
      </c>
      <c r="G208" s="1709" t="str">
        <f t="shared" si="3"/>
        <v>入力済</v>
      </c>
      <c r="H208" s="1708" t="inlineStr">
        <is>
          <t>報告_短期P7-10 AZ89,DD82</t>
        </is>
      </c>
      <c r="I208" s="1708" t="inlineStr">
        <is>
          <t>同じシート内のみ</t>
        </is>
      </c>
    </row>
    <row r="209" spans="1:9" ht="19.95" customHeight="1">
      <c r="A209" s="1755" t="s">
        <v>7</v>
      </c>
      <c r="B209" s="1711" t="s">
        <v>1456</v>
      </c>
      <c r="C209" s="1756" t="str">
        <f>HYPERLINK("#'報告_短期P7-10'!CB82","CB82")</f>
        <v>CB82</v>
      </c>
      <c r="D209" s="1711" t="s">
        <v>1688</v>
      </c>
      <c r="E209" s="1757">
        <f>IF('報告_短期P7-10'!CB82="","",'報告_短期P7-10'!CB82)</f>
        <v>26199034</v>
      </c>
      <c r="F209" s="1711" t="s">
        <v>1644</v>
      </c>
      <c r="G209" s="1709" t="str">
        <f t="shared" si="3"/>
        <v>入力済</v>
      </c>
      <c r="H209" s="1708" t="inlineStr">
        <is>
          <t>報告_短期P7-10 CB89,DD82,FH82</t>
        </is>
      </c>
      <c r="I209" s="1708" t="inlineStr">
        <is>
          <t>報告_短期P11-13、報告_P8グラフデータ、短期_財務諸表、短期_附属明細表 ほか1シート</t>
        </is>
      </c>
    </row>
    <row r="210" spans="1:9" ht="19.95" customHeight="1">
      <c r="A210" s="1752" t="s">
        <v>7</v>
      </c>
      <c r="B210" s="1708" t="s">
        <v>1456</v>
      </c>
      <c r="C210" s="1753" t="str">
        <f>HYPERLINK("#'報告_短期P7-10'!AZ83","AZ83")</f>
        <v>AZ83</v>
      </c>
      <c r="D210" s="1708" t="s">
        <v>1689</v>
      </c>
      <c r="E210" s="1754">
        <f>IF('報告_短期P7-10'!AZ83="","",'報告_短期P7-10'!AZ83)</f>
        <v>1000</v>
      </c>
      <c r="F210" s="1708" t="s">
        <v>373</v>
      </c>
      <c r="G210" s="1709" t="str">
        <f t="shared" si="3"/>
        <v>入力済</v>
      </c>
      <c r="H210" s="1708" t="inlineStr">
        <is>
          <t>報告_短期P7-10 AZ89,DD83</t>
        </is>
      </c>
      <c r="I210" s="1708" t="inlineStr">
        <is>
          <t>同じシート内のみ</t>
        </is>
      </c>
    </row>
    <row r="211" spans="1:9" ht="19.95" customHeight="1">
      <c r="A211" s="1755" t="s">
        <v>7</v>
      </c>
      <c r="B211" s="1711" t="s">
        <v>1456</v>
      </c>
      <c r="C211" s="1756" t="str">
        <f>HYPERLINK("#'報告_短期P7-10'!CB83","CB83")</f>
        <v>CB83</v>
      </c>
      <c r="D211" s="1711" t="s">
        <v>1690</v>
      </c>
      <c r="E211" s="1757">
        <f>IF('報告_短期P7-10'!CB83="","",'報告_短期P7-10'!CB83)</f>
        <v>0</v>
      </c>
      <c r="F211" s="1711" t="s">
        <v>1644</v>
      </c>
      <c r="G211" s="1709" t="str">
        <f t="shared" si="3"/>
        <v>0（確認）</v>
      </c>
      <c r="H211" s="1708" t="inlineStr">
        <is>
          <t>報告_短期P7-10 CB89,DD83,FH83</t>
        </is>
      </c>
      <c r="I211" s="1708" t="inlineStr">
        <is>
          <t>報告_短期P11-13、報告_P8グラフデータ、短期_財務諸表、短期_附属明細表 ほか1シート</t>
        </is>
      </c>
    </row>
    <row r="212" spans="1:9" ht="19.95" customHeight="1">
      <c r="A212" s="1752" t="s">
        <v>7</v>
      </c>
      <c r="B212" s="1708" t="s">
        <v>1456</v>
      </c>
      <c r="C212" s="1753" t="str">
        <f>HYPERLINK("#'報告_短期P7-10'!AZ84","AZ84")</f>
        <v>AZ84</v>
      </c>
      <c r="D212" s="1708" t="s">
        <v>1691</v>
      </c>
      <c r="E212" s="1754">
        <f>IF('報告_短期P7-10'!AZ84="","",'報告_短期P7-10'!AZ84)</f>
        <v>7762000</v>
      </c>
      <c r="F212" s="1708" t="s">
        <v>373</v>
      </c>
      <c r="G212" s="1709" t="str">
        <f t="shared" si="3"/>
        <v>入力済</v>
      </c>
      <c r="H212" s="1708" t="inlineStr">
        <is>
          <t>報告_短期P7-10 AZ89,DD84</t>
        </is>
      </c>
      <c r="I212" s="1708" t="inlineStr">
        <is>
          <t>同じシート内のみ</t>
        </is>
      </c>
    </row>
    <row r="213" spans="1:9" ht="19.95" customHeight="1">
      <c r="A213" s="1755" t="s">
        <v>7</v>
      </c>
      <c r="B213" s="1711" t="s">
        <v>1456</v>
      </c>
      <c r="C213" s="1756" t="str">
        <f>HYPERLINK("#'報告_短期P7-10'!CB84","CB84")</f>
        <v>CB84</v>
      </c>
      <c r="D213" s="1711" t="s">
        <v>1692</v>
      </c>
      <c r="E213" s="1757">
        <f>IF('報告_短期P7-10'!CB84="","",'報告_短期P7-10'!CB84)</f>
        <v>7180000</v>
      </c>
      <c r="F213" s="1711" t="s">
        <v>1644</v>
      </c>
      <c r="G213" s="1709" t="str">
        <f t="shared" si="3"/>
        <v>入力済</v>
      </c>
      <c r="H213" s="1708" t="inlineStr">
        <is>
          <t>報告_短期P7-10 CB89,DD84,FH84</t>
        </is>
      </c>
      <c r="I213" s="1708" t="inlineStr">
        <is>
          <t>報告_短期P11-13、報告_P8グラフデータ、短期_財務諸表、短期_附属明細表 ほか1シート</t>
        </is>
      </c>
    </row>
    <row r="214" spans="1:9" ht="19.95" customHeight="1">
      <c r="A214" s="1752" t="s">
        <v>7</v>
      </c>
      <c r="B214" s="1708" t="s">
        <v>1456</v>
      </c>
      <c r="C214" s="1753" t="str">
        <f>HYPERLINK("#'報告_短期P7-10'!AZ85","AZ85")</f>
        <v>AZ85</v>
      </c>
      <c r="D214" s="1708" t="s">
        <v>1693</v>
      </c>
      <c r="E214" s="1754">
        <f>IF('報告_短期P7-10'!AZ85="","",'報告_短期P7-10'!AZ85)</f>
        <v>1646000</v>
      </c>
      <c r="F214" s="1708" t="s">
        <v>373</v>
      </c>
      <c r="G214" s="1709" t="str">
        <f t="shared" si="3"/>
        <v>入力済</v>
      </c>
      <c r="H214" s="1708" t="inlineStr">
        <is>
          <t>報告_短期P7-10 AZ89,DD85</t>
        </is>
      </c>
      <c r="I214" s="1708" t="inlineStr">
        <is>
          <t>同じシート内のみ</t>
        </is>
      </c>
    </row>
    <row r="215" spans="1:9" ht="19.95" customHeight="1">
      <c r="A215" s="1755" t="s">
        <v>7</v>
      </c>
      <c r="B215" s="1711" t="s">
        <v>1456</v>
      </c>
      <c r="C215" s="1756" t="str">
        <f>HYPERLINK("#'報告_短期P7-10'!CB85","CB85")</f>
        <v>CB85</v>
      </c>
      <c r="D215" s="1711" t="s">
        <v>1694</v>
      </c>
      <c r="E215" s="1757">
        <f>IF('報告_短期P7-10'!CB85="","",'報告_短期P7-10'!CB85)</f>
        <v>1080000</v>
      </c>
      <c r="F215" s="1711" t="s">
        <v>1644</v>
      </c>
      <c r="G215" s="1709" t="str">
        <f t="shared" si="3"/>
        <v>入力済</v>
      </c>
      <c r="H215" s="1708" t="inlineStr">
        <is>
          <t>報告_短期P7-10 CB89,DD85,FH85</t>
        </is>
      </c>
      <c r="I215" s="1708" t="inlineStr">
        <is>
          <t>報告_短期P11-13、報告_P8グラフデータ、短期_財務諸表、短期_附属明細表 ほか1シート</t>
        </is>
      </c>
    </row>
    <row r="216" spans="1:9" ht="19.95" customHeight="1">
      <c r="A216" s="1752" t="s">
        <v>7</v>
      </c>
      <c r="B216" s="1708" t="s">
        <v>1456</v>
      </c>
      <c r="C216" s="1753" t="str">
        <f>HYPERLINK("#'報告_短期P7-10'!AZ86","AZ86")</f>
        <v>AZ86</v>
      </c>
      <c r="D216" s="1708" t="s">
        <v>1695</v>
      </c>
      <c r="E216" s="1754">
        <f>IF('報告_短期P7-10'!AZ86="","",'報告_短期P7-10'!AZ86)</f>
        <v>750000</v>
      </c>
      <c r="F216" s="1708" t="s">
        <v>373</v>
      </c>
      <c r="G216" s="1709" t="str">
        <f t="shared" si="3"/>
        <v>入力済</v>
      </c>
      <c r="H216" s="1708" t="inlineStr">
        <is>
          <t>報告_短期P7-10 AZ89,DD86</t>
        </is>
      </c>
      <c r="I216" s="1708" t="inlineStr">
        <is>
          <t>同じシート内のみ</t>
        </is>
      </c>
    </row>
    <row r="217" spans="1:9" ht="19.95" customHeight="1">
      <c r="A217" s="1755" t="s">
        <v>7</v>
      </c>
      <c r="B217" s="1711" t="s">
        <v>1456</v>
      </c>
      <c r="C217" s="1756" t="str">
        <f>HYPERLINK("#'報告_短期P7-10'!CB86","CB86")</f>
        <v>CB86</v>
      </c>
      <c r="D217" s="1711" t="s">
        <v>1696</v>
      </c>
      <c r="E217" s="1757">
        <f>IF('報告_短期P7-10'!CB86="","",'報告_短期P7-10'!CB86)</f>
        <v>100000</v>
      </c>
      <c r="F217" s="1711" t="s">
        <v>1644</v>
      </c>
      <c r="G217" s="1709" t="str">
        <f t="shared" si="3"/>
        <v>入力済</v>
      </c>
      <c r="H217" s="1708" t="inlineStr">
        <is>
          <t>報告_短期P7-10 CB89,DD86,FH86</t>
        </is>
      </c>
      <c r="I217" s="1708" t="inlineStr">
        <is>
          <t>報告_短期P11-13、報告_P8グラフデータ、短期_財務諸表、短期_附属明細表 ほか1シート</t>
        </is>
      </c>
    </row>
    <row r="218" spans="1:9" ht="19.95" customHeight="1">
      <c r="A218" s="1752" t="s">
        <v>7</v>
      </c>
      <c r="B218" s="1708" t="s">
        <v>1456</v>
      </c>
      <c r="C218" s="1753" t="str">
        <f>HYPERLINK("#'報告_短期P7-10'!AZ87","AZ87")</f>
        <v>AZ87</v>
      </c>
      <c r="D218" s="1708" t="s">
        <v>1697</v>
      </c>
      <c r="E218" s="1754">
        <f>IF('報告_短期P7-10'!AZ87="","",'報告_短期P7-10'!AZ87)</f>
        <v>350000</v>
      </c>
      <c r="F218" s="1708" t="s">
        <v>373</v>
      </c>
      <c r="G218" s="1709" t="str">
        <f t="shared" si="3"/>
        <v>入力済</v>
      </c>
      <c r="H218" s="1708" t="inlineStr">
        <is>
          <t>報告_短期P7-10 AZ89,DD87</t>
        </is>
      </c>
      <c r="I218" s="1708" t="inlineStr">
        <is>
          <t>同じシート内のみ</t>
        </is>
      </c>
    </row>
    <row r="219" spans="1:9" ht="19.95" customHeight="1">
      <c r="A219" s="1755" t="s">
        <v>7</v>
      </c>
      <c r="B219" s="1711" t="s">
        <v>1456</v>
      </c>
      <c r="C219" s="1756" t="str">
        <f>HYPERLINK("#'報告_短期P7-10'!CB87","CB87")</f>
        <v>CB87</v>
      </c>
      <c r="D219" s="1711" t="s">
        <v>1698</v>
      </c>
      <c r="E219" s="1757">
        <f>IF('報告_短期P7-10'!CB87="","",'報告_短期P7-10'!CB87)</f>
        <v>350000</v>
      </c>
      <c r="F219" s="1711" t="s">
        <v>1644</v>
      </c>
      <c r="G219" s="1709" t="str">
        <f t="shared" si="3"/>
        <v>入力済</v>
      </c>
      <c r="H219" s="1708" t="inlineStr">
        <is>
          <t>報告_短期P7-10 CB89,DD87,FH87</t>
        </is>
      </c>
      <c r="I219" s="1708" t="inlineStr">
        <is>
          <t>報告_短期P11-13、報告_P8グラフデータ、短期_財務諸表、短期_附属明細表 ほか1シート</t>
        </is>
      </c>
    </row>
    <row r="220" spans="1:9" ht="19.95" customHeight="1">
      <c r="A220" s="1752" t="s">
        <v>7</v>
      </c>
      <c r="B220" s="1708" t="s">
        <v>1456</v>
      </c>
      <c r="C220" s="1753" t="str">
        <f>HYPERLINK("#'報告_短期P7-10'!AZ88","AZ88")</f>
        <v>AZ88</v>
      </c>
      <c r="D220" s="1708" t="s">
        <v>1699</v>
      </c>
      <c r="E220" s="1754">
        <f>IF('報告_短期P7-10'!AZ88="","",'報告_短期P7-10'!AZ88)</f>
        <v>7615000</v>
      </c>
      <c r="F220" s="1708" t="s">
        <v>373</v>
      </c>
      <c r="G220" s="1709" t="str">
        <f t="shared" si="3"/>
        <v>入力済</v>
      </c>
      <c r="H220" s="1708" t="inlineStr">
        <is>
          <t>報告_短期P7-10 AZ89,DD88</t>
        </is>
      </c>
      <c r="I220" s="1708" t="inlineStr">
        <is>
          <t>同じシート内のみ</t>
        </is>
      </c>
    </row>
    <row r="221" spans="1:9" ht="19.95" customHeight="1">
      <c r="A221" s="1755" t="s">
        <v>7</v>
      </c>
      <c r="B221" s="1711" t="s">
        <v>1456</v>
      </c>
      <c r="C221" s="1756" t="str">
        <f>HYPERLINK("#'報告_短期P7-10'!CB88","CB88")</f>
        <v>CB88</v>
      </c>
      <c r="D221" s="1711" t="s">
        <v>1700</v>
      </c>
      <c r="E221" s="1757">
        <f>IF('報告_短期P7-10'!CB88="","",'報告_短期P7-10'!CB88)</f>
        <v>1437643</v>
      </c>
      <c r="F221" s="1711" t="s">
        <v>1644</v>
      </c>
      <c r="G221" s="1709" t="str">
        <f t="shared" si="3"/>
        <v>入力済</v>
      </c>
      <c r="H221" s="1708" t="inlineStr">
        <is>
          <t>報告_短期P7-10 CB89,DD88,FH88</t>
        </is>
      </c>
      <c r="I221" s="1708" t="inlineStr">
        <is>
          <t>報告_短期P11-13、報告_P8グラフデータ、短期_財務諸表、短期_附属明細表 ほか1シート</t>
        </is>
      </c>
    </row>
    <row r="222" spans="1:9" ht="19.95" customHeight="1">
      <c r="A222" s="1752" t="s">
        <v>7</v>
      </c>
      <c r="B222" s="1708" t="s">
        <v>1456</v>
      </c>
      <c r="C222" s="1753" t="str">
        <f>HYPERLINK("#'報告_短期P7-10'!AZ90","AZ90")</f>
        <v>AZ90</v>
      </c>
      <c r="D222" s="1708" t="s">
        <v>1701</v>
      </c>
      <c r="E222" s="1754">
        <f>IF('報告_短期P7-10'!AZ90="","",'報告_短期P7-10'!AZ90)</f>
        <v>2089153000</v>
      </c>
      <c r="F222" s="1708" t="s">
        <v>373</v>
      </c>
      <c r="G222" s="1709" t="str">
        <f t="shared" si="3"/>
        <v>入力済</v>
      </c>
      <c r="H222" s="1708" t="inlineStr">
        <is>
          <t>報告_短期P7-10 AZ107,DD90</t>
        </is>
      </c>
      <c r="I222" s="1708" t="inlineStr">
        <is>
          <t>同じシート内のみ</t>
        </is>
      </c>
    </row>
    <row r="223" spans="1:9" ht="19.95" customHeight="1">
      <c r="A223" s="1755" t="s">
        <v>7</v>
      </c>
      <c r="B223" s="1711" t="s">
        <v>1456</v>
      </c>
      <c r="C223" s="1756" t="str">
        <f>HYPERLINK("#'報告_短期P7-10'!AZ91","AZ91")</f>
        <v>AZ91</v>
      </c>
      <c r="D223" s="1711" t="s">
        <v>1702</v>
      </c>
      <c r="E223" s="1757">
        <f>IF('報告_短期P7-10'!AZ91="","",'報告_短期P7-10'!AZ91)</f>
        <v>2300526000</v>
      </c>
      <c r="F223" s="1711" t="s">
        <v>373</v>
      </c>
      <c r="G223" s="1709" t="str">
        <f t="shared" si="3"/>
        <v>入力済</v>
      </c>
      <c r="H223" s="1708" t="inlineStr">
        <is>
          <t>報告_短期P7-10 AZ107,DD91</t>
        </is>
      </c>
      <c r="I223" s="1708" t="inlineStr">
        <is>
          <t>同じシート内のみ</t>
        </is>
      </c>
    </row>
    <row r="224" spans="1:9" ht="19.95" customHeight="1">
      <c r="A224" s="1752" t="s">
        <v>7</v>
      </c>
      <c r="B224" s="1708" t="s">
        <v>1456</v>
      </c>
      <c r="C224" s="1753" t="str">
        <f>HYPERLINK("#'報告_短期P7-10'!AZ92","AZ92")</f>
        <v>AZ92</v>
      </c>
      <c r="D224" s="1708" t="s">
        <v>1703</v>
      </c>
      <c r="E224" s="1754">
        <f>IF('報告_短期P7-10'!AZ92="","",'報告_短期P7-10'!AZ92)</f>
        <v>0</v>
      </c>
      <c r="F224" s="1708" t="s">
        <v>373</v>
      </c>
      <c r="G224" s="1709" t="str">
        <f t="shared" si="3"/>
        <v>0（確認）</v>
      </c>
      <c r="H224" s="1708" t="inlineStr">
        <is>
          <t>報告_短期P7-10 AZ107,DD92</t>
        </is>
      </c>
      <c r="I224" s="1708" t="inlineStr">
        <is>
          <t>同じシート内のみ</t>
        </is>
      </c>
    </row>
    <row r="225" spans="1:9" ht="19.95" customHeight="1">
      <c r="A225" s="1755" t="s">
        <v>7</v>
      </c>
      <c r="B225" s="1711" t="s">
        <v>1456</v>
      </c>
      <c r="C225" s="1756" t="str">
        <f>HYPERLINK("#'報告_短期P7-10'!AZ93","AZ93")</f>
        <v>AZ93</v>
      </c>
      <c r="D225" s="1711" t="s">
        <v>1704</v>
      </c>
      <c r="E225" s="1757">
        <f>IF('報告_短期P7-10'!AZ93="","",'報告_短期P7-10'!AZ93)</f>
        <v>0</v>
      </c>
      <c r="F225" s="1711" t="s">
        <v>373</v>
      </c>
      <c r="G225" s="1709" t="str">
        <f t="shared" si="3"/>
        <v>0（確認）</v>
      </c>
      <c r="H225" s="1708" t="inlineStr">
        <is>
          <t>報告_短期P7-10 AZ107,DD93</t>
        </is>
      </c>
      <c r="I225" s="1708" t="inlineStr">
        <is>
          <t>同じシート内のみ</t>
        </is>
      </c>
    </row>
    <row r="226" spans="1:9" ht="19.95" customHeight="1">
      <c r="A226" s="1752" t="s">
        <v>7</v>
      </c>
      <c r="B226" s="1708" t="s">
        <v>1456</v>
      </c>
      <c r="C226" s="1753" t="str">
        <f>HYPERLINK("#'報告_短期P7-10'!AZ94","AZ94")</f>
        <v>AZ94</v>
      </c>
      <c r="D226" s="1708" t="s">
        <v>1705</v>
      </c>
      <c r="E226" s="1754">
        <f>IF('報告_短期P7-10'!AZ94="","",'報告_短期P7-10'!AZ94)</f>
        <v>1000</v>
      </c>
      <c r="F226" s="1708" t="s">
        <v>373</v>
      </c>
      <c r="G226" s="1709" t="str">
        <f t="shared" si="3"/>
        <v>入力済</v>
      </c>
      <c r="H226" s="1708" t="inlineStr">
        <is>
          <t>報告_短期P7-10 AZ107,DD94</t>
        </is>
      </c>
      <c r="I226" s="1708" t="inlineStr">
        <is>
          <t>同じシート内のみ</t>
        </is>
      </c>
    </row>
    <row r="227" spans="1:9" ht="19.95" customHeight="1">
      <c r="A227" s="1755" t="s">
        <v>7</v>
      </c>
      <c r="B227" s="1711" t="s">
        <v>1456</v>
      </c>
      <c r="C227" s="1756" t="str">
        <f>HYPERLINK("#'報告_短期P7-10'!AZ95","AZ95")</f>
        <v>AZ95</v>
      </c>
      <c r="D227" s="1711" t="s">
        <v>90</v>
      </c>
      <c r="E227" s="1757">
        <f>IF('報告_短期P7-10'!AZ95="","",'報告_短期P7-10'!AZ95)</f>
        <v>949754000</v>
      </c>
      <c r="F227" s="1711" t="s">
        <v>373</v>
      </c>
      <c r="G227" s="1709" t="str">
        <f t="shared" si="3"/>
        <v>入力済</v>
      </c>
      <c r="H227" s="1708" t="inlineStr">
        <is>
          <t>報告_短期P7-10 AZ107,DD95</t>
        </is>
      </c>
      <c r="I227" s="1708" t="inlineStr">
        <is>
          <t>同じシート内のみ</t>
        </is>
      </c>
    </row>
    <row r="228" spans="1:9" ht="19.95" customHeight="1">
      <c r="A228" s="1752" t="s">
        <v>7</v>
      </c>
      <c r="B228" s="1708" t="s">
        <v>1456</v>
      </c>
      <c r="C228" s="1753" t="str">
        <f>HYPERLINK("#'報告_短期P7-10'!AZ96","AZ96")</f>
        <v>AZ96</v>
      </c>
      <c r="D228" s="1708" t="s">
        <v>91</v>
      </c>
      <c r="E228" s="1754">
        <f>IF('報告_短期P7-10'!AZ96="","",'報告_短期P7-10'!AZ96)</f>
        <v>1000</v>
      </c>
      <c r="F228" s="1708" t="s">
        <v>373</v>
      </c>
      <c r="G228" s="1709" t="str">
        <f t="shared" si="3"/>
        <v>入力済</v>
      </c>
      <c r="H228" s="1708" t="inlineStr">
        <is>
          <t>報告_短期P7-10 AZ107,DD96</t>
        </is>
      </c>
      <c r="I228" s="1708" t="inlineStr">
        <is>
          <t>同じシート内のみ</t>
        </is>
      </c>
    </row>
    <row r="229" spans="1:9" ht="19.95" customHeight="1">
      <c r="A229" s="1755" t="s">
        <v>7</v>
      </c>
      <c r="B229" s="1711" t="s">
        <v>1456</v>
      </c>
      <c r="C229" s="1756" t="str">
        <f>HYPERLINK("#'報告_短期P7-10'!AZ97","AZ97")</f>
        <v>AZ97</v>
      </c>
      <c r="D229" s="1711" t="s">
        <v>92</v>
      </c>
      <c r="E229" s="1757">
        <f>IF('報告_短期P7-10'!AZ97="","",'報告_短期P7-10'!AZ97)</f>
        <v>85121000</v>
      </c>
      <c r="F229" s="1711" t="s">
        <v>373</v>
      </c>
      <c r="G229" s="1709" t="str">
        <f t="shared" si="3"/>
        <v>入力済</v>
      </c>
      <c r="H229" s="1708" t="inlineStr">
        <is>
          <t>報告_短期P7-10 AZ107,DD97</t>
        </is>
      </c>
      <c r="I229" s="1708" t="inlineStr">
        <is>
          <t>同じシート内のみ</t>
        </is>
      </c>
    </row>
    <row r="230" spans="1:9" ht="19.95" customHeight="1">
      <c r="A230" s="1752" t="s">
        <v>7</v>
      </c>
      <c r="B230" s="1708" t="s">
        <v>1456</v>
      </c>
      <c r="C230" s="1753" t="str">
        <f>HYPERLINK("#'報告_短期P7-10'!AZ98","AZ98")</f>
        <v>AZ98</v>
      </c>
      <c r="D230" s="1708" t="s">
        <v>93</v>
      </c>
      <c r="E230" s="1754">
        <f>IF('報告_短期P7-10'!AZ98="","",'報告_短期P7-10'!AZ98)</f>
        <v>0</v>
      </c>
      <c r="F230" s="1708" t="s">
        <v>373</v>
      </c>
      <c r="G230" s="1709" t="str">
        <f t="shared" si="3"/>
        <v>0（確認）</v>
      </c>
      <c r="H230" s="1708" t="inlineStr">
        <is>
          <t>報告_短期P7-10 AZ107,DD98</t>
        </is>
      </c>
      <c r="I230" s="1708" t="inlineStr">
        <is>
          <t>同じシート内のみ</t>
        </is>
      </c>
    </row>
    <row r="231" spans="1:9" ht="19.95" customHeight="1">
      <c r="A231" s="1755" t="s">
        <v>7</v>
      </c>
      <c r="B231" s="1711" t="s">
        <v>1456</v>
      </c>
      <c r="C231" s="1756" t="str">
        <f>HYPERLINK("#'報告_短期P7-10'!AZ99","AZ99")</f>
        <v>AZ99</v>
      </c>
      <c r="D231" s="1711" t="s">
        <v>94</v>
      </c>
      <c r="E231" s="1757">
        <f>IF('報告_短期P7-10'!AZ99="","",'報告_短期P7-10'!AZ99)</f>
        <v>0</v>
      </c>
      <c r="F231" s="1711" t="s">
        <v>373</v>
      </c>
      <c r="G231" s="1709" t="str">
        <f t="shared" si="3"/>
        <v>0（確認）</v>
      </c>
      <c r="H231" s="1708" t="inlineStr">
        <is>
          <t>報告_短期P7-10 AZ107,DD99</t>
        </is>
      </c>
      <c r="I231" s="1708" t="inlineStr">
        <is>
          <t>同じシート内のみ</t>
        </is>
      </c>
    </row>
    <row r="232" spans="1:9" ht="19.95" customHeight="1">
      <c r="A232" s="1752" t="s">
        <v>7</v>
      </c>
      <c r="B232" s="1708" t="s">
        <v>1456</v>
      </c>
      <c r="C232" s="1753" t="str">
        <f>HYPERLINK("#'報告_短期P7-10'!AZ100","AZ100")</f>
        <v>AZ100</v>
      </c>
      <c r="D232" s="1708" t="s">
        <v>1706</v>
      </c>
      <c r="E232" s="1754">
        <f>IF('報告_短期P7-10'!AZ100="","",'報告_短期P7-10'!AZ100)</f>
        <v>20401000</v>
      </c>
      <c r="F232" s="1708" t="s">
        <v>373</v>
      </c>
      <c r="G232" s="1709" t="str">
        <f t="shared" si="3"/>
        <v>入力済</v>
      </c>
      <c r="H232" s="1708" t="inlineStr">
        <is>
          <t>報告_短期P7-10 AZ102,DD100</t>
        </is>
      </c>
      <c r="I232" s="1708" t="inlineStr">
        <is>
          <t>同じシート内のみ</t>
        </is>
      </c>
    </row>
    <row r="233" spans="1:9" ht="19.95" customHeight="1">
      <c r="A233" s="1755" t="s">
        <v>7</v>
      </c>
      <c r="B233" s="1711" t="s">
        <v>1456</v>
      </c>
      <c r="C233" s="1756" t="str">
        <f>HYPERLINK("#'報告_短期P7-10'!CB100","CB100")</f>
        <v>CB100</v>
      </c>
      <c r="D233" s="1711" t="s">
        <v>1706</v>
      </c>
      <c r="E233" s="1757">
        <f>IF('報告_短期P7-10'!CB100="","",'報告_短期P7-10'!CB100)</f>
        <v>21170108</v>
      </c>
      <c r="F233" s="1711" t="s">
        <v>1644</v>
      </c>
      <c r="G233" s="1709" t="str">
        <f t="shared" si="3"/>
        <v>入力済</v>
      </c>
      <c r="H233" s="1708" t="inlineStr">
        <is>
          <t>報告_短期P7-10 CB102,DD100,FH100</t>
        </is>
      </c>
      <c r="I233" s="1708" t="inlineStr">
        <is>
          <t>報告_短期P11-13、報告_P8グラフデータ、短期_財務諸表、短期_附属明細表 ほか1シート</t>
        </is>
      </c>
    </row>
    <row r="234" spans="1:9" ht="19.95" customHeight="1">
      <c r="A234" s="1752" t="s">
        <v>7</v>
      </c>
      <c r="B234" s="1708" t="s">
        <v>1456</v>
      </c>
      <c r="C234" s="1753" t="str">
        <f>HYPERLINK("#'報告_短期P7-10'!AZ101","AZ101")</f>
        <v>AZ101</v>
      </c>
      <c r="D234" s="1708" t="s">
        <v>96</v>
      </c>
      <c r="E234" s="1754">
        <f>IF('報告_短期P7-10'!AZ101="","",'報告_短期P7-10'!AZ101)</f>
        <v>112207000</v>
      </c>
      <c r="F234" s="1708" t="s">
        <v>373</v>
      </c>
      <c r="G234" s="1709" t="str">
        <f t="shared" si="3"/>
        <v>入力済</v>
      </c>
      <c r="H234" s="1708" t="inlineStr">
        <is>
          <t>報告_短期P7-10 AZ102,DD101</t>
        </is>
      </c>
      <c r="I234" s="1708" t="inlineStr">
        <is>
          <t>同じシート内のみ</t>
        </is>
      </c>
    </row>
    <row r="235" spans="1:9" ht="19.95" customHeight="1">
      <c r="A235" s="1755" t="s">
        <v>7</v>
      </c>
      <c r="B235" s="1711" t="s">
        <v>1456</v>
      </c>
      <c r="C235" s="1756" t="str">
        <f>HYPERLINK("#'報告_短期P7-10'!CB101","CB101")</f>
        <v>CB101</v>
      </c>
      <c r="D235" s="1711" t="s">
        <v>96</v>
      </c>
      <c r="E235" s="1757">
        <f>IF('報告_短期P7-10'!CB101="","",'報告_短期P7-10'!CB101)</f>
        <v>116435930</v>
      </c>
      <c r="F235" s="1711" t="s">
        <v>1644</v>
      </c>
      <c r="G235" s="1709" t="str">
        <f t="shared" si="3"/>
        <v>入力済</v>
      </c>
      <c r="H235" s="1708" t="inlineStr">
        <is>
          <t>報告_短期P7-10 CB102,DD101,FH101</t>
        </is>
      </c>
      <c r="I235" s="1708" t="inlineStr">
        <is>
          <t>報告_短期P11-13、報告_P8グラフデータ、短期_財務諸表、短期_附属明細表 ほか1シート</t>
        </is>
      </c>
    </row>
    <row r="236" spans="1:9" ht="19.95" customHeight="1">
      <c r="A236" s="1752" t="s">
        <v>7</v>
      </c>
      <c r="B236" s="1708" t="s">
        <v>1456</v>
      </c>
      <c r="C236" s="1753" t="str">
        <f>HYPERLINK("#'報告_短期P7-10'!AZ103","AZ103")</f>
        <v>AZ103</v>
      </c>
      <c r="D236" s="1708" t="s">
        <v>1707</v>
      </c>
      <c r="E236" s="1754">
        <f>IF('報告_短期P7-10'!AZ103="","",'報告_短期P7-10'!AZ103)</f>
        <v>10372000</v>
      </c>
      <c r="F236" s="1708" t="s">
        <v>373</v>
      </c>
      <c r="G236" s="1709" t="str">
        <f t="shared" si="3"/>
        <v>入力済</v>
      </c>
      <c r="H236" s="1708" t="inlineStr">
        <is>
          <t>報告_短期P7-10 AZ105,DD103</t>
        </is>
      </c>
      <c r="I236" s="1708" t="inlineStr">
        <is>
          <t>同じシート内のみ</t>
        </is>
      </c>
    </row>
    <row r="237" spans="1:9" ht="19.95" customHeight="1">
      <c r="A237" s="1755" t="s">
        <v>7</v>
      </c>
      <c r="B237" s="1711" t="s">
        <v>1456</v>
      </c>
      <c r="C237" s="1756" t="str">
        <f>HYPERLINK("#'報告_短期P7-10'!CB103","CB103")</f>
        <v>CB103</v>
      </c>
      <c r="D237" s="1711" t="s">
        <v>1707</v>
      </c>
      <c r="E237" s="1757">
        <f>IF('報告_短期P7-10'!CB103="","",'報告_短期P7-10'!CB103)</f>
        <v>10496085</v>
      </c>
      <c r="F237" s="1711" t="s">
        <v>1644</v>
      </c>
      <c r="G237" s="1709" t="str">
        <f t="shared" si="3"/>
        <v>入力済</v>
      </c>
      <c r="H237" s="1708" t="inlineStr">
        <is>
          <t>報告_短期P7-10 CB105,DD103,FH103</t>
        </is>
      </c>
      <c r="I237" s="1708" t="inlineStr">
        <is>
          <t>報告_短期P11-13、報告_P8グラフデータ、短期_財務諸表、短期_附属明細表 ほか1シート</t>
        </is>
      </c>
    </row>
    <row r="238" spans="1:9" ht="19.95" customHeight="1">
      <c r="A238" s="1752" t="s">
        <v>7</v>
      </c>
      <c r="B238" s="1708" t="s">
        <v>1456</v>
      </c>
      <c r="C238" s="1753" t="str">
        <f>HYPERLINK("#'報告_短期P7-10'!AZ104","AZ104")</f>
        <v>AZ104</v>
      </c>
      <c r="D238" s="1708" t="s">
        <v>1708</v>
      </c>
      <c r="E238" s="1754">
        <f>IF('報告_短期P7-10'!AZ104="","",'報告_短期P7-10'!AZ104)</f>
        <v>581347000</v>
      </c>
      <c r="F238" s="1708" t="s">
        <v>373</v>
      </c>
      <c r="G238" s="1709" t="str">
        <f t="shared" si="3"/>
        <v>入力済</v>
      </c>
      <c r="H238" s="1708" t="inlineStr">
        <is>
          <t>報告_短期P7-10 AZ105,DD104</t>
        </is>
      </c>
      <c r="I238" s="1708" t="inlineStr">
        <is>
          <t>同じシート内のみ</t>
        </is>
      </c>
    </row>
    <row r="239" spans="1:9" ht="19.95" customHeight="1">
      <c r="A239" s="1755" t="s">
        <v>7</v>
      </c>
      <c r="B239" s="1711" t="s">
        <v>1456</v>
      </c>
      <c r="C239" s="1756" t="str">
        <f>HYPERLINK("#'報告_短期P7-10'!CB104","CB104")</f>
        <v>CB104</v>
      </c>
      <c r="D239" s="1711" t="s">
        <v>1708</v>
      </c>
      <c r="E239" s="1757">
        <f>IF('報告_短期P7-10'!CB104="","",'報告_短期P7-10'!CB104)</f>
        <v>602043925</v>
      </c>
      <c r="F239" s="1711" t="s">
        <v>1644</v>
      </c>
      <c r="G239" s="1709" t="str">
        <f t="shared" si="3"/>
        <v>入力済</v>
      </c>
      <c r="H239" s="1708" t="inlineStr">
        <is>
          <t>報告_短期P7-10 CB105,DD104,FH104</t>
        </is>
      </c>
      <c r="I239" s="1708" t="inlineStr">
        <is>
          <t>報告_短期P11-13、報告_P8グラフデータ、短期_財務諸表、短期_附属明細表 ほか1シート</t>
        </is>
      </c>
    </row>
    <row r="240" spans="1:9" ht="19.95" customHeight="1">
      <c r="A240" s="1752" t="s">
        <v>7</v>
      </c>
      <c r="B240" s="1708" t="s">
        <v>1456</v>
      </c>
      <c r="C240" s="1753" t="str">
        <f>HYPERLINK("#'報告_短期P7-10'!AZ106","AZ106")</f>
        <v>AZ106</v>
      </c>
      <c r="D240" s="1708" t="s">
        <v>98</v>
      </c>
      <c r="E240" s="1754">
        <f>IF('報告_短期P7-10'!AZ106="","",'報告_短期P7-10'!AZ106)</f>
        <v>13605000</v>
      </c>
      <c r="F240" s="1708" t="s">
        <v>373</v>
      </c>
      <c r="G240" s="1709" t="str">
        <f t="shared" si="3"/>
        <v>入力済</v>
      </c>
      <c r="H240" s="1708" t="inlineStr">
        <is>
          <t>報告_短期P7-10 AZ107,DD106</t>
        </is>
      </c>
      <c r="I240" s="1708" t="inlineStr">
        <is>
          <t>同じシート内のみ</t>
        </is>
      </c>
    </row>
    <row r="241" spans="1:9" ht="19.95" customHeight="1">
      <c r="A241" s="1755" t="s">
        <v>7</v>
      </c>
      <c r="B241" s="1711" t="s">
        <v>1456</v>
      </c>
      <c r="C241" s="1756" t="str">
        <f>HYPERLINK("#'報告_短期P7-10'!AZ108","AZ108")</f>
        <v>AZ108</v>
      </c>
      <c r="D241" s="1711" t="s">
        <v>99</v>
      </c>
      <c r="E241" s="1757">
        <f>IF('報告_短期P7-10'!AZ108="","",'報告_短期P7-10'!AZ108)</f>
        <v>922759000</v>
      </c>
      <c r="F241" s="1711" t="s">
        <v>373</v>
      </c>
      <c r="G241" s="1709" t="str">
        <f t="shared" si="3"/>
        <v>入力済</v>
      </c>
      <c r="H241" s="1708" t="inlineStr">
        <is>
          <t>報告_短期P7-10 AZ110,DD108</t>
        </is>
      </c>
      <c r="I241" s="1708" t="inlineStr">
        <is>
          <t>同じシート内のみ</t>
        </is>
      </c>
    </row>
    <row r="242" spans="1:9" ht="19.95" customHeight="1">
      <c r="A242" s="1752" t="s">
        <v>7</v>
      </c>
      <c r="B242" s="1708" t="s">
        <v>1456</v>
      </c>
      <c r="C242" s="1753" t="str">
        <f>HYPERLINK("#'報告_短期P7-10'!AZ109","AZ109")</f>
        <v>AZ109</v>
      </c>
      <c r="D242" s="1708" t="s">
        <v>1709</v>
      </c>
      <c r="E242" s="1754">
        <f>IF('報告_短期P7-10'!AZ109="","",'報告_短期P7-10'!AZ109)</f>
        <v>0</v>
      </c>
      <c r="F242" s="1708" t="s">
        <v>373</v>
      </c>
      <c r="G242" s="1709" t="str">
        <f t="shared" si="3"/>
        <v>0（確認）</v>
      </c>
      <c r="H242" s="1708" t="inlineStr">
        <is>
          <t>報告_短期P7-10 AZ110,DD109</t>
        </is>
      </c>
      <c r="I242" s="1708" t="inlineStr">
        <is>
          <t>同じシート内のみ</t>
        </is>
      </c>
    </row>
    <row r="243" spans="1:9" ht="19.95" customHeight="1">
      <c r="A243" s="1755" t="s">
        <v>7</v>
      </c>
      <c r="B243" s="1711" t="s">
        <v>1456</v>
      </c>
      <c r="C243" s="1756" t="str">
        <f>HYPERLINK("#'報告_短期P7-10'!AZ136","AZ136")</f>
        <v>AZ136</v>
      </c>
      <c r="D243" s="1711" t="s">
        <v>1710</v>
      </c>
      <c r="E243" s="1757">
        <f>IF('報告_短期P7-10'!AZ136="","",'報告_短期P7-10'!AZ136)</f>
        <v>1576</v>
      </c>
      <c r="F243" s="1711" t="s">
        <v>373</v>
      </c>
      <c r="G243" s="1709" t="str">
        <f t="shared" si="3"/>
        <v>入力済</v>
      </c>
      <c r="H243" s="1708" t="inlineStr">
        <is>
          <t>報告_短期P7-10 AZ144、報告_短期P11-13 DL4,DL43</t>
        </is>
      </c>
      <c r="I243" s="1708" t="inlineStr">
        <is>
          <t>報告_短期P11-13</t>
        </is>
      </c>
    </row>
    <row r="244" spans="1:9" ht="19.95" customHeight="1">
      <c r="A244" s="1752" t="s">
        <v>7</v>
      </c>
      <c r="B244" s="1708" t="s">
        <v>1456</v>
      </c>
      <c r="C244" s="1753" t="str">
        <f>HYPERLINK("#'報告_短期P7-10'!BW136","BW136")</f>
        <v>BW136</v>
      </c>
      <c r="D244" s="1708" t="s">
        <v>1711</v>
      </c>
      <c r="E244" s="1754">
        <f>IF('報告_短期P7-10'!BW136="","",'報告_短期P7-10'!BW136)</f>
        <v>11459</v>
      </c>
      <c r="F244" s="1708" t="s">
        <v>1644</v>
      </c>
      <c r="G244" s="1709" t="str">
        <f t="shared" si="3"/>
        <v>入力済</v>
      </c>
      <c r="H244" s="1708" t="inlineStr">
        <is>
          <t>報告_短期P7-10 BW144、報告_短期P11-13 EI4,EI43</t>
        </is>
      </c>
      <c r="I244" s="1708" t="inlineStr">
        <is>
          <t>報告_短期P11-13</t>
        </is>
      </c>
    </row>
    <row r="245" spans="1:9" ht="19.95" customHeight="1">
      <c r="A245" s="1755" t="s">
        <v>7</v>
      </c>
      <c r="B245" s="1711" t="s">
        <v>1456</v>
      </c>
      <c r="C245" s="1756" t="str">
        <f>HYPERLINK("#'報告_短期P7-10'!CP136","CP136")</f>
        <v>CP136</v>
      </c>
      <c r="D245" s="1711" t="s">
        <v>1712</v>
      </c>
      <c r="E245" s="1757">
        <f>IF('報告_短期P7-10'!CP136="","",'報告_短期P7-10'!CP136)</f>
        <v>574813579</v>
      </c>
      <c r="F245" s="1711" t="s">
        <v>1644</v>
      </c>
      <c r="G245" s="1709" t="str">
        <f t="shared" si="3"/>
        <v>入力済</v>
      </c>
      <c r="H245" s="1708" t="inlineStr">
        <is>
          <t>報告_短期P7-10 CP144、報告_短期P11-13 FB4,FB43</t>
        </is>
      </c>
      <c r="I245" s="1708" t="inlineStr">
        <is>
          <t>報告_短期P11-13</t>
        </is>
      </c>
    </row>
    <row r="246" spans="1:9" ht="19.95" customHeight="1">
      <c r="A246" s="1752" t="s">
        <v>7</v>
      </c>
      <c r="B246" s="1708" t="s">
        <v>1456</v>
      </c>
      <c r="C246" s="1753" t="str">
        <f>HYPERLINK("#'報告_短期P7-10'!AZ137","AZ137")</f>
        <v>AZ137</v>
      </c>
      <c r="D246" s="1708" t="s">
        <v>1713</v>
      </c>
      <c r="E246" s="1754">
        <f>IF('報告_短期P7-10'!AZ137="","",'報告_短期P7-10'!AZ137)</f>
        <v>153520</v>
      </c>
      <c r="F246" s="1708" t="s">
        <v>373</v>
      </c>
      <c r="G246" s="1709" t="str">
        <f t="shared" si="3"/>
        <v>入力済</v>
      </c>
      <c r="H246" s="1708" t="inlineStr">
        <is>
          <t>報告_短期P7-10 AZ144、報告_短期P11-13 DL5,DL44</t>
        </is>
      </c>
      <c r="I246" s="1708" t="inlineStr">
        <is>
          <t>報告_短期P11-13</t>
        </is>
      </c>
    </row>
    <row r="247" spans="1:9" ht="19.95" customHeight="1">
      <c r="A247" s="1755" t="s">
        <v>7</v>
      </c>
      <c r="B247" s="1711" t="s">
        <v>1456</v>
      </c>
      <c r="C247" s="1756" t="str">
        <f>HYPERLINK("#'報告_短期P7-10'!BW137","BW137")</f>
        <v>BW137</v>
      </c>
      <c r="D247" s="1711" t="s">
        <v>1714</v>
      </c>
      <c r="E247" s="1757">
        <f>IF('報告_短期P7-10'!BW137="","",'報告_短期P7-10'!BW137)</f>
        <v>208152</v>
      </c>
      <c r="F247" s="1711" t="s">
        <v>1644</v>
      </c>
      <c r="G247" s="1709" t="str">
        <f t="shared" si="3"/>
        <v>入力済</v>
      </c>
      <c r="H247" s="1708" t="inlineStr">
        <is>
          <t>報告_短期P7-10 BW144、報告_短期P11-13 EI5,EI44</t>
        </is>
      </c>
      <c r="I247" s="1708" t="inlineStr">
        <is>
          <t>報告_短期P11-13</t>
        </is>
      </c>
    </row>
    <row r="248" spans="1:9" ht="19.95" customHeight="1">
      <c r="A248" s="1752" t="s">
        <v>7</v>
      </c>
      <c r="B248" s="1708" t="s">
        <v>1456</v>
      </c>
      <c r="C248" s="1753" t="str">
        <f>HYPERLINK("#'報告_短期P7-10'!CP137","CP137")</f>
        <v>CP137</v>
      </c>
      <c r="D248" s="1708" t="s">
        <v>1715</v>
      </c>
      <c r="E248" s="1754">
        <f>IF('報告_短期P7-10'!CP137="","",'報告_短期P7-10'!CP137)</f>
        <v>1316199270</v>
      </c>
      <c r="F248" s="1708" t="s">
        <v>1644</v>
      </c>
      <c r="G248" s="1709" t="str">
        <f t="shared" si="3"/>
        <v>入力済</v>
      </c>
      <c r="H248" s="1708" t="inlineStr">
        <is>
          <t>報告_短期P7-10 CP144、報告_短期P11-13 FB5,FB44</t>
        </is>
      </c>
      <c r="I248" s="1708" t="inlineStr">
        <is>
          <t>報告_短期P11-13</t>
        </is>
      </c>
    </row>
    <row r="249" spans="1:9" ht="19.95" customHeight="1">
      <c r="A249" s="1755" t="s">
        <v>7</v>
      </c>
      <c r="B249" s="1711" t="s">
        <v>1456</v>
      </c>
      <c r="C249" s="1756" t="str">
        <f>HYPERLINK("#'報告_短期P7-10'!AZ138","AZ138")</f>
        <v>AZ138</v>
      </c>
      <c r="D249" s="1711" t="s">
        <v>1716</v>
      </c>
      <c r="E249" s="1757">
        <f>IF('報告_短期P7-10'!AZ138="","",'報告_短期P7-10'!AZ138)</f>
        <v>42061</v>
      </c>
      <c r="F249" s="1711" t="s">
        <v>373</v>
      </c>
      <c r="G249" s="1709" t="str">
        <f t="shared" si="3"/>
        <v>入力済</v>
      </c>
      <c r="H249" s="1708" t="inlineStr">
        <is>
          <t>報告_短期P7-10 AZ144、報告_短期P11-13 DL6,DL45</t>
        </is>
      </c>
      <c r="I249" s="1708" t="inlineStr">
        <is>
          <t>報告_短期P11-13</t>
        </is>
      </c>
    </row>
    <row r="250" spans="1:9" ht="19.95" customHeight="1">
      <c r="A250" s="1752" t="s">
        <v>7</v>
      </c>
      <c r="B250" s="1708" t="s">
        <v>1456</v>
      </c>
      <c r="C250" s="1753" t="str">
        <f>HYPERLINK("#'報告_短期P7-10'!BW138","BW138")</f>
        <v>BW138</v>
      </c>
      <c r="D250" s="1708" t="s">
        <v>1717</v>
      </c>
      <c r="E250" s="1754">
        <f>IF('報告_短期P7-10'!BW138="","",'報告_短期P7-10'!BW138)</f>
        <v>59708</v>
      </c>
      <c r="F250" s="1708" t="s">
        <v>1644</v>
      </c>
      <c r="G250" s="1709" t="str">
        <f t="shared" si="3"/>
        <v>入力済</v>
      </c>
      <c r="H250" s="1708" t="inlineStr">
        <is>
          <t>報告_短期P7-10 BW144、報告_短期P11-13 EI6,EI45</t>
        </is>
      </c>
      <c r="I250" s="1708" t="inlineStr">
        <is>
          <t>報告_短期P11-13</t>
        </is>
      </c>
    </row>
    <row r="251" spans="1:9" ht="19.95" customHeight="1">
      <c r="A251" s="1755" t="s">
        <v>7</v>
      </c>
      <c r="B251" s="1711" t="s">
        <v>1456</v>
      </c>
      <c r="C251" s="1756" t="str">
        <f>HYPERLINK("#'報告_短期P7-10'!CP138","CP138")</f>
        <v>CP138</v>
      </c>
      <c r="D251" s="1711" t="s">
        <v>1718</v>
      </c>
      <c r="E251" s="1757">
        <f>IF('報告_短期P7-10'!CP138="","",'報告_短期P7-10'!CP138)</f>
        <v>376468225</v>
      </c>
      <c r="F251" s="1711" t="s">
        <v>1644</v>
      </c>
      <c r="G251" s="1709" t="str">
        <f t="shared" si="3"/>
        <v>入力済</v>
      </c>
      <c r="H251" s="1708" t="inlineStr">
        <is>
          <t>報告_短期P7-10 CP144、報告_短期P11-13 FB6,FB45</t>
        </is>
      </c>
      <c r="I251" s="1708" t="inlineStr">
        <is>
          <t>報告_短期P11-13</t>
        </is>
      </c>
    </row>
    <row r="252" spans="1:9" ht="19.95" customHeight="1">
      <c r="A252" s="1752" t="s">
        <v>7</v>
      </c>
      <c r="B252" s="1708" t="s">
        <v>1456</v>
      </c>
      <c r="C252" s="1753" t="str">
        <f>HYPERLINK("#'報告_短期P7-10'!AZ139","AZ139")</f>
        <v>AZ139</v>
      </c>
      <c r="D252" s="1708" t="s">
        <v>1719</v>
      </c>
      <c r="E252" s="1754">
        <f>IF('報告_短期P7-10'!AZ139="","",'報告_短期P7-10'!AZ139)</f>
        <v>1312</v>
      </c>
      <c r="F252" s="1708" t="s">
        <v>373</v>
      </c>
      <c r="G252" s="1709" t="str">
        <f t="shared" si="3"/>
        <v>入力済</v>
      </c>
      <c r="H252" s="1708" t="inlineStr">
        <is>
          <t>報告_短期P11-13 DL7,DL46</t>
        </is>
      </c>
      <c r="I252" s="1708" t="inlineStr">
        <is>
          <t>報告_短期P11-13</t>
        </is>
      </c>
    </row>
    <row r="253" spans="1:9" ht="19.95" customHeight="1">
      <c r="A253" s="1755" t="s">
        <v>7</v>
      </c>
      <c r="B253" s="1711" t="s">
        <v>1456</v>
      </c>
      <c r="C253" s="1756" t="str">
        <f>HYPERLINK("#'報告_短期P7-10'!BW139","BW139")</f>
        <v>BW139</v>
      </c>
      <c r="D253" s="1711" t="s">
        <v>1720</v>
      </c>
      <c r="E253" s="1757">
        <f>IF('報告_短期P7-10'!BW139="","",'報告_短期P7-10'!BW139)</f>
        <v>24331</v>
      </c>
      <c r="F253" s="1711" t="s">
        <v>1644</v>
      </c>
      <c r="G253" s="1709" t="str">
        <f t="shared" si="3"/>
        <v>入力済</v>
      </c>
      <c r="H253" s="1708" t="inlineStr">
        <is>
          <t>報告_短期P11-13 EI7,EI46</t>
        </is>
      </c>
      <c r="I253" s="1708" t="inlineStr">
        <is>
          <t>報告_短期P11-13</t>
        </is>
      </c>
    </row>
    <row r="254" spans="1:9" ht="19.95" customHeight="1">
      <c r="A254" s="1752" t="s">
        <v>7</v>
      </c>
      <c r="B254" s="1708" t="s">
        <v>1456</v>
      </c>
      <c r="C254" s="1753" t="str">
        <f>HYPERLINK("#'報告_短期P7-10'!CP139","CP139")</f>
        <v>CP139</v>
      </c>
      <c r="D254" s="1708" t="s">
        <v>1721</v>
      </c>
      <c r="E254" s="1754">
        <f>IF('報告_短期P7-10'!CP139="","",'報告_短期P7-10'!CP139)</f>
        <v>5084491</v>
      </c>
      <c r="F254" s="1708" t="s">
        <v>1644</v>
      </c>
      <c r="G254" s="1709" t="str">
        <f t="shared" si="3"/>
        <v>入力済</v>
      </c>
      <c r="H254" s="1708" t="inlineStr">
        <is>
          <t>報告_短期P7-10 CP144、報告_短期P11-13 FB7,FB46</t>
        </is>
      </c>
      <c r="I254" s="1708" t="inlineStr">
        <is>
          <t>報告_短期P11-13</t>
        </is>
      </c>
    </row>
    <row r="255" spans="1:9" ht="19.95" customHeight="1">
      <c r="A255" s="1755" t="s">
        <v>7</v>
      </c>
      <c r="B255" s="1711" t="s">
        <v>1456</v>
      </c>
      <c r="C255" s="1756" t="str">
        <f>HYPERLINK("#'報告_短期P7-10'!AZ141","AZ141")</f>
        <v>AZ141</v>
      </c>
      <c r="D255" s="1711" t="s">
        <v>1722</v>
      </c>
      <c r="E255" s="1757">
        <f>IF('報告_短期P7-10'!AZ141="","",'報告_短期P7-10'!AZ141)</f>
        <v>106878</v>
      </c>
      <c r="F255" s="1711" t="s">
        <v>373</v>
      </c>
      <c r="G255" s="1709" t="str">
        <f t="shared" si="3"/>
        <v>入力済</v>
      </c>
      <c r="H255" s="1708" t="inlineStr">
        <is>
          <t>報告_短期P11-13 DL9,DL48</t>
        </is>
      </c>
      <c r="I255" s="1708" t="inlineStr">
        <is>
          <t>報告_短期P11-13</t>
        </is>
      </c>
    </row>
    <row r="256" spans="1:9" ht="19.95" customHeight="1">
      <c r="A256" s="1752" t="s">
        <v>7</v>
      </c>
      <c r="B256" s="1708" t="s">
        <v>1456</v>
      </c>
      <c r="C256" s="1753" t="str">
        <f>HYPERLINK("#'報告_短期P7-10'!BW141","BW141")</f>
        <v>BW141</v>
      </c>
      <c r="D256" s="1708" t="s">
        <v>1723</v>
      </c>
      <c r="E256" s="1754">
        <f>IF('報告_短期P7-10'!BW141="","",'報告_短期P7-10'!BW141)</f>
        <v>122721</v>
      </c>
      <c r="F256" s="1708" t="s">
        <v>1644</v>
      </c>
      <c r="G256" s="1709" t="str">
        <f t="shared" si="3"/>
        <v>入力済</v>
      </c>
      <c r="H256" s="1708" t="inlineStr">
        <is>
          <t>報告_短期P11-13 EI9,EI48</t>
        </is>
      </c>
      <c r="I256" s="1708" t="inlineStr">
        <is>
          <t>報告_短期P11-13</t>
        </is>
      </c>
    </row>
    <row r="257" spans="1:9" ht="19.95" customHeight="1">
      <c r="A257" s="1755" t="s">
        <v>7</v>
      </c>
      <c r="B257" s="1711" t="s">
        <v>1456</v>
      </c>
      <c r="C257" s="1756" t="str">
        <f>HYPERLINK("#'報告_短期P7-10'!CP141","CP141")</f>
        <v>CP141</v>
      </c>
      <c r="D257" s="1711" t="s">
        <v>1724</v>
      </c>
      <c r="E257" s="1757">
        <f>IF('報告_短期P7-10'!CP141="","",'報告_短期P7-10'!CP141)</f>
        <v>689489860</v>
      </c>
      <c r="F257" s="1711" t="s">
        <v>1644</v>
      </c>
      <c r="G257" s="1709" t="str">
        <f t="shared" si="3"/>
        <v>入力済</v>
      </c>
      <c r="H257" s="1708" t="inlineStr">
        <is>
          <t>報告_短期P7-10 CP144、報告_短期P11-13 FB9,FB48</t>
        </is>
      </c>
      <c r="I257" s="1708" t="inlineStr">
        <is>
          <t>報告_短期P11-13</t>
        </is>
      </c>
    </row>
    <row r="258" spans="1:9" ht="19.95" customHeight="1">
      <c r="A258" s="1752" t="s">
        <v>7</v>
      </c>
      <c r="B258" s="1708" t="s">
        <v>1456</v>
      </c>
      <c r="C258" s="1753" t="str">
        <f>HYPERLINK("#'報告_短期P7-10'!AZ142","AZ142")</f>
        <v>AZ142</v>
      </c>
      <c r="D258" s="1708" t="s">
        <v>1725</v>
      </c>
      <c r="E258" s="1754">
        <f>IF('報告_短期P7-10'!AZ142="","",'報告_短期P7-10'!AZ142)</f>
        <v>219</v>
      </c>
      <c r="F258" s="1708" t="s">
        <v>373</v>
      </c>
      <c r="G258" s="1709" t="str">
        <f t="shared" si="3"/>
        <v>入力済</v>
      </c>
      <c r="H258" s="1708" t="inlineStr">
        <is>
          <t>報告_短期P11-13 DL10,DL49</t>
        </is>
      </c>
      <c r="I258" s="1708" t="inlineStr">
        <is>
          <t>報告_短期P11-13</t>
        </is>
      </c>
    </row>
    <row r="259" spans="1:9" ht="19.95" customHeight="1">
      <c r="A259" s="1755" t="s">
        <v>7</v>
      </c>
      <c r="B259" s="1711" t="s">
        <v>1456</v>
      </c>
      <c r="C259" s="1756" t="str">
        <f>HYPERLINK("#'報告_短期P7-10'!BW142","BW142")</f>
        <v>BW142</v>
      </c>
      <c r="D259" s="1711" t="s">
        <v>1726</v>
      </c>
      <c r="E259" s="1757">
        <f>IF('報告_短期P7-10'!BW142="","",'報告_短期P7-10'!BW142)</f>
        <v>1235</v>
      </c>
      <c r="F259" s="1711" t="s">
        <v>1644</v>
      </c>
      <c r="G259" s="1709" t="str">
        <f t="shared" si="3"/>
        <v>入力済</v>
      </c>
      <c r="H259" s="1708" t="inlineStr">
        <is>
          <t>報告_短期P7-10 BW144、報告_短期P11-13 EI10,EI49</t>
        </is>
      </c>
      <c r="I259" s="1708" t="inlineStr">
        <is>
          <t>報告_短期P11-13</t>
        </is>
      </c>
    </row>
    <row r="260" spans="1:9" ht="19.95" customHeight="1">
      <c r="A260" s="1752" t="s">
        <v>7</v>
      </c>
      <c r="B260" s="1708" t="s">
        <v>1456</v>
      </c>
      <c r="C260" s="1753" t="str">
        <f>HYPERLINK("#'報告_短期P7-10'!AZ143","AZ143")</f>
        <v>AZ143</v>
      </c>
      <c r="D260" s="1708" t="s">
        <v>1727</v>
      </c>
      <c r="E260" s="1754">
        <f>IF('報告_短期P7-10'!AZ143="","",'報告_短期P7-10'!AZ143)</f>
        <v>0</v>
      </c>
      <c r="F260" s="1708" t="s">
        <v>373</v>
      </c>
      <c r="G260" s="1709" t="str">
        <f t="shared" si="3"/>
        <v>0（確認）</v>
      </c>
      <c r="H260" s="1708" t="inlineStr">
        <is>
          <t>報告_短期P7-10 AZ144、報告_短期P11-13 DL11,DL50</t>
        </is>
      </c>
      <c r="I260" s="1708" t="inlineStr">
        <is>
          <t>報告_短期P11-13</t>
        </is>
      </c>
    </row>
    <row r="261" spans="1:9" ht="19.95" customHeight="1">
      <c r="A261" s="1755" t="s">
        <v>7</v>
      </c>
      <c r="B261" s="1711" t="s">
        <v>1456</v>
      </c>
      <c r="C261" s="1756" t="str">
        <f>HYPERLINK("#'報告_短期P7-10'!CP143","CP143")</f>
        <v>CP143</v>
      </c>
      <c r="D261" s="1711" t="s">
        <v>1728</v>
      </c>
      <c r="E261" s="1757">
        <f>IF('報告_短期P7-10'!CP143="","",'報告_短期P7-10'!CP143)</f>
        <v>0</v>
      </c>
      <c r="F261" s="1711" t="s">
        <v>1644</v>
      </c>
      <c r="G261" s="1709" t="str">
        <f t="shared" si="3"/>
        <v>0（確認）</v>
      </c>
      <c r="H261" s="1708" t="inlineStr">
        <is>
          <t>報告_短期P7-10 CP144、報告_短期P11-13 FB11,FB50</t>
        </is>
      </c>
      <c r="I261" s="1708" t="inlineStr">
        <is>
          <t>報告_短期P11-13</t>
        </is>
      </c>
    </row>
    <row r="262" spans="1:9" ht="19.95" customHeight="1">
      <c r="A262" s="1752" t="s">
        <v>7</v>
      </c>
      <c r="B262" s="1708" t="s">
        <v>1456</v>
      </c>
      <c r="C262" s="1753" t="str">
        <f>HYPERLINK("#'報告_短期P7-10'!AZ145","AZ145")</f>
        <v>AZ145</v>
      </c>
      <c r="D262" s="1708" t="s">
        <v>1729</v>
      </c>
      <c r="E262" s="1754">
        <f>IF('報告_短期P7-10'!AZ145="","",'報告_短期P7-10'!AZ145)</f>
        <v>965</v>
      </c>
      <c r="F262" s="1708" t="s">
        <v>373</v>
      </c>
      <c r="G262" s="1709" t="str">
        <f t="shared" ref="G262:G325" si="4">IF(E262="","未入力（空欄）",IF(E262=0,"0（確認）","入力済"))</f>
        <v>入力済</v>
      </c>
      <c r="H262" s="1708" t="inlineStr">
        <is>
          <t>報告_短期P7-10 AZ153、報告_短期P11-13 DL13,DL52</t>
        </is>
      </c>
      <c r="I262" s="1708" t="inlineStr">
        <is>
          <t>報告_短期P11-13</t>
        </is>
      </c>
    </row>
    <row r="263" spans="1:9" ht="19.95" customHeight="1">
      <c r="A263" s="1755" t="s">
        <v>7</v>
      </c>
      <c r="B263" s="1711" t="s">
        <v>1456</v>
      </c>
      <c r="C263" s="1756" t="str">
        <f>HYPERLINK("#'報告_短期P7-10'!BW145","BW145")</f>
        <v>BW145</v>
      </c>
      <c r="D263" s="1711" t="s">
        <v>1730</v>
      </c>
      <c r="E263" s="1757">
        <f>IF('報告_短期P7-10'!BW145="","",'報告_短期P7-10'!BW145)</f>
        <v>9143</v>
      </c>
      <c r="F263" s="1711" t="s">
        <v>1644</v>
      </c>
      <c r="G263" s="1709" t="str">
        <f t="shared" si="4"/>
        <v>入力済</v>
      </c>
      <c r="H263" s="1708" t="inlineStr">
        <is>
          <t>報告_短期P7-10 BW153、報告_短期P11-13 EI13,EI52</t>
        </is>
      </c>
      <c r="I263" s="1708" t="inlineStr">
        <is>
          <t>報告_短期P11-13</t>
        </is>
      </c>
    </row>
    <row r="264" spans="1:9" ht="19.95" customHeight="1">
      <c r="A264" s="1752" t="s">
        <v>7</v>
      </c>
      <c r="B264" s="1708" t="s">
        <v>1456</v>
      </c>
      <c r="C264" s="1753" t="str">
        <f>HYPERLINK("#'報告_短期P7-10'!CP145","CP145")</f>
        <v>CP145</v>
      </c>
      <c r="D264" s="1708" t="s">
        <v>1731</v>
      </c>
      <c r="E264" s="1754">
        <f>IF('報告_短期P7-10'!CP145="","",'報告_短期P7-10'!CP145)</f>
        <v>396509932</v>
      </c>
      <c r="F264" s="1708" t="s">
        <v>1644</v>
      </c>
      <c r="G264" s="1709" t="str">
        <f t="shared" si="4"/>
        <v>入力済</v>
      </c>
      <c r="H264" s="1708" t="inlineStr">
        <is>
          <t>報告_短期P7-10 CP153、報告_短期P11-13 FB13,FB52</t>
        </is>
      </c>
      <c r="I264" s="1708" t="inlineStr">
        <is>
          <t>報告_短期P11-13</t>
        </is>
      </c>
    </row>
    <row r="265" spans="1:9" ht="19.95" customHeight="1">
      <c r="A265" s="1755" t="s">
        <v>7</v>
      </c>
      <c r="B265" s="1711" t="s">
        <v>1456</v>
      </c>
      <c r="C265" s="1756" t="str">
        <f>HYPERLINK("#'報告_短期P7-10'!AZ146","AZ146")</f>
        <v>AZ146</v>
      </c>
      <c r="D265" s="1711" t="s">
        <v>1732</v>
      </c>
      <c r="E265" s="1757">
        <f>IF('報告_短期P7-10'!AZ146="","",'報告_短期P7-10'!AZ146)</f>
        <v>84951</v>
      </c>
      <c r="F265" s="1711" t="s">
        <v>373</v>
      </c>
      <c r="G265" s="1709" t="str">
        <f t="shared" si="4"/>
        <v>入力済</v>
      </c>
      <c r="H265" s="1708" t="inlineStr">
        <is>
          <t>報告_短期P7-10 AZ153、報告_短期P11-13 DL14,DL53</t>
        </is>
      </c>
      <c r="I265" s="1708" t="inlineStr">
        <is>
          <t>報告_短期P11-13</t>
        </is>
      </c>
    </row>
    <row r="266" spans="1:9" ht="19.95" customHeight="1">
      <c r="A266" s="1752" t="s">
        <v>7</v>
      </c>
      <c r="B266" s="1708" t="s">
        <v>1456</v>
      </c>
      <c r="C266" s="1753" t="str">
        <f>HYPERLINK("#'報告_短期P7-10'!BW146","BW146")</f>
        <v>BW146</v>
      </c>
      <c r="D266" s="1708" t="s">
        <v>1733</v>
      </c>
      <c r="E266" s="1754">
        <f>IF('報告_短期P7-10'!BW146="","",'報告_短期P7-10'!BW146)</f>
        <v>116061</v>
      </c>
      <c r="F266" s="1708" t="s">
        <v>1644</v>
      </c>
      <c r="G266" s="1709" t="str">
        <f t="shared" si="4"/>
        <v>入力済</v>
      </c>
      <c r="H266" s="1708" t="inlineStr">
        <is>
          <t>報告_短期P7-10 BW153、報告_短期P11-13 EI14,EI53</t>
        </is>
      </c>
      <c r="I266" s="1708" t="inlineStr">
        <is>
          <t>報告_短期P11-13</t>
        </is>
      </c>
    </row>
    <row r="267" spans="1:9" ht="19.95" customHeight="1">
      <c r="A267" s="1755" t="s">
        <v>7</v>
      </c>
      <c r="B267" s="1711" t="s">
        <v>1456</v>
      </c>
      <c r="C267" s="1756" t="str">
        <f>HYPERLINK("#'報告_短期P7-10'!CP146","CP146")</f>
        <v>CP146</v>
      </c>
      <c r="D267" s="1711" t="s">
        <v>1734</v>
      </c>
      <c r="E267" s="1757">
        <f>IF('報告_短期P7-10'!CP146="","",'報告_短期P7-10'!CP146)</f>
        <v>653895303</v>
      </c>
      <c r="F267" s="1711" t="s">
        <v>1644</v>
      </c>
      <c r="G267" s="1709" t="str">
        <f t="shared" si="4"/>
        <v>入力済</v>
      </c>
      <c r="H267" s="1708" t="inlineStr">
        <is>
          <t>報告_短期P7-10 CP153、報告_短期P11-13 FB14,FB53</t>
        </is>
      </c>
      <c r="I267" s="1708" t="inlineStr">
        <is>
          <t>報告_短期P11-13</t>
        </is>
      </c>
    </row>
    <row r="268" spans="1:9" ht="19.95" customHeight="1">
      <c r="A268" s="1752" t="s">
        <v>7</v>
      </c>
      <c r="B268" s="1708" t="s">
        <v>1456</v>
      </c>
      <c r="C268" s="1753" t="str">
        <f>HYPERLINK("#'報告_短期P7-10'!AZ147","AZ147")</f>
        <v>AZ147</v>
      </c>
      <c r="D268" s="1708" t="s">
        <v>1735</v>
      </c>
      <c r="E268" s="1754">
        <f>IF('報告_短期P7-10'!AZ147="","",'報告_短期P7-10'!AZ147)</f>
        <v>21961</v>
      </c>
      <c r="F268" s="1708" t="s">
        <v>373</v>
      </c>
      <c r="G268" s="1709" t="str">
        <f t="shared" si="4"/>
        <v>入力済</v>
      </c>
      <c r="H268" s="1708" t="inlineStr">
        <is>
          <t>報告_短期P7-10 AZ153、報告_短期P11-13 DL15,DL54</t>
        </is>
      </c>
      <c r="I268" s="1708" t="inlineStr">
        <is>
          <t>報告_短期P11-13</t>
        </is>
      </c>
    </row>
    <row r="269" spans="1:9" ht="19.95" customHeight="1">
      <c r="A269" s="1755" t="s">
        <v>7</v>
      </c>
      <c r="B269" s="1711" t="s">
        <v>1456</v>
      </c>
      <c r="C269" s="1756" t="str">
        <f>HYPERLINK("#'報告_短期P7-10'!BW147","BW147")</f>
        <v>BW147</v>
      </c>
      <c r="D269" s="1711" t="s">
        <v>1736</v>
      </c>
      <c r="E269" s="1757">
        <f>IF('報告_短期P7-10'!BW147="","",'報告_短期P7-10'!BW147)</f>
        <v>27855</v>
      </c>
      <c r="F269" s="1711" t="s">
        <v>1644</v>
      </c>
      <c r="G269" s="1709" t="str">
        <f t="shared" si="4"/>
        <v>入力済</v>
      </c>
      <c r="H269" s="1708" t="inlineStr">
        <is>
          <t>報告_短期P7-10 BW153、報告_短期P11-13 EI15,EI54</t>
        </is>
      </c>
      <c r="I269" s="1708" t="inlineStr">
        <is>
          <t>報告_短期P11-13</t>
        </is>
      </c>
    </row>
    <row r="270" spans="1:9" ht="19.95" customHeight="1">
      <c r="A270" s="1752" t="s">
        <v>7</v>
      </c>
      <c r="B270" s="1708" t="s">
        <v>1456</v>
      </c>
      <c r="C270" s="1753" t="str">
        <f>HYPERLINK("#'報告_短期P7-10'!CP147","CP147")</f>
        <v>CP147</v>
      </c>
      <c r="D270" s="1708" t="s">
        <v>1737</v>
      </c>
      <c r="E270" s="1754">
        <f>IF('報告_短期P7-10'!CP147="","",'報告_短期P7-10'!CP147)</f>
        <v>178023048</v>
      </c>
      <c r="F270" s="1708" t="s">
        <v>1644</v>
      </c>
      <c r="G270" s="1709" t="str">
        <f t="shared" si="4"/>
        <v>入力済</v>
      </c>
      <c r="H270" s="1708" t="inlineStr">
        <is>
          <t>報告_短期P7-10 CP153、報告_短期P11-13 FB15,FB54</t>
        </is>
      </c>
      <c r="I270" s="1708" t="inlineStr">
        <is>
          <t>報告_短期P11-13</t>
        </is>
      </c>
    </row>
    <row r="271" spans="1:9" ht="19.95" customHeight="1">
      <c r="A271" s="1755" t="s">
        <v>7</v>
      </c>
      <c r="B271" s="1711" t="s">
        <v>1456</v>
      </c>
      <c r="C271" s="1756" t="str">
        <f>HYPERLINK("#'報告_短期P7-10'!AZ148","AZ148")</f>
        <v>AZ148</v>
      </c>
      <c r="D271" s="1711" t="s">
        <v>1738</v>
      </c>
      <c r="E271" s="1757">
        <f>IF('報告_短期P7-10'!AZ148="","",'報告_短期P7-10'!AZ148)</f>
        <v>813</v>
      </c>
      <c r="F271" s="1711" t="s">
        <v>373</v>
      </c>
      <c r="G271" s="1709" t="str">
        <f t="shared" si="4"/>
        <v>入力済</v>
      </c>
      <c r="H271" s="1708" t="inlineStr">
        <is>
          <t>報告_短期P11-13 DL16,DL55</t>
        </is>
      </c>
      <c r="I271" s="1708" t="inlineStr">
        <is>
          <t>報告_短期P11-13</t>
        </is>
      </c>
    </row>
    <row r="272" spans="1:9" ht="19.95" customHeight="1">
      <c r="A272" s="1752" t="s">
        <v>7</v>
      </c>
      <c r="B272" s="1708" t="s">
        <v>1456</v>
      </c>
      <c r="C272" s="1753" t="str">
        <f>HYPERLINK("#'報告_短期P7-10'!BW148","BW148")</f>
        <v>BW148</v>
      </c>
      <c r="D272" s="1708" t="s">
        <v>1739</v>
      </c>
      <c r="E272" s="1754">
        <f>IF('報告_短期P7-10'!BW148="","",'報告_短期P7-10'!BW148)</f>
        <v>20430</v>
      </c>
      <c r="F272" s="1708" t="s">
        <v>1644</v>
      </c>
      <c r="G272" s="1709" t="str">
        <f t="shared" si="4"/>
        <v>入力済</v>
      </c>
      <c r="H272" s="1708" t="inlineStr">
        <is>
          <t>報告_短期P11-13 EI16,EI55</t>
        </is>
      </c>
      <c r="I272" s="1708" t="inlineStr">
        <is>
          <t>報告_短期P11-13</t>
        </is>
      </c>
    </row>
    <row r="273" spans="1:9" ht="19.95" customHeight="1">
      <c r="A273" s="1755" t="s">
        <v>7</v>
      </c>
      <c r="B273" s="1711" t="s">
        <v>1456</v>
      </c>
      <c r="C273" s="1756" t="str">
        <f>HYPERLINK("#'報告_短期P7-10'!CP148","CP148")</f>
        <v>CP148</v>
      </c>
      <c r="D273" s="1711" t="s">
        <v>1740</v>
      </c>
      <c r="E273" s="1757">
        <f>IF('報告_短期P7-10'!CP148="","",'報告_短期P7-10'!CP148)</f>
        <v>4104640</v>
      </c>
      <c r="F273" s="1711" t="s">
        <v>1644</v>
      </c>
      <c r="G273" s="1709" t="str">
        <f t="shared" si="4"/>
        <v>入力済</v>
      </c>
      <c r="H273" s="1708" t="inlineStr">
        <is>
          <t>報告_短期P7-10 CP153、報告_短期P11-13 FB16,FB55</t>
        </is>
      </c>
      <c r="I273" s="1708" t="inlineStr">
        <is>
          <t>報告_短期P11-13</t>
        </is>
      </c>
    </row>
    <row r="274" spans="1:9" ht="19.95" customHeight="1">
      <c r="A274" s="1752" t="s">
        <v>7</v>
      </c>
      <c r="B274" s="1708" t="s">
        <v>1456</v>
      </c>
      <c r="C274" s="1753" t="str">
        <f>HYPERLINK("#'報告_短期P7-10'!AZ150","AZ150")</f>
        <v>AZ150</v>
      </c>
      <c r="D274" s="1708" t="s">
        <v>1741</v>
      </c>
      <c r="E274" s="1754">
        <f>IF('報告_短期P7-10'!AZ150="","",'報告_短期P7-10'!AZ150)</f>
        <v>61391</v>
      </c>
      <c r="F274" s="1708" t="s">
        <v>373</v>
      </c>
      <c r="G274" s="1709" t="str">
        <f t="shared" si="4"/>
        <v>入力済</v>
      </c>
      <c r="H274" s="1708" t="inlineStr">
        <is>
          <t>報告_短期P11-13 DL18,DL57</t>
        </is>
      </c>
      <c r="I274" s="1708" t="inlineStr">
        <is>
          <t>報告_短期P11-13</t>
        </is>
      </c>
    </row>
    <row r="275" spans="1:9" ht="19.95" customHeight="1">
      <c r="A275" s="1755" t="s">
        <v>7</v>
      </c>
      <c r="B275" s="1711" t="s">
        <v>1456</v>
      </c>
      <c r="C275" s="1756" t="str">
        <f>HYPERLINK("#'報告_短期P7-10'!BW150","BW150")</f>
        <v>BW150</v>
      </c>
      <c r="D275" s="1711" t="s">
        <v>1741</v>
      </c>
      <c r="E275" s="1757">
        <f>IF('報告_短期P7-10'!BW150="","",'報告_短期P7-10'!BW150)</f>
        <v>73911</v>
      </c>
      <c r="F275" s="1711" t="s">
        <v>1644</v>
      </c>
      <c r="G275" s="1709" t="str">
        <f t="shared" si="4"/>
        <v>入力済</v>
      </c>
      <c r="H275" s="1708" t="inlineStr">
        <is>
          <t>報告_短期P11-13 EI18,EI57</t>
        </is>
      </c>
      <c r="I275" s="1708" t="inlineStr">
        <is>
          <t>報告_短期P11-13</t>
        </is>
      </c>
    </row>
    <row r="276" spans="1:9" ht="19.95" customHeight="1">
      <c r="A276" s="1752" t="s">
        <v>7</v>
      </c>
      <c r="B276" s="1708" t="s">
        <v>1456</v>
      </c>
      <c r="C276" s="1753" t="str">
        <f>HYPERLINK("#'報告_短期P7-10'!CP150","CP150")</f>
        <v>CP150</v>
      </c>
      <c r="D276" s="1708" t="s">
        <v>1741</v>
      </c>
      <c r="E276" s="1754">
        <f>IF('報告_短期P7-10'!CP150="","",'報告_短期P7-10'!CP150)</f>
        <v>368226435</v>
      </c>
      <c r="F276" s="1708" t="s">
        <v>1644</v>
      </c>
      <c r="G276" s="1709" t="str">
        <f t="shared" si="4"/>
        <v>入力済</v>
      </c>
      <c r="H276" s="1708" t="inlineStr">
        <is>
          <t>報告_短期P7-10 CP153、報告_短期P11-13 FB18,FB57</t>
        </is>
      </c>
      <c r="I276" s="1708" t="inlineStr">
        <is>
          <t>報告_短期P11-13</t>
        </is>
      </c>
    </row>
    <row r="277" spans="1:9" ht="19.95" customHeight="1">
      <c r="A277" s="1755" t="s">
        <v>7</v>
      </c>
      <c r="B277" s="1711" t="s">
        <v>1456</v>
      </c>
      <c r="C277" s="1756" t="str">
        <f>HYPERLINK("#'報告_短期P7-10'!AZ151","AZ151")</f>
        <v>AZ151</v>
      </c>
      <c r="D277" s="1711" t="s">
        <v>1742</v>
      </c>
      <c r="E277" s="1757">
        <f>IF('報告_短期P7-10'!AZ151="","",'報告_短期P7-10'!AZ151)</f>
        <v>838</v>
      </c>
      <c r="F277" s="1711" t="s">
        <v>373</v>
      </c>
      <c r="G277" s="1709" t="str">
        <f t="shared" si="4"/>
        <v>入力済</v>
      </c>
      <c r="H277" s="1708" t="inlineStr">
        <is>
          <t>報告_短期P11-13 DL19,DL58</t>
        </is>
      </c>
      <c r="I277" s="1708" t="inlineStr">
        <is>
          <t>報告_短期P11-13</t>
        </is>
      </c>
    </row>
    <row r="278" spans="1:9" ht="19.95" customHeight="1">
      <c r="A278" s="1752" t="s">
        <v>7</v>
      </c>
      <c r="B278" s="1708" t="s">
        <v>1456</v>
      </c>
      <c r="C278" s="1753" t="str">
        <f>HYPERLINK("#'報告_短期P7-10'!BW151","BW151")</f>
        <v>BW151</v>
      </c>
      <c r="D278" s="1708" t="s">
        <v>1742</v>
      </c>
      <c r="E278" s="1754">
        <f>IF('報告_短期P7-10'!BW151="","",'報告_短期P7-10'!BW151)</f>
        <v>4775</v>
      </c>
      <c r="F278" s="1708" t="s">
        <v>1644</v>
      </c>
      <c r="G278" s="1709" t="str">
        <f t="shared" si="4"/>
        <v>入力済</v>
      </c>
      <c r="H278" s="1708" t="inlineStr">
        <is>
          <t>報告_短期P7-10 BW153、報告_短期P11-13 EI19,EI58</t>
        </is>
      </c>
      <c r="I278" s="1708" t="inlineStr">
        <is>
          <t>報告_短期P11-13</t>
        </is>
      </c>
    </row>
    <row r="279" spans="1:9" ht="19.95" customHeight="1">
      <c r="A279" s="1755" t="s">
        <v>7</v>
      </c>
      <c r="B279" s="1711" t="s">
        <v>1456</v>
      </c>
      <c r="C279" s="1756" t="str">
        <f>HYPERLINK("#'報告_短期P7-10'!AZ152","AZ152")</f>
        <v>AZ152</v>
      </c>
      <c r="D279" s="1711" t="s">
        <v>1743</v>
      </c>
      <c r="E279" s="1757">
        <f>IF('報告_短期P7-10'!AZ152="","",'報告_短期P7-10'!AZ152)</f>
        <v>0</v>
      </c>
      <c r="F279" s="1711" t="s">
        <v>373</v>
      </c>
      <c r="G279" s="1709" t="str">
        <f t="shared" si="4"/>
        <v>0（確認）</v>
      </c>
      <c r="H279" s="1708" t="inlineStr">
        <is>
          <t>報告_短期P7-10 AZ153、報告_短期P11-13 DL20,DL59</t>
        </is>
      </c>
      <c r="I279" s="1708" t="inlineStr">
        <is>
          <t>報告_短期P11-13</t>
        </is>
      </c>
    </row>
    <row r="280" spans="1:9" ht="19.95" customHeight="1">
      <c r="A280" s="1752" t="s">
        <v>7</v>
      </c>
      <c r="B280" s="1708" t="s">
        <v>1456</v>
      </c>
      <c r="C280" s="1753" t="str">
        <f>HYPERLINK("#'報告_短期P7-10'!CP152","CP152")</f>
        <v>CP152</v>
      </c>
      <c r="D280" s="1708" t="s">
        <v>1743</v>
      </c>
      <c r="E280" s="1754">
        <f>IF('報告_短期P7-10'!CP152="","",'報告_短期P7-10'!CP152)</f>
        <v>0</v>
      </c>
      <c r="F280" s="1708" t="s">
        <v>1644</v>
      </c>
      <c r="G280" s="1709" t="str">
        <f t="shared" si="4"/>
        <v>0（確認）</v>
      </c>
      <c r="H280" s="1708" t="inlineStr">
        <is>
          <t>報告_短期P7-10 CP153、報告_短期P11-13 FB20,FB59</t>
        </is>
      </c>
      <c r="I280" s="1708" t="inlineStr">
        <is>
          <t>報告_短期P11-13</t>
        </is>
      </c>
    </row>
    <row r="281" spans="1:9" ht="19.95" customHeight="1">
      <c r="A281" s="1755" t="s">
        <v>7</v>
      </c>
      <c r="B281" s="1711" t="s">
        <v>1456</v>
      </c>
      <c r="C281" s="1756" t="str">
        <f>HYPERLINK("#'報告_短期P7-10'!AZ154","AZ154")</f>
        <v>AZ154</v>
      </c>
      <c r="D281" s="1711" t="s">
        <v>104</v>
      </c>
      <c r="E281" s="1757">
        <f>IF('報告_短期P7-10'!AZ154="","",'報告_短期P7-10'!AZ154)</f>
        <v>3345</v>
      </c>
      <c r="F281" s="1711" t="s">
        <v>373</v>
      </c>
      <c r="G281" s="1709" t="str">
        <f t="shared" si="4"/>
        <v>入力済</v>
      </c>
      <c r="H281" s="1708" t="inlineStr">
        <is>
          <t>報告_短期P7-10 AZ155、報告_短期P11-13 DL22,DL61</t>
        </is>
      </c>
      <c r="I281" s="1708" t="inlineStr">
        <is>
          <t>報告_短期P11-13</t>
        </is>
      </c>
    </row>
    <row r="282" spans="1:9" ht="19.95" customHeight="1">
      <c r="A282" s="1752" t="s">
        <v>7</v>
      </c>
      <c r="B282" s="1708" t="s">
        <v>1501</v>
      </c>
      <c r="C282" s="1753" t="str">
        <f>HYPERLINK("#'報告_短期P11-13'!DE28","DE28")</f>
        <v>DE28</v>
      </c>
      <c r="D282" s="1708" t="s">
        <v>1744</v>
      </c>
      <c r="E282" s="1754">
        <f>IF('報告_短期P11-13'!DE28="","",'報告_短期P11-13'!DE28)</f>
        <v>228717</v>
      </c>
      <c r="F282" s="1708" t="s">
        <v>1574</v>
      </c>
      <c r="G282" s="1709" t="str">
        <f t="shared" si="4"/>
        <v>入力済</v>
      </c>
      <c r="H282" s="1708" t="inlineStr">
        <is>
          <t>報告_短期P11-13 AX4,AX5,AX6…</t>
        </is>
      </c>
      <c r="I282" s="1708" t="inlineStr">
        <is>
          <t>同じシート内のみ</t>
        </is>
      </c>
    </row>
    <row r="283" spans="1:9" ht="19.95" customHeight="1">
      <c r="A283" s="1755" t="s">
        <v>7</v>
      </c>
      <c r="B283" s="1711" t="s">
        <v>1501</v>
      </c>
      <c r="C283" s="1756" t="str">
        <f>HYPERLINK("#'報告_短期P11-13'!EB28","EB28")</f>
        <v>EB28</v>
      </c>
      <c r="D283" s="1711" t="s">
        <v>1745</v>
      </c>
      <c r="E283" s="1757">
        <f>IF('報告_短期P11-13'!EB28="","",'報告_短期P11-13'!EB28)</f>
        <v>125206</v>
      </c>
      <c r="F283" s="1711" t="s">
        <v>1574</v>
      </c>
      <c r="G283" s="1709" t="str">
        <f t="shared" si="4"/>
        <v>入力済</v>
      </c>
      <c r="H283" s="1708" t="inlineStr">
        <is>
          <t>報告_短期P11-13 AX12,AX13,AX14…</t>
        </is>
      </c>
      <c r="I283" s="1708" t="inlineStr">
        <is>
          <t>同じシート内のみ</t>
        </is>
      </c>
    </row>
    <row r="284" spans="1:9" ht="19.95" customHeight="1">
      <c r="A284" s="1752" t="s">
        <v>7</v>
      </c>
      <c r="B284" s="1708" t="s">
        <v>1501</v>
      </c>
      <c r="C284" s="1753" t="str">
        <f>HYPERLINK("#'報告_短期P11-13'!DE66","DE66")</f>
        <v>DE66</v>
      </c>
      <c r="D284" s="1708" t="s">
        <v>1746</v>
      </c>
      <c r="E284" s="1754">
        <f>IF('報告_短期P11-13'!DE66="","",'報告_短期P11-13'!DE66)</f>
        <v>19060</v>
      </c>
      <c r="F284" s="1708" t="s">
        <v>1574</v>
      </c>
      <c r="G284" s="1709" t="str">
        <f t="shared" si="4"/>
        <v>入力済</v>
      </c>
      <c r="H284" s="1708" t="inlineStr">
        <is>
          <t>報告_短期P11-13 L80,Q61,V58…</t>
        </is>
      </c>
      <c r="I284" s="1708" t="inlineStr">
        <is>
          <t>報告_P8グラフデータ</t>
        </is>
      </c>
    </row>
    <row r="285" spans="1:9" ht="19.95" customHeight="1">
      <c r="A285" s="1755" t="s">
        <v>7</v>
      </c>
      <c r="B285" s="1711" t="s">
        <v>1501</v>
      </c>
      <c r="C285" s="1756" t="str">
        <f>HYPERLINK("#'報告_短期P11-13'!EB66","EB66")</f>
        <v>EB66</v>
      </c>
      <c r="D285" s="1711" t="s">
        <v>1747</v>
      </c>
      <c r="E285" s="1757">
        <f>IF('報告_短期P11-13'!EB66="","",'報告_短期P11-13'!EB66)</f>
        <v>10434</v>
      </c>
      <c r="F285" s="1711" t="s">
        <v>1574</v>
      </c>
      <c r="G285" s="1709" t="str">
        <f t="shared" si="4"/>
        <v>入力済</v>
      </c>
      <c r="H285" s="1708" t="inlineStr">
        <is>
          <t>報告_短期P11-13 Z80,EY66</t>
        </is>
      </c>
      <c r="I285" s="1708" t="inlineStr">
        <is>
          <t>同じシート内のみ</t>
        </is>
      </c>
    </row>
    <row r="286" spans="1:9" ht="19.95" customHeight="1">
      <c r="A286" s="1752" t="s">
        <v>7</v>
      </c>
      <c r="B286" s="1708" t="s">
        <v>1501</v>
      </c>
      <c r="C286" s="1753" t="str">
        <f>HYPERLINK("#'報告_短期P11-13'!H85","H85")</f>
        <v>H85</v>
      </c>
      <c r="D286" s="1708" t="s">
        <v>1748</v>
      </c>
      <c r="E286" s="1754">
        <f>IF('報告_短期P11-13'!H85="","",'報告_短期P11-13'!H85)</f>
        <v>0</v>
      </c>
      <c r="F286" s="1708" t="s">
        <v>1644</v>
      </c>
      <c r="G286" s="1709" t="str">
        <f t="shared" si="4"/>
        <v>0（確認）</v>
      </c>
      <c r="H286" s="1708" t="inlineStr">
        <is>
          <t>報告_短期P11-13 AO85</t>
        </is>
      </c>
      <c r="I286" s="1708" t="inlineStr">
        <is>
          <t>同じシート内のみ</t>
        </is>
      </c>
    </row>
    <row r="287" spans="1:9" ht="19.95" customHeight="1">
      <c r="A287" s="1755" t="s">
        <v>7</v>
      </c>
      <c r="B287" s="1711" t="s">
        <v>1501</v>
      </c>
      <c r="C287" s="1756" t="str">
        <f>HYPERLINK("#'報告_短期P11-13'!S85","S85")</f>
        <v>S85</v>
      </c>
      <c r="D287" s="1711" t="s">
        <v>1749</v>
      </c>
      <c r="E287" s="1757">
        <f>IF('報告_短期P11-13'!S85="","",'報告_短期P11-13'!S85)</f>
        <v>0</v>
      </c>
      <c r="F287" s="1711" t="s">
        <v>1644</v>
      </c>
      <c r="G287" s="1709" t="str">
        <f t="shared" si="4"/>
        <v>0（確認）</v>
      </c>
      <c r="H287" s="1708" t="inlineStr">
        <is>
          <t>報告_短期P11-13 AO85</t>
        </is>
      </c>
      <c r="I287" s="1708" t="inlineStr">
        <is>
          <t>同じシート内のみ</t>
        </is>
      </c>
    </row>
    <row r="288" spans="1:9" ht="19.95" customHeight="1">
      <c r="A288" s="1752" t="s">
        <v>7</v>
      </c>
      <c r="B288" s="1708" t="s">
        <v>1501</v>
      </c>
      <c r="C288" s="1753" t="str">
        <f>HYPERLINK("#'報告_短期P11-13'!AD85","AD85")</f>
        <v>AD85</v>
      </c>
      <c r="D288" s="1708" t="s">
        <v>1750</v>
      </c>
      <c r="E288" s="1754">
        <f>IF('報告_短期P11-13'!AD85="","",'報告_短期P11-13'!AD85)</f>
        <v>0</v>
      </c>
      <c r="F288" s="1708" t="s">
        <v>1644</v>
      </c>
      <c r="G288" s="1709" t="str">
        <f t="shared" si="4"/>
        <v>0（確認）</v>
      </c>
      <c r="H288" s="1708" t="inlineStr">
        <is>
          <t>報告_短期P11-13 AO85</t>
        </is>
      </c>
      <c r="I288" s="1708" t="inlineStr">
        <is>
          <t>同じシート内のみ</t>
        </is>
      </c>
    </row>
    <row r="289" spans="1:9" ht="19.95" customHeight="1">
      <c r="A289" s="1755" t="s">
        <v>8</v>
      </c>
      <c r="B289" s="1711" t="s">
        <v>1751</v>
      </c>
      <c r="C289" s="1756" t="str">
        <f>HYPERLINK("#'報告_厚生年金P14'!B9","B9")</f>
        <v>B9</v>
      </c>
      <c r="D289" s="1711" t="s">
        <v>1752</v>
      </c>
      <c r="E289" s="1757">
        <f>IF(報告_厚生年金P14!B9="","",報告_厚生年金P14!B9)</f>
        <v>91.5</v>
      </c>
      <c r="F289" s="1711" t="s">
        <v>1753</v>
      </c>
      <c r="G289" s="1709" t="str">
        <f t="shared" si="4"/>
        <v>入力済</v>
      </c>
      <c r="H289" s="1708" t="inlineStr">
        <is>
          <t>なし（このセルのみ）</t>
        </is>
      </c>
      <c r="I289" s="1708" t="inlineStr">
        <is>
          <t>―</t>
        </is>
      </c>
    </row>
    <row r="290" spans="1:9" ht="19.95" customHeight="1">
      <c r="A290" s="1752" t="s">
        <v>8</v>
      </c>
      <c r="B290" s="1708" t="s">
        <v>1751</v>
      </c>
      <c r="C290" s="1753" t="str">
        <f>HYPERLINK("#'報告_厚生年金P14'!N9","N9")</f>
        <v>N9</v>
      </c>
      <c r="D290" s="1708" t="s">
        <v>1754</v>
      </c>
      <c r="E290" s="1754">
        <f>IF(報告_厚生年金P14!N9="","",報告_厚生年金P14!N9)</f>
        <v>91.5</v>
      </c>
      <c r="F290" s="1708" t="s">
        <v>1753</v>
      </c>
      <c r="G290" s="1709" t="str">
        <f t="shared" si="4"/>
        <v>入力済</v>
      </c>
      <c r="H290" s="1708" t="inlineStr">
        <is>
          <t>なし（このセルのみ）</t>
        </is>
      </c>
      <c r="I290" s="1708" t="inlineStr">
        <is>
          <t>―</t>
        </is>
      </c>
    </row>
    <row r="291" spans="1:9" ht="19.95" customHeight="1">
      <c r="A291" s="1755" t="s">
        <v>8</v>
      </c>
      <c r="B291" s="1711" t="s">
        <v>1751</v>
      </c>
      <c r="C291" s="1756" t="str">
        <f>HYPERLINK("#'報告_厚生年金P14'!N22","N22")</f>
        <v>N22</v>
      </c>
      <c r="D291" s="1711" t="s">
        <v>1755</v>
      </c>
      <c r="E291" s="1757">
        <f>IF(報告_厚生年金P14!N22="","",報告_厚生年金P14!N22)</f>
        <v>9.8000000000000007</v>
      </c>
      <c r="F291" s="1711" t="s">
        <v>1753</v>
      </c>
      <c r="G291" s="1709" t="str">
        <f t="shared" si="4"/>
        <v>入力済</v>
      </c>
      <c r="H291" s="1708" t="inlineStr">
        <is>
          <t>なし（このセルのみ）</t>
        </is>
      </c>
      <c r="I291" s="1708" t="inlineStr">
        <is>
          <t>―</t>
        </is>
      </c>
    </row>
    <row r="292" spans="1:9" ht="19.95" customHeight="1">
      <c r="A292" s="1752" t="s">
        <v>8</v>
      </c>
      <c r="B292" s="1708" t="s">
        <v>1751</v>
      </c>
      <c r="C292" s="1753" t="str">
        <f>HYPERLINK("#'報告_厚生年金P14'!M33","M33")</f>
        <v>M33</v>
      </c>
      <c r="D292" s="1708" t="s">
        <v>1756</v>
      </c>
      <c r="E292" s="1754">
        <f>IF(報告_厚生年金P14!M33="","",報告_厚生年金P14!M33)</f>
        <v>5635903000</v>
      </c>
      <c r="F292" s="1708" t="s">
        <v>373</v>
      </c>
      <c r="G292" s="1709" t="str">
        <f t="shared" si="4"/>
        <v>入力済</v>
      </c>
      <c r="H292" s="1708" t="inlineStr">
        <is>
          <t>報告_厚生年金P14 M32,AG33</t>
        </is>
      </c>
      <c r="I292" s="1708" t="inlineStr">
        <is>
          <t>同じシート内のみ</t>
        </is>
      </c>
    </row>
    <row r="293" spans="1:9" ht="19.95" customHeight="1">
      <c r="A293" s="1755" t="s">
        <v>8</v>
      </c>
      <c r="B293" s="1711" t="s">
        <v>1751</v>
      </c>
      <c r="C293" s="1756" t="str">
        <f>HYPERLINK("#'報告_厚生年金P14'!W33","W33")</f>
        <v>W33</v>
      </c>
      <c r="D293" s="1711" t="s">
        <v>1757</v>
      </c>
      <c r="E293" s="1757">
        <f>IF(報告_厚生年金P14!W33="","",報告_厚生年金P14!W33)</f>
        <v>5764604459</v>
      </c>
      <c r="F293" s="1711" t="s">
        <v>1644</v>
      </c>
      <c r="G293" s="1709" t="str">
        <f t="shared" si="4"/>
        <v>入力済</v>
      </c>
      <c r="H293" s="1708" t="inlineStr">
        <is>
          <t>報告_厚生年金P14 W32,AG33,BA33</t>
        </is>
      </c>
      <c r="I293" s="1708" t="inlineStr">
        <is>
          <t>厚生_貸借・損益、厚生_決算精算表</t>
        </is>
      </c>
    </row>
    <row r="294" spans="1:9" ht="19.95" customHeight="1">
      <c r="A294" s="1752" t="s">
        <v>8</v>
      </c>
      <c r="B294" s="1708" t="s">
        <v>1751</v>
      </c>
      <c r="C294" s="1753" t="str">
        <f>HYPERLINK("#'報告_厚生年金P14'!M34","M34")</f>
        <v>M34</v>
      </c>
      <c r="D294" s="1708" t="s">
        <v>1758</v>
      </c>
      <c r="E294" s="1754">
        <f>IF(報告_厚生年金P14!M34="","",報告_厚生年金P14!M34)</f>
        <v>1840280000</v>
      </c>
      <c r="F294" s="1708" t="s">
        <v>373</v>
      </c>
      <c r="G294" s="1709" t="str">
        <f t="shared" si="4"/>
        <v>入力済</v>
      </c>
      <c r="H294" s="1708" t="inlineStr">
        <is>
          <t>報告_厚生年金P14 M32,AG34</t>
        </is>
      </c>
      <c r="I294" s="1708" t="inlineStr">
        <is>
          <t>同じシート内のみ</t>
        </is>
      </c>
    </row>
    <row r="295" spans="1:9" ht="19.95" customHeight="1">
      <c r="A295" s="1755" t="s">
        <v>8</v>
      </c>
      <c r="B295" s="1711" t="s">
        <v>1751</v>
      </c>
      <c r="C295" s="1756" t="str">
        <f>HYPERLINK("#'報告_厚生年金P14'!W34","W34")</f>
        <v>W34</v>
      </c>
      <c r="D295" s="1711" t="s">
        <v>1759</v>
      </c>
      <c r="E295" s="1757">
        <f>IF(報告_厚生年金P14!W34="","",報告_厚生年金P14!W34)</f>
        <v>1970882224</v>
      </c>
      <c r="F295" s="1711" t="s">
        <v>1644</v>
      </c>
      <c r="G295" s="1709" t="str">
        <f t="shared" si="4"/>
        <v>入力済</v>
      </c>
      <c r="H295" s="1708" t="inlineStr">
        <is>
          <t>報告_厚生年金P14 W32,AG34,BA34</t>
        </is>
      </c>
      <c r="I295" s="1708" t="inlineStr">
        <is>
          <t>厚生_貸借・損益、厚生_決算精算表</t>
        </is>
      </c>
    </row>
    <row r="296" spans="1:9" ht="19.95" customHeight="1">
      <c r="A296" s="1752" t="s">
        <v>8</v>
      </c>
      <c r="B296" s="1708" t="s">
        <v>1751</v>
      </c>
      <c r="C296" s="1753" t="str">
        <f>HYPERLINK("#'報告_厚生年金P14'!M35","M35")</f>
        <v>M35</v>
      </c>
      <c r="D296" s="1708" t="s">
        <v>1760</v>
      </c>
      <c r="E296" s="1754">
        <f>IF(報告_厚生年金P14!M35="","",報告_厚生年金P14!M35)</f>
        <v>3495802000</v>
      </c>
      <c r="F296" s="1708" t="s">
        <v>373</v>
      </c>
      <c r="G296" s="1709" t="str">
        <f t="shared" si="4"/>
        <v>入力済</v>
      </c>
      <c r="H296" s="1708" t="inlineStr">
        <is>
          <t>報告_厚生年金P14 M32,AG35</t>
        </is>
      </c>
      <c r="I296" s="1708" t="inlineStr">
        <is>
          <t>同じシート内のみ</t>
        </is>
      </c>
    </row>
    <row r="297" spans="1:9" ht="19.95" customHeight="1">
      <c r="A297" s="1755" t="s">
        <v>8</v>
      </c>
      <c r="B297" s="1711" t="s">
        <v>1751</v>
      </c>
      <c r="C297" s="1756" t="str">
        <f>HYPERLINK("#'報告_厚生年金P14'!W35","W35")</f>
        <v>W35</v>
      </c>
      <c r="D297" s="1711" t="s">
        <v>1761</v>
      </c>
      <c r="E297" s="1757">
        <f>IF(報告_厚生年金P14!W35="","",報告_厚生年金P14!W35)</f>
        <v>3627902360</v>
      </c>
      <c r="F297" s="1711" t="s">
        <v>1644</v>
      </c>
      <c r="G297" s="1709" t="str">
        <f t="shared" si="4"/>
        <v>入力済</v>
      </c>
      <c r="H297" s="1708" t="inlineStr">
        <is>
          <t>報告_厚生年金P14 W32,AG35,BA35</t>
        </is>
      </c>
      <c r="I297" s="1708" t="inlineStr">
        <is>
          <t>厚生_貸借・損益、厚生_決算精算表</t>
        </is>
      </c>
    </row>
    <row r="298" spans="1:9" ht="19.95" customHeight="1">
      <c r="A298" s="1752" t="s">
        <v>8</v>
      </c>
      <c r="B298" s="1708" t="s">
        <v>1751</v>
      </c>
      <c r="C298" s="1753" t="str">
        <f>HYPERLINK("#'報告_厚生年金P14'!M36","M36")</f>
        <v>M36</v>
      </c>
      <c r="D298" s="1708" t="s">
        <v>1762</v>
      </c>
      <c r="E298" s="1754">
        <f>IF(報告_厚生年金P14!M36="","",報告_厚生年金P14!M36)</f>
        <v>623602000</v>
      </c>
      <c r="F298" s="1708" t="s">
        <v>373</v>
      </c>
      <c r="G298" s="1709" t="str">
        <f t="shared" si="4"/>
        <v>入力済</v>
      </c>
      <c r="H298" s="1708" t="inlineStr">
        <is>
          <t>報告_厚生年金P14 M32,AG36</t>
        </is>
      </c>
      <c r="I298" s="1708" t="inlineStr">
        <is>
          <t>同じシート内のみ</t>
        </is>
      </c>
    </row>
    <row r="299" spans="1:9" ht="19.95" customHeight="1">
      <c r="A299" s="1755" t="s">
        <v>8</v>
      </c>
      <c r="B299" s="1711" t="s">
        <v>1751</v>
      </c>
      <c r="C299" s="1756" t="str">
        <f>HYPERLINK("#'報告_厚生年金P14'!W36","W36")</f>
        <v>W36</v>
      </c>
      <c r="D299" s="1711" t="s">
        <v>1763</v>
      </c>
      <c r="E299" s="1757">
        <f>IF(報告_厚生年金P14!W36="","",報告_厚生年金P14!W36)</f>
        <v>632205840</v>
      </c>
      <c r="F299" s="1711" t="s">
        <v>1644</v>
      </c>
      <c r="G299" s="1709" t="str">
        <f t="shared" si="4"/>
        <v>入力済</v>
      </c>
      <c r="H299" s="1708" t="inlineStr">
        <is>
          <t>報告_厚生年金P14 W32,AG36,BA36</t>
        </is>
      </c>
      <c r="I299" s="1708" t="inlineStr">
        <is>
          <t>厚生_貸借・損益、厚生_決算精算表</t>
        </is>
      </c>
    </row>
    <row r="300" spans="1:9" ht="19.95" customHeight="1">
      <c r="A300" s="1752" t="s">
        <v>8</v>
      </c>
      <c r="B300" s="1708" t="s">
        <v>1751</v>
      </c>
      <c r="C300" s="1753" t="str">
        <f>HYPERLINK("#'報告_厚生年金P14'!M38","M38")</f>
        <v>M38</v>
      </c>
      <c r="D300" s="1708" t="s">
        <v>1764</v>
      </c>
      <c r="E300" s="1754">
        <f>IF(報告_厚生年金P14!M38="","",報告_厚生年金P14!M38)</f>
        <v>5635903000</v>
      </c>
      <c r="F300" s="1708" t="s">
        <v>373</v>
      </c>
      <c r="G300" s="1709" t="str">
        <f t="shared" si="4"/>
        <v>入力済</v>
      </c>
      <c r="H300" s="1708" t="inlineStr">
        <is>
          <t>報告_厚生年金P14 M37,AG38</t>
        </is>
      </c>
      <c r="I300" s="1708" t="inlineStr">
        <is>
          <t>同じシート内のみ</t>
        </is>
      </c>
    </row>
    <row r="301" spans="1:9" ht="19.95" customHeight="1">
      <c r="A301" s="1755" t="s">
        <v>8</v>
      </c>
      <c r="B301" s="1711" t="s">
        <v>1751</v>
      </c>
      <c r="C301" s="1756" t="str">
        <f>HYPERLINK("#'報告_厚生年金P14'!W38","W38")</f>
        <v>W38</v>
      </c>
      <c r="D301" s="1711" t="s">
        <v>1765</v>
      </c>
      <c r="E301" s="1757">
        <f>IF(報告_厚生年金P14!W38="","",報告_厚生年金P14!W38)</f>
        <v>5763421510</v>
      </c>
      <c r="F301" s="1711" t="s">
        <v>1644</v>
      </c>
      <c r="G301" s="1709" t="str">
        <f t="shared" si="4"/>
        <v>入力済</v>
      </c>
      <c r="H301" s="1708" t="inlineStr">
        <is>
          <t>報告_厚生年金P14 W37,AG38,BA38</t>
        </is>
      </c>
      <c r="I301" s="1708" t="inlineStr">
        <is>
          <t>厚生_貸借・損益、厚生_決算精算表</t>
        </is>
      </c>
    </row>
    <row r="302" spans="1:9" ht="19.95" customHeight="1">
      <c r="A302" s="1752" t="s">
        <v>8</v>
      </c>
      <c r="B302" s="1708" t="s">
        <v>1751</v>
      </c>
      <c r="C302" s="1753" t="str">
        <f>HYPERLINK("#'報告_厚生年金P14'!M39","M39")</f>
        <v>M39</v>
      </c>
      <c r="D302" s="1708" t="s">
        <v>1766</v>
      </c>
      <c r="E302" s="1754">
        <f>IF(報告_厚生年金P14!M39="","",報告_厚生年金P14!M39)</f>
        <v>1840280000</v>
      </c>
      <c r="F302" s="1708" t="s">
        <v>373</v>
      </c>
      <c r="G302" s="1709" t="str">
        <f t="shared" si="4"/>
        <v>入力済</v>
      </c>
      <c r="H302" s="1708" t="inlineStr">
        <is>
          <t>報告_厚生年金P14 M37,AG39</t>
        </is>
      </c>
      <c r="I302" s="1708" t="inlineStr">
        <is>
          <t>同じシート内のみ</t>
        </is>
      </c>
    </row>
    <row r="303" spans="1:9" ht="19.95" customHeight="1">
      <c r="A303" s="1755" t="s">
        <v>8</v>
      </c>
      <c r="B303" s="1711" t="s">
        <v>1751</v>
      </c>
      <c r="C303" s="1756" t="str">
        <f>HYPERLINK("#'報告_厚生年金P14'!W39","W39")</f>
        <v>W39</v>
      </c>
      <c r="D303" s="1711" t="s">
        <v>1767</v>
      </c>
      <c r="E303" s="1757">
        <f>IF(報告_厚生年金P14!W39="","",報告_厚生年金P14!W39)</f>
        <v>1972393403</v>
      </c>
      <c r="F303" s="1711" t="s">
        <v>1644</v>
      </c>
      <c r="G303" s="1709" t="str">
        <f t="shared" si="4"/>
        <v>入力済</v>
      </c>
      <c r="H303" s="1708" t="inlineStr">
        <is>
          <t>報告_厚生年金P14 W37,AG39,BA39</t>
        </is>
      </c>
      <c r="I303" s="1708" t="inlineStr">
        <is>
          <t>厚生_貸借・損益、厚生_決算精算表</t>
        </is>
      </c>
    </row>
    <row r="304" spans="1:9" ht="19.95" customHeight="1">
      <c r="A304" s="1752" t="s">
        <v>8</v>
      </c>
      <c r="B304" s="1708" t="s">
        <v>1751</v>
      </c>
      <c r="C304" s="1753" t="str">
        <f>HYPERLINK("#'報告_厚生年金P14'!M40","M40")</f>
        <v>M40</v>
      </c>
      <c r="D304" s="1708" t="s">
        <v>1768</v>
      </c>
      <c r="E304" s="1754">
        <f>IF(報告_厚生年金P14!M40="","",報告_厚生年金P14!M40)</f>
        <v>0</v>
      </c>
      <c r="F304" s="1708" t="s">
        <v>373</v>
      </c>
      <c r="G304" s="1709" t="str">
        <f t="shared" si="4"/>
        <v>0（確認）</v>
      </c>
      <c r="H304" s="1708" t="inlineStr">
        <is>
          <t>報告_厚生年金P14 AG40</t>
        </is>
      </c>
      <c r="I304" s="1708" t="inlineStr">
        <is>
          <t>同じシート内のみ</t>
        </is>
      </c>
    </row>
    <row r="305" spans="1:9" ht="19.95" customHeight="1">
      <c r="A305" s="1755" t="s">
        <v>8</v>
      </c>
      <c r="B305" s="1711" t="s">
        <v>1751</v>
      </c>
      <c r="C305" s="1756" t="str">
        <f>HYPERLINK("#'報告_厚生年金P14'!W40","W40")</f>
        <v>W40</v>
      </c>
      <c r="D305" s="1711" t="s">
        <v>1769</v>
      </c>
      <c r="E305" s="1757">
        <f>IF(報告_厚生年金P14!W40="","",報告_厚生年金P14!W40)</f>
        <v>0</v>
      </c>
      <c r="F305" s="1711" t="s">
        <v>1644</v>
      </c>
      <c r="G305" s="1709" t="str">
        <f t="shared" si="4"/>
        <v>0（確認）</v>
      </c>
      <c r="H305" s="1708" t="inlineStr">
        <is>
          <t>報告_厚生年金P14 AG40,BA40</t>
        </is>
      </c>
      <c r="I305" s="1708" t="inlineStr">
        <is>
          <t>同じシート内のみ</t>
        </is>
      </c>
    </row>
    <row r="306" spans="1:9" ht="19.95" customHeight="1">
      <c r="A306" s="1752" t="s">
        <v>8</v>
      </c>
      <c r="B306" s="1708" t="s">
        <v>1751</v>
      </c>
      <c r="C306" s="1753" t="str">
        <f>HYPERLINK("#'報告_厚生年金P14'!M57","M57")</f>
        <v>M57</v>
      </c>
      <c r="D306" s="1708" t="s">
        <v>1768</v>
      </c>
      <c r="E306" s="1754">
        <f>IF(報告_厚生年金P14!M57="","",報告_厚生年金P14!M57)</f>
        <v>0</v>
      </c>
      <c r="F306" s="1708" t="s">
        <v>373</v>
      </c>
      <c r="G306" s="1709" t="str">
        <f t="shared" si="4"/>
        <v>0（確認）</v>
      </c>
      <c r="H306" s="1708" t="inlineStr">
        <is>
          <t>報告_厚生年金P14 M58,AG57</t>
        </is>
      </c>
      <c r="I306" s="1708" t="inlineStr">
        <is>
          <t>同じシート内のみ</t>
        </is>
      </c>
    </row>
    <row r="307" spans="1:9" ht="19.95" customHeight="1">
      <c r="A307" s="1755" t="s">
        <v>8</v>
      </c>
      <c r="B307" s="1711" t="s">
        <v>1751</v>
      </c>
      <c r="C307" s="1756" t="str">
        <f>HYPERLINK("#'報告_厚生年金P14'!W57","W57")</f>
        <v>W57</v>
      </c>
      <c r="D307" s="1711" t="s">
        <v>1769</v>
      </c>
      <c r="E307" s="1757">
        <f>IF(報告_厚生年金P14!W57="","",報告_厚生年金P14!W57)</f>
        <v>0</v>
      </c>
      <c r="F307" s="1711" t="s">
        <v>1644</v>
      </c>
      <c r="G307" s="1709" t="str">
        <f t="shared" si="4"/>
        <v>0（確認）</v>
      </c>
      <c r="H307" s="1708" t="inlineStr">
        <is>
          <t>報告_厚生年金P14 W58,AG57,BA57</t>
        </is>
      </c>
      <c r="I307" s="1708" t="inlineStr">
        <is>
          <t>同じシート内のみ</t>
        </is>
      </c>
    </row>
    <row r="308" spans="1:9" ht="19.95" customHeight="1">
      <c r="A308" s="1752" t="s">
        <v>9</v>
      </c>
      <c r="B308" s="1708" t="s">
        <v>1770</v>
      </c>
      <c r="C308" s="1753" t="str">
        <f>HYPERLINK("#'報告_退職等年金P15'!B10","B10")</f>
        <v>B10</v>
      </c>
      <c r="D308" s="1708" t="s">
        <v>1771</v>
      </c>
      <c r="E308" s="1754">
        <f>IF(報告_退職等年金P15!B10="","",報告_退職等年金P15!B10)</f>
        <v>7.5</v>
      </c>
      <c r="F308" s="1708" t="s">
        <v>1753</v>
      </c>
      <c r="G308" s="1709" t="str">
        <f t="shared" si="4"/>
        <v>入力済</v>
      </c>
      <c r="H308" s="1708" t="inlineStr">
        <is>
          <t>なし（このセルのみ）</t>
        </is>
      </c>
      <c r="I308" s="1708" t="inlineStr">
        <is>
          <t>―</t>
        </is>
      </c>
    </row>
    <row r="309" spans="1:9" ht="19.95" customHeight="1">
      <c r="A309" s="1755" t="s">
        <v>9</v>
      </c>
      <c r="B309" s="1711" t="s">
        <v>1770</v>
      </c>
      <c r="C309" s="1756" t="str">
        <f>HYPERLINK("#'報告_退職等年金P15'!N10","N10")</f>
        <v>N10</v>
      </c>
      <c r="D309" s="1711" t="s">
        <v>1772</v>
      </c>
      <c r="E309" s="1757">
        <f>IF(報告_退職等年金P15!N10="","",報告_退職等年金P15!N10)</f>
        <v>7.5</v>
      </c>
      <c r="F309" s="1711" t="s">
        <v>1753</v>
      </c>
      <c r="G309" s="1709" t="str">
        <f t="shared" si="4"/>
        <v>入力済</v>
      </c>
      <c r="H309" s="1708" t="inlineStr">
        <is>
          <t>なし（このセルのみ）</t>
        </is>
      </c>
      <c r="I309" s="1708" t="inlineStr">
        <is>
          <t>―</t>
        </is>
      </c>
    </row>
    <row r="310" spans="1:9" ht="19.95" customHeight="1">
      <c r="A310" s="1752" t="s">
        <v>9</v>
      </c>
      <c r="B310" s="1708" t="s">
        <v>1770</v>
      </c>
      <c r="C310" s="1753" t="str">
        <f>HYPERLINK("#'報告_退職等年金P15'!M20","M20")</f>
        <v>M20</v>
      </c>
      <c r="D310" s="1708" t="s">
        <v>1756</v>
      </c>
      <c r="E310" s="1754">
        <f>IF(報告_退職等年金P15!M20="","",報告_退職等年金P15!M20)</f>
        <v>462077000</v>
      </c>
      <c r="F310" s="1708" t="s">
        <v>373</v>
      </c>
      <c r="G310" s="1709" t="str">
        <f t="shared" si="4"/>
        <v>入力済</v>
      </c>
      <c r="H310" s="1708" t="inlineStr">
        <is>
          <t>報告_退職等年金P15 M19,AG20</t>
        </is>
      </c>
      <c r="I310" s="1708" t="inlineStr">
        <is>
          <t>同じシート内のみ</t>
        </is>
      </c>
    </row>
    <row r="311" spans="1:9" ht="19.95" customHeight="1">
      <c r="A311" s="1755" t="s">
        <v>9</v>
      </c>
      <c r="B311" s="1711" t="s">
        <v>1770</v>
      </c>
      <c r="C311" s="1756" t="str">
        <f>HYPERLINK("#'報告_退職等年金P15'!W20","W20")</f>
        <v>W20</v>
      </c>
      <c r="D311" s="1711" t="s">
        <v>1757</v>
      </c>
      <c r="E311" s="1757">
        <f>IF(報告_退職等年金P15!W20="","",報告_退職等年金P15!W20)</f>
        <v>472546683</v>
      </c>
      <c r="F311" s="1711" t="s">
        <v>1644</v>
      </c>
      <c r="G311" s="1709" t="str">
        <f t="shared" si="4"/>
        <v>入力済</v>
      </c>
      <c r="H311" s="1708" t="inlineStr">
        <is>
          <t>報告_退職等年金P15 W19,AG20,BA20</t>
        </is>
      </c>
      <c r="I311" s="1708" t="inlineStr">
        <is>
          <t>退職等_貸借・損益、退職等_決算精算表</t>
        </is>
      </c>
    </row>
    <row r="312" spans="1:9" ht="19.95" customHeight="1">
      <c r="A312" s="1752" t="s">
        <v>9</v>
      </c>
      <c r="B312" s="1708" t="s">
        <v>1770</v>
      </c>
      <c r="C312" s="1753" t="str">
        <f>HYPERLINK("#'報告_退職等年金P15'!M21","M21")</f>
        <v>M21</v>
      </c>
      <c r="D312" s="1708" t="s">
        <v>1758</v>
      </c>
      <c r="E312" s="1754">
        <f>IF(報告_退職等年金P15!M21="","",報告_退職等年金P15!M21)</f>
        <v>150897000</v>
      </c>
      <c r="F312" s="1708" t="s">
        <v>373</v>
      </c>
      <c r="G312" s="1709" t="str">
        <f t="shared" si="4"/>
        <v>入力済</v>
      </c>
      <c r="H312" s="1708" t="inlineStr">
        <is>
          <t>報告_退職等年金P15 M19,AG21</t>
        </is>
      </c>
      <c r="I312" s="1708" t="inlineStr">
        <is>
          <t>同じシート内のみ</t>
        </is>
      </c>
    </row>
    <row r="313" spans="1:9" ht="19.95" customHeight="1">
      <c r="A313" s="1755" t="s">
        <v>9</v>
      </c>
      <c r="B313" s="1711" t="s">
        <v>1770</v>
      </c>
      <c r="C313" s="1756" t="str">
        <f>HYPERLINK("#'報告_退職等年金P15'!W21","W21")</f>
        <v>W21</v>
      </c>
      <c r="D313" s="1711" t="s">
        <v>1759</v>
      </c>
      <c r="E313" s="1757">
        <f>IF(報告_退職等年金P15!W21="","",報告_退職等年金P15!W21)</f>
        <v>161612772</v>
      </c>
      <c r="F313" s="1711" t="s">
        <v>1644</v>
      </c>
      <c r="G313" s="1709" t="str">
        <f t="shared" si="4"/>
        <v>入力済</v>
      </c>
      <c r="H313" s="1708" t="inlineStr">
        <is>
          <t>報告_退職等年金P15 W19,AG21,BA21</t>
        </is>
      </c>
      <c r="I313" s="1708" t="inlineStr">
        <is>
          <t>退職等_貸借・損益、退職等_決算精算表</t>
        </is>
      </c>
    </row>
    <row r="314" spans="1:9" ht="19.95" customHeight="1">
      <c r="A314" s="1752" t="s">
        <v>9</v>
      </c>
      <c r="B314" s="1708" t="s">
        <v>1770</v>
      </c>
      <c r="C314" s="1753" t="str">
        <f>HYPERLINK("#'報告_退職等年金P15'!M23","M23")</f>
        <v>M23</v>
      </c>
      <c r="D314" s="1708" t="s">
        <v>1773</v>
      </c>
      <c r="E314" s="1754">
        <f>IF(報告_退職等年金P15!M23="","",報告_退職等年金P15!M23)</f>
        <v>462077000</v>
      </c>
      <c r="F314" s="1708" t="s">
        <v>373</v>
      </c>
      <c r="G314" s="1709" t="str">
        <f t="shared" si="4"/>
        <v>入力済</v>
      </c>
      <c r="H314" s="1708" t="inlineStr">
        <is>
          <t>報告_退職等年金P15 M22,AG23</t>
        </is>
      </c>
      <c r="I314" s="1708" t="inlineStr">
        <is>
          <t>同じシート内のみ</t>
        </is>
      </c>
    </row>
    <row r="315" spans="1:9" ht="19.95" customHeight="1">
      <c r="A315" s="1755" t="s">
        <v>9</v>
      </c>
      <c r="B315" s="1711" t="s">
        <v>1770</v>
      </c>
      <c r="C315" s="1756" t="str">
        <f>HYPERLINK("#'報告_退職等年金P15'!W23","W23")</f>
        <v>W23</v>
      </c>
      <c r="D315" s="1711" t="s">
        <v>1774</v>
      </c>
      <c r="E315" s="1757">
        <f>IF(報告_退職等年金P15!W23="","",報告_退職等年金P15!W23)</f>
        <v>472518734</v>
      </c>
      <c r="F315" s="1711" t="s">
        <v>1644</v>
      </c>
      <c r="G315" s="1709" t="str">
        <f t="shared" si="4"/>
        <v>入力済</v>
      </c>
      <c r="H315" s="1708" t="inlineStr">
        <is>
          <t>報告_退職等年金P15 W22,AG23,BA23</t>
        </is>
      </c>
      <c r="I315" s="1708" t="inlineStr">
        <is>
          <t>退職等_貸借・損益、退職等_決算精算表</t>
        </is>
      </c>
    </row>
    <row r="316" spans="1:9" ht="19.95" customHeight="1">
      <c r="A316" s="1752" t="s">
        <v>9</v>
      </c>
      <c r="B316" s="1708" t="s">
        <v>1770</v>
      </c>
      <c r="C316" s="1753" t="str">
        <f>HYPERLINK("#'報告_退職等年金P15'!M24","M24")</f>
        <v>M24</v>
      </c>
      <c r="D316" s="1708" t="s">
        <v>1775</v>
      </c>
      <c r="E316" s="1754">
        <f>IF(報告_退職等年金P15!M24="","",報告_退職等年金P15!M24)</f>
        <v>150897000</v>
      </c>
      <c r="F316" s="1708" t="s">
        <v>373</v>
      </c>
      <c r="G316" s="1709" t="str">
        <f t="shared" si="4"/>
        <v>入力済</v>
      </c>
      <c r="H316" s="1708" t="inlineStr">
        <is>
          <t>報告_退職等年金P15 M22,AG24</t>
        </is>
      </c>
      <c r="I316" s="1708" t="inlineStr">
        <is>
          <t>同じシート内のみ</t>
        </is>
      </c>
    </row>
    <row r="317" spans="1:9" ht="19.95" customHeight="1">
      <c r="A317" s="1755" t="s">
        <v>9</v>
      </c>
      <c r="B317" s="1711" t="s">
        <v>1770</v>
      </c>
      <c r="C317" s="1756" t="str">
        <f>HYPERLINK("#'報告_退職等年金P15'!W24","W24")</f>
        <v>W24</v>
      </c>
      <c r="D317" s="1711" t="s">
        <v>1776</v>
      </c>
      <c r="E317" s="1757">
        <f>IF(報告_退職等年金P15!W24="","",報告_退職等年金P15!W24)</f>
        <v>161687161</v>
      </c>
      <c r="F317" s="1711" t="s">
        <v>1644</v>
      </c>
      <c r="G317" s="1709" t="str">
        <f t="shared" si="4"/>
        <v>入力済</v>
      </c>
      <c r="H317" s="1708" t="inlineStr">
        <is>
          <t>報告_退職等年金P15 W22,AG24,BA24</t>
        </is>
      </c>
      <c r="I317" s="1708" t="inlineStr">
        <is>
          <t>退職等_貸借・損益、退職等_決算精算表</t>
        </is>
      </c>
    </row>
    <row r="318" spans="1:9" ht="19.95" customHeight="1">
      <c r="A318" s="1752" t="s">
        <v>9</v>
      </c>
      <c r="B318" s="1708" t="s">
        <v>1770</v>
      </c>
      <c r="C318" s="1753" t="str">
        <f>HYPERLINK("#'報告_退職等年金P15'!M25","M25")</f>
        <v>M25</v>
      </c>
      <c r="D318" s="1708" t="s">
        <v>1768</v>
      </c>
      <c r="E318" s="1754">
        <f>IF(報告_退職等年金P15!M25="","",報告_退職等年金P15!M25)</f>
        <v>0</v>
      </c>
      <c r="F318" s="1708" t="s">
        <v>373</v>
      </c>
      <c r="G318" s="1709" t="str">
        <f t="shared" si="4"/>
        <v>0（確認）</v>
      </c>
      <c r="H318" s="1708" t="inlineStr">
        <is>
          <t>報告_退職等年金P15 AG25</t>
        </is>
      </c>
      <c r="I318" s="1708" t="inlineStr">
        <is>
          <t>同じシート内のみ</t>
        </is>
      </c>
    </row>
    <row r="319" spans="1:9" ht="19.95" customHeight="1">
      <c r="A319" s="1755" t="s">
        <v>9</v>
      </c>
      <c r="B319" s="1711" t="s">
        <v>1770</v>
      </c>
      <c r="C319" s="1756" t="str">
        <f>HYPERLINK("#'報告_退職等年金P15'!W25","W25")</f>
        <v>W25</v>
      </c>
      <c r="D319" s="1711" t="s">
        <v>1769</v>
      </c>
      <c r="E319" s="1757">
        <f>IF(報告_退職等年金P15!W25="","",報告_退職等年金P15!W25)</f>
        <v>0</v>
      </c>
      <c r="F319" s="1711" t="s">
        <v>1644</v>
      </c>
      <c r="G319" s="1709" t="str">
        <f t="shared" si="4"/>
        <v>0（確認）</v>
      </c>
      <c r="H319" s="1708" t="inlineStr">
        <is>
          <t>報告_退職等年金P15 AG25,BA25</t>
        </is>
      </c>
      <c r="I319" s="1708" t="inlineStr">
        <is>
          <t>同じシート内のみ</t>
        </is>
      </c>
    </row>
    <row r="320" spans="1:9" ht="19.95" customHeight="1">
      <c r="A320" s="1752" t="s">
        <v>9</v>
      </c>
      <c r="B320" s="1708" t="s">
        <v>1770</v>
      </c>
      <c r="C320" s="1753" t="str">
        <f>HYPERLINK("#'報告_退職等年金P15'!M42","M42")</f>
        <v>M42</v>
      </c>
      <c r="D320" s="1708" t="s">
        <v>1768</v>
      </c>
      <c r="E320" s="1754">
        <f>IF(報告_退職等年金P15!M42="","",報告_退職等年金P15!M42)</f>
        <v>0</v>
      </c>
      <c r="F320" s="1708" t="s">
        <v>373</v>
      </c>
      <c r="G320" s="1709" t="str">
        <f t="shared" si="4"/>
        <v>0（確認）</v>
      </c>
      <c r="H320" s="1708" t="inlineStr">
        <is>
          <t>報告_退職等年金P15 M43,AG42</t>
        </is>
      </c>
      <c r="I320" s="1708" t="inlineStr">
        <is>
          <t>同じシート内のみ</t>
        </is>
      </c>
    </row>
    <row r="321" spans="1:9" ht="19.95" customHeight="1">
      <c r="A321" s="1755" t="s">
        <v>9</v>
      </c>
      <c r="B321" s="1711" t="s">
        <v>1770</v>
      </c>
      <c r="C321" s="1756" t="str">
        <f>HYPERLINK("#'報告_退職等年金P15'!W42","W42")</f>
        <v>W42</v>
      </c>
      <c r="D321" s="1711" t="s">
        <v>1769</v>
      </c>
      <c r="E321" s="1757">
        <f>IF(報告_退職等年金P15!W42="","",報告_退職等年金P15!W42)</f>
        <v>0</v>
      </c>
      <c r="F321" s="1711" t="s">
        <v>1644</v>
      </c>
      <c r="G321" s="1709" t="str">
        <f t="shared" si="4"/>
        <v>0（確認）</v>
      </c>
      <c r="H321" s="1708" t="inlineStr">
        <is>
          <t>報告_退職等年金P15 W43,AG42,BA42</t>
        </is>
      </c>
      <c r="I321" s="1708" t="inlineStr">
        <is>
          <t>同じシート内のみ</t>
        </is>
      </c>
    </row>
    <row r="322" spans="1:9" ht="19.95" customHeight="1">
      <c r="A322" s="1752" t="s">
        <v>10</v>
      </c>
      <c r="B322" s="1708" t="s">
        <v>1777</v>
      </c>
      <c r="C322" s="1753" t="str">
        <f>HYPERLINK("#'報告_経過的長期P16'!B10","B10")</f>
        <v>B10</v>
      </c>
      <c r="D322" s="1708" t="s">
        <v>1778</v>
      </c>
      <c r="E322" s="1754">
        <f>IF(報告_経過的長期P16!B10="","",報告_経過的長期P16!B10)</f>
        <v>9.3899999999999997E-2</v>
      </c>
      <c r="F322" s="1708" t="s">
        <v>1753</v>
      </c>
      <c r="G322" s="1709" t="str">
        <f t="shared" si="4"/>
        <v>入力済</v>
      </c>
      <c r="H322" s="1708" t="inlineStr">
        <is>
          <t>なし（このセルのみ）</t>
        </is>
      </c>
      <c r="I322" s="1708" t="inlineStr">
        <is>
          <t>―</t>
        </is>
      </c>
    </row>
    <row r="323" spans="1:9" ht="19.95" customHeight="1">
      <c r="A323" s="1755" t="s">
        <v>10</v>
      </c>
      <c r="B323" s="1711" t="s">
        <v>1777</v>
      </c>
      <c r="C323" s="1756" t="str">
        <f>HYPERLINK("#'報告_経過的長期P16'!N16","N16")</f>
        <v>N16</v>
      </c>
      <c r="D323" s="1711" t="s">
        <v>1755</v>
      </c>
      <c r="E323" s="1757">
        <f>IF(報告_経過的長期P16!N16="","",報告_経過的長期P16!N16)</f>
        <v>1.2</v>
      </c>
      <c r="F323" s="1711" t="s">
        <v>1753</v>
      </c>
      <c r="G323" s="1709" t="str">
        <f t="shared" si="4"/>
        <v>入力済</v>
      </c>
      <c r="H323" s="1708" t="inlineStr">
        <is>
          <t>なし（このセルのみ）</t>
        </is>
      </c>
      <c r="I323" s="1708" t="inlineStr">
        <is>
          <t>―</t>
        </is>
      </c>
    </row>
    <row r="324" spans="1:9" ht="19.95" customHeight="1">
      <c r="A324" s="1752" t="s">
        <v>10</v>
      </c>
      <c r="B324" s="1708" t="s">
        <v>1777</v>
      </c>
      <c r="C324" s="1753" t="str">
        <f>HYPERLINK("#'報告_経過的長期P16'!M26","M26")</f>
        <v>M26</v>
      </c>
      <c r="D324" s="1708" t="s">
        <v>1756</v>
      </c>
      <c r="E324" s="1754">
        <f>IF(報告_経過的長期P16!M26="","",報告_経過的長期P16!M26)</f>
        <v>5997000</v>
      </c>
      <c r="F324" s="1708" t="s">
        <v>373</v>
      </c>
      <c r="G324" s="1709" t="str">
        <f t="shared" si="4"/>
        <v>入力済</v>
      </c>
      <c r="H324" s="1708" t="inlineStr">
        <is>
          <t>報告_経過的長期P16 M25,AG26</t>
        </is>
      </c>
      <c r="I324" s="1708" t="inlineStr">
        <is>
          <t>同じシート内のみ</t>
        </is>
      </c>
    </row>
    <row r="325" spans="1:9" ht="19.95" customHeight="1">
      <c r="A325" s="1755" t="s">
        <v>10</v>
      </c>
      <c r="B325" s="1711" t="s">
        <v>1777</v>
      </c>
      <c r="C325" s="1756" t="str">
        <f>HYPERLINK("#'報告_経過的長期P16'!W26","W26")</f>
        <v>W26</v>
      </c>
      <c r="D325" s="1711" t="s">
        <v>1757</v>
      </c>
      <c r="E325" s="1757">
        <f>IF(報告_経過的長期P16!W26="","",報告_経過的長期P16!W26)</f>
        <v>6155801</v>
      </c>
      <c r="F325" s="1711" t="s">
        <v>1644</v>
      </c>
      <c r="G325" s="1709" t="str">
        <f t="shared" si="4"/>
        <v>入力済</v>
      </c>
      <c r="H325" s="1708" t="inlineStr">
        <is>
          <t>報告_経過的長期P16 W25,AG26,BA26</t>
        </is>
      </c>
      <c r="I325" s="1708" t="inlineStr">
        <is>
          <t>経過的_貸借・損益、経過的_決算精算表</t>
        </is>
      </c>
    </row>
    <row r="326" spans="1:9" ht="19.95" customHeight="1">
      <c r="A326" s="1752" t="s">
        <v>10</v>
      </c>
      <c r="B326" s="1708" t="s">
        <v>1777</v>
      </c>
      <c r="C326" s="1753" t="str">
        <f>HYPERLINK("#'報告_経過的長期P16'!M27","M27")</f>
        <v>M27</v>
      </c>
      <c r="D326" s="1708" t="s">
        <v>1758</v>
      </c>
      <c r="E326" s="1754">
        <f>IF(報告_経過的長期P16!M27="","",報告_経過的長期P16!M27)</f>
        <v>1915000</v>
      </c>
      <c r="F326" s="1708" t="s">
        <v>373</v>
      </c>
      <c r="G326" s="1709" t="str">
        <f t="shared" ref="G326:G389" si="5">IF(E326="","未入力（空欄）",IF(E326=0,"0（確認）","入力済"))</f>
        <v>入力済</v>
      </c>
      <c r="H326" s="1708" t="inlineStr">
        <is>
          <t>報告_経過的長期P16 M25,AG27</t>
        </is>
      </c>
      <c r="I326" s="1708" t="inlineStr">
        <is>
          <t>同じシート内のみ</t>
        </is>
      </c>
    </row>
    <row r="327" spans="1:9" ht="19.95" customHeight="1">
      <c r="A327" s="1755" t="s">
        <v>10</v>
      </c>
      <c r="B327" s="1711" t="s">
        <v>1777</v>
      </c>
      <c r="C327" s="1756" t="str">
        <f>HYPERLINK("#'報告_経過的長期P16'!W27","W27")</f>
        <v>W27</v>
      </c>
      <c r="D327" s="1711" t="s">
        <v>1759</v>
      </c>
      <c r="E327" s="1757">
        <f>IF(報告_経過的長期P16!W27="","",報告_経過的長期P16!W27)</f>
        <v>2051455</v>
      </c>
      <c r="F327" s="1711" t="s">
        <v>1644</v>
      </c>
      <c r="G327" s="1709" t="str">
        <f t="shared" si="5"/>
        <v>入力済</v>
      </c>
      <c r="H327" s="1708" t="inlineStr">
        <is>
          <t>報告_経過的長期P16 W25,AG27,BA27</t>
        </is>
      </c>
      <c r="I327" s="1708" t="inlineStr">
        <is>
          <t>経過的_貸借・損益、経過的_決算精算表</t>
        </is>
      </c>
    </row>
    <row r="328" spans="1:9" ht="19.95" customHeight="1">
      <c r="A328" s="1752" t="s">
        <v>10</v>
      </c>
      <c r="B328" s="1708" t="s">
        <v>1777</v>
      </c>
      <c r="C328" s="1753" t="str">
        <f>HYPERLINK("#'報告_経過的長期P16'!M28","M28")</f>
        <v>M28</v>
      </c>
      <c r="D328" s="1708" t="s">
        <v>1762</v>
      </c>
      <c r="E328" s="1754">
        <f>IF(報告_経過的長期P16!M28="","",報告_経過的長期P16!M28)</f>
        <v>76359000</v>
      </c>
      <c r="F328" s="1708" t="s">
        <v>373</v>
      </c>
      <c r="G328" s="1709" t="str">
        <f t="shared" si="5"/>
        <v>入力済</v>
      </c>
      <c r="H328" s="1708" t="inlineStr">
        <is>
          <t>報告_経過的長期P16 M25,AG28</t>
        </is>
      </c>
      <c r="I328" s="1708" t="inlineStr">
        <is>
          <t>同じシート内のみ</t>
        </is>
      </c>
    </row>
    <row r="329" spans="1:9" ht="19.95" customHeight="1">
      <c r="A329" s="1755" t="s">
        <v>10</v>
      </c>
      <c r="B329" s="1711" t="s">
        <v>1777</v>
      </c>
      <c r="C329" s="1756" t="str">
        <f>HYPERLINK("#'報告_経過的長期P16'!W28","W28")</f>
        <v>W28</v>
      </c>
      <c r="D329" s="1711" t="s">
        <v>1763</v>
      </c>
      <c r="E329" s="1757">
        <f>IF(報告_経過的長期P16!W28="","",報告_経過的長期P16!W28)</f>
        <v>77412960</v>
      </c>
      <c r="F329" s="1711" t="s">
        <v>1644</v>
      </c>
      <c r="G329" s="1709" t="str">
        <f t="shared" si="5"/>
        <v>入力済</v>
      </c>
      <c r="H329" s="1708" t="inlineStr">
        <is>
          <t>報告_経過的長期P16 W25,AG28,BA28</t>
        </is>
      </c>
      <c r="I329" s="1708" t="inlineStr">
        <is>
          <t>経過的_貸借・損益、経過的_決算精算表</t>
        </is>
      </c>
    </row>
    <row r="330" spans="1:9" ht="19.95" customHeight="1">
      <c r="A330" s="1752" t="s">
        <v>10</v>
      </c>
      <c r="B330" s="1708" t="s">
        <v>1777</v>
      </c>
      <c r="C330" s="1753" t="str">
        <f>HYPERLINK("#'報告_経過的長期P16'!M29","M29")</f>
        <v>M29</v>
      </c>
      <c r="D330" s="1708" t="s">
        <v>1779</v>
      </c>
      <c r="E330" s="1754">
        <f>IF(報告_経過的長期P16!M29="","",報告_経過的長期P16!M29)</f>
        <v>0</v>
      </c>
      <c r="F330" s="1708" t="s">
        <v>373</v>
      </c>
      <c r="G330" s="1709" t="str">
        <f t="shared" si="5"/>
        <v>0（確認）</v>
      </c>
      <c r="H330" s="1708" t="inlineStr">
        <is>
          <t>報告_経過的長期P16 M25,AG29</t>
        </is>
      </c>
      <c r="I330" s="1708" t="inlineStr">
        <is>
          <t>同じシート内のみ</t>
        </is>
      </c>
    </row>
    <row r="331" spans="1:9" ht="19.95" customHeight="1">
      <c r="A331" s="1755" t="s">
        <v>10</v>
      </c>
      <c r="B331" s="1711" t="s">
        <v>1777</v>
      </c>
      <c r="C331" s="1756" t="str">
        <f>HYPERLINK("#'報告_経過的長期P16'!W29","W29")</f>
        <v>W29</v>
      </c>
      <c r="D331" s="1711" t="s">
        <v>1780</v>
      </c>
      <c r="E331" s="1757">
        <f>IF(報告_経過的長期P16!W29="","",報告_経過的長期P16!W29)</f>
        <v>0</v>
      </c>
      <c r="F331" s="1711" t="s">
        <v>1644</v>
      </c>
      <c r="G331" s="1709" t="str">
        <f t="shared" si="5"/>
        <v>0（確認）</v>
      </c>
      <c r="H331" s="1708" t="inlineStr">
        <is>
          <t>報告_経過的長期P16 W25,AG29,BA29</t>
        </is>
      </c>
      <c r="I331" s="1708" t="inlineStr">
        <is>
          <t>経過的_貸借・損益、経過的_決算精算表</t>
        </is>
      </c>
    </row>
    <row r="332" spans="1:9" ht="19.95" customHeight="1">
      <c r="A332" s="1752" t="s">
        <v>10</v>
      </c>
      <c r="B332" s="1708" t="s">
        <v>1777</v>
      </c>
      <c r="C332" s="1753" t="str">
        <f>HYPERLINK("#'報告_経過的長期P16'!M30","M30")</f>
        <v>M30</v>
      </c>
      <c r="D332" s="1708" t="s">
        <v>1768</v>
      </c>
      <c r="E332" s="1754">
        <f>IF(報告_経過的長期P16!M30="","",報告_経過的長期P16!M30)</f>
        <v>0</v>
      </c>
      <c r="F332" s="1708" t="s">
        <v>373</v>
      </c>
      <c r="G332" s="1709" t="str">
        <f t="shared" si="5"/>
        <v>0（確認）</v>
      </c>
      <c r="H332" s="1708" t="inlineStr">
        <is>
          <t>報告_経過的長期P16 AG30</t>
        </is>
      </c>
      <c r="I332" s="1708" t="inlineStr">
        <is>
          <t>同じシート内のみ</t>
        </is>
      </c>
    </row>
    <row r="333" spans="1:9" ht="19.95" customHeight="1">
      <c r="A333" s="1755" t="s">
        <v>10</v>
      </c>
      <c r="B333" s="1711" t="s">
        <v>1777</v>
      </c>
      <c r="C333" s="1756" t="str">
        <f>HYPERLINK("#'報告_経過的長期P16'!W30","W30")</f>
        <v>W30</v>
      </c>
      <c r="D333" s="1711" t="s">
        <v>1769</v>
      </c>
      <c r="E333" s="1757">
        <f>IF(報告_経過的長期P16!W30="","",報告_経過的長期P16!W30)</f>
        <v>0</v>
      </c>
      <c r="F333" s="1711" t="s">
        <v>1644</v>
      </c>
      <c r="G333" s="1709" t="str">
        <f t="shared" si="5"/>
        <v>0（確認）</v>
      </c>
      <c r="H333" s="1708" t="inlineStr">
        <is>
          <t>報告_経過的長期P16 AG30,BA30</t>
        </is>
      </c>
      <c r="I333" s="1708" t="inlineStr">
        <is>
          <t>同じシート内のみ</t>
        </is>
      </c>
    </row>
    <row r="334" spans="1:9" ht="19.95" customHeight="1">
      <c r="A334" s="1752" t="s">
        <v>10</v>
      </c>
      <c r="B334" s="1708" t="s">
        <v>1777</v>
      </c>
      <c r="C334" s="1753" t="str">
        <f>HYPERLINK("#'報告_経過的長期P16'!M44","M44")</f>
        <v>M44</v>
      </c>
      <c r="D334" s="1708" t="s">
        <v>1768</v>
      </c>
      <c r="E334" s="1754">
        <f>IF(報告_経過的長期P16!M44="","",報告_経過的長期P16!M44)</f>
        <v>0</v>
      </c>
      <c r="F334" s="1708" t="s">
        <v>373</v>
      </c>
      <c r="G334" s="1709" t="str">
        <f t="shared" si="5"/>
        <v>0（確認）</v>
      </c>
      <c r="H334" s="1708" t="inlineStr">
        <is>
          <t>報告_経過的長期P16 M45,AG44</t>
        </is>
      </c>
      <c r="I334" s="1708" t="inlineStr">
        <is>
          <t>同じシート内のみ</t>
        </is>
      </c>
    </row>
    <row r="335" spans="1:9" ht="19.95" customHeight="1">
      <c r="A335" s="1755" t="s">
        <v>11</v>
      </c>
      <c r="B335" s="1711" t="s">
        <v>1781</v>
      </c>
      <c r="C335" s="1756" t="str">
        <f>HYPERLINK("#'報告_預託金P17'!F8","F8")</f>
        <v>F8</v>
      </c>
      <c r="D335" s="1711" t="s">
        <v>1782</v>
      </c>
      <c r="E335" s="1757">
        <f>IF(報告_預託金P17!F8="","",報告_預託金P17!F8)</f>
        <v>113000</v>
      </c>
      <c r="F335" s="1711" t="s">
        <v>373</v>
      </c>
      <c r="G335" s="1709" t="str">
        <f t="shared" si="5"/>
        <v>入力済</v>
      </c>
      <c r="H335" s="1708" t="inlineStr">
        <is>
          <t>報告_預託金P17 F10,F17,H8</t>
        </is>
      </c>
      <c r="I335" s="1708" t="inlineStr">
        <is>
          <t>同じシート内のみ</t>
        </is>
      </c>
    </row>
    <row r="336" spans="1:9" ht="19.95" customHeight="1">
      <c r="A336" s="1752" t="s">
        <v>11</v>
      </c>
      <c r="B336" s="1708" t="s">
        <v>1781</v>
      </c>
      <c r="C336" s="1753" t="str">
        <f>HYPERLINK("#'報告_預託金P17'!F9","F9")</f>
        <v>F9</v>
      </c>
      <c r="D336" s="1708" t="s">
        <v>1768</v>
      </c>
      <c r="E336" s="1754">
        <f>IF(報告_預託金P17!F9="","",報告_預託金P17!F9)</f>
        <v>0</v>
      </c>
      <c r="F336" s="1708" t="s">
        <v>373</v>
      </c>
      <c r="G336" s="1709" t="str">
        <f t="shared" si="5"/>
        <v>0（確認）</v>
      </c>
      <c r="H336" s="1708" t="inlineStr">
        <is>
          <t>報告_預託金P17 F10,H9</t>
        </is>
      </c>
      <c r="I336" s="1708" t="inlineStr">
        <is>
          <t>同じシート内のみ</t>
        </is>
      </c>
    </row>
    <row r="337" spans="1:9" ht="19.95" customHeight="1">
      <c r="A337" s="1755" t="s">
        <v>11</v>
      </c>
      <c r="B337" s="1711" t="s">
        <v>1781</v>
      </c>
      <c r="C337" s="1756" t="str">
        <f>HYPERLINK("#'報告_預託金P17'!G9","G9")</f>
        <v>G9</v>
      </c>
      <c r="D337" s="1711" t="s">
        <v>1769</v>
      </c>
      <c r="E337" s="1757">
        <f>IF(報告_預託金P17!G9="","",報告_預託金P17!G9)</f>
        <v>0</v>
      </c>
      <c r="F337" s="1711" t="s">
        <v>1644</v>
      </c>
      <c r="G337" s="1709" t="str">
        <f t="shared" si="5"/>
        <v>0（確認）</v>
      </c>
      <c r="H337" s="1708" t="inlineStr">
        <is>
          <t>報告_預託金P17 G10,H9,J9</t>
        </is>
      </c>
      <c r="I337" s="1708" t="inlineStr">
        <is>
          <t>同じシート内のみ</t>
        </is>
      </c>
    </row>
    <row r="338" spans="1:9" ht="19.95" customHeight="1">
      <c r="A338" s="1752" t="s">
        <v>11</v>
      </c>
      <c r="B338" s="1708" t="s">
        <v>1781</v>
      </c>
      <c r="C338" s="1753" t="str">
        <f>HYPERLINK("#'報告_預託金P17'!F18","F18")</f>
        <v>F18</v>
      </c>
      <c r="D338" s="1708" t="s">
        <v>1768</v>
      </c>
      <c r="E338" s="1754">
        <f>IF(報告_預託金P17!F18="","",報告_預託金P17!F18)</f>
        <v>0</v>
      </c>
      <c r="F338" s="1708" t="s">
        <v>373</v>
      </c>
      <c r="G338" s="1709" t="str">
        <f t="shared" si="5"/>
        <v>0（確認）</v>
      </c>
      <c r="H338" s="1708" t="inlineStr">
        <is>
          <t>報告_預託金P17 F19,H18</t>
        </is>
      </c>
      <c r="I338" s="1708" t="inlineStr">
        <is>
          <t>同じシート内のみ</t>
        </is>
      </c>
    </row>
    <row r="339" spans="1:9" ht="19.95" customHeight="1">
      <c r="A339" s="1755" t="s">
        <v>11</v>
      </c>
      <c r="B339" s="1711" t="s">
        <v>1781</v>
      </c>
      <c r="C339" s="1756" t="str">
        <f>HYPERLINK("#'報告_預託金P17'!G18","G18")</f>
        <v>G18</v>
      </c>
      <c r="D339" s="1711" t="s">
        <v>1769</v>
      </c>
      <c r="E339" s="1757">
        <f>IF(報告_預託金P17!G18="","",報告_預託金P17!G18)</f>
        <v>0</v>
      </c>
      <c r="F339" s="1711" t="s">
        <v>1644</v>
      </c>
      <c r="G339" s="1709" t="str">
        <f t="shared" si="5"/>
        <v>0（確認）</v>
      </c>
      <c r="H339" s="1708" t="inlineStr">
        <is>
          <t>報告_預託金P17 G19,H18,J18</t>
        </is>
      </c>
      <c r="I339" s="1708" t="inlineStr">
        <is>
          <t>同じシート内のみ</t>
        </is>
      </c>
    </row>
    <row r="340" spans="1:9" ht="19.95" customHeight="1">
      <c r="A340" s="1752" t="s">
        <v>11</v>
      </c>
      <c r="B340" s="1708" t="s">
        <v>1783</v>
      </c>
      <c r="C340" s="1753" t="str">
        <f>HYPERLINK("#'報告_預託金のカメラ'!D6","D6")</f>
        <v>D6</v>
      </c>
      <c r="D340" s="1708" t="s">
        <v>1784</v>
      </c>
      <c r="E340" s="1754">
        <f>IF(報告_預託金のカメラ!D6="","",報告_預託金のカメラ!D6)</f>
        <v>0</v>
      </c>
      <c r="F340" s="1708" t="s">
        <v>373</v>
      </c>
      <c r="G340" s="1709" t="str">
        <f t="shared" si="5"/>
        <v>0（確認）</v>
      </c>
      <c r="H340" s="1708" t="inlineStr">
        <is>
          <t>報告_預託金のカメラ D8,E6,H6</t>
        </is>
      </c>
      <c r="I340" s="1708" t="inlineStr">
        <is>
          <t>同じシート内のみ</t>
        </is>
      </c>
    </row>
    <row r="341" spans="1:9" ht="19.95" customHeight="1">
      <c r="A341" s="1755" t="s">
        <v>11</v>
      </c>
      <c r="B341" s="1711" t="s">
        <v>1783</v>
      </c>
      <c r="C341" s="1756" t="str">
        <f>HYPERLINK("#'報告_預託金のカメラ'!D7","D7")</f>
        <v>D7</v>
      </c>
      <c r="D341" s="1711" t="s">
        <v>1785</v>
      </c>
      <c r="E341" s="1757">
        <f>IF(報告_預託金のカメラ!D7="","",報告_預託金のカメラ!D7)</f>
        <v>0</v>
      </c>
      <c r="F341" s="1711" t="s">
        <v>373</v>
      </c>
      <c r="G341" s="1709" t="str">
        <f t="shared" si="5"/>
        <v>0（確認）</v>
      </c>
      <c r="H341" s="1708" t="inlineStr">
        <is>
          <t>報告_預託金のカメラ D8,E7,H7</t>
        </is>
      </c>
      <c r="I341" s="1708" t="inlineStr">
        <is>
          <t>同じシート内のみ</t>
        </is>
      </c>
    </row>
    <row r="342" spans="1:9" ht="19.95" customHeight="1">
      <c r="A342" s="1752" t="s">
        <v>11</v>
      </c>
      <c r="B342" s="1708" t="s">
        <v>1783</v>
      </c>
      <c r="C342" s="1753" t="str">
        <f>HYPERLINK("#'報告_預託金のカメラ'!D9","D9")</f>
        <v>D9</v>
      </c>
      <c r="D342" s="1708" t="s">
        <v>1786</v>
      </c>
      <c r="E342" s="1754">
        <f>IF(報告_預託金のカメラ!D9="","",報告_預託金のカメラ!D9)</f>
        <v>0</v>
      </c>
      <c r="F342" s="1708" t="s">
        <v>373</v>
      </c>
      <c r="G342" s="1709" t="str">
        <f t="shared" si="5"/>
        <v>0（確認）</v>
      </c>
      <c r="H342" s="1708" t="inlineStr">
        <is>
          <t>報告_預託金のカメラ D11,E9,H9</t>
        </is>
      </c>
      <c r="I342" s="1708" t="inlineStr">
        <is>
          <t>同じシート内のみ</t>
        </is>
      </c>
    </row>
    <row r="343" spans="1:9" ht="19.95" customHeight="1">
      <c r="A343" s="1755" t="s">
        <v>11</v>
      </c>
      <c r="B343" s="1711" t="s">
        <v>1783</v>
      </c>
      <c r="C343" s="1756" t="str">
        <f>HYPERLINK("#'報告_預託金のカメラ'!D10","D10")</f>
        <v>D10</v>
      </c>
      <c r="D343" s="1711" t="s">
        <v>1785</v>
      </c>
      <c r="E343" s="1757">
        <f>IF(報告_預託金のカメラ!D10="","",報告_預託金のカメラ!D10)</f>
        <v>0</v>
      </c>
      <c r="F343" s="1711" t="s">
        <v>373</v>
      </c>
      <c r="G343" s="1709" t="str">
        <f t="shared" si="5"/>
        <v>0（確認）</v>
      </c>
      <c r="H343" s="1708" t="inlineStr">
        <is>
          <t>報告_預託金のカメラ D11,E10,H10</t>
        </is>
      </c>
      <c r="I343" s="1708" t="inlineStr">
        <is>
          <t>同じシート内のみ</t>
        </is>
      </c>
    </row>
    <row r="344" spans="1:9" ht="19.95" customHeight="1">
      <c r="A344" s="1752" t="s">
        <v>11</v>
      </c>
      <c r="B344" s="1708" t="s">
        <v>1783</v>
      </c>
      <c r="C344" s="1753" t="str">
        <f>HYPERLINK("#'報告_預託金のカメラ'!F10","F10")</f>
        <v>F10</v>
      </c>
      <c r="D344" s="1708" t="s">
        <v>1785</v>
      </c>
      <c r="E344" s="1754">
        <f>IF(報告_預託金のカメラ!F10="","",報告_預託金のカメラ!F10)</f>
        <v>0</v>
      </c>
      <c r="F344" s="1708" t="s">
        <v>1644</v>
      </c>
      <c r="G344" s="1709" t="str">
        <f t="shared" si="5"/>
        <v>0（確認）</v>
      </c>
      <c r="H344" s="1708" t="inlineStr">
        <is>
          <t>報告_預託金のカメラ F11,G10,H10…</t>
        </is>
      </c>
      <c r="I344" s="1708" t="inlineStr">
        <is>
          <t>同じシート内のみ</t>
        </is>
      </c>
    </row>
    <row r="345" spans="1:9" ht="19.95" customHeight="1">
      <c r="A345" s="1755" t="s">
        <v>12</v>
      </c>
      <c r="B345" s="1711" t="s">
        <v>1787</v>
      </c>
      <c r="C345" s="1756" t="str">
        <f>HYPERLINK("#'報告_業務P18'!AJ7","AJ7")</f>
        <v>AJ7</v>
      </c>
      <c r="D345" s="1711" t="s">
        <v>1788</v>
      </c>
      <c r="E345" s="1757">
        <f>IF(報告_業務P18!AJ7="","",報告_業務P18!AJ7)</f>
        <v>6038</v>
      </c>
      <c r="F345" s="1711" t="s">
        <v>1644</v>
      </c>
      <c r="G345" s="1709" t="str">
        <f t="shared" si="5"/>
        <v>入力済</v>
      </c>
      <c r="H345" s="1708" t="inlineStr">
        <is>
          <t>報告_業務P18 AU7</t>
        </is>
      </c>
      <c r="I345" s="1708" t="inlineStr">
        <is>
          <t>同じシート内のみ</t>
        </is>
      </c>
    </row>
    <row r="346" spans="1:9" ht="19.95" customHeight="1">
      <c r="A346" s="1752" t="s">
        <v>12</v>
      </c>
      <c r="B346" s="1708" t="s">
        <v>1787</v>
      </c>
      <c r="C346" s="1753" t="str">
        <f>HYPERLINK("#'報告_業務P18'!AJ8","AJ8")</f>
        <v>AJ8</v>
      </c>
      <c r="D346" s="1708" t="s">
        <v>1789</v>
      </c>
      <c r="E346" s="1754">
        <f>IF(報告_業務P18!AJ8="","",報告_業務P18!AJ8)</f>
        <v>1863</v>
      </c>
      <c r="F346" s="1708" t="s">
        <v>1644</v>
      </c>
      <c r="G346" s="1709" t="str">
        <f t="shared" si="5"/>
        <v>入力済</v>
      </c>
      <c r="H346" s="1708" t="inlineStr">
        <is>
          <t>報告_業務P18 AJ6,AU8</t>
        </is>
      </c>
      <c r="I346" s="1708" t="inlineStr">
        <is>
          <t>同じシート内のみ</t>
        </is>
      </c>
    </row>
    <row r="347" spans="1:9" ht="19.95" customHeight="1">
      <c r="A347" s="1755" t="s">
        <v>12</v>
      </c>
      <c r="B347" s="1711" t="s">
        <v>1787</v>
      </c>
      <c r="C347" s="1756" t="str">
        <f>HYPERLINK("#'報告_業務P18'!AJ9","AJ9")</f>
        <v>AJ9</v>
      </c>
      <c r="D347" s="1711" t="s">
        <v>1790</v>
      </c>
      <c r="E347" s="1757">
        <f>IF(報告_業務P18!AJ9="","",報告_業務P18!AJ9)</f>
        <v>1635</v>
      </c>
      <c r="F347" s="1711" t="s">
        <v>1644</v>
      </c>
      <c r="G347" s="1709" t="str">
        <f t="shared" si="5"/>
        <v>入力済</v>
      </c>
      <c r="H347" s="1708" t="inlineStr">
        <is>
          <t>報告_業務P18 AJ6,AU9</t>
        </is>
      </c>
      <c r="I347" s="1708" t="inlineStr">
        <is>
          <t>同じシート内のみ</t>
        </is>
      </c>
    </row>
    <row r="348" spans="1:9" ht="19.95" customHeight="1">
      <c r="A348" s="1752" t="s">
        <v>12</v>
      </c>
      <c r="B348" s="1708" t="s">
        <v>1787</v>
      </c>
      <c r="C348" s="1753" t="str">
        <f>HYPERLINK("#'報告_業務P18'!AJ10","AJ10")</f>
        <v>AJ10</v>
      </c>
      <c r="D348" s="1708" t="s">
        <v>1791</v>
      </c>
      <c r="E348" s="1754">
        <f>IF(報告_業務P18!AJ10="","",報告_業務P18!AJ10)</f>
        <v>1616</v>
      </c>
      <c r="F348" s="1708" t="s">
        <v>1644</v>
      </c>
      <c r="G348" s="1709" t="str">
        <f t="shared" si="5"/>
        <v>入力済</v>
      </c>
      <c r="H348" s="1708" t="inlineStr">
        <is>
          <t>報告_業務P18 AJ6,AU10</t>
        </is>
      </c>
      <c r="I348" s="1708" t="inlineStr">
        <is>
          <t>同じシート内のみ</t>
        </is>
      </c>
    </row>
    <row r="349" spans="1:9" ht="19.95" customHeight="1">
      <c r="A349" s="1755" t="s">
        <v>12</v>
      </c>
      <c r="B349" s="1711" t="s">
        <v>1787</v>
      </c>
      <c r="C349" s="1756" t="str">
        <f>HYPERLINK("#'報告_業務P18'!AJ11","AJ11")</f>
        <v>AJ11</v>
      </c>
      <c r="D349" s="1711" t="s">
        <v>1792</v>
      </c>
      <c r="E349" s="1757">
        <f>IF(報告_業務P18!AJ11="","",報告_業務P18!AJ11)</f>
        <v>0</v>
      </c>
      <c r="F349" s="1711" t="s">
        <v>1644</v>
      </c>
      <c r="G349" s="1709" t="str">
        <f t="shared" si="5"/>
        <v>0（確認）</v>
      </c>
      <c r="H349" s="1708" t="inlineStr">
        <is>
          <t>報告_業務P18 AJ6,AU11</t>
        </is>
      </c>
      <c r="I349" s="1708" t="inlineStr">
        <is>
          <t>同じシート内のみ</t>
        </is>
      </c>
    </row>
    <row r="350" spans="1:9" ht="19.95" customHeight="1">
      <c r="A350" s="1752" t="s">
        <v>12</v>
      </c>
      <c r="B350" s="1708" t="s">
        <v>1787</v>
      </c>
      <c r="C350" s="1753" t="str">
        <f>HYPERLINK("#'報告_業務P18'!AJ21","AJ21")</f>
        <v>AJ21</v>
      </c>
      <c r="D350" s="1708" t="s">
        <v>1793</v>
      </c>
      <c r="E350" s="1754">
        <f>IF(報告_業務P18!AJ21="","",報告_業務P18!AJ21)</f>
        <v>170</v>
      </c>
      <c r="F350" s="1708" t="s">
        <v>1644</v>
      </c>
      <c r="G350" s="1709" t="str">
        <f t="shared" si="5"/>
        <v>入力済</v>
      </c>
      <c r="H350" s="1708" t="inlineStr">
        <is>
          <t>報告_業務P18 AU21</t>
        </is>
      </c>
      <c r="I350" s="1708" t="inlineStr">
        <is>
          <t>同じシート内のみ</t>
        </is>
      </c>
    </row>
    <row r="351" spans="1:9" ht="19.95" customHeight="1">
      <c r="A351" s="1755" t="s">
        <v>12</v>
      </c>
      <c r="B351" s="1711" t="s">
        <v>1787</v>
      </c>
      <c r="C351" s="1756" t="str">
        <f>HYPERLINK("#'報告_業務P18'!M27","M27")</f>
        <v>M27</v>
      </c>
      <c r="D351" s="1711" t="s">
        <v>1794</v>
      </c>
      <c r="E351" s="1757">
        <f>IF(報告_業務P18!M27="","",報告_業務P18!M27)</f>
        <v>94968000</v>
      </c>
      <c r="F351" s="1711" t="s">
        <v>373</v>
      </c>
      <c r="G351" s="1709" t="str">
        <f t="shared" si="5"/>
        <v>入力済</v>
      </c>
      <c r="H351" s="1708" t="inlineStr">
        <is>
          <t>報告_業務P18 M32,AE27</t>
        </is>
      </c>
      <c r="I351" s="1708" t="inlineStr">
        <is>
          <t>同じシート内のみ</t>
        </is>
      </c>
    </row>
    <row r="352" spans="1:9" ht="19.95" customHeight="1">
      <c r="A352" s="1752" t="s">
        <v>12</v>
      </c>
      <c r="B352" s="1708" t="s">
        <v>1787</v>
      </c>
      <c r="C352" s="1753" t="str">
        <f>HYPERLINK("#'報告_業務P18'!M28","M28")</f>
        <v>M28</v>
      </c>
      <c r="D352" s="1708" t="s">
        <v>1652</v>
      </c>
      <c r="E352" s="1754">
        <f>IF(報告_業務P18!M28="","",報告_業務P18!M28)</f>
        <v>23147000</v>
      </c>
      <c r="F352" s="1708" t="s">
        <v>373</v>
      </c>
      <c r="G352" s="1709" t="str">
        <f t="shared" si="5"/>
        <v>入力済</v>
      </c>
      <c r="H352" s="1708" t="inlineStr">
        <is>
          <t>報告_業務P18 M32,AE28</t>
        </is>
      </c>
      <c r="I352" s="1708" t="inlineStr">
        <is>
          <t>同じシート内のみ</t>
        </is>
      </c>
    </row>
    <row r="353" spans="1:9" ht="19.95" customHeight="1">
      <c r="A353" s="1755" t="s">
        <v>12</v>
      </c>
      <c r="B353" s="1711" t="s">
        <v>1787</v>
      </c>
      <c r="C353" s="1756" t="str">
        <f>HYPERLINK("#'報告_業務P18'!M29","M29")</f>
        <v>M29</v>
      </c>
      <c r="D353" s="1711" t="s">
        <v>1782</v>
      </c>
      <c r="E353" s="1757">
        <f>IF(報告_業務P18!M29="","",報告_業務P18!M29)</f>
        <v>0</v>
      </c>
      <c r="F353" s="1711" t="s">
        <v>373</v>
      </c>
      <c r="G353" s="1709" t="str">
        <f t="shared" si="5"/>
        <v>0（確認）</v>
      </c>
      <c r="H353" s="1708" t="inlineStr">
        <is>
          <t>報告_業務P18 M32,AE29</t>
        </is>
      </c>
      <c r="I353" s="1708" t="inlineStr">
        <is>
          <t>同じシート内のみ</t>
        </is>
      </c>
    </row>
    <row r="354" spans="1:9" ht="19.95" customHeight="1">
      <c r="A354" s="1752" t="s">
        <v>12</v>
      </c>
      <c r="B354" s="1708" t="s">
        <v>1787</v>
      </c>
      <c r="C354" s="1753" t="str">
        <f>HYPERLINK("#'報告_業務P18'!M30","M30")</f>
        <v>M30</v>
      </c>
      <c r="D354" s="1708" t="s">
        <v>1795</v>
      </c>
      <c r="E354" s="1754">
        <f>IF(報告_業務P18!M30="","",報告_業務P18!M30)</f>
        <v>13605000</v>
      </c>
      <c r="F354" s="1708" t="s">
        <v>373</v>
      </c>
      <c r="G354" s="1709" t="str">
        <f t="shared" si="5"/>
        <v>入力済</v>
      </c>
      <c r="H354" s="1708" t="inlineStr">
        <is>
          <t>報告_業務P18 M32,AE30</t>
        </is>
      </c>
      <c r="I354" s="1708" t="inlineStr">
        <is>
          <t>同じシート内のみ</t>
        </is>
      </c>
    </row>
    <row r="355" spans="1:9" ht="19.95" customHeight="1">
      <c r="A355" s="1755" t="s">
        <v>12</v>
      </c>
      <c r="B355" s="1711" t="s">
        <v>1787</v>
      </c>
      <c r="C355" s="1756" t="str">
        <f>HYPERLINK("#'報告_業務P18'!M31","M31")</f>
        <v>M31</v>
      </c>
      <c r="D355" s="1711" t="s">
        <v>1768</v>
      </c>
      <c r="E355" s="1757">
        <f>IF(報告_業務P18!M31="","",報告_業務P18!M31)</f>
        <v>0</v>
      </c>
      <c r="F355" s="1711" t="s">
        <v>373</v>
      </c>
      <c r="G355" s="1709" t="str">
        <f t="shared" si="5"/>
        <v>0（確認）</v>
      </c>
      <c r="H355" s="1708" t="inlineStr">
        <is>
          <t>報告_業務P18 M32,AE31</t>
        </is>
      </c>
      <c r="I355" s="1708" t="inlineStr">
        <is>
          <t>同じシート内のみ</t>
        </is>
      </c>
    </row>
    <row r="356" spans="1:9" ht="19.95" customHeight="1">
      <c r="A356" s="1752" t="s">
        <v>12</v>
      </c>
      <c r="B356" s="1708" t="s">
        <v>1498</v>
      </c>
      <c r="C356" s="1753" t="str">
        <f>HYPERLINK("#'報告_業務P19'!M5","M5")</f>
        <v>M5</v>
      </c>
      <c r="D356" s="1708" t="s">
        <v>1796</v>
      </c>
      <c r="E356" s="1754">
        <f>IF(報告_業務P19!M5="","",報告_業務P19!M5)</f>
        <v>33000</v>
      </c>
      <c r="F356" s="1708" t="s">
        <v>373</v>
      </c>
      <c r="G356" s="1709" t="str">
        <f t="shared" si="5"/>
        <v>入力済</v>
      </c>
      <c r="H356" s="1708" t="inlineStr">
        <is>
          <t>報告_業務P19 M26,AE5、業務_附属明細表 E122</t>
        </is>
      </c>
      <c r="I356" s="1708" t="inlineStr">
        <is>
          <t>業務_附属明細表</t>
        </is>
      </c>
    </row>
    <row r="357" spans="1:9" ht="19.95" customHeight="1">
      <c r="A357" s="1755" t="s">
        <v>12</v>
      </c>
      <c r="B357" s="1711" t="s">
        <v>1498</v>
      </c>
      <c r="C357" s="1756" t="str">
        <f>HYPERLINK("#'報告_業務P19'!M6","M6")</f>
        <v>M6</v>
      </c>
      <c r="D357" s="1711" t="s">
        <v>1797</v>
      </c>
      <c r="E357" s="1757">
        <f>IF(報告_業務P19!M6="","",報告_業務P19!M6)</f>
        <v>11428000</v>
      </c>
      <c r="F357" s="1711" t="s">
        <v>373</v>
      </c>
      <c r="G357" s="1709" t="str">
        <f t="shared" si="5"/>
        <v>入力済</v>
      </c>
      <c r="H357" s="1708" t="inlineStr">
        <is>
          <t>報告_業務P19 M26,AE6、業務_附属明細表 E123</t>
        </is>
      </c>
      <c r="I357" s="1708" t="inlineStr">
        <is>
          <t>業務_附属明細表</t>
        </is>
      </c>
    </row>
    <row r="358" spans="1:9" ht="19.95" customHeight="1">
      <c r="A358" s="1752" t="s">
        <v>12</v>
      </c>
      <c r="B358" s="1708" t="s">
        <v>1498</v>
      </c>
      <c r="C358" s="1753" t="str">
        <f>HYPERLINK("#'報告_業務P19'!M7","M7")</f>
        <v>M7</v>
      </c>
      <c r="D358" s="1708" t="s">
        <v>1798</v>
      </c>
      <c r="E358" s="1754">
        <f>IF(報告_業務P19!M7="","",報告_業務P19!M7)</f>
        <v>65000</v>
      </c>
      <c r="F358" s="1708" t="s">
        <v>373</v>
      </c>
      <c r="G358" s="1709" t="str">
        <f t="shared" si="5"/>
        <v>入力済</v>
      </c>
      <c r="H358" s="1708" t="inlineStr">
        <is>
          <t>報告_業務P19 M26,AE7</t>
        </is>
      </c>
      <c r="I358" s="1708" t="inlineStr">
        <is>
          <t>同じシート内のみ</t>
        </is>
      </c>
    </row>
    <row r="359" spans="1:9" ht="19.95" customHeight="1">
      <c r="A359" s="1755" t="s">
        <v>12</v>
      </c>
      <c r="B359" s="1711" t="s">
        <v>1498</v>
      </c>
      <c r="C359" s="1756" t="str">
        <f>HYPERLINK("#'報告_業務P19'!M8","M8")</f>
        <v>M8</v>
      </c>
      <c r="D359" s="1711" t="s">
        <v>1799</v>
      </c>
      <c r="E359" s="1757">
        <f>IF(報告_業務P19!M8="","",報告_業務P19!M8)</f>
        <v>1675000</v>
      </c>
      <c r="F359" s="1711" t="s">
        <v>373</v>
      </c>
      <c r="G359" s="1709" t="str">
        <f t="shared" si="5"/>
        <v>入力済</v>
      </c>
      <c r="H359" s="1708" t="inlineStr">
        <is>
          <t>報告_業務P19 M26,AE8、業務_附属明細表 E124</t>
        </is>
      </c>
      <c r="I359" s="1708" t="inlineStr">
        <is>
          <t>業務_附属明細表</t>
        </is>
      </c>
    </row>
    <row r="360" spans="1:9" ht="19.95" customHeight="1">
      <c r="A360" s="1752" t="s">
        <v>12</v>
      </c>
      <c r="B360" s="1708" t="s">
        <v>1498</v>
      </c>
      <c r="C360" s="1753" t="str">
        <f>HYPERLINK("#'報告_業務P19'!M9","M9")</f>
        <v>M9</v>
      </c>
      <c r="D360" s="1708" t="s">
        <v>1800</v>
      </c>
      <c r="E360" s="1754">
        <f>IF(報告_業務P19!M9="","",報告_業務P19!M9)</f>
        <v>17717000</v>
      </c>
      <c r="F360" s="1708" t="s">
        <v>373</v>
      </c>
      <c r="G360" s="1709" t="str">
        <f t="shared" si="5"/>
        <v>入力済</v>
      </c>
      <c r="H360" s="1708" t="inlineStr">
        <is>
          <t>報告_業務P19 M26,AE9</t>
        </is>
      </c>
      <c r="I360" s="1708" t="inlineStr">
        <is>
          <t>同じシート内のみ</t>
        </is>
      </c>
    </row>
    <row r="361" spans="1:9" ht="19.95" customHeight="1">
      <c r="A361" s="1755" t="s">
        <v>12</v>
      </c>
      <c r="B361" s="1711" t="s">
        <v>1498</v>
      </c>
      <c r="C361" s="1756" t="str">
        <f>HYPERLINK("#'報告_業務P19'!M10","M10")</f>
        <v>M10</v>
      </c>
      <c r="D361" s="1711" t="s">
        <v>1801</v>
      </c>
      <c r="E361" s="1757">
        <f>IF(報告_業務P19!M10="","",報告_業務P19!M10)</f>
        <v>5351000</v>
      </c>
      <c r="F361" s="1711" t="s">
        <v>373</v>
      </c>
      <c r="G361" s="1709" t="str">
        <f t="shared" si="5"/>
        <v>入力済</v>
      </c>
      <c r="H361" s="1708" t="inlineStr">
        <is>
          <t>報告_業務P19 M26,AE10</t>
        </is>
      </c>
      <c r="I361" s="1708" t="inlineStr">
        <is>
          <t>同じシート内のみ</t>
        </is>
      </c>
    </row>
    <row r="362" spans="1:9" ht="19.95" customHeight="1">
      <c r="A362" s="1752" t="s">
        <v>12</v>
      </c>
      <c r="B362" s="1708" t="s">
        <v>1498</v>
      </c>
      <c r="C362" s="1753" t="str">
        <f>HYPERLINK("#'報告_業務P19'!M11","M11")</f>
        <v>M11</v>
      </c>
      <c r="D362" s="1708" t="s">
        <v>1802</v>
      </c>
      <c r="E362" s="1754">
        <f>IF(報告_業務P19!M11="","",報告_業務P19!M11)</f>
        <v>11829000</v>
      </c>
      <c r="F362" s="1708" t="s">
        <v>373</v>
      </c>
      <c r="G362" s="1709" t="str">
        <f t="shared" si="5"/>
        <v>入力済</v>
      </c>
      <c r="H362" s="1708" t="inlineStr">
        <is>
          <t>報告_業務P19 M26,AE11</t>
        </is>
      </c>
      <c r="I362" s="1708" t="inlineStr">
        <is>
          <t>同じシート内のみ</t>
        </is>
      </c>
    </row>
    <row r="363" spans="1:9" ht="19.95" customHeight="1">
      <c r="A363" s="1755" t="s">
        <v>12</v>
      </c>
      <c r="B363" s="1711" t="s">
        <v>1498</v>
      </c>
      <c r="C363" s="1756" t="str">
        <f>HYPERLINK("#'報告_業務P19'!M12","M12")</f>
        <v>M12</v>
      </c>
      <c r="D363" s="1711" t="s">
        <v>1803</v>
      </c>
      <c r="E363" s="1757">
        <f>IF(報告_業務P19!M12="","",報告_業務P19!M12)</f>
        <v>0</v>
      </c>
      <c r="F363" s="1711" t="s">
        <v>373</v>
      </c>
      <c r="G363" s="1709" t="str">
        <f t="shared" si="5"/>
        <v>0（確認）</v>
      </c>
      <c r="H363" s="1708" t="inlineStr">
        <is>
          <t>報告_業務P19 M26,AE12</t>
        </is>
      </c>
      <c r="I363" s="1708" t="inlineStr">
        <is>
          <t>同じシート内のみ</t>
        </is>
      </c>
    </row>
    <row r="364" spans="1:9" ht="19.95" customHeight="1">
      <c r="A364" s="1752" t="s">
        <v>12</v>
      </c>
      <c r="B364" s="1708" t="s">
        <v>1498</v>
      </c>
      <c r="C364" s="1753" t="str">
        <f>HYPERLINK("#'報告_業務P19'!V12","V12")</f>
        <v>V12</v>
      </c>
      <c r="D364" s="1708" t="s">
        <v>1804</v>
      </c>
      <c r="E364" s="1754">
        <f>IF(報告_業務P19!V12="","",報告_業務P19!V12)</f>
        <v>0</v>
      </c>
      <c r="F364" s="1708" t="s">
        <v>1644</v>
      </c>
      <c r="G364" s="1709" t="str">
        <f t="shared" si="5"/>
        <v>0（確認）</v>
      </c>
      <c r="H364" s="1708" t="inlineStr">
        <is>
          <t>報告_業務P19 V26,AE12,AW12</t>
        </is>
      </c>
      <c r="I364" s="1708" t="inlineStr">
        <is>
          <t>同じシート内のみ</t>
        </is>
      </c>
    </row>
    <row r="365" spans="1:9" ht="19.95" customHeight="1">
      <c r="A365" s="1755" t="s">
        <v>12</v>
      </c>
      <c r="B365" s="1711" t="s">
        <v>1498</v>
      </c>
      <c r="C365" s="1756" t="str">
        <f>HYPERLINK("#'報告_業務P19'!M13","M13")</f>
        <v>M13</v>
      </c>
      <c r="D365" s="1711" t="s">
        <v>1805</v>
      </c>
      <c r="E365" s="1757">
        <f>IF(報告_業務P19!M13="","",報告_業務P19!M13)</f>
        <v>122000</v>
      </c>
      <c r="F365" s="1711" t="s">
        <v>373</v>
      </c>
      <c r="G365" s="1709" t="str">
        <f t="shared" si="5"/>
        <v>入力済</v>
      </c>
      <c r="H365" s="1708" t="inlineStr">
        <is>
          <t>報告_業務P19 M26,AE13</t>
        </is>
      </c>
      <c r="I365" s="1708" t="inlineStr">
        <is>
          <t>同じシート内のみ</t>
        </is>
      </c>
    </row>
    <row r="366" spans="1:9" ht="19.95" customHeight="1">
      <c r="A366" s="1752" t="s">
        <v>12</v>
      </c>
      <c r="B366" s="1708" t="s">
        <v>1498</v>
      </c>
      <c r="C366" s="1753" t="str">
        <f>HYPERLINK("#'報告_業務P19'!M14","M14")</f>
        <v>M14</v>
      </c>
      <c r="D366" s="1708" t="s">
        <v>1806</v>
      </c>
      <c r="E366" s="1754">
        <f>IF(報告_業務P19!M14="","",報告_業務P19!M14)</f>
        <v>0</v>
      </c>
      <c r="F366" s="1708" t="s">
        <v>373</v>
      </c>
      <c r="G366" s="1709" t="str">
        <f t="shared" si="5"/>
        <v>0（確認）</v>
      </c>
      <c r="H366" s="1708" t="inlineStr">
        <is>
          <t>報告_業務P19 M26,AE14</t>
        </is>
      </c>
      <c r="I366" s="1708" t="inlineStr">
        <is>
          <t>同じシート内のみ</t>
        </is>
      </c>
    </row>
    <row r="367" spans="1:9" ht="19.95" customHeight="1">
      <c r="A367" s="1755" t="s">
        <v>12</v>
      </c>
      <c r="B367" s="1711" t="s">
        <v>1498</v>
      </c>
      <c r="C367" s="1756" t="str">
        <f>HYPERLINK("#'報告_業務P19'!M15","M15")</f>
        <v>M15</v>
      </c>
      <c r="D367" s="1711" t="s">
        <v>1807</v>
      </c>
      <c r="E367" s="1757">
        <f>IF(報告_業務P19!M15="","",報告_業務P19!M15)</f>
        <v>9589000</v>
      </c>
      <c r="F367" s="1711" t="s">
        <v>373</v>
      </c>
      <c r="G367" s="1709" t="str">
        <f t="shared" si="5"/>
        <v>入力済</v>
      </c>
      <c r="H367" s="1708" t="inlineStr">
        <is>
          <t>報告_業務P19 M26,AE15</t>
        </is>
      </c>
      <c r="I367" s="1708" t="inlineStr">
        <is>
          <t>同じシート内のみ</t>
        </is>
      </c>
    </row>
    <row r="368" spans="1:9" ht="19.95" customHeight="1">
      <c r="A368" s="1752" t="s">
        <v>12</v>
      </c>
      <c r="B368" s="1708" t="s">
        <v>1498</v>
      </c>
      <c r="C368" s="1753" t="str">
        <f>HYPERLINK("#'報告_業務P19'!M16","M16")</f>
        <v>M16</v>
      </c>
      <c r="D368" s="1708" t="s">
        <v>1808</v>
      </c>
      <c r="E368" s="1754">
        <f>IF(報告_業務P19!M16="","",報告_業務P19!M16)</f>
        <v>2772000</v>
      </c>
      <c r="F368" s="1708" t="s">
        <v>373</v>
      </c>
      <c r="G368" s="1709" t="str">
        <f t="shared" si="5"/>
        <v>入力済</v>
      </c>
      <c r="H368" s="1708" t="inlineStr">
        <is>
          <t>報告_業務P19 M26,AE16</t>
        </is>
      </c>
      <c r="I368" s="1708" t="inlineStr">
        <is>
          <t>同じシート内のみ</t>
        </is>
      </c>
    </row>
    <row r="369" spans="1:9" ht="19.95" customHeight="1">
      <c r="A369" s="1755" t="s">
        <v>12</v>
      </c>
      <c r="B369" s="1711" t="s">
        <v>1498</v>
      </c>
      <c r="C369" s="1756" t="str">
        <f>HYPERLINK("#'報告_業務P19'!M17","M17")</f>
        <v>M17</v>
      </c>
      <c r="D369" s="1711" t="s">
        <v>1809</v>
      </c>
      <c r="E369" s="1757">
        <f>IF(報告_業務P19!M17="","",報告_業務P19!M17)</f>
        <v>0</v>
      </c>
      <c r="F369" s="1711" t="s">
        <v>373</v>
      </c>
      <c r="G369" s="1709" t="str">
        <f t="shared" si="5"/>
        <v>0（確認）</v>
      </c>
      <c r="H369" s="1708" t="inlineStr">
        <is>
          <t>報告_業務P19 M26,AE17</t>
        </is>
      </c>
      <c r="I369" s="1708" t="inlineStr">
        <is>
          <t>同じシート内のみ</t>
        </is>
      </c>
    </row>
    <row r="370" spans="1:9" ht="19.95" customHeight="1">
      <c r="A370" s="1752" t="s">
        <v>12</v>
      </c>
      <c r="B370" s="1708" t="s">
        <v>1498</v>
      </c>
      <c r="C370" s="1753" t="str">
        <f>HYPERLINK("#'報告_業務P19'!V17","V17")</f>
        <v>V17</v>
      </c>
      <c r="D370" s="1708" t="s">
        <v>1810</v>
      </c>
      <c r="E370" s="1754">
        <f>IF(報告_業務P19!V17="","",報告_業務P19!V17)</f>
        <v>0</v>
      </c>
      <c r="F370" s="1708" t="s">
        <v>1644</v>
      </c>
      <c r="G370" s="1709" t="str">
        <f t="shared" si="5"/>
        <v>0（確認）</v>
      </c>
      <c r="H370" s="1708" t="inlineStr">
        <is>
          <t>報告_業務P19 V26,AE17,AW17</t>
        </is>
      </c>
      <c r="I370" s="1708" t="inlineStr">
        <is>
          <t>同じシート内のみ</t>
        </is>
      </c>
    </row>
    <row r="371" spans="1:9" ht="19.95" customHeight="1">
      <c r="A371" s="1755" t="s">
        <v>12</v>
      </c>
      <c r="B371" s="1711" t="s">
        <v>1498</v>
      </c>
      <c r="C371" s="1756" t="str">
        <f>HYPERLINK("#'報告_業務P19'!M19","M19")</f>
        <v>M19</v>
      </c>
      <c r="D371" s="1711" t="s">
        <v>125</v>
      </c>
      <c r="E371" s="1757">
        <f>IF(報告_業務P19!M19="","",報告_業務P19!M19)</f>
        <v>2718000</v>
      </c>
      <c r="F371" s="1711" t="s">
        <v>373</v>
      </c>
      <c r="G371" s="1709" t="str">
        <f t="shared" si="5"/>
        <v>入力済</v>
      </c>
      <c r="H371" s="1708" t="inlineStr">
        <is>
          <t>報告_業務P19 M26,AE19</t>
        </is>
      </c>
      <c r="I371" s="1708" t="inlineStr">
        <is>
          <t>同じシート内のみ</t>
        </is>
      </c>
    </row>
    <row r="372" spans="1:9" ht="19.95" customHeight="1">
      <c r="A372" s="1752" t="s">
        <v>12</v>
      </c>
      <c r="B372" s="1708" t="s">
        <v>1498</v>
      </c>
      <c r="C372" s="1753" t="str">
        <f>HYPERLINK("#'報告_業務P19'!M20","M20")</f>
        <v>M20</v>
      </c>
      <c r="D372" s="1708" t="s">
        <v>140</v>
      </c>
      <c r="E372" s="1754">
        <f>IF(報告_業務P19!M20="","",報告_業務P19!M20)</f>
        <v>14091000</v>
      </c>
      <c r="F372" s="1708" t="s">
        <v>373</v>
      </c>
      <c r="G372" s="1709" t="str">
        <f t="shared" si="5"/>
        <v>入力済</v>
      </c>
      <c r="H372" s="1708" t="inlineStr">
        <is>
          <t>報告_業務P19 M26,AE20</t>
        </is>
      </c>
      <c r="I372" s="1708" t="inlineStr">
        <is>
          <t>同じシート内のみ</t>
        </is>
      </c>
    </row>
    <row r="373" spans="1:9" ht="19.95" customHeight="1">
      <c r="A373" s="1755" t="s">
        <v>12</v>
      </c>
      <c r="B373" s="1711" t="s">
        <v>1498</v>
      </c>
      <c r="C373" s="1756" t="str">
        <f>HYPERLINK("#'報告_業務P19'!M21","M21")</f>
        <v>M21</v>
      </c>
      <c r="D373" s="1711" t="s">
        <v>141</v>
      </c>
      <c r="E373" s="1757">
        <f>IF(報告_業務P19!M21="","",報告_業務P19!M21)</f>
        <v>54153000</v>
      </c>
      <c r="F373" s="1711" t="s">
        <v>373</v>
      </c>
      <c r="G373" s="1709" t="str">
        <f t="shared" si="5"/>
        <v>入力済</v>
      </c>
      <c r="H373" s="1708" t="inlineStr">
        <is>
          <t>報告_業務P19 M26,AE21</t>
        </is>
      </c>
      <c r="I373" s="1708" t="inlineStr">
        <is>
          <t>同じシート内のみ</t>
        </is>
      </c>
    </row>
    <row r="374" spans="1:9" ht="19.95" customHeight="1">
      <c r="A374" s="1752" t="s">
        <v>12</v>
      </c>
      <c r="B374" s="1708" t="s">
        <v>1498</v>
      </c>
      <c r="C374" s="1753" t="str">
        <f>HYPERLINK("#'報告_業務P19'!M23","M23")</f>
        <v>M23</v>
      </c>
      <c r="D374" s="1708" t="s">
        <v>142</v>
      </c>
      <c r="E374" s="1754">
        <f>IF(報告_業務P19!M23="","",報告_業務P19!M23)</f>
        <v>177000</v>
      </c>
      <c r="F374" s="1708" t="s">
        <v>373</v>
      </c>
      <c r="G374" s="1709" t="str">
        <f t="shared" si="5"/>
        <v>入力済</v>
      </c>
      <c r="H374" s="1708" t="inlineStr">
        <is>
          <t>報告_業務P19 M26,AE23</t>
        </is>
      </c>
      <c r="I374" s="1708" t="inlineStr">
        <is>
          <t>同じシート内のみ</t>
        </is>
      </c>
    </row>
    <row r="375" spans="1:9" ht="19.95" customHeight="1">
      <c r="A375" s="1755" t="s">
        <v>12</v>
      </c>
      <c r="B375" s="1711" t="s">
        <v>1498</v>
      </c>
      <c r="C375" s="1756" t="str">
        <f>HYPERLINK("#'報告_業務P19'!M24","M24")</f>
        <v>M24</v>
      </c>
      <c r="D375" s="1711" t="s">
        <v>143</v>
      </c>
      <c r="E375" s="1757">
        <f>IF(報告_業務P19!M24="","",報告_業務P19!M24)</f>
        <v>0</v>
      </c>
      <c r="F375" s="1711" t="s">
        <v>373</v>
      </c>
      <c r="G375" s="1709" t="str">
        <f t="shared" si="5"/>
        <v>0（確認）</v>
      </c>
      <c r="H375" s="1708" t="inlineStr">
        <is>
          <t>報告_業務P19 M26,AE24</t>
        </is>
      </c>
      <c r="I375" s="1708" t="inlineStr">
        <is>
          <t>同じシート内のみ</t>
        </is>
      </c>
    </row>
    <row r="376" spans="1:9" ht="19.95" customHeight="1">
      <c r="A376" s="1752" t="s">
        <v>12</v>
      </c>
      <c r="B376" s="1708" t="s">
        <v>1498</v>
      </c>
      <c r="C376" s="1753" t="str">
        <f>HYPERLINK("#'報告_業務P19'!M25","M25")</f>
        <v>M25</v>
      </c>
      <c r="D376" s="1708" t="s">
        <v>144</v>
      </c>
      <c r="E376" s="1754">
        <f>IF(報告_業務P19!M25="","",報告_業務P19!M25)</f>
        <v>0</v>
      </c>
      <c r="F376" s="1708" t="s">
        <v>373</v>
      </c>
      <c r="G376" s="1709" t="str">
        <f t="shared" si="5"/>
        <v>0（確認）</v>
      </c>
      <c r="H376" s="1708" t="inlineStr">
        <is>
          <t>報告_業務P19 M26,AE25</t>
        </is>
      </c>
      <c r="I376" s="1708" t="inlineStr">
        <is>
          <t>同じシート内のみ</t>
        </is>
      </c>
    </row>
    <row r="377" spans="1:9" ht="19.95" customHeight="1">
      <c r="A377" s="1755" t="s">
        <v>13</v>
      </c>
      <c r="B377" s="1711" t="s">
        <v>1811</v>
      </c>
      <c r="C377" s="1756" t="str">
        <f>HYPERLINK("#'報告_保健P20-22'!O9","O9")</f>
        <v>O9</v>
      </c>
      <c r="D377" s="1711" t="s">
        <v>1626</v>
      </c>
      <c r="E377" s="1757">
        <f>IF('報告_保健P20-22'!O9="","",'報告_保健P20-22'!O9)</f>
        <v>2.1</v>
      </c>
      <c r="F377" s="1711" t="s">
        <v>1753</v>
      </c>
      <c r="G377" s="1709" t="str">
        <f t="shared" si="5"/>
        <v>入力済</v>
      </c>
      <c r="H377" s="1708" t="inlineStr">
        <is>
          <t>報告_保健P20-22 AE9</t>
        </is>
      </c>
      <c r="I377" s="1708" t="inlineStr">
        <is>
          <t>同じシート内のみ</t>
        </is>
      </c>
    </row>
    <row r="378" spans="1:9" ht="19.95" customHeight="1">
      <c r="A378" s="1752" t="s">
        <v>13</v>
      </c>
      <c r="B378" s="1708" t="s">
        <v>1811</v>
      </c>
      <c r="C378" s="1753" t="str">
        <f>HYPERLINK("#'報告_保健P20-22'!W9","W9")</f>
        <v>W9</v>
      </c>
      <c r="D378" s="1708" t="s">
        <v>1628</v>
      </c>
      <c r="E378" s="1754">
        <f>IF('報告_保健P20-22'!W9="","",'報告_保健P20-22'!W9)</f>
        <v>2.1</v>
      </c>
      <c r="F378" s="1708" t="s">
        <v>1753</v>
      </c>
      <c r="G378" s="1709" t="str">
        <f t="shared" si="5"/>
        <v>入力済</v>
      </c>
      <c r="H378" s="1708" t="inlineStr">
        <is>
          <t>報告_保健P20-22 AE9</t>
        </is>
      </c>
      <c r="I378" s="1708" t="inlineStr">
        <is>
          <t>同じシート内のみ</t>
        </is>
      </c>
    </row>
    <row r="379" spans="1:9" ht="19.95" customHeight="1">
      <c r="A379" s="1755" t="s">
        <v>13</v>
      </c>
      <c r="B379" s="1711" t="s">
        <v>1811</v>
      </c>
      <c r="C379" s="1756" t="str">
        <f>HYPERLINK("#'報告_保健P20-22'!O10","O10")</f>
        <v>O10</v>
      </c>
      <c r="D379" s="1711" t="s">
        <v>1629</v>
      </c>
      <c r="E379" s="1757">
        <f>IF('報告_保健P20-22'!O10="","",'報告_保健P20-22'!O10)</f>
        <v>2.1</v>
      </c>
      <c r="F379" s="1711" t="s">
        <v>1753</v>
      </c>
      <c r="G379" s="1709" t="str">
        <f t="shared" si="5"/>
        <v>入力済</v>
      </c>
      <c r="H379" s="1708" t="inlineStr">
        <is>
          <t>報告_保健P20-22 AE10</t>
        </is>
      </c>
      <c r="I379" s="1708" t="inlineStr">
        <is>
          <t>同じシート内のみ</t>
        </is>
      </c>
    </row>
    <row r="380" spans="1:9" ht="19.95" customHeight="1">
      <c r="A380" s="1752" t="s">
        <v>13</v>
      </c>
      <c r="B380" s="1708" t="s">
        <v>1811</v>
      </c>
      <c r="C380" s="1753" t="str">
        <f>HYPERLINK("#'報告_保健P20-22'!W10","W10")</f>
        <v>W10</v>
      </c>
      <c r="D380" s="1708" t="s">
        <v>1630</v>
      </c>
      <c r="E380" s="1754">
        <f>IF('報告_保健P20-22'!W10="","",'報告_保健P20-22'!W10)</f>
        <v>2.1</v>
      </c>
      <c r="F380" s="1708" t="s">
        <v>1753</v>
      </c>
      <c r="G380" s="1709" t="str">
        <f t="shared" si="5"/>
        <v>入力済</v>
      </c>
      <c r="H380" s="1708" t="inlineStr">
        <is>
          <t>報告_保健P20-22 AE10</t>
        </is>
      </c>
      <c r="I380" s="1708" t="inlineStr">
        <is>
          <t>同じシート内のみ</t>
        </is>
      </c>
    </row>
    <row r="381" spans="1:9" ht="19.95" customHeight="1">
      <c r="A381" s="1755" t="s">
        <v>13</v>
      </c>
      <c r="B381" s="1711" t="s">
        <v>1811</v>
      </c>
      <c r="C381" s="1756" t="str">
        <f>HYPERLINK("#'報告_保健P20-22'!O11","O11")</f>
        <v>O11</v>
      </c>
      <c r="D381" s="1711" t="s">
        <v>1631</v>
      </c>
      <c r="E381" s="1757">
        <f>IF('報告_保健P20-22'!O11="","",'報告_保健P20-22'!O11)</f>
        <v>2.1</v>
      </c>
      <c r="F381" s="1711" t="s">
        <v>1753</v>
      </c>
      <c r="G381" s="1709" t="str">
        <f t="shared" si="5"/>
        <v>入力済</v>
      </c>
      <c r="H381" s="1708" t="inlineStr">
        <is>
          <t>報告_保健P20-22 AE11</t>
        </is>
      </c>
      <c r="I381" s="1708" t="inlineStr">
        <is>
          <t>同じシート内のみ</t>
        </is>
      </c>
    </row>
    <row r="382" spans="1:9" ht="19.95" customHeight="1">
      <c r="A382" s="1752" t="s">
        <v>13</v>
      </c>
      <c r="B382" s="1708" t="s">
        <v>1811</v>
      </c>
      <c r="C382" s="1753" t="str">
        <f>HYPERLINK("#'報告_保健P20-22'!W11","W11")</f>
        <v>W11</v>
      </c>
      <c r="D382" s="1708" t="s">
        <v>1632</v>
      </c>
      <c r="E382" s="1754">
        <f>IF('報告_保健P20-22'!W11="","",'報告_保健P20-22'!W11)</f>
        <v>2.1</v>
      </c>
      <c r="F382" s="1708" t="s">
        <v>1753</v>
      </c>
      <c r="G382" s="1709" t="str">
        <f t="shared" si="5"/>
        <v>入力済</v>
      </c>
      <c r="H382" s="1708" t="inlineStr">
        <is>
          <t>報告_保健P20-22 AE11</t>
        </is>
      </c>
      <c r="I382" s="1708" t="inlineStr">
        <is>
          <t>同じシート内のみ</t>
        </is>
      </c>
    </row>
    <row r="383" spans="1:9" ht="19.95" customHeight="1">
      <c r="A383" s="1755" t="s">
        <v>13</v>
      </c>
      <c r="B383" s="1711" t="s">
        <v>1811</v>
      </c>
      <c r="C383" s="1756" t="str">
        <f>HYPERLINK("#'報告_保健P20-22'!O12","O12")</f>
        <v>O12</v>
      </c>
      <c r="D383" s="1711" t="s">
        <v>1633</v>
      </c>
      <c r="E383" s="1757">
        <f>IF('報告_保健P20-22'!O12="","",'報告_保健P20-22'!O12)</f>
        <v>2.1</v>
      </c>
      <c r="F383" s="1711" t="s">
        <v>1753</v>
      </c>
      <c r="G383" s="1709" t="str">
        <f t="shared" si="5"/>
        <v>入力済</v>
      </c>
      <c r="H383" s="1708" t="inlineStr">
        <is>
          <t>報告_保健P20-22 AE12</t>
        </is>
      </c>
      <c r="I383" s="1708" t="inlineStr">
        <is>
          <t>同じシート内のみ</t>
        </is>
      </c>
    </row>
    <row r="384" spans="1:9" ht="19.95" customHeight="1">
      <c r="A384" s="1752" t="s">
        <v>13</v>
      </c>
      <c r="B384" s="1708" t="s">
        <v>1811</v>
      </c>
      <c r="C384" s="1753" t="str">
        <f>HYPERLINK("#'報告_保健P20-22'!W12","W12")</f>
        <v>W12</v>
      </c>
      <c r="D384" s="1708" t="s">
        <v>1634</v>
      </c>
      <c r="E384" s="1754">
        <f>IF('報告_保健P20-22'!W12="","",'報告_保健P20-22'!W12)</f>
        <v>2.1</v>
      </c>
      <c r="F384" s="1708" t="s">
        <v>1753</v>
      </c>
      <c r="G384" s="1709" t="str">
        <f t="shared" si="5"/>
        <v>入力済</v>
      </c>
      <c r="H384" s="1708" t="inlineStr">
        <is>
          <t>報告_保健P20-22 AE12</t>
        </is>
      </c>
      <c r="I384" s="1708" t="inlineStr">
        <is>
          <t>同じシート内のみ</t>
        </is>
      </c>
    </row>
    <row r="385" spans="1:9" ht="19.95" customHeight="1">
      <c r="A385" s="1755" t="s">
        <v>13</v>
      </c>
      <c r="B385" s="1711" t="s">
        <v>1811</v>
      </c>
      <c r="C385" s="1756" t="str">
        <f>HYPERLINK("#'報告_保健P20-22'!O13","O13")</f>
        <v>O13</v>
      </c>
      <c r="D385" s="1711" t="s">
        <v>1637</v>
      </c>
      <c r="E385" s="1757">
        <f>IF('報告_保健P20-22'!O13="","",'報告_保健P20-22'!O13)</f>
        <v>4.2</v>
      </c>
      <c r="F385" s="1711" t="s">
        <v>1753</v>
      </c>
      <c r="G385" s="1709" t="str">
        <f t="shared" si="5"/>
        <v>入力済</v>
      </c>
      <c r="H385" s="1708" t="inlineStr">
        <is>
          <t>報告_保健P20-22 AE13</t>
        </is>
      </c>
      <c r="I385" s="1708" t="inlineStr">
        <is>
          <t>同じシート内のみ</t>
        </is>
      </c>
    </row>
    <row r="386" spans="1:9" ht="19.95" customHeight="1">
      <c r="A386" s="1752" t="s">
        <v>13</v>
      </c>
      <c r="B386" s="1708" t="s">
        <v>1811</v>
      </c>
      <c r="C386" s="1753" t="str">
        <f>HYPERLINK("#'報告_保健P20-22'!M21","M21")</f>
        <v>M21</v>
      </c>
      <c r="D386" s="1708" t="s">
        <v>1756</v>
      </c>
      <c r="E386" s="1754">
        <f>IF('報告_保健P20-22'!M21="","",'報告_保健P20-22'!M21)</f>
        <v>166308000</v>
      </c>
      <c r="F386" s="1708" t="s">
        <v>373</v>
      </c>
      <c r="G386" s="1709" t="str">
        <f t="shared" si="5"/>
        <v>入力済</v>
      </c>
      <c r="H386" s="1708" t="inlineStr">
        <is>
          <t>報告_保健P20-22 M20,AE21</t>
        </is>
      </c>
      <c r="I386" s="1708" t="inlineStr">
        <is>
          <t>同じシート内のみ</t>
        </is>
      </c>
    </row>
    <row r="387" spans="1:9" ht="19.95" customHeight="1">
      <c r="A387" s="1755" t="s">
        <v>13</v>
      </c>
      <c r="B387" s="1711" t="s">
        <v>1811</v>
      </c>
      <c r="C387" s="1756" t="str">
        <f>HYPERLINK("#'報告_保健P20-22'!V21","V21")</f>
        <v>V21</v>
      </c>
      <c r="D387" s="1711" t="s">
        <v>1757</v>
      </c>
      <c r="E387" s="1757">
        <f>IF('報告_保健P20-22'!V21="","",'報告_保健P20-22'!V21)</f>
        <v>166275659</v>
      </c>
      <c r="F387" s="1711" t="s">
        <v>1644</v>
      </c>
      <c r="G387" s="1709" t="str">
        <f t="shared" si="5"/>
        <v>入力済</v>
      </c>
      <c r="H387" s="1708" t="inlineStr">
        <is>
          <t>報告_保健P20-22 V20,AE21,AW21</t>
        </is>
      </c>
      <c r="I387" s="1708" t="inlineStr">
        <is>
          <t>保健_財務諸表、保健_附属明細表、保健_決算精算表</t>
        </is>
      </c>
    </row>
    <row r="388" spans="1:9" ht="19.95" customHeight="1">
      <c r="A388" s="1752" t="s">
        <v>13</v>
      </c>
      <c r="B388" s="1708" t="s">
        <v>1811</v>
      </c>
      <c r="C388" s="1753" t="str">
        <f>HYPERLINK("#'報告_保健P20-22'!M22","M22")</f>
        <v>M22</v>
      </c>
      <c r="D388" s="1708" t="s">
        <v>1758</v>
      </c>
      <c r="E388" s="1754">
        <f>IF('報告_保健P20-22'!M22="","",'報告_保健P20-22'!M22)</f>
        <v>46069000</v>
      </c>
      <c r="F388" s="1708" t="s">
        <v>373</v>
      </c>
      <c r="G388" s="1709" t="str">
        <f t="shared" si="5"/>
        <v>入力済</v>
      </c>
      <c r="H388" s="1708" t="inlineStr">
        <is>
          <t>報告_保健P20-22 M20,AE22</t>
        </is>
      </c>
      <c r="I388" s="1708" t="inlineStr">
        <is>
          <t>同じシート内のみ</t>
        </is>
      </c>
    </row>
    <row r="389" spans="1:9" ht="19.95" customHeight="1">
      <c r="A389" s="1755" t="s">
        <v>13</v>
      </c>
      <c r="B389" s="1711" t="s">
        <v>1811</v>
      </c>
      <c r="C389" s="1756" t="str">
        <f>HYPERLINK("#'報告_保健P20-22'!V22","V22")</f>
        <v>V22</v>
      </c>
      <c r="D389" s="1711" t="s">
        <v>1759</v>
      </c>
      <c r="E389" s="1757">
        <f>IF('報告_保健P20-22'!V22="","",'報告_保健P20-22'!V22)</f>
        <v>54143045</v>
      </c>
      <c r="F389" s="1711" t="s">
        <v>1644</v>
      </c>
      <c r="G389" s="1709" t="str">
        <f t="shared" si="5"/>
        <v>入力済</v>
      </c>
      <c r="H389" s="1708" t="inlineStr">
        <is>
          <t>報告_保健P20-22 V20,AE22,AW22</t>
        </is>
      </c>
      <c r="I389" s="1708" t="inlineStr">
        <is>
          <t>保健_財務諸表、保健_附属明細表、保健_決算精算表</t>
        </is>
      </c>
    </row>
    <row r="390" spans="1:9" ht="19.95" customHeight="1">
      <c r="A390" s="1752" t="s">
        <v>13</v>
      </c>
      <c r="B390" s="1708" t="s">
        <v>1811</v>
      </c>
      <c r="C390" s="1753" t="str">
        <f>HYPERLINK("#'報告_保健P20-22'!M23","M23")</f>
        <v>M23</v>
      </c>
      <c r="D390" s="1708" t="s">
        <v>1812</v>
      </c>
      <c r="E390" s="1754">
        <f>IF('報告_保健P20-22'!M23="","",'報告_保健P20-22'!M23)</f>
        <v>164412000</v>
      </c>
      <c r="F390" s="1708" t="s">
        <v>373</v>
      </c>
      <c r="G390" s="1709" t="str">
        <f t="shared" ref="G390:G453" si="6">IF(E390="","未入力（空欄）",IF(E390=0,"0（確認）","入力済"))</f>
        <v>入力済</v>
      </c>
      <c r="H390" s="1708" t="inlineStr">
        <is>
          <t>報告_保健P20-22 M20,AE23</t>
        </is>
      </c>
      <c r="I390" s="1708" t="inlineStr">
        <is>
          <t>同じシート内のみ</t>
        </is>
      </c>
    </row>
    <row r="391" spans="1:9" ht="19.95" customHeight="1">
      <c r="A391" s="1755" t="s">
        <v>13</v>
      </c>
      <c r="B391" s="1711" t="s">
        <v>1811</v>
      </c>
      <c r="C391" s="1756" t="str">
        <f>HYPERLINK("#'報告_保健P20-22'!V23","V23")</f>
        <v>V23</v>
      </c>
      <c r="D391" s="1711" t="s">
        <v>1813</v>
      </c>
      <c r="E391" s="1757">
        <f>IF('報告_保健P20-22'!V23="","",'報告_保健P20-22'!V23)</f>
        <v>184749787</v>
      </c>
      <c r="F391" s="1711" t="s">
        <v>1644</v>
      </c>
      <c r="G391" s="1709" t="str">
        <f t="shared" si="6"/>
        <v>入力済</v>
      </c>
      <c r="H391" s="1708" t="inlineStr">
        <is>
          <t>報告_保健P20-22 V20,AE23,AW23</t>
        </is>
      </c>
      <c r="I391" s="1708" t="inlineStr">
        <is>
          <t>保健_財務諸表、保健_附属明細表、保健_決算精算表</t>
        </is>
      </c>
    </row>
    <row r="392" spans="1:9" ht="19.95" customHeight="1">
      <c r="A392" s="1752" t="s">
        <v>13</v>
      </c>
      <c r="B392" s="1708" t="s">
        <v>1811</v>
      </c>
      <c r="C392" s="1753" t="str">
        <f>HYPERLINK("#'報告_保健P20-22'!M25","M25")</f>
        <v>M25</v>
      </c>
      <c r="D392" s="1708" t="s">
        <v>1773</v>
      </c>
      <c r="E392" s="1754">
        <f>IF('報告_保健P20-22'!M25="","",'報告_保健P20-22'!M25)</f>
        <v>169982000</v>
      </c>
      <c r="F392" s="1708" t="s">
        <v>373</v>
      </c>
      <c r="G392" s="1709" t="str">
        <f t="shared" si="6"/>
        <v>入力済</v>
      </c>
      <c r="H392" s="1708" t="inlineStr">
        <is>
          <t>報告_保健P20-22 M24,AE25</t>
        </is>
      </c>
      <c r="I392" s="1708" t="inlineStr">
        <is>
          <t>同じシート内のみ</t>
        </is>
      </c>
    </row>
    <row r="393" spans="1:9" ht="19.95" customHeight="1">
      <c r="A393" s="1755" t="s">
        <v>13</v>
      </c>
      <c r="B393" s="1711" t="s">
        <v>1811</v>
      </c>
      <c r="C393" s="1756" t="str">
        <f>HYPERLINK("#'報告_保健P20-22'!V25","V25")</f>
        <v>V25</v>
      </c>
      <c r="D393" s="1711" t="s">
        <v>1774</v>
      </c>
      <c r="E393" s="1757">
        <f>IF('報告_保健P20-22'!V25="","",'報告_保健P20-22'!V25)</f>
        <v>169993600</v>
      </c>
      <c r="F393" s="1711" t="s">
        <v>1644</v>
      </c>
      <c r="G393" s="1709" t="str">
        <f t="shared" si="6"/>
        <v>入力済</v>
      </c>
      <c r="H393" s="1708" t="inlineStr">
        <is>
          <t>報告_保健P20-22 V24,AE25,AW25</t>
        </is>
      </c>
      <c r="I393" s="1708" t="inlineStr">
        <is>
          <t>保健_財務諸表、保健_附属明細表、保健_決算精算表</t>
        </is>
      </c>
    </row>
    <row r="394" spans="1:9" ht="19.95" customHeight="1">
      <c r="A394" s="1752" t="s">
        <v>13</v>
      </c>
      <c r="B394" s="1708" t="s">
        <v>1811</v>
      </c>
      <c r="C394" s="1753" t="str">
        <f>HYPERLINK("#'報告_保健P20-22'!M26","M26")</f>
        <v>M26</v>
      </c>
      <c r="D394" s="1708" t="s">
        <v>1775</v>
      </c>
      <c r="E394" s="1754">
        <f>IF('報告_保健P20-22'!M26="","",'報告_保健P20-22'!M26)</f>
        <v>46069000</v>
      </c>
      <c r="F394" s="1708" t="s">
        <v>373</v>
      </c>
      <c r="G394" s="1709" t="str">
        <f t="shared" si="6"/>
        <v>入力済</v>
      </c>
      <c r="H394" s="1708" t="inlineStr">
        <is>
          <t>報告_保健P20-22 M24,AE26</t>
        </is>
      </c>
      <c r="I394" s="1708" t="inlineStr">
        <is>
          <t>同じシート内のみ</t>
        </is>
      </c>
    </row>
    <row r="395" spans="1:9" ht="19.95" customHeight="1">
      <c r="A395" s="1755" t="s">
        <v>13</v>
      </c>
      <c r="B395" s="1711" t="s">
        <v>1811</v>
      </c>
      <c r="C395" s="1756" t="str">
        <f>HYPERLINK("#'報告_保健P20-22'!V26","V26")</f>
        <v>V26</v>
      </c>
      <c r="D395" s="1711" t="s">
        <v>1776</v>
      </c>
      <c r="E395" s="1757">
        <f>IF('報告_保健P20-22'!V26="","",'報告_保健P20-22'!V26)</f>
        <v>54160380</v>
      </c>
      <c r="F395" s="1711" t="s">
        <v>1644</v>
      </c>
      <c r="G395" s="1709" t="str">
        <f t="shared" si="6"/>
        <v>入力済</v>
      </c>
      <c r="H395" s="1708" t="inlineStr">
        <is>
          <t>報告_保健P20-22 V24,AE26,AW26</t>
        </is>
      </c>
      <c r="I395" s="1708" t="inlineStr">
        <is>
          <t>保健_財務諸表、保健_附属明細表、保健_決算精算表</t>
        </is>
      </c>
    </row>
    <row r="396" spans="1:9" ht="19.95" customHeight="1">
      <c r="A396" s="1752" t="s">
        <v>13</v>
      </c>
      <c r="B396" s="1708" t="s">
        <v>1811</v>
      </c>
      <c r="C396" s="1753" t="str">
        <f>HYPERLINK("#'報告_保健P20-22'!M27","M27")</f>
        <v>M27</v>
      </c>
      <c r="D396" s="1708" t="s">
        <v>1814</v>
      </c>
      <c r="E396" s="1754">
        <f>IF('報告_保健P20-22'!M27="","",'報告_保健P20-22'!M27)</f>
        <v>0</v>
      </c>
      <c r="F396" s="1708" t="s">
        <v>373</v>
      </c>
      <c r="G396" s="1709" t="str">
        <f t="shared" si="6"/>
        <v>0（確認）</v>
      </c>
      <c r="H396" s="1708" t="inlineStr">
        <is>
          <t>報告_保健P20-22 M33,AE27</t>
        </is>
      </c>
      <c r="I396" s="1708" t="inlineStr">
        <is>
          <t>同じシート内のみ</t>
        </is>
      </c>
    </row>
    <row r="397" spans="1:9" ht="19.95" customHeight="1">
      <c r="A397" s="1755" t="s">
        <v>13</v>
      </c>
      <c r="B397" s="1711" t="s">
        <v>1811</v>
      </c>
      <c r="C397" s="1756" t="str">
        <f>HYPERLINK("#'報告_保健P20-22'!V27","V27")</f>
        <v>V27</v>
      </c>
      <c r="D397" s="1711" t="s">
        <v>1815</v>
      </c>
      <c r="E397" s="1757">
        <f>IF('報告_保健P20-22'!V27="","",'報告_保健P20-22'!V27)</f>
        <v>0</v>
      </c>
      <c r="F397" s="1711" t="s">
        <v>1644</v>
      </c>
      <c r="G397" s="1709" t="str">
        <f t="shared" si="6"/>
        <v>0（確認）</v>
      </c>
      <c r="H397" s="1708" t="inlineStr">
        <is>
          <t>報告_保健P20-22 V33,AE27,AW27</t>
        </is>
      </c>
      <c r="I397" s="1708" t="inlineStr">
        <is>
          <t>同じシート内のみ</t>
        </is>
      </c>
    </row>
    <row r="398" spans="1:9" ht="19.95" customHeight="1">
      <c r="A398" s="1752" t="s">
        <v>13</v>
      </c>
      <c r="B398" s="1708" t="s">
        <v>1811</v>
      </c>
      <c r="C398" s="1753" t="str">
        <f>HYPERLINK("#'報告_保健P20-22'!M28","M28")</f>
        <v>M28</v>
      </c>
      <c r="D398" s="1708" t="s">
        <v>1651</v>
      </c>
      <c r="E398" s="1754">
        <f>IF('報告_保健P20-22'!M28="","",'報告_保健P20-22'!M28)</f>
        <v>0</v>
      </c>
      <c r="F398" s="1708" t="s">
        <v>373</v>
      </c>
      <c r="G398" s="1709" t="str">
        <f t="shared" si="6"/>
        <v>0（確認）</v>
      </c>
      <c r="H398" s="1708" t="inlineStr">
        <is>
          <t>報告_保健P20-22 M33,AE28</t>
        </is>
      </c>
      <c r="I398" s="1708" t="inlineStr">
        <is>
          <t>同じシート内のみ</t>
        </is>
      </c>
    </row>
    <row r="399" spans="1:9" ht="19.95" customHeight="1">
      <c r="A399" s="1755" t="s">
        <v>13</v>
      </c>
      <c r="B399" s="1711" t="s">
        <v>1811</v>
      </c>
      <c r="C399" s="1756" t="str">
        <f>HYPERLINK("#'報告_保健P20-22'!V28","V28")</f>
        <v>V28</v>
      </c>
      <c r="D399" s="1711" t="s">
        <v>1816</v>
      </c>
      <c r="E399" s="1757">
        <f>IF('報告_保健P20-22'!V28="","",'報告_保健P20-22'!V28)</f>
        <v>0</v>
      </c>
      <c r="F399" s="1711" t="s">
        <v>1644</v>
      </c>
      <c r="G399" s="1709" t="str">
        <f t="shared" si="6"/>
        <v>0（確認）</v>
      </c>
      <c r="H399" s="1708" t="inlineStr">
        <is>
          <t>報告_保健P20-22 V33,AE28,AW28</t>
        </is>
      </c>
      <c r="I399" s="1708" t="inlineStr">
        <is>
          <t>同じシート内のみ</t>
        </is>
      </c>
    </row>
    <row r="400" spans="1:9" ht="19.95" customHeight="1">
      <c r="A400" s="1752" t="s">
        <v>13</v>
      </c>
      <c r="B400" s="1708" t="s">
        <v>1811</v>
      </c>
      <c r="C400" s="1753" t="str">
        <f>HYPERLINK("#'報告_保健P20-22'!M29","M29")</f>
        <v>M29</v>
      </c>
      <c r="D400" s="1708" t="s">
        <v>1817</v>
      </c>
      <c r="E400" s="1754">
        <f>IF('報告_保健P20-22'!M29="","",'報告_保健P20-22'!M29)</f>
        <v>0</v>
      </c>
      <c r="F400" s="1708" t="s">
        <v>373</v>
      </c>
      <c r="G400" s="1709" t="str">
        <f t="shared" si="6"/>
        <v>0（確認）</v>
      </c>
      <c r="H400" s="1708" t="inlineStr">
        <is>
          <t>報告_保健P20-22 M33,AE29</t>
        </is>
      </c>
      <c r="I400" s="1708" t="inlineStr">
        <is>
          <t>同じシート内のみ</t>
        </is>
      </c>
    </row>
    <row r="401" spans="1:9" ht="19.95" customHeight="1">
      <c r="A401" s="1755" t="s">
        <v>13</v>
      </c>
      <c r="B401" s="1711" t="s">
        <v>1811</v>
      </c>
      <c r="C401" s="1756" t="str">
        <f>HYPERLINK("#'報告_保健P20-22'!M30","M30")</f>
        <v>M30</v>
      </c>
      <c r="D401" s="1711" t="s">
        <v>1818</v>
      </c>
      <c r="E401" s="1757">
        <f>IF('報告_保健P20-22'!M30="","",'報告_保健P20-22'!M30)</f>
        <v>0</v>
      </c>
      <c r="F401" s="1711" t="s">
        <v>373</v>
      </c>
      <c r="G401" s="1709" t="str">
        <f t="shared" si="6"/>
        <v>0（確認）</v>
      </c>
      <c r="H401" s="1708" t="inlineStr">
        <is>
          <t>報告_保健P20-22 AE30</t>
        </is>
      </c>
      <c r="I401" s="1708" t="inlineStr">
        <is>
          <t>同じシート内のみ</t>
        </is>
      </c>
    </row>
    <row r="402" spans="1:9" ht="19.95" customHeight="1">
      <c r="A402" s="1752" t="s">
        <v>13</v>
      </c>
      <c r="B402" s="1708" t="s">
        <v>1811</v>
      </c>
      <c r="C402" s="1753" t="str">
        <f>HYPERLINK("#'報告_保健P20-22'!V30","V30")</f>
        <v>V30</v>
      </c>
      <c r="D402" s="1708" t="s">
        <v>1819</v>
      </c>
      <c r="E402" s="1754">
        <f>IF('報告_保健P20-22'!V30="","",'報告_保健P20-22'!V30)</f>
        <v>0</v>
      </c>
      <c r="F402" s="1708" t="s">
        <v>1644</v>
      </c>
      <c r="G402" s="1709" t="str">
        <f t="shared" si="6"/>
        <v>0（確認）</v>
      </c>
      <c r="H402" s="1708" t="inlineStr">
        <is>
          <t>報告_保健P20-22 V33,AE30,AW30</t>
        </is>
      </c>
      <c r="I402" s="1708" t="inlineStr">
        <is>
          <t>同じシート内のみ</t>
        </is>
      </c>
    </row>
    <row r="403" spans="1:9" ht="19.95" customHeight="1">
      <c r="A403" s="1755" t="s">
        <v>13</v>
      </c>
      <c r="B403" s="1711" t="s">
        <v>1811</v>
      </c>
      <c r="C403" s="1756" t="str">
        <f>HYPERLINK("#'報告_保健P20-22'!M31","M31")</f>
        <v>M31</v>
      </c>
      <c r="D403" s="1711" t="s">
        <v>1782</v>
      </c>
      <c r="E403" s="1757">
        <f>IF('報告_保健P20-22'!M31="","",'報告_保健P20-22'!M31)</f>
        <v>0</v>
      </c>
      <c r="F403" s="1711" t="s">
        <v>373</v>
      </c>
      <c r="G403" s="1709" t="str">
        <f t="shared" si="6"/>
        <v>0（確認）</v>
      </c>
      <c r="H403" s="1708" t="inlineStr">
        <is>
          <t>報告_保健P20-22 M33,AE31</t>
        </is>
      </c>
      <c r="I403" s="1708" t="inlineStr">
        <is>
          <t>同じシート内のみ</t>
        </is>
      </c>
    </row>
    <row r="404" spans="1:9" ht="19.95" customHeight="1">
      <c r="A404" s="1752" t="s">
        <v>13</v>
      </c>
      <c r="B404" s="1708" t="s">
        <v>1811</v>
      </c>
      <c r="C404" s="1753" t="str">
        <f>HYPERLINK("#'報告_保健P20-22'!M32","M32")</f>
        <v>M32</v>
      </c>
      <c r="D404" s="1708" t="s">
        <v>1820</v>
      </c>
      <c r="E404" s="1754">
        <f>IF('報告_保健P20-22'!M32="","",'報告_保健P20-22'!M32)</f>
        <v>0</v>
      </c>
      <c r="F404" s="1708" t="s">
        <v>373</v>
      </c>
      <c r="G404" s="1709" t="str">
        <f t="shared" si="6"/>
        <v>0（確認）</v>
      </c>
      <c r="H404" s="1708" t="inlineStr">
        <is>
          <t>報告_保健P20-22 M33,AE32</t>
        </is>
      </c>
      <c r="I404" s="1708" t="inlineStr">
        <is>
          <t>同じシート内のみ</t>
        </is>
      </c>
    </row>
    <row r="405" spans="1:9" ht="19.95" customHeight="1">
      <c r="A405" s="1755" t="s">
        <v>13</v>
      </c>
      <c r="B405" s="1711" t="s">
        <v>1811</v>
      </c>
      <c r="C405" s="1756" t="str">
        <f>HYPERLINK("#'報告_保健P20-22'!M46","M46")</f>
        <v>M46</v>
      </c>
      <c r="D405" s="1711" t="s">
        <v>1797</v>
      </c>
      <c r="E405" s="1757">
        <f>IF('報告_保健P20-22'!M46="","",'報告_保健P20-22'!M46)</f>
        <v>7146000</v>
      </c>
      <c r="F405" s="1711" t="s">
        <v>373</v>
      </c>
      <c r="G405" s="1709" t="str">
        <f t="shared" si="6"/>
        <v>入力済</v>
      </c>
      <c r="H405" s="1708" t="inlineStr">
        <is>
          <t>報告_保健P20-22 M65,AE46、保健_附属明細表 E136</t>
        </is>
      </c>
      <c r="I405" s="1708" t="inlineStr">
        <is>
          <t>保健_附属明細表</t>
        </is>
      </c>
    </row>
    <row r="406" spans="1:9" ht="19.95" customHeight="1">
      <c r="A406" s="1752" t="s">
        <v>13</v>
      </c>
      <c r="B406" s="1708" t="s">
        <v>1811</v>
      </c>
      <c r="C406" s="1753" t="str">
        <f>HYPERLINK("#'報告_保健P20-22'!M47","M47")</f>
        <v>M47</v>
      </c>
      <c r="D406" s="1708" t="s">
        <v>1798</v>
      </c>
      <c r="E406" s="1754">
        <f>IF('報告_保健P20-22'!M47="","",'報告_保健P20-22'!M47)</f>
        <v>560810000</v>
      </c>
      <c r="F406" s="1708" t="s">
        <v>373</v>
      </c>
      <c r="G406" s="1709" t="str">
        <f t="shared" si="6"/>
        <v>入力済</v>
      </c>
      <c r="H406" s="1708" t="inlineStr">
        <is>
          <t>報告_保健P20-22 M65,AE47</t>
        </is>
      </c>
      <c r="I406" s="1708" t="inlineStr">
        <is>
          <t>同じシート内のみ</t>
        </is>
      </c>
    </row>
    <row r="407" spans="1:9" ht="19.95" customHeight="1">
      <c r="A407" s="1755" t="s">
        <v>13</v>
      </c>
      <c r="B407" s="1711" t="s">
        <v>1811</v>
      </c>
      <c r="C407" s="1756" t="str">
        <f>HYPERLINK("#'報告_保健P20-22'!M48","M48")</f>
        <v>M48</v>
      </c>
      <c r="D407" s="1711" t="s">
        <v>1821</v>
      </c>
      <c r="E407" s="1757">
        <f>IF('報告_保健P20-22'!M48="","",'報告_保健P20-22'!M48)</f>
        <v>34605000</v>
      </c>
      <c r="F407" s="1711" t="s">
        <v>373</v>
      </c>
      <c r="G407" s="1709" t="str">
        <f t="shared" si="6"/>
        <v>入力済</v>
      </c>
      <c r="H407" s="1708" t="inlineStr">
        <is>
          <t>報告_保健P20-22 M65,AE48</t>
        </is>
      </c>
      <c r="I407" s="1708" t="inlineStr">
        <is>
          <t>同じシート内のみ</t>
        </is>
      </c>
    </row>
    <row r="408" spans="1:9" ht="19.95" customHeight="1">
      <c r="A408" s="1752" t="s">
        <v>13</v>
      </c>
      <c r="B408" s="1708" t="s">
        <v>1811</v>
      </c>
      <c r="C408" s="1753" t="str">
        <f>HYPERLINK("#'報告_保健P20-22'!M49","M49")</f>
        <v>M49</v>
      </c>
      <c r="D408" s="1708" t="s">
        <v>1799</v>
      </c>
      <c r="E408" s="1754">
        <f>IF('報告_保健P20-22'!M49="","",'報告_保健P20-22'!M49)</f>
        <v>110000</v>
      </c>
      <c r="F408" s="1708" t="s">
        <v>373</v>
      </c>
      <c r="G408" s="1709" t="str">
        <f t="shared" si="6"/>
        <v>入力済</v>
      </c>
      <c r="H408" s="1708" t="inlineStr">
        <is>
          <t>報告_保健P20-22 M65,AE49、保健_附属明細表 E137</t>
        </is>
      </c>
      <c r="I408" s="1708" t="inlineStr">
        <is>
          <t>保健_附属明細表</t>
        </is>
      </c>
    </row>
    <row r="409" spans="1:9" ht="19.95" customHeight="1">
      <c r="A409" s="1755" t="s">
        <v>13</v>
      </c>
      <c r="B409" s="1711" t="s">
        <v>1811</v>
      </c>
      <c r="C409" s="1756" t="str">
        <f>HYPERLINK("#'報告_保健P20-22'!V49","V49")</f>
        <v>V49</v>
      </c>
      <c r="D409" s="1711" t="s">
        <v>1822</v>
      </c>
      <c r="E409" s="1757">
        <f>IF('報告_保健P20-22'!V49="","",'報告_保健P20-22'!V49)</f>
        <v>0</v>
      </c>
      <c r="F409" s="1711" t="s">
        <v>1644</v>
      </c>
      <c r="G409" s="1709" t="str">
        <f t="shared" si="6"/>
        <v>0（確認）</v>
      </c>
      <c r="H409" s="1708" t="inlineStr">
        <is>
          <t>報告_保健P20-22 V65,AE49,AW49</t>
        </is>
      </c>
      <c r="I409" s="1708" t="inlineStr">
        <is>
          <t>同じシート内のみ</t>
        </is>
      </c>
    </row>
    <row r="410" spans="1:9" ht="19.95" customHeight="1">
      <c r="A410" s="1752" t="s">
        <v>13</v>
      </c>
      <c r="B410" s="1708" t="s">
        <v>1811</v>
      </c>
      <c r="C410" s="1753" t="str">
        <f>HYPERLINK("#'報告_保健P20-22'!M50","M50")</f>
        <v>M50</v>
      </c>
      <c r="D410" s="1708" t="s">
        <v>1800</v>
      </c>
      <c r="E410" s="1754">
        <f>IF('報告_保健P20-22'!M50="","",'報告_保健P20-22'!M50)</f>
        <v>700000</v>
      </c>
      <c r="F410" s="1708" t="s">
        <v>373</v>
      </c>
      <c r="G410" s="1709" t="str">
        <f t="shared" si="6"/>
        <v>入力済</v>
      </c>
      <c r="H410" s="1708" t="inlineStr">
        <is>
          <t>報告_保健P20-22 M65,AE50、保健_附属明細表 E138</t>
        </is>
      </c>
      <c r="I410" s="1708" t="inlineStr">
        <is>
          <t>保健_附属明細表</t>
        </is>
      </c>
    </row>
    <row r="411" spans="1:9" ht="19.95" customHeight="1">
      <c r="A411" s="1755" t="s">
        <v>13</v>
      </c>
      <c r="B411" s="1711" t="s">
        <v>1811</v>
      </c>
      <c r="C411" s="1756" t="str">
        <f>HYPERLINK("#'報告_保健P20-22'!M51","M51")</f>
        <v>M51</v>
      </c>
      <c r="D411" s="1711" t="s">
        <v>1823</v>
      </c>
      <c r="E411" s="1757">
        <f>IF('報告_保健P20-22'!M51="","",'報告_保健P20-22'!M51)</f>
        <v>186000</v>
      </c>
      <c r="F411" s="1711" t="s">
        <v>373</v>
      </c>
      <c r="G411" s="1709" t="str">
        <f t="shared" si="6"/>
        <v>入力済</v>
      </c>
      <c r="H411" s="1708" t="inlineStr">
        <is>
          <t>報告_保健P20-22 M65,AE51</t>
        </is>
      </c>
      <c r="I411" s="1708" t="inlineStr">
        <is>
          <t>同じシート内のみ</t>
        </is>
      </c>
    </row>
    <row r="412" spans="1:9" ht="19.95" customHeight="1">
      <c r="A412" s="1752" t="s">
        <v>13</v>
      </c>
      <c r="B412" s="1708" t="s">
        <v>1811</v>
      </c>
      <c r="C412" s="1753" t="str">
        <f>HYPERLINK("#'報告_保健P20-22'!M52","M52")</f>
        <v>M52</v>
      </c>
      <c r="D412" s="1708" t="s">
        <v>1801</v>
      </c>
      <c r="E412" s="1754">
        <f>IF('報告_保健P20-22'!M52="","",'報告_保健P20-22'!M52)</f>
        <v>0</v>
      </c>
      <c r="F412" s="1708" t="s">
        <v>373</v>
      </c>
      <c r="G412" s="1709" t="str">
        <f t="shared" si="6"/>
        <v>0（確認）</v>
      </c>
      <c r="H412" s="1708" t="inlineStr">
        <is>
          <t>報告_保健P20-22 M65,AE52</t>
        </is>
      </c>
      <c r="I412" s="1708" t="inlineStr">
        <is>
          <t>同じシート内のみ</t>
        </is>
      </c>
    </row>
    <row r="413" spans="1:9" ht="19.95" customHeight="1">
      <c r="A413" s="1755" t="s">
        <v>13</v>
      </c>
      <c r="B413" s="1711" t="s">
        <v>1811</v>
      </c>
      <c r="C413" s="1756" t="str">
        <f>HYPERLINK("#'報告_保健P20-22'!M53","M53")</f>
        <v>M53</v>
      </c>
      <c r="D413" s="1711" t="s">
        <v>1802</v>
      </c>
      <c r="E413" s="1757">
        <f>IF('報告_保健P20-22'!M53="","",'報告_保健P20-22'!M53)</f>
        <v>5240000</v>
      </c>
      <c r="F413" s="1711" t="s">
        <v>373</v>
      </c>
      <c r="G413" s="1709" t="str">
        <f t="shared" si="6"/>
        <v>入力済</v>
      </c>
      <c r="H413" s="1708" t="inlineStr">
        <is>
          <t>報告_保健P20-22 M65,AE53</t>
        </is>
      </c>
      <c r="I413" s="1708" t="inlineStr">
        <is>
          <t>同じシート内のみ</t>
        </is>
      </c>
    </row>
    <row r="414" spans="1:9" ht="19.95" customHeight="1">
      <c r="A414" s="1752" t="s">
        <v>13</v>
      </c>
      <c r="B414" s="1708" t="s">
        <v>1811</v>
      </c>
      <c r="C414" s="1753" t="str">
        <f>HYPERLINK("#'報告_保健P20-22'!M54","M54")</f>
        <v>M54</v>
      </c>
      <c r="D414" s="1708" t="s">
        <v>1805</v>
      </c>
      <c r="E414" s="1754">
        <f>IF('報告_保健P20-22'!M54="","",'報告_保健P20-22'!M54)</f>
        <v>0</v>
      </c>
      <c r="F414" s="1708" t="s">
        <v>373</v>
      </c>
      <c r="G414" s="1709" t="str">
        <f t="shared" si="6"/>
        <v>0（確認）</v>
      </c>
      <c r="H414" s="1708" t="inlineStr">
        <is>
          <t>報告_保健P20-22 M65,AE54</t>
        </is>
      </c>
      <c r="I414" s="1708" t="inlineStr">
        <is>
          <t>同じシート内のみ</t>
        </is>
      </c>
    </row>
    <row r="415" spans="1:9" ht="19.95" customHeight="1">
      <c r="A415" s="1755" t="s">
        <v>13</v>
      </c>
      <c r="B415" s="1711" t="s">
        <v>1811</v>
      </c>
      <c r="C415" s="1756" t="str">
        <f>HYPERLINK("#'報告_保健P20-22'!M55","M55")</f>
        <v>M55</v>
      </c>
      <c r="D415" s="1711" t="s">
        <v>1806</v>
      </c>
      <c r="E415" s="1757">
        <f>IF('報告_保健P20-22'!M55="","",'報告_保健P20-22'!M55)</f>
        <v>0</v>
      </c>
      <c r="F415" s="1711" t="s">
        <v>373</v>
      </c>
      <c r="G415" s="1709" t="str">
        <f t="shared" si="6"/>
        <v>0（確認）</v>
      </c>
      <c r="H415" s="1708" t="inlineStr">
        <is>
          <t>報告_保健P20-22 M65,AE55</t>
        </is>
      </c>
      <c r="I415" s="1708" t="inlineStr">
        <is>
          <t>同じシート内のみ</t>
        </is>
      </c>
    </row>
    <row r="416" spans="1:9" ht="19.95" customHeight="1">
      <c r="A416" s="1752" t="s">
        <v>13</v>
      </c>
      <c r="B416" s="1708" t="s">
        <v>1811</v>
      </c>
      <c r="C416" s="1753" t="str">
        <f>HYPERLINK("#'報告_保健P20-22'!M56","M56")</f>
        <v>M56</v>
      </c>
      <c r="D416" s="1708" t="s">
        <v>1824</v>
      </c>
      <c r="E416" s="1754">
        <f>IF('報告_保健P20-22'!M56="","",'報告_保健P20-22'!M56)</f>
        <v>26000</v>
      </c>
      <c r="F416" s="1708" t="s">
        <v>373</v>
      </c>
      <c r="G416" s="1709" t="str">
        <f t="shared" si="6"/>
        <v>入力済</v>
      </c>
      <c r="H416" s="1708" t="inlineStr">
        <is>
          <t>報告_保健P20-22 M65,AE56</t>
        </is>
      </c>
      <c r="I416" s="1708" t="inlineStr">
        <is>
          <t>同じシート内のみ</t>
        </is>
      </c>
    </row>
    <row r="417" spans="1:9" ht="19.95" customHeight="1">
      <c r="A417" s="1755" t="s">
        <v>13</v>
      </c>
      <c r="B417" s="1711" t="s">
        <v>1811</v>
      </c>
      <c r="C417" s="1756" t="str">
        <f>HYPERLINK("#'報告_保健P20-22'!M57","M57")</f>
        <v>M57</v>
      </c>
      <c r="D417" s="1711" t="s">
        <v>1807</v>
      </c>
      <c r="E417" s="1757">
        <f>IF('報告_保健P20-22'!M57="","",'報告_保健P20-22'!M57)</f>
        <v>3363000</v>
      </c>
      <c r="F417" s="1711" t="s">
        <v>373</v>
      </c>
      <c r="G417" s="1709" t="str">
        <f t="shared" si="6"/>
        <v>入力済</v>
      </c>
      <c r="H417" s="1708" t="inlineStr">
        <is>
          <t>報告_保健P20-22 M65,AE57</t>
        </is>
      </c>
      <c r="I417" s="1708" t="inlineStr">
        <is>
          <t>同じシート内のみ</t>
        </is>
      </c>
    </row>
    <row r="418" spans="1:9" ht="19.95" customHeight="1">
      <c r="A418" s="1752" t="s">
        <v>13</v>
      </c>
      <c r="B418" s="1708" t="s">
        <v>1811</v>
      </c>
      <c r="C418" s="1753" t="str">
        <f>HYPERLINK("#'報告_保健P20-22'!M58","M58")</f>
        <v>M58</v>
      </c>
      <c r="D418" s="1708" t="s">
        <v>1825</v>
      </c>
      <c r="E418" s="1754">
        <f>IF('報告_保健P20-22'!M58="","",'報告_保健P20-22'!M58)</f>
        <v>0</v>
      </c>
      <c r="F418" s="1708" t="s">
        <v>373</v>
      </c>
      <c r="G418" s="1709" t="str">
        <f t="shared" si="6"/>
        <v>0（確認）</v>
      </c>
      <c r="H418" s="1708" t="inlineStr">
        <is>
          <t>報告_保健P20-22 M65,AE58</t>
        </is>
      </c>
      <c r="I418" s="1708" t="inlineStr">
        <is>
          <t>同じシート内のみ</t>
        </is>
      </c>
    </row>
    <row r="419" spans="1:9" ht="19.95" customHeight="1">
      <c r="A419" s="1755" t="s">
        <v>13</v>
      </c>
      <c r="B419" s="1711" t="s">
        <v>1811</v>
      </c>
      <c r="C419" s="1756" t="str">
        <f>HYPERLINK("#'報告_保健P20-22'!M59","M59")</f>
        <v>M59</v>
      </c>
      <c r="D419" s="1711" t="s">
        <v>138</v>
      </c>
      <c r="E419" s="1757">
        <f>IF('報告_保健P20-22'!M59="","",'報告_保健P20-22'!M59)</f>
        <v>2077000</v>
      </c>
      <c r="F419" s="1711" t="s">
        <v>373</v>
      </c>
      <c r="G419" s="1709" t="str">
        <f t="shared" si="6"/>
        <v>入力済</v>
      </c>
      <c r="H419" s="1708" t="inlineStr">
        <is>
          <t>報告_保健P20-22 M65,AE59</t>
        </is>
      </c>
      <c r="I419" s="1708" t="inlineStr">
        <is>
          <t>同じシート内のみ</t>
        </is>
      </c>
    </row>
    <row r="420" spans="1:9" ht="19.95" customHeight="1">
      <c r="A420" s="1752" t="s">
        <v>13</v>
      </c>
      <c r="B420" s="1708" t="s">
        <v>1811</v>
      </c>
      <c r="C420" s="1753" t="str">
        <f>HYPERLINK("#'報告_保健P20-22'!M60","M60")</f>
        <v>M60</v>
      </c>
      <c r="D420" s="1708" t="s">
        <v>125</v>
      </c>
      <c r="E420" s="1754">
        <f>IF('報告_保健P20-22'!M60="","",'報告_保健P20-22'!M60)</f>
        <v>593000</v>
      </c>
      <c r="F420" s="1708" t="s">
        <v>373</v>
      </c>
      <c r="G420" s="1709" t="str">
        <f t="shared" si="6"/>
        <v>入力済</v>
      </c>
      <c r="H420" s="1708" t="inlineStr">
        <is>
          <t>報告_保健P20-22 M65,AE60</t>
        </is>
      </c>
      <c r="I420" s="1708" t="inlineStr">
        <is>
          <t>同じシート内のみ</t>
        </is>
      </c>
    </row>
    <row r="421" spans="1:9" ht="19.95" customHeight="1">
      <c r="A421" s="1755" t="s">
        <v>13</v>
      </c>
      <c r="B421" s="1711" t="s">
        <v>1811</v>
      </c>
      <c r="C421" s="1756" t="str">
        <f>HYPERLINK("#'報告_保健P20-22'!M61","M61")</f>
        <v>M61</v>
      </c>
      <c r="D421" s="1711" t="s">
        <v>140</v>
      </c>
      <c r="E421" s="1757">
        <f>IF('報告_保健P20-22'!M61="","",'報告_保健P20-22'!M61)</f>
        <v>2726000</v>
      </c>
      <c r="F421" s="1711" t="s">
        <v>373</v>
      </c>
      <c r="G421" s="1709" t="str">
        <f t="shared" si="6"/>
        <v>入力済</v>
      </c>
      <c r="H421" s="1708" t="inlineStr">
        <is>
          <t>報告_保健P20-22 M65,AE61</t>
        </is>
      </c>
      <c r="I421" s="1708" t="inlineStr">
        <is>
          <t>同じシート内のみ</t>
        </is>
      </c>
    </row>
    <row r="422" spans="1:9" ht="19.95" customHeight="1">
      <c r="A422" s="1752" t="s">
        <v>13</v>
      </c>
      <c r="B422" s="1708" t="s">
        <v>1811</v>
      </c>
      <c r="C422" s="1753" t="str">
        <f>HYPERLINK("#'報告_保健P20-22'!M62","M62")</f>
        <v>M62</v>
      </c>
      <c r="D422" s="1708" t="s">
        <v>142</v>
      </c>
      <c r="E422" s="1754">
        <f>IF('報告_保健P20-22'!M62="","",'報告_保健P20-22'!M62)</f>
        <v>0</v>
      </c>
      <c r="F422" s="1708" t="s">
        <v>373</v>
      </c>
      <c r="G422" s="1709" t="str">
        <f t="shared" si="6"/>
        <v>0（確認）</v>
      </c>
      <c r="H422" s="1708" t="inlineStr">
        <is>
          <t>報告_保健P20-22 M65,AE62</t>
        </is>
      </c>
      <c r="I422" s="1708" t="inlineStr">
        <is>
          <t>同じシート内のみ</t>
        </is>
      </c>
    </row>
    <row r="423" spans="1:9" ht="19.95" customHeight="1">
      <c r="A423" s="1755" t="s">
        <v>13</v>
      </c>
      <c r="B423" s="1711" t="s">
        <v>1811</v>
      </c>
      <c r="C423" s="1756" t="str">
        <f>HYPERLINK("#'報告_保健P20-22'!M63","M63")</f>
        <v>M63</v>
      </c>
      <c r="D423" s="1711" t="s">
        <v>143</v>
      </c>
      <c r="E423" s="1757">
        <f>IF('報告_保健P20-22'!M63="","",'報告_保健P20-22'!M63)</f>
        <v>0</v>
      </c>
      <c r="F423" s="1711" t="s">
        <v>373</v>
      </c>
      <c r="G423" s="1709" t="str">
        <f t="shared" si="6"/>
        <v>0（確認）</v>
      </c>
      <c r="H423" s="1708" t="inlineStr">
        <is>
          <t>報告_保健P20-22 M65,AE63</t>
        </is>
      </c>
      <c r="I423" s="1708" t="inlineStr">
        <is>
          <t>同じシート内のみ</t>
        </is>
      </c>
    </row>
    <row r="424" spans="1:9" ht="19.95" customHeight="1">
      <c r="A424" s="1752" t="s">
        <v>13</v>
      </c>
      <c r="B424" s="1708" t="s">
        <v>1811</v>
      </c>
      <c r="C424" s="1753" t="str">
        <f>HYPERLINK("#'報告_保健P20-22'!M64","M64")</f>
        <v>M64</v>
      </c>
      <c r="D424" s="1708" t="s">
        <v>144</v>
      </c>
      <c r="E424" s="1754">
        <f>IF('報告_保健P20-22'!M64="","",'報告_保健P20-22'!M64)</f>
        <v>0</v>
      </c>
      <c r="F424" s="1708" t="s">
        <v>373</v>
      </c>
      <c r="G424" s="1709" t="str">
        <f t="shared" si="6"/>
        <v>0（確認）</v>
      </c>
      <c r="H424" s="1708" t="inlineStr">
        <is>
          <t>報告_保健P20-22 M65,AE64</t>
        </is>
      </c>
      <c r="I424" s="1708" t="inlineStr">
        <is>
          <t>同じシート内のみ</t>
        </is>
      </c>
    </row>
    <row r="425" spans="1:9" ht="19.95" customHeight="1">
      <c r="A425" s="1755" t="s">
        <v>13</v>
      </c>
      <c r="B425" s="1711" t="s">
        <v>1811</v>
      </c>
      <c r="C425" s="1756" t="str">
        <f>HYPERLINK("#'報告_保健P20-22'!P71","P71")</f>
        <v>P71</v>
      </c>
      <c r="D425" s="1711" t="s">
        <v>1826</v>
      </c>
      <c r="E425" s="1757">
        <f>IF('報告_保健P20-22'!P71="","",'報告_保健P20-22'!P71)</f>
        <v>492252000</v>
      </c>
      <c r="F425" s="1711" t="s">
        <v>373</v>
      </c>
      <c r="G425" s="1709" t="str">
        <f t="shared" si="6"/>
        <v>入力済</v>
      </c>
      <c r="H425" s="1708" t="inlineStr">
        <is>
          <t>報告_保健P20-22 P81</t>
        </is>
      </c>
      <c r="I425" s="1708" t="inlineStr">
        <is>
          <t>同じシート内のみ</t>
        </is>
      </c>
    </row>
    <row r="426" spans="1:9" ht="19.95" customHeight="1">
      <c r="A426" s="1752" t="s">
        <v>13</v>
      </c>
      <c r="B426" s="1708" t="s">
        <v>1811</v>
      </c>
      <c r="C426" s="1753" t="str">
        <f>HYPERLINK("#'報告_保健P20-22'!X71","X71")</f>
        <v>X71</v>
      </c>
      <c r="D426" s="1708" t="s">
        <v>1827</v>
      </c>
      <c r="E426" s="1754">
        <f>IF('報告_保健P20-22'!X71="","",'報告_保健P20-22'!X71)</f>
        <v>519738662</v>
      </c>
      <c r="F426" s="1708" t="s">
        <v>1644</v>
      </c>
      <c r="G426" s="1709" t="str">
        <f t="shared" si="6"/>
        <v>入力済</v>
      </c>
      <c r="H426" s="1708" t="inlineStr">
        <is>
          <t>報告_保健P20-22 X81</t>
        </is>
      </c>
      <c r="I426" s="1708" t="inlineStr">
        <is>
          <t>同じシート内のみ</t>
        </is>
      </c>
    </row>
    <row r="427" spans="1:9" ht="19.95" customHeight="1">
      <c r="A427" s="1755" t="s">
        <v>13</v>
      </c>
      <c r="B427" s="1711" t="s">
        <v>1811</v>
      </c>
      <c r="C427" s="1756" t="str">
        <f>HYPERLINK("#'報告_保健P20-22'!P73","P73")</f>
        <v>P73</v>
      </c>
      <c r="D427" s="1711" t="s">
        <v>1828</v>
      </c>
      <c r="E427" s="1757">
        <f>IF('報告_保健P20-22'!P73="","",'報告_保健P20-22'!P73)</f>
        <v>1000</v>
      </c>
      <c r="F427" s="1711" t="s">
        <v>373</v>
      </c>
      <c r="G427" s="1709" t="str">
        <f t="shared" si="6"/>
        <v>入力済</v>
      </c>
      <c r="H427" s="1708" t="inlineStr">
        <is>
          <t>報告_保健P20-22 P72</t>
        </is>
      </c>
      <c r="I427" s="1708" t="inlineStr">
        <is>
          <t>同じシート内のみ</t>
        </is>
      </c>
    </row>
    <row r="428" spans="1:9" ht="19.95" customHeight="1">
      <c r="A428" s="1752" t="s">
        <v>13</v>
      </c>
      <c r="B428" s="1708" t="s">
        <v>1811</v>
      </c>
      <c r="C428" s="1753" t="str">
        <f>HYPERLINK("#'報告_保健P20-22'!X73","X73")</f>
        <v>X73</v>
      </c>
      <c r="D428" s="1708" t="s">
        <v>1829</v>
      </c>
      <c r="E428" s="1754">
        <f>IF('報告_保健P20-22'!X73="","",'報告_保健P20-22'!X73)</f>
        <v>0</v>
      </c>
      <c r="F428" s="1708" t="s">
        <v>1644</v>
      </c>
      <c r="G428" s="1709" t="str">
        <f t="shared" si="6"/>
        <v>0（確認）</v>
      </c>
      <c r="H428" s="1708" t="inlineStr">
        <is>
          <t>報告_保健P20-22 X72</t>
        </is>
      </c>
      <c r="I428" s="1708" t="inlineStr">
        <is>
          <t>同じシート内のみ</t>
        </is>
      </c>
    </row>
    <row r="429" spans="1:9" ht="19.95" customHeight="1">
      <c r="A429" s="1755" t="s">
        <v>13</v>
      </c>
      <c r="B429" s="1711" t="s">
        <v>1811</v>
      </c>
      <c r="C429" s="1756" t="str">
        <f>HYPERLINK("#'報告_保健P20-22'!P74","P74")</f>
        <v>P74</v>
      </c>
      <c r="D429" s="1711" t="s">
        <v>1830</v>
      </c>
      <c r="E429" s="1757">
        <f>IF('報告_保健P20-22'!P74="","",'報告_保健P20-22'!P74)</f>
        <v>2000</v>
      </c>
      <c r="F429" s="1711" t="s">
        <v>373</v>
      </c>
      <c r="G429" s="1709" t="str">
        <f t="shared" si="6"/>
        <v>入力済</v>
      </c>
      <c r="H429" s="1708" t="inlineStr">
        <is>
          <t>報告_保健P20-22 P72</t>
        </is>
      </c>
      <c r="I429" s="1708" t="inlineStr">
        <is>
          <t>同じシート内のみ</t>
        </is>
      </c>
    </row>
    <row r="430" spans="1:9" ht="19.95" customHeight="1">
      <c r="A430" s="1752" t="s">
        <v>13</v>
      </c>
      <c r="B430" s="1708" t="s">
        <v>1811</v>
      </c>
      <c r="C430" s="1753" t="str">
        <f>HYPERLINK("#'報告_保健P20-22'!X74","X74")</f>
        <v>X74</v>
      </c>
      <c r="D430" s="1708" t="s">
        <v>1831</v>
      </c>
      <c r="E430" s="1754">
        <f>IF('報告_保健P20-22'!X74="","",'報告_保健P20-22'!X74)</f>
        <v>0</v>
      </c>
      <c r="F430" s="1708" t="s">
        <v>1644</v>
      </c>
      <c r="G430" s="1709" t="str">
        <f t="shared" si="6"/>
        <v>0（確認）</v>
      </c>
      <c r="H430" s="1708" t="inlineStr">
        <is>
          <t>報告_保健P20-22 X72</t>
        </is>
      </c>
      <c r="I430" s="1708" t="inlineStr">
        <is>
          <t>同じシート内のみ</t>
        </is>
      </c>
    </row>
    <row r="431" spans="1:9" ht="19.95" customHeight="1">
      <c r="A431" s="1755" t="s">
        <v>13</v>
      </c>
      <c r="B431" s="1711" t="s">
        <v>1811</v>
      </c>
      <c r="C431" s="1756" t="str">
        <f>HYPERLINK("#'報告_保健P20-22'!P75","P75")</f>
        <v>P75</v>
      </c>
      <c r="D431" s="1711" t="s">
        <v>1832</v>
      </c>
      <c r="E431" s="1757">
        <f>IF('報告_保健P20-22'!P75="","",'報告_保健P20-22'!P75)</f>
        <v>2000</v>
      </c>
      <c r="F431" s="1711" t="s">
        <v>373</v>
      </c>
      <c r="G431" s="1709" t="str">
        <f t="shared" si="6"/>
        <v>入力済</v>
      </c>
      <c r="H431" s="1708" t="inlineStr">
        <is>
          <t>報告_保健P20-22 P72</t>
        </is>
      </c>
      <c r="I431" s="1708" t="inlineStr">
        <is>
          <t>同じシート内のみ</t>
        </is>
      </c>
    </row>
    <row r="432" spans="1:9" ht="19.95" customHeight="1">
      <c r="A432" s="1752" t="s">
        <v>13</v>
      </c>
      <c r="B432" s="1708" t="s">
        <v>1811</v>
      </c>
      <c r="C432" s="1753" t="str">
        <f>HYPERLINK("#'報告_保健P20-22'!X75","X75")</f>
        <v>X75</v>
      </c>
      <c r="D432" s="1708" t="s">
        <v>1833</v>
      </c>
      <c r="E432" s="1754">
        <f>IF('報告_保健P20-22'!X75="","",'報告_保健P20-22'!X75)</f>
        <v>0</v>
      </c>
      <c r="F432" s="1708" t="s">
        <v>1644</v>
      </c>
      <c r="G432" s="1709" t="str">
        <f t="shared" si="6"/>
        <v>0（確認）</v>
      </c>
      <c r="H432" s="1708" t="inlineStr">
        <is>
          <t>報告_保健P20-22 X72</t>
        </is>
      </c>
      <c r="I432" s="1708" t="inlineStr">
        <is>
          <t>同じシート内のみ</t>
        </is>
      </c>
    </row>
    <row r="433" spans="1:9" ht="19.95" customHeight="1">
      <c r="A433" s="1755" t="s">
        <v>13</v>
      </c>
      <c r="B433" s="1711" t="s">
        <v>1811</v>
      </c>
      <c r="C433" s="1756" t="str">
        <f>HYPERLINK("#'報告_保健P20-22'!P76","P76")</f>
        <v>P76</v>
      </c>
      <c r="D433" s="1711" t="s">
        <v>1834</v>
      </c>
      <c r="E433" s="1757">
        <f>IF('報告_保健P20-22'!P76="","",'報告_保健P20-22'!P76)</f>
        <v>18180000</v>
      </c>
      <c r="F433" s="1711" t="s">
        <v>373</v>
      </c>
      <c r="G433" s="1709" t="str">
        <f t="shared" si="6"/>
        <v>入力済</v>
      </c>
      <c r="H433" s="1708" t="inlineStr">
        <is>
          <t>報告_保健P20-22 P81</t>
        </is>
      </c>
      <c r="I433" s="1708" t="inlineStr">
        <is>
          <t>同じシート内のみ</t>
        </is>
      </c>
    </row>
    <row r="434" spans="1:9" ht="19.95" customHeight="1">
      <c r="A434" s="1752" t="s">
        <v>13</v>
      </c>
      <c r="B434" s="1708" t="s">
        <v>1811</v>
      </c>
      <c r="C434" s="1753" t="str">
        <f>HYPERLINK("#'報告_保健P20-22'!X76","X76")</f>
        <v>X76</v>
      </c>
      <c r="D434" s="1708" t="s">
        <v>1835</v>
      </c>
      <c r="E434" s="1754">
        <f>IF('報告_保健P20-22'!X76="","",'報告_保健P20-22'!X76)</f>
        <v>16486080</v>
      </c>
      <c r="F434" s="1708" t="s">
        <v>1644</v>
      </c>
      <c r="G434" s="1709" t="str">
        <f t="shared" si="6"/>
        <v>入力済</v>
      </c>
      <c r="H434" s="1708" t="inlineStr">
        <is>
          <t>報告_保健P20-22 X81</t>
        </is>
      </c>
      <c r="I434" s="1708" t="inlineStr">
        <is>
          <t>同じシート内のみ</t>
        </is>
      </c>
    </row>
    <row r="435" spans="1:9" ht="19.95" customHeight="1">
      <c r="A435" s="1755" t="s">
        <v>13</v>
      </c>
      <c r="B435" s="1711" t="s">
        <v>1811</v>
      </c>
      <c r="C435" s="1756" t="str">
        <f>HYPERLINK("#'報告_保健P20-22'!P77","P77")</f>
        <v>P77</v>
      </c>
      <c r="D435" s="1711" t="s">
        <v>1836</v>
      </c>
      <c r="E435" s="1757">
        <f>IF('報告_保健P20-22'!P77="","",'報告_保健P20-22'!P77)</f>
        <v>207000</v>
      </c>
      <c r="F435" s="1711" t="s">
        <v>373</v>
      </c>
      <c r="G435" s="1709" t="str">
        <f t="shared" si="6"/>
        <v>入力済</v>
      </c>
      <c r="H435" s="1708" t="inlineStr">
        <is>
          <t>報告_保健P20-22 P81</t>
        </is>
      </c>
      <c r="I435" s="1708" t="inlineStr">
        <is>
          <t>同じシート内のみ</t>
        </is>
      </c>
    </row>
    <row r="436" spans="1:9" ht="19.95" customHeight="1">
      <c r="A436" s="1752" t="s">
        <v>13</v>
      </c>
      <c r="B436" s="1708" t="s">
        <v>1811</v>
      </c>
      <c r="C436" s="1753" t="str">
        <f>HYPERLINK("#'報告_保健P20-22'!X77","X77")</f>
        <v>X77</v>
      </c>
      <c r="D436" s="1708" t="s">
        <v>1837</v>
      </c>
      <c r="E436" s="1754">
        <f>IF('報告_保健P20-22'!X77="","",'報告_保健P20-22'!X77)</f>
        <v>116500</v>
      </c>
      <c r="F436" s="1708" t="s">
        <v>1644</v>
      </c>
      <c r="G436" s="1709" t="str">
        <f t="shared" si="6"/>
        <v>入力済</v>
      </c>
      <c r="H436" s="1708" t="inlineStr">
        <is>
          <t>報告_保健P20-22 X81</t>
        </is>
      </c>
      <c r="I436" s="1708" t="inlineStr">
        <is>
          <t>同じシート内のみ</t>
        </is>
      </c>
    </row>
    <row r="437" spans="1:9" ht="19.95" customHeight="1">
      <c r="A437" s="1755" t="s">
        <v>13</v>
      </c>
      <c r="B437" s="1711" t="s">
        <v>1811</v>
      </c>
      <c r="C437" s="1756" t="str">
        <f>HYPERLINK("#'報告_保健P20-22'!P78","P78")</f>
        <v>P78</v>
      </c>
      <c r="D437" s="1711" t="s">
        <v>1838</v>
      </c>
      <c r="E437" s="1757">
        <f>IF('報告_保健P20-22'!P78="","",'報告_保健P20-22'!P78)</f>
        <v>10741000</v>
      </c>
      <c r="F437" s="1711" t="s">
        <v>373</v>
      </c>
      <c r="G437" s="1709" t="str">
        <f t="shared" si="6"/>
        <v>入力済</v>
      </c>
      <c r="H437" s="1708" t="inlineStr">
        <is>
          <t>報告_保健P20-22 P81</t>
        </is>
      </c>
      <c r="I437" s="1708" t="inlineStr">
        <is>
          <t>同じシート内のみ</t>
        </is>
      </c>
    </row>
    <row r="438" spans="1:9" ht="19.95" customHeight="1">
      <c r="A438" s="1752" t="s">
        <v>13</v>
      </c>
      <c r="B438" s="1708" t="s">
        <v>1811</v>
      </c>
      <c r="C438" s="1753" t="str">
        <f>HYPERLINK("#'報告_保健P20-22'!X78","X78")</f>
        <v>X78</v>
      </c>
      <c r="D438" s="1708" t="s">
        <v>1839</v>
      </c>
      <c r="E438" s="1754">
        <f>IF('報告_保健P20-22'!X78="","",'報告_保健P20-22'!X78)</f>
        <v>2658535</v>
      </c>
      <c r="F438" s="1708" t="s">
        <v>1644</v>
      </c>
      <c r="G438" s="1709" t="str">
        <f t="shared" si="6"/>
        <v>入力済</v>
      </c>
      <c r="H438" s="1708" t="inlineStr">
        <is>
          <t>報告_保健P20-22 X81</t>
        </is>
      </c>
      <c r="I438" s="1708" t="inlineStr">
        <is>
          <t>同じシート内のみ</t>
        </is>
      </c>
    </row>
    <row r="439" spans="1:9" ht="19.95" customHeight="1">
      <c r="A439" s="1755" t="s">
        <v>13</v>
      </c>
      <c r="B439" s="1711" t="s">
        <v>1811</v>
      </c>
      <c r="C439" s="1756" t="str">
        <f>HYPERLINK("#'報告_保健P20-22'!P79","P79")</f>
        <v>P79</v>
      </c>
      <c r="D439" s="1711" t="s">
        <v>1840</v>
      </c>
      <c r="E439" s="1757">
        <f>IF('報告_保健P20-22'!P79="","",'報告_保健P20-22'!P79)</f>
        <v>4529000</v>
      </c>
      <c r="F439" s="1711" t="s">
        <v>373</v>
      </c>
      <c r="G439" s="1709" t="str">
        <f t="shared" si="6"/>
        <v>入力済</v>
      </c>
      <c r="H439" s="1708" t="inlineStr">
        <is>
          <t>報告_保健P20-22 P81</t>
        </is>
      </c>
      <c r="I439" s="1708" t="inlineStr">
        <is>
          <t>同じシート内のみ</t>
        </is>
      </c>
    </row>
    <row r="440" spans="1:9" ht="19.95" customHeight="1">
      <c r="A440" s="1752" t="s">
        <v>13</v>
      </c>
      <c r="B440" s="1708" t="s">
        <v>1811</v>
      </c>
      <c r="C440" s="1753" t="str">
        <f>HYPERLINK("#'報告_保健P20-22'!X79","X79")</f>
        <v>X79</v>
      </c>
      <c r="D440" s="1708" t="s">
        <v>1841</v>
      </c>
      <c r="E440" s="1754">
        <f>IF('報告_保健P20-22'!X79="","",'報告_保健P20-22'!X79)</f>
        <v>3814577</v>
      </c>
      <c r="F440" s="1708" t="s">
        <v>1644</v>
      </c>
      <c r="G440" s="1709" t="str">
        <f t="shared" si="6"/>
        <v>入力済</v>
      </c>
      <c r="H440" s="1708" t="inlineStr">
        <is>
          <t>報告_保健P20-22 X81</t>
        </is>
      </c>
      <c r="I440" s="1708" t="inlineStr">
        <is>
          <t>同じシート内のみ</t>
        </is>
      </c>
    </row>
    <row r="441" spans="1:9" ht="19.95" customHeight="1">
      <c r="A441" s="1755" t="s">
        <v>13</v>
      </c>
      <c r="B441" s="1711" t="s">
        <v>1811</v>
      </c>
      <c r="C441" s="1756" t="str">
        <f>HYPERLINK("#'報告_保健P20-22'!P80","P80")</f>
        <v>P80</v>
      </c>
      <c r="D441" s="1711" t="s">
        <v>1768</v>
      </c>
      <c r="E441" s="1757">
        <f>IF('報告_保健P20-22'!P80="","",'報告_保健P20-22'!P80)</f>
        <v>5378000</v>
      </c>
      <c r="F441" s="1711" t="s">
        <v>373</v>
      </c>
      <c r="G441" s="1709" t="str">
        <f t="shared" si="6"/>
        <v>入力済</v>
      </c>
      <c r="H441" s="1708" t="inlineStr">
        <is>
          <t>報告_保健P20-22 P81</t>
        </is>
      </c>
      <c r="I441" s="1708" t="inlineStr">
        <is>
          <t>同じシート内のみ</t>
        </is>
      </c>
    </row>
    <row r="442" spans="1:9" ht="19.95" customHeight="1">
      <c r="A442" s="1752" t="s">
        <v>13</v>
      </c>
      <c r="B442" s="1708" t="s">
        <v>1811</v>
      </c>
      <c r="C442" s="1753" t="str">
        <f>HYPERLINK("#'報告_保健P20-22'!X80","X80")</f>
        <v>X80</v>
      </c>
      <c r="D442" s="1708" t="s">
        <v>1769</v>
      </c>
      <c r="E442" s="1754">
        <f>IF('報告_保健P20-22'!X80="","",'報告_保健P20-22'!X80)</f>
        <v>4512573</v>
      </c>
      <c r="F442" s="1708" t="s">
        <v>1644</v>
      </c>
      <c r="G442" s="1709" t="str">
        <f t="shared" si="6"/>
        <v>入力済</v>
      </c>
      <c r="H442" s="1708" t="inlineStr">
        <is>
          <t>報告_保健P20-22 X81</t>
        </is>
      </c>
      <c r="I442" s="1708" t="inlineStr">
        <is>
          <t>同じシート内のみ</t>
        </is>
      </c>
    </row>
    <row r="443" spans="1:9" ht="19.95" customHeight="1">
      <c r="A443" s="1755" t="s">
        <v>13</v>
      </c>
      <c r="B443" s="1711" t="s">
        <v>1811</v>
      </c>
      <c r="C443" s="1756" t="str">
        <f>HYPERLINK("#'報告_保健P20-22'!P82","P82")</f>
        <v>P82</v>
      </c>
      <c r="D443" s="1711" t="s">
        <v>1842</v>
      </c>
      <c r="E443" s="1757">
        <f>IF('報告_保健P20-22'!P82="","",'報告_保健P20-22'!P82)</f>
        <v>0</v>
      </c>
      <c r="F443" s="1711" t="s">
        <v>373</v>
      </c>
      <c r="G443" s="1709" t="str">
        <f t="shared" si="6"/>
        <v>0（確認）</v>
      </c>
      <c r="H443" s="1708" t="inlineStr">
        <is>
          <t>報告_保健P20-22 P83</t>
        </is>
      </c>
      <c r="I443" s="1708" t="inlineStr">
        <is>
          <t>同じシート内のみ</t>
        </is>
      </c>
    </row>
    <row r="444" spans="1:9" ht="19.95" customHeight="1">
      <c r="A444" s="1752" t="s">
        <v>13</v>
      </c>
      <c r="B444" s="1708" t="s">
        <v>1811</v>
      </c>
      <c r="C444" s="1753" t="str">
        <f>HYPERLINK("#'報告_保健P20-22'!X82","X82")</f>
        <v>X82</v>
      </c>
      <c r="D444" s="1708" t="s">
        <v>1843</v>
      </c>
      <c r="E444" s="1754">
        <f>IF('報告_保健P20-22'!X82="","",'報告_保健P20-22'!X82)</f>
        <v>0</v>
      </c>
      <c r="F444" s="1708" t="s">
        <v>1644</v>
      </c>
      <c r="G444" s="1709" t="str">
        <f t="shared" si="6"/>
        <v>0（確認）</v>
      </c>
      <c r="H444" s="1708" t="inlineStr">
        <is>
          <t>報告_保健P20-22 X83</t>
        </is>
      </c>
      <c r="I444" s="1708" t="inlineStr">
        <is>
          <t>同じシート内のみ</t>
        </is>
      </c>
    </row>
    <row r="445" spans="1:9" ht="19.95" customHeight="1">
      <c r="A445" s="1755" t="s">
        <v>13</v>
      </c>
      <c r="B445" s="1711" t="s">
        <v>1811</v>
      </c>
      <c r="C445" s="1756" t="str">
        <f>HYPERLINK("#'報告_保健P20-22'!P84","P84")</f>
        <v>P84</v>
      </c>
      <c r="D445" s="1711" t="s">
        <v>1844</v>
      </c>
      <c r="E445" s="1757">
        <f>IF('報告_保健P20-22'!P84="","",'報告_保健P20-22'!P84)</f>
        <v>0</v>
      </c>
      <c r="F445" s="1711" t="s">
        <v>373</v>
      </c>
      <c r="G445" s="1709" t="str">
        <f t="shared" si="6"/>
        <v>0（確認）</v>
      </c>
      <c r="H445" s="1708" t="inlineStr">
        <is>
          <t>報告_保健P20-22 P85</t>
        </is>
      </c>
      <c r="I445" s="1708" t="inlineStr">
        <is>
          <t>同じシート内のみ</t>
        </is>
      </c>
    </row>
    <row r="446" spans="1:9" ht="19.95" customHeight="1">
      <c r="A446" s="1752" t="s">
        <v>13</v>
      </c>
      <c r="B446" s="1708" t="s">
        <v>1811</v>
      </c>
      <c r="C446" s="1753" t="str">
        <f>HYPERLINK("#'報告_保健P20-22'!X84","X84")</f>
        <v>X84</v>
      </c>
      <c r="D446" s="1708" t="s">
        <v>1844</v>
      </c>
      <c r="E446" s="1754">
        <f>IF('報告_保健P20-22'!X84="","",'報告_保健P20-22'!X84)</f>
        <v>0</v>
      </c>
      <c r="F446" s="1708" t="s">
        <v>1644</v>
      </c>
      <c r="G446" s="1709" t="str">
        <f t="shared" si="6"/>
        <v>0（確認）</v>
      </c>
      <c r="H446" s="1708" t="inlineStr">
        <is>
          <t>報告_保健P20-22 X85</t>
        </is>
      </c>
      <c r="I446" s="1708" t="inlineStr">
        <is>
          <t>同じシート内のみ</t>
        </is>
      </c>
    </row>
    <row r="447" spans="1:9" ht="19.95" customHeight="1">
      <c r="A447" s="1755" t="s">
        <v>13</v>
      </c>
      <c r="B447" s="1711" t="s">
        <v>1811</v>
      </c>
      <c r="C447" s="1756" t="str">
        <f>HYPERLINK("#'報告_保健P20-22'!P86","P86")</f>
        <v>P86</v>
      </c>
      <c r="D447" s="1711" t="s">
        <v>1845</v>
      </c>
      <c r="E447" s="1757">
        <f>IF('報告_保健P20-22'!P86="","",'報告_保健P20-22'!P86)</f>
        <v>0</v>
      </c>
      <c r="F447" s="1711" t="s">
        <v>373</v>
      </c>
      <c r="G447" s="1709" t="str">
        <f t="shared" si="6"/>
        <v>0（確認）</v>
      </c>
      <c r="H447" s="1708" t="inlineStr">
        <is>
          <t>報告_保健P20-22 P89</t>
        </is>
      </c>
      <c r="I447" s="1708" t="inlineStr">
        <is>
          <t>同じシート内のみ</t>
        </is>
      </c>
    </row>
    <row r="448" spans="1:9" ht="19.95" customHeight="1">
      <c r="A448" s="1752" t="s">
        <v>13</v>
      </c>
      <c r="B448" s="1708" t="s">
        <v>1811</v>
      </c>
      <c r="C448" s="1753" t="str">
        <f>HYPERLINK("#'報告_保健P20-22'!X86","X86")</f>
        <v>X86</v>
      </c>
      <c r="D448" s="1708" t="s">
        <v>1845</v>
      </c>
      <c r="E448" s="1754">
        <f>IF('報告_保健P20-22'!X86="","",'報告_保健P20-22'!X86)</f>
        <v>0</v>
      </c>
      <c r="F448" s="1708" t="s">
        <v>1644</v>
      </c>
      <c r="G448" s="1709" t="str">
        <f t="shared" si="6"/>
        <v>0（確認）</v>
      </c>
      <c r="H448" s="1708" t="inlineStr">
        <is>
          <t>報告_保健P20-22 X89</t>
        </is>
      </c>
      <c r="I448" s="1708" t="inlineStr">
        <is>
          <t>同じシート内のみ</t>
        </is>
      </c>
    </row>
    <row r="449" spans="1:9" ht="19.95" customHeight="1">
      <c r="A449" s="1755" t="s">
        <v>13</v>
      </c>
      <c r="B449" s="1711" t="s">
        <v>1811</v>
      </c>
      <c r="C449" s="1756" t="str">
        <f>HYPERLINK("#'報告_保健P20-22'!P87","P87")</f>
        <v>P87</v>
      </c>
      <c r="D449" s="1711" t="s">
        <v>164</v>
      </c>
      <c r="E449" s="1757">
        <f>IF('報告_保健P20-22'!P87="","",'報告_保健P20-22'!P87)</f>
        <v>2077000</v>
      </c>
      <c r="F449" s="1711" t="s">
        <v>373</v>
      </c>
      <c r="G449" s="1709" t="str">
        <f t="shared" si="6"/>
        <v>入力済</v>
      </c>
      <c r="H449" s="1708" t="inlineStr">
        <is>
          <t>報告_保健P20-22 P89</t>
        </is>
      </c>
      <c r="I449" s="1708" t="inlineStr">
        <is>
          <t>同じシート内のみ</t>
        </is>
      </c>
    </row>
    <row r="450" spans="1:9" ht="19.95" customHeight="1">
      <c r="A450" s="1752" t="s">
        <v>13</v>
      </c>
      <c r="B450" s="1708" t="s">
        <v>1811</v>
      </c>
      <c r="C450" s="1753" t="str">
        <f>HYPERLINK("#'報告_保健P20-22'!X87","X87")</f>
        <v>X87</v>
      </c>
      <c r="D450" s="1708" t="s">
        <v>164</v>
      </c>
      <c r="E450" s="1754">
        <f>IF('報告_保健P20-22'!X87="","",'報告_保健P20-22'!X87)</f>
        <v>1768131</v>
      </c>
      <c r="F450" s="1708" t="s">
        <v>1644</v>
      </c>
      <c r="G450" s="1709" t="str">
        <f t="shared" si="6"/>
        <v>入力済</v>
      </c>
      <c r="H450" s="1708" t="inlineStr">
        <is>
          <t>報告_保健P20-22 X89</t>
        </is>
      </c>
      <c r="I450" s="1708" t="inlineStr">
        <is>
          <t>同じシート内のみ</t>
        </is>
      </c>
    </row>
    <row r="451" spans="1:9" ht="19.95" customHeight="1">
      <c r="A451" s="1755" t="s">
        <v>13</v>
      </c>
      <c r="B451" s="1711" t="s">
        <v>1811</v>
      </c>
      <c r="C451" s="1756" t="str">
        <f>HYPERLINK("#'報告_保健P20-22'!P88","P88")</f>
        <v>P88</v>
      </c>
      <c r="D451" s="1711" t="s">
        <v>165</v>
      </c>
      <c r="E451" s="1757">
        <f>IF('報告_保健P20-22'!P88="","",'報告_保健P20-22'!P88)</f>
        <v>557000</v>
      </c>
      <c r="F451" s="1711" t="s">
        <v>373</v>
      </c>
      <c r="G451" s="1709" t="str">
        <f t="shared" si="6"/>
        <v>入力済</v>
      </c>
      <c r="H451" s="1708" t="inlineStr">
        <is>
          <t>報告_保健P20-22 P89</t>
        </is>
      </c>
      <c r="I451" s="1708" t="inlineStr">
        <is>
          <t>同じシート内のみ</t>
        </is>
      </c>
    </row>
    <row r="452" spans="1:9" ht="19.95" customHeight="1">
      <c r="A452" s="1752" t="s">
        <v>13</v>
      </c>
      <c r="B452" s="1708" t="s">
        <v>1811</v>
      </c>
      <c r="C452" s="1753" t="str">
        <f>HYPERLINK("#'報告_保健P20-22'!X88","X88")</f>
        <v>X88</v>
      </c>
      <c r="D452" s="1708" t="s">
        <v>165</v>
      </c>
      <c r="E452" s="1754">
        <f>IF('報告_保健P20-22'!X88="","",'報告_保健P20-22'!X88)</f>
        <v>356493</v>
      </c>
      <c r="F452" s="1708" t="s">
        <v>1644</v>
      </c>
      <c r="G452" s="1709" t="str">
        <f t="shared" si="6"/>
        <v>入力済</v>
      </c>
      <c r="H452" s="1708" t="inlineStr">
        <is>
          <t>報告_保健P20-22 X89</t>
        </is>
      </c>
      <c r="I452" s="1708" t="inlineStr">
        <is>
          <t>同じシート内のみ</t>
        </is>
      </c>
    </row>
    <row r="453" spans="1:9" ht="19.95" customHeight="1">
      <c r="A453" s="1755" t="s">
        <v>13</v>
      </c>
      <c r="B453" s="1711" t="s">
        <v>1811</v>
      </c>
      <c r="C453" s="1756" t="str">
        <f>HYPERLINK("#'報告_保健P20-22'!P90","P90")</f>
        <v>P90</v>
      </c>
      <c r="D453" s="1711" t="s">
        <v>1846</v>
      </c>
      <c r="E453" s="1757">
        <f>IF('報告_保健P20-22'!P90="","",'報告_保健P20-22'!P90)</f>
        <v>12588000</v>
      </c>
      <c r="F453" s="1711" t="s">
        <v>373</v>
      </c>
      <c r="G453" s="1709" t="str">
        <f t="shared" si="6"/>
        <v>入力済</v>
      </c>
      <c r="H453" s="1708" t="inlineStr">
        <is>
          <t>報告_保健P20-22 P92</t>
        </is>
      </c>
      <c r="I453" s="1708" t="inlineStr">
        <is>
          <t>同じシート内のみ</t>
        </is>
      </c>
    </row>
    <row r="454" spans="1:9" ht="19.95" customHeight="1">
      <c r="A454" s="1752" t="s">
        <v>13</v>
      </c>
      <c r="B454" s="1708" t="s">
        <v>1811</v>
      </c>
      <c r="C454" s="1753" t="str">
        <f>HYPERLINK("#'報告_保健P20-22'!X90","X90")</f>
        <v>X90</v>
      </c>
      <c r="D454" s="1708" t="s">
        <v>1846</v>
      </c>
      <c r="E454" s="1754">
        <f>IF('報告_保健P20-22'!X90="","",'報告_保健P20-22'!X90)</f>
        <v>9572043</v>
      </c>
      <c r="F454" s="1708" t="s">
        <v>1644</v>
      </c>
      <c r="G454" s="1709" t="str">
        <f t="shared" ref="G454:G517" si="7">IF(E454="","未入力（空欄）",IF(E454=0,"0（確認）","入力済"))</f>
        <v>入力済</v>
      </c>
      <c r="H454" s="1708" t="inlineStr">
        <is>
          <t>報告_保健P20-22 X92</t>
        </is>
      </c>
      <c r="I454" s="1708" t="inlineStr">
        <is>
          <t>同じシート内のみ</t>
        </is>
      </c>
    </row>
    <row r="455" spans="1:9" ht="19.95" customHeight="1">
      <c r="A455" s="1755" t="s">
        <v>13</v>
      </c>
      <c r="B455" s="1711" t="s">
        <v>1811</v>
      </c>
      <c r="C455" s="1756" t="str">
        <f>HYPERLINK("#'報告_保健P20-22'!P91","P91")</f>
        <v>P91</v>
      </c>
      <c r="D455" s="1711" t="s">
        <v>167</v>
      </c>
      <c r="E455" s="1757">
        <f>IF('報告_保健P20-22'!P91="","",'報告_保健P20-22'!P91)</f>
        <v>22204000</v>
      </c>
      <c r="F455" s="1711" t="s">
        <v>373</v>
      </c>
      <c r="G455" s="1709" t="str">
        <f t="shared" si="7"/>
        <v>入力済</v>
      </c>
      <c r="H455" s="1708" t="inlineStr">
        <is>
          <t>報告_保健P20-22 P92</t>
        </is>
      </c>
      <c r="I455" s="1708" t="inlineStr">
        <is>
          <t>同じシート内のみ</t>
        </is>
      </c>
    </row>
    <row r="456" spans="1:9" ht="19.95" customHeight="1">
      <c r="A456" s="1752" t="s">
        <v>13</v>
      </c>
      <c r="B456" s="1708" t="s">
        <v>1811</v>
      </c>
      <c r="C456" s="1753" t="str">
        <f>HYPERLINK("#'報告_保健P20-22'!X91","X91")</f>
        <v>X91</v>
      </c>
      <c r="D456" s="1708" t="s">
        <v>167</v>
      </c>
      <c r="E456" s="1754">
        <f>IF('報告_保健P20-22'!X91="","",'報告_保健P20-22'!X91)</f>
        <v>10938482</v>
      </c>
      <c r="F456" s="1708" t="s">
        <v>1644</v>
      </c>
      <c r="G456" s="1709" t="str">
        <f t="shared" si="7"/>
        <v>入力済</v>
      </c>
      <c r="H456" s="1708" t="inlineStr">
        <is>
          <t>報告_保健P20-22 X92</t>
        </is>
      </c>
      <c r="I456" s="1708" t="inlineStr">
        <is>
          <t>同じシート内のみ</t>
        </is>
      </c>
    </row>
    <row r="457" spans="1:9" ht="19.95" customHeight="1">
      <c r="A457" s="1755" t="s">
        <v>13</v>
      </c>
      <c r="B457" s="1711" t="s">
        <v>1811</v>
      </c>
      <c r="C457" s="1756" t="str">
        <f>HYPERLINK("#'報告_保健P20-22'!P93","P93")</f>
        <v>P93</v>
      </c>
      <c r="D457" s="1711" t="s">
        <v>1847</v>
      </c>
      <c r="E457" s="1757">
        <f>IF('報告_保健P20-22'!P93="","",'報告_保健P20-22'!P93)</f>
        <v>2582000</v>
      </c>
      <c r="F457" s="1711" t="s">
        <v>373</v>
      </c>
      <c r="G457" s="1709" t="str">
        <f t="shared" si="7"/>
        <v>入力済</v>
      </c>
      <c r="H457" s="1708" t="inlineStr">
        <is>
          <t>報告_保健P20-22 P97</t>
        </is>
      </c>
      <c r="I457" s="1708" t="inlineStr">
        <is>
          <t>同じシート内のみ</t>
        </is>
      </c>
    </row>
    <row r="458" spans="1:9" ht="19.95" customHeight="1">
      <c r="A458" s="1752" t="s">
        <v>13</v>
      </c>
      <c r="B458" s="1708" t="s">
        <v>1811</v>
      </c>
      <c r="C458" s="1753" t="str">
        <f>HYPERLINK("#'報告_保健P20-22'!X93","X93")</f>
        <v>X93</v>
      </c>
      <c r="D458" s="1708" t="s">
        <v>1847</v>
      </c>
      <c r="E458" s="1754">
        <f>IF('報告_保健P20-22'!X93="","",'報告_保健P20-22'!X93)</f>
        <v>2719220</v>
      </c>
      <c r="F458" s="1708" t="s">
        <v>1644</v>
      </c>
      <c r="G458" s="1709" t="str">
        <f t="shared" si="7"/>
        <v>入力済</v>
      </c>
      <c r="H458" s="1708" t="inlineStr">
        <is>
          <t>報告_保健P20-22 X97</t>
        </is>
      </c>
      <c r="I458" s="1708" t="inlineStr">
        <is>
          <t>同じシート内のみ</t>
        </is>
      </c>
    </row>
    <row r="459" spans="1:9" ht="19.95" customHeight="1">
      <c r="A459" s="1755" t="s">
        <v>13</v>
      </c>
      <c r="B459" s="1711" t="s">
        <v>1811</v>
      </c>
      <c r="C459" s="1756" t="str">
        <f>HYPERLINK("#'報告_保健P20-22'!P94","P94")</f>
        <v>P94</v>
      </c>
      <c r="D459" s="1711" t="s">
        <v>169</v>
      </c>
      <c r="E459" s="1757">
        <f>IF('報告_保健P20-22'!P94="","",'報告_保健P20-22'!P94)</f>
        <v>4082000</v>
      </c>
      <c r="F459" s="1711" t="s">
        <v>373</v>
      </c>
      <c r="G459" s="1709" t="str">
        <f t="shared" si="7"/>
        <v>入力済</v>
      </c>
      <c r="H459" s="1708" t="inlineStr">
        <is>
          <t>報告_保健P20-22 P97</t>
        </is>
      </c>
      <c r="I459" s="1708" t="inlineStr">
        <is>
          <t>同じシート内のみ</t>
        </is>
      </c>
    </row>
    <row r="460" spans="1:9" ht="19.95" customHeight="1">
      <c r="A460" s="1752" t="s">
        <v>13</v>
      </c>
      <c r="B460" s="1708" t="s">
        <v>1811</v>
      </c>
      <c r="C460" s="1753" t="str">
        <f>HYPERLINK("#'報告_保健P20-22'!X94","X94")</f>
        <v>X94</v>
      </c>
      <c r="D460" s="1708" t="s">
        <v>169</v>
      </c>
      <c r="E460" s="1754">
        <f>IF('報告_保健P20-22'!X94="","",'報告_保健P20-22'!X94)</f>
        <v>2200200</v>
      </c>
      <c r="F460" s="1708" t="s">
        <v>1644</v>
      </c>
      <c r="G460" s="1709" t="str">
        <f t="shared" si="7"/>
        <v>入力済</v>
      </c>
      <c r="H460" s="1708" t="inlineStr">
        <is>
          <t>報告_保健P20-22 X97</t>
        </is>
      </c>
      <c r="I460" s="1708" t="inlineStr">
        <is>
          <t>同じシート内のみ</t>
        </is>
      </c>
    </row>
    <row r="461" spans="1:9" ht="19.95" customHeight="1">
      <c r="A461" s="1755" t="s">
        <v>13</v>
      </c>
      <c r="B461" s="1711" t="s">
        <v>1811</v>
      </c>
      <c r="C461" s="1756" t="str">
        <f>HYPERLINK("#'報告_保健P20-22'!P95","P95")</f>
        <v>P95</v>
      </c>
      <c r="D461" s="1711" t="s">
        <v>170</v>
      </c>
      <c r="E461" s="1757">
        <f>IF('報告_保健P20-22'!P95="","",'報告_保健P20-22'!P95)</f>
        <v>35623000</v>
      </c>
      <c r="F461" s="1711" t="s">
        <v>373</v>
      </c>
      <c r="G461" s="1709" t="str">
        <f t="shared" si="7"/>
        <v>入力済</v>
      </c>
      <c r="H461" s="1708" t="inlineStr">
        <is>
          <t>報告_保健P20-22 P97</t>
        </is>
      </c>
      <c r="I461" s="1708" t="inlineStr">
        <is>
          <t>同じシート内のみ</t>
        </is>
      </c>
    </row>
    <row r="462" spans="1:9" ht="19.95" customHeight="1">
      <c r="A462" s="1752" t="s">
        <v>13</v>
      </c>
      <c r="B462" s="1708" t="s">
        <v>1811</v>
      </c>
      <c r="C462" s="1753" t="str">
        <f>HYPERLINK("#'報告_保健P20-22'!X95","X95")</f>
        <v>X95</v>
      </c>
      <c r="D462" s="1708" t="s">
        <v>170</v>
      </c>
      <c r="E462" s="1754">
        <f>IF('報告_保健P20-22'!X95="","",'報告_保健P20-22'!X95)</f>
        <v>32378192</v>
      </c>
      <c r="F462" s="1708" t="s">
        <v>1644</v>
      </c>
      <c r="G462" s="1709" t="str">
        <f t="shared" si="7"/>
        <v>入力済</v>
      </c>
      <c r="H462" s="1708" t="inlineStr">
        <is>
          <t>報告_保健P20-22 X97</t>
        </is>
      </c>
      <c r="I462" s="1708" t="inlineStr">
        <is>
          <t>同じシート内のみ</t>
        </is>
      </c>
    </row>
    <row r="463" spans="1:9" ht="19.95" customHeight="1">
      <c r="A463" s="1755" t="s">
        <v>13</v>
      </c>
      <c r="B463" s="1711" t="s">
        <v>1811</v>
      </c>
      <c r="C463" s="1756" t="str">
        <f>HYPERLINK("#'報告_保健P20-22'!P96","P96")</f>
        <v>P96</v>
      </c>
      <c r="D463" s="1711" t="s">
        <v>171</v>
      </c>
      <c r="E463" s="1757">
        <f>IF('報告_保健P20-22'!P96="","",'報告_保健P20-22'!P96)</f>
        <v>6577000</v>
      </c>
      <c r="F463" s="1711" t="s">
        <v>373</v>
      </c>
      <c r="G463" s="1709" t="str">
        <f t="shared" si="7"/>
        <v>入力済</v>
      </c>
      <c r="H463" s="1708" t="inlineStr">
        <is>
          <t>報告_保健P20-22 P97</t>
        </is>
      </c>
      <c r="I463" s="1708" t="inlineStr">
        <is>
          <t>同じシート内のみ</t>
        </is>
      </c>
    </row>
    <row r="464" spans="1:9" ht="19.95" customHeight="1">
      <c r="A464" s="1752" t="s">
        <v>13</v>
      </c>
      <c r="B464" s="1708" t="s">
        <v>1811</v>
      </c>
      <c r="C464" s="1753" t="str">
        <f>HYPERLINK("#'報告_保健P20-22'!X96","X96")</f>
        <v>X96</v>
      </c>
      <c r="D464" s="1708" t="s">
        <v>171</v>
      </c>
      <c r="E464" s="1754">
        <f>IF('報告_保健P20-22'!X96="","",'報告_保健P20-22'!X96)</f>
        <v>7902283</v>
      </c>
      <c r="F464" s="1708" t="s">
        <v>1644</v>
      </c>
      <c r="G464" s="1709" t="str">
        <f t="shared" si="7"/>
        <v>入力済</v>
      </c>
      <c r="H464" s="1708" t="inlineStr">
        <is>
          <t>報告_保健P20-22 X97</t>
        </is>
      </c>
      <c r="I464" s="1708" t="inlineStr">
        <is>
          <t>同じシート内のみ</t>
        </is>
      </c>
    </row>
    <row r="465" spans="1:9" ht="19.95" customHeight="1">
      <c r="A465" s="1755" t="s">
        <v>14</v>
      </c>
      <c r="B465" s="1711" t="s">
        <v>1459</v>
      </c>
      <c r="C465" s="1756" t="str">
        <f>HYPERLINK("#'報告_貸付P23-25'!P6","P6")</f>
        <v>P6</v>
      </c>
      <c r="D465" s="1711" t="s">
        <v>1848</v>
      </c>
      <c r="E465" s="1757">
        <f>IF('報告_貸付P23-25'!P6="","",'報告_貸付P23-25'!P6)</f>
        <v>10679000</v>
      </c>
      <c r="F465" s="1711" t="s">
        <v>373</v>
      </c>
      <c r="G465" s="1709" t="str">
        <f t="shared" si="7"/>
        <v>入力済</v>
      </c>
      <c r="H465" s="1708" t="inlineStr">
        <is>
          <t>報告_貸付P23-25 P9,AH6</t>
        </is>
      </c>
      <c r="I465" s="1708" t="inlineStr">
        <is>
          <t>同じシート内のみ</t>
        </is>
      </c>
    </row>
    <row r="466" spans="1:9" ht="19.95" customHeight="1">
      <c r="A466" s="1752" t="s">
        <v>14</v>
      </c>
      <c r="B466" s="1708" t="s">
        <v>1459</v>
      </c>
      <c r="C466" s="1753" t="str">
        <f>HYPERLINK("#'報告_貸付P23-25'!P7","P7")</f>
        <v>P7</v>
      </c>
      <c r="D466" s="1708" t="s">
        <v>1652</v>
      </c>
      <c r="E466" s="1754">
        <f>IF('報告_貸付P23-25'!P7="","",'報告_貸付P23-25'!P7)</f>
        <v>44000</v>
      </c>
      <c r="F466" s="1708" t="s">
        <v>373</v>
      </c>
      <c r="G466" s="1709" t="str">
        <f t="shared" si="7"/>
        <v>入力済</v>
      </c>
      <c r="H466" s="1708" t="inlineStr">
        <is>
          <t>報告_貸付P23-25 P9,AH7</t>
        </is>
      </c>
      <c r="I466" s="1708" t="inlineStr">
        <is>
          <t>同じシート内のみ</t>
        </is>
      </c>
    </row>
    <row r="467" spans="1:9" ht="19.95" customHeight="1">
      <c r="A467" s="1755" t="s">
        <v>14</v>
      </c>
      <c r="B467" s="1711" t="s">
        <v>1459</v>
      </c>
      <c r="C467" s="1756" t="str">
        <f>HYPERLINK("#'報告_貸付P23-25'!P8","P8")</f>
        <v>P8</v>
      </c>
      <c r="D467" s="1711" t="s">
        <v>1782</v>
      </c>
      <c r="E467" s="1757">
        <f>IF('報告_貸付P23-25'!P8="","",'報告_貸付P23-25'!P8)</f>
        <v>0</v>
      </c>
      <c r="F467" s="1711" t="s">
        <v>373</v>
      </c>
      <c r="G467" s="1709" t="str">
        <f t="shared" si="7"/>
        <v>0（確認）</v>
      </c>
      <c r="H467" s="1708" t="inlineStr">
        <is>
          <t>報告_貸付P23-25 P9,AH8</t>
        </is>
      </c>
      <c r="I467" s="1708" t="inlineStr">
        <is>
          <t>同じシート内のみ</t>
        </is>
      </c>
    </row>
    <row r="468" spans="1:9" ht="19.95" customHeight="1">
      <c r="A468" s="1752" t="s">
        <v>14</v>
      </c>
      <c r="B468" s="1708" t="s">
        <v>1459</v>
      </c>
      <c r="C468" s="1753" t="str">
        <f>HYPERLINK("#'報告_貸付P23-25'!P16","P16")</f>
        <v>P16</v>
      </c>
      <c r="D468" s="1708" t="s">
        <v>1798</v>
      </c>
      <c r="E468" s="1754">
        <f>IF('報告_貸付P23-25'!P16="","",'報告_貸付P23-25'!P16)</f>
        <v>11000</v>
      </c>
      <c r="F468" s="1708" t="s">
        <v>373</v>
      </c>
      <c r="G468" s="1709" t="str">
        <f t="shared" si="7"/>
        <v>入力済</v>
      </c>
      <c r="H468" s="1708" t="inlineStr">
        <is>
          <t>報告_貸付P23-25 P32,AH16</t>
        </is>
      </c>
      <c r="I468" s="1708" t="inlineStr">
        <is>
          <t>同じシート内のみ</t>
        </is>
      </c>
    </row>
    <row r="469" spans="1:9" ht="19.95" customHeight="1">
      <c r="A469" s="1755" t="s">
        <v>14</v>
      </c>
      <c r="B469" s="1711" t="s">
        <v>1459</v>
      </c>
      <c r="C469" s="1756" t="str">
        <f>HYPERLINK("#'報告_貸付P23-25'!P19","P19")</f>
        <v>P19</v>
      </c>
      <c r="D469" s="1711" t="s">
        <v>1801</v>
      </c>
      <c r="E469" s="1757">
        <f>IF('報告_貸付P23-25'!P19="","",'報告_貸付P23-25'!P19)</f>
        <v>5351000</v>
      </c>
      <c r="F469" s="1711" t="s">
        <v>373</v>
      </c>
      <c r="G469" s="1709" t="str">
        <f t="shared" si="7"/>
        <v>入力済</v>
      </c>
      <c r="H469" s="1708" t="inlineStr">
        <is>
          <t>報告_貸付P23-25 P32,AH19</t>
        </is>
      </c>
      <c r="I469" s="1708" t="inlineStr">
        <is>
          <t>同じシート内のみ</t>
        </is>
      </c>
    </row>
    <row r="470" spans="1:9" ht="19.95" customHeight="1">
      <c r="A470" s="1752" t="s">
        <v>14</v>
      </c>
      <c r="B470" s="1708" t="s">
        <v>1459</v>
      </c>
      <c r="C470" s="1753" t="str">
        <f>HYPERLINK("#'報告_貸付P23-25'!P20","P20")</f>
        <v>P20</v>
      </c>
      <c r="D470" s="1708" t="s">
        <v>1802</v>
      </c>
      <c r="E470" s="1754">
        <f>IF('報告_貸付P23-25'!P20="","",'報告_貸付P23-25'!P20)</f>
        <v>230000</v>
      </c>
      <c r="F470" s="1708" t="s">
        <v>373</v>
      </c>
      <c r="G470" s="1709" t="str">
        <f t="shared" si="7"/>
        <v>入力済</v>
      </c>
      <c r="H470" s="1708" t="inlineStr">
        <is>
          <t>報告_貸付P23-25 P32,AH20</t>
        </is>
      </c>
      <c r="I470" s="1708" t="inlineStr">
        <is>
          <t>同じシート内のみ</t>
        </is>
      </c>
    </row>
    <row r="471" spans="1:9" ht="19.95" customHeight="1">
      <c r="A471" s="1755" t="s">
        <v>14</v>
      </c>
      <c r="B471" s="1711" t="s">
        <v>1459</v>
      </c>
      <c r="C471" s="1756" t="str">
        <f>HYPERLINK("#'報告_貸付P23-25'!P21","P21")</f>
        <v>P21</v>
      </c>
      <c r="D471" s="1711" t="s">
        <v>1806</v>
      </c>
      <c r="E471" s="1757">
        <f>IF('報告_貸付P23-25'!P21="","",'報告_貸付P23-25'!P21)</f>
        <v>100000</v>
      </c>
      <c r="F471" s="1711" t="s">
        <v>373</v>
      </c>
      <c r="G471" s="1709" t="str">
        <f t="shared" si="7"/>
        <v>入力済</v>
      </c>
      <c r="H471" s="1708" t="inlineStr">
        <is>
          <t>報告_貸付P23-25 P32,AH21</t>
        </is>
      </c>
      <c r="I471" s="1708" t="inlineStr">
        <is>
          <t>同じシート内のみ</t>
        </is>
      </c>
    </row>
    <row r="472" spans="1:9" ht="19.95" customHeight="1">
      <c r="A472" s="1752" t="s">
        <v>14</v>
      </c>
      <c r="B472" s="1708" t="s">
        <v>1459</v>
      </c>
      <c r="C472" s="1753" t="str">
        <f>HYPERLINK("#'報告_貸付P23-25'!Y21","Y21")</f>
        <v>Y21</v>
      </c>
      <c r="D472" s="1708" t="s">
        <v>1849</v>
      </c>
      <c r="E472" s="1754">
        <f>IF('報告_貸付P23-25'!Y21="","",'報告_貸付P23-25'!Y21)</f>
        <v>0</v>
      </c>
      <c r="F472" s="1708" t="s">
        <v>1644</v>
      </c>
      <c r="G472" s="1709" t="str">
        <f t="shared" si="7"/>
        <v>0（確認）</v>
      </c>
      <c r="H472" s="1708" t="inlineStr">
        <is>
          <t>報告_貸付P23-25 Y32,AH21,AZ21</t>
        </is>
      </c>
      <c r="I472" s="1708" t="inlineStr">
        <is>
          <t>同じシート内のみ</t>
        </is>
      </c>
    </row>
    <row r="473" spans="1:9" ht="19.95" customHeight="1">
      <c r="A473" s="1755" t="s">
        <v>14</v>
      </c>
      <c r="B473" s="1711" t="s">
        <v>1459</v>
      </c>
      <c r="C473" s="1756" t="str">
        <f>HYPERLINK("#'報告_貸付P23-25'!P22","P22")</f>
        <v>P22</v>
      </c>
      <c r="D473" s="1711" t="s">
        <v>1807</v>
      </c>
      <c r="E473" s="1757">
        <f>IF('報告_貸付P23-25'!P22="","",'報告_貸付P23-25'!P22)</f>
        <v>913000</v>
      </c>
      <c r="F473" s="1711" t="s">
        <v>373</v>
      </c>
      <c r="G473" s="1709" t="str">
        <f t="shared" si="7"/>
        <v>入力済</v>
      </c>
      <c r="H473" s="1708" t="inlineStr">
        <is>
          <t>報告_貸付P23-25 P32,AH22</t>
        </is>
      </c>
      <c r="I473" s="1708" t="inlineStr">
        <is>
          <t>同じシート内のみ</t>
        </is>
      </c>
    </row>
    <row r="474" spans="1:9" ht="19.95" customHeight="1">
      <c r="A474" s="1752" t="s">
        <v>14</v>
      </c>
      <c r="B474" s="1708" t="s">
        <v>1459</v>
      </c>
      <c r="C474" s="1753" t="str">
        <f>HYPERLINK("#'報告_貸付P23-25'!P23","P23")</f>
        <v>P23</v>
      </c>
      <c r="D474" s="1708" t="s">
        <v>1825</v>
      </c>
      <c r="E474" s="1754">
        <f>IF('報告_貸付P23-25'!P23="","",'報告_貸付P23-25'!P23)</f>
        <v>0</v>
      </c>
      <c r="F474" s="1708" t="s">
        <v>373</v>
      </c>
      <c r="G474" s="1709" t="str">
        <f t="shared" si="7"/>
        <v>0（確認）</v>
      </c>
      <c r="H474" s="1708" t="inlineStr">
        <is>
          <t>報告_貸付P23-25 P32,AH23</t>
        </is>
      </c>
      <c r="I474" s="1708" t="inlineStr">
        <is>
          <t>同じシート内のみ</t>
        </is>
      </c>
    </row>
    <row r="475" spans="1:9" ht="19.95" customHeight="1">
      <c r="A475" s="1755" t="s">
        <v>14</v>
      </c>
      <c r="B475" s="1711" t="s">
        <v>1459</v>
      </c>
      <c r="C475" s="1756" t="str">
        <f>HYPERLINK("#'報告_貸付P23-25'!Y23","Y23")</f>
        <v>Y23</v>
      </c>
      <c r="D475" s="1711" t="s">
        <v>1850</v>
      </c>
      <c r="E475" s="1757">
        <f>IF('報告_貸付P23-25'!Y23="","",'報告_貸付P23-25'!Y23)</f>
        <v>0</v>
      </c>
      <c r="F475" s="1711" t="s">
        <v>1644</v>
      </c>
      <c r="G475" s="1709" t="str">
        <f t="shared" si="7"/>
        <v>0（確認）</v>
      </c>
      <c r="H475" s="1708" t="inlineStr">
        <is>
          <t>報告_貸付P23-25 Y32,AH23,AZ23</t>
        </is>
      </c>
      <c r="I475" s="1708" t="inlineStr">
        <is>
          <t>同じシート内のみ</t>
        </is>
      </c>
    </row>
    <row r="476" spans="1:9" ht="19.95" customHeight="1">
      <c r="A476" s="1752" t="s">
        <v>14</v>
      </c>
      <c r="B476" s="1708" t="s">
        <v>1459</v>
      </c>
      <c r="C476" s="1753" t="str">
        <f>HYPERLINK("#'報告_貸付P23-25'!P24","P24")</f>
        <v>P24</v>
      </c>
      <c r="D476" s="1708" t="s">
        <v>1808</v>
      </c>
      <c r="E476" s="1754">
        <f>IF('報告_貸付P23-25'!P24="","",'報告_貸付P23-25'!P24)</f>
        <v>689000</v>
      </c>
      <c r="F476" s="1708" t="s">
        <v>373</v>
      </c>
      <c r="G476" s="1709" t="str">
        <f t="shared" si="7"/>
        <v>入力済</v>
      </c>
      <c r="H476" s="1708" t="inlineStr">
        <is>
          <t>報告_貸付P23-25 P32,AH24</t>
        </is>
      </c>
      <c r="I476" s="1708" t="inlineStr">
        <is>
          <t>同じシート内のみ</t>
        </is>
      </c>
    </row>
    <row r="477" spans="1:9" ht="19.95" customHeight="1">
      <c r="A477" s="1755" t="s">
        <v>14</v>
      </c>
      <c r="B477" s="1711" t="s">
        <v>1459</v>
      </c>
      <c r="C477" s="1756" t="str">
        <f>HYPERLINK("#'報告_貸付P23-25'!P25","P25")</f>
        <v>P25</v>
      </c>
      <c r="D477" s="1711" t="s">
        <v>1851</v>
      </c>
      <c r="E477" s="1757">
        <f>IF('報告_貸付P23-25'!P25="","",'報告_貸付P23-25'!P25)</f>
        <v>0</v>
      </c>
      <c r="F477" s="1711" t="s">
        <v>373</v>
      </c>
      <c r="G477" s="1709" t="str">
        <f t="shared" si="7"/>
        <v>0（確認）</v>
      </c>
      <c r="H477" s="1708" t="inlineStr">
        <is>
          <t>報告_貸付P23-25 P32,AH25</t>
        </is>
      </c>
      <c r="I477" s="1708" t="inlineStr">
        <is>
          <t>同じシート内のみ</t>
        </is>
      </c>
    </row>
    <row r="478" spans="1:9" ht="19.95" customHeight="1">
      <c r="A478" s="1752" t="s">
        <v>14</v>
      </c>
      <c r="B478" s="1708" t="s">
        <v>1459</v>
      </c>
      <c r="C478" s="1753" t="str">
        <f>HYPERLINK("#'報告_貸付P23-25'!Y25","Y25")</f>
        <v>Y25</v>
      </c>
      <c r="D478" s="1708" t="s">
        <v>1852</v>
      </c>
      <c r="E478" s="1754">
        <f>IF('報告_貸付P23-25'!Y25="","",'報告_貸付P23-25'!Y25)</f>
        <v>0</v>
      </c>
      <c r="F478" s="1708" t="s">
        <v>1644</v>
      </c>
      <c r="G478" s="1709" t="str">
        <f t="shared" si="7"/>
        <v>0（確認）</v>
      </c>
      <c r="H478" s="1708" t="inlineStr">
        <is>
          <t>報告_貸付P23-25 Y32,AH25,AZ25</t>
        </is>
      </c>
      <c r="I478" s="1708" t="inlineStr">
        <is>
          <t>同じシート内のみ</t>
        </is>
      </c>
    </row>
    <row r="479" spans="1:9" ht="19.95" customHeight="1">
      <c r="A479" s="1755" t="s">
        <v>14</v>
      </c>
      <c r="B479" s="1711" t="s">
        <v>1459</v>
      </c>
      <c r="C479" s="1756" t="str">
        <f>HYPERLINK("#'報告_貸付P23-25'!P26","P26")</f>
        <v>P26</v>
      </c>
      <c r="D479" s="1711" t="s">
        <v>1794</v>
      </c>
      <c r="E479" s="1757">
        <f>IF('報告_貸付P23-25'!P26="","",'報告_貸付P23-25'!P26)</f>
        <v>2061000</v>
      </c>
      <c r="F479" s="1711" t="s">
        <v>373</v>
      </c>
      <c r="G479" s="1709" t="str">
        <f t="shared" si="7"/>
        <v>入力済</v>
      </c>
      <c r="H479" s="1708" t="inlineStr">
        <is>
          <t>報告_貸付P23-25 P32,AH26</t>
        </is>
      </c>
      <c r="I479" s="1708" t="inlineStr">
        <is>
          <t>同じシート内のみ</t>
        </is>
      </c>
    </row>
    <row r="480" spans="1:9" ht="19.95" customHeight="1">
      <c r="A480" s="1752" t="s">
        <v>14</v>
      </c>
      <c r="B480" s="1708" t="s">
        <v>1459</v>
      </c>
      <c r="C480" s="1753" t="str">
        <f>HYPERLINK("#'報告_貸付P23-25'!P27","P27")</f>
        <v>P27</v>
      </c>
      <c r="D480" s="1708" t="s">
        <v>1853</v>
      </c>
      <c r="E480" s="1754">
        <f>IF('報告_貸付P23-25'!P27="","",'報告_貸付P23-25'!P27)</f>
        <v>113000</v>
      </c>
      <c r="F480" s="1708" t="s">
        <v>373</v>
      </c>
      <c r="G480" s="1709" t="str">
        <f t="shared" si="7"/>
        <v>入力済</v>
      </c>
      <c r="H480" s="1708" t="inlineStr">
        <is>
          <t>報告_貸付P23-25 P32,AH27</t>
        </is>
      </c>
      <c r="I480" s="1708" t="inlineStr">
        <is>
          <t>同じシート内のみ</t>
        </is>
      </c>
    </row>
    <row r="481" spans="1:9" ht="19.95" customHeight="1">
      <c r="A481" s="1755" t="s">
        <v>14</v>
      </c>
      <c r="B481" s="1711" t="s">
        <v>1459</v>
      </c>
      <c r="C481" s="1756" t="str">
        <f>HYPERLINK("#'報告_貸付P23-25'!P28","P28")</f>
        <v>P28</v>
      </c>
      <c r="D481" s="1711" t="s">
        <v>175</v>
      </c>
      <c r="E481" s="1757">
        <f>IF('報告_貸付P23-25'!P28="","",'報告_貸付P23-25'!P28)</f>
        <v>0</v>
      </c>
      <c r="F481" s="1711" t="s">
        <v>373</v>
      </c>
      <c r="G481" s="1709" t="str">
        <f t="shared" si="7"/>
        <v>0（確認）</v>
      </c>
      <c r="H481" s="1708" t="inlineStr">
        <is>
          <t>報告_貸付P23-25 P32,AH28</t>
        </is>
      </c>
      <c r="I481" s="1708" t="inlineStr">
        <is>
          <t>同じシート内のみ</t>
        </is>
      </c>
    </row>
    <row r="482" spans="1:9" ht="19.95" customHeight="1">
      <c r="A482" s="1752" t="s">
        <v>14</v>
      </c>
      <c r="B482" s="1708" t="s">
        <v>1459</v>
      </c>
      <c r="C482" s="1753" t="str">
        <f>HYPERLINK("#'報告_貸付P23-25'!Y28","Y28")</f>
        <v>Y28</v>
      </c>
      <c r="D482" s="1708" t="s">
        <v>175</v>
      </c>
      <c r="E482" s="1754">
        <f>IF('報告_貸付P23-25'!Y28="","",'報告_貸付P23-25'!Y28)</f>
        <v>0</v>
      </c>
      <c r="F482" s="1708" t="s">
        <v>1644</v>
      </c>
      <c r="G482" s="1709" t="str">
        <f t="shared" si="7"/>
        <v>0（確認）</v>
      </c>
      <c r="H482" s="1708" t="inlineStr">
        <is>
          <t>報告_貸付P23-25 Y32,AH28,AZ28</t>
        </is>
      </c>
      <c r="I482" s="1708" t="inlineStr">
        <is>
          <t>同じシート内のみ</t>
        </is>
      </c>
    </row>
    <row r="483" spans="1:9" ht="19.95" customHeight="1">
      <c r="A483" s="1755" t="s">
        <v>14</v>
      </c>
      <c r="B483" s="1711" t="s">
        <v>1459</v>
      </c>
      <c r="C483" s="1756" t="str">
        <f>HYPERLINK("#'報告_貸付P23-25'!P29","P29")</f>
        <v>P29</v>
      </c>
      <c r="D483" s="1711" t="s">
        <v>176</v>
      </c>
      <c r="E483" s="1757">
        <f>IF('報告_貸付P23-25'!P29="","",'報告_貸付P23-25'!P29)</f>
        <v>0</v>
      </c>
      <c r="F483" s="1711" t="s">
        <v>373</v>
      </c>
      <c r="G483" s="1709" t="str">
        <f t="shared" si="7"/>
        <v>0（確認）</v>
      </c>
      <c r="H483" s="1708" t="inlineStr">
        <is>
          <t>報告_貸付P23-25 P32,AH29</t>
        </is>
      </c>
      <c r="I483" s="1708" t="inlineStr">
        <is>
          <t>同じシート内のみ</t>
        </is>
      </c>
    </row>
    <row r="484" spans="1:9" ht="19.95" customHeight="1">
      <c r="A484" s="1752" t="s">
        <v>14</v>
      </c>
      <c r="B484" s="1708" t="s">
        <v>1459</v>
      </c>
      <c r="C484" s="1753" t="str">
        <f>HYPERLINK("#'報告_貸付P23-25'!Y29","Y29")</f>
        <v>Y29</v>
      </c>
      <c r="D484" s="1708" t="s">
        <v>176</v>
      </c>
      <c r="E484" s="1754">
        <f>IF('報告_貸付P23-25'!Y29="","",'報告_貸付P23-25'!Y29)</f>
        <v>0</v>
      </c>
      <c r="F484" s="1708" t="s">
        <v>1644</v>
      </c>
      <c r="G484" s="1709" t="str">
        <f t="shared" si="7"/>
        <v>0（確認）</v>
      </c>
      <c r="H484" s="1708" t="inlineStr">
        <is>
          <t>報告_貸付P23-25 Y32,AH29,AZ29</t>
        </is>
      </c>
      <c r="I484" s="1708" t="inlineStr">
        <is>
          <t>同じシート内のみ</t>
        </is>
      </c>
    </row>
    <row r="485" spans="1:9" ht="19.95" customHeight="1">
      <c r="A485" s="1755" t="s">
        <v>14</v>
      </c>
      <c r="B485" s="1711" t="s">
        <v>1459</v>
      </c>
      <c r="C485" s="1756" t="str">
        <f>HYPERLINK("#'報告_貸付P23-25'!P30","P30")</f>
        <v>P30</v>
      </c>
      <c r="D485" s="1711" t="s">
        <v>142</v>
      </c>
      <c r="E485" s="1757">
        <f>IF('報告_貸付P23-25'!P30="","",'報告_貸付P23-25'!P30)</f>
        <v>0</v>
      </c>
      <c r="F485" s="1711" t="s">
        <v>373</v>
      </c>
      <c r="G485" s="1709" t="str">
        <f t="shared" si="7"/>
        <v>0（確認）</v>
      </c>
      <c r="H485" s="1708" t="inlineStr">
        <is>
          <t>報告_貸付P23-25 P32,AH30</t>
        </is>
      </c>
      <c r="I485" s="1708" t="inlineStr">
        <is>
          <t>同じシート内のみ</t>
        </is>
      </c>
    </row>
    <row r="486" spans="1:9" ht="19.95" customHeight="1">
      <c r="A486" s="1752" t="s">
        <v>14</v>
      </c>
      <c r="B486" s="1708" t="s">
        <v>1459</v>
      </c>
      <c r="C486" s="1753" t="str">
        <f>HYPERLINK("#'報告_貸付P23-25'!P31","P31")</f>
        <v>P31</v>
      </c>
      <c r="D486" s="1708" t="s">
        <v>143</v>
      </c>
      <c r="E486" s="1754">
        <f>IF('報告_貸付P23-25'!P31="","",'報告_貸付P23-25'!P31)</f>
        <v>0</v>
      </c>
      <c r="F486" s="1708" t="s">
        <v>373</v>
      </c>
      <c r="G486" s="1709" t="str">
        <f t="shared" si="7"/>
        <v>0（確認）</v>
      </c>
      <c r="H486" s="1708" t="inlineStr">
        <is>
          <t>報告_貸付P23-25 P32,AH31</t>
        </is>
      </c>
      <c r="I486" s="1708" t="inlineStr">
        <is>
          <t>同じシート内のみ</t>
        </is>
      </c>
    </row>
    <row r="487" spans="1:9" ht="19.95" customHeight="1">
      <c r="A487" s="1755" t="s">
        <v>14</v>
      </c>
      <c r="B487" s="1711" t="s">
        <v>1459</v>
      </c>
      <c r="C487" s="1756" t="str">
        <f>HYPERLINK("#'報告_貸付P23-25'!T47","T47")</f>
        <v>T47</v>
      </c>
      <c r="D487" s="1711" t="s">
        <v>1854</v>
      </c>
      <c r="E487" s="1757">
        <f>IF('報告_貸付P23-25'!T47="","",'報告_貸付P23-25'!T47)</f>
        <v>2.66</v>
      </c>
      <c r="F487" s="1711" t="s">
        <v>1753</v>
      </c>
      <c r="G487" s="1709" t="str">
        <f t="shared" si="7"/>
        <v>入力済</v>
      </c>
      <c r="H487" s="1708" t="inlineStr">
        <is>
          <t>なし（このセルのみ）</t>
        </is>
      </c>
      <c r="I487" s="1708" t="inlineStr">
        <is>
          <t>―</t>
        </is>
      </c>
    </row>
    <row r="488" spans="1:9" ht="19.95" customHeight="1">
      <c r="A488" s="1752" t="s">
        <v>14</v>
      </c>
      <c r="B488" s="1708" t="s">
        <v>1459</v>
      </c>
      <c r="C488" s="1753" t="str">
        <f>HYPERLINK("#'報告_貸付P23-25'!W47","W47")</f>
        <v>W47</v>
      </c>
      <c r="D488" s="1708" t="s">
        <v>1855</v>
      </c>
      <c r="E488" s="1754">
        <f>IF('報告_貸付P23-25'!W47="","",'報告_貸付P23-25'!W47)</f>
        <v>2000</v>
      </c>
      <c r="F488" s="1708" t="s">
        <v>1753</v>
      </c>
      <c r="G488" s="1709" t="str">
        <f t="shared" si="7"/>
        <v>入力済</v>
      </c>
      <c r="H488" s="1708" t="inlineStr">
        <is>
          <t>なし（このセルのみ）</t>
        </is>
      </c>
      <c r="I488" s="1708" t="inlineStr">
        <is>
          <t>―</t>
        </is>
      </c>
    </row>
    <row r="489" spans="1:9" ht="19.95" customHeight="1">
      <c r="A489" s="1755" t="s">
        <v>14</v>
      </c>
      <c r="B489" s="1711" t="s">
        <v>1459</v>
      </c>
      <c r="C489" s="1756" t="str">
        <f>HYPERLINK("#'報告_貸付P23-25'!AG47","AG47")</f>
        <v>AG47</v>
      </c>
      <c r="D489" s="1711" t="s">
        <v>1856</v>
      </c>
      <c r="E489" s="1757">
        <f>IF('報告_貸付P23-25'!AG47="","",'報告_貸付P23-25'!AG47)</f>
        <v>120</v>
      </c>
      <c r="F489" s="1711" t="s">
        <v>1753</v>
      </c>
      <c r="G489" s="1709" t="str">
        <f t="shared" si="7"/>
        <v>入力済</v>
      </c>
      <c r="H489" s="1708" t="inlineStr">
        <is>
          <t>なし（このセルのみ）</t>
        </is>
      </c>
      <c r="I489" s="1708" t="inlineStr">
        <is>
          <t>―</t>
        </is>
      </c>
    </row>
    <row r="490" spans="1:9" ht="19.95" customHeight="1">
      <c r="A490" s="1752" t="s">
        <v>14</v>
      </c>
      <c r="B490" s="1708" t="s">
        <v>1459</v>
      </c>
      <c r="C490" s="1753" t="str">
        <f>HYPERLINK("#'報告_貸付P23-25'!T48","T48")</f>
        <v>T48</v>
      </c>
      <c r="D490" s="1708" t="s">
        <v>1857</v>
      </c>
      <c r="E490" s="1754">
        <f>IF('報告_貸付P23-25'!T48="","",'報告_貸付P23-25'!T48)</f>
        <v>1.26</v>
      </c>
      <c r="F490" s="1708" t="s">
        <v>1753</v>
      </c>
      <c r="G490" s="1709" t="str">
        <f t="shared" si="7"/>
        <v>入力済</v>
      </c>
      <c r="H490" s="1708" t="inlineStr">
        <is>
          <t>なし（このセルのみ）</t>
        </is>
      </c>
      <c r="I490" s="1708" t="inlineStr">
        <is>
          <t>―</t>
        </is>
      </c>
    </row>
    <row r="491" spans="1:9" ht="19.95" customHeight="1">
      <c r="A491" s="1755" t="s">
        <v>14</v>
      </c>
      <c r="B491" s="1711" t="s">
        <v>1459</v>
      </c>
      <c r="C491" s="1756" t="str">
        <f>HYPERLINK("#'報告_貸付P23-25'!T49","T49")</f>
        <v>T49</v>
      </c>
      <c r="D491" s="1711" t="s">
        <v>1858</v>
      </c>
      <c r="E491" s="1757">
        <f>IF('報告_貸付P23-25'!T49="","",'報告_貸付P23-25'!T49)</f>
        <v>2.66</v>
      </c>
      <c r="F491" s="1711" t="s">
        <v>1753</v>
      </c>
      <c r="G491" s="1709" t="str">
        <f t="shared" si="7"/>
        <v>入力済</v>
      </c>
      <c r="H491" s="1708" t="inlineStr">
        <is>
          <t>なし（このセルのみ）</t>
        </is>
      </c>
      <c r="I491" s="1708" t="inlineStr">
        <is>
          <t>―</t>
        </is>
      </c>
    </row>
    <row r="492" spans="1:9" ht="19.95" customHeight="1">
      <c r="A492" s="1752" t="s">
        <v>14</v>
      </c>
      <c r="B492" s="1708" t="s">
        <v>1459</v>
      </c>
      <c r="C492" s="1753" t="str">
        <f>HYPERLINK("#'報告_貸付P23-25'!W49","W49")</f>
        <v>W49</v>
      </c>
      <c r="D492" s="1708" t="s">
        <v>1859</v>
      </c>
      <c r="E492" s="1754">
        <f>IF('報告_貸付P23-25'!W49="","",'報告_貸付P23-25'!W49)</f>
        <v>18000</v>
      </c>
      <c r="F492" s="1708" t="s">
        <v>1753</v>
      </c>
      <c r="G492" s="1709" t="str">
        <f t="shared" si="7"/>
        <v>入力済</v>
      </c>
      <c r="H492" s="1708" t="inlineStr">
        <is>
          <t>なし（このセルのみ）</t>
        </is>
      </c>
      <c r="I492" s="1708" t="inlineStr">
        <is>
          <t>―</t>
        </is>
      </c>
    </row>
    <row r="493" spans="1:9" ht="19.95" customHeight="1">
      <c r="A493" s="1755" t="s">
        <v>14</v>
      </c>
      <c r="B493" s="1711" t="s">
        <v>1459</v>
      </c>
      <c r="C493" s="1756" t="str">
        <f>HYPERLINK("#'報告_貸付P23-25'!AG49","AG49")</f>
        <v>AG49</v>
      </c>
      <c r="D493" s="1711" t="s">
        <v>1860</v>
      </c>
      <c r="E493" s="1757">
        <f>IF('報告_貸付P23-25'!AG49="","",'報告_貸付P23-25'!AG49)</f>
        <v>360</v>
      </c>
      <c r="F493" s="1711" t="s">
        <v>1753</v>
      </c>
      <c r="G493" s="1709" t="str">
        <f t="shared" si="7"/>
        <v>入力済</v>
      </c>
      <c r="H493" s="1708" t="inlineStr">
        <is>
          <t>なし（このセルのみ）</t>
        </is>
      </c>
      <c r="I493" s="1708" t="inlineStr">
        <is>
          <t>―</t>
        </is>
      </c>
    </row>
    <row r="494" spans="1:9" ht="19.95" customHeight="1">
      <c r="A494" s="1752" t="s">
        <v>14</v>
      </c>
      <c r="B494" s="1708" t="s">
        <v>1459</v>
      </c>
      <c r="C494" s="1753" t="str">
        <f>HYPERLINK("#'報告_貸付P23-25'!T50","T50")</f>
        <v>T50</v>
      </c>
      <c r="D494" s="1708" t="s">
        <v>1857</v>
      </c>
      <c r="E494" s="1754">
        <f>IF('報告_貸付P23-25'!T50="","",'報告_貸付P23-25'!T50)</f>
        <v>1.26</v>
      </c>
      <c r="F494" s="1708" t="s">
        <v>1753</v>
      </c>
      <c r="G494" s="1709" t="str">
        <f t="shared" si="7"/>
        <v>入力済</v>
      </c>
      <c r="H494" s="1708" t="inlineStr">
        <is>
          <t>なし（このセルのみ）</t>
        </is>
      </c>
      <c r="I494" s="1708" t="inlineStr">
        <is>
          <t>―</t>
        </is>
      </c>
    </row>
    <row r="495" spans="1:9" ht="19.95" customHeight="1">
      <c r="A495" s="1755" t="s">
        <v>14</v>
      </c>
      <c r="B495" s="1711" t="s">
        <v>1459</v>
      </c>
      <c r="C495" s="1756" t="str">
        <f>HYPERLINK("#'報告_貸付P23-25'!T51","T51")</f>
        <v>T51</v>
      </c>
      <c r="D495" s="1711" t="s">
        <v>1861</v>
      </c>
      <c r="E495" s="1757">
        <f>IF('報告_貸付P23-25'!T51="","",'報告_貸付P23-25'!T51)</f>
        <v>2.4</v>
      </c>
      <c r="F495" s="1711" t="s">
        <v>1753</v>
      </c>
      <c r="G495" s="1709" t="str">
        <f t="shared" si="7"/>
        <v>入力済</v>
      </c>
      <c r="H495" s="1708" t="inlineStr">
        <is>
          <t>なし（このセルのみ）</t>
        </is>
      </c>
      <c r="I495" s="1708" t="inlineStr">
        <is>
          <t>―</t>
        </is>
      </c>
    </row>
    <row r="496" spans="1:9" ht="19.95" customHeight="1">
      <c r="A496" s="1752" t="s">
        <v>14</v>
      </c>
      <c r="B496" s="1708" t="s">
        <v>1459</v>
      </c>
      <c r="C496" s="1753" t="str">
        <f>HYPERLINK("#'報告_貸付P23-25'!W51","W51")</f>
        <v>W51</v>
      </c>
      <c r="D496" s="1708" t="s">
        <v>1862</v>
      </c>
      <c r="E496" s="1754">
        <f>IF('報告_貸付P23-25'!W51="","",'報告_貸付P23-25'!W51)</f>
        <v>3000</v>
      </c>
      <c r="F496" s="1708" t="s">
        <v>1753</v>
      </c>
      <c r="G496" s="1709" t="str">
        <f t="shared" si="7"/>
        <v>入力済</v>
      </c>
      <c r="H496" s="1708" t="inlineStr">
        <is>
          <t>なし（このセルのみ）</t>
        </is>
      </c>
      <c r="I496" s="1708" t="inlineStr">
        <is>
          <t>―</t>
        </is>
      </c>
    </row>
    <row r="497" spans="1:9" ht="19.95" customHeight="1">
      <c r="A497" s="1755" t="s">
        <v>14</v>
      </c>
      <c r="B497" s="1711" t="s">
        <v>1459</v>
      </c>
      <c r="C497" s="1756" t="str">
        <f>HYPERLINK("#'報告_貸付P23-25'!AG51","AG51")</f>
        <v>AG51</v>
      </c>
      <c r="D497" s="1711" t="s">
        <v>1862</v>
      </c>
      <c r="E497" s="1757">
        <f>IF('報告_貸付P23-25'!AG51="","",'報告_貸付P23-25'!AG51)</f>
        <v>360</v>
      </c>
      <c r="F497" s="1711" t="s">
        <v>1753</v>
      </c>
      <c r="G497" s="1709" t="str">
        <f t="shared" si="7"/>
        <v>入力済</v>
      </c>
      <c r="H497" s="1708" t="inlineStr">
        <is>
          <t>なし（このセルのみ）</t>
        </is>
      </c>
      <c r="I497" s="1708" t="inlineStr">
        <is>
          <t>―</t>
        </is>
      </c>
    </row>
    <row r="498" spans="1:9" ht="19.95" customHeight="1">
      <c r="A498" s="1752" t="s">
        <v>14</v>
      </c>
      <c r="B498" s="1708" t="s">
        <v>1459</v>
      </c>
      <c r="C498" s="1753" t="str">
        <f>HYPERLINK("#'報告_貸付P23-25'!T52","T52")</f>
        <v>T52</v>
      </c>
      <c r="D498" s="1708" t="s">
        <v>1857</v>
      </c>
      <c r="E498" s="1754">
        <f>IF('報告_貸付P23-25'!T52="","",'報告_貸付P23-25'!T52)</f>
        <v>1</v>
      </c>
      <c r="F498" s="1708" t="s">
        <v>1753</v>
      </c>
      <c r="G498" s="1709" t="str">
        <f t="shared" si="7"/>
        <v>入力済</v>
      </c>
      <c r="H498" s="1708" t="inlineStr">
        <is>
          <t>なし（このセルのみ）</t>
        </is>
      </c>
      <c r="I498" s="1708" t="inlineStr">
        <is>
          <t>―</t>
        </is>
      </c>
    </row>
    <row r="499" spans="1:9" ht="19.95" customHeight="1">
      <c r="A499" s="1755" t="s">
        <v>14</v>
      </c>
      <c r="B499" s="1711" t="s">
        <v>1459</v>
      </c>
      <c r="C499" s="1756" t="str">
        <f>HYPERLINK("#'報告_貸付P23-25'!T53","T53")</f>
        <v>T53</v>
      </c>
      <c r="D499" s="1711" t="s">
        <v>1863</v>
      </c>
      <c r="E499" s="1757">
        <f>IF('報告_貸付P23-25'!T53="","",'報告_貸付P23-25'!T53)</f>
        <v>2.2200000000000002</v>
      </c>
      <c r="F499" s="1711" t="s">
        <v>1753</v>
      </c>
      <c r="G499" s="1709" t="str">
        <f t="shared" si="7"/>
        <v>入力済</v>
      </c>
      <c r="H499" s="1708" t="inlineStr">
        <is>
          <t>なし（このセルのみ）</t>
        </is>
      </c>
      <c r="I499" s="1708" t="inlineStr">
        <is>
          <t>―</t>
        </is>
      </c>
    </row>
    <row r="500" spans="1:9" ht="19.95" customHeight="1">
      <c r="A500" s="1752" t="s">
        <v>14</v>
      </c>
      <c r="B500" s="1708" t="s">
        <v>1459</v>
      </c>
      <c r="C500" s="1753" t="str">
        <f>HYPERLINK("#'報告_貸付P23-25'!W53","W53")</f>
        <v>W53</v>
      </c>
      <c r="D500" s="1708" t="s">
        <v>1864</v>
      </c>
      <c r="E500" s="1754">
        <f>IF('報告_貸付P23-25'!W53="","",'報告_貸付P23-25'!W53)</f>
        <v>2000</v>
      </c>
      <c r="F500" s="1708" t="s">
        <v>1753</v>
      </c>
      <c r="G500" s="1709" t="str">
        <f t="shared" si="7"/>
        <v>入力済</v>
      </c>
      <c r="H500" s="1708" t="inlineStr">
        <is>
          <t>なし（このセルのみ）</t>
        </is>
      </c>
      <c r="I500" s="1708" t="inlineStr">
        <is>
          <t>―</t>
        </is>
      </c>
    </row>
    <row r="501" spans="1:9" ht="19.95" customHeight="1">
      <c r="A501" s="1755" t="s">
        <v>14</v>
      </c>
      <c r="B501" s="1711" t="s">
        <v>1459</v>
      </c>
      <c r="C501" s="1756" t="str">
        <f>HYPERLINK("#'報告_貸付P23-25'!AG53","AG53")</f>
        <v>AG53</v>
      </c>
      <c r="D501" s="1711" t="s">
        <v>1864</v>
      </c>
      <c r="E501" s="1757">
        <f>IF('報告_貸付P23-25'!AG53="","",'報告_貸付P23-25'!AG53)</f>
        <v>360</v>
      </c>
      <c r="F501" s="1711" t="s">
        <v>1753</v>
      </c>
      <c r="G501" s="1709" t="str">
        <f t="shared" si="7"/>
        <v>入力済</v>
      </c>
      <c r="H501" s="1708" t="inlineStr">
        <is>
          <t>なし（このセルのみ）</t>
        </is>
      </c>
      <c r="I501" s="1708" t="inlineStr">
        <is>
          <t>―</t>
        </is>
      </c>
    </row>
    <row r="502" spans="1:9" ht="19.95" customHeight="1">
      <c r="A502" s="1752" t="s">
        <v>14</v>
      </c>
      <c r="B502" s="1708" t="s">
        <v>1459</v>
      </c>
      <c r="C502" s="1753" t="str">
        <f>HYPERLINK("#'報告_貸付P23-25'!T54","T54")</f>
        <v>T54</v>
      </c>
      <c r="D502" s="1708" t="s">
        <v>1857</v>
      </c>
      <c r="E502" s="1754">
        <f>IF('報告_貸付P23-25'!T54="","",'報告_貸付P23-25'!T54)</f>
        <v>0.93</v>
      </c>
      <c r="F502" s="1708" t="s">
        <v>1753</v>
      </c>
      <c r="G502" s="1709" t="str">
        <f t="shared" si="7"/>
        <v>入力済</v>
      </c>
      <c r="H502" s="1708" t="inlineStr">
        <is>
          <t>なし（このセルのみ）</t>
        </is>
      </c>
      <c r="I502" s="1708" t="inlineStr">
        <is>
          <t>―</t>
        </is>
      </c>
    </row>
    <row r="503" spans="1:9" ht="19.95" customHeight="1">
      <c r="A503" s="1755" t="s">
        <v>14</v>
      </c>
      <c r="B503" s="1711" t="s">
        <v>1459</v>
      </c>
      <c r="C503" s="1756" t="str">
        <f>HYPERLINK("#'報告_貸付P23-25'!T55","T55")</f>
        <v>T55</v>
      </c>
      <c r="D503" s="1711" t="s">
        <v>1865</v>
      </c>
      <c r="E503" s="1757">
        <f>IF('報告_貸付P23-25'!T55="","",'報告_貸付P23-25'!T55)</f>
        <v>2.2200000000000002</v>
      </c>
      <c r="F503" s="1711" t="s">
        <v>1753</v>
      </c>
      <c r="G503" s="1709" t="str">
        <f t="shared" si="7"/>
        <v>入力済</v>
      </c>
      <c r="H503" s="1708" t="inlineStr">
        <is>
          <t>なし（このセルのみ）</t>
        </is>
      </c>
      <c r="I503" s="1708" t="inlineStr">
        <is>
          <t>―</t>
        </is>
      </c>
    </row>
    <row r="504" spans="1:9" ht="19.95" customHeight="1">
      <c r="A504" s="1752" t="s">
        <v>14</v>
      </c>
      <c r="B504" s="1708" t="s">
        <v>1459</v>
      </c>
      <c r="C504" s="1753" t="str">
        <f>HYPERLINK("#'報告_貸付P23-25'!W55","W55")</f>
        <v>W55</v>
      </c>
      <c r="D504" s="1708" t="s">
        <v>1866</v>
      </c>
      <c r="E504" s="1754">
        <f>IF('報告_貸付P23-25'!W55="","",'報告_貸付P23-25'!W55)</f>
        <v>18000</v>
      </c>
      <c r="F504" s="1708" t="s">
        <v>1753</v>
      </c>
      <c r="G504" s="1709" t="str">
        <f t="shared" si="7"/>
        <v>入力済</v>
      </c>
      <c r="H504" s="1708" t="inlineStr">
        <is>
          <t>なし（このセルのみ）</t>
        </is>
      </c>
      <c r="I504" s="1708" t="inlineStr">
        <is>
          <t>―</t>
        </is>
      </c>
    </row>
    <row r="505" spans="1:9" ht="19.95" customHeight="1">
      <c r="A505" s="1755" t="s">
        <v>14</v>
      </c>
      <c r="B505" s="1711" t="s">
        <v>1459</v>
      </c>
      <c r="C505" s="1756" t="str">
        <f>HYPERLINK("#'報告_貸付P23-25'!AG55","AG55")</f>
        <v>AG55</v>
      </c>
      <c r="D505" s="1711" t="s">
        <v>1866</v>
      </c>
      <c r="E505" s="1757">
        <f>IF('報告_貸付P23-25'!AG55="","",'報告_貸付P23-25'!AG55)</f>
        <v>360</v>
      </c>
      <c r="F505" s="1711" t="s">
        <v>1753</v>
      </c>
      <c r="G505" s="1709" t="str">
        <f t="shared" si="7"/>
        <v>入力済</v>
      </c>
      <c r="H505" s="1708" t="inlineStr">
        <is>
          <t>なし（このセルのみ）</t>
        </is>
      </c>
      <c r="I505" s="1708" t="inlineStr">
        <is>
          <t>―</t>
        </is>
      </c>
    </row>
    <row r="506" spans="1:9" ht="19.95" customHeight="1">
      <c r="A506" s="1752" t="s">
        <v>14</v>
      </c>
      <c r="B506" s="1708" t="s">
        <v>1459</v>
      </c>
      <c r="C506" s="1753" t="str">
        <f>HYPERLINK("#'報告_貸付P23-25'!T56","T56")</f>
        <v>T56</v>
      </c>
      <c r="D506" s="1708" t="s">
        <v>1857</v>
      </c>
      <c r="E506" s="1754">
        <f>IF('報告_貸付P23-25'!T56="","",'報告_貸付P23-25'!T56)</f>
        <v>0.93</v>
      </c>
      <c r="F506" s="1708" t="s">
        <v>1753</v>
      </c>
      <c r="G506" s="1709" t="str">
        <f t="shared" si="7"/>
        <v>入力済</v>
      </c>
      <c r="H506" s="1708" t="inlineStr">
        <is>
          <t>なし（このセルのみ）</t>
        </is>
      </c>
      <c r="I506" s="1708" t="inlineStr">
        <is>
          <t>―</t>
        </is>
      </c>
    </row>
    <row r="507" spans="1:9" ht="19.95" customHeight="1">
      <c r="A507" s="1755" t="s">
        <v>14</v>
      </c>
      <c r="B507" s="1711" t="s">
        <v>1459</v>
      </c>
      <c r="C507" s="1756" t="str">
        <f>HYPERLINK("#'報告_貸付P23-25'!T57","T57")</f>
        <v>T57</v>
      </c>
      <c r="D507" s="1711" t="s">
        <v>1867</v>
      </c>
      <c r="E507" s="1757">
        <f>IF('報告_貸付P23-25'!T57="","",'報告_貸付P23-25'!T57)</f>
        <v>2.2200000000000002</v>
      </c>
      <c r="F507" s="1711" t="s">
        <v>1753</v>
      </c>
      <c r="G507" s="1709" t="str">
        <f t="shared" si="7"/>
        <v>入力済</v>
      </c>
      <c r="H507" s="1708" t="inlineStr">
        <is>
          <t>なし（このセルのみ）</t>
        </is>
      </c>
      <c r="I507" s="1708" t="inlineStr">
        <is>
          <t>―</t>
        </is>
      </c>
    </row>
    <row r="508" spans="1:9" ht="19.95" customHeight="1">
      <c r="A508" s="1752" t="s">
        <v>14</v>
      </c>
      <c r="B508" s="1708" t="s">
        <v>1459</v>
      </c>
      <c r="C508" s="1753" t="str">
        <f>HYPERLINK("#'報告_貸付P23-25'!W57","W57")</f>
        <v>W57</v>
      </c>
      <c r="D508" s="1708" t="s">
        <v>1868</v>
      </c>
      <c r="E508" s="1754">
        <f>IF('報告_貸付P23-25'!W57="","",'報告_貸付P23-25'!W57)</f>
        <v>19000</v>
      </c>
      <c r="F508" s="1708" t="s">
        <v>1753</v>
      </c>
      <c r="G508" s="1709" t="str">
        <f t="shared" si="7"/>
        <v>入力済</v>
      </c>
      <c r="H508" s="1708" t="inlineStr">
        <is>
          <t>なし（このセルのみ）</t>
        </is>
      </c>
      <c r="I508" s="1708" t="inlineStr">
        <is>
          <t>―</t>
        </is>
      </c>
    </row>
    <row r="509" spans="1:9" ht="19.95" customHeight="1">
      <c r="A509" s="1755" t="s">
        <v>14</v>
      </c>
      <c r="B509" s="1711" t="s">
        <v>1459</v>
      </c>
      <c r="C509" s="1756" t="str">
        <f>HYPERLINK("#'報告_貸付P23-25'!AG57","AG57")</f>
        <v>AG57</v>
      </c>
      <c r="D509" s="1711" t="s">
        <v>1868</v>
      </c>
      <c r="E509" s="1757">
        <f>IF('報告_貸付P23-25'!AG57="","",'報告_貸付P23-25'!AG57)</f>
        <v>360</v>
      </c>
      <c r="F509" s="1711" t="s">
        <v>1753</v>
      </c>
      <c r="G509" s="1709" t="str">
        <f t="shared" si="7"/>
        <v>入力済</v>
      </c>
      <c r="H509" s="1708" t="inlineStr">
        <is>
          <t>なし（このセルのみ）</t>
        </is>
      </c>
      <c r="I509" s="1708" t="inlineStr">
        <is>
          <t>―</t>
        </is>
      </c>
    </row>
    <row r="510" spans="1:9" ht="19.95" customHeight="1">
      <c r="A510" s="1752" t="s">
        <v>14</v>
      </c>
      <c r="B510" s="1708" t="s">
        <v>1459</v>
      </c>
      <c r="C510" s="1753" t="str">
        <f>HYPERLINK("#'報告_貸付P23-25'!T58","T58")</f>
        <v>T58</v>
      </c>
      <c r="D510" s="1708" t="s">
        <v>1857</v>
      </c>
      <c r="E510" s="1754">
        <f>IF('報告_貸付P23-25'!T58="","",'報告_貸付P23-25'!T58)</f>
        <v>0.93</v>
      </c>
      <c r="F510" s="1708" t="s">
        <v>1753</v>
      </c>
      <c r="G510" s="1709" t="str">
        <f t="shared" si="7"/>
        <v>入力済</v>
      </c>
      <c r="H510" s="1708" t="inlineStr">
        <is>
          <t>なし（このセルのみ）</t>
        </is>
      </c>
      <c r="I510" s="1708" t="inlineStr">
        <is>
          <t>―</t>
        </is>
      </c>
    </row>
    <row r="511" spans="1:9" ht="19.95" customHeight="1">
      <c r="A511" s="1755" t="s">
        <v>14</v>
      </c>
      <c r="B511" s="1711" t="s">
        <v>1459</v>
      </c>
      <c r="C511" s="1756" t="str">
        <f>HYPERLINK("#'報告_貸付P23-25'!T59","T59")</f>
        <v>T59</v>
      </c>
      <c r="D511" s="1711" t="s">
        <v>1869</v>
      </c>
      <c r="E511" s="1757">
        <f>IF('報告_貸付P23-25'!T59="","",'報告_貸付P23-25'!T59)</f>
        <v>2.66</v>
      </c>
      <c r="F511" s="1711" t="s">
        <v>1753</v>
      </c>
      <c r="G511" s="1709" t="str">
        <f t="shared" si="7"/>
        <v>入力済</v>
      </c>
      <c r="H511" s="1708" t="inlineStr">
        <is>
          <t>なし（このセルのみ）</t>
        </is>
      </c>
      <c r="I511" s="1708" t="inlineStr">
        <is>
          <t>―</t>
        </is>
      </c>
    </row>
    <row r="512" spans="1:9" ht="19.95" customHeight="1">
      <c r="A512" s="1752" t="s">
        <v>14</v>
      </c>
      <c r="B512" s="1708" t="s">
        <v>1459</v>
      </c>
      <c r="C512" s="1753" t="str">
        <f>HYPERLINK("#'報告_貸付P23-25'!W59","W59")</f>
        <v>W59</v>
      </c>
      <c r="D512" s="1708" t="s">
        <v>1870</v>
      </c>
      <c r="E512" s="1754">
        <f>IF('報告_貸付P23-25'!W59="","",'報告_貸付P23-25'!W59)</f>
        <v>1000</v>
      </c>
      <c r="F512" s="1708" t="s">
        <v>1753</v>
      </c>
      <c r="G512" s="1709" t="str">
        <f t="shared" si="7"/>
        <v>入力済</v>
      </c>
      <c r="H512" s="1708" t="inlineStr">
        <is>
          <t>なし（このセルのみ）</t>
        </is>
      </c>
      <c r="I512" s="1708" t="inlineStr">
        <is>
          <t>―</t>
        </is>
      </c>
    </row>
    <row r="513" spans="1:9" ht="19.95" customHeight="1">
      <c r="A513" s="1755" t="s">
        <v>14</v>
      </c>
      <c r="B513" s="1711" t="s">
        <v>1459</v>
      </c>
      <c r="C513" s="1756" t="str">
        <f>HYPERLINK("#'報告_貸付P23-25'!AG59","AG59")</f>
        <v>AG59</v>
      </c>
      <c r="D513" s="1711" t="s">
        <v>1870</v>
      </c>
      <c r="E513" s="1757">
        <f>IF('報告_貸付P23-25'!AG59="","",'報告_貸付P23-25'!AG59)</f>
        <v>120</v>
      </c>
      <c r="F513" s="1711" t="s">
        <v>1753</v>
      </c>
      <c r="G513" s="1709" t="str">
        <f t="shared" si="7"/>
        <v>入力済</v>
      </c>
      <c r="H513" s="1708" t="inlineStr">
        <is>
          <t>なし（このセルのみ）</t>
        </is>
      </c>
      <c r="I513" s="1708" t="inlineStr">
        <is>
          <t>―</t>
        </is>
      </c>
    </row>
    <row r="514" spans="1:9" ht="19.95" customHeight="1">
      <c r="A514" s="1752" t="s">
        <v>14</v>
      </c>
      <c r="B514" s="1708" t="s">
        <v>1459</v>
      </c>
      <c r="C514" s="1753" t="str">
        <f>HYPERLINK("#'報告_貸付P23-25'!T60","T60")</f>
        <v>T60</v>
      </c>
      <c r="D514" s="1708" t="s">
        <v>1871</v>
      </c>
      <c r="E514" s="1754">
        <f>IF('報告_貸付P23-25'!T60="","",'報告_貸付P23-25'!T60)</f>
        <v>1.26</v>
      </c>
      <c r="F514" s="1708" t="s">
        <v>1753</v>
      </c>
      <c r="G514" s="1709" t="str">
        <f t="shared" si="7"/>
        <v>入力済</v>
      </c>
      <c r="H514" s="1708" t="inlineStr">
        <is>
          <t>なし（このセルのみ）</t>
        </is>
      </c>
      <c r="I514" s="1708" t="inlineStr">
        <is>
          <t>―</t>
        </is>
      </c>
    </row>
    <row r="515" spans="1:9" ht="19.95" customHeight="1">
      <c r="A515" s="1755" t="s">
        <v>14</v>
      </c>
      <c r="B515" s="1711" t="s">
        <v>1459</v>
      </c>
      <c r="C515" s="1756" t="str">
        <f>HYPERLINK("#'報告_貸付P23-25'!T61","T61")</f>
        <v>T61</v>
      </c>
      <c r="D515" s="1711" t="s">
        <v>1872</v>
      </c>
      <c r="E515" s="1757">
        <f>IF('報告_貸付P23-25'!T61="","",'報告_貸付P23-25'!T61)</f>
        <v>2.66</v>
      </c>
      <c r="F515" s="1711" t="s">
        <v>1753</v>
      </c>
      <c r="G515" s="1709" t="str">
        <f t="shared" si="7"/>
        <v>入力済</v>
      </c>
      <c r="H515" s="1708" t="inlineStr">
        <is>
          <t>なし（このセルのみ）</t>
        </is>
      </c>
      <c r="I515" s="1708" t="inlineStr">
        <is>
          <t>―</t>
        </is>
      </c>
    </row>
    <row r="516" spans="1:9" ht="19.95" customHeight="1">
      <c r="A516" s="1752" t="s">
        <v>14</v>
      </c>
      <c r="B516" s="1708" t="s">
        <v>1459</v>
      </c>
      <c r="C516" s="1753" t="str">
        <f>HYPERLINK("#'報告_貸付P23-25'!W61","W61")</f>
        <v>W61</v>
      </c>
      <c r="D516" s="1708" t="s">
        <v>1872</v>
      </c>
      <c r="E516" s="1754">
        <f>IF('報告_貸付P23-25'!W61="","",'報告_貸付P23-25'!W61)</f>
        <v>2000</v>
      </c>
      <c r="F516" s="1708" t="s">
        <v>1753</v>
      </c>
      <c r="G516" s="1709" t="str">
        <f t="shared" si="7"/>
        <v>入力済</v>
      </c>
      <c r="H516" s="1708" t="inlineStr">
        <is>
          <t>なし（このセルのみ）</t>
        </is>
      </c>
      <c r="I516" s="1708" t="inlineStr">
        <is>
          <t>―</t>
        </is>
      </c>
    </row>
    <row r="517" spans="1:9" ht="19.95" customHeight="1">
      <c r="A517" s="1755" t="s">
        <v>14</v>
      </c>
      <c r="B517" s="1711" t="s">
        <v>1459</v>
      </c>
      <c r="C517" s="1756" t="str">
        <f>HYPERLINK("#'報告_貸付P23-25'!AG61","AG61")</f>
        <v>AG61</v>
      </c>
      <c r="D517" s="1711" t="s">
        <v>1872</v>
      </c>
      <c r="E517" s="1757">
        <f>IF('報告_貸付P23-25'!AG61="","",'報告_貸付P23-25'!AG61)</f>
        <v>120</v>
      </c>
      <c r="F517" s="1711" t="s">
        <v>1753</v>
      </c>
      <c r="G517" s="1709" t="str">
        <f t="shared" si="7"/>
        <v>入力済</v>
      </c>
      <c r="H517" s="1708" t="inlineStr">
        <is>
          <t>なし（このセルのみ）</t>
        </is>
      </c>
      <c r="I517" s="1708" t="inlineStr">
        <is>
          <t>―</t>
        </is>
      </c>
    </row>
    <row r="518" spans="1:9" ht="19.95" customHeight="1">
      <c r="A518" s="1752" t="s">
        <v>14</v>
      </c>
      <c r="B518" s="1708" t="s">
        <v>1459</v>
      </c>
      <c r="C518" s="1753" t="str">
        <f>HYPERLINK("#'報告_貸付P23-25'!T62","T62")</f>
        <v>T62</v>
      </c>
      <c r="D518" s="1708" t="s">
        <v>1871</v>
      </c>
      <c r="E518" s="1754">
        <f>IF('報告_貸付P23-25'!T62="","",'報告_貸付P23-25'!T62)</f>
        <v>1.26</v>
      </c>
      <c r="F518" s="1708" t="s">
        <v>1753</v>
      </c>
      <c r="G518" s="1709" t="str">
        <f t="shared" ref="G518:G581" si="8">IF(E518="","未入力（空欄）",IF(E518=0,"0（確認）","入力済"))</f>
        <v>入力済</v>
      </c>
      <c r="H518" s="1708" t="inlineStr">
        <is>
          <t>なし（このセルのみ）</t>
        </is>
      </c>
      <c r="I518" s="1708" t="inlineStr">
        <is>
          <t>―</t>
        </is>
      </c>
    </row>
    <row r="519" spans="1:9" ht="19.95" customHeight="1">
      <c r="A519" s="1755" t="s">
        <v>14</v>
      </c>
      <c r="B519" s="1711" t="s">
        <v>1459</v>
      </c>
      <c r="C519" s="1756" t="str">
        <f>HYPERLINK("#'報告_貸付P23-25'!T63","T63")</f>
        <v>T63</v>
      </c>
      <c r="D519" s="1711" t="s">
        <v>1873</v>
      </c>
      <c r="E519" s="1757">
        <f>IF('報告_貸付P23-25'!T63="","",'報告_貸付P23-25'!T63)</f>
        <v>2.66</v>
      </c>
      <c r="F519" s="1711" t="s">
        <v>1753</v>
      </c>
      <c r="G519" s="1709" t="str">
        <f t="shared" si="8"/>
        <v>入力済</v>
      </c>
      <c r="H519" s="1708" t="inlineStr">
        <is>
          <t>なし（このセルのみ）</t>
        </is>
      </c>
      <c r="I519" s="1708" t="inlineStr">
        <is>
          <t>―</t>
        </is>
      </c>
    </row>
    <row r="520" spans="1:9" ht="19.95" customHeight="1">
      <c r="A520" s="1752" t="s">
        <v>14</v>
      </c>
      <c r="B520" s="1708" t="s">
        <v>1459</v>
      </c>
      <c r="C520" s="1753" t="str">
        <f>HYPERLINK("#'報告_貸付P23-25'!AD63","AD63")</f>
        <v>AD63</v>
      </c>
      <c r="D520" s="1708" t="s">
        <v>1874</v>
      </c>
      <c r="E520" s="1754">
        <f>IF('報告_貸付P23-25'!AD63="","",'報告_貸付P23-25'!AD63)</f>
        <v>150</v>
      </c>
      <c r="F520" s="1708" t="s">
        <v>1753</v>
      </c>
      <c r="G520" s="1709" t="str">
        <f t="shared" si="8"/>
        <v>入力済</v>
      </c>
      <c r="H520" s="1708" t="inlineStr">
        <is>
          <t>なし（このセルのみ）</t>
        </is>
      </c>
      <c r="I520" s="1708" t="inlineStr">
        <is>
          <t>―</t>
        </is>
      </c>
    </row>
    <row r="521" spans="1:9" ht="19.95" customHeight="1">
      <c r="A521" s="1755" t="s">
        <v>14</v>
      </c>
      <c r="B521" s="1711" t="s">
        <v>1459</v>
      </c>
      <c r="C521" s="1756" t="str">
        <f>HYPERLINK("#'報告_貸付P23-25'!AG63","AG63")</f>
        <v>AG63</v>
      </c>
      <c r="D521" s="1711" t="s">
        <v>1873</v>
      </c>
      <c r="E521" s="1757">
        <f>IF('報告_貸付P23-25'!AG63="","",'報告_貸付P23-25'!AG63)</f>
        <v>150</v>
      </c>
      <c r="F521" s="1711" t="s">
        <v>1753</v>
      </c>
      <c r="G521" s="1709" t="str">
        <f t="shared" si="8"/>
        <v>入力済</v>
      </c>
      <c r="H521" s="1708" t="inlineStr">
        <is>
          <t>なし（このセルのみ）</t>
        </is>
      </c>
      <c r="I521" s="1708" t="inlineStr">
        <is>
          <t>―</t>
        </is>
      </c>
    </row>
    <row r="522" spans="1:9" ht="19.95" customHeight="1">
      <c r="A522" s="1752" t="s">
        <v>14</v>
      </c>
      <c r="B522" s="1708" t="s">
        <v>1459</v>
      </c>
      <c r="C522" s="1753" t="str">
        <f>HYPERLINK("#'報告_貸付P23-25'!T64","T64")</f>
        <v>T64</v>
      </c>
      <c r="D522" s="1708" t="s">
        <v>1871</v>
      </c>
      <c r="E522" s="1754">
        <f>IF('報告_貸付P23-25'!T64="","",'報告_貸付P23-25'!T64)</f>
        <v>1.26</v>
      </c>
      <c r="F522" s="1708" t="s">
        <v>1753</v>
      </c>
      <c r="G522" s="1709" t="str">
        <f t="shared" si="8"/>
        <v>入力済</v>
      </c>
      <c r="H522" s="1708" t="inlineStr">
        <is>
          <t>なし（このセルのみ）</t>
        </is>
      </c>
      <c r="I522" s="1708" t="inlineStr">
        <is>
          <t>―</t>
        </is>
      </c>
    </row>
    <row r="523" spans="1:9" ht="19.95" customHeight="1">
      <c r="A523" s="1755" t="s">
        <v>14</v>
      </c>
      <c r="B523" s="1711" t="s">
        <v>1459</v>
      </c>
      <c r="C523" s="1756" t="str">
        <f>HYPERLINK("#'報告_貸付P23-25'!T65","T65")</f>
        <v>T65</v>
      </c>
      <c r="D523" s="1711" t="s">
        <v>1875</v>
      </c>
      <c r="E523" s="1757">
        <f>IF('報告_貸付P23-25'!T65="","",'報告_貸付P23-25'!T65)</f>
        <v>2.66</v>
      </c>
      <c r="F523" s="1711" t="s">
        <v>1753</v>
      </c>
      <c r="G523" s="1709" t="str">
        <f t="shared" si="8"/>
        <v>入力済</v>
      </c>
      <c r="H523" s="1708" t="inlineStr">
        <is>
          <t>なし（このセルのみ）</t>
        </is>
      </c>
      <c r="I523" s="1708" t="inlineStr">
        <is>
          <t>―</t>
        </is>
      </c>
    </row>
    <row r="524" spans="1:9" ht="19.95" customHeight="1">
      <c r="A524" s="1752" t="s">
        <v>14</v>
      </c>
      <c r="B524" s="1708" t="s">
        <v>1459</v>
      </c>
      <c r="C524" s="1753" t="str">
        <f>HYPERLINK("#'報告_貸付P23-25'!W65","W65")</f>
        <v>W65</v>
      </c>
      <c r="D524" s="1708" t="s">
        <v>1876</v>
      </c>
      <c r="E524" s="1754">
        <f>IF('報告_貸付P23-25'!W65="","",'報告_貸付P23-25'!W65)</f>
        <v>2000</v>
      </c>
      <c r="F524" s="1708" t="s">
        <v>1753</v>
      </c>
      <c r="G524" s="1709" t="str">
        <f t="shared" si="8"/>
        <v>入力済</v>
      </c>
      <c r="H524" s="1708" t="inlineStr">
        <is>
          <t>なし（このセルのみ）</t>
        </is>
      </c>
      <c r="I524" s="1708" t="inlineStr">
        <is>
          <t>―</t>
        </is>
      </c>
    </row>
    <row r="525" spans="1:9" ht="19.95" customHeight="1">
      <c r="A525" s="1755" t="s">
        <v>14</v>
      </c>
      <c r="B525" s="1711" t="s">
        <v>1459</v>
      </c>
      <c r="C525" s="1756" t="str">
        <f>HYPERLINK("#'報告_貸付P23-25'!AG65","AG65")</f>
        <v>AG65</v>
      </c>
      <c r="D525" s="1711" t="s">
        <v>1875</v>
      </c>
      <c r="E525" s="1757">
        <f>IF('報告_貸付P23-25'!AG65="","",'報告_貸付P23-25'!AG65)</f>
        <v>120</v>
      </c>
      <c r="F525" s="1711" t="s">
        <v>1753</v>
      </c>
      <c r="G525" s="1709" t="str">
        <f t="shared" si="8"/>
        <v>入力済</v>
      </c>
      <c r="H525" s="1708" t="inlineStr">
        <is>
          <t>なし（このセルのみ）</t>
        </is>
      </c>
      <c r="I525" s="1708" t="inlineStr">
        <is>
          <t>―</t>
        </is>
      </c>
    </row>
    <row r="526" spans="1:9" ht="19.95" customHeight="1">
      <c r="A526" s="1752" t="s">
        <v>14</v>
      </c>
      <c r="B526" s="1708" t="s">
        <v>1459</v>
      </c>
      <c r="C526" s="1753" t="str">
        <f>HYPERLINK("#'報告_貸付P23-25'!T66","T66")</f>
        <v>T66</v>
      </c>
      <c r="D526" s="1708" t="s">
        <v>1871</v>
      </c>
      <c r="E526" s="1754">
        <f>IF('報告_貸付P23-25'!T66="","",'報告_貸付P23-25'!T66)</f>
        <v>1.26</v>
      </c>
      <c r="F526" s="1708" t="s">
        <v>1753</v>
      </c>
      <c r="G526" s="1709" t="str">
        <f t="shared" si="8"/>
        <v>入力済</v>
      </c>
      <c r="H526" s="1708" t="inlineStr">
        <is>
          <t>なし（このセルのみ）</t>
        </is>
      </c>
      <c r="I526" s="1708" t="inlineStr">
        <is>
          <t>―</t>
        </is>
      </c>
    </row>
    <row r="527" spans="1:9" ht="19.95" customHeight="1">
      <c r="A527" s="1755" t="s">
        <v>14</v>
      </c>
      <c r="B527" s="1711" t="s">
        <v>1459</v>
      </c>
      <c r="C527" s="1756" t="str">
        <f>HYPERLINK("#'報告_貸付P23-25'!T67","T67")</f>
        <v>T67</v>
      </c>
      <c r="D527" s="1711" t="s">
        <v>1877</v>
      </c>
      <c r="E527" s="1757">
        <f>IF('報告_貸付P23-25'!T67="","",'報告_貸付P23-25'!T67)</f>
        <v>2.66</v>
      </c>
      <c r="F527" s="1711" t="s">
        <v>1753</v>
      </c>
      <c r="G527" s="1709" t="str">
        <f t="shared" si="8"/>
        <v>入力済</v>
      </c>
      <c r="H527" s="1708" t="inlineStr">
        <is>
          <t>なし（このセルのみ）</t>
        </is>
      </c>
      <c r="I527" s="1708" t="inlineStr">
        <is>
          <t>―</t>
        </is>
      </c>
    </row>
    <row r="528" spans="1:9" ht="19.95" customHeight="1">
      <c r="A528" s="1752" t="s">
        <v>14</v>
      </c>
      <c r="B528" s="1708" t="s">
        <v>1459</v>
      </c>
      <c r="C528" s="1753" t="str">
        <f>HYPERLINK("#'報告_貸付P23-25'!W67","W67")</f>
        <v>W67</v>
      </c>
      <c r="D528" s="1708" t="s">
        <v>1878</v>
      </c>
      <c r="E528" s="1754">
        <f>IF('報告_貸付P23-25'!W67="","",'報告_貸付P23-25'!W67)</f>
        <v>2000</v>
      </c>
      <c r="F528" s="1708" t="s">
        <v>1753</v>
      </c>
      <c r="G528" s="1709" t="str">
        <f t="shared" si="8"/>
        <v>入力済</v>
      </c>
      <c r="H528" s="1708" t="inlineStr">
        <is>
          <t>なし（このセルのみ）</t>
        </is>
      </c>
      <c r="I528" s="1708" t="inlineStr">
        <is>
          <t>―</t>
        </is>
      </c>
    </row>
    <row r="529" spans="1:9" ht="19.95" customHeight="1">
      <c r="A529" s="1755" t="s">
        <v>14</v>
      </c>
      <c r="B529" s="1711" t="s">
        <v>1459</v>
      </c>
      <c r="C529" s="1756" t="str">
        <f>HYPERLINK("#'報告_貸付P23-25'!AG67","AG67")</f>
        <v>AG67</v>
      </c>
      <c r="D529" s="1711" t="s">
        <v>1877</v>
      </c>
      <c r="E529" s="1757">
        <f>IF('報告_貸付P23-25'!AG67="","",'報告_貸付P23-25'!AG67)</f>
        <v>120</v>
      </c>
      <c r="F529" s="1711" t="s">
        <v>1753</v>
      </c>
      <c r="G529" s="1709" t="str">
        <f t="shared" si="8"/>
        <v>入力済</v>
      </c>
      <c r="H529" s="1708" t="inlineStr">
        <is>
          <t>なし（このセルのみ）</t>
        </is>
      </c>
      <c r="I529" s="1708" t="inlineStr">
        <is>
          <t>―</t>
        </is>
      </c>
    </row>
    <row r="530" spans="1:9" ht="19.95" customHeight="1">
      <c r="A530" s="1752" t="s">
        <v>14</v>
      </c>
      <c r="B530" s="1708" t="s">
        <v>1459</v>
      </c>
      <c r="C530" s="1753" t="str">
        <f>HYPERLINK("#'報告_貸付P23-25'!T68","T68")</f>
        <v>T68</v>
      </c>
      <c r="D530" s="1708" t="s">
        <v>1871</v>
      </c>
      <c r="E530" s="1754">
        <f>IF('報告_貸付P23-25'!T68="","",'報告_貸付P23-25'!T68)</f>
        <v>1.26</v>
      </c>
      <c r="F530" s="1708" t="s">
        <v>1753</v>
      </c>
      <c r="G530" s="1709" t="str">
        <f t="shared" si="8"/>
        <v>入力済</v>
      </c>
      <c r="H530" s="1708" t="inlineStr">
        <is>
          <t>なし（このセルのみ）</t>
        </is>
      </c>
      <c r="I530" s="1708" t="inlineStr">
        <is>
          <t>―</t>
        </is>
      </c>
    </row>
    <row r="531" spans="1:9" ht="19.95" customHeight="1">
      <c r="A531" s="1755" t="s">
        <v>14</v>
      </c>
      <c r="B531" s="1711" t="s">
        <v>1459</v>
      </c>
      <c r="C531" s="1756" t="str">
        <f>HYPERLINK("#'報告_貸付P23-25'!AC78","AC78")</f>
        <v>AC78</v>
      </c>
      <c r="D531" s="1711" t="s">
        <v>1879</v>
      </c>
      <c r="E531" s="1757">
        <f>IF('報告_貸付P23-25'!AC78="","",'報告_貸付P23-25'!AC78)</f>
        <v>119</v>
      </c>
      <c r="F531" s="1711" t="s">
        <v>1644</v>
      </c>
      <c r="G531" s="1709" t="str">
        <f t="shared" si="8"/>
        <v>入力済</v>
      </c>
      <c r="H531" s="1708" t="inlineStr">
        <is>
          <t>報告_貸付P23-25 AC92,AS78</t>
        </is>
      </c>
      <c r="I531" s="1708" t="inlineStr">
        <is>
          <t>同じシート内のみ</t>
        </is>
      </c>
    </row>
    <row r="532" spans="1:9" ht="19.95" customHeight="1">
      <c r="A532" s="1752" t="s">
        <v>14</v>
      </c>
      <c r="B532" s="1708" t="s">
        <v>1459</v>
      </c>
      <c r="C532" s="1753" t="str">
        <f>HYPERLINK("#'報告_貸付P23-25'!AG78","AG78")</f>
        <v>AG78</v>
      </c>
      <c r="D532" s="1708" t="s">
        <v>1880</v>
      </c>
      <c r="E532" s="1754">
        <f>IF('報告_貸付P23-25'!AG78="","",'報告_貸付P23-25'!AG78)</f>
        <v>111636857</v>
      </c>
      <c r="F532" s="1708" t="s">
        <v>1644</v>
      </c>
      <c r="G532" s="1709" t="str">
        <f t="shared" si="8"/>
        <v>入力済</v>
      </c>
      <c r="H532" s="1708" t="inlineStr">
        <is>
          <t>報告_貸付P23-25 AG92,AO78,AW78…</t>
        </is>
      </c>
      <c r="I532" s="1708" t="inlineStr">
        <is>
          <t>貸付_入力</t>
        </is>
      </c>
    </row>
    <row r="533" spans="1:9" ht="19.95" customHeight="1">
      <c r="A533" s="1755" t="s">
        <v>14</v>
      </c>
      <c r="B533" s="1711" t="s">
        <v>1459</v>
      </c>
      <c r="C533" s="1756" t="str">
        <f>HYPERLINK("#'報告_貸付P23-25'!AC79","AC79")</f>
        <v>AC79</v>
      </c>
      <c r="D533" s="1711" t="s">
        <v>1881</v>
      </c>
      <c r="E533" s="1757">
        <f>IF('報告_貸付P23-25'!AC79="","",'報告_貸付P23-25'!AC79)</f>
        <v>247</v>
      </c>
      <c r="F533" s="1711" t="s">
        <v>1644</v>
      </c>
      <c r="G533" s="1709" t="str">
        <f t="shared" si="8"/>
        <v>入力済</v>
      </c>
      <c r="H533" s="1708" t="inlineStr">
        <is>
          <t>報告_貸付P23-25 AC92,AS79</t>
        </is>
      </c>
      <c r="I533" s="1708" t="inlineStr">
        <is>
          <t>同じシート内のみ</t>
        </is>
      </c>
    </row>
    <row r="534" spans="1:9" ht="19.95" customHeight="1">
      <c r="A534" s="1752" t="s">
        <v>14</v>
      </c>
      <c r="B534" s="1708" t="s">
        <v>1459</v>
      </c>
      <c r="C534" s="1753" t="str">
        <f>HYPERLINK("#'報告_貸付P23-25'!AG79","AG79")</f>
        <v>AG79</v>
      </c>
      <c r="D534" s="1708" t="s">
        <v>1882</v>
      </c>
      <c r="E534" s="1754">
        <f>IF('報告_貸付P23-25'!AG79="","",'報告_貸付P23-25'!AG79)</f>
        <v>393439258</v>
      </c>
      <c r="F534" s="1708" t="s">
        <v>1644</v>
      </c>
      <c r="G534" s="1709" t="str">
        <f t="shared" si="8"/>
        <v>入力済</v>
      </c>
      <c r="H534" s="1708" t="inlineStr">
        <is>
          <t>報告_貸付P23-25 AG92,AL41,AO79…</t>
        </is>
      </c>
      <c r="I534" s="1708" t="inlineStr">
        <is>
          <t>貸付_入力</t>
        </is>
      </c>
    </row>
    <row r="535" spans="1:9" ht="19.95" customHeight="1">
      <c r="A535" s="1755" t="s">
        <v>14</v>
      </c>
      <c r="B535" s="1711" t="s">
        <v>1459</v>
      </c>
      <c r="C535" s="1756" t="str">
        <f>HYPERLINK("#'報告_貸付P23-25'!AC80","AC80")</f>
        <v>AC80</v>
      </c>
      <c r="D535" s="1711" t="s">
        <v>1883</v>
      </c>
      <c r="E535" s="1757">
        <f>IF('報告_貸付P23-25'!AC80="","",'報告_貸付P23-25'!AC80)</f>
        <v>3</v>
      </c>
      <c r="F535" s="1711" t="s">
        <v>1644</v>
      </c>
      <c r="G535" s="1709" t="str">
        <f t="shared" si="8"/>
        <v>入力済</v>
      </c>
      <c r="H535" s="1708" t="inlineStr">
        <is>
          <t>報告_貸付P23-25 AC92,AS80</t>
        </is>
      </c>
      <c r="I535" s="1708" t="inlineStr">
        <is>
          <t>同じシート内のみ</t>
        </is>
      </c>
    </row>
    <row r="536" spans="1:9" ht="19.95" customHeight="1">
      <c r="A536" s="1752" t="s">
        <v>14</v>
      </c>
      <c r="B536" s="1708" t="s">
        <v>1459</v>
      </c>
      <c r="C536" s="1753" t="str">
        <f>HYPERLINK("#'報告_貸付P23-25'!AG80","AG80")</f>
        <v>AG80</v>
      </c>
      <c r="D536" s="1708" t="s">
        <v>1884</v>
      </c>
      <c r="E536" s="1754">
        <f>IF('報告_貸付P23-25'!AG80="","",'報告_貸付P23-25'!AG80)</f>
        <v>2739610</v>
      </c>
      <c r="F536" s="1708" t="s">
        <v>1644</v>
      </c>
      <c r="G536" s="1709" t="str">
        <f t="shared" si="8"/>
        <v>入力済</v>
      </c>
      <c r="H536" s="1708" t="inlineStr">
        <is>
          <t>報告_貸付P23-25 AG92,AL41,AO80…</t>
        </is>
      </c>
      <c r="I536" s="1708" t="inlineStr">
        <is>
          <t>貸付_入力</t>
        </is>
      </c>
    </row>
    <row r="537" spans="1:9" ht="19.95" customHeight="1">
      <c r="A537" s="1755" t="s">
        <v>14</v>
      </c>
      <c r="B537" s="1711" t="s">
        <v>1459</v>
      </c>
      <c r="C537" s="1756" t="str">
        <f>HYPERLINK("#'報告_貸付P23-25'!AC81","AC81")</f>
        <v>AC81</v>
      </c>
      <c r="D537" s="1711" t="s">
        <v>1885</v>
      </c>
      <c r="E537" s="1757">
        <f>IF('報告_貸付P23-25'!AC81="","",'報告_貸付P23-25'!AC81)</f>
        <v>1</v>
      </c>
      <c r="F537" s="1711" t="s">
        <v>1644</v>
      </c>
      <c r="G537" s="1709" t="str">
        <f t="shared" si="8"/>
        <v>入力済</v>
      </c>
      <c r="H537" s="1708" t="inlineStr">
        <is>
          <t>報告_貸付P23-25 AC84,AS81</t>
        </is>
      </c>
      <c r="I537" s="1708" t="inlineStr">
        <is>
          <t>同じシート内のみ</t>
        </is>
      </c>
    </row>
    <row r="538" spans="1:9" ht="19.95" customHeight="1">
      <c r="A538" s="1752" t="s">
        <v>14</v>
      </c>
      <c r="B538" s="1708" t="s">
        <v>1459</v>
      </c>
      <c r="C538" s="1753" t="str">
        <f>HYPERLINK("#'報告_貸付P23-25'!AG81","AG81")</f>
        <v>AG81</v>
      </c>
      <c r="D538" s="1708" t="s">
        <v>1886</v>
      </c>
      <c r="E538" s="1754">
        <f>IF('報告_貸付P23-25'!AG81="","",'報告_貸付P23-25'!AG81)</f>
        <v>32261</v>
      </c>
      <c r="F538" s="1708" t="s">
        <v>1644</v>
      </c>
      <c r="G538" s="1709" t="str">
        <f t="shared" si="8"/>
        <v>入力済</v>
      </c>
      <c r="H538" s="1708" t="inlineStr">
        <is>
          <t>報告_貸付P23-25 AG84,AO81,AW81…</t>
        </is>
      </c>
      <c r="I538" s="1708" t="inlineStr">
        <is>
          <t>貸付_入力</t>
        </is>
      </c>
    </row>
    <row r="539" spans="1:9" ht="19.95" customHeight="1">
      <c r="A539" s="1755" t="s">
        <v>14</v>
      </c>
      <c r="B539" s="1711" t="s">
        <v>1459</v>
      </c>
      <c r="C539" s="1756" t="str">
        <f>HYPERLINK("#'報告_貸付P23-25'!AC82","AC82")</f>
        <v>AC82</v>
      </c>
      <c r="D539" s="1711" t="s">
        <v>1887</v>
      </c>
      <c r="E539" s="1757">
        <f>IF('報告_貸付P23-25'!AC82="","",'報告_貸付P23-25'!AC82)</f>
        <v>0</v>
      </c>
      <c r="F539" s="1711" t="s">
        <v>1644</v>
      </c>
      <c r="G539" s="1709" t="str">
        <f t="shared" si="8"/>
        <v>0（確認）</v>
      </c>
      <c r="H539" s="1708" t="inlineStr">
        <is>
          <t>報告_貸付P23-25 AC84,AS82</t>
        </is>
      </c>
      <c r="I539" s="1708" t="inlineStr">
        <is>
          <t>同じシート内のみ</t>
        </is>
      </c>
    </row>
    <row r="540" spans="1:9" ht="19.95" customHeight="1">
      <c r="A540" s="1752" t="s">
        <v>14</v>
      </c>
      <c r="B540" s="1708" t="s">
        <v>1459</v>
      </c>
      <c r="C540" s="1753" t="str">
        <f>HYPERLINK("#'報告_貸付P23-25'!AG82","AG82")</f>
        <v>AG82</v>
      </c>
      <c r="D540" s="1708" t="s">
        <v>1888</v>
      </c>
      <c r="E540" s="1754">
        <f>IF('報告_貸付P23-25'!AG82="","",'報告_貸付P23-25'!AG82)</f>
        <v>0</v>
      </c>
      <c r="F540" s="1708" t="s">
        <v>1644</v>
      </c>
      <c r="G540" s="1709" t="str">
        <f t="shared" si="8"/>
        <v>0（確認）</v>
      </c>
      <c r="H540" s="1708" t="inlineStr">
        <is>
          <t>報告_貸付P23-25 AG84,AO82,AW82…</t>
        </is>
      </c>
      <c r="I540" s="1708" t="inlineStr">
        <is>
          <t>貸付_入力</t>
        </is>
      </c>
    </row>
    <row r="541" spans="1:9" ht="19.95" customHeight="1">
      <c r="A541" s="1755" t="s">
        <v>14</v>
      </c>
      <c r="B541" s="1711" t="s">
        <v>1459</v>
      </c>
      <c r="C541" s="1756" t="str">
        <f>HYPERLINK("#'報告_貸付P23-25'!AC83","AC83")</f>
        <v>AC83</v>
      </c>
      <c r="D541" s="1711" t="s">
        <v>1889</v>
      </c>
      <c r="E541" s="1757">
        <f>IF('報告_貸付P23-25'!AC83="","",'報告_貸付P23-25'!AC83)</f>
        <v>0</v>
      </c>
      <c r="F541" s="1711" t="s">
        <v>1644</v>
      </c>
      <c r="G541" s="1709" t="str">
        <f t="shared" si="8"/>
        <v>0（確認）</v>
      </c>
      <c r="H541" s="1708" t="inlineStr">
        <is>
          <t>報告_貸付P23-25 AC84,AS83</t>
        </is>
      </c>
      <c r="I541" s="1708" t="inlineStr">
        <is>
          <t>同じシート内のみ</t>
        </is>
      </c>
    </row>
    <row r="542" spans="1:9" ht="19.95" customHeight="1">
      <c r="A542" s="1752" t="s">
        <v>14</v>
      </c>
      <c r="B542" s="1708" t="s">
        <v>1459</v>
      </c>
      <c r="C542" s="1753" t="str">
        <f>HYPERLINK("#'報告_貸付P23-25'!AG83","AG83")</f>
        <v>AG83</v>
      </c>
      <c r="D542" s="1708" t="s">
        <v>1890</v>
      </c>
      <c r="E542" s="1754">
        <f>IF('報告_貸付P23-25'!AG83="","",'報告_貸付P23-25'!AG83)</f>
        <v>0</v>
      </c>
      <c r="F542" s="1708" t="s">
        <v>1644</v>
      </c>
      <c r="G542" s="1709" t="str">
        <f t="shared" si="8"/>
        <v>0（確認）</v>
      </c>
      <c r="H542" s="1708" t="inlineStr">
        <is>
          <t>報告_貸付P23-25 AG84,AO83,AW83…</t>
        </is>
      </c>
      <c r="I542" s="1708" t="inlineStr">
        <is>
          <t>貸付_入力</t>
        </is>
      </c>
    </row>
    <row r="543" spans="1:9" ht="19.95" customHeight="1">
      <c r="A543" s="1755" t="s">
        <v>14</v>
      </c>
      <c r="B543" s="1711" t="s">
        <v>1459</v>
      </c>
      <c r="C543" s="1756" t="str">
        <f>HYPERLINK("#'報告_貸付P23-25'!AC85","AC85")</f>
        <v>AC85</v>
      </c>
      <c r="D543" s="1711" t="s">
        <v>1891</v>
      </c>
      <c r="E543" s="1757">
        <f>IF('報告_貸付P23-25'!AC85="","",'報告_貸付P23-25'!AC85)</f>
        <v>1</v>
      </c>
      <c r="F543" s="1711" t="s">
        <v>1644</v>
      </c>
      <c r="G543" s="1709" t="str">
        <f t="shared" si="8"/>
        <v>入力済</v>
      </c>
      <c r="H543" s="1708" t="inlineStr">
        <is>
          <t>報告_貸付P23-25 AC90,AS85</t>
        </is>
      </c>
      <c r="I543" s="1708" t="inlineStr">
        <is>
          <t>同じシート内のみ</t>
        </is>
      </c>
    </row>
    <row r="544" spans="1:9" ht="19.95" customHeight="1">
      <c r="A544" s="1752" t="s">
        <v>14</v>
      </c>
      <c r="B544" s="1708" t="s">
        <v>1459</v>
      </c>
      <c r="C544" s="1753" t="str">
        <f>HYPERLINK("#'報告_貸付P23-25'!AG85","AG85")</f>
        <v>AG85</v>
      </c>
      <c r="D544" s="1708" t="s">
        <v>1892</v>
      </c>
      <c r="E544" s="1754">
        <f>IF('報告_貸付P23-25'!AG85="","",'報告_貸付P23-25'!AG85)</f>
        <v>160132</v>
      </c>
      <c r="F544" s="1708" t="s">
        <v>1644</v>
      </c>
      <c r="G544" s="1709" t="str">
        <f t="shared" si="8"/>
        <v>入力済</v>
      </c>
      <c r="H544" s="1708" t="inlineStr">
        <is>
          <t>報告_貸付P23-25 AG90,AO85,AW85…</t>
        </is>
      </c>
      <c r="I544" s="1708" t="inlineStr">
        <is>
          <t>貸付_入力</t>
        </is>
      </c>
    </row>
    <row r="545" spans="1:9" ht="19.95" customHeight="1">
      <c r="A545" s="1755" t="s">
        <v>14</v>
      </c>
      <c r="B545" s="1711" t="s">
        <v>1459</v>
      </c>
      <c r="C545" s="1756" t="str">
        <f>HYPERLINK("#'報告_貸付P23-25'!AC86","AC86")</f>
        <v>AC86</v>
      </c>
      <c r="D545" s="1711" t="s">
        <v>1893</v>
      </c>
      <c r="E545" s="1757">
        <f>IF('報告_貸付P23-25'!AC86="","",'報告_貸付P23-25'!AC86)</f>
        <v>78</v>
      </c>
      <c r="F545" s="1711" t="s">
        <v>1644</v>
      </c>
      <c r="G545" s="1709" t="str">
        <f t="shared" si="8"/>
        <v>入力済</v>
      </c>
      <c r="H545" s="1708" t="inlineStr">
        <is>
          <t>報告_貸付P23-25 AC90,AS86</t>
        </is>
      </c>
      <c r="I545" s="1708" t="inlineStr">
        <is>
          <t>同じシート内のみ</t>
        </is>
      </c>
    </row>
    <row r="546" spans="1:9" ht="19.95" customHeight="1">
      <c r="A546" s="1752" t="s">
        <v>14</v>
      </c>
      <c r="B546" s="1708" t="s">
        <v>1459</v>
      </c>
      <c r="C546" s="1753" t="str">
        <f>HYPERLINK("#'報告_貸付P23-25'!AG86","AG86")</f>
        <v>AG86</v>
      </c>
      <c r="D546" s="1708" t="s">
        <v>1894</v>
      </c>
      <c r="E546" s="1754">
        <f>IF('報告_貸付P23-25'!AG86="","",'報告_貸付P23-25'!AG86)</f>
        <v>70948742</v>
      </c>
      <c r="F546" s="1708" t="s">
        <v>1644</v>
      </c>
      <c r="G546" s="1709" t="str">
        <f t="shared" si="8"/>
        <v>入力済</v>
      </c>
      <c r="H546" s="1708" t="inlineStr">
        <is>
          <t>報告_貸付P23-25 AG90,AO86,AW86…</t>
        </is>
      </c>
      <c r="I546" s="1708" t="inlineStr">
        <is>
          <t>貸付_入力</t>
        </is>
      </c>
    </row>
    <row r="547" spans="1:9" ht="19.95" customHeight="1">
      <c r="A547" s="1755" t="s">
        <v>14</v>
      </c>
      <c r="B547" s="1711" t="s">
        <v>1459</v>
      </c>
      <c r="C547" s="1756" t="str">
        <f>HYPERLINK("#'報告_貸付P23-25'!AC87","AC87")</f>
        <v>AC87</v>
      </c>
      <c r="D547" s="1711" t="s">
        <v>1895</v>
      </c>
      <c r="E547" s="1757">
        <f>IF('報告_貸付P23-25'!AC87="","",'報告_貸付P23-25'!AC87)</f>
        <v>274</v>
      </c>
      <c r="F547" s="1711" t="s">
        <v>1644</v>
      </c>
      <c r="G547" s="1709" t="str">
        <f t="shared" si="8"/>
        <v>入力済</v>
      </c>
      <c r="H547" s="1708" t="inlineStr">
        <is>
          <t>報告_貸付P23-25 AC90,AS87</t>
        </is>
      </c>
      <c r="I547" s="1708" t="inlineStr">
        <is>
          <t>同じシート内のみ</t>
        </is>
      </c>
    </row>
    <row r="548" spans="1:9" ht="19.95" customHeight="1">
      <c r="A548" s="1752" t="s">
        <v>14</v>
      </c>
      <c r="B548" s="1708" t="s">
        <v>1459</v>
      </c>
      <c r="C548" s="1753" t="str">
        <f>HYPERLINK("#'報告_貸付P23-25'!AG87","AG87")</f>
        <v>AG87</v>
      </c>
      <c r="D548" s="1708" t="s">
        <v>1896</v>
      </c>
      <c r="E548" s="1754">
        <f>IF('報告_貸付P23-25'!AG87="","",'報告_貸付P23-25'!AG87)</f>
        <v>261289703</v>
      </c>
      <c r="F548" s="1708" t="s">
        <v>1644</v>
      </c>
      <c r="G548" s="1709" t="str">
        <f t="shared" si="8"/>
        <v>入力済</v>
      </c>
      <c r="H548" s="1708" t="inlineStr">
        <is>
          <t>報告_貸付P23-25 AG90,AO87,AW87…</t>
        </is>
      </c>
      <c r="I548" s="1708" t="inlineStr">
        <is>
          <t>貸付_入力</t>
        </is>
      </c>
    </row>
    <row r="549" spans="1:9" ht="19.95" customHeight="1">
      <c r="A549" s="1755" t="s">
        <v>14</v>
      </c>
      <c r="B549" s="1711" t="s">
        <v>1459</v>
      </c>
      <c r="C549" s="1756" t="str">
        <f>HYPERLINK("#'報告_貸付P23-25'!AC88","AC88")</f>
        <v>AC88</v>
      </c>
      <c r="D549" s="1711" t="s">
        <v>1897</v>
      </c>
      <c r="E549" s="1757">
        <f>IF('報告_貸付P23-25'!AC88="","",'報告_貸付P23-25'!AC88)</f>
        <v>15</v>
      </c>
      <c r="F549" s="1711" t="s">
        <v>1644</v>
      </c>
      <c r="G549" s="1709" t="str">
        <f t="shared" si="8"/>
        <v>入力済</v>
      </c>
      <c r="H549" s="1708" t="inlineStr">
        <is>
          <t>報告_貸付P23-25 AC90,AS88</t>
        </is>
      </c>
      <c r="I549" s="1708" t="inlineStr">
        <is>
          <t>同じシート内のみ</t>
        </is>
      </c>
    </row>
    <row r="550" spans="1:9" ht="19.95" customHeight="1">
      <c r="A550" s="1752" t="s">
        <v>14</v>
      </c>
      <c r="B550" s="1708" t="s">
        <v>1459</v>
      </c>
      <c r="C550" s="1753" t="str">
        <f>HYPERLINK("#'報告_貸付P23-25'!AG88","AG88")</f>
        <v>AG88</v>
      </c>
      <c r="D550" s="1708" t="s">
        <v>1898</v>
      </c>
      <c r="E550" s="1754">
        <f>IF('報告_貸付P23-25'!AG88="","",'報告_貸付P23-25'!AG88)</f>
        <v>8929145</v>
      </c>
      <c r="F550" s="1708" t="s">
        <v>1644</v>
      </c>
      <c r="G550" s="1709" t="str">
        <f t="shared" si="8"/>
        <v>入力済</v>
      </c>
      <c r="H550" s="1708" t="inlineStr">
        <is>
          <t>報告_貸付P23-25 AG90,AO88,AW88…</t>
        </is>
      </c>
      <c r="I550" s="1708" t="inlineStr">
        <is>
          <t>貸付_入力</t>
        </is>
      </c>
    </row>
    <row r="551" spans="1:9" ht="19.95" customHeight="1">
      <c r="A551" s="1755" t="s">
        <v>14</v>
      </c>
      <c r="B551" s="1711" t="s">
        <v>1459</v>
      </c>
      <c r="C551" s="1756" t="str">
        <f>HYPERLINK("#'報告_貸付P23-25'!AC89","AC89")</f>
        <v>AC89</v>
      </c>
      <c r="D551" s="1711" t="s">
        <v>1899</v>
      </c>
      <c r="E551" s="1757">
        <f>IF('報告_貸付P23-25'!AC89="","",'報告_貸付P23-25'!AC89)</f>
        <v>0</v>
      </c>
      <c r="F551" s="1711" t="s">
        <v>1644</v>
      </c>
      <c r="G551" s="1709" t="str">
        <f t="shared" si="8"/>
        <v>0（確認）</v>
      </c>
      <c r="H551" s="1708" t="inlineStr">
        <is>
          <t>報告_貸付P23-25 AC90,AS89</t>
        </is>
      </c>
      <c r="I551" s="1708" t="inlineStr">
        <is>
          <t>同じシート内のみ</t>
        </is>
      </c>
    </row>
    <row r="552" spans="1:9" ht="19.95" customHeight="1">
      <c r="A552" s="1752" t="s">
        <v>14</v>
      </c>
      <c r="B552" s="1708" t="s">
        <v>1459</v>
      </c>
      <c r="C552" s="1753" t="str">
        <f>HYPERLINK("#'報告_貸付P23-25'!AG89","AG89")</f>
        <v>AG89</v>
      </c>
      <c r="D552" s="1708" t="s">
        <v>1900</v>
      </c>
      <c r="E552" s="1754">
        <f>IF('報告_貸付P23-25'!AG89="","",'報告_貸付P23-25'!AG89)</f>
        <v>0</v>
      </c>
      <c r="F552" s="1708" t="s">
        <v>1644</v>
      </c>
      <c r="G552" s="1709" t="str">
        <f t="shared" si="8"/>
        <v>0（確認）</v>
      </c>
      <c r="H552" s="1708" t="inlineStr">
        <is>
          <t>報告_貸付P23-25 AG90,AO89,AW89…</t>
        </is>
      </c>
      <c r="I552" s="1708" t="inlineStr">
        <is>
          <t>貸付_入力</t>
        </is>
      </c>
    </row>
    <row r="553" spans="1:9" ht="19.95" customHeight="1">
      <c r="A553" s="1755" t="s">
        <v>14</v>
      </c>
      <c r="B553" s="1711" t="s">
        <v>1459</v>
      </c>
      <c r="C553" s="1756" t="str">
        <f>HYPERLINK("#'報告_貸付P23-25'!AC91","AC91")</f>
        <v>AC91</v>
      </c>
      <c r="D553" s="1711" t="s">
        <v>190</v>
      </c>
      <c r="E553" s="1757">
        <f>IF('報告_貸付P23-25'!AC91="","",'報告_貸付P23-25'!AC91)</f>
        <v>0</v>
      </c>
      <c r="F553" s="1711" t="s">
        <v>1644</v>
      </c>
      <c r="G553" s="1709" t="str">
        <f t="shared" si="8"/>
        <v>0（確認）</v>
      </c>
      <c r="H553" s="1708" t="inlineStr">
        <is>
          <t>報告_貸付P23-25 AC92,AS91</t>
        </is>
      </c>
      <c r="I553" s="1708" t="inlineStr">
        <is>
          <t>同じシート内のみ</t>
        </is>
      </c>
    </row>
    <row r="554" spans="1:9" ht="19.95" customHeight="1">
      <c r="A554" s="1752" t="s">
        <v>14</v>
      </c>
      <c r="B554" s="1708" t="s">
        <v>1459</v>
      </c>
      <c r="C554" s="1753" t="str">
        <f>HYPERLINK("#'報告_貸付P23-25'!AG91","AG91")</f>
        <v>AG91</v>
      </c>
      <c r="D554" s="1708" t="s">
        <v>190</v>
      </c>
      <c r="E554" s="1754">
        <f>IF('報告_貸付P23-25'!AG91="","",'報告_貸付P23-25'!AG91)</f>
        <v>0</v>
      </c>
      <c r="F554" s="1708" t="s">
        <v>1644</v>
      </c>
      <c r="G554" s="1709" t="str">
        <f t="shared" si="8"/>
        <v>0（確認）</v>
      </c>
      <c r="H554" s="1708" t="inlineStr">
        <is>
          <t>報告_貸付P23-25 AG92,AO91,AW91</t>
        </is>
      </c>
      <c r="I554" s="1708" t="inlineStr">
        <is>
          <t>貸付_入力</t>
        </is>
      </c>
    </row>
    <row r="555" spans="1:9" ht="19.95" customHeight="1">
      <c r="A555" s="1755" t="s">
        <v>7</v>
      </c>
      <c r="B555" s="1711" t="s">
        <v>1901</v>
      </c>
      <c r="C555" s="1756" t="str">
        <f>HYPERLINK("#'短期_財務諸表'!L41","L41")</f>
        <v>L41</v>
      </c>
      <c r="D555" s="1711" t="s">
        <v>1902</v>
      </c>
      <c r="E555" s="1757">
        <f>IF(短期_財務諸表!L41="","",短期_財務諸表!L41)</f>
        <v>0</v>
      </c>
      <c r="F555" s="1711" t="s">
        <v>1644</v>
      </c>
      <c r="G555" s="1709" t="str">
        <f t="shared" si="8"/>
        <v>0（確認）</v>
      </c>
      <c r="H555" s="1708" t="inlineStr">
        <is>
          <t>短期_財務諸表 L47</t>
        </is>
      </c>
      <c r="I555" s="1708" t="inlineStr">
        <is>
          <t>報告_短期P11-13、短期_附属明細表、短期_決算精算表</t>
        </is>
      </c>
    </row>
    <row r="556" spans="1:9" ht="19.95" customHeight="1">
      <c r="A556" s="1752" t="s">
        <v>7</v>
      </c>
      <c r="B556" s="1708" t="s">
        <v>1901</v>
      </c>
      <c r="C556" s="1753" t="str">
        <f>HYPERLINK("#'短期_財務諸表'!L65","L65")</f>
        <v>L65</v>
      </c>
      <c r="D556" s="1708" t="s">
        <v>1903</v>
      </c>
      <c r="E556" s="1754">
        <f>IF(短期_財務諸表!L65="","",短期_財務諸表!L65)</f>
        <v>0</v>
      </c>
      <c r="F556" s="1708" t="s">
        <v>1644</v>
      </c>
      <c r="G556" s="1709" t="str">
        <f t="shared" si="8"/>
        <v>0（確認）</v>
      </c>
      <c r="H556" s="1708" t="inlineStr">
        <is>
          <t>短期_財務諸表 L67</t>
        </is>
      </c>
      <c r="I556" s="1708" t="inlineStr">
        <is>
          <t>報告_短期P11-13、短期_附属明細表、短期_決算精算表</t>
        </is>
      </c>
    </row>
    <row r="557" spans="1:9" ht="19.95" customHeight="1">
      <c r="A557" s="1755" t="s">
        <v>7</v>
      </c>
      <c r="B557" s="1711" t="s">
        <v>1495</v>
      </c>
      <c r="C557" s="1756" t="str">
        <f>HYPERLINK("#'短期_附属明細表'!M5","M5")</f>
        <v>M5</v>
      </c>
      <c r="D557" s="1711" t="s">
        <v>1904</v>
      </c>
      <c r="E557" s="1757">
        <f>IF(短期_附属明細表!M5="","",短期_附属明細表!M5)</f>
        <v>3939589431</v>
      </c>
      <c r="F557" s="1711" t="s">
        <v>1905</v>
      </c>
      <c r="G557" s="1709" t="str">
        <f t="shared" si="8"/>
        <v>入力済</v>
      </c>
      <c r="H557" s="1708" t="inlineStr">
        <is>
          <t>短期_附属明細表 M6</t>
        </is>
      </c>
      <c r="I557" s="1708" t="inlineStr">
        <is>
          <t>短期_財務諸表、短期_決算精算表</t>
        </is>
      </c>
    </row>
    <row r="558" spans="1:9" ht="19.95" customHeight="1">
      <c r="A558" s="1752" t="s">
        <v>7</v>
      </c>
      <c r="B558" s="1708" t="s">
        <v>1495</v>
      </c>
      <c r="C558" s="1753" t="str">
        <f>HYPERLINK("#'短期_附属明細表'!M7","M7")</f>
        <v>M7</v>
      </c>
      <c r="D558" s="1708" t="s">
        <v>1906</v>
      </c>
      <c r="E558" s="1754">
        <f>IF(短期_附属明細表!M7="","",短期_附属明細表!M7)</f>
        <v>36919452</v>
      </c>
      <c r="F558" s="1708" t="s">
        <v>1905</v>
      </c>
      <c r="G558" s="1709" t="str">
        <f t="shared" si="8"/>
        <v>入力済</v>
      </c>
      <c r="H558" s="1708" t="inlineStr">
        <is>
          <t>短期_附属明細表 M8</t>
        </is>
      </c>
      <c r="I558" s="1708" t="inlineStr">
        <is>
          <t>短期_財務諸表、短期_決算精算表</t>
        </is>
      </c>
    </row>
    <row r="559" spans="1:9" ht="19.95" customHeight="1">
      <c r="A559" s="1755" t="s">
        <v>7</v>
      </c>
      <c r="B559" s="1711" t="s">
        <v>1495</v>
      </c>
      <c r="C559" s="1756" t="str">
        <f>HYPERLINK("#'短期_附属明細表'!M15","M15")</f>
        <v>M15</v>
      </c>
      <c r="D559" s="1711" t="s">
        <v>1907</v>
      </c>
      <c r="E559" s="1757">
        <f>IF(短期_附属明細表!M15="","",短期_附属明細表!M15)</f>
        <v>0</v>
      </c>
      <c r="F559" s="1711" t="s">
        <v>1905</v>
      </c>
      <c r="G559" s="1709" t="str">
        <f t="shared" si="8"/>
        <v>0（確認）</v>
      </c>
      <c r="H559" s="1708" t="inlineStr">
        <is>
          <t>短期_附属明細表 M16</t>
        </is>
      </c>
      <c r="I559" s="1708" t="inlineStr">
        <is>
          <t>短期_財務諸表</t>
        </is>
      </c>
    </row>
    <row r="560" spans="1:9" ht="19.95" customHeight="1">
      <c r="A560" s="1752" t="s">
        <v>7</v>
      </c>
      <c r="B560" s="1708" t="s">
        <v>1495</v>
      </c>
      <c r="C560" s="1753" t="str">
        <f>HYPERLINK("#'短期_附属明細表'!M22","M22")</f>
        <v>M22</v>
      </c>
      <c r="D560" s="1708" t="s">
        <v>1907</v>
      </c>
      <c r="E560" s="1754">
        <f>IF(短期_附属明細表!M22="","",短期_附属明細表!M22)</f>
        <v>0</v>
      </c>
      <c r="F560" s="1708" t="s">
        <v>1905</v>
      </c>
      <c r="G560" s="1709" t="str">
        <f t="shared" si="8"/>
        <v>0（確認）</v>
      </c>
      <c r="H560" s="1708" t="inlineStr">
        <is>
          <t>短期_附属明細表 M25</t>
        </is>
      </c>
      <c r="I560" s="1708" t="inlineStr">
        <is>
          <t>短期_財務諸表</t>
        </is>
      </c>
    </row>
    <row r="561" spans="1:9" ht="19.95" customHeight="1">
      <c r="A561" s="1755" t="s">
        <v>7</v>
      </c>
      <c r="B561" s="1711" t="s">
        <v>1495</v>
      </c>
      <c r="C561" s="1756" t="str">
        <f>HYPERLINK("#'短期_附属明細表'!M23","M23")</f>
        <v>M23</v>
      </c>
      <c r="D561" s="1711" t="s">
        <v>1907</v>
      </c>
      <c r="E561" s="1757">
        <f>IF(短期_附属明細表!M23="","",短期_附属明細表!M23)</f>
        <v>0</v>
      </c>
      <c r="F561" s="1711" t="s">
        <v>1905</v>
      </c>
      <c r="G561" s="1709" t="str">
        <f t="shared" si="8"/>
        <v>0（確認）</v>
      </c>
      <c r="H561" s="1708" t="inlineStr">
        <is>
          <t>短期_附属明細表 M25</t>
        </is>
      </c>
      <c r="I561" s="1708" t="inlineStr">
        <is>
          <t>短期_財務諸表</t>
        </is>
      </c>
    </row>
    <row r="562" spans="1:9" ht="19.95" customHeight="1">
      <c r="A562" s="1752" t="s">
        <v>7</v>
      </c>
      <c r="B562" s="1708" t="s">
        <v>1495</v>
      </c>
      <c r="C562" s="1753" t="str">
        <f>HYPERLINK("#'短期_附属明細表'!M24","M24")</f>
        <v>M24</v>
      </c>
      <c r="D562" s="1708" t="s">
        <v>1907</v>
      </c>
      <c r="E562" s="1754">
        <f>IF(短期_附属明細表!M24="","",短期_附属明細表!M24)</f>
        <v>0</v>
      </c>
      <c r="F562" s="1708" t="s">
        <v>1905</v>
      </c>
      <c r="G562" s="1709" t="str">
        <f t="shared" si="8"/>
        <v>0（確認）</v>
      </c>
      <c r="H562" s="1708" t="inlineStr">
        <is>
          <t>短期_附属明細表 M25</t>
        </is>
      </c>
      <c r="I562" s="1708" t="inlineStr">
        <is>
          <t>短期_財務諸表</t>
        </is>
      </c>
    </row>
    <row r="563" spans="1:9" ht="19.95" customHeight="1">
      <c r="A563" s="1755" t="s">
        <v>7</v>
      </c>
      <c r="B563" s="1711" t="s">
        <v>1495</v>
      </c>
      <c r="C563" s="1756" t="str">
        <f>HYPERLINK("#'短期_附属明細表'!G38","G38")</f>
        <v>G38</v>
      </c>
      <c r="D563" s="1711" t="s">
        <v>1908</v>
      </c>
      <c r="E563" s="1757">
        <f>IF(短期_附属明細表!G38="","",短期_附属明細表!G38)</f>
        <v>0</v>
      </c>
      <c r="F563" s="1711" t="s">
        <v>1905</v>
      </c>
      <c r="G563" s="1709" t="str">
        <f t="shared" si="8"/>
        <v>0（確認）</v>
      </c>
      <c r="H563" s="1708" t="inlineStr">
        <is>
          <t>短期_附属明細表 G42</t>
        </is>
      </c>
      <c r="I563" s="1708" t="inlineStr">
        <is>
          <t>短期_財務諸表</t>
        </is>
      </c>
    </row>
    <row r="564" spans="1:9" ht="19.95" customHeight="1">
      <c r="A564" s="1752" t="s">
        <v>7</v>
      </c>
      <c r="B564" s="1708" t="s">
        <v>1495</v>
      </c>
      <c r="C564" s="1753" t="str">
        <f>HYPERLINK("#'短期_附属明細表'!G39","G39")</f>
        <v>G39</v>
      </c>
      <c r="D564" s="1708" t="s">
        <v>1909</v>
      </c>
      <c r="E564" s="1754">
        <f>IF(短期_附属明細表!G39="","",短期_附属明細表!G39)</f>
        <v>0</v>
      </c>
      <c r="F564" s="1708" t="s">
        <v>1905</v>
      </c>
      <c r="G564" s="1709" t="str">
        <f t="shared" si="8"/>
        <v>0（確認）</v>
      </c>
      <c r="H564" s="1708" t="inlineStr">
        <is>
          <t>短期_附属明細表 G42</t>
        </is>
      </c>
      <c r="I564" s="1708" t="inlineStr">
        <is>
          <t>短期_財務諸表</t>
        </is>
      </c>
    </row>
    <row r="565" spans="1:9" ht="19.95" customHeight="1">
      <c r="A565" s="1755" t="s">
        <v>7</v>
      </c>
      <c r="B565" s="1711" t="s">
        <v>1495</v>
      </c>
      <c r="C565" s="1756" t="str">
        <f>HYPERLINK("#'短期_附属明細表'!G40","G40")</f>
        <v>G40</v>
      </c>
      <c r="D565" s="1711" t="s">
        <v>1910</v>
      </c>
      <c r="E565" s="1757">
        <f>IF(短期_附属明細表!G40="","",短期_附属明細表!G40)</f>
        <v>0</v>
      </c>
      <c r="F565" s="1711" t="s">
        <v>1905</v>
      </c>
      <c r="G565" s="1709" t="str">
        <f t="shared" si="8"/>
        <v>0（確認）</v>
      </c>
      <c r="H565" s="1708" t="inlineStr">
        <is>
          <t>短期_附属明細表 G42</t>
        </is>
      </c>
      <c r="I565" s="1708" t="inlineStr">
        <is>
          <t>短期_財務諸表</t>
        </is>
      </c>
    </row>
    <row r="566" spans="1:9" ht="19.95" customHeight="1">
      <c r="A566" s="1752" t="s">
        <v>7</v>
      </c>
      <c r="B566" s="1708" t="s">
        <v>1495</v>
      </c>
      <c r="C566" s="1753" t="str">
        <f>HYPERLINK("#'短期_附属明細表'!G41","G41")</f>
        <v>G41</v>
      </c>
      <c r="D566" s="1708" t="s">
        <v>1911</v>
      </c>
      <c r="E566" s="1754">
        <f>IF(短期_附属明細表!G41="","",短期_附属明細表!G41)</f>
        <v>0</v>
      </c>
      <c r="F566" s="1708" t="s">
        <v>1905</v>
      </c>
      <c r="G566" s="1709" t="str">
        <f t="shared" si="8"/>
        <v>0（確認）</v>
      </c>
      <c r="H566" s="1708" t="inlineStr">
        <is>
          <t>短期_附属明細表 G42</t>
        </is>
      </c>
      <c r="I566" s="1708" t="inlineStr">
        <is>
          <t>短期_財務諸表</t>
        </is>
      </c>
    </row>
    <row r="567" spans="1:9" ht="19.95" customHeight="1">
      <c r="A567" s="1755" t="s">
        <v>7</v>
      </c>
      <c r="B567" s="1711" t="s">
        <v>1495</v>
      </c>
      <c r="C567" s="1756" t="str">
        <f>HYPERLINK("#'短期_附属明細表'!G48","G48")</f>
        <v>G48</v>
      </c>
      <c r="D567" s="1711" t="s">
        <v>1912</v>
      </c>
      <c r="E567" s="1757">
        <f>IF(短期_附属明細表!G48="","",短期_附属明細表!G48)</f>
        <v>54568</v>
      </c>
      <c r="F567" s="1711" t="s">
        <v>1905</v>
      </c>
      <c r="G567" s="1709" t="str">
        <f t="shared" si="8"/>
        <v>入力済</v>
      </c>
      <c r="H567" s="1708" t="inlineStr">
        <is>
          <t>報告_短期P7-10 CB38、短期_附属明細表 G49、短期_決算精算表 F48</t>
        </is>
      </c>
      <c r="I567" s="1708" t="inlineStr">
        <is>
          <t>報告_短期P7-10、報告_短期P11-13、報告_P8グラフデータ、短期_財務諸表 ほか1シート</t>
        </is>
      </c>
    </row>
    <row r="568" spans="1:9" ht="19.95" customHeight="1">
      <c r="A568" s="1752" t="s">
        <v>7</v>
      </c>
      <c r="B568" s="1708" t="s">
        <v>1495</v>
      </c>
      <c r="C568" s="1753" t="str">
        <f>HYPERLINK("#'短期_附属明細表'!G55","G55")</f>
        <v>G55</v>
      </c>
      <c r="D568" s="1708" t="s">
        <v>1913</v>
      </c>
      <c r="E568" s="1754">
        <f>IF(短期_附属明細表!G55="","",短期_附属明細表!G55)</f>
        <v>59427000</v>
      </c>
      <c r="F568" s="1708" t="s">
        <v>1905</v>
      </c>
      <c r="G568" s="1709" t="str">
        <f t="shared" si="8"/>
        <v>入力済</v>
      </c>
      <c r="H568" s="1708" t="inlineStr">
        <is>
          <t>短期_附属明細表 G56</t>
        </is>
      </c>
      <c r="I568" s="1708" t="inlineStr">
        <is>
          <t>短期_財務諸表、短期_決算精算表</t>
        </is>
      </c>
    </row>
    <row r="569" spans="1:9" ht="19.95" customHeight="1">
      <c r="A569" s="1755" t="s">
        <v>7</v>
      </c>
      <c r="B569" s="1711" t="s">
        <v>1495</v>
      </c>
      <c r="C569" s="1756" t="str">
        <f>HYPERLINK("#'短期_附属明細表'!G61","G61")</f>
        <v>G61</v>
      </c>
      <c r="D569" s="1711" t="s">
        <v>1914</v>
      </c>
      <c r="E569" s="1757">
        <f>IF(短期_附属明細表!G61="","",短期_附属明細表!G61)</f>
        <v>0</v>
      </c>
      <c r="F569" s="1711" t="s">
        <v>1905</v>
      </c>
      <c r="G569" s="1709" t="str">
        <f t="shared" si="8"/>
        <v>0（確認）</v>
      </c>
      <c r="H569" s="1708" t="inlineStr">
        <is>
          <t>短期_附属明細表 G63</t>
        </is>
      </c>
      <c r="I569" s="1708" t="inlineStr">
        <is>
          <t>同じシート内のみ</t>
        </is>
      </c>
    </row>
    <row r="570" spans="1:9" ht="19.95" customHeight="1">
      <c r="A570" s="1752" t="s">
        <v>7</v>
      </c>
      <c r="B570" s="1708" t="s">
        <v>1495</v>
      </c>
      <c r="C570" s="1753" t="str">
        <f>HYPERLINK("#'短期_附属明細表'!G62","G62")</f>
        <v>G62</v>
      </c>
      <c r="D570" s="1708" t="s">
        <v>1915</v>
      </c>
      <c r="E570" s="1754">
        <f>IF(短期_附属明細表!G62="","",短期_附属明細表!G62)</f>
        <v>0</v>
      </c>
      <c r="F570" s="1708" t="s">
        <v>1905</v>
      </c>
      <c r="G570" s="1709" t="str">
        <f t="shared" si="8"/>
        <v>0（確認）</v>
      </c>
      <c r="H570" s="1708" t="inlineStr">
        <is>
          <t>短期_附属明細表 G63</t>
        </is>
      </c>
      <c r="I570" s="1708" t="inlineStr">
        <is>
          <t>同じシート内のみ</t>
        </is>
      </c>
    </row>
    <row r="571" spans="1:9" ht="19.95" customHeight="1">
      <c r="A571" s="1755" t="s">
        <v>7</v>
      </c>
      <c r="B571" s="1711" t="s">
        <v>1495</v>
      </c>
      <c r="C571" s="1756" t="str">
        <f>HYPERLINK("#'短期_附属明細表'!G69","G69")</f>
        <v>G69</v>
      </c>
      <c r="D571" s="1711" t="s">
        <v>1916</v>
      </c>
      <c r="E571" s="1757">
        <f>IF(短期_附属明細表!G69="","",短期_附属明細表!G69)</f>
        <v>12773988</v>
      </c>
      <c r="F571" s="1711" t="s">
        <v>1905</v>
      </c>
      <c r="G571" s="1709" t="str">
        <f t="shared" si="8"/>
        <v>入力済</v>
      </c>
      <c r="H571" s="1708" t="inlineStr">
        <is>
          <t>短期_附属明細表 G75、短期_決算精算表 B23</t>
        </is>
      </c>
      <c r="I571" s="1708" t="inlineStr">
        <is>
          <t>報告_短期P11-13、短期_財務諸表、短期_決算精算表</t>
        </is>
      </c>
    </row>
    <row r="572" spans="1:9" ht="19.95" customHeight="1">
      <c r="A572" s="1752" t="s">
        <v>7</v>
      </c>
      <c r="B572" s="1708" t="s">
        <v>1495</v>
      </c>
      <c r="C572" s="1753" t="str">
        <f>HYPERLINK("#'短期_附属明細表'!G70","G70")</f>
        <v>G70</v>
      </c>
      <c r="D572" s="1708" t="s">
        <v>1917</v>
      </c>
      <c r="E572" s="1754">
        <f>IF(短期_附属明細表!G70="","",短期_附属明細表!G70)</f>
        <v>3156259</v>
      </c>
      <c r="F572" s="1708" t="s">
        <v>1905</v>
      </c>
      <c r="G572" s="1709" t="str">
        <f t="shared" si="8"/>
        <v>入力済</v>
      </c>
      <c r="H572" s="1708" t="inlineStr">
        <is>
          <t>短期_附属明細表 G75、短期_決算精算表 B24</t>
        </is>
      </c>
      <c r="I572" s="1708" t="inlineStr">
        <is>
          <t>報告_短期P11-13、短期_財務諸表、短期_決算精算表</t>
        </is>
      </c>
    </row>
    <row r="573" spans="1:9" ht="19.95" customHeight="1">
      <c r="A573" s="1755" t="s">
        <v>7</v>
      </c>
      <c r="B573" s="1711" t="s">
        <v>1495</v>
      </c>
      <c r="C573" s="1756" t="str">
        <f>HYPERLINK("#'短期_附属明細表'!G71","G71")</f>
        <v>G71</v>
      </c>
      <c r="D573" s="1711" t="s">
        <v>1918</v>
      </c>
      <c r="E573" s="1757">
        <f>IF(短期_附属明細表!G71="","",短期_附属明細表!G71)</f>
        <v>2861495</v>
      </c>
      <c r="F573" s="1711" t="s">
        <v>1905</v>
      </c>
      <c r="G573" s="1709" t="str">
        <f t="shared" si="8"/>
        <v>入力済</v>
      </c>
      <c r="H573" s="1708" t="inlineStr">
        <is>
          <t>短期_附属明細表 G75、短期_決算精算表 B26</t>
        </is>
      </c>
      <c r="I573" s="1708" t="inlineStr">
        <is>
          <t>報告_短期P11-13、短期_財務諸表、短期_決算精算表</t>
        </is>
      </c>
    </row>
    <row r="574" spans="1:9" ht="19.95" customHeight="1">
      <c r="A574" s="1752" t="s">
        <v>7</v>
      </c>
      <c r="B574" s="1708" t="s">
        <v>1495</v>
      </c>
      <c r="C574" s="1753" t="str">
        <f>HYPERLINK("#'短期_附属明細表'!G72","G72")</f>
        <v>G72</v>
      </c>
      <c r="D574" s="1708" t="s">
        <v>1919</v>
      </c>
      <c r="E574" s="1754">
        <f>IF(短期_附属明細表!G72="","",短期_附属明細表!G72)</f>
        <v>6392500</v>
      </c>
      <c r="F574" s="1708" t="s">
        <v>1905</v>
      </c>
      <c r="G574" s="1709" t="str">
        <f t="shared" si="8"/>
        <v>入力済</v>
      </c>
      <c r="H574" s="1708" t="inlineStr">
        <is>
          <t>短期_附属明細表 G75、短期_決算精算表 B34</t>
        </is>
      </c>
      <c r="I574" s="1708" t="inlineStr">
        <is>
          <t>報告_短期P7-10、報告_短期P11-13、報告_P8グラフデータ、短期_財務諸表 ほか1シート</t>
        </is>
      </c>
    </row>
    <row r="575" spans="1:9" ht="19.95" customHeight="1">
      <c r="A575" s="1755" t="s">
        <v>7</v>
      </c>
      <c r="B575" s="1711" t="s">
        <v>1495</v>
      </c>
      <c r="C575" s="1756" t="str">
        <f>HYPERLINK("#'短期_附属明細表'!G73","G73")</f>
        <v>G73</v>
      </c>
      <c r="D575" s="1711" t="s">
        <v>1920</v>
      </c>
      <c r="E575" s="1757">
        <f>IF(短期_附属明細表!G73="","",短期_附属明細表!G73)</f>
        <v>4622428</v>
      </c>
      <c r="F575" s="1711" t="s">
        <v>1905</v>
      </c>
      <c r="G575" s="1709" t="str">
        <f t="shared" si="8"/>
        <v>入力済</v>
      </c>
      <c r="H575" s="1708" t="inlineStr">
        <is>
          <t>短期_附属明細表 G75、短期_決算精算表 B37</t>
        </is>
      </c>
      <c r="I575" s="1708" t="inlineStr">
        <is>
          <t>報告_短期P11-13、短期_財務諸表、短期_決算精算表</t>
        </is>
      </c>
    </row>
    <row r="576" spans="1:9" ht="19.95" customHeight="1">
      <c r="A576" s="1752" t="s">
        <v>7</v>
      </c>
      <c r="B576" s="1708" t="s">
        <v>1495</v>
      </c>
      <c r="C576" s="1753" t="str">
        <f>HYPERLINK("#'短期_附属明細表'!G74","G74")</f>
        <v>G74</v>
      </c>
      <c r="D576" s="1708" t="s">
        <v>1921</v>
      </c>
      <c r="E576" s="1754">
        <f>IF(短期_附属明細表!G74="","",短期_附属明細表!G74)</f>
        <v>11834281</v>
      </c>
      <c r="F576" s="1708" t="s">
        <v>1905</v>
      </c>
      <c r="G576" s="1709" t="str">
        <f t="shared" si="8"/>
        <v>入力済</v>
      </c>
      <c r="H576" s="1708" t="inlineStr">
        <is>
          <t>短期_附属明細表 G75、短期_決算精算表 B39、業務_附属明細表 G31</t>
        </is>
      </c>
      <c r="I576" s="1708" t="inlineStr">
        <is>
          <t>報告_短期P7-10、報告_短期P11-13、報告_P8グラフデータ、報告_業務P18 ほか6シート</t>
        </is>
      </c>
    </row>
    <row r="577" spans="1:9" ht="19.95" customHeight="1">
      <c r="A577" s="1755" t="s">
        <v>7</v>
      </c>
      <c r="B577" s="1711" t="s">
        <v>1495</v>
      </c>
      <c r="C577" s="1756" t="str">
        <f>HYPERLINK("#'短期_附属明細表'!G81","G81")</f>
        <v>G81</v>
      </c>
      <c r="D577" s="1711" t="s">
        <v>1922</v>
      </c>
      <c r="E577" s="1757">
        <f>IF(短期_附属明細表!G81="","",短期_附属明細表!G81)</f>
        <v>6050</v>
      </c>
      <c r="F577" s="1711" t="s">
        <v>1905</v>
      </c>
      <c r="G577" s="1709" t="str">
        <f t="shared" si="8"/>
        <v>入力済</v>
      </c>
      <c r="H577" s="1708" t="inlineStr">
        <is>
          <t>短期_財務諸表 G8、短期_附属明細表 G82</t>
        </is>
      </c>
      <c r="I577" s="1708" t="inlineStr">
        <is>
          <t>短期_財務諸表</t>
        </is>
      </c>
    </row>
    <row r="578" spans="1:9" ht="19.95" customHeight="1">
      <c r="A578" s="1752" t="s">
        <v>7</v>
      </c>
      <c r="B578" s="1708" t="s">
        <v>1495</v>
      </c>
      <c r="C578" s="1753" t="str">
        <f>HYPERLINK("#'短期_附属明細表'!O89","O89")</f>
        <v>O89</v>
      </c>
      <c r="D578" s="1708" t="s">
        <v>1923</v>
      </c>
      <c r="E578" s="1754">
        <f>IF(短期_附属明細表!O89="","",短期_附属明細表!O89)</f>
        <v>34502619</v>
      </c>
      <c r="F578" s="1708" t="s">
        <v>1905</v>
      </c>
      <c r="G578" s="1709" t="str">
        <f t="shared" si="8"/>
        <v>入力済</v>
      </c>
      <c r="H578" s="1708" t="inlineStr">
        <is>
          <t>短期_附属明細表 O92,R89</t>
        </is>
      </c>
      <c r="I578" s="1708" t="inlineStr">
        <is>
          <t>短期_財務諸表、短期_決算精算表</t>
        </is>
      </c>
    </row>
    <row r="579" spans="1:9" ht="19.95" customHeight="1">
      <c r="A579" s="1755" t="s">
        <v>7</v>
      </c>
      <c r="B579" s="1711" t="s">
        <v>1495</v>
      </c>
      <c r="C579" s="1756" t="str">
        <f>HYPERLINK("#'短期_附属明細表'!O90","O90")</f>
        <v>O90</v>
      </c>
      <c r="D579" s="1711" t="s">
        <v>1924</v>
      </c>
      <c r="E579" s="1757">
        <f>IF(短期_附属明細表!O90="","",短期_附属明細表!O90)</f>
        <v>1200582</v>
      </c>
      <c r="F579" s="1711" t="s">
        <v>1905</v>
      </c>
      <c r="G579" s="1709" t="str">
        <f t="shared" si="8"/>
        <v>入力済</v>
      </c>
      <c r="H579" s="1708" t="inlineStr">
        <is>
          <t>短期_附属明細表 O92,R90</t>
        </is>
      </c>
      <c r="I579" s="1708" t="inlineStr">
        <is>
          <t>短期_財務諸表、短期_決算精算表</t>
        </is>
      </c>
    </row>
    <row r="580" spans="1:9" ht="19.95" customHeight="1">
      <c r="A580" s="1752" t="s">
        <v>7</v>
      </c>
      <c r="B580" s="1708" t="s">
        <v>1495</v>
      </c>
      <c r="C580" s="1753" t="str">
        <f>HYPERLINK("#'短期_附属明細表'!O91","O91")</f>
        <v>O91</v>
      </c>
      <c r="D580" s="1708" t="s">
        <v>1925</v>
      </c>
      <c r="E580" s="1754">
        <f>IF(短期_附属明細表!O91="","",短期_附属明細表!O91)</f>
        <v>765054</v>
      </c>
      <c r="F580" s="1708" t="s">
        <v>1905</v>
      </c>
      <c r="G580" s="1709" t="str">
        <f t="shared" si="8"/>
        <v>入力済</v>
      </c>
      <c r="H580" s="1708" t="inlineStr">
        <is>
          <t>短期_附属明細表 O92,R91</t>
        </is>
      </c>
      <c r="I580" s="1708" t="inlineStr">
        <is>
          <t>短期_財務諸表、短期_決算精算表</t>
        </is>
      </c>
    </row>
    <row r="581" spans="1:9" ht="19.95" customHeight="1">
      <c r="A581" s="1755" t="s">
        <v>7</v>
      </c>
      <c r="B581" s="1711" t="s">
        <v>1495</v>
      </c>
      <c r="C581" s="1756" t="str">
        <f>HYPERLINK("#'短期_附属明細表'!I99","I99")</f>
        <v>I99</v>
      </c>
      <c r="D581" s="1711" t="s">
        <v>1926</v>
      </c>
      <c r="E581" s="1757">
        <f>IF(短期_附属明細表!I99="","",短期_附属明細表!I99)</f>
        <v>53296628</v>
      </c>
      <c r="F581" s="1711" t="s">
        <v>1905</v>
      </c>
      <c r="G581" s="1709" t="str">
        <f t="shared" si="8"/>
        <v>入力済</v>
      </c>
      <c r="H581" s="1708" t="inlineStr">
        <is>
          <t>報告_短期P11-13 C108、短期_附属明細表 I100,I102,K115…</t>
        </is>
      </c>
      <c r="I581" s="1708" t="inlineStr">
        <is>
          <t>報告_短期P11-13、短期_財務諸表</t>
        </is>
      </c>
    </row>
    <row r="582" spans="1:9" ht="19.95" customHeight="1">
      <c r="A582" s="1752" t="s">
        <v>7</v>
      </c>
      <c r="B582" s="1708" t="s">
        <v>1927</v>
      </c>
      <c r="C582" s="1753" t="str">
        <f>HYPERLINK("#'短期_決算精算表'!E17","E17")</f>
        <v>E17</v>
      </c>
      <c r="D582" s="1708" t="s">
        <v>1928</v>
      </c>
      <c r="E582" s="1754">
        <f>IF(短期_決算精算表!E17="","",短期_決算精算表!E17)</f>
        <v>33450</v>
      </c>
      <c r="F582" s="1708" t="s">
        <v>1929</v>
      </c>
      <c r="G582" s="1709" t="str">
        <f t="shared" ref="G582:G645" si="9">IF(E582="","未入力（空欄）",IF(E582=0,"0（確認）","入力済"))</f>
        <v>入力済</v>
      </c>
      <c r="H582" s="1708" t="inlineStr">
        <is>
          <t>短期_決算精算表 E22,G17</t>
        </is>
      </c>
      <c r="I582" s="1708" t="inlineStr">
        <is>
          <t>同じシート内のみ</t>
        </is>
      </c>
    </row>
    <row r="583" spans="1:9" ht="19.95" customHeight="1">
      <c r="A583" s="1755" t="s">
        <v>7</v>
      </c>
      <c r="B583" s="1711" t="s">
        <v>1927</v>
      </c>
      <c r="C583" s="1756" t="str">
        <f>HYPERLINK("#'短期_決算精算表'!F24","F24")</f>
        <v>F24</v>
      </c>
      <c r="D583" s="1711" t="s">
        <v>1930</v>
      </c>
      <c r="E583" s="1757">
        <f>IF(短期_決算精算表!F24="","",短期_決算精算表!F24)</f>
        <v>20000</v>
      </c>
      <c r="F583" s="1711" t="s">
        <v>1929</v>
      </c>
      <c r="G583" s="1709" t="str">
        <f t="shared" si="9"/>
        <v>入力済</v>
      </c>
      <c r="H583" s="1708" t="inlineStr">
        <is>
          <t>短期_決算精算表 A24,B54,C24…</t>
        </is>
      </c>
      <c r="I583" s="1708" t="inlineStr">
        <is>
          <t>報告_短期P7-10、報告_短期P11-13、報告_P8グラフデータ、短期_財務諸表 ほか1シート</t>
        </is>
      </c>
    </row>
    <row r="584" spans="1:9" ht="19.95" customHeight="1">
      <c r="A584" s="1752" t="s">
        <v>7</v>
      </c>
      <c r="B584" s="1708" t="s">
        <v>1927</v>
      </c>
      <c r="C584" s="1753" t="str">
        <f>HYPERLINK("#'短期_決算精算表'!C27","C27")</f>
        <v>C27</v>
      </c>
      <c r="D584" s="1708" t="s">
        <v>1931</v>
      </c>
      <c r="E584" s="1754">
        <f>IF(短期_決算精算表!C27="","",短期_決算精算表!C27)</f>
        <v>2096611727</v>
      </c>
      <c r="F584" s="1708" t="s">
        <v>1929</v>
      </c>
      <c r="G584" s="1709" t="str">
        <f t="shared" si="9"/>
        <v>入力済</v>
      </c>
      <c r="H584" s="1708" t="inlineStr">
        <is>
          <t>短期_決算精算表 A27,C63</t>
        </is>
      </c>
      <c r="I584" s="1708" t="inlineStr">
        <is>
          <t>報告_短期P7-10、報告_短期P11-13、報告_P8グラフデータ、短期_財務諸表 ほか1シート</t>
        </is>
      </c>
    </row>
    <row r="585" spans="1:9" ht="19.95" customHeight="1">
      <c r="A585" s="1755" t="s">
        <v>7</v>
      </c>
      <c r="B585" s="1711" t="s">
        <v>1927</v>
      </c>
      <c r="C585" s="1756" t="str">
        <f>HYPERLINK("#'短期_決算精算表'!C28","C28")</f>
        <v>C28</v>
      </c>
      <c r="D585" s="1711" t="s">
        <v>1932</v>
      </c>
      <c r="E585" s="1757">
        <f>IF(短期_決算精算表!C28="","",短期_決算精算表!C28)</f>
        <v>2306088269</v>
      </c>
      <c r="F585" s="1711" t="s">
        <v>1929</v>
      </c>
      <c r="G585" s="1709" t="str">
        <f t="shared" si="9"/>
        <v>入力済</v>
      </c>
      <c r="H585" s="1708" t="inlineStr">
        <is>
          <t>短期_決算精算表 A28,C63</t>
        </is>
      </c>
      <c r="I585" s="1708" t="inlineStr">
        <is>
          <t>報告_短期P7-10、報告_短期P11-13、報告_P8グラフデータ、短期_財務諸表 ほか1シート</t>
        </is>
      </c>
    </row>
    <row r="586" spans="1:9" ht="19.95" customHeight="1">
      <c r="A586" s="1752" t="s">
        <v>7</v>
      </c>
      <c r="B586" s="1708" t="s">
        <v>1927</v>
      </c>
      <c r="C586" s="1753" t="str">
        <f>HYPERLINK("#'短期_決算精算表'!C30","C30")</f>
        <v>C30</v>
      </c>
      <c r="D586" s="1708" t="s">
        <v>1933</v>
      </c>
      <c r="E586" s="1754">
        <f>IF(短期_決算精算表!C30="","",短期_決算精算表!C30)</f>
        <v>871</v>
      </c>
      <c r="F586" s="1708" t="s">
        <v>1929</v>
      </c>
      <c r="G586" s="1709" t="str">
        <f t="shared" si="9"/>
        <v>入力済</v>
      </c>
      <c r="H586" s="1708" t="inlineStr">
        <is>
          <t>短期_決算精算表 A30,C63</t>
        </is>
      </c>
      <c r="I586" s="1708" t="inlineStr">
        <is>
          <t>報告_短期P7-10、報告_短期P11-13、報告_P8グラフデータ、短期_財務諸表 ほか1シート</t>
        </is>
      </c>
    </row>
    <row r="587" spans="1:9" ht="19.95" customHeight="1">
      <c r="A587" s="1755" t="s">
        <v>7</v>
      </c>
      <c r="B587" s="1711" t="s">
        <v>1927</v>
      </c>
      <c r="C587" s="1756" t="str">
        <f>HYPERLINK("#'短期_決算精算表'!C32","C32")</f>
        <v>C32</v>
      </c>
      <c r="D587" s="1711" t="s">
        <v>1934</v>
      </c>
      <c r="E587" s="1757">
        <f>IF(短期_決算精算表!C32="","",短期_決算精算表!C32)</f>
        <v>949753680</v>
      </c>
      <c r="F587" s="1711" t="s">
        <v>1929</v>
      </c>
      <c r="G587" s="1709" t="str">
        <f t="shared" si="9"/>
        <v>入力済</v>
      </c>
      <c r="H587" s="1708" t="inlineStr">
        <is>
          <t>短期_決算精算表 A32,C63</t>
        </is>
      </c>
      <c r="I587" s="1708" t="inlineStr">
        <is>
          <t>報告_短期P7-10、報告_短期P11-13、短期_財務諸表、短期_附属明細表</t>
        </is>
      </c>
    </row>
    <row r="588" spans="1:9" ht="19.95" customHeight="1">
      <c r="A588" s="1752" t="s">
        <v>7</v>
      </c>
      <c r="B588" s="1708" t="s">
        <v>1927</v>
      </c>
      <c r="C588" s="1753" t="str">
        <f>HYPERLINK("#'短期_決算精算表'!C34","C34")</f>
        <v>C34</v>
      </c>
      <c r="D588" s="1708" t="s">
        <v>1935</v>
      </c>
      <c r="E588" s="1754">
        <f>IF(短期_決算精算表!C34="","",短期_決算精算表!C34)</f>
        <v>76714603</v>
      </c>
      <c r="F588" s="1708" t="s">
        <v>1929</v>
      </c>
      <c r="G588" s="1709" t="str">
        <f t="shared" si="9"/>
        <v>入力済</v>
      </c>
      <c r="H588" s="1708" t="inlineStr">
        <is>
          <t>短期_決算精算表 A34,C63</t>
        </is>
      </c>
      <c r="I588" s="1708" t="inlineStr">
        <is>
          <t>報告_短期P7-10、報告_短期P11-13、報告_P8グラフデータ、短期_財務諸表 ほか1シート</t>
        </is>
      </c>
    </row>
    <row r="589" spans="1:9" ht="19.95" customHeight="1">
      <c r="A589" s="1755" t="s">
        <v>7</v>
      </c>
      <c r="B589" s="1711" t="s">
        <v>1927</v>
      </c>
      <c r="C589" s="1756" t="str">
        <f>HYPERLINK("#'短期_決算精算表'!F34","F34")</f>
        <v>F34</v>
      </c>
      <c r="D589" s="1711" t="s">
        <v>1936</v>
      </c>
      <c r="E589" s="1757">
        <f>IF(短期_決算精算表!F34="","",短期_決算精算表!F34)</f>
        <v>27400</v>
      </c>
      <c r="F589" s="1711" t="s">
        <v>1929</v>
      </c>
      <c r="G589" s="1709" t="str">
        <f t="shared" si="9"/>
        <v>入力済</v>
      </c>
      <c r="H589" s="1708" t="inlineStr">
        <is>
          <t>短期_決算精算表 A34,B17,F63</t>
        </is>
      </c>
      <c r="I589" s="1708" t="inlineStr">
        <is>
          <t>報告_短期P7-10、報告_短期P11-13、報告_P8グラフデータ、短期_財務諸表 ほか1シート</t>
        </is>
      </c>
    </row>
    <row r="590" spans="1:9" ht="19.95" customHeight="1">
      <c r="A590" s="1752" t="s">
        <v>7</v>
      </c>
      <c r="B590" s="1708" t="s">
        <v>1927</v>
      </c>
      <c r="C590" s="1753" t="str">
        <f>HYPERLINK("#'短期_決算精算表'!E44","E44")</f>
        <v>E44</v>
      </c>
      <c r="D590" s="1708" t="s">
        <v>1937</v>
      </c>
      <c r="E590" s="1754">
        <f>IF(短期_決算精算表!E44="","",短期_決算精算表!E44)</f>
        <v>5622054228</v>
      </c>
      <c r="F590" s="1708" t="s">
        <v>1929</v>
      </c>
      <c r="G590" s="1709" t="str">
        <f t="shared" si="9"/>
        <v>入力済</v>
      </c>
      <c r="H590" s="1708" t="inlineStr">
        <is>
          <t>短期_決算精算表 E63,G44</t>
        </is>
      </c>
      <c r="I590" s="1708" t="inlineStr">
        <is>
          <t>報告_短期P7-10、報告_短期P11-13、報告_P8グラフデータ、短期_財務諸表 ほか1シート</t>
        </is>
      </c>
    </row>
    <row r="591" spans="1:9" ht="19.95" customHeight="1">
      <c r="A591" s="1755" t="s">
        <v>7</v>
      </c>
      <c r="B591" s="1711" t="s">
        <v>1927</v>
      </c>
      <c r="C591" s="1756" t="str">
        <f>HYPERLINK("#'短期_決算精算表'!E45","E45")</f>
        <v>E45</v>
      </c>
      <c r="D591" s="1711" t="s">
        <v>1938</v>
      </c>
      <c r="E591" s="1757">
        <f>IF(短期_決算精算表!E45="","",短期_決算精算表!E45)</f>
        <v>496114904</v>
      </c>
      <c r="F591" s="1711" t="s">
        <v>1929</v>
      </c>
      <c r="G591" s="1709" t="str">
        <f t="shared" si="9"/>
        <v>入力済</v>
      </c>
      <c r="H591" s="1708" t="inlineStr">
        <is>
          <t>短期_決算精算表 E63,G45</t>
        </is>
      </c>
      <c r="I591" s="1708" t="inlineStr">
        <is>
          <t>報告_短期P7-10、報告_短期P11-13、短期_財務諸表、短期_附属明細表</t>
        </is>
      </c>
    </row>
    <row r="592" spans="1:9" ht="19.95" customHeight="1">
      <c r="A592" s="1752" t="s">
        <v>7</v>
      </c>
      <c r="B592" s="1708" t="s">
        <v>1927</v>
      </c>
      <c r="C592" s="1753" t="str">
        <f>HYPERLINK("#'短期_決算精算表'!E46","E46")</f>
        <v>E46</v>
      </c>
      <c r="D592" s="1708" t="s">
        <v>1939</v>
      </c>
      <c r="E592" s="1754">
        <f>IF(短期_決算精算表!E46="","",短期_決算精算表!E46)</f>
        <v>5551497726</v>
      </c>
      <c r="F592" s="1708" t="s">
        <v>1929</v>
      </c>
      <c r="G592" s="1709" t="str">
        <f t="shared" si="9"/>
        <v>入力済</v>
      </c>
      <c r="H592" s="1708" t="inlineStr">
        <is>
          <t>短期_決算精算表 E63,G46</t>
        </is>
      </c>
      <c r="I592" s="1708" t="inlineStr">
        <is>
          <t>報告_短期P7-10、報告_短期P11-13、報告_P8グラフデータ、短期_財務諸表 ほか1シート</t>
        </is>
      </c>
    </row>
    <row r="593" spans="1:9" ht="19.95" customHeight="1">
      <c r="A593" s="1755" t="s">
        <v>7</v>
      </c>
      <c r="B593" s="1711" t="s">
        <v>1927</v>
      </c>
      <c r="C593" s="1756" t="str">
        <f>HYPERLINK("#'短期_決算精算表'!E47","E47")</f>
        <v>E47</v>
      </c>
      <c r="D593" s="1711" t="s">
        <v>1940</v>
      </c>
      <c r="E593" s="1757">
        <f>IF(短期_決算精算表!E47="","",短期_決算精算表!E47)</f>
        <v>496288832</v>
      </c>
      <c r="F593" s="1711" t="s">
        <v>1929</v>
      </c>
      <c r="G593" s="1709" t="str">
        <f t="shared" si="9"/>
        <v>入力済</v>
      </c>
      <c r="H593" s="1708" t="inlineStr">
        <is>
          <t>短期_決算精算表 E63,G47</t>
        </is>
      </c>
      <c r="I593" s="1708" t="inlineStr">
        <is>
          <t>報告_短期P7-10、報告_短期P11-13、短期_財務諸表、短期_附属明細表</t>
        </is>
      </c>
    </row>
    <row r="594" spans="1:9" ht="19.95" customHeight="1">
      <c r="A594" s="1752" t="s">
        <v>7</v>
      </c>
      <c r="B594" s="1708" t="s">
        <v>1927</v>
      </c>
      <c r="C594" s="1753" t="str">
        <f>HYPERLINK("#'短期_決算精算表'!E48","E48")</f>
        <v>E48</v>
      </c>
      <c r="D594" s="1708" t="s">
        <v>1941</v>
      </c>
      <c r="E594" s="1754">
        <f>IF(短期_決算精算表!E48="","",短期_決算精算表!E48)</f>
        <v>96007968</v>
      </c>
      <c r="F594" s="1708" t="s">
        <v>1929</v>
      </c>
      <c r="G594" s="1709" t="str">
        <f t="shared" si="9"/>
        <v>入力済</v>
      </c>
      <c r="H594" s="1708" t="inlineStr">
        <is>
          <t>短期_決算精算表 E63,G48</t>
        </is>
      </c>
      <c r="I594" s="1708" t="inlineStr">
        <is>
          <t>報告_短期P7-10、報告_短期P11-13、報告_P8グラフデータ、短期_財務諸表 ほか1シート</t>
        </is>
      </c>
    </row>
    <row r="595" spans="1:9" ht="19.95" customHeight="1">
      <c r="A595" s="1755" t="s">
        <v>7</v>
      </c>
      <c r="B595" s="1711" t="s">
        <v>1927</v>
      </c>
      <c r="C595" s="1756" t="str">
        <f>HYPERLINK("#'短期_決算精算表'!E49","E49")</f>
        <v>E49</v>
      </c>
      <c r="D595" s="1711" t="s">
        <v>1942</v>
      </c>
      <c r="E595" s="1757">
        <f>IF(短期_決算精算表!E49="","",短期_決算精算表!E49)</f>
        <v>4793716</v>
      </c>
      <c r="F595" s="1711" t="s">
        <v>1929</v>
      </c>
      <c r="G595" s="1709" t="str">
        <f t="shared" si="9"/>
        <v>入力済</v>
      </c>
      <c r="H595" s="1708" t="inlineStr">
        <is>
          <t>短期_決算精算表 E63,G49</t>
        </is>
      </c>
      <c r="I595" s="1708" t="inlineStr">
        <is>
          <t>報告_短期P7-10、報告_短期P11-13、短期_財務諸表、短期_附属明細表</t>
        </is>
      </c>
    </row>
    <row r="596" spans="1:9" ht="19.95" customHeight="1">
      <c r="A596" s="1752" t="s">
        <v>7</v>
      </c>
      <c r="B596" s="1708" t="s">
        <v>1927</v>
      </c>
      <c r="C596" s="1753" t="str">
        <f>HYPERLINK("#'短期_決算精算表'!I49","I49")</f>
        <v>I49</v>
      </c>
      <c r="D596" s="1708" t="s">
        <v>1943</v>
      </c>
      <c r="E596" s="1754">
        <f>IF(短期_決算精算表!I49="","",短期_決算精算表!I49)</f>
        <v>907739421</v>
      </c>
      <c r="F596" s="1708" t="s">
        <v>1929</v>
      </c>
      <c r="G596" s="1709" t="str">
        <f t="shared" si="9"/>
        <v>入力済</v>
      </c>
      <c r="H596" s="1708" t="inlineStr">
        <is>
          <t>短期_財務諸表 G13、短期_決算精算表 B40,F19</t>
        </is>
      </c>
      <c r="I596" s="1708" t="inlineStr">
        <is>
          <t>報告_短期P7-10、報告_短期P11-13、報告_P8グラフデータ、短期_財務諸表 ほか1シート</t>
        </is>
      </c>
    </row>
    <row r="597" spans="1:9" ht="19.95" customHeight="1">
      <c r="A597" s="1755" t="s">
        <v>7</v>
      </c>
      <c r="B597" s="1711" t="s">
        <v>1927</v>
      </c>
      <c r="C597" s="1756" t="str">
        <f>HYPERLINK("#'短期_決算精算表'!E50","E50")</f>
        <v>E50</v>
      </c>
      <c r="D597" s="1711" t="s">
        <v>1944</v>
      </c>
      <c r="E597" s="1757">
        <f>IF(短期_決算精算表!E50="","",短期_決算精算表!E50)</f>
        <v>7419879</v>
      </c>
      <c r="F597" s="1711" t="s">
        <v>1929</v>
      </c>
      <c r="G597" s="1709" t="str">
        <f t="shared" si="9"/>
        <v>入力済</v>
      </c>
      <c r="H597" s="1708" t="inlineStr">
        <is>
          <t>短期_決算精算表 E63,G50</t>
        </is>
      </c>
      <c r="I597" s="1708" t="inlineStr">
        <is>
          <t>報告_短期P7-10、報告_短期P11-13、短期_財務諸表、短期_附属明細表</t>
        </is>
      </c>
    </row>
    <row r="598" spans="1:9" ht="19.95" customHeight="1">
      <c r="A598" s="1752" t="s">
        <v>7</v>
      </c>
      <c r="B598" s="1708" t="s">
        <v>1927</v>
      </c>
      <c r="C598" s="1753" t="str">
        <f>HYPERLINK("#'短期_決算精算表'!E51","E51")</f>
        <v>E51</v>
      </c>
      <c r="D598" s="1708" t="s">
        <v>1945</v>
      </c>
      <c r="E598" s="1754">
        <f>IF(短期_決算精算表!E51="","",短期_決算精算表!E51)</f>
        <v>13759</v>
      </c>
      <c r="F598" s="1708" t="s">
        <v>1929</v>
      </c>
      <c r="G598" s="1709" t="str">
        <f t="shared" si="9"/>
        <v>入力済</v>
      </c>
      <c r="H598" s="1708" t="inlineStr">
        <is>
          <t>短期_決算精算表 E63,G51</t>
        </is>
      </c>
      <c r="I598" s="1708" t="inlineStr">
        <is>
          <t>報告_短期P7-10、報告_短期P11-13、報告_P8グラフデータ、短期_財務諸表 ほか1シート</t>
        </is>
      </c>
    </row>
    <row r="599" spans="1:9" ht="19.95" customHeight="1">
      <c r="A599" s="1755" t="s">
        <v>7</v>
      </c>
      <c r="B599" s="1711" t="s">
        <v>1927</v>
      </c>
      <c r="C599" s="1756" t="str">
        <f>HYPERLINK("#'短期_決算精算表'!E52","E52")</f>
        <v>E52</v>
      </c>
      <c r="D599" s="1711" t="s">
        <v>1946</v>
      </c>
      <c r="E599" s="1757">
        <f>IF(短期_決算精算表!E52="","",短期_決算精算表!E52)</f>
        <v>71223000</v>
      </c>
      <c r="F599" s="1711" t="s">
        <v>1929</v>
      </c>
      <c r="G599" s="1709" t="str">
        <f t="shared" si="9"/>
        <v>入力済</v>
      </c>
      <c r="H599" s="1708" t="inlineStr">
        <is>
          <t>短期_決算精算表 E63,G52</t>
        </is>
      </c>
      <c r="I599" s="1708" t="inlineStr">
        <is>
          <t>報告_短期P7-10、報告_短期P11-13、報告_P8グラフデータ、短期_財務諸表 ほか1シート</t>
        </is>
      </c>
    </row>
    <row r="600" spans="1:9" ht="19.95" customHeight="1">
      <c r="A600" s="1752" t="s">
        <v>7</v>
      </c>
      <c r="B600" s="1708" t="s">
        <v>1927</v>
      </c>
      <c r="C600" s="1753" t="str">
        <f>HYPERLINK("#'短期_決算精算表'!E54","E54")</f>
        <v>E54</v>
      </c>
      <c r="D600" s="1708" t="s">
        <v>1947</v>
      </c>
      <c r="E600" s="1754">
        <f>IF(短期_決算精算表!E54="","",短期_決算精算表!E54)</f>
        <v>587346584</v>
      </c>
      <c r="F600" s="1708" t="s">
        <v>1929</v>
      </c>
      <c r="G600" s="1709" t="str">
        <f t="shared" si="9"/>
        <v>入力済</v>
      </c>
      <c r="H600" s="1708" t="inlineStr">
        <is>
          <t>短期_決算精算表 E63,G54</t>
        </is>
      </c>
      <c r="I600" s="1708" t="inlineStr">
        <is>
          <t>報告_短期P7-10、報告_短期P11-13、報告_P8グラフデータ、短期_財務諸表 ほか1シート</t>
        </is>
      </c>
    </row>
    <row r="601" spans="1:9" ht="19.95" customHeight="1">
      <c r="A601" s="1755" t="s">
        <v>7</v>
      </c>
      <c r="B601" s="1711" t="s">
        <v>1927</v>
      </c>
      <c r="C601" s="1756" t="str">
        <f>HYPERLINK("#'短期_決算精算表'!E55","E55")</f>
        <v>E55</v>
      </c>
      <c r="D601" s="1711" t="s">
        <v>1948</v>
      </c>
      <c r="E601" s="1757">
        <f>IF(短期_決算精算表!E55="","",短期_決算精算表!E55)</f>
        <v>10496090</v>
      </c>
      <c r="F601" s="1711" t="s">
        <v>1929</v>
      </c>
      <c r="G601" s="1709" t="str">
        <f t="shared" si="9"/>
        <v>入力済</v>
      </c>
      <c r="H601" s="1708" t="inlineStr">
        <is>
          <t>短期_決算精算表 E63,G55</t>
        </is>
      </c>
      <c r="I601" s="1708" t="inlineStr">
        <is>
          <t>報告_短期P7-10、報告_短期P11-13、報告_P8グラフデータ、短期_財務諸表 ほか1シート</t>
        </is>
      </c>
    </row>
    <row r="602" spans="1:9" ht="19.95" customHeight="1">
      <c r="A602" s="1752" t="s">
        <v>7</v>
      </c>
      <c r="B602" s="1708" t="s">
        <v>1927</v>
      </c>
      <c r="C602" s="1753" t="str">
        <f>HYPERLINK("#'短期_決算精算表'!E56","E56")</f>
        <v>E56</v>
      </c>
      <c r="D602" s="1708" t="s">
        <v>1949</v>
      </c>
      <c r="E602" s="1754">
        <f>IF(短期_決算精算表!E56="","",短期_決算精算表!E56)</f>
        <v>37196000</v>
      </c>
      <c r="F602" s="1708" t="s">
        <v>1929</v>
      </c>
      <c r="G602" s="1709" t="str">
        <f t="shared" si="9"/>
        <v>入力済</v>
      </c>
      <c r="H602" s="1708" t="inlineStr">
        <is>
          <t>短期_決算精算表 E63,G56</t>
        </is>
      </c>
      <c r="I602" s="1708" t="inlineStr">
        <is>
          <t>報告_短期P7-10、報告_短期P11-13、報告_P8グラフデータ、短期_財務諸表 ほか1シート</t>
        </is>
      </c>
    </row>
    <row r="603" spans="1:9" ht="19.95" customHeight="1">
      <c r="A603" s="1755" t="s">
        <v>7</v>
      </c>
      <c r="B603" s="1711" t="s">
        <v>1927</v>
      </c>
      <c r="C603" s="1756" t="str">
        <f>HYPERLINK("#'短期_決算精算表'!E58","E58")</f>
        <v>E58</v>
      </c>
      <c r="D603" s="1711" t="s">
        <v>1950</v>
      </c>
      <c r="E603" s="1757">
        <f>IF(短期_決算精算表!E58="","",短期_決算精算表!E58)</f>
        <v>1422838</v>
      </c>
      <c r="F603" s="1711" t="s">
        <v>1929</v>
      </c>
      <c r="G603" s="1709" t="str">
        <f t="shared" si="9"/>
        <v>入力済</v>
      </c>
      <c r="H603" s="1708" t="inlineStr">
        <is>
          <t>短期_決算精算表 E63,G58</t>
        </is>
      </c>
      <c r="I603" s="1708" t="inlineStr">
        <is>
          <t>報告_短期P7-10、報告_短期P11-13、報告_P8グラフデータ、短期_財務諸表 ほか1シート</t>
        </is>
      </c>
    </row>
    <row r="604" spans="1:9" ht="19.95" customHeight="1">
      <c r="A604" s="1752" t="s">
        <v>7</v>
      </c>
      <c r="B604" s="1708" t="s">
        <v>1927</v>
      </c>
      <c r="C604" s="1753" t="str">
        <f>HYPERLINK("#'短期_決算精算表'!E60","E60")</f>
        <v>E60</v>
      </c>
      <c r="D604" s="1708" t="s">
        <v>1951</v>
      </c>
      <c r="E604" s="1754">
        <f>IF(短期_決算精算表!E60="","",短期_決算精算表!E60)</f>
        <v>10567708</v>
      </c>
      <c r="F604" s="1708" t="s">
        <v>1929</v>
      </c>
      <c r="G604" s="1709" t="str">
        <f t="shared" si="9"/>
        <v>入力済</v>
      </c>
      <c r="H604" s="1708" t="inlineStr">
        <is>
          <t>短期_決算精算表 E63,G60</t>
        </is>
      </c>
      <c r="I604" s="1708" t="inlineStr">
        <is>
          <t>報告_短期P7-10、報告_短期P11-13、報告_P8グラフデータ、短期_財務諸表 ほか1シート</t>
        </is>
      </c>
    </row>
    <row r="605" spans="1:9" ht="19.95" customHeight="1">
      <c r="A605" s="1755" t="s">
        <v>8</v>
      </c>
      <c r="B605" s="1711" t="s">
        <v>1952</v>
      </c>
      <c r="C605" s="1756" t="str">
        <f>HYPERLINK("#'厚生_預金・立替・未収'!E7","E7")</f>
        <v>E7</v>
      </c>
      <c r="D605" s="1711" t="s">
        <v>1904</v>
      </c>
      <c r="E605" s="1757">
        <f>IF(厚生_預金・立替・未収!E7="","",厚生_預金・立替・未収!E7)</f>
        <v>1679528183</v>
      </c>
      <c r="F605" s="1711" t="s">
        <v>1905</v>
      </c>
      <c r="G605" s="1709" t="str">
        <f t="shared" si="9"/>
        <v>入力済</v>
      </c>
      <c r="H605" s="1708" t="inlineStr">
        <is>
          <t>厚生_預金・立替・未収 E8</t>
        </is>
      </c>
      <c r="I605" s="1708" t="inlineStr">
        <is>
          <t>厚生_貸借・損益、厚生_決算精算表</t>
        </is>
      </c>
    </row>
    <row r="606" spans="1:9" ht="19.95" customHeight="1">
      <c r="A606" s="1752" t="s">
        <v>8</v>
      </c>
      <c r="B606" s="1708" t="s">
        <v>1952</v>
      </c>
      <c r="C606" s="1753" t="str">
        <f>HYPERLINK("#'厚生_預金・立替・未収'!E9","E9")</f>
        <v>E9</v>
      </c>
      <c r="D606" s="1708" t="s">
        <v>1906</v>
      </c>
      <c r="E606" s="1754">
        <f>IF(厚生_預金・立替・未収!E9="","",厚生_預金・立替・未収!E9)</f>
        <v>90000</v>
      </c>
      <c r="F606" s="1708" t="s">
        <v>1905</v>
      </c>
      <c r="G606" s="1709" t="str">
        <f t="shared" si="9"/>
        <v>入力済</v>
      </c>
      <c r="H606" s="1708" t="inlineStr">
        <is>
          <t>厚生_預金・立替・未収 E10</t>
        </is>
      </c>
      <c r="I606" s="1708" t="inlineStr">
        <is>
          <t>厚生_貸借・損益、厚生_決算精算表</t>
        </is>
      </c>
    </row>
    <row r="607" spans="1:9" ht="19.95" customHeight="1">
      <c r="A607" s="1755" t="s">
        <v>8</v>
      </c>
      <c r="B607" s="1711" t="s">
        <v>1952</v>
      </c>
      <c r="C607" s="1756" t="str">
        <f>HYPERLINK("#'厚生_預金・立替・未収'!C18","C18")</f>
        <v>C18</v>
      </c>
      <c r="D607" s="1711" t="s">
        <v>1953</v>
      </c>
      <c r="E607" s="1757">
        <f>IF(厚生_預金・立替・未収!C18="","",厚生_預金・立替・未収!C18)</f>
        <v>0</v>
      </c>
      <c r="F607" s="1711" t="s">
        <v>1905</v>
      </c>
      <c r="G607" s="1709" t="str">
        <f t="shared" si="9"/>
        <v>0（確認）</v>
      </c>
      <c r="H607" s="1708" t="inlineStr">
        <is>
          <t>厚生_預金・立替・未収 C19</t>
        </is>
      </c>
      <c r="I607" s="1708" t="inlineStr">
        <is>
          <t>厚生_貸借・損益</t>
        </is>
      </c>
    </row>
    <row r="608" spans="1:9" ht="19.95" customHeight="1">
      <c r="A608" s="1752" t="s">
        <v>8</v>
      </c>
      <c r="B608" s="1708" t="s">
        <v>1952</v>
      </c>
      <c r="C608" s="1753" t="str">
        <f>HYPERLINK("#'厚生_預金・立替・未収'!C25","C25")</f>
        <v>C25</v>
      </c>
      <c r="D608" s="1708" t="s">
        <v>1954</v>
      </c>
      <c r="E608" s="1754">
        <f>IF(厚生_預金・立替・未収!C25="","",厚生_預金・立替・未収!C25)</f>
        <v>680106267</v>
      </c>
      <c r="F608" s="1708" t="s">
        <v>1905</v>
      </c>
      <c r="G608" s="1709" t="str">
        <f t="shared" si="9"/>
        <v>入力済</v>
      </c>
      <c r="H608" s="1708" t="inlineStr">
        <is>
          <t>厚生_預金・立替・未収 C30、厚生_決算精算表 B17</t>
        </is>
      </c>
      <c r="I608" s="1708" t="inlineStr">
        <is>
          <t>厚生_貸借・損益、厚生_決算精算表</t>
        </is>
      </c>
    </row>
    <row r="609" spans="1:9" ht="19.95" customHeight="1">
      <c r="A609" s="1755" t="s">
        <v>8</v>
      </c>
      <c r="B609" s="1711" t="s">
        <v>1952</v>
      </c>
      <c r="C609" s="1756" t="str">
        <f>HYPERLINK("#'厚生_預金・立替・未収'!C26","C26")</f>
        <v>C26</v>
      </c>
      <c r="D609" s="1711" t="s">
        <v>1955</v>
      </c>
      <c r="E609" s="1757">
        <f>IF(厚生_預金・立替・未収!C26="","",厚生_預金・立替・未収!C26)</f>
        <v>74756</v>
      </c>
      <c r="F609" s="1711" t="s">
        <v>1905</v>
      </c>
      <c r="G609" s="1709" t="str">
        <f t="shared" si="9"/>
        <v>入力済</v>
      </c>
      <c r="H609" s="1708" t="inlineStr">
        <is>
          <t>厚生_預金・立替・未収 C30、厚生_決算精算表 B17</t>
        </is>
      </c>
      <c r="I609" s="1708" t="inlineStr">
        <is>
          <t>厚生_貸借・損益、厚生_決算精算表</t>
        </is>
      </c>
    </row>
    <row r="610" spans="1:9" ht="19.95" customHeight="1">
      <c r="A610" s="1752" t="s">
        <v>8</v>
      </c>
      <c r="B610" s="1708" t="s">
        <v>1952</v>
      </c>
      <c r="C610" s="1753" t="str">
        <f>HYPERLINK("#'厚生_預金・立替・未収'!C27","C27")</f>
        <v>C27</v>
      </c>
      <c r="D610" s="1708" t="s">
        <v>1956</v>
      </c>
      <c r="E610" s="1754">
        <f>IF(厚生_預金・立替・未収!C27="","",厚生_預金・立替・未収!C27)</f>
        <v>319390391</v>
      </c>
      <c r="F610" s="1708" t="s">
        <v>1905</v>
      </c>
      <c r="G610" s="1709" t="str">
        <f t="shared" si="9"/>
        <v>入力済</v>
      </c>
      <c r="H610" s="1708" t="inlineStr">
        <is>
          <t>厚生_預金・立替・未収 C30、厚生_決算精算表 B17</t>
        </is>
      </c>
      <c r="I610" s="1708" t="inlineStr">
        <is>
          <t>厚生_貸借・損益、厚生_決算精算表</t>
        </is>
      </c>
    </row>
    <row r="611" spans="1:9" ht="19.95" customHeight="1">
      <c r="A611" s="1755" t="s">
        <v>8</v>
      </c>
      <c r="B611" s="1711" t="s">
        <v>1952</v>
      </c>
      <c r="C611" s="1756" t="str">
        <f>HYPERLINK("#'厚生_預金・立替・未収'!C28","C28")</f>
        <v>C28</v>
      </c>
      <c r="D611" s="1711" t="s">
        <v>1957</v>
      </c>
      <c r="E611" s="1757">
        <f>IF(厚生_預金・立替・未収!C28="","",厚生_預金・立替・未収!C28)</f>
        <v>489892831</v>
      </c>
      <c r="F611" s="1711" t="s">
        <v>1905</v>
      </c>
      <c r="G611" s="1709" t="str">
        <f t="shared" si="9"/>
        <v>入力済</v>
      </c>
      <c r="H611" s="1708" t="inlineStr">
        <is>
          <t>厚生_預金・立替・未収 C30、厚生_決算精算表 B18</t>
        </is>
      </c>
      <c r="I611" s="1708" t="inlineStr">
        <is>
          <t>厚生_貸借・損益、厚生_決算精算表</t>
        </is>
      </c>
    </row>
    <row r="612" spans="1:9" ht="19.95" customHeight="1">
      <c r="A612" s="1752" t="s">
        <v>8</v>
      </c>
      <c r="B612" s="1708" t="s">
        <v>1952</v>
      </c>
      <c r="C612" s="1753" t="str">
        <f>HYPERLINK("#'厚生_預金・立替・未収'!C29","C29")</f>
        <v>C29</v>
      </c>
      <c r="D612" s="1708" t="s">
        <v>1958</v>
      </c>
      <c r="E612" s="1754">
        <f>IF(厚生_預金・立替・未収!C29="","",厚生_預金・立替・未収!C29)</f>
        <v>190063938</v>
      </c>
      <c r="F612" s="1708" t="s">
        <v>1905</v>
      </c>
      <c r="G612" s="1709" t="str">
        <f t="shared" si="9"/>
        <v>入力済</v>
      </c>
      <c r="H612" s="1708" t="inlineStr">
        <is>
          <t>厚生_預金・立替・未収 C30、厚生_決算精算表 B18</t>
        </is>
      </c>
      <c r="I612" s="1708" t="inlineStr">
        <is>
          <t>厚生_貸借・損益、厚生_決算精算表</t>
        </is>
      </c>
    </row>
    <row r="613" spans="1:9" ht="19.95" customHeight="1">
      <c r="A613" s="1755" t="s">
        <v>8</v>
      </c>
      <c r="B613" s="1711" t="s">
        <v>1952</v>
      </c>
      <c r="C613" s="1756" t="str">
        <f>HYPERLINK("#'厚生_預金・立替・未収'!C37","C37")</f>
        <v>C37</v>
      </c>
      <c r="D613" s="1711" t="s">
        <v>1959</v>
      </c>
      <c r="E613" s="1757">
        <f>IF(厚生_預金・立替・未収!C37="","",厚生_預金・立替・未収!C37)</f>
        <v>90000</v>
      </c>
      <c r="F613" s="1711" t="s">
        <v>1905</v>
      </c>
      <c r="G613" s="1709" t="str">
        <f t="shared" si="9"/>
        <v>入力済</v>
      </c>
      <c r="H613" s="1708" t="inlineStr">
        <is>
          <t>厚生_預金・立替・未収 C38</t>
        </is>
      </c>
      <c r="I613" s="1708" t="inlineStr">
        <is>
          <t>厚生_貸借・損益、厚生_決算精算表</t>
        </is>
      </c>
    </row>
    <row r="614" spans="1:9" ht="19.95" customHeight="1">
      <c r="A614" s="1752" t="s">
        <v>8</v>
      </c>
      <c r="B614" s="1708" t="s">
        <v>1960</v>
      </c>
      <c r="C614" s="1753" t="str">
        <f>HYPERLINK("#'厚生_決算精算表'!C17","C17")</f>
        <v>C17</v>
      </c>
      <c r="D614" s="1708" t="s">
        <v>1961</v>
      </c>
      <c r="E614" s="1754">
        <f>IF(厚生_決算精算表!C17="","",厚生_決算精算表!C17)</f>
        <v>10996023469</v>
      </c>
      <c r="F614" s="1708" t="s">
        <v>1929</v>
      </c>
      <c r="G614" s="1709" t="str">
        <f t="shared" si="9"/>
        <v>入力済</v>
      </c>
      <c r="H614" s="1708" t="inlineStr">
        <is>
          <t>厚生_決算精算表 A17,C21</t>
        </is>
      </c>
      <c r="I614" s="1708" t="inlineStr">
        <is>
          <t>厚生_貸借・損益</t>
        </is>
      </c>
    </row>
    <row r="615" spans="1:9" ht="19.95" customHeight="1">
      <c r="A615" s="1755" t="s">
        <v>8</v>
      </c>
      <c r="B615" s="1711" t="s">
        <v>1960</v>
      </c>
      <c r="C615" s="1756" t="str">
        <f>HYPERLINK("#'厚生_決算精算表'!C18","C18")</f>
        <v>C18</v>
      </c>
      <c r="D615" s="1711" t="s">
        <v>1962</v>
      </c>
      <c r="E615" s="1757">
        <f>IF(厚生_決算精算表!C18="","",厚生_決算精算表!C18)</f>
        <v>7055858144</v>
      </c>
      <c r="F615" s="1711" t="s">
        <v>1929</v>
      </c>
      <c r="G615" s="1709" t="str">
        <f t="shared" si="9"/>
        <v>入力済</v>
      </c>
      <c r="H615" s="1708" t="inlineStr">
        <is>
          <t>厚生_決算精算表 A18,C21</t>
        </is>
      </c>
      <c r="I615" s="1708" t="inlineStr">
        <is>
          <t>厚生_貸借・損益</t>
        </is>
      </c>
    </row>
    <row r="616" spans="1:9" ht="19.95" customHeight="1">
      <c r="A616" s="1752" t="s">
        <v>9</v>
      </c>
      <c r="B616" s="1708" t="s">
        <v>1963</v>
      </c>
      <c r="C616" s="1753" t="str">
        <f>HYPERLINK("#'退職等_預金・立替・未収'!E7","E7")</f>
        <v>E7</v>
      </c>
      <c r="D616" s="1708" t="s">
        <v>1904</v>
      </c>
      <c r="E616" s="1754">
        <f>IF(退職等_預金・立替・未収!E7="","",退職等_預金・立替・未収!E7)</f>
        <v>111499006</v>
      </c>
      <c r="F616" s="1708" t="s">
        <v>1905</v>
      </c>
      <c r="G616" s="1709" t="str">
        <f t="shared" si="9"/>
        <v>入力済</v>
      </c>
      <c r="H616" s="1708" t="inlineStr">
        <is>
          <t>退職等_預金・立替・未収 E8</t>
        </is>
      </c>
      <c r="I616" s="1708" t="inlineStr">
        <is>
          <t>退職等_貸借・損益、退職等_決算精算表</t>
        </is>
      </c>
    </row>
    <row r="617" spans="1:9" ht="19.95" customHeight="1">
      <c r="A617" s="1755" t="s">
        <v>9</v>
      </c>
      <c r="B617" s="1711" t="s">
        <v>1963</v>
      </c>
      <c r="C617" s="1756" t="str">
        <f>HYPERLINK("#'退職等_預金・立替・未収'!C22","C22")</f>
        <v>C22</v>
      </c>
      <c r="D617" s="1711" t="s">
        <v>1954</v>
      </c>
      <c r="E617" s="1757">
        <f>IF(退職等_預金・立替・未収!C22="","",退職等_預金・立替・未収!C22)</f>
        <v>55743611</v>
      </c>
      <c r="F617" s="1711" t="s">
        <v>1905</v>
      </c>
      <c r="G617" s="1709" t="str">
        <f t="shared" si="9"/>
        <v>入力済</v>
      </c>
      <c r="H617" s="1708" t="inlineStr">
        <is>
          <t>退職等_預金・立替・未収 C26、退職等_決算精算表 B17</t>
        </is>
      </c>
      <c r="I617" s="1708" t="inlineStr">
        <is>
          <t>退職等_貸借・損益、退職等_決算精算表</t>
        </is>
      </c>
    </row>
    <row r="618" spans="1:9" ht="19.95" customHeight="1">
      <c r="A618" s="1752" t="s">
        <v>9</v>
      </c>
      <c r="B618" s="1708" t="s">
        <v>1963</v>
      </c>
      <c r="C618" s="1753" t="str">
        <f>HYPERLINK("#'退職等_預金・立替・未収'!C23","C23")</f>
        <v>C23</v>
      </c>
      <c r="D618" s="1708" t="s">
        <v>1955</v>
      </c>
      <c r="E618" s="1754">
        <f>IF(退職等_預金・立替・未収!C23="","",退職等_預金・立替・未収!C23)</f>
        <v>6127</v>
      </c>
      <c r="F618" s="1708" t="s">
        <v>1905</v>
      </c>
      <c r="G618" s="1709" t="str">
        <f t="shared" si="9"/>
        <v>入力済</v>
      </c>
      <c r="H618" s="1708" t="inlineStr">
        <is>
          <t>退職等_預金・立替・未収 C26、退職等_決算精算表 B17</t>
        </is>
      </c>
      <c r="I618" s="1708" t="inlineStr">
        <is>
          <t>退職等_貸借・損益、退職等_決算精算表</t>
        </is>
      </c>
    </row>
    <row r="619" spans="1:9" ht="19.95" customHeight="1">
      <c r="A619" s="1755" t="s">
        <v>9</v>
      </c>
      <c r="B619" s="1711" t="s">
        <v>1963</v>
      </c>
      <c r="C619" s="1756" t="str">
        <f>HYPERLINK("#'退職等_預金・立替・未収'!C24","C24")</f>
        <v>C24</v>
      </c>
      <c r="D619" s="1711" t="s">
        <v>1964</v>
      </c>
      <c r="E619" s="1757">
        <f>IF(退職等_預金・立替・未収!C24="","",退職等_預金・立替・未収!C24)</f>
        <v>40167526</v>
      </c>
      <c r="F619" s="1711" t="s">
        <v>1905</v>
      </c>
      <c r="G619" s="1709" t="str">
        <f t="shared" si="9"/>
        <v>入力済</v>
      </c>
      <c r="H619" s="1708" t="inlineStr">
        <is>
          <t>退職等_預金・立替・未収 C26、退職等_決算精算表 B18</t>
        </is>
      </c>
      <c r="I619" s="1708" t="inlineStr">
        <is>
          <t>退職等_貸借・損益、退職等_決算精算表</t>
        </is>
      </c>
    </row>
    <row r="620" spans="1:9" ht="19.95" customHeight="1">
      <c r="A620" s="1752" t="s">
        <v>9</v>
      </c>
      <c r="B620" s="1708" t="s">
        <v>1963</v>
      </c>
      <c r="C620" s="1753" t="str">
        <f>HYPERLINK("#'退職等_預金・立替・未収'!C25","C25")</f>
        <v>C25</v>
      </c>
      <c r="D620" s="1708" t="s">
        <v>1965</v>
      </c>
      <c r="E620" s="1754">
        <f>IF(退職等_預金・立替・未収!C25="","",退職等_預金・立替・未収!C25)</f>
        <v>15581742</v>
      </c>
      <c r="F620" s="1708" t="s">
        <v>1905</v>
      </c>
      <c r="G620" s="1709" t="str">
        <f t="shared" si="9"/>
        <v>入力済</v>
      </c>
      <c r="H620" s="1708" t="inlineStr">
        <is>
          <t>退職等_預金・立替・未収 C26、退職等_決算精算表 B18</t>
        </is>
      </c>
      <c r="I620" s="1708" t="inlineStr">
        <is>
          <t>退職等_貸借・損益、退職等_決算精算表</t>
        </is>
      </c>
    </row>
    <row r="621" spans="1:9" ht="19.95" customHeight="1">
      <c r="A621" s="1755" t="s">
        <v>9</v>
      </c>
      <c r="B621" s="1711" t="s">
        <v>1963</v>
      </c>
      <c r="C621" s="1756" t="str">
        <f>HYPERLINK("#'退職等_預金・立替・未収'!C33","C33")</f>
        <v>C33</v>
      </c>
      <c r="D621" s="1711" t="s">
        <v>1959</v>
      </c>
      <c r="E621" s="1757">
        <f>IF(退職等_預金・立替・未収!C33="","",退職等_預金・立替・未収!C33)</f>
        <v>0</v>
      </c>
      <c r="F621" s="1711" t="s">
        <v>1905</v>
      </c>
      <c r="G621" s="1709" t="str">
        <f t="shared" si="9"/>
        <v>0（確認）</v>
      </c>
      <c r="H621" s="1708" t="inlineStr">
        <is>
          <t>退職等_預金・立替・未収 C34</t>
        </is>
      </c>
      <c r="I621" s="1708" t="inlineStr">
        <is>
          <t>退職等_貸借・損益、退職等_決算精算表</t>
        </is>
      </c>
    </row>
    <row r="622" spans="1:9" ht="19.95" customHeight="1">
      <c r="A622" s="1752" t="s">
        <v>9</v>
      </c>
      <c r="B622" s="1708" t="s">
        <v>1966</v>
      </c>
      <c r="C622" s="1753" t="str">
        <f>HYPERLINK("#'退職等_決算精算表'!C13","C13")</f>
        <v>C13</v>
      </c>
      <c r="D622" s="1708" t="s">
        <v>1967</v>
      </c>
      <c r="E622" s="1754">
        <f>IF(退職等_決算精算表!C13="","",退職等_決算精算表!C13)</f>
        <v>0</v>
      </c>
      <c r="F622" s="1708" t="s">
        <v>1929</v>
      </c>
      <c r="G622" s="1709" t="str">
        <f t="shared" si="9"/>
        <v>0（確認）</v>
      </c>
      <c r="H622" s="1708" t="inlineStr">
        <is>
          <t>退職等_決算精算表 A13,C16</t>
        </is>
      </c>
      <c r="I622" s="1708" t="inlineStr">
        <is>
          <t>同じシート内のみ</t>
        </is>
      </c>
    </row>
    <row r="623" spans="1:9" ht="19.95" customHeight="1">
      <c r="A623" s="1755" t="s">
        <v>9</v>
      </c>
      <c r="B623" s="1711" t="s">
        <v>1966</v>
      </c>
      <c r="C623" s="1756" t="str">
        <f>HYPERLINK("#'退職等_決算精算表'!C17","C17")</f>
        <v>C17</v>
      </c>
      <c r="D623" s="1711" t="s">
        <v>1961</v>
      </c>
      <c r="E623" s="1757">
        <f>IF(退職等_決算精算表!C17="","",退職等_決算精算表!C17)</f>
        <v>578409717</v>
      </c>
      <c r="F623" s="1711" t="s">
        <v>1929</v>
      </c>
      <c r="G623" s="1709" t="str">
        <f t="shared" si="9"/>
        <v>入力済</v>
      </c>
      <c r="H623" s="1708" t="inlineStr">
        <is>
          <t>退職等_決算精算表 A17,C21</t>
        </is>
      </c>
      <c r="I623" s="1708" t="inlineStr">
        <is>
          <t>退職等_貸借・損益</t>
        </is>
      </c>
    </row>
    <row r="624" spans="1:9" ht="19.95" customHeight="1">
      <c r="A624" s="1752" t="s">
        <v>9</v>
      </c>
      <c r="B624" s="1708" t="s">
        <v>1966</v>
      </c>
      <c r="C624" s="1753" t="str">
        <f>HYPERLINK("#'退職等_決算精算表'!C18","C18")</f>
        <v>C18</v>
      </c>
      <c r="D624" s="1708" t="s">
        <v>1968</v>
      </c>
      <c r="E624" s="1754">
        <f>IF(退職等_決算精算表!C18="","",退職等_決算精算表!C18)</f>
        <v>578456627</v>
      </c>
      <c r="F624" s="1708" t="s">
        <v>1929</v>
      </c>
      <c r="G624" s="1709" t="str">
        <f t="shared" si="9"/>
        <v>入力済</v>
      </c>
      <c r="H624" s="1708" t="inlineStr">
        <is>
          <t>退職等_決算精算表 A18,C21</t>
        </is>
      </c>
      <c r="I624" s="1708" t="inlineStr">
        <is>
          <t>退職等_貸借・損益</t>
        </is>
      </c>
    </row>
    <row r="625" spans="1:9" ht="19.95" customHeight="1">
      <c r="A625" s="1755" t="s">
        <v>10</v>
      </c>
      <c r="B625" s="1711" t="s">
        <v>1969</v>
      </c>
      <c r="C625" s="1756" t="str">
        <f>HYPERLINK("#'経過的_預金・立替・未収'!E7","E7")</f>
        <v>E7</v>
      </c>
      <c r="D625" s="1711" t="s">
        <v>1904</v>
      </c>
      <c r="E625" s="1757">
        <f>IF(経過的_預金・立替・未収!E7="","",経過的_預金・立替・未収!E7)</f>
        <v>722478</v>
      </c>
      <c r="F625" s="1711" t="s">
        <v>1905</v>
      </c>
      <c r="G625" s="1709" t="str">
        <f t="shared" si="9"/>
        <v>入力済</v>
      </c>
      <c r="H625" s="1708" t="inlineStr">
        <is>
          <t>経過的_預金・立替・未収 E8</t>
        </is>
      </c>
      <c r="I625" s="1708" t="inlineStr">
        <is>
          <t>経過的_貸借・損益、経過的_決算精算表</t>
        </is>
      </c>
    </row>
    <row r="626" spans="1:9" ht="19.95" customHeight="1">
      <c r="A626" s="1752" t="s">
        <v>10</v>
      </c>
      <c r="B626" s="1708" t="s">
        <v>1969</v>
      </c>
      <c r="C626" s="1753" t="str">
        <f>HYPERLINK("#'経過的_預金・立替・未収'!C15","C15")</f>
        <v>C15</v>
      </c>
      <c r="D626" s="1708" t="s">
        <v>1953</v>
      </c>
      <c r="E626" s="1754">
        <f>IF(経過的_預金・立替・未収!C15="","",経過的_預金・立替・未収!C15)</f>
        <v>0</v>
      </c>
      <c r="F626" s="1708" t="s">
        <v>1905</v>
      </c>
      <c r="G626" s="1709" t="str">
        <f t="shared" si="9"/>
        <v>0（確認）</v>
      </c>
      <c r="H626" s="1708" t="inlineStr">
        <is>
          <t>経過的_預金・立替・未収 C16</t>
        </is>
      </c>
      <c r="I626" s="1708" t="inlineStr">
        <is>
          <t>経過的_貸借・損益</t>
        </is>
      </c>
    </row>
    <row r="627" spans="1:9" ht="19.95" customHeight="1">
      <c r="A627" s="1755" t="s">
        <v>10</v>
      </c>
      <c r="B627" s="1711" t="s">
        <v>1969</v>
      </c>
      <c r="C627" s="1756" t="str">
        <f>HYPERLINK("#'経過的_預金・立替・未収'!C22","C22")</f>
        <v>C22</v>
      </c>
      <c r="D627" s="1711" t="s">
        <v>1954</v>
      </c>
      <c r="E627" s="1757">
        <f>IF(経過的_預金・立替・未収!C22="","",経過的_預金・立替・未収!C22)</f>
        <v>722478</v>
      </c>
      <c r="F627" s="1711" t="s">
        <v>1905</v>
      </c>
      <c r="G627" s="1709" t="str">
        <f t="shared" si="9"/>
        <v>入力済</v>
      </c>
      <c r="H627" s="1708" t="inlineStr">
        <is>
          <t>経過的_預金・立替・未収 C23、経過的_決算精算表 B16</t>
        </is>
      </c>
      <c r="I627" s="1708" t="inlineStr">
        <is>
          <t>経過的_貸借・損益、経過的_決算精算表</t>
        </is>
      </c>
    </row>
    <row r="628" spans="1:9" ht="19.95" customHeight="1">
      <c r="A628" s="1752" t="s">
        <v>10</v>
      </c>
      <c r="B628" s="1708" t="s">
        <v>1970</v>
      </c>
      <c r="C628" s="1753" t="str">
        <f>HYPERLINK("#'経過的_決算精算表'!C16","C16")</f>
        <v>C16</v>
      </c>
      <c r="D628" s="1708" t="s">
        <v>1961</v>
      </c>
      <c r="E628" s="1754">
        <f>IF(経過的_決算精算表!C16="","",経過的_決算精算表!C16)</f>
        <v>84897738</v>
      </c>
      <c r="F628" s="1708" t="s">
        <v>1929</v>
      </c>
      <c r="G628" s="1709" t="str">
        <f t="shared" si="9"/>
        <v>入力済</v>
      </c>
      <c r="H628" s="1708" t="inlineStr">
        <is>
          <t>経過的_決算精算表 A16,C18</t>
        </is>
      </c>
      <c r="I628" s="1708" t="inlineStr">
        <is>
          <t>経過的_貸借・損益</t>
        </is>
      </c>
    </row>
    <row r="629" spans="1:9" ht="19.95" customHeight="1">
      <c r="A629" s="1755" t="s">
        <v>11</v>
      </c>
      <c r="B629" s="1711" t="s">
        <v>1462</v>
      </c>
      <c r="C629" s="1756" t="str">
        <f>HYPERLINK("#'預託金_預金・未収・貸付・預託金'!F7","F7")</f>
        <v>F7</v>
      </c>
      <c r="D629" s="1711" t="s">
        <v>1904</v>
      </c>
      <c r="E629" s="1757">
        <f>IF(預託金_預金・未収・貸付・預託金!F7="","",預託金_預金・未収・貸付・預託金!F7)</f>
        <v>0</v>
      </c>
      <c r="F629" s="1711" t="s">
        <v>1905</v>
      </c>
      <c r="G629" s="1709" t="str">
        <f t="shared" si="9"/>
        <v>0（確認）</v>
      </c>
      <c r="H629" s="1708" t="inlineStr">
        <is>
          <t>預託金_預金・未収・貸付・預託金 F8</t>
        </is>
      </c>
      <c r="I629" s="1708" t="inlineStr">
        <is>
          <t>報告_預託金のカメラ、預託金_貸借・損益</t>
        </is>
      </c>
    </row>
    <row r="630" spans="1:9" ht="19.95" customHeight="1">
      <c r="A630" s="1752" t="s">
        <v>11</v>
      </c>
      <c r="B630" s="1708" t="s">
        <v>1462</v>
      </c>
      <c r="C630" s="1753" t="str">
        <f>HYPERLINK("#'預託金_預金・未収・貸付・預託金'!C14","C14")</f>
        <v>C14</v>
      </c>
      <c r="D630" s="1708" t="s">
        <v>1971</v>
      </c>
      <c r="E630" s="1754">
        <f>IF(預託金_預金・未収・貸付・預託金!C14="","",預託金_預金・未収・貸付・預託金!C14)</f>
        <v>0</v>
      </c>
      <c r="F630" s="1708" t="s">
        <v>1905</v>
      </c>
      <c r="G630" s="1709" t="str">
        <f t="shared" si="9"/>
        <v>0（確認）</v>
      </c>
      <c r="H630" s="1708" t="inlineStr">
        <is>
          <t>預託金_預金・未収・貸付・預託金 C15</t>
        </is>
      </c>
      <c r="I630" s="1708" t="inlineStr">
        <is>
          <t>報告_預託金のカメラ、預託金_貸借・損益</t>
        </is>
      </c>
    </row>
    <row r="631" spans="1:9" ht="19.95" customHeight="1">
      <c r="A631" s="1755" t="s">
        <v>11</v>
      </c>
      <c r="B631" s="1711" t="s">
        <v>1462</v>
      </c>
      <c r="C631" s="1756" t="str">
        <f>HYPERLINK("#'預託金_預金・未収・貸付・預託金'!I28","I28")</f>
        <v>I28</v>
      </c>
      <c r="D631" s="1711" t="s">
        <v>1972</v>
      </c>
      <c r="E631" s="1757">
        <f>IF(預託金_預金・未収・貸付・預託金!I28="","",預託金_預金・未収・貸付・預託金!I28)</f>
        <v>126203387</v>
      </c>
      <c r="F631" s="1711" t="s">
        <v>1905</v>
      </c>
      <c r="G631" s="1709" t="str">
        <f t="shared" si="9"/>
        <v>入力済</v>
      </c>
      <c r="H631" s="1708" t="inlineStr">
        <is>
          <t>預託金_預金・未収・貸付・預託金 I29,M28</t>
        </is>
      </c>
      <c r="I631" s="1708" t="inlineStr">
        <is>
          <t>預託金_貸借・損益</t>
        </is>
      </c>
    </row>
    <row r="632" spans="1:9" ht="19.95" customHeight="1">
      <c r="A632" s="1752" t="s">
        <v>11</v>
      </c>
      <c r="B632" s="1708" t="s">
        <v>1973</v>
      </c>
      <c r="C632" s="1753" t="str">
        <f>HYPERLINK("#'預託金_決算精算表'!C15","C15")</f>
        <v>C15</v>
      </c>
      <c r="D632" s="1708" t="s">
        <v>1974</v>
      </c>
      <c r="E632" s="1754">
        <f>IF(預託金_決算精算表!C15="","",預託金_決算精算表!C15)</f>
        <v>3</v>
      </c>
      <c r="F632" s="1708" t="s">
        <v>1929</v>
      </c>
      <c r="G632" s="1709" t="str">
        <f t="shared" si="9"/>
        <v>入力済</v>
      </c>
      <c r="H632" s="1708" t="inlineStr">
        <is>
          <t>預託金_決算精算表 A15,C16,G15</t>
        </is>
      </c>
      <c r="I632" s="1708" t="inlineStr">
        <is>
          <t>同じシート内のみ</t>
        </is>
      </c>
    </row>
    <row r="633" spans="1:9" ht="19.95" customHeight="1">
      <c r="A633" s="1755" t="s">
        <v>11</v>
      </c>
      <c r="B633" s="1711" t="s">
        <v>1973</v>
      </c>
      <c r="C633" s="1756" t="str">
        <f>HYPERLINK("#'預託金_決算精算表'!F15","F15")</f>
        <v>F15</v>
      </c>
      <c r="D633" s="1711" t="s">
        <v>1975</v>
      </c>
      <c r="E633" s="1757">
        <f>IF(預託金_決算精算表!F15="","",預託金_決算精算表!F15)</f>
        <v>3</v>
      </c>
      <c r="F633" s="1711" t="s">
        <v>1929</v>
      </c>
      <c r="G633" s="1709" t="str">
        <f t="shared" si="9"/>
        <v>入力済</v>
      </c>
      <c r="H633" s="1708" t="inlineStr">
        <is>
          <t>預託金_決算精算表 A15,F16,G15</t>
        </is>
      </c>
      <c r="I633" s="1708" t="inlineStr">
        <is>
          <t>同じシート内のみ</t>
        </is>
      </c>
    </row>
    <row r="634" spans="1:9" ht="19.95" customHeight="1">
      <c r="A634" s="1752" t="s">
        <v>11</v>
      </c>
      <c r="B634" s="1708" t="s">
        <v>1973</v>
      </c>
      <c r="C634" s="1753" t="str">
        <f>HYPERLINK("#'預託金_決算精算表'!B17","B17")</f>
        <v>B17</v>
      </c>
      <c r="D634" s="1708" t="s">
        <v>1976</v>
      </c>
      <c r="E634" s="1754">
        <f>IF(預託金_決算精算表!B17="","",預託金_決算精算表!B17)</f>
        <v>3</v>
      </c>
      <c r="F634" s="1708" t="s">
        <v>1929</v>
      </c>
      <c r="G634" s="1709" t="str">
        <f t="shared" si="9"/>
        <v>入力済</v>
      </c>
      <c r="H634" s="1708" t="inlineStr">
        <is>
          <t>預託金_決算精算表 A17,B19</t>
        </is>
      </c>
      <c r="I634" s="1708" t="inlineStr">
        <is>
          <t>報告_預託金P17、預託金_貸借・損益、預託金_預金・未収・貸付・預託金</t>
        </is>
      </c>
    </row>
    <row r="635" spans="1:9" ht="19.95" customHeight="1">
      <c r="A635" s="1755" t="s">
        <v>11</v>
      </c>
      <c r="B635" s="1711" t="s">
        <v>1973</v>
      </c>
      <c r="C635" s="1756" t="str">
        <f>HYPERLINK("#'預託金_決算精算表'!C17","C17")</f>
        <v>C17</v>
      </c>
      <c r="D635" s="1711" t="s">
        <v>1977</v>
      </c>
      <c r="E635" s="1757">
        <f>IF(預託金_決算精算表!C17="","",預託金_決算精算表!C17)</f>
        <v>136056</v>
      </c>
      <c r="F635" s="1711" t="s">
        <v>1929</v>
      </c>
      <c r="G635" s="1709" t="str">
        <f t="shared" si="9"/>
        <v>入力済</v>
      </c>
      <c r="H635" s="1708" t="inlineStr">
        <is>
          <t>預託金_決算精算表 A17,C19</t>
        </is>
      </c>
      <c r="I635" s="1708" t="inlineStr">
        <is>
          <t>報告_預託金P17、預託金_貸借・損益、預託金_預金・未収・貸付・預託金</t>
        </is>
      </c>
    </row>
    <row r="636" spans="1:9" ht="19.95" customHeight="1">
      <c r="A636" s="1752" t="s">
        <v>12</v>
      </c>
      <c r="B636" s="1708" t="s">
        <v>1467</v>
      </c>
      <c r="C636" s="1753" t="str">
        <f>HYPERLINK("#'業務_附属明細表'!M5","M5")</f>
        <v>M5</v>
      </c>
      <c r="D636" s="1708" t="s">
        <v>1904</v>
      </c>
      <c r="E636" s="1754">
        <f>IF(業務_附属明細表!M5="","",業務_附属明細表!M5)</f>
        <v>72939159</v>
      </c>
      <c r="F636" s="1708" t="s">
        <v>1905</v>
      </c>
      <c r="G636" s="1709" t="str">
        <f t="shared" si="9"/>
        <v>入力済</v>
      </c>
      <c r="H636" s="1708" t="inlineStr">
        <is>
          <t>業務_附属明細表 M6、業務_決算精算表 C9</t>
        </is>
      </c>
      <c r="I636" s="1708" t="inlineStr">
        <is>
          <t>業務_財務諸表、業務_決算精算表</t>
        </is>
      </c>
    </row>
    <row r="637" spans="1:9" ht="19.95" customHeight="1">
      <c r="A637" s="1755" t="s">
        <v>12</v>
      </c>
      <c r="B637" s="1711" t="s">
        <v>1467</v>
      </c>
      <c r="C637" s="1756" t="str">
        <f>HYPERLINK("#'業務_附属明細表'!G12","G12")</f>
        <v>G12</v>
      </c>
      <c r="D637" s="1711" t="s">
        <v>1978</v>
      </c>
      <c r="E637" s="1757">
        <f>IF(業務_附属明細表!G12="","",業務_附属明細表!G12)</f>
        <v>194420</v>
      </c>
      <c r="F637" s="1711" t="s">
        <v>1905</v>
      </c>
      <c r="G637" s="1709" t="str">
        <f t="shared" si="9"/>
        <v>入力済</v>
      </c>
      <c r="H637" s="1708" t="inlineStr">
        <is>
          <t>業務_附属明細表 G14</t>
        </is>
      </c>
      <c r="I637" s="1708" t="inlineStr">
        <is>
          <t>同じシート内のみ</t>
        </is>
      </c>
    </row>
    <row r="638" spans="1:9" ht="19.95" customHeight="1">
      <c r="A638" s="1752" t="s">
        <v>12</v>
      </c>
      <c r="B638" s="1708" t="s">
        <v>1467</v>
      </c>
      <c r="C638" s="1753" t="str">
        <f>HYPERLINK("#'業務_附属明細表'!G38","G38")</f>
        <v>G38</v>
      </c>
      <c r="D638" s="1708" t="s">
        <v>1978</v>
      </c>
      <c r="E638" s="1754">
        <f>IF(業務_附属明細表!G38="","",業務_附属明細表!G38)</f>
        <v>2356</v>
      </c>
      <c r="F638" s="1708" t="s">
        <v>1905</v>
      </c>
      <c r="G638" s="1709" t="str">
        <f t="shared" si="9"/>
        <v>入力済</v>
      </c>
      <c r="H638" s="1708" t="inlineStr">
        <is>
          <t>業務_附属明細表 G46、業務_決算精算表 B10</t>
        </is>
      </c>
      <c r="I638" s="1708" t="inlineStr">
        <is>
          <t>業務_財務諸表、業務_決算精算表</t>
        </is>
      </c>
    </row>
    <row r="639" spans="1:9" ht="19.95" customHeight="1">
      <c r="A639" s="1755" t="s">
        <v>12</v>
      </c>
      <c r="B639" s="1711" t="s">
        <v>1467</v>
      </c>
      <c r="C639" s="1756" t="str">
        <f>HYPERLINK("#'業務_附属明細表'!G39","G39")</f>
        <v>G39</v>
      </c>
      <c r="D639" s="1711" t="s">
        <v>1979</v>
      </c>
      <c r="E639" s="1757">
        <f>IF(業務_附属明細表!G39="","",業務_附属明細表!G39)</f>
        <v>846685</v>
      </c>
      <c r="F639" s="1711" t="s">
        <v>1905</v>
      </c>
      <c r="G639" s="1709" t="str">
        <f t="shared" si="9"/>
        <v>入力済</v>
      </c>
      <c r="H639" s="1708" t="inlineStr">
        <is>
          <t>業務_附属明細表 G46、業務_決算精算表 B25</t>
        </is>
      </c>
      <c r="I639" s="1708" t="inlineStr">
        <is>
          <t>報告_業務P19、業務_財務諸表、業務_決算精算表</t>
        </is>
      </c>
    </row>
    <row r="640" spans="1:9" ht="19.95" customHeight="1">
      <c r="A640" s="1752" t="s">
        <v>12</v>
      </c>
      <c r="B640" s="1708" t="s">
        <v>1467</v>
      </c>
      <c r="C640" s="1753" t="str">
        <f>HYPERLINK("#'業務_附属明細表'!G40","G40")</f>
        <v>G40</v>
      </c>
      <c r="D640" s="1708" t="s">
        <v>1980</v>
      </c>
      <c r="E640" s="1754">
        <f>IF(業務_附属明細表!G40="","",業務_附属明細表!G40)</f>
        <v>1576505</v>
      </c>
      <c r="F640" s="1708" t="s">
        <v>1905</v>
      </c>
      <c r="G640" s="1709" t="str">
        <f t="shared" si="9"/>
        <v>入力済</v>
      </c>
      <c r="H640" s="1708" t="inlineStr">
        <is>
          <t>業務_附属明細表 G46、業務_決算精算表 B27</t>
        </is>
      </c>
      <c r="I640" s="1708" t="inlineStr">
        <is>
          <t>報告_業務P19、業務_財務諸表、業務_決算精算表</t>
        </is>
      </c>
    </row>
    <row r="641" spans="1:9" ht="19.95" customHeight="1">
      <c r="A641" s="1755" t="s">
        <v>12</v>
      </c>
      <c r="B641" s="1711" t="s">
        <v>1467</v>
      </c>
      <c r="C641" s="1756" t="str">
        <f>HYPERLINK("#'業務_附属明細表'!G41","G41")</f>
        <v>G41</v>
      </c>
      <c r="D641" s="1711" t="s">
        <v>1981</v>
      </c>
      <c r="E641" s="1757">
        <f>IF(業務_附属明細表!G41="","",業務_附属明細表!G41)</f>
        <v>46537</v>
      </c>
      <c r="F641" s="1711" t="s">
        <v>1905</v>
      </c>
      <c r="G641" s="1709" t="str">
        <f t="shared" si="9"/>
        <v>入力済</v>
      </c>
      <c r="H641" s="1708" t="inlineStr">
        <is>
          <t>業務_附属明細表 G46、業務_決算精算表 B28</t>
        </is>
      </c>
      <c r="I641" s="1708" t="inlineStr">
        <is>
          <t>報告_業務P19、業務_財務諸表、業務_決算精算表</t>
        </is>
      </c>
    </row>
    <row r="642" spans="1:9" ht="19.95" customHeight="1">
      <c r="A642" s="1752" t="s">
        <v>12</v>
      </c>
      <c r="B642" s="1708" t="s">
        <v>1467</v>
      </c>
      <c r="C642" s="1753" t="str">
        <f>HYPERLINK("#'業務_附属明細表'!G42","G42")</f>
        <v>G42</v>
      </c>
      <c r="D642" s="1708" t="s">
        <v>1982</v>
      </c>
      <c r="E642" s="1754">
        <f>IF(業務_附属明細表!G42="","",業務_附属明細表!G42)</f>
        <v>1020091</v>
      </c>
      <c r="F642" s="1708" t="s">
        <v>1905</v>
      </c>
      <c r="G642" s="1709" t="str">
        <f t="shared" si="9"/>
        <v>入力済</v>
      </c>
      <c r="H642" s="1708" t="inlineStr">
        <is>
          <t>業務_附属明細表 G46、業務_決算精算表 B30</t>
        </is>
      </c>
      <c r="I642" s="1708" t="inlineStr">
        <is>
          <t>報告_業務P19、業務_財務諸表、業務_決算精算表</t>
        </is>
      </c>
    </row>
    <row r="643" spans="1:9" ht="19.95" customHeight="1">
      <c r="A643" s="1755" t="s">
        <v>12</v>
      </c>
      <c r="B643" s="1711" t="s">
        <v>1467</v>
      </c>
      <c r="C643" s="1756" t="str">
        <f>HYPERLINK("#'業務_附属明細表'!G43","G43")</f>
        <v>G43</v>
      </c>
      <c r="D643" s="1711" t="s">
        <v>1983</v>
      </c>
      <c r="E643" s="1757">
        <f>IF(業務_附属明細表!G43="","",業務_附属明細表!G43)</f>
        <v>689790</v>
      </c>
      <c r="F643" s="1711" t="s">
        <v>1905</v>
      </c>
      <c r="G643" s="1709" t="str">
        <f t="shared" si="9"/>
        <v>入力済</v>
      </c>
      <c r="H643" s="1708" t="inlineStr">
        <is>
          <t>業務_附属明細表 G46、業務_決算精算表 B31</t>
        </is>
      </c>
      <c r="I643" s="1708" t="inlineStr">
        <is>
          <t>報告_業務P19、業務_財務諸表、業務_決算精算表</t>
        </is>
      </c>
    </row>
    <row r="644" spans="1:9" ht="19.95" customHeight="1">
      <c r="A644" s="1752" t="s">
        <v>12</v>
      </c>
      <c r="B644" s="1708" t="s">
        <v>1467</v>
      </c>
      <c r="C644" s="1753" t="str">
        <f>HYPERLINK("#'業務_附属明細表'!G44","G44")</f>
        <v>G44</v>
      </c>
      <c r="D644" s="1708" t="s">
        <v>1984</v>
      </c>
      <c r="E644" s="1754">
        <f>IF(業務_附属明細表!G44="","",業務_附属明細表!G44)</f>
        <v>103564</v>
      </c>
      <c r="F644" s="1708" t="s">
        <v>1905</v>
      </c>
      <c r="G644" s="1709" t="str">
        <f t="shared" si="9"/>
        <v>入力済</v>
      </c>
      <c r="H644" s="1708" t="inlineStr">
        <is>
          <t>業務_附属明細表 G46、業務_決算精算表 B32</t>
        </is>
      </c>
      <c r="I644" s="1708" t="inlineStr">
        <is>
          <t>報告_業務P19、業務_財務諸表、業務_決算精算表</t>
        </is>
      </c>
    </row>
    <row r="645" spans="1:9" ht="19.95" customHeight="1">
      <c r="A645" s="1755" t="s">
        <v>12</v>
      </c>
      <c r="B645" s="1711" t="s">
        <v>1467</v>
      </c>
      <c r="C645" s="1756" t="str">
        <f>HYPERLINK("#'業務_附属明細表'!G45","G45")</f>
        <v>G45</v>
      </c>
      <c r="D645" s="1711" t="s">
        <v>1984</v>
      </c>
      <c r="E645" s="1757">
        <f>IF(業務_附属明細表!G45="","",業務_附属明細表!G45)</f>
        <v>5312157</v>
      </c>
      <c r="F645" s="1711" t="s">
        <v>1905</v>
      </c>
      <c r="G645" s="1709" t="str">
        <f t="shared" si="9"/>
        <v>入力済</v>
      </c>
      <c r="H645" s="1708" t="inlineStr">
        <is>
          <t>業務_附属明細表 G46、業務_決算精算表 B39</t>
        </is>
      </c>
      <c r="I645" s="1708" t="inlineStr">
        <is>
          <t>報告_業務P18、報告_業務P19、業務_財務諸表、業務_決算精算表</t>
        </is>
      </c>
    </row>
    <row r="646" spans="1:9" ht="19.95" customHeight="1">
      <c r="A646" s="1752" t="s">
        <v>12</v>
      </c>
      <c r="B646" s="1708" t="s">
        <v>1467</v>
      </c>
      <c r="C646" s="1753" t="str">
        <f>HYPERLINK("#'業務_附属明細表'!G52","G52")</f>
        <v>G52</v>
      </c>
      <c r="D646" s="1708" t="s">
        <v>1985</v>
      </c>
      <c r="E646" s="1754">
        <f>IF(業務_附属明細表!G52="","",業務_附属明細表!G52)</f>
        <v>59015</v>
      </c>
      <c r="F646" s="1708" t="s">
        <v>1905</v>
      </c>
      <c r="G646" s="1709" t="str">
        <f t="shared" ref="G646:G709" si="10">IF(E646="","未入力（空欄）",IF(E646=0,"0（確認）","入力済"))</f>
        <v>入力済</v>
      </c>
      <c r="H646" s="1708" t="inlineStr">
        <is>
          <t>業務_附属明細表 G54、業務_決算精算表 B22</t>
        </is>
      </c>
      <c r="I646" s="1708" t="inlineStr">
        <is>
          <t>報告_業務P19、業務_財務諸表、業務_決算精算表</t>
        </is>
      </c>
    </row>
    <row r="647" spans="1:9" ht="19.95" customHeight="1">
      <c r="A647" s="1755" t="s">
        <v>12</v>
      </c>
      <c r="B647" s="1711" t="s">
        <v>1467</v>
      </c>
      <c r="C647" s="1756" t="str">
        <f>HYPERLINK("#'業務_附属明細表'!G53","G53")</f>
        <v>G53</v>
      </c>
      <c r="D647" s="1711" t="s">
        <v>1986</v>
      </c>
      <c r="E647" s="1757">
        <f>IF(業務_附属明細表!G53="","",業務_附属明細表!G53)</f>
        <v>376346</v>
      </c>
      <c r="F647" s="1711" t="s">
        <v>1905</v>
      </c>
      <c r="G647" s="1709" t="str">
        <f t="shared" si="10"/>
        <v>入力済</v>
      </c>
      <c r="H647" s="1708" t="inlineStr">
        <is>
          <t>業務_附属明細表 G54、業務_決算精算表 B26</t>
        </is>
      </c>
      <c r="I647" s="1708" t="inlineStr">
        <is>
          <t>報告_業務P19、業務_財務諸表、業務_決算精算表</t>
        </is>
      </c>
    </row>
    <row r="648" spans="1:9" ht="19.95" customHeight="1">
      <c r="A648" s="1752" t="s">
        <v>12</v>
      </c>
      <c r="B648" s="1708" t="s">
        <v>1467</v>
      </c>
      <c r="C648" s="1753" t="str">
        <f>HYPERLINK("#'業務_附属明細表'!G60","G60")</f>
        <v>G60</v>
      </c>
      <c r="D648" s="1708" t="s">
        <v>1987</v>
      </c>
      <c r="E648" s="1754">
        <f>IF(業務_附属明細表!G60="","",業務_附属明細表!G60)</f>
        <v>203327</v>
      </c>
      <c r="F648" s="1708" t="s">
        <v>1905</v>
      </c>
      <c r="G648" s="1709" t="str">
        <f t="shared" si="10"/>
        <v>入力済</v>
      </c>
      <c r="H648" s="1708" t="inlineStr">
        <is>
          <t>業務_附属明細表 G62</t>
        </is>
      </c>
      <c r="I648" s="1708" t="inlineStr">
        <is>
          <t>業務_財務諸表、業務_決算精算表</t>
        </is>
      </c>
    </row>
    <row r="649" spans="1:9" ht="19.95" customHeight="1">
      <c r="A649" s="1755" t="s">
        <v>12</v>
      </c>
      <c r="B649" s="1711" t="s">
        <v>1467</v>
      </c>
      <c r="C649" s="1756" t="str">
        <f>HYPERLINK("#'業務_附属明細表'!G61","G61")</f>
        <v>G61</v>
      </c>
      <c r="D649" s="1711" t="s">
        <v>1988</v>
      </c>
      <c r="E649" s="1757">
        <f>IF(業務_附属明細表!G61="","",業務_附属明細表!G61)</f>
        <v>24613</v>
      </c>
      <c r="F649" s="1711" t="s">
        <v>1905</v>
      </c>
      <c r="G649" s="1709" t="str">
        <f t="shared" si="10"/>
        <v>入力済</v>
      </c>
      <c r="H649" s="1708" t="inlineStr">
        <is>
          <t>業務_附属明細表 G62</t>
        </is>
      </c>
      <c r="I649" s="1708" t="inlineStr">
        <is>
          <t>業務_財務諸表、業務_決算精算表</t>
        </is>
      </c>
    </row>
    <row r="650" spans="1:9" ht="19.95" customHeight="1">
      <c r="A650" s="1752" t="s">
        <v>12</v>
      </c>
      <c r="B650" s="1708" t="s">
        <v>1467</v>
      </c>
      <c r="C650" s="1753" t="str">
        <f>HYPERLINK("#'業務_附属明細表'!G68","G68")</f>
        <v>G68</v>
      </c>
      <c r="D650" s="1708" t="s">
        <v>1989</v>
      </c>
      <c r="E650" s="1754">
        <f>IF(業務_附属明細表!G68="","",業務_附属明細表!G68)</f>
        <v>216843</v>
      </c>
      <c r="F650" s="1708" t="s">
        <v>1905</v>
      </c>
      <c r="G650" s="1709" t="str">
        <f t="shared" si="10"/>
        <v>入力済</v>
      </c>
      <c r="H650" s="1708" t="inlineStr">
        <is>
          <t>業務_附属明細表 G69、業務_決算精算表 E17</t>
        </is>
      </c>
      <c r="I650" s="1708" t="inlineStr">
        <is>
          <t>業務_財務諸表、業務_決算精算表</t>
        </is>
      </c>
    </row>
    <row r="651" spans="1:9" ht="19.95" customHeight="1">
      <c r="A651" s="1755" t="s">
        <v>12</v>
      </c>
      <c r="B651" s="1711" t="s">
        <v>1467</v>
      </c>
      <c r="C651" s="1756" t="str">
        <f>HYPERLINK("#'業務_附属明細表'!G76","G76")</f>
        <v>G76</v>
      </c>
      <c r="D651" s="1711" t="s">
        <v>1990</v>
      </c>
      <c r="E651" s="1757">
        <f>IF(業務_附属明細表!G76="","",業務_附属明細表!G76)</f>
        <v>0</v>
      </c>
      <c r="F651" s="1711" t="s">
        <v>1905</v>
      </c>
      <c r="G651" s="1709" t="str">
        <f t="shared" si="10"/>
        <v>0（確認）</v>
      </c>
      <c r="H651" s="1708" t="inlineStr">
        <is>
          <t>業務_附属明細表 G77,M76</t>
        </is>
      </c>
      <c r="I651" s="1708" t="inlineStr">
        <is>
          <t>業務_財務諸表、業務_決算精算表</t>
        </is>
      </c>
    </row>
    <row r="652" spans="1:9" ht="19.95" customHeight="1">
      <c r="A652" s="1752" t="s">
        <v>12</v>
      </c>
      <c r="B652" s="1708" t="s">
        <v>1467</v>
      </c>
      <c r="C652" s="1753" t="str">
        <f>HYPERLINK("#'業務_附属明細表'!J76","J76")</f>
        <v>J76</v>
      </c>
      <c r="D652" s="1708" t="s">
        <v>1991</v>
      </c>
      <c r="E652" s="1754">
        <f>IF(業務_附属明細表!J76="","",業務_附属明細表!J76)</f>
        <v>0</v>
      </c>
      <c r="F652" s="1708" t="s">
        <v>1905</v>
      </c>
      <c r="G652" s="1709" t="str">
        <f t="shared" si="10"/>
        <v>0（確認）</v>
      </c>
      <c r="H652" s="1708" t="inlineStr">
        <is>
          <t>業務_附属明細表 J77,M76</t>
        </is>
      </c>
      <c r="I652" s="1708" t="inlineStr">
        <is>
          <t>業務_財務諸表、業務_決算精算表</t>
        </is>
      </c>
    </row>
    <row r="653" spans="1:9" ht="19.95" customHeight="1">
      <c r="A653" s="1755" t="s">
        <v>12</v>
      </c>
      <c r="B653" s="1711" t="s">
        <v>1467</v>
      </c>
      <c r="C653" s="1756" t="str">
        <f>HYPERLINK("#'業務_附属明細表'!F83","F83")</f>
        <v>F83</v>
      </c>
      <c r="D653" s="1711" t="s">
        <v>1992</v>
      </c>
      <c r="E653" s="1757">
        <f>IF(業務_附属明細表!F83="","",業務_附属明細表!F83)</f>
        <v>723140</v>
      </c>
      <c r="F653" s="1711" t="s">
        <v>1905</v>
      </c>
      <c r="G653" s="1709" t="str">
        <f t="shared" si="10"/>
        <v>入力済</v>
      </c>
      <c r="H653" s="1708" t="inlineStr">
        <is>
          <t>業務_附属明細表 F85,N83,Q83</t>
        </is>
      </c>
      <c r="I653" s="1708" t="inlineStr">
        <is>
          <t>同じシート内のみ</t>
        </is>
      </c>
    </row>
    <row r="654" spans="1:9" ht="19.95" customHeight="1">
      <c r="A654" s="1752" t="s">
        <v>12</v>
      </c>
      <c r="B654" s="1708" t="s">
        <v>1467</v>
      </c>
      <c r="C654" s="1753" t="str">
        <f>HYPERLINK("#'業務_附属明細表'!H83","H83")</f>
        <v>H83</v>
      </c>
      <c r="D654" s="1708" t="s">
        <v>1993</v>
      </c>
      <c r="E654" s="1754">
        <f>IF(業務_附属明細表!H83="","",業務_附属明細表!H83)</f>
        <v>144628</v>
      </c>
      <c r="F654" s="1708" t="s">
        <v>1905</v>
      </c>
      <c r="G654" s="1709" t="str">
        <f t="shared" si="10"/>
        <v>入力済</v>
      </c>
      <c r="H654" s="1708" t="inlineStr">
        <is>
          <t>業務_附属明細表 H85</t>
        </is>
      </c>
      <c r="I654" s="1708" t="inlineStr">
        <is>
          <t>報告_業務P19、業務_財務諸表、業務_決算精算表</t>
        </is>
      </c>
    </row>
    <row r="655" spans="1:9" ht="19.95" customHeight="1">
      <c r="A655" s="1755" t="s">
        <v>12</v>
      </c>
      <c r="B655" s="1711" t="s">
        <v>1467</v>
      </c>
      <c r="C655" s="1756" t="str">
        <f>HYPERLINK("#'業務_附属明細表'!K83","K83")</f>
        <v>K83</v>
      </c>
      <c r="D655" s="1711" t="s">
        <v>1994</v>
      </c>
      <c r="E655" s="1757">
        <f>IF(業務_附属明細表!K83="","",業務_附属明細表!K83)</f>
        <v>542355</v>
      </c>
      <c r="F655" s="1711" t="s">
        <v>1905</v>
      </c>
      <c r="G655" s="1709" t="str">
        <f t="shared" si="10"/>
        <v>入力済</v>
      </c>
      <c r="H655" s="1708" t="inlineStr">
        <is>
          <t>業務_附属明細表 K85,N83,Q83</t>
        </is>
      </c>
      <c r="I655" s="1708" t="inlineStr">
        <is>
          <t>同じシート内のみ</t>
        </is>
      </c>
    </row>
    <row r="656" spans="1:9" ht="19.95" customHeight="1">
      <c r="A656" s="1752" t="s">
        <v>12</v>
      </c>
      <c r="B656" s="1708" t="s">
        <v>1467</v>
      </c>
      <c r="C656" s="1753" t="str">
        <f>HYPERLINK("#'業務_附属明細表'!F84","F84")</f>
        <v>F84</v>
      </c>
      <c r="D656" s="1708" t="s">
        <v>1995</v>
      </c>
      <c r="E656" s="1754">
        <f>IF(業務_附属明細表!F84="","",業務_附属明細表!F84)</f>
        <v>127710</v>
      </c>
      <c r="F656" s="1708" t="s">
        <v>1905</v>
      </c>
      <c r="G656" s="1709" t="str">
        <f t="shared" si="10"/>
        <v>入力済</v>
      </c>
      <c r="H656" s="1708" t="inlineStr">
        <is>
          <t>業務_附属明細表 F85,N84,Q84</t>
        </is>
      </c>
      <c r="I656" s="1708" t="inlineStr">
        <is>
          <t>同じシート内のみ</t>
        </is>
      </c>
    </row>
    <row r="657" spans="1:9" ht="19.95" customHeight="1">
      <c r="A657" s="1755" t="s">
        <v>12</v>
      </c>
      <c r="B657" s="1711" t="s">
        <v>1467</v>
      </c>
      <c r="C657" s="1756" t="str">
        <f>HYPERLINK("#'業務_附属明細表'!H84","H84")</f>
        <v>H84</v>
      </c>
      <c r="D657" s="1711" t="s">
        <v>1996</v>
      </c>
      <c r="E657" s="1757">
        <f>IF(業務_附属明細表!H84="","",業務_附属明細表!H84)</f>
        <v>31928</v>
      </c>
      <c r="F657" s="1711" t="s">
        <v>1905</v>
      </c>
      <c r="G657" s="1709" t="str">
        <f t="shared" si="10"/>
        <v>入力済</v>
      </c>
      <c r="H657" s="1708" t="inlineStr">
        <is>
          <t>業務_附属明細表 H85</t>
        </is>
      </c>
      <c r="I657" s="1708" t="inlineStr">
        <is>
          <t>報告_業務P19、業務_財務諸表、業務_決算精算表</t>
        </is>
      </c>
    </row>
    <row r="658" spans="1:9" ht="19.95" customHeight="1">
      <c r="A658" s="1752" t="s">
        <v>12</v>
      </c>
      <c r="B658" s="1708" t="s">
        <v>1467</v>
      </c>
      <c r="C658" s="1753" t="str">
        <f>HYPERLINK("#'業務_附属明細表'!K84","K84")</f>
        <v>K84</v>
      </c>
      <c r="D658" s="1708" t="s">
        <v>1997</v>
      </c>
      <c r="E658" s="1754">
        <f>IF(業務_附属明細表!K84="","",業務_附属明細表!K84)</f>
        <v>101105</v>
      </c>
      <c r="F658" s="1708" t="s">
        <v>1905</v>
      </c>
      <c r="G658" s="1709" t="str">
        <f t="shared" si="10"/>
        <v>入力済</v>
      </c>
      <c r="H658" s="1708" t="inlineStr">
        <is>
          <t>業務_附属明細表 K85,N84,Q84</t>
        </is>
      </c>
      <c r="I658" s="1708" t="inlineStr">
        <is>
          <t>同じシート内のみ</t>
        </is>
      </c>
    </row>
    <row r="659" spans="1:9" ht="19.95" customHeight="1">
      <c r="A659" s="1755" t="s">
        <v>12</v>
      </c>
      <c r="B659" s="1711" t="s">
        <v>1467</v>
      </c>
      <c r="C659" s="1756" t="str">
        <f>HYPERLINK("#'業務_附属明細表'!F98","F98")</f>
        <v>F98</v>
      </c>
      <c r="D659" s="1711" t="s">
        <v>1998</v>
      </c>
      <c r="E659" s="1757">
        <f>IF(業務_附属明細表!F98="","",業務_附属明細表!F98)</f>
        <v>169470</v>
      </c>
      <c r="F659" s="1711" t="s">
        <v>1905</v>
      </c>
      <c r="G659" s="1709" t="str">
        <f t="shared" si="10"/>
        <v>入力済</v>
      </c>
      <c r="H659" s="1708" t="inlineStr">
        <is>
          <t>業務_附属明細表 F100,N98</t>
        </is>
      </c>
      <c r="I659" s="1708" t="inlineStr">
        <is>
          <t>同じシート内のみ</t>
        </is>
      </c>
    </row>
    <row r="660" spans="1:9" ht="19.95" customHeight="1">
      <c r="A660" s="1752" t="s">
        <v>12</v>
      </c>
      <c r="B660" s="1708" t="s">
        <v>1467</v>
      </c>
      <c r="C660" s="1753" t="str">
        <f>HYPERLINK("#'業務_附属明細表'!H98","H98")</f>
        <v>H98</v>
      </c>
      <c r="D660" s="1708" t="s">
        <v>1999</v>
      </c>
      <c r="E660" s="1754">
        <f>IF(業務_附属明細表!H98="","",業務_附属明細表!H98)</f>
        <v>0</v>
      </c>
      <c r="F660" s="1708" t="s">
        <v>1905</v>
      </c>
      <c r="G660" s="1709" t="str">
        <f t="shared" si="10"/>
        <v>0（確認）</v>
      </c>
      <c r="H660" s="1708" t="inlineStr">
        <is>
          <t>業務_附属明細表 H100</t>
        </is>
      </c>
      <c r="I660" s="1708" t="inlineStr">
        <is>
          <t>同じシート内のみ</t>
        </is>
      </c>
    </row>
    <row r="661" spans="1:9" ht="19.95" customHeight="1">
      <c r="A661" s="1755" t="s">
        <v>12</v>
      </c>
      <c r="B661" s="1711" t="s">
        <v>1467</v>
      </c>
      <c r="C661" s="1756" t="str">
        <f>HYPERLINK("#'業務_附属明細表'!L98","L98")</f>
        <v>L98</v>
      </c>
      <c r="D661" s="1711" t="s">
        <v>2000</v>
      </c>
      <c r="E661" s="1757">
        <f>IF(業務_附属明細表!L98="","",業務_附属明細表!L98)</f>
        <v>16950</v>
      </c>
      <c r="F661" s="1711" t="s">
        <v>1905</v>
      </c>
      <c r="G661" s="1709" t="str">
        <f t="shared" si="10"/>
        <v>入力済</v>
      </c>
      <c r="H661" s="1708" t="inlineStr">
        <is>
          <t>業務_附属明細表 L100</t>
        </is>
      </c>
      <c r="I661" s="1708" t="inlineStr">
        <is>
          <t>同じシート内のみ</t>
        </is>
      </c>
    </row>
    <row r="662" spans="1:9" ht="19.95" customHeight="1">
      <c r="A662" s="1752" t="s">
        <v>12</v>
      </c>
      <c r="B662" s="1708" t="s">
        <v>1467</v>
      </c>
      <c r="C662" s="1753" t="str">
        <f>HYPERLINK("#'業務_附属明細表'!D99","D99")</f>
        <v>D99</v>
      </c>
      <c r="D662" s="1708" t="s">
        <v>2001</v>
      </c>
      <c r="E662" s="1754">
        <f>IF(業務_附属明細表!D99="","",業務_附属明細表!D99)</f>
        <v>10</v>
      </c>
      <c r="F662" s="1708" t="s">
        <v>1905</v>
      </c>
      <c r="G662" s="1709" t="str">
        <f t="shared" si="10"/>
        <v>入力済</v>
      </c>
      <c r="H662" s="1708" t="inlineStr">
        <is>
          <t>なし（このセルのみ）</t>
        </is>
      </c>
      <c r="I662" s="1708" t="inlineStr">
        <is>
          <t>―</t>
        </is>
      </c>
    </row>
    <row r="663" spans="1:9" ht="19.95" customHeight="1">
      <c r="A663" s="1755" t="s">
        <v>12</v>
      </c>
      <c r="B663" s="1711" t="s">
        <v>1467</v>
      </c>
      <c r="C663" s="1756" t="str">
        <f>HYPERLINK("#'業務_附属明細表'!F99","F99")</f>
        <v>F99</v>
      </c>
      <c r="D663" s="1711" t="s">
        <v>2002</v>
      </c>
      <c r="E663" s="1757">
        <f>IF(業務_附属明細表!F99="","",業務_附属明細表!F99)</f>
        <v>90825</v>
      </c>
      <c r="F663" s="1711" t="s">
        <v>1905</v>
      </c>
      <c r="G663" s="1709" t="str">
        <f t="shared" si="10"/>
        <v>入力済</v>
      </c>
      <c r="H663" s="1708" t="inlineStr">
        <is>
          <t>業務_附属明細表 F100</t>
        </is>
      </c>
      <c r="I663" s="1708" t="inlineStr">
        <is>
          <t>同じシート内のみ</t>
        </is>
      </c>
    </row>
    <row r="664" spans="1:9" ht="19.95" customHeight="1">
      <c r="A664" s="1752" t="s">
        <v>12</v>
      </c>
      <c r="B664" s="1708" t="s">
        <v>1467</v>
      </c>
      <c r="C664" s="1753" t="str">
        <f>HYPERLINK("#'業務_附属明細表'!H99","H99")</f>
        <v>H99</v>
      </c>
      <c r="D664" s="1708" t="s">
        <v>2003</v>
      </c>
      <c r="E664" s="1754">
        <f>IF(業務_附属明細表!H99="","",業務_附属明細表!H99)</f>
        <v>9082</v>
      </c>
      <c r="F664" s="1708" t="s">
        <v>1905</v>
      </c>
      <c r="G664" s="1709" t="str">
        <f t="shared" si="10"/>
        <v>入力済</v>
      </c>
      <c r="H664" s="1708" t="inlineStr">
        <is>
          <t>業務_附属明細表 H100</t>
        </is>
      </c>
      <c r="I664" s="1708" t="inlineStr">
        <is>
          <t>同じシート内のみ</t>
        </is>
      </c>
    </row>
    <row r="665" spans="1:9" ht="19.95" customHeight="1">
      <c r="A665" s="1755" t="s">
        <v>12</v>
      </c>
      <c r="B665" s="1711" t="s">
        <v>1467</v>
      </c>
      <c r="C665" s="1756" t="str">
        <f>HYPERLINK("#'業務_附属明細表'!L99","L99")</f>
        <v>L99</v>
      </c>
      <c r="D665" s="1711" t="s">
        <v>2004</v>
      </c>
      <c r="E665" s="1757">
        <f>IF(業務_附属明細表!L99="","",業務_附属明細表!L99)</f>
        <v>18926</v>
      </c>
      <c r="F665" s="1711" t="s">
        <v>1905</v>
      </c>
      <c r="G665" s="1709" t="str">
        <f t="shared" si="10"/>
        <v>入力済</v>
      </c>
      <c r="H665" s="1708" t="inlineStr">
        <is>
          <t>業務_附属明細表 L100</t>
        </is>
      </c>
      <c r="I665" s="1708" t="inlineStr">
        <is>
          <t>同じシート内のみ</t>
        </is>
      </c>
    </row>
    <row r="666" spans="1:9" ht="19.95" customHeight="1">
      <c r="A666" s="1752" t="s">
        <v>12</v>
      </c>
      <c r="B666" s="1708" t="s">
        <v>1467</v>
      </c>
      <c r="C666" s="1753" t="str">
        <f>HYPERLINK("#'業務_附属明細表'!E106","E106")</f>
        <v>E106</v>
      </c>
      <c r="D666" s="1708" t="s">
        <v>2005</v>
      </c>
      <c r="E666" s="1754">
        <f>IF(業務_附属明細表!E106="","",業務_附属明細表!E106)</f>
        <v>152520</v>
      </c>
      <c r="F666" s="1708" t="s">
        <v>1905</v>
      </c>
      <c r="G666" s="1709" t="str">
        <f t="shared" si="10"/>
        <v>入力済</v>
      </c>
      <c r="H666" s="1708" t="inlineStr">
        <is>
          <t>業務_附属明細表 E107,Q106</t>
        </is>
      </c>
      <c r="I666" s="1708" t="inlineStr">
        <is>
          <t>同じシート内のみ</t>
        </is>
      </c>
    </row>
    <row r="667" spans="1:9" ht="19.95" customHeight="1">
      <c r="A667" s="1755" t="s">
        <v>12</v>
      </c>
      <c r="B667" s="1711" t="s">
        <v>1467</v>
      </c>
      <c r="C667" s="1756" t="str">
        <f>HYPERLINK("#'業務_附属明細表'!I106","I106")</f>
        <v>I106</v>
      </c>
      <c r="D667" s="1711" t="s">
        <v>2006</v>
      </c>
      <c r="E667" s="1757">
        <f>IF(業務_附属明細表!I106="","",業務_附属明細表!I106)</f>
        <v>0</v>
      </c>
      <c r="F667" s="1711" t="s">
        <v>1905</v>
      </c>
      <c r="G667" s="1709" t="str">
        <f t="shared" si="10"/>
        <v>0（確認）</v>
      </c>
      <c r="H667" s="1708" t="inlineStr">
        <is>
          <t>業務_附属明細表 I107,Q106</t>
        </is>
      </c>
      <c r="I667" s="1708" t="inlineStr">
        <is>
          <t>同じシート内のみ</t>
        </is>
      </c>
    </row>
    <row r="668" spans="1:9" ht="19.95" customHeight="1">
      <c r="A668" s="1752" t="s">
        <v>12</v>
      </c>
      <c r="B668" s="1708" t="s">
        <v>1467</v>
      </c>
      <c r="C668" s="1753" t="str">
        <f>HYPERLINK("#'業務_附属明細表'!M106","M106")</f>
        <v>M106</v>
      </c>
      <c r="D668" s="1708" t="s">
        <v>2007</v>
      </c>
      <c r="E668" s="1754">
        <f>IF(業務_附属明細表!M106="","",業務_附属明細表!M106)</f>
        <v>0</v>
      </c>
      <c r="F668" s="1708" t="s">
        <v>1905</v>
      </c>
      <c r="G668" s="1709" t="str">
        <f t="shared" si="10"/>
        <v>0（確認）</v>
      </c>
      <c r="H668" s="1708" t="inlineStr">
        <is>
          <t>業務_附属明細表 M107,Q106</t>
        </is>
      </c>
      <c r="I668" s="1708" t="inlineStr">
        <is>
          <t>同じシート内のみ</t>
        </is>
      </c>
    </row>
    <row r="669" spans="1:9" ht="19.95" customHeight="1">
      <c r="A669" s="1755" t="s">
        <v>12</v>
      </c>
      <c r="B669" s="1711" t="s">
        <v>1467</v>
      </c>
      <c r="C669" s="1756" t="str">
        <f>HYPERLINK("#'業務_附属明細表'!E125","E125")</f>
        <v>E125</v>
      </c>
      <c r="D669" s="1711" t="s">
        <v>2008</v>
      </c>
      <c r="E669" s="1757">
        <f>IF(業務_附属明細表!E125="","",業務_附属明細表!E125)</f>
        <v>17238000</v>
      </c>
      <c r="F669" s="1711" t="s">
        <v>1905</v>
      </c>
      <c r="G669" s="1709" t="str">
        <f t="shared" si="10"/>
        <v>入力済</v>
      </c>
      <c r="H669" s="1708" t="inlineStr">
        <is>
          <t>業務_附属明細表 E126,Q145,T125</t>
        </is>
      </c>
      <c r="I669" s="1708" t="inlineStr">
        <is>
          <t>同じシート内のみ</t>
        </is>
      </c>
    </row>
    <row r="670" spans="1:9" ht="19.95" customHeight="1">
      <c r="A670" s="1752" t="s">
        <v>12</v>
      </c>
      <c r="B670" s="1708" t="s">
        <v>1467</v>
      </c>
      <c r="C670" s="1753" t="str">
        <f>HYPERLINK("#'業務_附属明細表'!K136","K136")</f>
        <v>K136</v>
      </c>
      <c r="D670" s="1708" t="s">
        <v>2009</v>
      </c>
      <c r="E670" s="1754">
        <f>IF(業務_附属明細表!K136="","",業務_附属明細表!K136)</f>
        <v>0</v>
      </c>
      <c r="F670" s="1708" t="s">
        <v>1905</v>
      </c>
      <c r="G670" s="1709" t="str">
        <f t="shared" si="10"/>
        <v>0（確認）</v>
      </c>
      <c r="H670" s="1708" t="inlineStr">
        <is>
          <t>業務_附属明細表 P135</t>
        </is>
      </c>
      <c r="I670" s="1708" t="inlineStr">
        <is>
          <t>同じシート内のみ</t>
        </is>
      </c>
    </row>
    <row r="671" spans="1:9" ht="19.95" customHeight="1">
      <c r="A671" s="1755" t="s">
        <v>12</v>
      </c>
      <c r="B671" s="1711" t="s">
        <v>1467</v>
      </c>
      <c r="C671" s="1756" t="str">
        <f>HYPERLINK("#'業務_附属明細表'!K137","K137")</f>
        <v>K137</v>
      </c>
      <c r="D671" s="1711" t="s">
        <v>2010</v>
      </c>
      <c r="E671" s="1757">
        <f>IF(業務_附属明細表!K137="","",業務_附属明細表!K137)</f>
        <v>0</v>
      </c>
      <c r="F671" s="1711" t="s">
        <v>1905</v>
      </c>
      <c r="G671" s="1709" t="str">
        <f t="shared" si="10"/>
        <v>0（確認）</v>
      </c>
      <c r="H671" s="1708" t="inlineStr">
        <is>
          <t>業務_附属明細表 P135</t>
        </is>
      </c>
      <c r="I671" s="1708" t="inlineStr">
        <is>
          <t>同じシート内のみ</t>
        </is>
      </c>
    </row>
    <row r="672" spans="1:9" ht="19.95" customHeight="1">
      <c r="A672" s="1752" t="s">
        <v>12</v>
      </c>
      <c r="B672" s="1708" t="s">
        <v>2011</v>
      </c>
      <c r="C672" s="1753" t="str">
        <f>HYPERLINK("#'業務_決算精算表'!C10","C10")</f>
        <v>C10</v>
      </c>
      <c r="D672" s="1708" t="s">
        <v>2012</v>
      </c>
      <c r="E672" s="1754">
        <f>IF(業務_決算精算表!C10="","",業務_決算精算表!C10)</f>
        <v>192064</v>
      </c>
      <c r="F672" s="1708" t="s">
        <v>1929</v>
      </c>
      <c r="G672" s="1709" t="str">
        <f t="shared" si="10"/>
        <v>入力済</v>
      </c>
      <c r="H672" s="1708" t="inlineStr">
        <is>
          <t>業務_決算精算表 A10,C20</t>
        </is>
      </c>
      <c r="I672" s="1708" t="inlineStr">
        <is>
          <t>業務_財務諸表</t>
        </is>
      </c>
    </row>
    <row r="673" spans="1:9" ht="19.95" customHeight="1">
      <c r="A673" s="1755" t="s">
        <v>12</v>
      </c>
      <c r="B673" s="1711" t="s">
        <v>2011</v>
      </c>
      <c r="C673" s="1756" t="str">
        <f>HYPERLINK("#'業務_決算精算表'!C21","C21")</f>
        <v>C21</v>
      </c>
      <c r="D673" s="1711" t="s">
        <v>2013</v>
      </c>
      <c r="E673" s="1757">
        <f>IF(業務_決算精算表!C21="","",業務_決算精算表!C21)</f>
        <v>33000</v>
      </c>
      <c r="F673" s="1711" t="s">
        <v>1929</v>
      </c>
      <c r="G673" s="1709" t="str">
        <f t="shared" si="10"/>
        <v>入力済</v>
      </c>
      <c r="H673" s="1708" t="inlineStr">
        <is>
          <t>業務_附属明細表 J122、業務_決算精算表 A21,C47</t>
        </is>
      </c>
      <c r="I673" s="1708" t="inlineStr">
        <is>
          <t>報告_業務P19、業務_財務諸表、業務_附属明細表</t>
        </is>
      </c>
    </row>
    <row r="674" spans="1:9" ht="19.95" customHeight="1">
      <c r="A674" s="1752" t="s">
        <v>12</v>
      </c>
      <c r="B674" s="1708" t="s">
        <v>2011</v>
      </c>
      <c r="C674" s="1753" t="str">
        <f>HYPERLINK("#'業務_決算精算表'!C22","C22")</f>
        <v>C22</v>
      </c>
      <c r="D674" s="1708" t="s">
        <v>2014</v>
      </c>
      <c r="E674" s="1754">
        <f>IF(業務_決算精算表!C22="","",業務_決算精算表!C22)</f>
        <v>10082322</v>
      </c>
      <c r="F674" s="1708" t="s">
        <v>1929</v>
      </c>
      <c r="G674" s="1709" t="str">
        <f t="shared" si="10"/>
        <v>入力済</v>
      </c>
      <c r="H674" s="1708" t="inlineStr">
        <is>
          <t>業務_附属明細表 J123、業務_決算精算表 A22,C47</t>
        </is>
      </c>
      <c r="I674" s="1708" t="inlineStr">
        <is>
          <t>報告_業務P19、業務_財務諸表、業務_附属明細表</t>
        </is>
      </c>
    </row>
    <row r="675" spans="1:9" ht="19.95" customHeight="1">
      <c r="A675" s="1755" t="s">
        <v>12</v>
      </c>
      <c r="B675" s="1711" t="s">
        <v>2011</v>
      </c>
      <c r="C675" s="1756" t="str">
        <f>HYPERLINK("#'業務_決算精算表'!C23","C23")</f>
        <v>C23</v>
      </c>
      <c r="D675" s="1711" t="s">
        <v>2015</v>
      </c>
      <c r="E675" s="1757">
        <f>IF(業務_決算精算表!C23="","",業務_決算精算表!C23)</f>
        <v>9702</v>
      </c>
      <c r="F675" s="1711" t="s">
        <v>1929</v>
      </c>
      <c r="G675" s="1709" t="str">
        <f t="shared" si="10"/>
        <v>入力済</v>
      </c>
      <c r="H675" s="1708" t="inlineStr">
        <is>
          <t>業務_決算精算表 A23,C47</t>
        </is>
      </c>
      <c r="I675" s="1708" t="inlineStr">
        <is>
          <t>報告_業務P19、業務_財務諸表、業務_附属明細表</t>
        </is>
      </c>
    </row>
    <row r="676" spans="1:9" ht="19.95" customHeight="1">
      <c r="A676" s="1752" t="s">
        <v>12</v>
      </c>
      <c r="B676" s="1708" t="s">
        <v>2011</v>
      </c>
      <c r="C676" s="1753" t="str">
        <f>HYPERLINK("#'業務_決算精算表'!C24","C24")</f>
        <v>C24</v>
      </c>
      <c r="D676" s="1708" t="s">
        <v>2016</v>
      </c>
      <c r="E676" s="1754">
        <f>IF(業務_決算精算表!C24="","",業務_決算精算表!C24)</f>
        <v>343112</v>
      </c>
      <c r="F676" s="1708" t="s">
        <v>1929</v>
      </c>
      <c r="G676" s="1709" t="str">
        <f t="shared" si="10"/>
        <v>入力済</v>
      </c>
      <c r="H676" s="1708" t="inlineStr">
        <is>
          <t>業務_附属明細表 J124、業務_決算精算表 A24,C47</t>
        </is>
      </c>
      <c r="I676" s="1708" t="inlineStr">
        <is>
          <t>報告_業務P19、業務_財務諸表、業務_附属明細表</t>
        </is>
      </c>
    </row>
    <row r="677" spans="1:9" ht="19.95" customHeight="1">
      <c r="A677" s="1755" t="s">
        <v>12</v>
      </c>
      <c r="B677" s="1711" t="s">
        <v>2011</v>
      </c>
      <c r="C677" s="1756" t="str">
        <f>HYPERLINK("#'業務_決算精算表'!C25","C25")</f>
        <v>C25</v>
      </c>
      <c r="D677" s="1711" t="s">
        <v>2017</v>
      </c>
      <c r="E677" s="1757">
        <f>IF(業務_決算精算表!C25="","",業務_決算精算表!C25)</f>
        <v>13146428</v>
      </c>
      <c r="F677" s="1711" t="s">
        <v>1929</v>
      </c>
      <c r="G677" s="1709" t="str">
        <f t="shared" si="10"/>
        <v>入力済</v>
      </c>
      <c r="H677" s="1708" t="inlineStr">
        <is>
          <t>業務_附属明細表 J125、業務_決算精算表 A25,C47</t>
        </is>
      </c>
      <c r="I677" s="1708" t="inlineStr">
        <is>
          <t>報告_業務P19、業務_財務諸表、業務_附属明細表</t>
        </is>
      </c>
    </row>
    <row r="678" spans="1:9" ht="19.95" customHeight="1">
      <c r="A678" s="1752" t="s">
        <v>12</v>
      </c>
      <c r="B678" s="1708" t="s">
        <v>2011</v>
      </c>
      <c r="C678" s="1753" t="str">
        <f>HYPERLINK("#'業務_決算精算表'!C26","C26")</f>
        <v>C26</v>
      </c>
      <c r="D678" s="1708" t="s">
        <v>2018</v>
      </c>
      <c r="E678" s="1754">
        <f>IF(業務_決算精算表!C26="","",業務_決算精算表!C26)</f>
        <v>4221720</v>
      </c>
      <c r="F678" s="1708" t="s">
        <v>1929</v>
      </c>
      <c r="G678" s="1709" t="str">
        <f t="shared" si="10"/>
        <v>入力済</v>
      </c>
      <c r="H678" s="1708" t="inlineStr">
        <is>
          <t>業務_決算精算表 A26,C47</t>
        </is>
      </c>
      <c r="I678" s="1708" t="inlineStr">
        <is>
          <t>報告_業務P19、業務_財務諸表、業務_附属明細表</t>
        </is>
      </c>
    </row>
    <row r="679" spans="1:9" ht="19.95" customHeight="1">
      <c r="A679" s="1755" t="s">
        <v>12</v>
      </c>
      <c r="B679" s="1711" t="s">
        <v>2011</v>
      </c>
      <c r="C679" s="1756" t="str">
        <f>HYPERLINK("#'業務_決算精算表'!C27","C27")</f>
        <v>C27</v>
      </c>
      <c r="D679" s="1711" t="s">
        <v>2019</v>
      </c>
      <c r="E679" s="1757">
        <f>IF(業務_決算精算表!C27="","",業務_決算精算表!C27)</f>
        <v>8507933</v>
      </c>
      <c r="F679" s="1711" t="s">
        <v>1929</v>
      </c>
      <c r="G679" s="1709" t="str">
        <f t="shared" si="10"/>
        <v>入力済</v>
      </c>
      <c r="H679" s="1708" t="inlineStr">
        <is>
          <t>業務_決算精算表 A27,C47</t>
        </is>
      </c>
      <c r="I679" s="1708" t="inlineStr">
        <is>
          <t>報告_業務P19、業務_財務諸表、業務_附属明細表</t>
        </is>
      </c>
    </row>
    <row r="680" spans="1:9" ht="19.95" customHeight="1">
      <c r="A680" s="1752" t="s">
        <v>12</v>
      </c>
      <c r="B680" s="1708" t="s">
        <v>2011</v>
      </c>
      <c r="C680" s="1753" t="str">
        <f>HYPERLINK("#'業務_決算精算表'!C28","C28")</f>
        <v>C28</v>
      </c>
      <c r="D680" s="1708" t="s">
        <v>2020</v>
      </c>
      <c r="E680" s="1754">
        <f>IF(業務_決算精算表!C28="","",業務_決算精算表!C28)</f>
        <v>57384</v>
      </c>
      <c r="F680" s="1708" t="s">
        <v>1929</v>
      </c>
      <c r="G680" s="1709" t="str">
        <f t="shared" si="10"/>
        <v>入力済</v>
      </c>
      <c r="H680" s="1708" t="inlineStr">
        <is>
          <t>業務_決算精算表 A28,C47</t>
        </is>
      </c>
      <c r="I680" s="1708" t="inlineStr">
        <is>
          <t>報告_業務P19、業務_財務諸表、業務_附属明細表</t>
        </is>
      </c>
    </row>
    <row r="681" spans="1:9" ht="19.95" customHeight="1">
      <c r="A681" s="1755" t="s">
        <v>12</v>
      </c>
      <c r="B681" s="1711" t="s">
        <v>2011</v>
      </c>
      <c r="C681" s="1756" t="str">
        <f>HYPERLINK("#'業務_決算精算表'!C29","C29")</f>
        <v>C29</v>
      </c>
      <c r="D681" s="1711" t="s">
        <v>2021</v>
      </c>
      <c r="E681" s="1757">
        <f>IF(業務_決算精算表!C29="","",業務_決算精算表!C29)</f>
        <v>0</v>
      </c>
      <c r="F681" s="1711" t="s">
        <v>1929</v>
      </c>
      <c r="G681" s="1709" t="str">
        <f t="shared" si="10"/>
        <v>0（確認）</v>
      </c>
      <c r="H681" s="1708" t="inlineStr">
        <is>
          <t>業務_決算精算表 A29,C47</t>
        </is>
      </c>
      <c r="I681" s="1708" t="inlineStr">
        <is>
          <t>報告_業務P19、業務_財務諸表、業務_附属明細表</t>
        </is>
      </c>
    </row>
    <row r="682" spans="1:9" ht="19.95" customHeight="1">
      <c r="A682" s="1752" t="s">
        <v>12</v>
      </c>
      <c r="B682" s="1708" t="s">
        <v>2011</v>
      </c>
      <c r="C682" s="1753" t="str">
        <f>HYPERLINK("#'業務_決算精算表'!C30","C30")</f>
        <v>C30</v>
      </c>
      <c r="D682" s="1708" t="s">
        <v>2022</v>
      </c>
      <c r="E682" s="1754">
        <f>IF(業務_決算精算表!C30="","",業務_決算精算表!C30)</f>
        <v>8410677</v>
      </c>
      <c r="F682" s="1708" t="s">
        <v>1929</v>
      </c>
      <c r="G682" s="1709" t="str">
        <f t="shared" si="10"/>
        <v>入力済</v>
      </c>
      <c r="H682" s="1708" t="inlineStr">
        <is>
          <t>業務_決算精算表 A30,C47</t>
        </is>
      </c>
      <c r="I682" s="1708" t="inlineStr">
        <is>
          <t>報告_業務P19、業務_財務諸表、業務_附属明細表</t>
        </is>
      </c>
    </row>
    <row r="683" spans="1:9" ht="19.95" customHeight="1">
      <c r="A683" s="1755" t="s">
        <v>12</v>
      </c>
      <c r="B683" s="1711" t="s">
        <v>2011</v>
      </c>
      <c r="C683" s="1756" t="str">
        <f>HYPERLINK("#'業務_決算精算表'!C31","C31")</f>
        <v>C31</v>
      </c>
      <c r="D683" s="1711" t="s">
        <v>2023</v>
      </c>
      <c r="E683" s="1757">
        <f>IF(業務_決算精算表!C31="","",業務_決算精算表!C31)</f>
        <v>1194924</v>
      </c>
      <c r="F683" s="1711" t="s">
        <v>1929</v>
      </c>
      <c r="G683" s="1709" t="str">
        <f t="shared" si="10"/>
        <v>入力済</v>
      </c>
      <c r="H683" s="1708" t="inlineStr">
        <is>
          <t>業務_決算精算表 A31,C47</t>
        </is>
      </c>
      <c r="I683" s="1708" t="inlineStr">
        <is>
          <t>報告_業務P19、業務_財務諸表、業務_附属明細表</t>
        </is>
      </c>
    </row>
    <row r="684" spans="1:9" ht="19.95" customHeight="1">
      <c r="A684" s="1752" t="s">
        <v>12</v>
      </c>
      <c r="B684" s="1708" t="s">
        <v>2011</v>
      </c>
      <c r="C684" s="1753" t="str">
        <f>HYPERLINK("#'業務_決算精算表'!C32","C32")</f>
        <v>C32</v>
      </c>
      <c r="D684" s="1708" t="s">
        <v>2024</v>
      </c>
      <c r="E684" s="1754">
        <f>IF(業務_決算精算表!C32="","",業務_決算精算表!C32)</f>
        <v>2350316</v>
      </c>
      <c r="F684" s="1708" t="s">
        <v>1929</v>
      </c>
      <c r="G684" s="1709" t="str">
        <f t="shared" si="10"/>
        <v>入力済</v>
      </c>
      <c r="H684" s="1708" t="inlineStr">
        <is>
          <t>業務_決算精算表 A32,C47</t>
        </is>
      </c>
      <c r="I684" s="1708" t="inlineStr">
        <is>
          <t>報告_業務P19、業務_財務諸表、業務_附属明細表</t>
        </is>
      </c>
    </row>
    <row r="685" spans="1:9" ht="19.95" customHeight="1">
      <c r="A685" s="1755" t="s">
        <v>12</v>
      </c>
      <c r="B685" s="1711" t="s">
        <v>2011</v>
      </c>
      <c r="C685" s="1756" t="str">
        <f>HYPERLINK("#'業務_決算精算表'!C33","C33")</f>
        <v>C33</v>
      </c>
      <c r="D685" s="1711" t="s">
        <v>2025</v>
      </c>
      <c r="E685" s="1757">
        <f>IF(業務_決算精算表!C33="","",業務_決算精算表!C33)</f>
        <v>13718352</v>
      </c>
      <c r="F685" s="1711" t="s">
        <v>1929</v>
      </c>
      <c r="G685" s="1709" t="str">
        <f t="shared" si="10"/>
        <v>入力済</v>
      </c>
      <c r="H685" s="1708" t="inlineStr">
        <is>
          <t>業務_決算精算表 A33,C47</t>
        </is>
      </c>
      <c r="I685" s="1708" t="inlineStr">
        <is>
          <t>報告_業務P19、業務_財務諸表、業務_附属明細表</t>
        </is>
      </c>
    </row>
    <row r="686" spans="1:9" ht="19.95" customHeight="1">
      <c r="A686" s="1752" t="s">
        <v>12</v>
      </c>
      <c r="B686" s="1708" t="s">
        <v>2011</v>
      </c>
      <c r="C686" s="1753" t="str">
        <f>HYPERLINK("#'業務_決算精算表'!C34","C34")</f>
        <v>C34</v>
      </c>
      <c r="D686" s="1708" t="s">
        <v>2026</v>
      </c>
      <c r="E686" s="1754">
        <f>IF(業務_決算精算表!C34="","",業務_決算精算表!C34)</f>
        <v>54153000</v>
      </c>
      <c r="F686" s="1708" t="s">
        <v>1929</v>
      </c>
      <c r="G686" s="1709" t="str">
        <f t="shared" si="10"/>
        <v>入力済</v>
      </c>
      <c r="H686" s="1708" t="inlineStr">
        <is>
          <t>業務_決算精算表 A34,C47</t>
        </is>
      </c>
      <c r="I686" s="1708" t="inlineStr">
        <is>
          <t>報告_業務P19、業務_財務諸表、業務_附属明細表</t>
        </is>
      </c>
    </row>
    <row r="687" spans="1:9" ht="19.95" customHeight="1">
      <c r="A687" s="1755" t="s">
        <v>12</v>
      </c>
      <c r="B687" s="1711" t="s">
        <v>2011</v>
      </c>
      <c r="C687" s="1756" t="str">
        <f>HYPERLINK("#'業務_決算精算表'!B37","B37")</f>
        <v>B37</v>
      </c>
      <c r="D687" s="1711" t="s">
        <v>2027</v>
      </c>
      <c r="E687" s="1757">
        <f>IF(業務_決算精算表!B37="","",業務_決算精算表!B37)</f>
        <v>0</v>
      </c>
      <c r="F687" s="1711" t="s">
        <v>1929</v>
      </c>
      <c r="G687" s="1709" t="str">
        <f t="shared" si="10"/>
        <v>0（確認）</v>
      </c>
      <c r="H687" s="1708" t="inlineStr">
        <is>
          <t>業務_決算精算表 A37,B47</t>
        </is>
      </c>
      <c r="I687" s="1708" t="inlineStr">
        <is>
          <t>報告_業務P19、業務_財務諸表、業務_附属明細表</t>
        </is>
      </c>
    </row>
    <row r="688" spans="1:9" ht="19.95" customHeight="1">
      <c r="A688" s="1752" t="s">
        <v>12</v>
      </c>
      <c r="B688" s="1708" t="s">
        <v>2011</v>
      </c>
      <c r="C688" s="1753" t="str">
        <f>HYPERLINK("#'業務_決算精算表'!E39","E39")</f>
        <v>E39</v>
      </c>
      <c r="D688" s="1708" t="s">
        <v>2028</v>
      </c>
      <c r="E688" s="1754">
        <f>IF(業務_決算精算表!E39="","",業務_決算精算表!E39)</f>
        <v>94968000</v>
      </c>
      <c r="F688" s="1708" t="s">
        <v>1929</v>
      </c>
      <c r="G688" s="1709" t="str">
        <f t="shared" si="10"/>
        <v>入力済</v>
      </c>
      <c r="H688" s="1708" t="inlineStr">
        <is>
          <t>業務_決算精算表 E47,G39</t>
        </is>
      </c>
      <c r="I688" s="1708" t="inlineStr">
        <is>
          <t>報告_業務P18、報告_業務P19、業務_財務諸表、業務_附属明細表</t>
        </is>
      </c>
    </row>
    <row r="689" spans="1:9" ht="19.95" customHeight="1">
      <c r="A689" s="1755" t="s">
        <v>12</v>
      </c>
      <c r="B689" s="1711" t="s">
        <v>2011</v>
      </c>
      <c r="C689" s="1756" t="str">
        <f>HYPERLINK("#'業務_決算精算表'!E40","E40")</f>
        <v>E40</v>
      </c>
      <c r="D689" s="1711" t="s">
        <v>1945</v>
      </c>
      <c r="E689" s="1757">
        <f>IF(業務_決算精算表!E40="","",業務_決算精算表!E40)</f>
        <v>77607</v>
      </c>
      <c r="F689" s="1711" t="s">
        <v>1929</v>
      </c>
      <c r="G689" s="1709" t="str">
        <f t="shared" si="10"/>
        <v>入力済</v>
      </c>
      <c r="H689" s="1708" t="inlineStr">
        <is>
          <t>業務_決算精算表 E47,G40</t>
        </is>
      </c>
      <c r="I689" s="1708" t="inlineStr">
        <is>
          <t>報告_業務P18、報告_業務P19、業務_財務諸表、業務_附属明細表</t>
        </is>
      </c>
    </row>
    <row r="690" spans="1:9" ht="19.95" customHeight="1">
      <c r="A690" s="1752" t="s">
        <v>12</v>
      </c>
      <c r="B690" s="1708" t="s">
        <v>2011</v>
      </c>
      <c r="C690" s="1753" t="str">
        <f>HYPERLINK("#'業務_決算精算表'!E42","E42")</f>
        <v>E42</v>
      </c>
      <c r="D690" s="1708" t="s">
        <v>2029</v>
      </c>
      <c r="E690" s="1754">
        <f>IF(業務_決算精算表!E42="","",業務_決算精算表!E42)</f>
        <v>23159738</v>
      </c>
      <c r="F690" s="1708" t="s">
        <v>1929</v>
      </c>
      <c r="G690" s="1709" t="str">
        <f t="shared" si="10"/>
        <v>入力済</v>
      </c>
      <c r="H690" s="1708" t="inlineStr">
        <is>
          <t>業務_財務諸表 F42、業務_決算精算表 E47,G42</t>
        </is>
      </c>
      <c r="I690" s="1708" t="inlineStr">
        <is>
          <t>報告_業務P18、報告_業務P19、業務_財務諸表、業務_附属明細表</t>
        </is>
      </c>
    </row>
    <row r="691" spans="1:9" ht="19.95" customHeight="1">
      <c r="A691" s="1755" t="s">
        <v>13</v>
      </c>
      <c r="B691" s="1711" t="s">
        <v>1475</v>
      </c>
      <c r="C691" s="1756" t="str">
        <f>HYPERLINK("#'保健_附属明細表'!M5","M5")</f>
        <v>M5</v>
      </c>
      <c r="D691" s="1711" t="s">
        <v>1904</v>
      </c>
      <c r="E691" s="1757">
        <f>IF(保健_附属明細表!M5="","",保健_附属明細表!M5)</f>
        <v>332277800</v>
      </c>
      <c r="F691" s="1711" t="s">
        <v>1905</v>
      </c>
      <c r="G691" s="1709" t="str">
        <f t="shared" si="10"/>
        <v>入力済</v>
      </c>
      <c r="H691" s="1708" t="inlineStr">
        <is>
          <t>保健_附属明細表 M6</t>
        </is>
      </c>
      <c r="I691" s="1708" t="inlineStr">
        <is>
          <t>保健_財務諸表、保健_決算精算表</t>
        </is>
      </c>
    </row>
    <row r="692" spans="1:9" ht="19.95" customHeight="1">
      <c r="A692" s="1752" t="s">
        <v>13</v>
      </c>
      <c r="B692" s="1708" t="s">
        <v>1475</v>
      </c>
      <c r="C692" s="1753" t="str">
        <f>HYPERLINK("#'保健_附属明細表'!M12","M12")</f>
        <v>M12</v>
      </c>
      <c r="D692" s="1708" t="s">
        <v>2030</v>
      </c>
      <c r="E692" s="1754">
        <f>IF(保健_附属明細表!M12="","",保健_附属明細表!M12)</f>
        <v>0</v>
      </c>
      <c r="F692" s="1708" t="s">
        <v>1905</v>
      </c>
      <c r="G692" s="1709" t="str">
        <f t="shared" si="10"/>
        <v>0（確認）</v>
      </c>
      <c r="H692" s="1708" t="inlineStr">
        <is>
          <t>保健_財務諸表 C8、保健_附属明細表 M13</t>
        </is>
      </c>
      <c r="I692" s="1708" t="inlineStr">
        <is>
          <t>保健_財務諸表</t>
        </is>
      </c>
    </row>
    <row r="693" spans="1:9" ht="19.95" customHeight="1">
      <c r="A693" s="1755" t="s">
        <v>13</v>
      </c>
      <c r="B693" s="1711" t="s">
        <v>1475</v>
      </c>
      <c r="C693" s="1756" t="str">
        <f>HYPERLINK("#'保健_附属明細表'!M19","M19")</f>
        <v>M19</v>
      </c>
      <c r="D693" s="1711" t="s">
        <v>2031</v>
      </c>
      <c r="E693" s="1757">
        <f>IF(保健_附属明細表!M19="","",保健_附属明細表!M19)</f>
        <v>0</v>
      </c>
      <c r="F693" s="1711" t="s">
        <v>1905</v>
      </c>
      <c r="G693" s="1709" t="str">
        <f t="shared" si="10"/>
        <v>0（確認）</v>
      </c>
      <c r="H693" s="1708" t="inlineStr">
        <is>
          <t>保健_附属明細表 M20</t>
        </is>
      </c>
      <c r="I693" s="1708" t="inlineStr">
        <is>
          <t>保健_財務諸表</t>
        </is>
      </c>
    </row>
    <row r="694" spans="1:9" ht="19.95" customHeight="1">
      <c r="A694" s="1752" t="s">
        <v>13</v>
      </c>
      <c r="B694" s="1708" t="s">
        <v>1475</v>
      </c>
      <c r="C694" s="1753" t="str">
        <f>HYPERLINK("#'保健_附属明細表'!G33","G33")</f>
        <v>G33</v>
      </c>
      <c r="D694" s="1708" t="s">
        <v>2032</v>
      </c>
      <c r="E694" s="1754">
        <f>IF(保健_附属明細表!G33="","",保健_附属明細表!G33)</f>
        <v>0</v>
      </c>
      <c r="F694" s="1708" t="s">
        <v>1905</v>
      </c>
      <c r="G694" s="1709" t="str">
        <f t="shared" si="10"/>
        <v>0（確認）</v>
      </c>
      <c r="H694" s="1708" t="inlineStr">
        <is>
          <t>保健_附属明細表 G35</t>
        </is>
      </c>
      <c r="I694" s="1708" t="inlineStr">
        <is>
          <t>保健_財務諸表</t>
        </is>
      </c>
    </row>
    <row r="695" spans="1:9" ht="19.95" customHeight="1">
      <c r="A695" s="1755" t="s">
        <v>13</v>
      </c>
      <c r="B695" s="1711" t="s">
        <v>1475</v>
      </c>
      <c r="C695" s="1756" t="str">
        <f>HYPERLINK("#'保健_附属明細表'!G34","G34")</f>
        <v>G34</v>
      </c>
      <c r="D695" s="1711" t="s">
        <v>2033</v>
      </c>
      <c r="E695" s="1757">
        <f>IF(保健_附属明細表!G34="","",保健_附属明細表!G34)</f>
        <v>0</v>
      </c>
      <c r="F695" s="1711" t="s">
        <v>1905</v>
      </c>
      <c r="G695" s="1709" t="str">
        <f t="shared" si="10"/>
        <v>0（確認）</v>
      </c>
      <c r="H695" s="1708" t="inlineStr">
        <is>
          <t>保健_附属明細表 G35</t>
        </is>
      </c>
      <c r="I695" s="1708" t="inlineStr">
        <is>
          <t>保健_財務諸表</t>
        </is>
      </c>
    </row>
    <row r="696" spans="1:9" ht="19.95" customHeight="1">
      <c r="A696" s="1752" t="s">
        <v>13</v>
      </c>
      <c r="B696" s="1708" t="s">
        <v>1475</v>
      </c>
      <c r="C696" s="1753" t="str">
        <f>HYPERLINK("#'保健_附属明細表'!G41","G41")</f>
        <v>G41</v>
      </c>
      <c r="D696" s="1708" t="s">
        <v>1984</v>
      </c>
      <c r="E696" s="1754">
        <f>IF(保健_附属明細表!G41="","",保健_附属明細表!G41)</f>
        <v>129211081</v>
      </c>
      <c r="F696" s="1708" t="s">
        <v>1905</v>
      </c>
      <c r="G696" s="1709" t="str">
        <f t="shared" si="10"/>
        <v>入力済</v>
      </c>
      <c r="H696" s="1708" t="inlineStr">
        <is>
          <t>保健_附属明細表 G43、保健_決算精算表 F46</t>
        </is>
      </c>
      <c r="I696" s="1708" t="inlineStr">
        <is>
          <t>報告_保健P20-22、保健_財務諸表、保健_決算精算表</t>
        </is>
      </c>
    </row>
    <row r="697" spans="1:9" ht="19.95" customHeight="1">
      <c r="A697" s="1755" t="s">
        <v>13</v>
      </c>
      <c r="B697" s="1711" t="s">
        <v>1475</v>
      </c>
      <c r="C697" s="1756" t="str">
        <f>HYPERLINK("#'保健_附属明細表'!G50","G50")</f>
        <v>G50</v>
      </c>
      <c r="D697" s="1711" t="s">
        <v>2034</v>
      </c>
      <c r="E697" s="1757">
        <f>IF(保健_附属明細表!G50="","",保健_附属明細表!G50)</f>
        <v>170769925</v>
      </c>
      <c r="F697" s="1711" t="s">
        <v>1905</v>
      </c>
      <c r="G697" s="1709" t="str">
        <f t="shared" si="10"/>
        <v>入力済</v>
      </c>
      <c r="H697" s="1708" t="inlineStr">
        <is>
          <t>保健_附属明細表 G61、保健_決算精算表 B28</t>
        </is>
      </c>
      <c r="I697" s="1708" t="inlineStr">
        <is>
          <t>報告_保健P20-22、保健_財務諸表、保健_決算精算表</t>
        </is>
      </c>
    </row>
    <row r="698" spans="1:9" ht="19.95" customHeight="1">
      <c r="A698" s="1752" t="s">
        <v>13</v>
      </c>
      <c r="B698" s="1708" t="s">
        <v>1475</v>
      </c>
      <c r="C698" s="1753" t="str">
        <f>HYPERLINK("#'保健_附属明細表'!G51","G51")</f>
        <v>G51</v>
      </c>
      <c r="D698" s="1708" t="s">
        <v>2035</v>
      </c>
      <c r="E698" s="1754">
        <f>IF(保健_附属明細表!G51="","",保健_附属明細表!G51)</f>
        <v>3896573</v>
      </c>
      <c r="F698" s="1708" t="s">
        <v>1905</v>
      </c>
      <c r="G698" s="1709" t="str">
        <f t="shared" si="10"/>
        <v>入力済</v>
      </c>
      <c r="H698" s="1708" t="inlineStr">
        <is>
          <t>保健_附属明細表 G61、保健_決算精算表 B29</t>
        </is>
      </c>
      <c r="I698" s="1708" t="inlineStr">
        <is>
          <t>報告_保健P20-22、保健_財務諸表、保健_決算精算表</t>
        </is>
      </c>
    </row>
    <row r="699" spans="1:9" ht="19.95" customHeight="1">
      <c r="A699" s="1755" t="s">
        <v>13</v>
      </c>
      <c r="B699" s="1711" t="s">
        <v>1475</v>
      </c>
      <c r="C699" s="1756" t="str">
        <f>HYPERLINK("#'保健_附属明細表'!G52","G52")</f>
        <v>G52</v>
      </c>
      <c r="D699" s="1711" t="s">
        <v>1979</v>
      </c>
      <c r="E699" s="1757">
        <f>IF(保健_附属明細表!G52="","",保健_附属明細表!G52)</f>
        <v>30544</v>
      </c>
      <c r="F699" s="1711" t="s">
        <v>1905</v>
      </c>
      <c r="G699" s="1709" t="str">
        <f t="shared" si="10"/>
        <v>入力済</v>
      </c>
      <c r="H699" s="1708" t="inlineStr">
        <is>
          <t>保健_附属明細表 G61,O138、保健_決算精算表 B30</t>
        </is>
      </c>
      <c r="I699" s="1708" t="inlineStr">
        <is>
          <t>報告_保健P20-22、保健_財務諸表、保健_決算精算表</t>
        </is>
      </c>
    </row>
    <row r="700" spans="1:9" ht="19.95" customHeight="1">
      <c r="A700" s="1752" t="s">
        <v>13</v>
      </c>
      <c r="B700" s="1708" t="s">
        <v>1475</v>
      </c>
      <c r="C700" s="1753" t="str">
        <f>HYPERLINK("#'保健_附属明細表'!G53","G53")</f>
        <v>G53</v>
      </c>
      <c r="D700" s="1708" t="s">
        <v>2036</v>
      </c>
      <c r="E700" s="1754">
        <f>IF(保健_附属明細表!G53="","",保健_附属明細表!G53)</f>
        <v>0</v>
      </c>
      <c r="F700" s="1708" t="s">
        <v>1905</v>
      </c>
      <c r="G700" s="1709" t="str">
        <f t="shared" si="10"/>
        <v>0（確認）</v>
      </c>
      <c r="H700" s="1708" t="inlineStr">
        <is>
          <t>保健_附属明細表 G61</t>
        </is>
      </c>
      <c r="I700" s="1708" t="inlineStr">
        <is>
          <t>保健_財務諸表、保健_決算精算表</t>
        </is>
      </c>
    </row>
    <row r="701" spans="1:9" ht="19.95" customHeight="1">
      <c r="A701" s="1755" t="s">
        <v>13</v>
      </c>
      <c r="B701" s="1711" t="s">
        <v>1475</v>
      </c>
      <c r="C701" s="1756" t="str">
        <f>HYPERLINK("#'保健_附属明細表'!G54","G54")</f>
        <v>G54</v>
      </c>
      <c r="D701" s="1711" t="s">
        <v>1980</v>
      </c>
      <c r="E701" s="1757">
        <f>IF(保健_附属明細表!G54="","",保健_附属明細表!G54)</f>
        <v>252450</v>
      </c>
      <c r="F701" s="1711" t="s">
        <v>1905</v>
      </c>
      <c r="G701" s="1709" t="str">
        <f t="shared" si="10"/>
        <v>入力済</v>
      </c>
      <c r="H701" s="1708" t="inlineStr">
        <is>
          <t>保健_附属明細表 G61、保健_決算精算表 B33</t>
        </is>
      </c>
      <c r="I701" s="1708" t="inlineStr">
        <is>
          <t>報告_保健P20-22、保健_財務諸表、保健_決算精算表</t>
        </is>
      </c>
    </row>
    <row r="702" spans="1:9" ht="19.95" customHeight="1">
      <c r="A702" s="1752" t="s">
        <v>13</v>
      </c>
      <c r="B702" s="1708" t="s">
        <v>1475</v>
      </c>
      <c r="C702" s="1753" t="str">
        <f>HYPERLINK("#'保健_附属明細表'!G56","G56")</f>
        <v>G56</v>
      </c>
      <c r="D702" s="1708" t="s">
        <v>2037</v>
      </c>
      <c r="E702" s="1754">
        <f>IF(保健_附属明細表!G56="","",保健_附属明細表!G56)</f>
        <v>5274</v>
      </c>
      <c r="F702" s="1708" t="s">
        <v>1905</v>
      </c>
      <c r="G702" s="1709" t="str">
        <f t="shared" si="10"/>
        <v>入力済</v>
      </c>
      <c r="H702" s="1708" t="inlineStr">
        <is>
          <t>保健_附属明細表 G61、保健_決算精算表 B36</t>
        </is>
      </c>
      <c r="I702" s="1708" t="inlineStr">
        <is>
          <t>報告_保健P20-22、保健_財務諸表、保健_決算精算表</t>
        </is>
      </c>
    </row>
    <row r="703" spans="1:9" ht="19.95" customHeight="1">
      <c r="A703" s="1755" t="s">
        <v>13</v>
      </c>
      <c r="B703" s="1711" t="s">
        <v>1475</v>
      </c>
      <c r="C703" s="1756" t="str">
        <f>HYPERLINK("#'保健_附属明細表'!G57","G57")</f>
        <v>G57</v>
      </c>
      <c r="D703" s="1711" t="s">
        <v>1982</v>
      </c>
      <c r="E703" s="1757">
        <f>IF(保健_附属明細表!G57="","",保健_附属明細表!G57)</f>
        <v>286501</v>
      </c>
      <c r="F703" s="1711" t="s">
        <v>1905</v>
      </c>
      <c r="G703" s="1709" t="str">
        <f t="shared" si="10"/>
        <v>入力済</v>
      </c>
      <c r="H703" s="1708" t="inlineStr">
        <is>
          <t>保健_附属明細表 G61、保健_決算精算表 B37</t>
        </is>
      </c>
      <c r="I703" s="1708" t="inlineStr">
        <is>
          <t>報告_保健P20-22、保健_財務諸表、保健_決算精算表</t>
        </is>
      </c>
    </row>
    <row r="704" spans="1:9" ht="19.95" customHeight="1">
      <c r="A704" s="1752" t="s">
        <v>13</v>
      </c>
      <c r="B704" s="1708" t="s">
        <v>1475</v>
      </c>
      <c r="C704" s="1753" t="str">
        <f>HYPERLINK("#'保健_附属明細表'!G58","G58")</f>
        <v>G58</v>
      </c>
      <c r="D704" s="1708" t="s">
        <v>1984</v>
      </c>
      <c r="E704" s="1754">
        <f>IF(保健_附属明細表!G58="","",保健_附属明細表!G58)</f>
        <v>19020</v>
      </c>
      <c r="F704" s="1708" t="s">
        <v>1905</v>
      </c>
      <c r="G704" s="1709" t="str">
        <f t="shared" si="10"/>
        <v>入力済</v>
      </c>
      <c r="H704" s="1708" t="inlineStr">
        <is>
          <t>保健_附属明細表 G61、保健_決算精算表 B40</t>
        </is>
      </c>
      <c r="I704" s="1708" t="inlineStr">
        <is>
          <t>報告_保健P20-22、保健_財務諸表、保健_決算精算表</t>
        </is>
      </c>
    </row>
    <row r="705" spans="1:9" ht="19.95" customHeight="1">
      <c r="A705" s="1755" t="s">
        <v>13</v>
      </c>
      <c r="B705" s="1711" t="s">
        <v>1475</v>
      </c>
      <c r="C705" s="1756" t="str">
        <f>HYPERLINK("#'保健_附属明細表'!G59","G59")</f>
        <v>G59</v>
      </c>
      <c r="D705" s="1711" t="s">
        <v>1984</v>
      </c>
      <c r="E705" s="1757">
        <f>IF(保健_附属明細表!G59="","",保健_附属明細表!G59)</f>
        <v>0</v>
      </c>
      <c r="F705" s="1711" t="s">
        <v>1905</v>
      </c>
      <c r="G705" s="1709" t="str">
        <f t="shared" si="10"/>
        <v>0（確認）</v>
      </c>
      <c r="H705" s="1708" t="inlineStr">
        <is>
          <t>保健_附属明細表 G61、保健_決算精算表 B46</t>
        </is>
      </c>
      <c r="I705" s="1708" t="inlineStr">
        <is>
          <t>報告_保健P20-22、保健_財務諸表、保健_決算精算表</t>
        </is>
      </c>
    </row>
    <row r="706" spans="1:9" ht="19.95" customHeight="1">
      <c r="A706" s="1752" t="s">
        <v>13</v>
      </c>
      <c r="B706" s="1708" t="s">
        <v>1475</v>
      </c>
      <c r="C706" s="1753" t="str">
        <f>HYPERLINK("#'保健_附属明細表'!G60","G60")</f>
        <v>G60</v>
      </c>
      <c r="D706" s="1708" t="s">
        <v>1983</v>
      </c>
      <c r="E706" s="1754">
        <f>IF(保健_附属明細表!G60="","",保健_附属明細表!G60)</f>
        <v>0</v>
      </c>
      <c r="F706" s="1708" t="s">
        <v>1905</v>
      </c>
      <c r="G706" s="1709" t="str">
        <f t="shared" si="10"/>
        <v>0（確認）</v>
      </c>
      <c r="H706" s="1708" t="inlineStr">
        <is>
          <t>保健_附属明細表 G61、保健_決算精算表 B39</t>
        </is>
      </c>
      <c r="I706" s="1708" t="inlineStr">
        <is>
          <t>報告_保健P20-22、保健_財務諸表、保健_決算精算表</t>
        </is>
      </c>
    </row>
    <row r="707" spans="1:9" ht="19.95" customHeight="1">
      <c r="A707" s="1755" t="s">
        <v>13</v>
      </c>
      <c r="B707" s="1711" t="s">
        <v>1475</v>
      </c>
      <c r="C707" s="1756" t="str">
        <f>HYPERLINK("#'保健_附属明細表'!G67","G67")</f>
        <v>G67</v>
      </c>
      <c r="D707" s="1711" t="s">
        <v>1982</v>
      </c>
      <c r="E707" s="1757">
        <f>IF(保健_附属明細表!G67="","",保健_附属明細表!G67)</f>
        <v>0</v>
      </c>
      <c r="F707" s="1711" t="s">
        <v>1905</v>
      </c>
      <c r="G707" s="1709" t="str">
        <f t="shared" si="10"/>
        <v>0（確認）</v>
      </c>
      <c r="H707" s="1708" t="inlineStr">
        <is>
          <t>保健_附属明細表 G70、保健_決算精算表 B37</t>
        </is>
      </c>
      <c r="I707" s="1708" t="inlineStr">
        <is>
          <t>報告_保健P20-22、保健_財務諸表、保健_決算精算表</t>
        </is>
      </c>
    </row>
    <row r="708" spans="1:9" ht="19.95" customHeight="1">
      <c r="A708" s="1752" t="s">
        <v>13</v>
      </c>
      <c r="B708" s="1708" t="s">
        <v>1475</v>
      </c>
      <c r="C708" s="1753" t="str">
        <f>HYPERLINK("#'保健_附属明細表'!G76","G76")</f>
        <v>G76</v>
      </c>
      <c r="D708" s="1708" t="s">
        <v>1989</v>
      </c>
      <c r="E708" s="1754">
        <f>IF(保健_附属明細表!G76="","",保健_附属明細表!G76)</f>
        <v>418825</v>
      </c>
      <c r="F708" s="1708" t="s">
        <v>1905</v>
      </c>
      <c r="G708" s="1709" t="str">
        <f t="shared" si="10"/>
        <v>入力済</v>
      </c>
      <c r="H708" s="1708" t="inlineStr">
        <is>
          <t>保健_附属明細表 G79</t>
        </is>
      </c>
      <c r="I708" s="1708" t="inlineStr">
        <is>
          <t>保健_財務諸表、保健_決算精算表</t>
        </is>
      </c>
    </row>
    <row r="709" spans="1:9" ht="19.95" customHeight="1">
      <c r="A709" s="1755" t="s">
        <v>13</v>
      </c>
      <c r="B709" s="1711" t="s">
        <v>1475</v>
      </c>
      <c r="C709" s="1756" t="str">
        <f>HYPERLINK("#'保健_附属明細表'!G77","G77")</f>
        <v>G77</v>
      </c>
      <c r="D709" s="1711" t="s">
        <v>1989</v>
      </c>
      <c r="E709" s="1757">
        <f>IF(保健_附属明細表!G77="","",保健_附属明細表!G77)</f>
        <v>597025</v>
      </c>
      <c r="F709" s="1711" t="s">
        <v>1905</v>
      </c>
      <c r="G709" s="1709" t="str">
        <f t="shared" si="10"/>
        <v>入力済</v>
      </c>
      <c r="H709" s="1708" t="inlineStr">
        <is>
          <t>保健_附属明細表 G79</t>
        </is>
      </c>
      <c r="I709" s="1708" t="inlineStr">
        <is>
          <t>保健_財務諸表、保健_決算精算表</t>
        </is>
      </c>
    </row>
    <row r="710" spans="1:9" ht="19.95" customHeight="1">
      <c r="A710" s="1752" t="s">
        <v>13</v>
      </c>
      <c r="B710" s="1708" t="s">
        <v>1475</v>
      </c>
      <c r="C710" s="1753" t="str">
        <f>HYPERLINK("#'保健_附属明細表'!D92","D92")</f>
        <v>D92</v>
      </c>
      <c r="D710" s="1708" t="s">
        <v>2038</v>
      </c>
      <c r="E710" s="1754">
        <f>IF(保健_附属明細表!D92="","",保健_附属明細表!D92)</f>
        <v>0</v>
      </c>
      <c r="F710" s="1708" t="s">
        <v>1905</v>
      </c>
      <c r="G710" s="1709" t="str">
        <f t="shared" ref="G710:G773" si="11">IF(E710="","未入力（空欄）",IF(E710=0,"0（確認）","入力済"))</f>
        <v>0（確認）</v>
      </c>
      <c r="H710" s="1708" t="inlineStr">
        <is>
          <t>保健_附属明細表 D95,M92</t>
        </is>
      </c>
      <c r="I710" s="1708" t="inlineStr">
        <is>
          <t>保健_決算精算表</t>
        </is>
      </c>
    </row>
    <row r="711" spans="1:9" ht="19.95" customHeight="1">
      <c r="A711" s="1755" t="s">
        <v>13</v>
      </c>
      <c r="B711" s="1711" t="s">
        <v>1475</v>
      </c>
      <c r="C711" s="1756" t="str">
        <f>HYPERLINK("#'保健_附属明細表'!G92","G92")</f>
        <v>G92</v>
      </c>
      <c r="D711" s="1711" t="s">
        <v>2039</v>
      </c>
      <c r="E711" s="1757">
        <f>IF(保健_附属明細表!G92="","",保健_附属明細表!G92)</f>
        <v>0</v>
      </c>
      <c r="F711" s="1711" t="s">
        <v>1905</v>
      </c>
      <c r="G711" s="1709" t="str">
        <f t="shared" si="11"/>
        <v>0（確認）</v>
      </c>
      <c r="H711" s="1708" t="inlineStr">
        <is>
          <t>保健_附属明細表 G95,M92</t>
        </is>
      </c>
      <c r="I711" s="1708" t="inlineStr">
        <is>
          <t>保健_決算精算表</t>
        </is>
      </c>
    </row>
    <row r="712" spans="1:9" ht="19.95" customHeight="1">
      <c r="A712" s="1752" t="s">
        <v>13</v>
      </c>
      <c r="B712" s="1708" t="s">
        <v>1475</v>
      </c>
      <c r="C712" s="1753" t="str">
        <f>HYPERLINK("#'保健_附属明細表'!J92","J92")</f>
        <v>J92</v>
      </c>
      <c r="D712" s="1708" t="s">
        <v>2040</v>
      </c>
      <c r="E712" s="1754">
        <f>IF(保健_附属明細表!J92="","",保健_附属明細表!J92)</f>
        <v>0</v>
      </c>
      <c r="F712" s="1708" t="s">
        <v>1905</v>
      </c>
      <c r="G712" s="1709" t="str">
        <f t="shared" si="11"/>
        <v>0（確認）</v>
      </c>
      <c r="H712" s="1708" t="inlineStr">
        <is>
          <t>保健_附属明細表 J95,M92</t>
        </is>
      </c>
      <c r="I712" s="1708" t="inlineStr">
        <is>
          <t>保健_決算精算表</t>
        </is>
      </c>
    </row>
    <row r="713" spans="1:9" ht="19.95" customHeight="1">
      <c r="A713" s="1755" t="s">
        <v>13</v>
      </c>
      <c r="B713" s="1711" t="s">
        <v>1475</v>
      </c>
      <c r="C713" s="1756" t="str">
        <f>HYPERLINK("#'保健_附属明細表'!D93","D93")</f>
        <v>D93</v>
      </c>
      <c r="D713" s="1711" t="s">
        <v>2041</v>
      </c>
      <c r="E713" s="1757">
        <f>IF(保健_附属明細表!D93="","",保健_附属明細表!D93)</f>
        <v>0</v>
      </c>
      <c r="F713" s="1711" t="s">
        <v>1905</v>
      </c>
      <c r="G713" s="1709" t="str">
        <f t="shared" si="11"/>
        <v>0（確認）</v>
      </c>
      <c r="H713" s="1708" t="inlineStr">
        <is>
          <t>保健_附属明細表 D95,M93</t>
        </is>
      </c>
      <c r="I713" s="1708" t="inlineStr">
        <is>
          <t>保健_決算精算表</t>
        </is>
      </c>
    </row>
    <row r="714" spans="1:9" ht="19.95" customHeight="1">
      <c r="A714" s="1752" t="s">
        <v>13</v>
      </c>
      <c r="B714" s="1708" t="s">
        <v>1475</v>
      </c>
      <c r="C714" s="1753" t="str">
        <f>HYPERLINK("#'保健_附属明細表'!G93","G93")</f>
        <v>G93</v>
      </c>
      <c r="D714" s="1708" t="s">
        <v>2042</v>
      </c>
      <c r="E714" s="1754">
        <f>IF(保健_附属明細表!G93="","",保健_附属明細表!G93)</f>
        <v>0</v>
      </c>
      <c r="F714" s="1708" t="s">
        <v>1905</v>
      </c>
      <c r="G714" s="1709" t="str">
        <f t="shared" si="11"/>
        <v>0（確認）</v>
      </c>
      <c r="H714" s="1708" t="inlineStr">
        <is>
          <t>保健_附属明細表 G95,M93</t>
        </is>
      </c>
      <c r="I714" s="1708" t="inlineStr">
        <is>
          <t>保健_決算精算表</t>
        </is>
      </c>
    </row>
    <row r="715" spans="1:9" ht="19.95" customHeight="1">
      <c r="A715" s="1755" t="s">
        <v>13</v>
      </c>
      <c r="B715" s="1711" t="s">
        <v>1475</v>
      </c>
      <c r="C715" s="1756" t="str">
        <f>HYPERLINK("#'保健_附属明細表'!J93","J93")</f>
        <v>J93</v>
      </c>
      <c r="D715" s="1711" t="s">
        <v>2043</v>
      </c>
      <c r="E715" s="1757">
        <f>IF(保健_附属明細表!J93="","",保健_附属明細表!J93)</f>
        <v>0</v>
      </c>
      <c r="F715" s="1711" t="s">
        <v>1905</v>
      </c>
      <c r="G715" s="1709" t="str">
        <f t="shared" si="11"/>
        <v>0（確認）</v>
      </c>
      <c r="H715" s="1708" t="inlineStr">
        <is>
          <t>保健_附属明細表 J95,M93</t>
        </is>
      </c>
      <c r="I715" s="1708" t="inlineStr">
        <is>
          <t>保健_決算精算表</t>
        </is>
      </c>
    </row>
    <row r="716" spans="1:9" ht="19.95" customHeight="1">
      <c r="A716" s="1752" t="s">
        <v>13</v>
      </c>
      <c r="B716" s="1708" t="s">
        <v>1475</v>
      </c>
      <c r="C716" s="1753" t="str">
        <f>HYPERLINK("#'保健_附属明細表'!D94","D94")</f>
        <v>D94</v>
      </c>
      <c r="D716" s="1708" t="s">
        <v>2044</v>
      </c>
      <c r="E716" s="1754">
        <f>IF(保健_附属明細表!D94="","",保健_附属明細表!D94)</f>
        <v>0</v>
      </c>
      <c r="F716" s="1708" t="s">
        <v>1905</v>
      </c>
      <c r="G716" s="1709" t="str">
        <f t="shared" si="11"/>
        <v>0（確認）</v>
      </c>
      <c r="H716" s="1708" t="inlineStr">
        <is>
          <t>保健_附属明細表 D95,M94</t>
        </is>
      </c>
      <c r="I716" s="1708" t="inlineStr">
        <is>
          <t>保健_決算精算表</t>
        </is>
      </c>
    </row>
    <row r="717" spans="1:9" ht="19.95" customHeight="1">
      <c r="A717" s="1755" t="s">
        <v>13</v>
      </c>
      <c r="B717" s="1711" t="s">
        <v>1475</v>
      </c>
      <c r="C717" s="1756" t="str">
        <f>HYPERLINK("#'保健_附属明細表'!G94","G94")</f>
        <v>G94</v>
      </c>
      <c r="D717" s="1711" t="s">
        <v>1990</v>
      </c>
      <c r="E717" s="1757">
        <f>IF(保健_附属明細表!G94="","",保健_附属明細表!G94)</f>
        <v>0</v>
      </c>
      <c r="F717" s="1711" t="s">
        <v>1905</v>
      </c>
      <c r="G717" s="1709" t="str">
        <f t="shared" si="11"/>
        <v>0（確認）</v>
      </c>
      <c r="H717" s="1708" t="inlineStr">
        <is>
          <t>保健_附属明細表 G95,M94</t>
        </is>
      </c>
      <c r="I717" s="1708" t="inlineStr">
        <is>
          <t>保健_決算精算表</t>
        </is>
      </c>
    </row>
    <row r="718" spans="1:9" ht="19.95" customHeight="1">
      <c r="A718" s="1752" t="s">
        <v>13</v>
      </c>
      <c r="B718" s="1708" t="s">
        <v>1475</v>
      </c>
      <c r="C718" s="1753" t="str">
        <f>HYPERLINK("#'保健_附属明細表'!J94","J94")</f>
        <v>J94</v>
      </c>
      <c r="D718" s="1708" t="s">
        <v>1991</v>
      </c>
      <c r="E718" s="1754">
        <f>IF(保健_附属明細表!J94="","",保健_附属明細表!J94)</f>
        <v>0</v>
      </c>
      <c r="F718" s="1708" t="s">
        <v>1905</v>
      </c>
      <c r="G718" s="1709" t="str">
        <f t="shared" si="11"/>
        <v>0（確認）</v>
      </c>
      <c r="H718" s="1708" t="inlineStr">
        <is>
          <t>保健_附属明細表 J95,M94</t>
        </is>
      </c>
      <c r="I718" s="1708" t="inlineStr">
        <is>
          <t>保健_決算精算表</t>
        </is>
      </c>
    </row>
    <row r="719" spans="1:9" ht="19.95" customHeight="1">
      <c r="A719" s="1755" t="s">
        <v>13</v>
      </c>
      <c r="B719" s="1711" t="s">
        <v>1475</v>
      </c>
      <c r="C719" s="1756" t="str">
        <f>HYPERLINK("#'保健_附属明細表'!F101","F101")</f>
        <v>F101</v>
      </c>
      <c r="D719" s="1711" t="s">
        <v>2045</v>
      </c>
      <c r="E719" s="1757">
        <f>IF(保健_附属明細表!F101="","",保健_附属明細表!F101)</f>
        <v>13600000</v>
      </c>
      <c r="F719" s="1711" t="s">
        <v>1905</v>
      </c>
      <c r="G719" s="1709" t="str">
        <f t="shared" si="11"/>
        <v>入力済</v>
      </c>
      <c r="H719" s="1708" t="inlineStr">
        <is>
          <t>保健_附属明細表 F104,R101</t>
        </is>
      </c>
      <c r="I719" s="1708" t="inlineStr">
        <is>
          <t>同じシート内のみ</t>
        </is>
      </c>
    </row>
    <row r="720" spans="1:9" ht="19.95" customHeight="1">
      <c r="A720" s="1752" t="s">
        <v>13</v>
      </c>
      <c r="B720" s="1708" t="s">
        <v>1475</v>
      </c>
      <c r="C720" s="1753" t="str">
        <f>HYPERLINK("#'保健_附属明細表'!I101","I101")</f>
        <v>I101</v>
      </c>
      <c r="D720" s="1708" t="s">
        <v>2046</v>
      </c>
      <c r="E720" s="1754">
        <f>IF(保健_附属明細表!I101="","",保健_附属明細表!I101)</f>
        <v>0</v>
      </c>
      <c r="F720" s="1708" t="s">
        <v>1905</v>
      </c>
      <c r="G720" s="1709" t="str">
        <f t="shared" si="11"/>
        <v>0（確認）</v>
      </c>
      <c r="H720" s="1708" t="inlineStr">
        <is>
          <t>保健_附属明細表 I104</t>
        </is>
      </c>
      <c r="I720" s="1708" t="inlineStr">
        <is>
          <t>報告_保健P20-22、保健_財務諸表、保健_決算精算表</t>
        </is>
      </c>
    </row>
    <row r="721" spans="1:9" ht="19.95" customHeight="1">
      <c r="A721" s="1755" t="s">
        <v>13</v>
      </c>
      <c r="B721" s="1711" t="s">
        <v>1475</v>
      </c>
      <c r="C721" s="1756" t="str">
        <f>HYPERLINK("#'保健_附属明細表'!L101","L101")</f>
        <v>L101</v>
      </c>
      <c r="D721" s="1711" t="s">
        <v>2047</v>
      </c>
      <c r="E721" s="1757">
        <f>IF(保健_附属明細表!L101="","",保健_附属明細表!L101)</f>
        <v>13599999</v>
      </c>
      <c r="F721" s="1711" t="s">
        <v>1905</v>
      </c>
      <c r="G721" s="1709" t="str">
        <f t="shared" si="11"/>
        <v>入力済</v>
      </c>
      <c r="H721" s="1708" t="inlineStr">
        <is>
          <t>保健_附属明細表 L104,R101</t>
        </is>
      </c>
      <c r="I721" s="1708" t="inlineStr">
        <is>
          <t>同じシート内のみ</t>
        </is>
      </c>
    </row>
    <row r="722" spans="1:9" ht="19.95" customHeight="1">
      <c r="A722" s="1752" t="s">
        <v>13</v>
      </c>
      <c r="B722" s="1708" t="s">
        <v>1475</v>
      </c>
      <c r="C722" s="1753" t="str">
        <f>HYPERLINK("#'保健_附属明細表'!O101","O101")</f>
        <v>O101</v>
      </c>
      <c r="D722" s="1708" t="s">
        <v>2048</v>
      </c>
      <c r="E722" s="1754">
        <f>IF(保健_附属明細表!O101="","",保健_附属明細表!O101)</f>
        <v>0</v>
      </c>
      <c r="F722" s="1708" t="s">
        <v>1905</v>
      </c>
      <c r="G722" s="1709" t="str">
        <f t="shared" si="11"/>
        <v>0（確認）</v>
      </c>
      <c r="H722" s="1708" t="inlineStr">
        <is>
          <t>保健_附属明細表 O104</t>
        </is>
      </c>
      <c r="I722" s="1708" t="inlineStr">
        <is>
          <t>保健_財務諸表</t>
        </is>
      </c>
    </row>
    <row r="723" spans="1:9" ht="19.95" customHeight="1">
      <c r="A723" s="1755" t="s">
        <v>13</v>
      </c>
      <c r="B723" s="1711" t="s">
        <v>1475</v>
      </c>
      <c r="C723" s="1756" t="str">
        <f>HYPERLINK("#'保健_附属明細表'!F102","F102")</f>
        <v>F102</v>
      </c>
      <c r="D723" s="1711" t="s">
        <v>2049</v>
      </c>
      <c r="E723" s="1757">
        <f>IF(保健_附属明細表!F102="","",保健_附属明細表!F102)</f>
        <v>6570000</v>
      </c>
      <c r="F723" s="1711" t="s">
        <v>1905</v>
      </c>
      <c r="G723" s="1709" t="str">
        <f t="shared" si="11"/>
        <v>入力済</v>
      </c>
      <c r="H723" s="1708" t="inlineStr">
        <is>
          <t>保健_附属明細表 F104,R102</t>
        </is>
      </c>
      <c r="I723" s="1708" t="inlineStr">
        <is>
          <t>同じシート内のみ</t>
        </is>
      </c>
    </row>
    <row r="724" spans="1:9" ht="19.95" customHeight="1">
      <c r="A724" s="1752" t="s">
        <v>13</v>
      </c>
      <c r="B724" s="1708" t="s">
        <v>1475</v>
      </c>
      <c r="C724" s="1753" t="str">
        <f>HYPERLINK("#'保健_附属明細表'!I102","I102")</f>
        <v>I102</v>
      </c>
      <c r="D724" s="1708" t="s">
        <v>2050</v>
      </c>
      <c r="E724" s="1754">
        <f>IF(保健_附属明細表!I102="","",保健_附属明細表!I102)</f>
        <v>0</v>
      </c>
      <c r="F724" s="1708" t="s">
        <v>1905</v>
      </c>
      <c r="G724" s="1709" t="str">
        <f t="shared" si="11"/>
        <v>0（確認）</v>
      </c>
      <c r="H724" s="1708" t="inlineStr">
        <is>
          <t>保健_附属明細表 I104</t>
        </is>
      </c>
      <c r="I724" s="1708" t="inlineStr">
        <is>
          <t>報告_保健P20-22、保健_財務諸表、保健_決算精算表</t>
        </is>
      </c>
    </row>
    <row r="725" spans="1:9" ht="19.95" customHeight="1">
      <c r="A725" s="1755" t="s">
        <v>13</v>
      </c>
      <c r="B725" s="1711" t="s">
        <v>1475</v>
      </c>
      <c r="C725" s="1756" t="str">
        <f>HYPERLINK("#'保健_附属明細表'!L102","L102")</f>
        <v>L102</v>
      </c>
      <c r="D725" s="1711" t="s">
        <v>2051</v>
      </c>
      <c r="E725" s="1757">
        <f>IF(保健_附属明細表!L102="","",保健_附属明細表!L102)</f>
        <v>6569999</v>
      </c>
      <c r="F725" s="1711" t="s">
        <v>1905</v>
      </c>
      <c r="G725" s="1709" t="str">
        <f t="shared" si="11"/>
        <v>入力済</v>
      </c>
      <c r="H725" s="1708" t="inlineStr">
        <is>
          <t>保健_附属明細表 L104,R102</t>
        </is>
      </c>
      <c r="I725" s="1708" t="inlineStr">
        <is>
          <t>同じシート内のみ</t>
        </is>
      </c>
    </row>
    <row r="726" spans="1:9" ht="19.95" customHeight="1">
      <c r="A726" s="1752" t="s">
        <v>13</v>
      </c>
      <c r="B726" s="1708" t="s">
        <v>1475</v>
      </c>
      <c r="C726" s="1753" t="str">
        <f>HYPERLINK("#'保健_附属明細表'!O102","O102")</f>
        <v>O102</v>
      </c>
      <c r="D726" s="1708" t="s">
        <v>2052</v>
      </c>
      <c r="E726" s="1754">
        <f>IF(保健_附属明細表!O102="","",保健_附属明細表!O102)</f>
        <v>0</v>
      </c>
      <c r="F726" s="1708" t="s">
        <v>1905</v>
      </c>
      <c r="G726" s="1709" t="str">
        <f t="shared" si="11"/>
        <v>0（確認）</v>
      </c>
      <c r="H726" s="1708" t="inlineStr">
        <is>
          <t>保健_附属明細表 O104</t>
        </is>
      </c>
      <c r="I726" s="1708" t="inlineStr">
        <is>
          <t>保健_財務諸表</t>
        </is>
      </c>
    </row>
    <row r="727" spans="1:9" ht="19.95" customHeight="1">
      <c r="A727" s="1755" t="s">
        <v>13</v>
      </c>
      <c r="B727" s="1711" t="s">
        <v>1475</v>
      </c>
      <c r="C727" s="1756" t="str">
        <f>HYPERLINK("#'保健_附属明細表'!F103","F103")</f>
        <v>F103</v>
      </c>
      <c r="D727" s="1711" t="s">
        <v>2053</v>
      </c>
      <c r="E727" s="1757">
        <f>IF(保健_附属明細表!F103="","",保健_附属明細表!F103)</f>
        <v>1810000</v>
      </c>
      <c r="F727" s="1711" t="s">
        <v>1905</v>
      </c>
      <c r="G727" s="1709" t="str">
        <f t="shared" si="11"/>
        <v>入力済</v>
      </c>
      <c r="H727" s="1708" t="inlineStr">
        <is>
          <t>保健_附属明細表 F104,R103</t>
        </is>
      </c>
      <c r="I727" s="1708" t="inlineStr">
        <is>
          <t>同じシート内のみ</t>
        </is>
      </c>
    </row>
    <row r="728" spans="1:9" ht="19.95" customHeight="1">
      <c r="A728" s="1752" t="s">
        <v>13</v>
      </c>
      <c r="B728" s="1708" t="s">
        <v>1475</v>
      </c>
      <c r="C728" s="1753" t="str">
        <f>HYPERLINK("#'保健_附属明細表'!I103","I103")</f>
        <v>I103</v>
      </c>
      <c r="D728" s="1708" t="s">
        <v>2054</v>
      </c>
      <c r="E728" s="1754">
        <f>IF(保健_附属明細表!I103="","",保健_附属明細表!I103)</f>
        <v>0</v>
      </c>
      <c r="F728" s="1708" t="s">
        <v>1905</v>
      </c>
      <c r="G728" s="1709" t="str">
        <f t="shared" si="11"/>
        <v>0（確認）</v>
      </c>
      <c r="H728" s="1708" t="inlineStr">
        <is>
          <t>保健_附属明細表 I104</t>
        </is>
      </c>
      <c r="I728" s="1708" t="inlineStr">
        <is>
          <t>報告_保健P20-22、保健_財務諸表、保健_決算精算表</t>
        </is>
      </c>
    </row>
    <row r="729" spans="1:9" ht="19.95" customHeight="1">
      <c r="A729" s="1755" t="s">
        <v>13</v>
      </c>
      <c r="B729" s="1711" t="s">
        <v>1475</v>
      </c>
      <c r="C729" s="1756" t="str">
        <f>HYPERLINK("#'保健_附属明細表'!L103","L103")</f>
        <v>L103</v>
      </c>
      <c r="D729" s="1711" t="s">
        <v>2055</v>
      </c>
      <c r="E729" s="1757">
        <f>IF(保健_附属明細表!L103="","",保健_附属明細表!L103)</f>
        <v>1809999</v>
      </c>
      <c r="F729" s="1711" t="s">
        <v>1905</v>
      </c>
      <c r="G729" s="1709" t="str">
        <f t="shared" si="11"/>
        <v>入力済</v>
      </c>
      <c r="H729" s="1708" t="inlineStr">
        <is>
          <t>保健_附属明細表 L104,R103</t>
        </is>
      </c>
      <c r="I729" s="1708" t="inlineStr">
        <is>
          <t>同じシート内のみ</t>
        </is>
      </c>
    </row>
    <row r="730" spans="1:9" ht="19.95" customHeight="1">
      <c r="A730" s="1752" t="s">
        <v>13</v>
      </c>
      <c r="B730" s="1708" t="s">
        <v>1475</v>
      </c>
      <c r="C730" s="1753" t="str">
        <f>HYPERLINK("#'保健_附属明細表'!O103","O103")</f>
        <v>O103</v>
      </c>
      <c r="D730" s="1708" t="s">
        <v>2056</v>
      </c>
      <c r="E730" s="1754">
        <f>IF(保健_附属明細表!O103="","",保健_附属明細表!O103)</f>
        <v>0</v>
      </c>
      <c r="F730" s="1708" t="s">
        <v>1905</v>
      </c>
      <c r="G730" s="1709" t="str">
        <f t="shared" si="11"/>
        <v>0（確認）</v>
      </c>
      <c r="H730" s="1708" t="inlineStr">
        <is>
          <t>保健_附属明細表 O104</t>
        </is>
      </c>
      <c r="I730" s="1708" t="inlineStr">
        <is>
          <t>保健_財務諸表</t>
        </is>
      </c>
    </row>
    <row r="731" spans="1:9" ht="19.95" customHeight="1">
      <c r="A731" s="1755" t="s">
        <v>13</v>
      </c>
      <c r="B731" s="1711" t="s">
        <v>1475</v>
      </c>
      <c r="C731" s="1756" t="str">
        <f>HYPERLINK("#'保健_附属明細表'!D105","D105")</f>
        <v>D105</v>
      </c>
      <c r="D731" s="1711" t="s">
        <v>2057</v>
      </c>
      <c r="E731" s="1757">
        <f>IF(保健_附属明細表!D105="","",保健_附属明細表!D105)</f>
        <v>15</v>
      </c>
      <c r="F731" s="1711" t="s">
        <v>1905</v>
      </c>
      <c r="G731" s="1709" t="str">
        <f t="shared" si="11"/>
        <v>入力済</v>
      </c>
      <c r="H731" s="1708" t="inlineStr">
        <is>
          <t>なし（このセルのみ）</t>
        </is>
      </c>
      <c r="I731" s="1708" t="inlineStr">
        <is>
          <t>―</t>
        </is>
      </c>
    </row>
    <row r="732" spans="1:9" ht="19.95" customHeight="1">
      <c r="A732" s="1752" t="s">
        <v>13</v>
      </c>
      <c r="B732" s="1708" t="s">
        <v>1475</v>
      </c>
      <c r="C732" s="1753" t="str">
        <f>HYPERLINK("#'保健_附属明細表'!F105","F105")</f>
        <v>F105</v>
      </c>
      <c r="D732" s="1708" t="s">
        <v>2058</v>
      </c>
      <c r="E732" s="1754">
        <f>IF(保健_附属明細表!F105="","",保健_附属明細表!F105)</f>
        <v>3129000</v>
      </c>
      <c r="F732" s="1708" t="s">
        <v>1905</v>
      </c>
      <c r="G732" s="1709" t="str">
        <f t="shared" si="11"/>
        <v>入力済</v>
      </c>
      <c r="H732" s="1708" t="inlineStr">
        <is>
          <t>保健_附属明細表 F106,R105</t>
        </is>
      </c>
      <c r="I732" s="1708" t="inlineStr">
        <is>
          <t>同じシート内のみ</t>
        </is>
      </c>
    </row>
    <row r="733" spans="1:9" ht="19.95" customHeight="1">
      <c r="A733" s="1755" t="s">
        <v>13</v>
      </c>
      <c r="B733" s="1711" t="s">
        <v>1475</v>
      </c>
      <c r="C733" s="1756" t="str">
        <f>HYPERLINK("#'保健_附属明細表'!I105","I105")</f>
        <v>I105</v>
      </c>
      <c r="D733" s="1711" t="s">
        <v>2059</v>
      </c>
      <c r="E733" s="1757">
        <f>IF(保健_附属明細表!I105="","",保健_附属明細表!I105)</f>
        <v>0</v>
      </c>
      <c r="F733" s="1711" t="s">
        <v>1905</v>
      </c>
      <c r="G733" s="1709" t="str">
        <f t="shared" si="11"/>
        <v>0（確認）</v>
      </c>
      <c r="H733" s="1708" t="inlineStr">
        <is>
          <t>保健_附属明細表 I106</t>
        </is>
      </c>
      <c r="I733" s="1708" t="inlineStr">
        <is>
          <t>報告_保健P20-22、保健_財務諸表、保健_決算精算表</t>
        </is>
      </c>
    </row>
    <row r="734" spans="1:9" ht="19.95" customHeight="1">
      <c r="A734" s="1752" t="s">
        <v>13</v>
      </c>
      <c r="B734" s="1708" t="s">
        <v>1475</v>
      </c>
      <c r="C734" s="1753" t="str">
        <f>HYPERLINK("#'保健_附属明細表'!L105","L105")</f>
        <v>L105</v>
      </c>
      <c r="D734" s="1708" t="s">
        <v>2060</v>
      </c>
      <c r="E734" s="1754">
        <f>IF(保健_附属明細表!L105="","",保健_附属明細表!L105)</f>
        <v>2590116</v>
      </c>
      <c r="F734" s="1708" t="s">
        <v>1905</v>
      </c>
      <c r="G734" s="1709" t="str">
        <f t="shared" si="11"/>
        <v>入力済</v>
      </c>
      <c r="H734" s="1708" t="inlineStr">
        <is>
          <t>保健_附属明細表 L106,R105</t>
        </is>
      </c>
      <c r="I734" s="1708" t="inlineStr">
        <is>
          <t>同じシート内のみ</t>
        </is>
      </c>
    </row>
    <row r="735" spans="1:9" ht="19.95" customHeight="1">
      <c r="A735" s="1755" t="s">
        <v>13</v>
      </c>
      <c r="B735" s="1711" t="s">
        <v>1475</v>
      </c>
      <c r="C735" s="1756" t="str">
        <f>HYPERLINK("#'保健_附属明細表'!O105","O105")</f>
        <v>O105</v>
      </c>
      <c r="D735" s="1711" t="s">
        <v>2061</v>
      </c>
      <c r="E735" s="1757">
        <f>IF(保健_附属明細表!O105="","",保健_附属明細表!O105)</f>
        <v>0</v>
      </c>
      <c r="F735" s="1711" t="s">
        <v>1905</v>
      </c>
      <c r="G735" s="1709" t="str">
        <f t="shared" si="11"/>
        <v>0（確認）</v>
      </c>
      <c r="H735" s="1708" t="inlineStr">
        <is>
          <t>保健_附属明細表 O106</t>
        </is>
      </c>
      <c r="I735" s="1708" t="inlineStr">
        <is>
          <t>保健_財務諸表</t>
        </is>
      </c>
    </row>
    <row r="736" spans="1:9" ht="19.95" customHeight="1">
      <c r="A736" s="1752" t="s">
        <v>13</v>
      </c>
      <c r="B736" s="1708" t="s">
        <v>1475</v>
      </c>
      <c r="C736" s="1753" t="str">
        <f>HYPERLINK("#'保健_附属明細表'!D107","D107")</f>
        <v>D107</v>
      </c>
      <c r="D736" s="1708" t="s">
        <v>2062</v>
      </c>
      <c r="E736" s="1754">
        <f>IF(保健_附属明細表!D107="","",保健_附属明細表!D107)</f>
        <v>15</v>
      </c>
      <c r="F736" s="1708" t="s">
        <v>1905</v>
      </c>
      <c r="G736" s="1709" t="str">
        <f t="shared" si="11"/>
        <v>入力済</v>
      </c>
      <c r="H736" s="1708" t="inlineStr">
        <is>
          <t>なし（このセルのみ）</t>
        </is>
      </c>
      <c r="I736" s="1708" t="inlineStr">
        <is>
          <t>―</t>
        </is>
      </c>
    </row>
    <row r="737" spans="1:9" ht="19.95" customHeight="1">
      <c r="A737" s="1755" t="s">
        <v>13</v>
      </c>
      <c r="B737" s="1711" t="s">
        <v>1475</v>
      </c>
      <c r="C737" s="1756" t="str">
        <f>HYPERLINK("#'保健_附属明細表'!F107","F107")</f>
        <v>F107</v>
      </c>
      <c r="D737" s="1711" t="s">
        <v>2063</v>
      </c>
      <c r="E737" s="1757">
        <f>IF(保健_附属明細表!F107="","",保健_附属明細表!F107)</f>
        <v>119685</v>
      </c>
      <c r="F737" s="1711" t="s">
        <v>1905</v>
      </c>
      <c r="G737" s="1709" t="str">
        <f t="shared" si="11"/>
        <v>入力済</v>
      </c>
      <c r="H737" s="1708" t="inlineStr">
        <is>
          <t>保健_附属明細表 F115,R107</t>
        </is>
      </c>
      <c r="I737" s="1708" t="inlineStr">
        <is>
          <t>同じシート内のみ</t>
        </is>
      </c>
    </row>
    <row r="738" spans="1:9" ht="19.95" customHeight="1">
      <c r="A738" s="1752" t="s">
        <v>13</v>
      </c>
      <c r="B738" s="1708" t="s">
        <v>1475</v>
      </c>
      <c r="C738" s="1753" t="str">
        <f>HYPERLINK("#'保健_附属明細表'!I107","I107")</f>
        <v>I107</v>
      </c>
      <c r="D738" s="1708" t="s">
        <v>2064</v>
      </c>
      <c r="E738" s="1754">
        <f>IF(保健_附属明細表!I107="","",保健_附属明細表!I107)</f>
        <v>0</v>
      </c>
      <c r="F738" s="1708" t="s">
        <v>1905</v>
      </c>
      <c r="G738" s="1709" t="str">
        <f t="shared" si="11"/>
        <v>0（確認）</v>
      </c>
      <c r="H738" s="1708" t="inlineStr">
        <is>
          <t>保健_附属明細表 I115</t>
        </is>
      </c>
      <c r="I738" s="1708" t="inlineStr">
        <is>
          <t>報告_保健P20-22、保健_財務諸表、保健_決算精算表</t>
        </is>
      </c>
    </row>
    <row r="739" spans="1:9" ht="19.95" customHeight="1">
      <c r="A739" s="1755" t="s">
        <v>13</v>
      </c>
      <c r="B739" s="1711" t="s">
        <v>1475</v>
      </c>
      <c r="C739" s="1756" t="str">
        <f>HYPERLINK("#'保健_附属明細表'!L107","L107")</f>
        <v>L107</v>
      </c>
      <c r="D739" s="1711" t="s">
        <v>2065</v>
      </c>
      <c r="E739" s="1757">
        <f>IF(保健_附属明細表!L107="","",保健_附属明細表!L107)</f>
        <v>119684</v>
      </c>
      <c r="F739" s="1711" t="s">
        <v>1905</v>
      </c>
      <c r="G739" s="1709" t="str">
        <f t="shared" si="11"/>
        <v>入力済</v>
      </c>
      <c r="H739" s="1708" t="inlineStr">
        <is>
          <t>保健_附属明細表 L115,R107</t>
        </is>
      </c>
      <c r="I739" s="1708" t="inlineStr">
        <is>
          <t>同じシート内のみ</t>
        </is>
      </c>
    </row>
    <row r="740" spans="1:9" ht="19.95" customHeight="1">
      <c r="A740" s="1752" t="s">
        <v>13</v>
      </c>
      <c r="B740" s="1708" t="s">
        <v>1475</v>
      </c>
      <c r="C740" s="1753" t="str">
        <f>HYPERLINK("#'保健_附属明細表'!O107","O107")</f>
        <v>O107</v>
      </c>
      <c r="D740" s="1708" t="s">
        <v>2066</v>
      </c>
      <c r="E740" s="1754">
        <f>IF(保健_附属明細表!O107="","",保健_附属明細表!O107)</f>
        <v>0</v>
      </c>
      <c r="F740" s="1708" t="s">
        <v>1905</v>
      </c>
      <c r="G740" s="1709" t="str">
        <f t="shared" si="11"/>
        <v>0（確認）</v>
      </c>
      <c r="H740" s="1708" t="inlineStr">
        <is>
          <t>保健_附属明細表 O115</t>
        </is>
      </c>
      <c r="I740" s="1708" t="inlineStr">
        <is>
          <t>保健_財務諸表</t>
        </is>
      </c>
    </row>
    <row r="741" spans="1:9" ht="19.95" customHeight="1">
      <c r="A741" s="1755" t="s">
        <v>13</v>
      </c>
      <c r="B741" s="1711" t="s">
        <v>1475</v>
      </c>
      <c r="C741" s="1756" t="str">
        <f>HYPERLINK("#'保健_附属明細表'!D108","D108")</f>
        <v>D108</v>
      </c>
      <c r="D741" s="1711" t="s">
        <v>2067</v>
      </c>
      <c r="E741" s="1757">
        <f>IF(保健_附属明細表!D108="","",保健_附属明細表!D108)</f>
        <v>5</v>
      </c>
      <c r="F741" s="1711" t="s">
        <v>1905</v>
      </c>
      <c r="G741" s="1709" t="str">
        <f t="shared" si="11"/>
        <v>入力済</v>
      </c>
      <c r="H741" s="1708" t="inlineStr">
        <is>
          <t>なし（このセルのみ）</t>
        </is>
      </c>
      <c r="I741" s="1708" t="inlineStr">
        <is>
          <t>―</t>
        </is>
      </c>
    </row>
    <row r="742" spans="1:9" ht="19.95" customHeight="1">
      <c r="A742" s="1752" t="s">
        <v>13</v>
      </c>
      <c r="B742" s="1708" t="s">
        <v>1475</v>
      </c>
      <c r="C742" s="1753" t="str">
        <f>HYPERLINK("#'保健_附属明細表'!F108","F108")</f>
        <v>F108</v>
      </c>
      <c r="D742" s="1708" t="s">
        <v>2068</v>
      </c>
      <c r="E742" s="1754">
        <f>IF(保健_附属明細表!F108="","",保健_附属明細表!F108)</f>
        <v>6715</v>
      </c>
      <c r="F742" s="1708" t="s">
        <v>1905</v>
      </c>
      <c r="G742" s="1709" t="str">
        <f t="shared" si="11"/>
        <v>入力済</v>
      </c>
      <c r="H742" s="1708" t="inlineStr">
        <is>
          <t>保健_附属明細表 F115,R108</t>
        </is>
      </c>
      <c r="I742" s="1708" t="inlineStr">
        <is>
          <t>同じシート内のみ</t>
        </is>
      </c>
    </row>
    <row r="743" spans="1:9" ht="19.95" customHeight="1">
      <c r="A743" s="1755" t="s">
        <v>13</v>
      </c>
      <c r="B743" s="1711" t="s">
        <v>1475</v>
      </c>
      <c r="C743" s="1756" t="str">
        <f>HYPERLINK("#'保健_附属明細表'!I108","I108")</f>
        <v>I108</v>
      </c>
      <c r="D743" s="1711" t="s">
        <v>2069</v>
      </c>
      <c r="E743" s="1757">
        <f>IF(保健_附属明細表!I108="","",保健_附属明細表!I108)</f>
        <v>0</v>
      </c>
      <c r="F743" s="1711" t="s">
        <v>1905</v>
      </c>
      <c r="G743" s="1709" t="str">
        <f t="shared" si="11"/>
        <v>0（確認）</v>
      </c>
      <c r="H743" s="1708" t="inlineStr">
        <is>
          <t>保健_附属明細表 I115</t>
        </is>
      </c>
      <c r="I743" s="1708" t="inlineStr">
        <is>
          <t>報告_保健P20-22、保健_財務諸表、保健_決算精算表</t>
        </is>
      </c>
    </row>
    <row r="744" spans="1:9" ht="19.95" customHeight="1">
      <c r="A744" s="1752" t="s">
        <v>13</v>
      </c>
      <c r="B744" s="1708" t="s">
        <v>1475</v>
      </c>
      <c r="C744" s="1753" t="str">
        <f>HYPERLINK("#'保健_附属明細表'!L108","L108")</f>
        <v>L108</v>
      </c>
      <c r="D744" s="1708" t="s">
        <v>2070</v>
      </c>
      <c r="E744" s="1754">
        <f>IF(保健_附属明細表!L108="","",保健_附属明細表!L108)</f>
        <v>6714</v>
      </c>
      <c r="F744" s="1708" t="s">
        <v>1905</v>
      </c>
      <c r="G744" s="1709" t="str">
        <f t="shared" si="11"/>
        <v>入力済</v>
      </c>
      <c r="H744" s="1708" t="inlineStr">
        <is>
          <t>保健_附属明細表 L115,R108</t>
        </is>
      </c>
      <c r="I744" s="1708" t="inlineStr">
        <is>
          <t>同じシート内のみ</t>
        </is>
      </c>
    </row>
    <row r="745" spans="1:9" ht="19.95" customHeight="1">
      <c r="A745" s="1755" t="s">
        <v>13</v>
      </c>
      <c r="B745" s="1711" t="s">
        <v>1475</v>
      </c>
      <c r="C745" s="1756" t="str">
        <f>HYPERLINK("#'保健_附属明細表'!O108","O108")</f>
        <v>O108</v>
      </c>
      <c r="D745" s="1711" t="s">
        <v>2071</v>
      </c>
      <c r="E745" s="1757">
        <f>IF(保健_附属明細表!O108="","",保健_附属明細表!O108)</f>
        <v>0</v>
      </c>
      <c r="F745" s="1711" t="s">
        <v>1905</v>
      </c>
      <c r="G745" s="1709" t="str">
        <f t="shared" si="11"/>
        <v>0（確認）</v>
      </c>
      <c r="H745" s="1708" t="inlineStr">
        <is>
          <t>保健_附属明細表 O115</t>
        </is>
      </c>
      <c r="I745" s="1708" t="inlineStr">
        <is>
          <t>保健_財務諸表</t>
        </is>
      </c>
    </row>
    <row r="746" spans="1:9" ht="19.95" customHeight="1">
      <c r="A746" s="1752" t="s">
        <v>13</v>
      </c>
      <c r="B746" s="1708" t="s">
        <v>1475</v>
      </c>
      <c r="C746" s="1753" t="str">
        <f>HYPERLINK("#'保健_附属明細表'!D109","D109")</f>
        <v>D109</v>
      </c>
      <c r="D746" s="1708" t="s">
        <v>2072</v>
      </c>
      <c r="E746" s="1754">
        <f>IF(保健_附属明細表!D109="","",保健_附属明細表!D109)</f>
        <v>3</v>
      </c>
      <c r="F746" s="1708" t="s">
        <v>1905</v>
      </c>
      <c r="G746" s="1709" t="str">
        <f t="shared" si="11"/>
        <v>入力済</v>
      </c>
      <c r="H746" s="1708" t="inlineStr">
        <is>
          <t>なし（このセルのみ）</t>
        </is>
      </c>
      <c r="I746" s="1708" t="inlineStr">
        <is>
          <t>―</t>
        </is>
      </c>
    </row>
    <row r="747" spans="1:9" ht="19.95" customHeight="1">
      <c r="A747" s="1755" t="s">
        <v>13</v>
      </c>
      <c r="B747" s="1711" t="s">
        <v>1475</v>
      </c>
      <c r="C747" s="1756" t="str">
        <f>HYPERLINK("#'保健_附属明細表'!F109","F109")</f>
        <v>F109</v>
      </c>
      <c r="D747" s="1711" t="s">
        <v>2073</v>
      </c>
      <c r="E747" s="1757">
        <f>IF(保健_附属明細表!F109="","",保健_附属明細表!F109)</f>
        <v>19707</v>
      </c>
      <c r="F747" s="1711" t="s">
        <v>1905</v>
      </c>
      <c r="G747" s="1709" t="str">
        <f t="shared" si="11"/>
        <v>入力済</v>
      </c>
      <c r="H747" s="1708" t="inlineStr">
        <is>
          <t>保健_附属明細表 F115,R109</t>
        </is>
      </c>
      <c r="I747" s="1708" t="inlineStr">
        <is>
          <t>同じシート内のみ</t>
        </is>
      </c>
    </row>
    <row r="748" spans="1:9" ht="19.95" customHeight="1">
      <c r="A748" s="1752" t="s">
        <v>13</v>
      </c>
      <c r="B748" s="1708" t="s">
        <v>1475</v>
      </c>
      <c r="C748" s="1753" t="str">
        <f>HYPERLINK("#'保健_附属明細表'!I109","I109")</f>
        <v>I109</v>
      </c>
      <c r="D748" s="1708" t="s">
        <v>2074</v>
      </c>
      <c r="E748" s="1754">
        <f>IF(保健_附属明細表!I109="","",保健_附属明細表!I109)</f>
        <v>0</v>
      </c>
      <c r="F748" s="1708" t="s">
        <v>1905</v>
      </c>
      <c r="G748" s="1709" t="str">
        <f t="shared" si="11"/>
        <v>0（確認）</v>
      </c>
      <c r="H748" s="1708" t="inlineStr">
        <is>
          <t>保健_附属明細表 I115</t>
        </is>
      </c>
      <c r="I748" s="1708" t="inlineStr">
        <is>
          <t>報告_保健P20-22、保健_財務諸表、保健_決算精算表</t>
        </is>
      </c>
    </row>
    <row r="749" spans="1:9" ht="19.95" customHeight="1">
      <c r="A749" s="1755" t="s">
        <v>13</v>
      </c>
      <c r="B749" s="1711" t="s">
        <v>1475</v>
      </c>
      <c r="C749" s="1756" t="str">
        <f>HYPERLINK("#'保健_附属明細表'!L109","L109")</f>
        <v>L109</v>
      </c>
      <c r="D749" s="1711" t="s">
        <v>2075</v>
      </c>
      <c r="E749" s="1757">
        <f>IF(保健_附属明細表!L109="","",保健_附属明細表!L109)</f>
        <v>19706</v>
      </c>
      <c r="F749" s="1711" t="s">
        <v>1905</v>
      </c>
      <c r="G749" s="1709" t="str">
        <f t="shared" si="11"/>
        <v>入力済</v>
      </c>
      <c r="H749" s="1708" t="inlineStr">
        <is>
          <t>保健_附属明細表 L115,R109</t>
        </is>
      </c>
      <c r="I749" s="1708" t="inlineStr">
        <is>
          <t>同じシート内のみ</t>
        </is>
      </c>
    </row>
    <row r="750" spans="1:9" ht="19.95" customHeight="1">
      <c r="A750" s="1752" t="s">
        <v>13</v>
      </c>
      <c r="B750" s="1708" t="s">
        <v>1475</v>
      </c>
      <c r="C750" s="1753" t="str">
        <f>HYPERLINK("#'保健_附属明細表'!O109","O109")</f>
        <v>O109</v>
      </c>
      <c r="D750" s="1708" t="s">
        <v>2076</v>
      </c>
      <c r="E750" s="1754">
        <f>IF(保健_附属明細表!O109="","",保健_附属明細表!O109)</f>
        <v>0</v>
      </c>
      <c r="F750" s="1708" t="s">
        <v>1905</v>
      </c>
      <c r="G750" s="1709" t="str">
        <f t="shared" si="11"/>
        <v>0（確認）</v>
      </c>
      <c r="H750" s="1708" t="inlineStr">
        <is>
          <t>保健_附属明細表 O115</t>
        </is>
      </c>
      <c r="I750" s="1708" t="inlineStr">
        <is>
          <t>保健_財務諸表</t>
        </is>
      </c>
    </row>
    <row r="751" spans="1:9" ht="19.95" customHeight="1">
      <c r="A751" s="1755" t="s">
        <v>13</v>
      </c>
      <c r="B751" s="1711" t="s">
        <v>1475</v>
      </c>
      <c r="C751" s="1756" t="str">
        <f>HYPERLINK("#'保健_附属明細表'!D110","D110")</f>
        <v>D110</v>
      </c>
      <c r="D751" s="1711" t="s">
        <v>2077</v>
      </c>
      <c r="E751" s="1757">
        <f>IF(保健_附属明細表!D110="","",保健_附属明細表!D110)</f>
        <v>15</v>
      </c>
      <c r="F751" s="1711" t="s">
        <v>1905</v>
      </c>
      <c r="G751" s="1709" t="str">
        <f t="shared" si="11"/>
        <v>入力済</v>
      </c>
      <c r="H751" s="1708" t="inlineStr">
        <is>
          <t>なし（このセルのみ）</t>
        </is>
      </c>
      <c r="I751" s="1708" t="inlineStr">
        <is>
          <t>―</t>
        </is>
      </c>
    </row>
    <row r="752" spans="1:9" ht="19.95" customHeight="1">
      <c r="A752" s="1752" t="s">
        <v>13</v>
      </c>
      <c r="B752" s="1708" t="s">
        <v>1475</v>
      </c>
      <c r="C752" s="1753" t="str">
        <f>HYPERLINK("#'保健_附属明細表'!F110","F110")</f>
        <v>F110</v>
      </c>
      <c r="D752" s="1708" t="s">
        <v>2078</v>
      </c>
      <c r="E752" s="1754">
        <f>IF(保健_附属明細表!F110="","",保健_附属明細表!F110)</f>
        <v>31827</v>
      </c>
      <c r="F752" s="1708" t="s">
        <v>1905</v>
      </c>
      <c r="G752" s="1709" t="str">
        <f t="shared" si="11"/>
        <v>入力済</v>
      </c>
      <c r="H752" s="1708" t="inlineStr">
        <is>
          <t>保健_附属明細表 F115,R110</t>
        </is>
      </c>
      <c r="I752" s="1708" t="inlineStr">
        <is>
          <t>同じシート内のみ</t>
        </is>
      </c>
    </row>
    <row r="753" spans="1:9" ht="19.95" customHeight="1">
      <c r="A753" s="1755" t="s">
        <v>13</v>
      </c>
      <c r="B753" s="1711" t="s">
        <v>1475</v>
      </c>
      <c r="C753" s="1756" t="str">
        <f>HYPERLINK("#'保健_附属明細表'!I110","I110")</f>
        <v>I110</v>
      </c>
      <c r="D753" s="1711" t="s">
        <v>2079</v>
      </c>
      <c r="E753" s="1757">
        <f>IF(保健_附属明細表!I110="","",保健_附属明細表!I110)</f>
        <v>0</v>
      </c>
      <c r="F753" s="1711" t="s">
        <v>1905</v>
      </c>
      <c r="G753" s="1709" t="str">
        <f t="shared" si="11"/>
        <v>0（確認）</v>
      </c>
      <c r="H753" s="1708" t="inlineStr">
        <is>
          <t>保健_附属明細表 I115</t>
        </is>
      </c>
      <c r="I753" s="1708" t="inlineStr">
        <is>
          <t>報告_保健P20-22、保健_財務諸表、保健_決算精算表</t>
        </is>
      </c>
    </row>
    <row r="754" spans="1:9" ht="19.95" customHeight="1">
      <c r="A754" s="1752" t="s">
        <v>13</v>
      </c>
      <c r="B754" s="1708" t="s">
        <v>1475</v>
      </c>
      <c r="C754" s="1753" t="str">
        <f>HYPERLINK("#'保健_附属明細表'!L110","L110")</f>
        <v>L110</v>
      </c>
      <c r="D754" s="1708" t="s">
        <v>2080</v>
      </c>
      <c r="E754" s="1754">
        <f>IF(保健_附属明細表!L110="","",保健_附属明細表!L110)</f>
        <v>31826</v>
      </c>
      <c r="F754" s="1708" t="s">
        <v>1905</v>
      </c>
      <c r="G754" s="1709" t="str">
        <f t="shared" si="11"/>
        <v>入力済</v>
      </c>
      <c r="H754" s="1708" t="inlineStr">
        <is>
          <t>保健_附属明細表 L115,R110</t>
        </is>
      </c>
      <c r="I754" s="1708" t="inlineStr">
        <is>
          <t>同じシート内のみ</t>
        </is>
      </c>
    </row>
    <row r="755" spans="1:9" ht="19.95" customHeight="1">
      <c r="A755" s="1755" t="s">
        <v>13</v>
      </c>
      <c r="B755" s="1711" t="s">
        <v>1475</v>
      </c>
      <c r="C755" s="1756" t="str">
        <f>HYPERLINK("#'保健_附属明細表'!O110","O110")</f>
        <v>O110</v>
      </c>
      <c r="D755" s="1711" t="s">
        <v>2081</v>
      </c>
      <c r="E755" s="1757">
        <f>IF(保健_附属明細表!O110="","",保健_附属明細表!O110)</f>
        <v>0</v>
      </c>
      <c r="F755" s="1711" t="s">
        <v>1905</v>
      </c>
      <c r="G755" s="1709" t="str">
        <f t="shared" si="11"/>
        <v>0（確認）</v>
      </c>
      <c r="H755" s="1708" t="inlineStr">
        <is>
          <t>保健_附属明細表 O115</t>
        </is>
      </c>
      <c r="I755" s="1708" t="inlineStr">
        <is>
          <t>保健_財務諸表</t>
        </is>
      </c>
    </row>
    <row r="756" spans="1:9" ht="19.95" customHeight="1">
      <c r="A756" s="1752" t="s">
        <v>13</v>
      </c>
      <c r="B756" s="1708" t="s">
        <v>1475</v>
      </c>
      <c r="C756" s="1753" t="str">
        <f>HYPERLINK("#'保健_附属明細表'!D111","D111")</f>
        <v>D111</v>
      </c>
      <c r="D756" s="1708" t="s">
        <v>2082</v>
      </c>
      <c r="E756" s="1754">
        <f>IF(保健_附属明細表!D111="","",保健_附属明細表!D111)</f>
        <v>15</v>
      </c>
      <c r="F756" s="1708" t="s">
        <v>1905</v>
      </c>
      <c r="G756" s="1709" t="str">
        <f t="shared" si="11"/>
        <v>入力済</v>
      </c>
      <c r="H756" s="1708" t="inlineStr">
        <is>
          <t>なし（このセルのみ）</t>
        </is>
      </c>
      <c r="I756" s="1708" t="inlineStr">
        <is>
          <t>―</t>
        </is>
      </c>
    </row>
    <row r="757" spans="1:9" ht="19.95" customHeight="1">
      <c r="A757" s="1755" t="s">
        <v>13</v>
      </c>
      <c r="B757" s="1711" t="s">
        <v>1475</v>
      </c>
      <c r="C757" s="1756" t="str">
        <f>HYPERLINK("#'保健_附属明細表'!F111","F111")</f>
        <v>F111</v>
      </c>
      <c r="D757" s="1711" t="s">
        <v>2083</v>
      </c>
      <c r="E757" s="1757">
        <f>IF(保健_附属明細表!F111="","",保健_附属明細表!F111)</f>
        <v>161298</v>
      </c>
      <c r="F757" s="1711" t="s">
        <v>1905</v>
      </c>
      <c r="G757" s="1709" t="str">
        <f t="shared" si="11"/>
        <v>入力済</v>
      </c>
      <c r="H757" s="1708" t="inlineStr">
        <is>
          <t>保健_附属明細表 F115,R111</t>
        </is>
      </c>
      <c r="I757" s="1708" t="inlineStr">
        <is>
          <t>同じシート内のみ</t>
        </is>
      </c>
    </row>
    <row r="758" spans="1:9" ht="19.95" customHeight="1">
      <c r="A758" s="1752" t="s">
        <v>13</v>
      </c>
      <c r="B758" s="1708" t="s">
        <v>1475</v>
      </c>
      <c r="C758" s="1753" t="str">
        <f>HYPERLINK("#'保健_附属明細表'!I111","I111")</f>
        <v>I111</v>
      </c>
      <c r="D758" s="1708" t="s">
        <v>2084</v>
      </c>
      <c r="E758" s="1754">
        <f>IF(保健_附属明細表!I111="","",保健_附属明細表!I111)</f>
        <v>0</v>
      </c>
      <c r="F758" s="1708" t="s">
        <v>1905</v>
      </c>
      <c r="G758" s="1709" t="str">
        <f t="shared" si="11"/>
        <v>0（確認）</v>
      </c>
      <c r="H758" s="1708" t="inlineStr">
        <is>
          <t>保健_附属明細表 I115</t>
        </is>
      </c>
      <c r="I758" s="1708" t="inlineStr">
        <is>
          <t>報告_保健P20-22、保健_財務諸表、保健_決算精算表</t>
        </is>
      </c>
    </row>
    <row r="759" spans="1:9" ht="19.95" customHeight="1">
      <c r="A759" s="1755" t="s">
        <v>13</v>
      </c>
      <c r="B759" s="1711" t="s">
        <v>1475</v>
      </c>
      <c r="C759" s="1756" t="str">
        <f>HYPERLINK("#'保健_附属明細表'!L111","L111")</f>
        <v>L111</v>
      </c>
      <c r="D759" s="1711" t="s">
        <v>2085</v>
      </c>
      <c r="E759" s="1757">
        <f>IF(保健_附属明細表!L111="","",保健_附属明細表!L111)</f>
        <v>161297</v>
      </c>
      <c r="F759" s="1711" t="s">
        <v>1905</v>
      </c>
      <c r="G759" s="1709" t="str">
        <f t="shared" si="11"/>
        <v>入力済</v>
      </c>
      <c r="H759" s="1708" t="inlineStr">
        <is>
          <t>保健_附属明細表 L115,R111</t>
        </is>
      </c>
      <c r="I759" s="1708" t="inlineStr">
        <is>
          <t>同じシート内のみ</t>
        </is>
      </c>
    </row>
    <row r="760" spans="1:9" ht="19.95" customHeight="1">
      <c r="A760" s="1752" t="s">
        <v>13</v>
      </c>
      <c r="B760" s="1708" t="s">
        <v>1475</v>
      </c>
      <c r="C760" s="1753" t="str">
        <f>HYPERLINK("#'保健_附属明細表'!O111","O111")</f>
        <v>O111</v>
      </c>
      <c r="D760" s="1708" t="s">
        <v>2086</v>
      </c>
      <c r="E760" s="1754">
        <f>IF(保健_附属明細表!O111="","",保健_附属明細表!O111)</f>
        <v>0</v>
      </c>
      <c r="F760" s="1708" t="s">
        <v>1905</v>
      </c>
      <c r="G760" s="1709" t="str">
        <f t="shared" si="11"/>
        <v>0（確認）</v>
      </c>
      <c r="H760" s="1708" t="inlineStr">
        <is>
          <t>保健_附属明細表 O115</t>
        </is>
      </c>
      <c r="I760" s="1708" t="inlineStr">
        <is>
          <t>保健_財務諸表</t>
        </is>
      </c>
    </row>
    <row r="761" spans="1:9" ht="19.95" customHeight="1">
      <c r="A761" s="1755" t="s">
        <v>13</v>
      </c>
      <c r="B761" s="1711" t="s">
        <v>1475</v>
      </c>
      <c r="C761" s="1756" t="str">
        <f>HYPERLINK("#'保健_附属明細表'!D112","D112")</f>
        <v>D112</v>
      </c>
      <c r="D761" s="1711" t="s">
        <v>2087</v>
      </c>
      <c r="E761" s="1757">
        <f>IF(保健_附属明細表!D112="","",保健_附属明細表!D112)</f>
        <v>4</v>
      </c>
      <c r="F761" s="1711" t="s">
        <v>1905</v>
      </c>
      <c r="G761" s="1709" t="str">
        <f t="shared" si="11"/>
        <v>入力済</v>
      </c>
      <c r="H761" s="1708" t="inlineStr">
        <is>
          <t>なし（このセルのみ）</t>
        </is>
      </c>
      <c r="I761" s="1708" t="inlineStr">
        <is>
          <t>―</t>
        </is>
      </c>
    </row>
    <row r="762" spans="1:9" ht="19.95" customHeight="1">
      <c r="A762" s="1752" t="s">
        <v>13</v>
      </c>
      <c r="B762" s="1708" t="s">
        <v>1475</v>
      </c>
      <c r="C762" s="1753" t="str">
        <f>HYPERLINK("#'保健_附属明細表'!F112","F112")</f>
        <v>F112</v>
      </c>
      <c r="D762" s="1708" t="s">
        <v>2088</v>
      </c>
      <c r="E762" s="1754">
        <f>IF(保健_附属明細表!F112="","",保健_附属明細表!F112)</f>
        <v>115500</v>
      </c>
      <c r="F762" s="1708" t="s">
        <v>1905</v>
      </c>
      <c r="G762" s="1709" t="str">
        <f t="shared" si="11"/>
        <v>入力済</v>
      </c>
      <c r="H762" s="1708" t="inlineStr">
        <is>
          <t>保健_附属明細表 F115,R112</t>
        </is>
      </c>
      <c r="I762" s="1708" t="inlineStr">
        <is>
          <t>同じシート内のみ</t>
        </is>
      </c>
    </row>
    <row r="763" spans="1:9" ht="19.95" customHeight="1">
      <c r="A763" s="1755" t="s">
        <v>13</v>
      </c>
      <c r="B763" s="1711" t="s">
        <v>1475</v>
      </c>
      <c r="C763" s="1756" t="str">
        <f>HYPERLINK("#'保健_附属明細表'!I112","I112")</f>
        <v>I112</v>
      </c>
      <c r="D763" s="1711" t="s">
        <v>2089</v>
      </c>
      <c r="E763" s="1757">
        <f>IF(保健_附属明細表!I112="","",保健_附属明細表!I112)</f>
        <v>0</v>
      </c>
      <c r="F763" s="1711" t="s">
        <v>1905</v>
      </c>
      <c r="G763" s="1709" t="str">
        <f t="shared" si="11"/>
        <v>0（確認）</v>
      </c>
      <c r="H763" s="1708" t="inlineStr">
        <is>
          <t>保健_附属明細表 I115</t>
        </is>
      </c>
      <c r="I763" s="1708" t="inlineStr">
        <is>
          <t>報告_保健P20-22、保健_財務諸表、保健_決算精算表</t>
        </is>
      </c>
    </row>
    <row r="764" spans="1:9" ht="19.95" customHeight="1">
      <c r="A764" s="1752" t="s">
        <v>13</v>
      </c>
      <c r="B764" s="1708" t="s">
        <v>1475</v>
      </c>
      <c r="C764" s="1753" t="str">
        <f>HYPERLINK("#'保健_附属明細表'!L112","L112")</f>
        <v>L112</v>
      </c>
      <c r="D764" s="1708" t="s">
        <v>2090</v>
      </c>
      <c r="E764" s="1754">
        <f>IF(保健_附属明細表!L112="","",保健_附属明細表!L112)</f>
        <v>115499</v>
      </c>
      <c r="F764" s="1708" t="s">
        <v>1905</v>
      </c>
      <c r="G764" s="1709" t="str">
        <f t="shared" si="11"/>
        <v>入力済</v>
      </c>
      <c r="H764" s="1708" t="inlineStr">
        <is>
          <t>保健_附属明細表 L115,R112</t>
        </is>
      </c>
      <c r="I764" s="1708" t="inlineStr">
        <is>
          <t>同じシート内のみ</t>
        </is>
      </c>
    </row>
    <row r="765" spans="1:9" ht="19.95" customHeight="1">
      <c r="A765" s="1755" t="s">
        <v>13</v>
      </c>
      <c r="B765" s="1711" t="s">
        <v>1475</v>
      </c>
      <c r="C765" s="1756" t="str">
        <f>HYPERLINK("#'保健_附属明細表'!O112","O112")</f>
        <v>O112</v>
      </c>
      <c r="D765" s="1711" t="s">
        <v>2091</v>
      </c>
      <c r="E765" s="1757">
        <f>IF(保健_附属明細表!O112="","",保健_附属明細表!O112)</f>
        <v>0</v>
      </c>
      <c r="F765" s="1711" t="s">
        <v>1905</v>
      </c>
      <c r="G765" s="1709" t="str">
        <f t="shared" si="11"/>
        <v>0（確認）</v>
      </c>
      <c r="H765" s="1708" t="inlineStr">
        <is>
          <t>保健_附属明細表 O115</t>
        </is>
      </c>
      <c r="I765" s="1708" t="inlineStr">
        <is>
          <t>保健_財務諸表</t>
        </is>
      </c>
    </row>
    <row r="766" spans="1:9" ht="19.95" customHeight="1">
      <c r="A766" s="1752" t="s">
        <v>13</v>
      </c>
      <c r="B766" s="1708" t="s">
        <v>1475</v>
      </c>
      <c r="C766" s="1753" t="str">
        <f>HYPERLINK("#'保健_附属明細表'!D113","D113")</f>
        <v>D113</v>
      </c>
      <c r="D766" s="1708" t="s">
        <v>2092</v>
      </c>
      <c r="E766" s="1754">
        <f>IF(保健_附属明細表!D113="","",保健_附属明細表!D113)</f>
        <v>4</v>
      </c>
      <c r="F766" s="1708" t="s">
        <v>1905</v>
      </c>
      <c r="G766" s="1709" t="str">
        <f t="shared" si="11"/>
        <v>入力済</v>
      </c>
      <c r="H766" s="1708" t="inlineStr">
        <is>
          <t>なし（このセルのみ）</t>
        </is>
      </c>
      <c r="I766" s="1708" t="inlineStr">
        <is>
          <t>―</t>
        </is>
      </c>
    </row>
    <row r="767" spans="1:9" ht="19.95" customHeight="1">
      <c r="A767" s="1755" t="s">
        <v>13</v>
      </c>
      <c r="B767" s="1711" t="s">
        <v>1475</v>
      </c>
      <c r="C767" s="1756" t="str">
        <f>HYPERLINK("#'保健_附属明細表'!F113","F113")</f>
        <v>F113</v>
      </c>
      <c r="D767" s="1711" t="s">
        <v>2093</v>
      </c>
      <c r="E767" s="1757">
        <f>IF(保健_附属明細表!F113="","",保健_附属明細表!F113)</f>
        <v>112350</v>
      </c>
      <c r="F767" s="1711" t="s">
        <v>1905</v>
      </c>
      <c r="G767" s="1709" t="str">
        <f t="shared" si="11"/>
        <v>入力済</v>
      </c>
      <c r="H767" s="1708" t="inlineStr">
        <is>
          <t>保健_附属明細表 F115,R113</t>
        </is>
      </c>
      <c r="I767" s="1708" t="inlineStr">
        <is>
          <t>同じシート内のみ</t>
        </is>
      </c>
    </row>
    <row r="768" spans="1:9" ht="19.95" customHeight="1">
      <c r="A768" s="1752" t="s">
        <v>13</v>
      </c>
      <c r="B768" s="1708" t="s">
        <v>1475</v>
      </c>
      <c r="C768" s="1753" t="str">
        <f>HYPERLINK("#'保健_附属明細表'!I113","I113")</f>
        <v>I113</v>
      </c>
      <c r="D768" s="1708" t="s">
        <v>2094</v>
      </c>
      <c r="E768" s="1754">
        <f>IF(保健_附属明細表!I113="","",保健_附属明細表!I113)</f>
        <v>0</v>
      </c>
      <c r="F768" s="1708" t="s">
        <v>1905</v>
      </c>
      <c r="G768" s="1709" t="str">
        <f t="shared" si="11"/>
        <v>0（確認）</v>
      </c>
      <c r="H768" s="1708" t="inlineStr">
        <is>
          <t>保健_附属明細表 I115</t>
        </is>
      </c>
      <c r="I768" s="1708" t="inlineStr">
        <is>
          <t>報告_保健P20-22、保健_財務諸表、保健_決算精算表</t>
        </is>
      </c>
    </row>
    <row r="769" spans="1:9" ht="19.95" customHeight="1">
      <c r="A769" s="1755" t="s">
        <v>13</v>
      </c>
      <c r="B769" s="1711" t="s">
        <v>1475</v>
      </c>
      <c r="C769" s="1756" t="str">
        <f>HYPERLINK("#'保健_附属明細表'!L113","L113")</f>
        <v>L113</v>
      </c>
      <c r="D769" s="1711" t="s">
        <v>2095</v>
      </c>
      <c r="E769" s="1757">
        <f>IF(保健_附属明細表!L113="","",保健_附属明細表!L113)</f>
        <v>112349</v>
      </c>
      <c r="F769" s="1711" t="s">
        <v>1905</v>
      </c>
      <c r="G769" s="1709" t="str">
        <f t="shared" si="11"/>
        <v>入力済</v>
      </c>
      <c r="H769" s="1708" t="inlineStr">
        <is>
          <t>保健_附属明細表 L115,R113</t>
        </is>
      </c>
      <c r="I769" s="1708" t="inlineStr">
        <is>
          <t>同じシート内のみ</t>
        </is>
      </c>
    </row>
    <row r="770" spans="1:9" ht="19.95" customHeight="1">
      <c r="A770" s="1752" t="s">
        <v>13</v>
      </c>
      <c r="B770" s="1708" t="s">
        <v>1475</v>
      </c>
      <c r="C770" s="1753" t="str">
        <f>HYPERLINK("#'保健_附属明細表'!O113","O113")</f>
        <v>O113</v>
      </c>
      <c r="D770" s="1708" t="s">
        <v>2096</v>
      </c>
      <c r="E770" s="1754">
        <f>IF(保健_附属明細表!O113="","",保健_附属明細表!O113)</f>
        <v>0</v>
      </c>
      <c r="F770" s="1708" t="s">
        <v>1905</v>
      </c>
      <c r="G770" s="1709" t="str">
        <f t="shared" si="11"/>
        <v>0（確認）</v>
      </c>
      <c r="H770" s="1708" t="inlineStr">
        <is>
          <t>保健_附属明細表 O115</t>
        </is>
      </c>
      <c r="I770" s="1708" t="inlineStr">
        <is>
          <t>保健_財務諸表</t>
        </is>
      </c>
    </row>
    <row r="771" spans="1:9" ht="19.95" customHeight="1">
      <c r="A771" s="1755" t="s">
        <v>13</v>
      </c>
      <c r="B771" s="1711" t="s">
        <v>1475</v>
      </c>
      <c r="C771" s="1756" t="str">
        <f>HYPERLINK("#'保健_附属明細表'!D114","D114")</f>
        <v>D114</v>
      </c>
      <c r="D771" s="1711" t="s">
        <v>2097</v>
      </c>
      <c r="E771" s="1757">
        <f>IF(保健_附属明細表!D114="","",保健_附属明細表!D114)</f>
        <v>4</v>
      </c>
      <c r="F771" s="1711" t="s">
        <v>1905</v>
      </c>
      <c r="G771" s="1709" t="str">
        <f t="shared" si="11"/>
        <v>入力済</v>
      </c>
      <c r="H771" s="1708" t="inlineStr">
        <is>
          <t>なし（このセルのみ）</t>
        </is>
      </c>
      <c r="I771" s="1708" t="inlineStr">
        <is>
          <t>―</t>
        </is>
      </c>
    </row>
    <row r="772" spans="1:9" ht="19.95" customHeight="1">
      <c r="A772" s="1752" t="s">
        <v>13</v>
      </c>
      <c r="B772" s="1708" t="s">
        <v>1475</v>
      </c>
      <c r="C772" s="1753" t="str">
        <f>HYPERLINK("#'保健_附属明細表'!F114","F114")</f>
        <v>F114</v>
      </c>
      <c r="D772" s="1708" t="s">
        <v>2098</v>
      </c>
      <c r="E772" s="1754">
        <f>IF(保健_附属明細表!F114="","",保健_附属明細表!F114)</f>
        <v>110250</v>
      </c>
      <c r="F772" s="1708" t="s">
        <v>1905</v>
      </c>
      <c r="G772" s="1709" t="str">
        <f t="shared" si="11"/>
        <v>入力済</v>
      </c>
      <c r="H772" s="1708" t="inlineStr">
        <is>
          <t>保健_附属明細表 F115,R114</t>
        </is>
      </c>
      <c r="I772" s="1708" t="inlineStr">
        <is>
          <t>同じシート内のみ</t>
        </is>
      </c>
    </row>
    <row r="773" spans="1:9" ht="19.95" customHeight="1">
      <c r="A773" s="1755" t="s">
        <v>13</v>
      </c>
      <c r="B773" s="1711" t="s">
        <v>1475</v>
      </c>
      <c r="C773" s="1756" t="str">
        <f>HYPERLINK("#'保健_附属明細表'!I114","I114")</f>
        <v>I114</v>
      </c>
      <c r="D773" s="1711" t="s">
        <v>2099</v>
      </c>
      <c r="E773" s="1757">
        <f>IF(保健_附属明細表!I114="","",保健_附属明細表!I114)</f>
        <v>0</v>
      </c>
      <c r="F773" s="1711" t="s">
        <v>1905</v>
      </c>
      <c r="G773" s="1709" t="str">
        <f t="shared" si="11"/>
        <v>0（確認）</v>
      </c>
      <c r="H773" s="1708" t="inlineStr">
        <is>
          <t>保健_附属明細表 I115</t>
        </is>
      </c>
      <c r="I773" s="1708" t="inlineStr">
        <is>
          <t>報告_保健P20-22、保健_財務諸表、保健_決算精算表</t>
        </is>
      </c>
    </row>
    <row r="774" spans="1:9" ht="19.95" customHeight="1">
      <c r="A774" s="1752" t="s">
        <v>13</v>
      </c>
      <c r="B774" s="1708" t="s">
        <v>1475</v>
      </c>
      <c r="C774" s="1753" t="str">
        <f>HYPERLINK("#'保健_附属明細表'!L114","L114")</f>
        <v>L114</v>
      </c>
      <c r="D774" s="1708" t="s">
        <v>2100</v>
      </c>
      <c r="E774" s="1754">
        <f>IF(保健_附属明細表!L114="","",保健_附属明細表!L114)</f>
        <v>110249</v>
      </c>
      <c r="F774" s="1708" t="s">
        <v>1905</v>
      </c>
      <c r="G774" s="1709" t="str">
        <f t="shared" ref="G774:G842" si="12">IF(E774="","未入力（空欄）",IF(E774=0,"0（確認）","入力済"))</f>
        <v>入力済</v>
      </c>
      <c r="H774" s="1708" t="inlineStr">
        <is>
          <t>保健_附属明細表 L115,R114</t>
        </is>
      </c>
      <c r="I774" s="1708" t="inlineStr">
        <is>
          <t>同じシート内のみ</t>
        </is>
      </c>
    </row>
    <row r="775" spans="1:9" ht="19.95" customHeight="1">
      <c r="A775" s="1755" t="s">
        <v>13</v>
      </c>
      <c r="B775" s="1711" t="s">
        <v>1475</v>
      </c>
      <c r="C775" s="1756" t="str">
        <f>HYPERLINK("#'保健_附属明細表'!O114","O114")</f>
        <v>O114</v>
      </c>
      <c r="D775" s="1711" t="s">
        <v>2101</v>
      </c>
      <c r="E775" s="1757">
        <f>IF(保健_附属明細表!O114="","",保健_附属明細表!O114)</f>
        <v>0</v>
      </c>
      <c r="F775" s="1711" t="s">
        <v>1905</v>
      </c>
      <c r="G775" s="1709" t="str">
        <f t="shared" si="12"/>
        <v>0（確認）</v>
      </c>
      <c r="H775" s="1708" t="inlineStr">
        <is>
          <t>保健_附属明細表 O115</t>
        </is>
      </c>
      <c r="I775" s="1708" t="inlineStr">
        <is>
          <t>保健_財務諸表</t>
        </is>
      </c>
    </row>
    <row r="776" spans="1:9" ht="19.95" customHeight="1">
      <c r="A776" s="1752" t="s">
        <v>13</v>
      </c>
      <c r="B776" s="1708" t="s">
        <v>1475</v>
      </c>
      <c r="C776" s="1753" t="str">
        <f>HYPERLINK("#'保健_附属明細表'!E122","E122")</f>
        <v>E122</v>
      </c>
      <c r="D776" s="1708" t="s">
        <v>2102</v>
      </c>
      <c r="E776" s="1754">
        <f>IF(保健_附属明細表!E122="","",保健_附属明細表!E122)</f>
        <v>0</v>
      </c>
      <c r="F776" s="1708" t="s">
        <v>1905</v>
      </c>
      <c r="G776" s="1709" t="str">
        <f t="shared" si="12"/>
        <v>0（確認）</v>
      </c>
      <c r="H776" s="1708" t="inlineStr">
        <is>
          <t>保健_附属明細表 E123,Q122</t>
        </is>
      </c>
      <c r="I776" s="1708" t="inlineStr">
        <is>
          <t>保健_財務諸表</t>
        </is>
      </c>
    </row>
    <row r="777" spans="1:9" ht="19.95" customHeight="1">
      <c r="A777" s="1755" t="s">
        <v>13</v>
      </c>
      <c r="B777" s="1711" t="s">
        <v>1475</v>
      </c>
      <c r="C777" s="1756" t="str">
        <f>HYPERLINK("#'保健_附属明細表'!I122","I122")</f>
        <v>I122</v>
      </c>
      <c r="D777" s="1711" t="s">
        <v>2103</v>
      </c>
      <c r="E777" s="1757">
        <f>IF(保健_附属明細表!I122="","",保健_附属明細表!I122)</f>
        <v>0</v>
      </c>
      <c r="F777" s="1711" t="s">
        <v>1905</v>
      </c>
      <c r="G777" s="1709" t="str">
        <f t="shared" si="12"/>
        <v>0（確認）</v>
      </c>
      <c r="H777" s="1708" t="inlineStr">
        <is>
          <t>保健_附属明細表 I123,Q122</t>
        </is>
      </c>
      <c r="I777" s="1708" t="inlineStr">
        <is>
          <t>保健_財務諸表</t>
        </is>
      </c>
    </row>
    <row r="778" spans="1:9" ht="19.95" customHeight="1">
      <c r="A778" s="1752" t="s">
        <v>13</v>
      </c>
      <c r="B778" s="1708" t="s">
        <v>1475</v>
      </c>
      <c r="C778" s="1753" t="str">
        <f>HYPERLINK("#'保健_附属明細表'!M122","M122")</f>
        <v>M122</v>
      </c>
      <c r="D778" s="1708" t="s">
        <v>2104</v>
      </c>
      <c r="E778" s="1754">
        <f>IF(保健_附属明細表!M122="","",保健_附属明細表!M122)</f>
        <v>0</v>
      </c>
      <c r="F778" s="1708" t="s">
        <v>1905</v>
      </c>
      <c r="G778" s="1709" t="str">
        <f t="shared" si="12"/>
        <v>0（確認）</v>
      </c>
      <c r="H778" s="1708" t="inlineStr">
        <is>
          <t>保健_附属明細表 M123,Q122</t>
        </is>
      </c>
      <c r="I778" s="1708" t="inlineStr">
        <is>
          <t>保健_財務諸表</t>
        </is>
      </c>
    </row>
    <row r="779" spans="1:9" ht="19.95" customHeight="1">
      <c r="A779" s="1755" t="s">
        <v>13</v>
      </c>
      <c r="B779" s="1711" t="s">
        <v>1475</v>
      </c>
      <c r="C779" s="1756" t="str">
        <f>HYPERLINK("#'保健_附属明細表'!J137","J137")</f>
        <v>J137</v>
      </c>
      <c r="D779" s="1711" t="s">
        <v>2105</v>
      </c>
      <c r="E779" s="1757">
        <f>IF(保健_附属明細表!J137="","",保健_附属明細表!J137)</f>
        <v>0</v>
      </c>
      <c r="F779" s="1711" t="s">
        <v>1905</v>
      </c>
      <c r="G779" s="1709" t="str">
        <f t="shared" si="12"/>
        <v>0（確認）</v>
      </c>
      <c r="H779" s="1708" t="inlineStr">
        <is>
          <t>保健_附属明細表 J139,T137</t>
        </is>
      </c>
      <c r="I779" s="1708" t="inlineStr">
        <is>
          <t>同じシート内のみ</t>
        </is>
      </c>
    </row>
    <row r="780" spans="1:9" ht="19.95" customHeight="1">
      <c r="A780" s="1752" t="s">
        <v>13</v>
      </c>
      <c r="B780" s="1708" t="s">
        <v>1475</v>
      </c>
      <c r="C780" s="1753" t="str">
        <f>HYPERLINK("#'保健_附属明細表'!O137","O137")</f>
        <v>O137</v>
      </c>
      <c r="D780" s="1708" t="s">
        <v>2106</v>
      </c>
      <c r="E780" s="1754">
        <f>IF(保健_附属明細表!O137="","",保健_附属明細表!O137)</f>
        <v>0</v>
      </c>
      <c r="F780" s="1708" t="s">
        <v>1905</v>
      </c>
      <c r="G780" s="1709" t="str">
        <f t="shared" si="12"/>
        <v>0（確認）</v>
      </c>
      <c r="H780" s="1708" t="inlineStr">
        <is>
          <t>保健_附属明細表 O139,T137</t>
        </is>
      </c>
      <c r="I780" s="1708" t="inlineStr">
        <is>
          <t>同じシート内のみ</t>
        </is>
      </c>
    </row>
    <row r="781" spans="1:9" ht="19.95" customHeight="1">
      <c r="A781" s="1755" t="s">
        <v>13</v>
      </c>
      <c r="B781" s="1711" t="s">
        <v>1475</v>
      </c>
      <c r="C781" s="1756" t="str">
        <f>HYPERLINK("#'保健_附属明細表'!I145","I145")</f>
        <v>I145</v>
      </c>
      <c r="D781" s="1711" t="s">
        <v>2107</v>
      </c>
      <c r="E781" s="1757">
        <f>IF(保健_附属明細表!I145="","",保健_附属明細表!I145)</f>
        <v>0</v>
      </c>
      <c r="F781" s="1711" t="s">
        <v>1905</v>
      </c>
      <c r="G781" s="1709" t="str">
        <f t="shared" si="12"/>
        <v>0（確認）</v>
      </c>
      <c r="H781" s="1708" t="inlineStr">
        <is>
          <t>保健_附属明細表 I148,Q145</t>
        </is>
      </c>
      <c r="I781" s="1708" t="inlineStr">
        <is>
          <t>保健_財務諸表、保健_決算精算表</t>
        </is>
      </c>
    </row>
    <row r="782" spans="1:9" ht="19.95" customHeight="1">
      <c r="A782" s="1752" t="s">
        <v>13</v>
      </c>
      <c r="B782" s="1708" t="s">
        <v>1475</v>
      </c>
      <c r="C782" s="1753" t="str">
        <f>HYPERLINK("#'保健_附属明細表'!I146","I146")</f>
        <v>I146</v>
      </c>
      <c r="D782" s="1708" t="s">
        <v>1926</v>
      </c>
      <c r="E782" s="1754">
        <f>IF(保健_附属明細表!I146="","",保健_附属明細表!I146)</f>
        <v>0</v>
      </c>
      <c r="F782" s="1708" t="s">
        <v>1905</v>
      </c>
      <c r="G782" s="1709" t="str">
        <f t="shared" si="12"/>
        <v>0（確認）</v>
      </c>
      <c r="H782" s="1708" t="inlineStr">
        <is>
          <t>保健_附属明細表 I148,Q146</t>
        </is>
      </c>
      <c r="I782" s="1708" t="inlineStr">
        <is>
          <t>保健_財務諸表、保健_決算精算表</t>
        </is>
      </c>
    </row>
    <row r="783" spans="1:9" ht="19.95" customHeight="1">
      <c r="A783" s="1755" t="s">
        <v>13</v>
      </c>
      <c r="B783" s="1711" t="s">
        <v>1475</v>
      </c>
      <c r="C783" s="1756" t="str">
        <f>HYPERLINK("#'保健_附属明細表'!E155","E155")</f>
        <v>E155</v>
      </c>
      <c r="D783" s="1711" t="s">
        <v>2108</v>
      </c>
      <c r="E783" s="1757">
        <f>IF(保健_附属明細表!E155="","",保健_附属明細表!E155)</f>
        <v>0</v>
      </c>
      <c r="F783" s="1711" t="s">
        <v>1905</v>
      </c>
      <c r="G783" s="1709" t="str">
        <f t="shared" si="12"/>
        <v>0（確認）</v>
      </c>
      <c r="H783" s="1708" t="inlineStr">
        <is>
          <t>保健_附属明細表 E156,Q155</t>
        </is>
      </c>
      <c r="I783" s="1708" t="inlineStr">
        <is>
          <t>同じシート内のみ</t>
        </is>
      </c>
    </row>
    <row r="784" spans="1:9" ht="19.95" customHeight="1">
      <c r="A784" s="1752" t="s">
        <v>13</v>
      </c>
      <c r="B784" s="1708" t="s">
        <v>1475</v>
      </c>
      <c r="C784" s="1753" t="str">
        <f>HYPERLINK("#'保健_附属明細表'!I155","I155")</f>
        <v>I155</v>
      </c>
      <c r="D784" s="1708" t="s">
        <v>2109</v>
      </c>
      <c r="E784" s="1754">
        <f>IF(保健_附属明細表!I155="","",保健_附属明細表!I155)</f>
        <v>0</v>
      </c>
      <c r="F784" s="1708" t="s">
        <v>1905</v>
      </c>
      <c r="G784" s="1709" t="str">
        <f t="shared" si="12"/>
        <v>0（確認）</v>
      </c>
      <c r="H784" s="1708" t="inlineStr">
        <is>
          <t>保健_附属明細表 I156,Q155</t>
        </is>
      </c>
      <c r="I784" s="1708" t="inlineStr">
        <is>
          <t>同じシート内のみ</t>
        </is>
      </c>
    </row>
    <row r="785" spans="1:9" ht="19.95" customHeight="1">
      <c r="A785" s="1755" t="s">
        <v>13</v>
      </c>
      <c r="B785" s="1711" t="s">
        <v>1475</v>
      </c>
      <c r="C785" s="1756" t="str">
        <f>HYPERLINK("#'保健_附属明細表'!M155","M155")</f>
        <v>M155</v>
      </c>
      <c r="D785" s="1711" t="s">
        <v>2110</v>
      </c>
      <c r="E785" s="1757">
        <f>IF(保健_附属明細表!M155="","",保健_附属明細表!M155)</f>
        <v>0</v>
      </c>
      <c r="F785" s="1711" t="s">
        <v>1905</v>
      </c>
      <c r="G785" s="1709" t="str">
        <f t="shared" si="12"/>
        <v>0（確認）</v>
      </c>
      <c r="H785" s="1708" t="inlineStr">
        <is>
          <t>保健_附属明細表 M156,Q155</t>
        </is>
      </c>
      <c r="I785" s="1708" t="inlineStr">
        <is>
          <t>同じシート内のみ</t>
        </is>
      </c>
    </row>
    <row r="786" spans="1:9" ht="19.95" customHeight="1">
      <c r="A786" s="1752" t="s">
        <v>13</v>
      </c>
      <c r="B786" s="1708" t="s">
        <v>1475</v>
      </c>
      <c r="C786" s="1753" t="str">
        <f>HYPERLINK("#'保健_附属明細表'!P164","P164")</f>
        <v>P164</v>
      </c>
      <c r="D786" s="1708" t="s">
        <v>2111</v>
      </c>
      <c r="E786" s="1754">
        <f>IF(保健_附属明細表!P164="","",保健_附属明細表!P164)</f>
        <v>0</v>
      </c>
      <c r="F786" s="1708" t="s">
        <v>1905</v>
      </c>
      <c r="G786" s="1709" t="str">
        <f t="shared" si="12"/>
        <v>0（確認）</v>
      </c>
      <c r="H786" s="1708" t="inlineStr">
        <is>
          <t>保健_附属明細表 Q167</t>
        </is>
      </c>
      <c r="I786" s="1708" t="inlineStr">
        <is>
          <t>同じシート内のみ</t>
        </is>
      </c>
    </row>
    <row r="787" spans="1:9" ht="19.95" customHeight="1">
      <c r="A787" s="1755" t="s">
        <v>13</v>
      </c>
      <c r="B787" s="1711" t="s">
        <v>1475</v>
      </c>
      <c r="C787" s="1756" t="str">
        <f>HYPERLINK("#'保健_附属明細表'!R165","R165")</f>
        <v>R165</v>
      </c>
      <c r="D787" s="1711" t="s">
        <v>2112</v>
      </c>
      <c r="E787" s="1757">
        <f>IF(保健_附属明細表!R165="","",保健_附属明細表!R165)</f>
        <v>22319232</v>
      </c>
      <c r="F787" s="1711" t="s">
        <v>1905</v>
      </c>
      <c r="G787" s="1709" t="str">
        <f t="shared" si="12"/>
        <v>入力済</v>
      </c>
      <c r="H787" s="1708" t="inlineStr">
        <is>
          <t>なし（このセルのみ）</t>
        </is>
      </c>
      <c r="I787" s="1708" t="inlineStr">
        <is>
          <t>―</t>
        </is>
      </c>
    </row>
    <row r="788" spans="1:9" ht="19.95" customHeight="1">
      <c r="A788" s="1752" t="s">
        <v>13</v>
      </c>
      <c r="B788" s="1708" t="s">
        <v>1475</v>
      </c>
      <c r="C788" s="1753" t="str">
        <f>HYPERLINK("#'保健_附属明細表'!R166","R166")</f>
        <v>R166</v>
      </c>
      <c r="D788" s="1708" t="s">
        <v>2113</v>
      </c>
      <c r="E788" s="1754">
        <f>IF(保健_附属明細表!R166="","",保健_附属明細表!R166)</f>
        <v>1115961</v>
      </c>
      <c r="F788" s="1708" t="s">
        <v>1905</v>
      </c>
      <c r="G788" s="1709" t="str">
        <f t="shared" si="12"/>
        <v>入力済</v>
      </c>
      <c r="H788" s="1708" t="inlineStr">
        <is>
          <t>なし（このセルのみ）</t>
        </is>
      </c>
      <c r="I788" s="1708" t="inlineStr">
        <is>
          <t>―</t>
        </is>
      </c>
    </row>
    <row r="789" spans="1:9" ht="19.95" customHeight="1">
      <c r="A789" s="1755" t="s">
        <v>13</v>
      </c>
      <c r="B789" s="1711" t="s">
        <v>2114</v>
      </c>
      <c r="C789" s="1756" t="str">
        <f>HYPERLINK("#'保健_決算精算表'!C27","C27")</f>
        <v>C27</v>
      </c>
      <c r="D789" s="1711" t="s">
        <v>2014</v>
      </c>
      <c r="E789" s="1757">
        <f>IF(保健_決算精算表!C27="","",保健_決算精算表!C27)</f>
        <v>6510030</v>
      </c>
      <c r="F789" s="1711" t="s">
        <v>1929</v>
      </c>
      <c r="G789" s="1709" t="str">
        <f t="shared" si="12"/>
        <v>入力済</v>
      </c>
      <c r="H789" s="1708" t="inlineStr">
        <is>
          <t>保健_附属明細表 J136、保健_決算精算表 A27,C53</t>
        </is>
      </c>
      <c r="I789" s="1708" t="inlineStr">
        <is>
          <t>報告_保健P20-22、保健_財務諸表、保健_附属明細表</t>
        </is>
      </c>
    </row>
    <row r="790" spans="1:9" ht="19.95" customHeight="1">
      <c r="A790" s="1752" t="s">
        <v>13</v>
      </c>
      <c r="B790" s="1708" t="s">
        <v>2114</v>
      </c>
      <c r="C790" s="1753" t="str">
        <f>HYPERLINK("#'保健_決算精算表'!C28","C28")</f>
        <v>C28</v>
      </c>
      <c r="D790" s="1708" t="s">
        <v>2015</v>
      </c>
      <c r="E790" s="1754">
        <f>IF(保健_決算精算表!C28="","",保健_決算精算表!C28)</f>
        <v>403592377</v>
      </c>
      <c r="F790" s="1708" t="s">
        <v>1929</v>
      </c>
      <c r="G790" s="1709" t="str">
        <f t="shared" si="12"/>
        <v>入力済</v>
      </c>
      <c r="H790" s="1708" t="inlineStr">
        <is>
          <t>保健_決算精算表 A28,C53</t>
        </is>
      </c>
      <c r="I790" s="1708" t="inlineStr">
        <is>
          <t>報告_保健P20-22、保健_財務諸表、保健_附属明細表</t>
        </is>
      </c>
    </row>
    <row r="791" spans="1:9" ht="19.95" customHeight="1">
      <c r="A791" s="1755" t="s">
        <v>13</v>
      </c>
      <c r="B791" s="1711" t="s">
        <v>2114</v>
      </c>
      <c r="C791" s="1756" t="str">
        <f>HYPERLINK("#'保健_決算精算表'!C29","C29")</f>
        <v>C29</v>
      </c>
      <c r="D791" s="1711" t="s">
        <v>2115</v>
      </c>
      <c r="E791" s="1757">
        <f>IF(保健_決算精算表!C29="","",保健_決算精算表!C29)</f>
        <v>16458962</v>
      </c>
      <c r="F791" s="1711" t="s">
        <v>1929</v>
      </c>
      <c r="G791" s="1709" t="str">
        <f t="shared" si="12"/>
        <v>入力済</v>
      </c>
      <c r="H791" s="1708" t="inlineStr">
        <is>
          <t>保健_決算精算表 A29,C53</t>
        </is>
      </c>
      <c r="I791" s="1708" t="inlineStr">
        <is>
          <t>報告_保健P20-22、保健_財務諸表、保健_附属明細表</t>
        </is>
      </c>
    </row>
    <row r="792" spans="1:9" ht="19.95" customHeight="1">
      <c r="A792" s="1752" t="s">
        <v>13</v>
      </c>
      <c r="B792" s="1708" t="s">
        <v>2114</v>
      </c>
      <c r="C792" s="1753" t="str">
        <f>HYPERLINK("#'保健_決算精算表'!C30","C30")</f>
        <v>C30</v>
      </c>
      <c r="D792" s="1708" t="s">
        <v>2017</v>
      </c>
      <c r="E792" s="1754">
        <f>IF(保健_決算精算表!C30="","",保健_決算精算表!C30)</f>
        <v>513236</v>
      </c>
      <c r="F792" s="1708" t="s">
        <v>1929</v>
      </c>
      <c r="G792" s="1709" t="str">
        <f t="shared" si="12"/>
        <v>入力済</v>
      </c>
      <c r="H792" s="1708" t="inlineStr">
        <is>
          <t>保健_附属明細表 J138、保健_決算精算表 A30,C53</t>
        </is>
      </c>
      <c r="I792" s="1708" t="inlineStr">
        <is>
          <t>報告_保健P20-22、保健_財務諸表、保健_附属明細表</t>
        </is>
      </c>
    </row>
    <row r="793" spans="1:9" ht="19.95" customHeight="1">
      <c r="A793" s="1755" t="s">
        <v>13</v>
      </c>
      <c r="B793" s="1711" t="s">
        <v>2114</v>
      </c>
      <c r="C793" s="1756" t="str">
        <f>HYPERLINK("#'保健_決算精算表'!C31","C31")</f>
        <v>C31</v>
      </c>
      <c r="D793" s="1711" t="s">
        <v>2116</v>
      </c>
      <c r="E793" s="1757">
        <f>IF(保健_決算精算表!C31="","",保健_決算精算表!C31)</f>
        <v>170673</v>
      </c>
      <c r="F793" s="1711" t="s">
        <v>1929</v>
      </c>
      <c r="G793" s="1709" t="str">
        <f t="shared" si="12"/>
        <v>入力済</v>
      </c>
      <c r="H793" s="1708" t="inlineStr">
        <is>
          <t>保健_決算精算表 A31,C53</t>
        </is>
      </c>
      <c r="I793" s="1708" t="inlineStr">
        <is>
          <t>報告_保健P20-22、保健_財務諸表、保健_附属明細表</t>
        </is>
      </c>
    </row>
    <row r="794" spans="1:9" ht="19.95" customHeight="1">
      <c r="A794" s="1752" t="s">
        <v>13</v>
      </c>
      <c r="B794" s="1708" t="s">
        <v>2114</v>
      </c>
      <c r="C794" s="1753" t="str">
        <f>HYPERLINK("#'保健_決算精算表'!C33","C33")</f>
        <v>C33</v>
      </c>
      <c r="D794" s="1708" t="s">
        <v>2019</v>
      </c>
      <c r="E794" s="1754">
        <f>IF(保健_決算精算表!C33="","",保健_決算精算表!C33)</f>
        <v>4282616</v>
      </c>
      <c r="F794" s="1708" t="s">
        <v>1929</v>
      </c>
      <c r="G794" s="1709" t="str">
        <f t="shared" si="12"/>
        <v>入力済</v>
      </c>
      <c r="H794" s="1708" t="inlineStr">
        <is>
          <t>保健_決算精算表 A33,C53</t>
        </is>
      </c>
      <c r="I794" s="1708" t="inlineStr">
        <is>
          <t>報告_保健P20-22、保健_財務諸表、保健_附属明細表</t>
        </is>
      </c>
    </row>
    <row r="795" spans="1:9" ht="19.95" customHeight="1">
      <c r="A795" s="1755" t="s">
        <v>13</v>
      </c>
      <c r="B795" s="1711" t="s">
        <v>2114</v>
      </c>
      <c r="C795" s="1756" t="str">
        <f>HYPERLINK("#'保健_決算精算表'!C36","C36")</f>
        <v>C36</v>
      </c>
      <c r="D795" s="1711" t="s">
        <v>2117</v>
      </c>
      <c r="E795" s="1757">
        <f>IF(保健_決算精算表!C36="","",保健_決算精算表!C36)</f>
        <v>22753</v>
      </c>
      <c r="F795" s="1711" t="s">
        <v>1929</v>
      </c>
      <c r="G795" s="1709" t="str">
        <f t="shared" si="12"/>
        <v>入力済</v>
      </c>
      <c r="H795" s="1708" t="inlineStr">
        <is>
          <t>保健_決算精算表 A36,C53</t>
        </is>
      </c>
      <c r="I795" s="1708" t="inlineStr">
        <is>
          <t>報告_保健P20-22、保健_財務諸表、保健_附属明細表</t>
        </is>
      </c>
    </row>
    <row r="796" spans="1:9" ht="19.95" customHeight="1">
      <c r="A796" s="1752" t="s">
        <v>13</v>
      </c>
      <c r="B796" s="1708" t="s">
        <v>2114</v>
      </c>
      <c r="C796" s="1753" t="str">
        <f>HYPERLINK("#'保健_決算精算表'!C37","C37")</f>
        <v>C37</v>
      </c>
      <c r="D796" s="1708" t="s">
        <v>2022</v>
      </c>
      <c r="E796" s="1754">
        <f>IF(保健_決算精算表!C37="","",保健_決算精算表!C37)</f>
        <v>3167439</v>
      </c>
      <c r="F796" s="1708" t="s">
        <v>1929</v>
      </c>
      <c r="G796" s="1709" t="str">
        <f t="shared" si="12"/>
        <v>入力済</v>
      </c>
      <c r="H796" s="1708" t="inlineStr">
        <is>
          <t>保健_決算精算表 A37,C53</t>
        </is>
      </c>
      <c r="I796" s="1708" t="inlineStr">
        <is>
          <t>報告_保健P20-22、保健_財務諸表、保健_附属明細表</t>
        </is>
      </c>
    </row>
    <row r="797" spans="1:9" ht="19.95" customHeight="1">
      <c r="A797" s="1755" t="s">
        <v>13</v>
      </c>
      <c r="B797" s="1711" t="s">
        <v>2114</v>
      </c>
      <c r="C797" s="1756" t="str">
        <f>HYPERLINK("#'保健_決算精算表'!C39","C39")</f>
        <v>C39</v>
      </c>
      <c r="D797" s="1711" t="s">
        <v>2023</v>
      </c>
      <c r="E797" s="1757">
        <f>IF(保健_決算精算表!C39="","",保健_決算精算表!C39)</f>
        <v>1768131</v>
      </c>
      <c r="F797" s="1711" t="s">
        <v>1929</v>
      </c>
      <c r="G797" s="1709" t="str">
        <f t="shared" si="12"/>
        <v>入力済</v>
      </c>
      <c r="H797" s="1708" t="inlineStr">
        <is>
          <t>保健_決算精算表 A39,C53</t>
        </is>
      </c>
      <c r="I797" s="1708" t="inlineStr">
        <is>
          <t>報告_保健P20-22、保健_財務諸表、保健_附属明細表</t>
        </is>
      </c>
    </row>
    <row r="798" spans="1:9" ht="19.95" customHeight="1">
      <c r="A798" s="1752" t="s">
        <v>13</v>
      </c>
      <c r="B798" s="1708" t="s">
        <v>2114</v>
      </c>
      <c r="C798" s="1753" t="str">
        <f>HYPERLINK("#'保健_決算精算表'!C40","C40")</f>
        <v>C40</v>
      </c>
      <c r="D798" s="1708" t="s">
        <v>2024</v>
      </c>
      <c r="E798" s="1754">
        <f>IF(保健_決算精算表!C40="","",保健_決算精算表!C40)</f>
        <v>546852</v>
      </c>
      <c r="F798" s="1708" t="s">
        <v>1929</v>
      </c>
      <c r="G798" s="1709" t="str">
        <f t="shared" si="12"/>
        <v>入力済</v>
      </c>
      <c r="H798" s="1708" t="inlineStr">
        <is>
          <t>保健_決算精算表 A40,C53</t>
        </is>
      </c>
      <c r="I798" s="1708" t="inlineStr">
        <is>
          <t>報告_保健P20-22、保健_財務諸表、保健_附属明細表</t>
        </is>
      </c>
    </row>
    <row r="799" spans="1:9" ht="19.95" customHeight="1">
      <c r="A799" s="1755" t="s">
        <v>13</v>
      </c>
      <c r="B799" s="1711" t="s">
        <v>2114</v>
      </c>
      <c r="C799" s="1756" t="str">
        <f>HYPERLINK("#'保健_決算精算表'!C41","C41")</f>
        <v>C41</v>
      </c>
      <c r="D799" s="1711" t="s">
        <v>2025</v>
      </c>
      <c r="E799" s="1757">
        <f>IF(保健_決算精算表!C41="","",保健_決算精算表!C41)</f>
        <v>2868615</v>
      </c>
      <c r="F799" s="1711" t="s">
        <v>1929</v>
      </c>
      <c r="G799" s="1709" t="str">
        <f t="shared" si="12"/>
        <v>入力済</v>
      </c>
      <c r="H799" s="1708" t="inlineStr">
        <is>
          <t>保健_決算精算表 A41,C53</t>
        </is>
      </c>
      <c r="I799" s="1708" t="inlineStr">
        <is>
          <t>報告_保健P20-22、保健_財務諸表、保健_附属明細表</t>
        </is>
      </c>
    </row>
    <row r="800" spans="1:9" ht="19.95" customHeight="1">
      <c r="A800" s="1752" t="s">
        <v>13</v>
      </c>
      <c r="B800" s="1708" t="s">
        <v>2114</v>
      </c>
      <c r="C800" s="1753" t="str">
        <f>HYPERLINK("#'保健_決算精算表'!E51","E51")</f>
        <v>E51</v>
      </c>
      <c r="D800" s="1708" t="s">
        <v>1951</v>
      </c>
      <c r="E800" s="1754">
        <f>IF(保健_決算精算表!E51="","",保健_決算精算表!E51)</f>
        <v>104640</v>
      </c>
      <c r="F800" s="1708" t="s">
        <v>1929</v>
      </c>
      <c r="G800" s="1709" t="str">
        <f t="shared" si="12"/>
        <v>入力済</v>
      </c>
      <c r="H800" s="1708" t="inlineStr">
        <is>
          <t>保健_決算精算表 E53,G51</t>
        </is>
      </c>
      <c r="I800" s="1708" t="inlineStr">
        <is>
          <t>報告_保健P20-22、保健_財務諸表、保健_附属明細表</t>
        </is>
      </c>
    </row>
    <row r="801" spans="1:9" ht="19.95" customHeight="1">
      <c r="A801" s="1755" t="s">
        <v>14</v>
      </c>
      <c r="B801" s="1711" t="s">
        <v>1471</v>
      </c>
      <c r="C801" s="1756" t="str">
        <f>HYPERLINK("#'貸付_入力'!C11","C11")</f>
        <v>C11</v>
      </c>
      <c r="D801" s="1711" t="s">
        <v>2118</v>
      </c>
      <c r="E801" s="1757">
        <f>IF(貸付_入力!C11="","",貸付_入力!C11)</f>
        <v>1108845248</v>
      </c>
      <c r="F801" s="1711" t="s">
        <v>1471</v>
      </c>
      <c r="G801" s="1709" t="str">
        <f t="shared" si="12"/>
        <v>入力済</v>
      </c>
      <c r="H801" s="1708" t="inlineStr">
        <is>
          <t>貸付_附属明細表 M5</t>
        </is>
      </c>
      <c r="I801" s="1708" t="inlineStr">
        <is>
          <t>貸付_財務諸表、貸付_附属明細表、貸付_決算精算表</t>
        </is>
      </c>
    </row>
    <row r="802" spans="1:9" ht="19.95" customHeight="1">
      <c r="A802" s="1752" t="s">
        <v>14</v>
      </c>
      <c r="B802" s="1708" t="s">
        <v>1471</v>
      </c>
      <c r="C802" s="1753" t="str">
        <f>HYPERLINK("#'貸付_入力'!C13","C13")</f>
        <v>C13</v>
      </c>
      <c r="D802" s="1708" t="s">
        <v>2119</v>
      </c>
      <c r="E802" s="1754">
        <f>IF(貸付_入力!C13="","",貸付_入力!C13)</f>
        <v>126110000</v>
      </c>
      <c r="F802" s="1708" t="s">
        <v>1471</v>
      </c>
      <c r="G802" s="1709" t="str">
        <f t="shared" si="12"/>
        <v>入力済</v>
      </c>
      <c r="H802" s="1708" t="inlineStr">
        <is>
          <t>貸付_附属明細表 J12</t>
        </is>
      </c>
      <c r="I802" s="1708" t="inlineStr">
        <is>
          <t>報告_貸付P23-25、貸付_財務諸表、貸付_附属明細表、貸付_決算精算表</t>
        </is>
      </c>
    </row>
    <row r="803" spans="1:9" ht="19.95" customHeight="1">
      <c r="A803" s="1755" t="s">
        <v>14</v>
      </c>
      <c r="B803" s="1711" t="s">
        <v>1471</v>
      </c>
      <c r="C803" s="1756" t="str">
        <f>HYPERLINK("#'貸付_入力'!C14","C14")</f>
        <v>C14</v>
      </c>
      <c r="D803" s="1711" t="s">
        <v>2120</v>
      </c>
      <c r="E803" s="1757">
        <f>IF(貸付_入力!C14="","",貸付_入力!C14)</f>
        <v>234813316</v>
      </c>
      <c r="F803" s="1711" t="s">
        <v>1471</v>
      </c>
      <c r="G803" s="1709" t="str">
        <f t="shared" si="12"/>
        <v>入力済</v>
      </c>
      <c r="H803" s="1708" t="inlineStr">
        <is>
          <t>貸付_附属明細表 N12</t>
        </is>
      </c>
      <c r="I803" s="1708" t="inlineStr">
        <is>
          <t>報告_貸付P23-25、貸付_財務諸表、貸付_附属明細表、貸付_決算精算表</t>
        </is>
      </c>
    </row>
    <row r="804" spans="1:9" ht="19.95" customHeight="1">
      <c r="A804" s="1752" t="s">
        <v>14</v>
      </c>
      <c r="B804" s="1708" t="s">
        <v>1471</v>
      </c>
      <c r="C804" s="1753" t="str">
        <f>HYPERLINK("#'貸付_入力'!C16","C16")</f>
        <v>C16</v>
      </c>
      <c r="D804" s="1708" t="s">
        <v>2121</v>
      </c>
      <c r="E804" s="1754">
        <f>IF(貸付_入力!C16="","",貸付_入力!C16)</f>
        <v>0</v>
      </c>
      <c r="F804" s="1708" t="s">
        <v>1471</v>
      </c>
      <c r="G804" s="1709" t="str">
        <f t="shared" si="12"/>
        <v>0（確認）</v>
      </c>
      <c r="H804" s="1708" t="inlineStr">
        <is>
          <t>預託金_預金・未収・貸付・預託金 F21、貸付_附属明細表 J19</t>
        </is>
      </c>
      <c r="I804" s="1708" t="inlineStr">
        <is>
          <t>報告_預託金P17、報告_預託金のカメラ、報告_貸付P23-25、預託金_貸借・損益 ほか4シート</t>
        </is>
      </c>
    </row>
    <row r="805" spans="1:9" ht="19.95" customHeight="1">
      <c r="A805" s="1755" t="s">
        <v>14</v>
      </c>
      <c r="B805" s="1711" t="s">
        <v>1471</v>
      </c>
      <c r="C805" s="1756" t="str">
        <f>HYPERLINK("#'貸付_入力'!C17","C17")</f>
        <v>C17</v>
      </c>
      <c r="D805" s="1711" t="s">
        <v>2122</v>
      </c>
      <c r="E805" s="1757">
        <f>IF(貸付_入力!C17="","",貸付_入力!C17)</f>
        <v>105000000</v>
      </c>
      <c r="F805" s="1711" t="s">
        <v>1471</v>
      </c>
      <c r="G805" s="1709" t="str">
        <f t="shared" si="12"/>
        <v>入力済</v>
      </c>
      <c r="H805" s="1708" t="inlineStr">
        <is>
          <t>預託金_預金・未収・貸付・預託金 I21、貸付_附属明細表 N19</t>
        </is>
      </c>
      <c r="I805" s="1708" t="inlineStr">
        <is>
          <t>報告_預託金P17、報告_預託金のカメラ、報告_貸付P23-25、預託金_貸借・損益 ほか4シート</t>
        </is>
      </c>
    </row>
    <row r="806" spans="1:9" ht="19.95" customHeight="1">
      <c r="A806" s="1752" t="s">
        <v>14</v>
      </c>
      <c r="B806" s="1708" t="s">
        <v>1471</v>
      </c>
      <c r="C806" s="1753" t="str">
        <f>HYPERLINK("#'貸付_入力'!C19","C19")</f>
        <v>C19</v>
      </c>
      <c r="D806" s="1708" t="s">
        <v>2123</v>
      </c>
      <c r="E806" s="1754">
        <f>IF(貸付_入力!C19="","",貸付_入力!C19)</f>
        <v>180749</v>
      </c>
      <c r="F806" s="1708" t="s">
        <v>1471</v>
      </c>
      <c r="G806" s="1709" t="str">
        <f t="shared" si="12"/>
        <v>入力済</v>
      </c>
      <c r="H806" s="1708" t="inlineStr">
        <is>
          <t>貸付_附属明細表 G27</t>
        </is>
      </c>
      <c r="I806" s="1708" t="inlineStr">
        <is>
          <t>報告_貸付P23-25、貸付_財務諸表、貸付_附属明細表、貸付_決算精算表</t>
        </is>
      </c>
    </row>
    <row r="807" spans="1:9" ht="19.95" customHeight="1">
      <c r="A807" s="1755" t="s">
        <v>14</v>
      </c>
      <c r="B807" s="1711" t="s">
        <v>1471</v>
      </c>
      <c r="C807" s="1756" t="str">
        <f>HYPERLINK("#'貸付_入力'!C20","C20")</f>
        <v>C20</v>
      </c>
      <c r="D807" s="1711" t="s">
        <v>2124</v>
      </c>
      <c r="E807" s="1757">
        <f>IF(貸付_入力!C20="","",貸付_入力!C20)</f>
        <v>0</v>
      </c>
      <c r="F807" s="1711" t="s">
        <v>1471</v>
      </c>
      <c r="G807" s="1709" t="str">
        <f t="shared" si="12"/>
        <v>0（確認）</v>
      </c>
      <c r="H807" s="1708" t="inlineStr">
        <is>
          <t>貸付_附属明細表 G28</t>
        </is>
      </c>
      <c r="I807" s="1708" t="inlineStr">
        <is>
          <t>報告_貸付P23-25、貸付_財務諸表、貸付_附属明細表、貸付_決算精算表</t>
        </is>
      </c>
    </row>
    <row r="808" spans="1:9" ht="19.95" customHeight="1">
      <c r="A808" s="1752" t="s">
        <v>14</v>
      </c>
      <c r="B808" s="1708" t="s">
        <v>1471</v>
      </c>
      <c r="C808" s="1753" t="str">
        <f>HYPERLINK("#'貸付_入力'!C21","C21")</f>
        <v>C21</v>
      </c>
      <c r="D808" s="1708" t="s">
        <v>2125</v>
      </c>
      <c r="E808" s="1754" t="str">
        <f>IF(貸付_入力!C21="","",貸付_入力!C21)</f>
        <v/>
      </c>
      <c r="F808" s="1708" t="s">
        <v>1471</v>
      </c>
      <c r="G808" s="1709" t="str">
        <f t="shared" si="12"/>
        <v>未入力（空欄）</v>
      </c>
      <c r="H808" s="1708" t="inlineStr">
        <is>
          <t>貸付_附属明細表 G35</t>
        </is>
      </c>
      <c r="I808" s="1708" t="inlineStr">
        <is>
          <t>報告_貸付P23-25、貸付_財務諸表、貸付_附属明細表、貸付_決算精算表</t>
        </is>
      </c>
    </row>
    <row r="809" spans="1:9" ht="19.95" customHeight="1">
      <c r="A809" s="1755" t="s">
        <v>14</v>
      </c>
      <c r="B809" s="1711" t="s">
        <v>1471</v>
      </c>
      <c r="C809" s="1756" t="str">
        <f>HYPERLINK("#'貸付_入力'!C22","C22")</f>
        <v>C22</v>
      </c>
      <c r="D809" s="1711" t="s">
        <v>2126</v>
      </c>
      <c r="E809" s="1757" t="str">
        <f>IF(貸付_入力!C22="","",貸付_入力!C22)</f>
        <v/>
      </c>
      <c r="F809" s="1711" t="s">
        <v>1471</v>
      </c>
      <c r="G809" s="1709" t="str">
        <f t="shared" si="12"/>
        <v>未入力（空欄）</v>
      </c>
      <c r="H809" s="1708" t="inlineStr">
        <is>
          <t>貸付_附属明細表 G36</t>
        </is>
      </c>
      <c r="I809" s="1708" t="inlineStr">
        <is>
          <t>報告_貸付P23-25、貸付_財務諸表、貸付_附属明細表、貸付_決算精算表</t>
        </is>
      </c>
    </row>
    <row r="810" spans="1:9" ht="19.95" customHeight="1">
      <c r="A810" s="1752" t="s">
        <v>14</v>
      </c>
      <c r="B810" s="1708" t="s">
        <v>1471</v>
      </c>
      <c r="C810" s="1753" t="str">
        <f>HYPERLINK("#'貸付_入力'!C23","C23")</f>
        <v>C23</v>
      </c>
      <c r="D810" s="1708" t="s">
        <v>2127</v>
      </c>
      <c r="E810" s="1754">
        <f>IF(貸付_入力!C23="","",貸付_入力!C23)</f>
        <v>25659</v>
      </c>
      <c r="F810" s="1708" t="s">
        <v>1471</v>
      </c>
      <c r="G810" s="1709" t="str">
        <f t="shared" si="12"/>
        <v>入力済</v>
      </c>
      <c r="H810" s="1708" t="inlineStr">
        <is>
          <t>貸付_附属明細表 G43</t>
        </is>
      </c>
      <c r="I810" s="1708" t="inlineStr">
        <is>
          <t>報告_貸付P23-25、貸付_財務諸表、貸付_附属明細表、貸付_決算精算表</t>
        </is>
      </c>
    </row>
    <row r="811" spans="1:9" ht="19.95" customHeight="1">
      <c r="A811" s="1755" t="s">
        <v>14</v>
      </c>
      <c r="B811" s="1711" t="s">
        <v>1471</v>
      </c>
      <c r="C811" s="1756" t="str">
        <f>HYPERLINK("#'貸付_入力'!C24","C24")</f>
        <v>C24</v>
      </c>
      <c r="D811" s="1711" t="s">
        <v>2128</v>
      </c>
      <c r="E811" s="1757">
        <f>IF(貸付_入力!C24="","",貸付_入力!C24)</f>
        <v>192720</v>
      </c>
      <c r="F811" s="1711" t="s">
        <v>1471</v>
      </c>
      <c r="G811" s="1709" t="str">
        <f t="shared" si="12"/>
        <v>入力済</v>
      </c>
      <c r="H811" s="1708" t="inlineStr">
        <is>
          <t>貸付_附属明細表 G44</t>
        </is>
      </c>
      <c r="I811" s="1708" t="inlineStr">
        <is>
          <t>報告_貸付P23-25、貸付_財務諸表、貸付_附属明細表、貸付_決算精算表</t>
        </is>
      </c>
    </row>
    <row r="812" spans="1:9" ht="19.95" customHeight="1">
      <c r="A812" s="1752" t="s">
        <v>14</v>
      </c>
      <c r="B812" s="1708" t="s">
        <v>1471</v>
      </c>
      <c r="C812" s="1753" t="str">
        <f>HYPERLINK("#'貸付_入力'!C25","C25")</f>
        <v>C25</v>
      </c>
      <c r="D812" s="1708" t="s">
        <v>2129</v>
      </c>
      <c r="E812" s="1754">
        <f>IF(貸付_入力!C25="","",貸付_入力!C25)</f>
        <v>90826</v>
      </c>
      <c r="F812" s="1708" t="s">
        <v>1471</v>
      </c>
      <c r="G812" s="1709" t="str">
        <f t="shared" si="12"/>
        <v>入力済</v>
      </c>
      <c r="H812" s="1708" t="inlineStr">
        <is>
          <t>貸付_附属明細表 G45</t>
        </is>
      </c>
      <c r="I812" s="1708" t="inlineStr">
        <is>
          <t>報告_貸付P23-25、貸付_財務諸表、貸付_附属明細表、貸付_決算精算表</t>
        </is>
      </c>
    </row>
    <row r="813" spans="1:9" ht="19.95" customHeight="1">
      <c r="A813" s="1755" t="s">
        <v>14</v>
      </c>
      <c r="B813" s="1711" t="s">
        <v>1471</v>
      </c>
      <c r="C813" s="1756" t="str">
        <f>HYPERLINK("#'貸付_入力'!C26","C26")</f>
        <v>C26</v>
      </c>
      <c r="D813" s="1711" t="s">
        <v>2130</v>
      </c>
      <c r="E813" s="1757">
        <f>IF(貸付_入力!C26="","",貸付_入力!C26)</f>
        <v>71325</v>
      </c>
      <c r="F813" s="1711" t="s">
        <v>1471</v>
      </c>
      <c r="G813" s="1709" t="str">
        <f t="shared" si="12"/>
        <v>入力済</v>
      </c>
      <c r="H813" s="1708" t="inlineStr">
        <is>
          <t>貸付_附属明細表 G46</t>
        </is>
      </c>
      <c r="I813" s="1708" t="inlineStr">
        <is>
          <t>報告_貸付P23-25、貸付_財務諸表、貸付_附属明細表、貸付_決算精算表</t>
        </is>
      </c>
    </row>
    <row r="814" spans="1:9" ht="19.95" customHeight="1">
      <c r="A814" s="1752" t="s">
        <v>14</v>
      </c>
      <c r="B814" s="1708" t="s">
        <v>1471</v>
      </c>
      <c r="C814" s="1753" t="str">
        <f>HYPERLINK("#'貸付_入力'!C27","C27")</f>
        <v>C27</v>
      </c>
      <c r="D814" s="1708" t="s">
        <v>2131</v>
      </c>
      <c r="E814" s="1754" t="str">
        <f>IF(貸付_入力!C27="","",貸付_入力!C27)</f>
        <v/>
      </c>
      <c r="F814" s="1708" t="s">
        <v>1471</v>
      </c>
      <c r="G814" s="1709" t="str">
        <f t="shared" si="12"/>
        <v>未入力（空欄）</v>
      </c>
      <c r="H814" s="1708" t="inlineStr">
        <is>
          <t>貸付_附属明細表 G53</t>
        </is>
      </c>
      <c r="I814" s="1708" t="inlineStr">
        <is>
          <t>報告_貸付P23-25、貸付_財務諸表、貸付_附属明細表、貸付_決算精算表</t>
        </is>
      </c>
    </row>
    <row r="815" spans="1:9" ht="19.95" customHeight="1">
      <c r="A815" s="1755" t="s">
        <v>14</v>
      </c>
      <c r="B815" s="1711" t="s">
        <v>1471</v>
      </c>
      <c r="C815" s="1756" t="str">
        <f>HYPERLINK("#'貸付_入力'!C28","C28")</f>
        <v>C28</v>
      </c>
      <c r="D815" s="1711" t="s">
        <v>2132</v>
      </c>
      <c r="E815" s="1757">
        <f>IF(貸付_入力!C28="","",貸付_入力!C28)</f>
        <v>383205</v>
      </c>
      <c r="F815" s="1711" t="s">
        <v>1471</v>
      </c>
      <c r="G815" s="1709" t="str">
        <f t="shared" si="12"/>
        <v>入力済</v>
      </c>
      <c r="H815" s="1708" t="inlineStr">
        <is>
          <t>貸付_附属明細表 G54</t>
        </is>
      </c>
      <c r="I815" s="1708" t="inlineStr">
        <is>
          <t>報告_貸付P23-25、貸付_財務諸表、貸付_附属明細表、貸付_決算精算表</t>
        </is>
      </c>
    </row>
    <row r="816" spans="1:9" ht="19.95" customHeight="1">
      <c r="A816" s="1752" t="s">
        <v>14</v>
      </c>
      <c r="B816" s="1708" t="s">
        <v>1471</v>
      </c>
      <c r="C816" s="1753" t="str">
        <f>HYPERLINK("#'貸付_入力'!C29","C29")</f>
        <v>C29</v>
      </c>
      <c r="D816" s="1708" t="s">
        <v>2133</v>
      </c>
      <c r="E816" s="1754">
        <f>IF(貸付_入力!C29="","",貸付_入力!C29)</f>
        <v>305231</v>
      </c>
      <c r="F816" s="1708" t="s">
        <v>1471</v>
      </c>
      <c r="G816" s="1709" t="str">
        <f t="shared" si="12"/>
        <v>入力済</v>
      </c>
      <c r="H816" s="1708" t="inlineStr">
        <is>
          <t>貸付_附属明細表 G61</t>
        </is>
      </c>
      <c r="I816" s="1708" t="inlineStr">
        <is>
          <t>貸付_財務諸表、貸付_附属明細表、貸付_決算精算表</t>
        </is>
      </c>
    </row>
    <row r="817" spans="1:9" ht="19.95" customHeight="1">
      <c r="A817" s="1755" t="s">
        <v>14</v>
      </c>
      <c r="B817" s="1711" t="s">
        <v>1471</v>
      </c>
      <c r="C817" s="1756" t="str">
        <f>HYPERLINK("#'貸付_入力'!C30","C30")</f>
        <v>C30</v>
      </c>
      <c r="D817" s="1711" t="s">
        <v>2134</v>
      </c>
      <c r="E817" s="1757" t="str">
        <f>IF(貸付_入力!C30="","",貸付_入力!C30)</f>
        <v/>
      </c>
      <c r="F817" s="1711" t="s">
        <v>1471</v>
      </c>
      <c r="G817" s="1709" t="str">
        <f t="shared" si="12"/>
        <v>未入力（空欄）</v>
      </c>
      <c r="H817" s="1708" t="inlineStr">
        <is>
          <t>貸付_附属明細表 G68</t>
        </is>
      </c>
      <c r="I817" s="1708" t="inlineStr">
        <is>
          <t>報告_貸付P23-25、貸付_財務諸表、貸付_附属明細表、貸付_決算精算表</t>
        </is>
      </c>
    </row>
    <row r="818" spans="1:9" ht="19.95" customHeight="1">
      <c r="A818" s="1752" t="s">
        <v>14</v>
      </c>
      <c r="B818" s="1708" t="s">
        <v>1471</v>
      </c>
      <c r="C818" s="1753" t="str">
        <f>HYPERLINK("#'貸付_入力'!C31","C31")</f>
        <v>C31</v>
      </c>
      <c r="D818" s="1708" t="s">
        <v>2135</v>
      </c>
      <c r="E818" s="1754" t="str">
        <f>IF(貸付_入力!C31="","",貸付_入力!C31)</f>
        <v/>
      </c>
      <c r="F818" s="1708" t="s">
        <v>1471</v>
      </c>
      <c r="G818" s="1709" t="str">
        <f t="shared" si="12"/>
        <v>未入力（空欄）</v>
      </c>
      <c r="H818" s="1708" t="inlineStr">
        <is>
          <t>貸付_附属明細表 G69</t>
        </is>
      </c>
      <c r="I818" s="1708" t="inlineStr">
        <is>
          <t>報告_貸付P23-25、貸付_財務諸表、貸付_附属明細表、貸付_決算精算表</t>
        </is>
      </c>
    </row>
    <row r="819" spans="1:9" ht="19.95" customHeight="1">
      <c r="A819" s="1755" t="s">
        <v>14</v>
      </c>
      <c r="B819" s="1711" t="s">
        <v>1471</v>
      </c>
      <c r="C819" s="1756" t="str">
        <f>HYPERLINK("#'貸付_入力'!C34","C34")</f>
        <v>C34</v>
      </c>
      <c r="D819" s="1711" t="s">
        <v>2136</v>
      </c>
      <c r="E819" s="1757">
        <f>IF(貸付_入力!C34="","",貸付_入力!C34)</f>
        <v>0</v>
      </c>
      <c r="F819" s="1711" t="s">
        <v>1471</v>
      </c>
      <c r="G819" s="1709" t="str">
        <f t="shared" si="12"/>
        <v>0（確認）</v>
      </c>
      <c r="H819" s="1708" t="inlineStr">
        <is>
          <t>貸付_附属明細表 G76</t>
        </is>
      </c>
      <c r="I819" s="1708" t="inlineStr">
        <is>
          <t>貸付_財務諸表、貸付_附属明細表、貸付_決算精算表</t>
        </is>
      </c>
    </row>
    <row r="820" spans="1:9" ht="19.95" customHeight="1">
      <c r="A820" s="1752" t="s">
        <v>14</v>
      </c>
      <c r="B820" s="1708" t="s">
        <v>1471</v>
      </c>
      <c r="C820" s="1753" t="str">
        <f>HYPERLINK("#'貸付_入力'!C35","C35")</f>
        <v>C35</v>
      </c>
      <c r="D820" s="1708" t="s">
        <v>2137</v>
      </c>
      <c r="E820" s="1754">
        <f>IF(貸付_入力!C35="","",貸付_入力!C35)</f>
        <v>0</v>
      </c>
      <c r="F820" s="1708" t="s">
        <v>1471</v>
      </c>
      <c r="G820" s="1709" t="str">
        <f t="shared" si="12"/>
        <v>0（確認）</v>
      </c>
      <c r="H820" s="1708" t="inlineStr">
        <is>
          <t>貸付_附属明細表 J76</t>
        </is>
      </c>
      <c r="I820" s="1708" t="inlineStr">
        <is>
          <t>貸付_財務諸表、貸付_附属明細表、貸付_決算精算表</t>
        </is>
      </c>
    </row>
    <row r="821" spans="1:9" ht="19.95" customHeight="1">
      <c r="A821" s="1755" t="s">
        <v>14</v>
      </c>
      <c r="B821" s="1711" t="s">
        <v>1471</v>
      </c>
      <c r="C821" s="1756" t="str">
        <f>HYPERLINK("#'貸付_入力'!C36","C36")</f>
        <v>C36</v>
      </c>
      <c r="D821" s="1711" t="s">
        <v>2138</v>
      </c>
      <c r="E821" s="1757">
        <f>IF(貸付_入力!C36="","",貸付_入力!C36)</f>
        <v>0</v>
      </c>
      <c r="F821" s="1711" t="s">
        <v>1471</v>
      </c>
      <c r="G821" s="1709" t="str">
        <f t="shared" si="12"/>
        <v>0（確認）</v>
      </c>
      <c r="H821" s="1708" t="inlineStr">
        <is>
          <t>貸付_附属明細表 H83</t>
        </is>
      </c>
      <c r="I821" s="1708" t="inlineStr">
        <is>
          <t>報告_貸付P23-25、貸付_財務諸表、貸付_附属明細表、貸付_決算精算表</t>
        </is>
      </c>
    </row>
    <row r="822" spans="1:9" ht="19.95" customHeight="1">
      <c r="A822" s="1752" t="s">
        <v>14</v>
      </c>
      <c r="B822" s="1708" t="s">
        <v>1471</v>
      </c>
      <c r="C822" s="1753" t="str">
        <f>HYPERLINK("#'貸付_入力'!C37","C37")</f>
        <v>C37</v>
      </c>
      <c r="D822" s="1708" t="s">
        <v>2139</v>
      </c>
      <c r="E822" s="1754">
        <f>IF(貸付_入力!C37="","",貸付_入力!C37)</f>
        <v>580545</v>
      </c>
      <c r="F822" s="1708" t="s">
        <v>1471</v>
      </c>
      <c r="G822" s="1709" t="str">
        <f t="shared" si="12"/>
        <v>入力済</v>
      </c>
      <c r="H822" s="1708" t="inlineStr">
        <is>
          <t>貸付_附属明細表 F83</t>
        </is>
      </c>
      <c r="I822" s="1708" t="inlineStr">
        <is>
          <t>貸付_附属明細表</t>
        </is>
      </c>
    </row>
    <row r="823" spans="1:9" ht="19.95" customHeight="1">
      <c r="A823" s="1755" t="s">
        <v>14</v>
      </c>
      <c r="B823" s="1711" t="s">
        <v>1471</v>
      </c>
      <c r="C823" s="1756" t="str">
        <f>HYPERLINK("#'貸付_入力'!C39","C39")</f>
        <v>C39</v>
      </c>
      <c r="D823" s="1711" t="s">
        <v>2140</v>
      </c>
      <c r="E823" s="1757">
        <f>IF(貸付_入力!C39="","",貸付_入力!C39)</f>
        <v>0</v>
      </c>
      <c r="F823" s="1711" t="s">
        <v>1471</v>
      </c>
      <c r="G823" s="1709" t="str">
        <f t="shared" si="12"/>
        <v>0（確認）</v>
      </c>
      <c r="H823" s="1708" t="inlineStr">
        <is>
          <t>貸付_附属明細表 M104</t>
        </is>
      </c>
      <c r="I823" s="1708" t="inlineStr">
        <is>
          <t>貸付_財務諸表、貸付_附属明細表</t>
        </is>
      </c>
    </row>
    <row r="824" spans="1:9" ht="19.95" customHeight="1">
      <c r="A824" s="1752" t="s">
        <v>14</v>
      </c>
      <c r="B824" s="1708" t="s">
        <v>1471</v>
      </c>
      <c r="C824" s="1753" t="str">
        <f>HYPERLINK("#'貸付_入力'!C45","C45")</f>
        <v>C45</v>
      </c>
      <c r="D824" s="1708" t="s">
        <v>2141</v>
      </c>
      <c r="E824" s="1754">
        <f>IF(貸付_入力!C45="","",貸付_入力!C45)</f>
        <v>0</v>
      </c>
      <c r="F824" s="1708" t="s">
        <v>1471</v>
      </c>
      <c r="G824" s="1709" t="str">
        <f t="shared" si="12"/>
        <v>0（確認）</v>
      </c>
      <c r="H824" s="1708" t="inlineStr">
        <is>
          <t>貸付_附属明細表 I97</t>
        </is>
      </c>
      <c r="I824" s="1708" t="inlineStr">
        <is>
          <t>貸付_附属明細表</t>
        </is>
      </c>
    </row>
    <row r="825" spans="1:9" ht="19.95" customHeight="1">
      <c r="A825" s="1755" t="s">
        <v>14</v>
      </c>
      <c r="B825" s="1711" t="s">
        <v>1471</v>
      </c>
      <c r="C825" s="1756" t="str">
        <f>HYPERLINK("#'貸付_入力'!C46","C46")</f>
        <v>C46</v>
      </c>
      <c r="D825" s="1711" t="s">
        <v>2142</v>
      </c>
      <c r="E825" s="1757" t="str">
        <f>IF(貸付_入力!C46="","",貸付_入力!C46)</f>
        <v/>
      </c>
      <c r="F825" s="1711" t="s">
        <v>1471</v>
      </c>
      <c r="G825" s="1709" t="str">
        <f t="shared" si="12"/>
        <v>未入力（空欄）</v>
      </c>
      <c r="H825" s="1708" t="inlineStr">
        <is>
          <t>貸付_附属明細表 M97</t>
        </is>
      </c>
      <c r="I825" s="1708" t="inlineStr">
        <is>
          <t>貸付_附属明細表</t>
        </is>
      </c>
    </row>
    <row r="826" spans="1:9" ht="19.95" customHeight="1">
      <c r="A826" s="1752" t="s">
        <v>14</v>
      </c>
      <c r="B826" s="1708" t="s">
        <v>1471</v>
      </c>
      <c r="C826" s="1753" t="str">
        <f>HYPERLINK("#'貸付_入力'!C48","C48")</f>
        <v>C48</v>
      </c>
      <c r="D826" s="1708" t="s">
        <v>2143</v>
      </c>
      <c r="E826" s="1754">
        <f>IF(貸付_入力!C48="","",貸付_入力!C48)</f>
        <v>7148000</v>
      </c>
      <c r="F826" s="1708" t="s">
        <v>1471</v>
      </c>
      <c r="G826" s="1709" t="str">
        <f t="shared" si="12"/>
        <v>入力済</v>
      </c>
      <c r="H826" s="1708" t="inlineStr">
        <is>
          <t>報告_貸付P23-25 P15</t>
        </is>
      </c>
      <c r="I826" s="1708" t="inlineStr">
        <is>
          <t>報告_貸付P23-25、貸付_附属明細表</t>
        </is>
      </c>
    </row>
    <row r="827" spans="1:9" ht="19.95" customHeight="1">
      <c r="A827" s="1755" t="s">
        <v>14</v>
      </c>
      <c r="B827" s="1711" t="s">
        <v>1471</v>
      </c>
      <c r="C827" s="1756" t="str">
        <f>HYPERLINK("#'貸付_入力'!C49","C49")</f>
        <v>C49</v>
      </c>
      <c r="D827" s="1711" t="s">
        <v>2144</v>
      </c>
      <c r="E827" s="1757">
        <f>IF(貸付_入力!C49="","",貸付_入力!C49)</f>
        <v>364000</v>
      </c>
      <c r="F827" s="1711" t="s">
        <v>1471</v>
      </c>
      <c r="G827" s="1709" t="str">
        <f t="shared" si="12"/>
        <v>入力済</v>
      </c>
      <c r="H827" s="1708" t="inlineStr">
        <is>
          <t>報告_貸付P23-25 P17</t>
        </is>
      </c>
      <c r="I827" s="1708" t="inlineStr">
        <is>
          <t>報告_貸付P23-25、貸付_附属明細表</t>
        </is>
      </c>
    </row>
    <row r="828" spans="1:9" ht="19.95" customHeight="1">
      <c r="A828" s="1752" t="s">
        <v>14</v>
      </c>
      <c r="B828" s="1708" t="s">
        <v>1471</v>
      </c>
      <c r="C828" s="1753" t="str">
        <f>HYPERLINK("#'貸付_入力'!C50","C50")</f>
        <v>C50</v>
      </c>
      <c r="D828" s="1708" t="s">
        <v>2145</v>
      </c>
      <c r="E828" s="1754">
        <f>IF(貸付_入力!C50="","",貸付_入力!C50)</f>
        <v>1489000</v>
      </c>
      <c r="F828" s="1708" t="s">
        <v>1471</v>
      </c>
      <c r="G828" s="1709" t="str">
        <f t="shared" si="12"/>
        <v>入力済</v>
      </c>
      <c r="H828" s="1708" t="inlineStr">
        <is>
          <t>報告_貸付P23-25 P18</t>
        </is>
      </c>
      <c r="I828" s="1708" t="inlineStr">
        <is>
          <t>報告_貸付P23-25、貸付_附属明細表</t>
        </is>
      </c>
    </row>
    <row r="829" spans="1:9" ht="19.95" customHeight="1">
      <c r="A829" s="1755" t="s">
        <v>14</v>
      </c>
      <c r="B829" s="1711" t="s">
        <v>1471</v>
      </c>
      <c r="C829" s="1756" t="str">
        <f>HYPERLINK("#'貸付_入力'!C52","C52")</f>
        <v>C52</v>
      </c>
      <c r="D829" s="1711" t="s">
        <v>128</v>
      </c>
      <c r="E829" s="1757">
        <f>IF(貸付_入力!C52="","",貸付_入力!C52)</f>
        <v>6345567</v>
      </c>
      <c r="F829" s="1711" t="s">
        <v>1471</v>
      </c>
      <c r="G829" s="1709" t="str">
        <f t="shared" si="12"/>
        <v>入力済</v>
      </c>
      <c r="H829" s="1708" t="inlineStr">
        <is>
          <t>貸付_決算精算表 C21</t>
        </is>
      </c>
      <c r="I829" s="1708" t="inlineStr">
        <is>
          <t>報告_貸付P23-25、貸付_財務諸表、貸付_附属明細表、貸付_決算精算表</t>
        </is>
      </c>
    </row>
    <row r="830" spans="1:9" ht="19.95" customHeight="1">
      <c r="A830" s="1752" t="s">
        <v>14</v>
      </c>
      <c r="B830" s="1708" t="s">
        <v>1471</v>
      </c>
      <c r="C830" s="1753" t="str">
        <f>HYPERLINK("#'貸付_入力'!C53","C53")</f>
        <v>C53</v>
      </c>
      <c r="D830" s="1708" t="s">
        <v>129</v>
      </c>
      <c r="E830" s="1754">
        <f>IF(貸付_入力!C53="","",貸付_入力!C53)</f>
        <v>23507</v>
      </c>
      <c r="F830" s="1708" t="s">
        <v>1471</v>
      </c>
      <c r="G830" s="1709" t="str">
        <f t="shared" si="12"/>
        <v>入力済</v>
      </c>
      <c r="H830" s="1708" t="inlineStr">
        <is>
          <t>貸付_決算精算表 C22</t>
        </is>
      </c>
      <c r="I830" s="1708" t="inlineStr">
        <is>
          <t>報告_貸付P23-25、貸付_財務諸表、貸付_附属明細表、貸付_決算精算表</t>
        </is>
      </c>
    </row>
    <row r="831" spans="1:9" ht="19.95" customHeight="1">
      <c r="A831" s="1755" t="s">
        <v>14</v>
      </c>
      <c r="B831" s="1711" t="s">
        <v>1471</v>
      </c>
      <c r="C831" s="1756" t="str">
        <f>HYPERLINK("#'貸付_入力'!C54","C54")</f>
        <v>C54</v>
      </c>
      <c r="D831" s="1711" t="s">
        <v>130</v>
      </c>
      <c r="E831" s="1757">
        <f>IF(貸付_入力!C54="","",貸付_入力!C54)</f>
        <v>0</v>
      </c>
      <c r="F831" s="1711" t="s">
        <v>1471</v>
      </c>
      <c r="G831" s="1709" t="str">
        <f t="shared" si="12"/>
        <v>0（確認）</v>
      </c>
      <c r="H831" s="1708" t="inlineStr">
        <is>
          <t>貸付_決算精算表 C23</t>
        </is>
      </c>
      <c r="I831" s="1708" t="inlineStr">
        <is>
          <t>報告_貸付P23-25、貸付_財務諸表、貸付_附属明細表、貸付_決算精算表</t>
        </is>
      </c>
    </row>
    <row r="832" spans="1:9" ht="19.95" customHeight="1">
      <c r="A832" s="1752" t="s">
        <v>14</v>
      </c>
      <c r="B832" s="1708" t="s">
        <v>1471</v>
      </c>
      <c r="C832" s="1753" t="str">
        <f>HYPERLINK("#'貸付_入力'!C55","C55")</f>
        <v>C55</v>
      </c>
      <c r="D832" s="1708" t="s">
        <v>131</v>
      </c>
      <c r="E832" s="1754">
        <f>IF(貸付_入力!C55="","",貸付_入力!C55)</f>
        <v>609600</v>
      </c>
      <c r="F832" s="1708" t="s">
        <v>1471</v>
      </c>
      <c r="G832" s="1709" t="str">
        <f t="shared" si="12"/>
        <v>入力済</v>
      </c>
      <c r="H832" s="1708" t="inlineStr">
        <is>
          <t>貸付_決算精算表 C24</t>
        </is>
      </c>
      <c r="I832" s="1708" t="inlineStr">
        <is>
          <t>報告_貸付P23-25、貸付_財務諸表、貸付_附属明細表、貸付_決算精算表</t>
        </is>
      </c>
    </row>
    <row r="833" spans="1:9" ht="19.95" customHeight="1">
      <c r="A833" s="1755" t="s">
        <v>14</v>
      </c>
      <c r="B833" s="1711" t="s">
        <v>1471</v>
      </c>
      <c r="C833" s="1756" t="str">
        <f>HYPERLINK("#'貸付_入力'!C56","C56")</f>
        <v>C56</v>
      </c>
      <c r="D833" s="1711" t="s">
        <v>132</v>
      </c>
      <c r="E833" s="1757">
        <f>IF(貸付_入力!C56="","",貸付_入力!C56)</f>
        <v>4019980</v>
      </c>
      <c r="F833" s="1711" t="s">
        <v>1471</v>
      </c>
      <c r="G833" s="1709" t="str">
        <f t="shared" si="12"/>
        <v>入力済</v>
      </c>
      <c r="H833" s="1708" t="inlineStr">
        <is>
          <t>貸付_決算精算表 C25</t>
        </is>
      </c>
      <c r="I833" s="1708" t="inlineStr">
        <is>
          <t>報告_貸付P23-25、貸付_財務諸表、貸付_附属明細表、貸付_決算精算表</t>
        </is>
      </c>
    </row>
    <row r="834" spans="1:9" ht="19.95" customHeight="1">
      <c r="A834" s="1752" t="s">
        <v>14</v>
      </c>
      <c r="B834" s="1708" t="s">
        <v>1471</v>
      </c>
      <c r="C834" s="1753" t="str">
        <f>HYPERLINK("#'貸付_入力'!C57","C57")</f>
        <v>C57</v>
      </c>
      <c r="D834" s="1708" t="s">
        <v>133</v>
      </c>
      <c r="E834" s="1754">
        <f>IF(貸付_入力!C57="","",貸付_入力!C57)</f>
        <v>36943</v>
      </c>
      <c r="F834" s="1708" t="s">
        <v>1471</v>
      </c>
      <c r="G834" s="1709" t="str">
        <f t="shared" si="12"/>
        <v>入力済</v>
      </c>
      <c r="H834" s="1708" t="inlineStr">
        <is>
          <t>貸付_決算精算表 C26</t>
        </is>
      </c>
      <c r="I834" s="1708" t="inlineStr">
        <is>
          <t>報告_貸付P23-25、貸付_財務諸表、貸付_附属明細表、貸付_決算精算表</t>
        </is>
      </c>
    </row>
    <row r="835" spans="1:9" ht="19.95" customHeight="1">
      <c r="A835" s="1755" t="s">
        <v>14</v>
      </c>
      <c r="B835" s="1711" t="s">
        <v>1471</v>
      </c>
      <c r="C835" s="1756" t="str">
        <f>HYPERLINK("#'貸付_入力'!C58","C58")</f>
        <v>C58</v>
      </c>
      <c r="D835" s="1711" t="s">
        <v>137</v>
      </c>
      <c r="E835" s="1757">
        <f>IF(貸付_入力!C58="","",貸付_入力!C58)</f>
        <v>821414</v>
      </c>
      <c r="F835" s="1711" t="s">
        <v>1471</v>
      </c>
      <c r="G835" s="1709" t="str">
        <f t="shared" si="12"/>
        <v>入力済</v>
      </c>
      <c r="H835" s="1708" t="inlineStr">
        <is>
          <t>貸付_決算精算表 C27</t>
        </is>
      </c>
      <c r="I835" s="1708" t="inlineStr">
        <is>
          <t>報告_貸付P23-25、貸付_財務諸表、貸付_附属明細表、貸付_決算精算表</t>
        </is>
      </c>
    </row>
    <row r="836" spans="1:9" ht="19.95" customHeight="1">
      <c r="A836" s="1752" t="s">
        <v>14</v>
      </c>
      <c r="B836" s="1708" t="s">
        <v>1471</v>
      </c>
      <c r="C836" s="1753" t="str">
        <f>HYPERLINK("#'貸付_入力'!C59","C59")</f>
        <v>C59</v>
      </c>
      <c r="D836" s="1708" t="s">
        <v>138</v>
      </c>
      <c r="E836" s="1754">
        <f>IF(貸付_入力!C59="","",貸付_入力!C59)</f>
        <v>323822</v>
      </c>
      <c r="F836" s="1708" t="s">
        <v>1471</v>
      </c>
      <c r="G836" s="1709" t="str">
        <f t="shared" si="12"/>
        <v>入力済</v>
      </c>
      <c r="H836" s="1708" t="inlineStr">
        <is>
          <t>貸付_決算精算表 C28</t>
        </is>
      </c>
      <c r="I836" s="1708" t="inlineStr">
        <is>
          <t>報告_貸付P23-25、貸付_財務諸表、貸付_附属明細表、貸付_決算精算表</t>
        </is>
      </c>
    </row>
    <row r="837" spans="1:9" ht="19.95" customHeight="1">
      <c r="A837" s="1755" t="s">
        <v>14</v>
      </c>
      <c r="B837" s="1711" t="s">
        <v>1471</v>
      </c>
      <c r="C837" s="1756" t="str">
        <f>HYPERLINK("#'貸付_入力'!C60","C60")</f>
        <v>C60</v>
      </c>
      <c r="D837" s="1711" t="s">
        <v>125</v>
      </c>
      <c r="E837" s="1757">
        <f>IF(貸付_入力!C60="","",貸付_入力!C60)</f>
        <v>1825629</v>
      </c>
      <c r="F837" s="1711" t="s">
        <v>1471</v>
      </c>
      <c r="G837" s="1709" t="str">
        <f t="shared" si="12"/>
        <v>入力済</v>
      </c>
      <c r="H837" s="1708" t="inlineStr">
        <is>
          <t>貸付_決算精算表 C29</t>
        </is>
      </c>
      <c r="I837" s="1708" t="inlineStr">
        <is>
          <t>報告_貸付P23-25、貸付_財務諸表、貸付_附属明細表、貸付_決算精算表</t>
        </is>
      </c>
    </row>
    <row r="838" spans="1:9" ht="19.95" customHeight="1">
      <c r="A838" s="1752" t="s">
        <v>14</v>
      </c>
      <c r="B838" s="1708" t="s">
        <v>1471</v>
      </c>
      <c r="C838" s="1753" t="str">
        <f>HYPERLINK("#'貸付_入力'!C61","C61")</f>
        <v>C61</v>
      </c>
      <c r="D838" s="1708" t="s">
        <v>174</v>
      </c>
      <c r="E838" s="1754">
        <f>IF(貸付_入力!C61="","",貸付_入力!C61)</f>
        <v>112191</v>
      </c>
      <c r="F838" s="1708" t="s">
        <v>1471</v>
      </c>
      <c r="G838" s="1709" t="str">
        <f t="shared" si="12"/>
        <v>入力済</v>
      </c>
      <c r="H838" s="1708" t="inlineStr">
        <is>
          <t>貸付_決算精算表 C30</t>
        </is>
      </c>
      <c r="I838" s="1708" t="inlineStr">
        <is>
          <t>報告_貸付P23-25、貸付_財務諸表、貸付_附属明細表、貸付_決算精算表</t>
        </is>
      </c>
    </row>
    <row r="839" spans="1:9" ht="19.95" customHeight="1">
      <c r="A839" s="1755" t="s">
        <v>14</v>
      </c>
      <c r="B839" s="1711" t="s">
        <v>1471</v>
      </c>
      <c r="C839" s="1756" t="str">
        <f>HYPERLINK("#'貸付_入力'!C62","C62")</f>
        <v>C62</v>
      </c>
      <c r="D839" s="1711" t="s">
        <v>143</v>
      </c>
      <c r="E839" s="1757" t="str">
        <f>IF(貸付_入力!C62="","",貸付_入力!C62)</f>
        <v/>
      </c>
      <c r="F839" s="1711" t="s">
        <v>1471</v>
      </c>
      <c r="G839" s="1709" t="str">
        <f t="shared" si="12"/>
        <v>未入力（空欄）</v>
      </c>
      <c r="H839" s="1708" t="inlineStr">
        <is>
          <t>貸付_決算精算表 C32</t>
        </is>
      </c>
      <c r="I839" s="1708" t="inlineStr">
        <is>
          <t>報告_貸付P23-25、貸付_財務諸表、貸付_附属明細表、貸付_決算精算表</t>
        </is>
      </c>
    </row>
    <row r="840" spans="1:9" ht="19.95" customHeight="1">
      <c r="A840" s="1752" t="s">
        <v>14</v>
      </c>
      <c r="B840" s="1708" t="s">
        <v>1471</v>
      </c>
      <c r="C840" s="1753" t="str">
        <f>HYPERLINK("#'貸付_入力'!C64","C64")</f>
        <v>C64</v>
      </c>
      <c r="D840" s="1708" t="s">
        <v>1219</v>
      </c>
      <c r="E840" s="1754">
        <f>IF(貸付_入力!C64="","",貸付_入力!C64)</f>
        <v>10740211</v>
      </c>
      <c r="F840" s="1708" t="s">
        <v>1471</v>
      </c>
      <c r="G840" s="1709" t="str">
        <f t="shared" si="12"/>
        <v>入力済</v>
      </c>
      <c r="H840" s="1708" t="inlineStr">
        <is>
          <t>貸付_決算精算表 E34</t>
        </is>
      </c>
      <c r="I840" s="1708" t="inlineStr">
        <is>
          <t>報告_貸付P23-25、貸付_財務諸表、貸付_附属明細表、貸付_決算精算表</t>
        </is>
      </c>
    </row>
    <row r="841" spans="1:9" ht="19.95" customHeight="1">
      <c r="A841" s="1755" t="s">
        <v>14</v>
      </c>
      <c r="B841" s="1711" t="s">
        <v>1471</v>
      </c>
      <c r="C841" s="1756" t="str">
        <f>HYPERLINK("#'貸付_入力'!C65","C65")</f>
        <v>C65</v>
      </c>
      <c r="D841" s="1711" t="s">
        <v>38</v>
      </c>
      <c r="E841" s="1757">
        <f>IF(貸付_入力!C65="","",貸付_入力!C65)</f>
        <v>42000</v>
      </c>
      <c r="F841" s="1711" t="s">
        <v>1471</v>
      </c>
      <c r="G841" s="1709" t="str">
        <f t="shared" si="12"/>
        <v>入力済</v>
      </c>
      <c r="H841" s="1708" t="inlineStr">
        <is>
          <t>貸付_決算精算表 E35</t>
        </is>
      </c>
      <c r="I841" s="1708" t="inlineStr">
        <is>
          <t>報告_貸付P23-25、貸付_財務諸表、貸付_附属明細表、貸付_決算精算表</t>
        </is>
      </c>
    </row>
    <row r="842" spans="1:9" ht="19.95" customHeight="1">
      <c r="A842" s="1752" t="s">
        <v>14</v>
      </c>
      <c r="B842" s="1708" t="s">
        <v>1471</v>
      </c>
      <c r="C842" s="1753" t="str">
        <f>HYPERLINK("#'貸付_入力'!C66","C66")</f>
        <v>C66</v>
      </c>
      <c r="D842" s="1708" t="s">
        <v>106</v>
      </c>
      <c r="E842" s="1754" t="str">
        <f>IF(貸付_入力!C66="","",貸付_入力!C66)</f>
        <v/>
      </c>
      <c r="F842" s="1708" t="s">
        <v>1471</v>
      </c>
      <c r="G842" s="1709" t="str">
        <f t="shared" si="12"/>
        <v>未入力（空欄）</v>
      </c>
      <c r="H842" s="1708" t="inlineStr">
        <is>
          <t>貸付_決算精算表 E36</t>
        </is>
      </c>
      <c r="I842" s="1708" t="inlineStr">
        <is>
          <t>報告_貸付P23-25、貸付_財務諸表、貸付_附属明細表、貸付_決算精算表</t>
        </is>
      </c>
    </row>
    <row r="843" spans="1:7" ht="19.95" customHeight="1">
      <c r="A843" s="1755" t="s">
        <v>2146</v>
      </c>
      <c r="B843" s="1711" t="s">
        <v>1480</v>
      </c>
      <c r="C843" s="1756" t="str">
        <f>HYPERLINK("#'前年度貼付'!E8","E8:E332")</f>
        <v>E8:E332</v>
      </c>
      <c r="D843" s="1711" t="s">
        <v>2147</v>
      </c>
      <c r="E843" s="1757">
        <f>325-COUNTBLANK(前年度貼付!E8:E332)</f>
        <v>325</v>
      </c>
      <c r="F843" s="1711" t="s">
        <v>1480</v>
      </c>
      <c r="G843" s="1709" t="str">
        <f>IF(COUNTBLANK(前年度貼付!E8:E332)=0,"貼付済（325件）","未貼付あり")</f>
        <v>貼付済（325件）</v>
      </c>
    </row>
  </sheetData>
  <sheetProtection formatCells="0" formatColumns="0" formatRows="0" insertColumns="0" insertRows="0" insertHyperlinks="0" deleteColumns="0" deleteRows="0" selectLockedCells="1"/>
  <autoFilter ref="A5:I843" xr:uid="{00000000-0009-0000-0000-000001000000}"/>
  <mergeCells count="5">
    <mergeCell ref="A2:F2"/>
    <mergeCell ref="E4:F4"/>
    <mergeCell ref="A1:G1"/>
    <mergeCell ref="A3:G3"/>
    <mergeCell ref="C4:D4"/>
  </mergeCells>
  <phoneticPr fontId="155"/>
  <conditionalFormatting sqref="G6:G843">
    <cfRule type="cellIs" dxfId="3" priority="1" stopIfTrue="1" operator="equal">
      <formula>"未入力（空欄）"</formula>
    </cfRule>
    <cfRule type="cellIs" dxfId="2" priority="2" stopIfTrue="1" operator="equal">
      <formula>"0（確認）"</formula>
    </cfRule>
  </conditionalFormatting>
  <pageMargins left="0.5" right="0.5" top="0.6" bottom="0.6" header="0.3" footer="0.3"/>
  <pageSetup paperSize="9"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E16B9-E437-4BDB-9A32-7F5B30EDF247}">
  <sheetPr codeName="Sheet52">
    <pageSetUpPr fitToPage="1"/>
  </sheetPr>
  <dimension ref="A1:G332"/>
  <sheetViews>
    <sheetView zoomScaleNormal="100" workbookViewId="0">
      <pane ySplit="7" topLeftCell="A18" activePane="bottomLeft" state="frozen"/>
      <selection sqref="A1:G1"/>
      <selection pane="bottomLeft" sqref="A1:G1"/>
    </sheetView>
  </sheetViews>
  <sheetFormatPr defaultRowHeight="13.2"/>
  <cols>
    <col min="1" max="1" width="7" style="1698" customWidth="1"/>
    <col min="2" max="2" width="22" style="1698" customWidth="1"/>
    <col min="3" max="3" width="48" style="1698" customWidth="1"/>
    <col min="4" max="4" width="28" style="1698" customWidth="1"/>
    <col min="5" max="6" width="22" style="1698" customWidth="1"/>
    <col min="7" max="7" width="28" style="1698" customWidth="1"/>
  </cols>
  <sheetData>
    <row r="1" spans="1:7" ht="30" customHeight="1">
      <c r="A1" s="1813" t="s">
        <v>2148</v>
      </c>
      <c r="B1" s="1813"/>
      <c r="C1" s="1813"/>
      <c r="D1" s="1813"/>
      <c r="E1" s="1813"/>
      <c r="F1" s="1813"/>
      <c r="G1" s="1813"/>
    </row>
    <row r="2" spans="1:7" ht="21" customHeight="1">
      <c r="A2" s="1817" t="s">
        <v>2149</v>
      </c>
      <c r="B2" s="1817"/>
      <c r="C2" s="1817"/>
      <c r="D2" s="1817"/>
      <c r="E2" s="1817"/>
      <c r="F2" s="1817"/>
      <c r="G2" s="1817"/>
    </row>
    <row r="3" spans="1:7" ht="21" customHeight="1">
      <c r="A3" s="1814" t="s">
        <v>2150</v>
      </c>
      <c r="B3" s="1814"/>
      <c r="C3" s="1814"/>
      <c r="D3" s="1814"/>
      <c r="E3" s="1814"/>
      <c r="F3" s="1814"/>
      <c r="G3" s="1814"/>
    </row>
    <row r="4" spans="1:7" ht="21" customHeight="1">
      <c r="A4" s="1815" t="s">
        <v>2151</v>
      </c>
      <c r="B4" s="1815"/>
      <c r="C4" s="1815"/>
      <c r="D4" s="1815"/>
      <c r="E4" s="1815"/>
      <c r="F4" s="1815"/>
      <c r="G4" s="1815"/>
    </row>
    <row r="5" spans="1:7" ht="21" customHeight="1">
      <c r="A5" s="1809" t="s">
        <v>2152</v>
      </c>
      <c r="B5" s="1809"/>
      <c r="C5" s="1809"/>
      <c r="D5" s="1809"/>
      <c r="E5" s="1809"/>
      <c r="F5" s="1809"/>
      <c r="G5" s="1809"/>
    </row>
    <row r="6" spans="1:7" ht="24" customHeight="1">
      <c r="A6" s="1816" t="str">
        <f>IF(COUNTBLANK(E8:E332)=0,"貼付状況：全 325 項目 入力済み（空欄 0 件）","【要確認】E列の貼付欄に空欄が "&amp;COUNTBLANK(E8:E332)&amp;" 件あります")</f>
        <v>貼付状況：全 325 項目 入力済み（空欄 0 件）</v>
      </c>
      <c r="B6" s="1816"/>
      <c r="C6" s="1816"/>
      <c r="D6" s="1816"/>
      <c r="E6" s="1816"/>
      <c r="F6" s="1816"/>
      <c r="G6" s="1710" t="str">
        <f>HYPERLINK("#'入力ガイド'!A1","入力ガイドへ戻る")</f>
        <v>入力ガイドへ戻る</v>
      </c>
    </row>
    <row r="7" spans="1:7" ht="30" customHeight="1">
      <c r="A7" s="1758" t="s">
        <v>1451</v>
      </c>
      <c r="B7" s="1758" t="s">
        <v>1323</v>
      </c>
      <c r="C7" s="1758" t="s">
        <v>2153</v>
      </c>
      <c r="D7" s="1758" t="s">
        <v>2154</v>
      </c>
      <c r="E7" s="1759" t="s">
        <v>2155</v>
      </c>
      <c r="F7" s="1760" t="s">
        <v>2156</v>
      </c>
      <c r="G7" s="1758" t="s">
        <v>2157</v>
      </c>
    </row>
    <row r="8" spans="1:7" ht="19.95" customHeight="1">
      <c r="A8" s="1712">
        <v>1</v>
      </c>
      <c r="B8" s="1752" t="s">
        <v>2158</v>
      </c>
      <c r="C8" s="1708" t="s">
        <v>2159</v>
      </c>
      <c r="D8" s="1727" t="str">
        <f>HYPERLINK("#'報告_総括P3-5'!AL17","'報告_総括P3-5'!AL17")</f>
        <v>'報告_総括P3-5'!AL17</v>
      </c>
      <c r="E8" s="1761">
        <v>11581</v>
      </c>
      <c r="F8" s="1762">
        <f>N('報告_総括P3-5'!V17)</f>
        <v>11647</v>
      </c>
      <c r="G8" s="1763" t="s">
        <v>2160</v>
      </c>
    </row>
    <row r="9" spans="1:7" ht="19.95" customHeight="1">
      <c r="A9" s="1716">
        <v>2</v>
      </c>
      <c r="B9" s="1755" t="s">
        <v>2158</v>
      </c>
      <c r="C9" s="1711" t="s">
        <v>2161</v>
      </c>
      <c r="D9" s="1730" t="str">
        <f>HYPERLINK("#'報告_総括P3-5'!AL19","'報告_総括P3-5'!AL19")</f>
        <v>'報告_総括P3-5'!AL19</v>
      </c>
      <c r="E9" s="1761">
        <v>5943</v>
      </c>
      <c r="F9" s="1762">
        <f>N('報告_総括P3-5'!V19)</f>
        <v>6019</v>
      </c>
      <c r="G9" s="1764" t="s">
        <v>2162</v>
      </c>
    </row>
    <row r="10" spans="1:7" ht="19.95" customHeight="1">
      <c r="A10" s="1712">
        <v>3</v>
      </c>
      <c r="B10" s="1752" t="s">
        <v>2158</v>
      </c>
      <c r="C10" s="1708" t="s">
        <v>2163</v>
      </c>
      <c r="D10" s="1727" t="str">
        <f>HYPERLINK("#'報告_総括P3-5'!AL20","'報告_総括P3-5'!AL20")</f>
        <v>'報告_総括P3-5'!AL20</v>
      </c>
      <c r="E10" s="1761">
        <v>1</v>
      </c>
      <c r="F10" s="1762">
        <f>N('報告_総括P3-5'!V20)</f>
        <v>1</v>
      </c>
      <c r="G10" s="1763" t="s">
        <v>2164</v>
      </c>
    </row>
    <row r="11" spans="1:7" ht="19.95" customHeight="1">
      <c r="A11" s="1716">
        <v>4</v>
      </c>
      <c r="B11" s="1755" t="s">
        <v>2158</v>
      </c>
      <c r="C11" s="1711" t="s">
        <v>2165</v>
      </c>
      <c r="D11" s="1730" t="str">
        <f>HYPERLINK("#'報告_総括P3-5'!AL21","'報告_総括P3-5'!AL21")</f>
        <v>'報告_総括P3-5'!AL21</v>
      </c>
      <c r="E11" s="1761">
        <v>1276</v>
      </c>
      <c r="F11" s="1762">
        <f>N('報告_総括P3-5'!V21)</f>
        <v>1275</v>
      </c>
      <c r="G11" s="1764" t="s">
        <v>2166</v>
      </c>
    </row>
    <row r="12" spans="1:7" ht="19.95" customHeight="1">
      <c r="A12" s="1712">
        <v>5</v>
      </c>
      <c r="B12" s="1752" t="s">
        <v>2158</v>
      </c>
      <c r="C12" s="1708" t="s">
        <v>2167</v>
      </c>
      <c r="D12" s="1727" t="str">
        <f>HYPERLINK("#'報告_総括P3-5'!AL22","'報告_総括P3-5'!AL22")</f>
        <v>'報告_総括P3-5'!AL22</v>
      </c>
      <c r="E12" s="1761">
        <v>26</v>
      </c>
      <c r="F12" s="1762">
        <f>N('報告_総括P3-5'!V22)</f>
        <v>28</v>
      </c>
      <c r="G12" s="1763" t="s">
        <v>2168</v>
      </c>
    </row>
    <row r="13" spans="1:7" ht="19.95" customHeight="1">
      <c r="A13" s="1716">
        <v>6</v>
      </c>
      <c r="B13" s="1755" t="s">
        <v>2158</v>
      </c>
      <c r="C13" s="1711" t="s">
        <v>2169</v>
      </c>
      <c r="D13" s="1730" t="str">
        <f>HYPERLINK("#'報告_総括P3-5'!AL23","'報告_総括P3-5'!AL23")</f>
        <v>'報告_総括P3-5'!AL23</v>
      </c>
      <c r="E13" s="1761">
        <v>5</v>
      </c>
      <c r="F13" s="1762">
        <f>N('報告_総括P3-5'!V23)</f>
        <v>3</v>
      </c>
      <c r="G13" s="1764" t="s">
        <v>2170</v>
      </c>
    </row>
    <row r="14" spans="1:7" ht="19.95" customHeight="1">
      <c r="A14" s="1712">
        <v>7</v>
      </c>
      <c r="B14" s="1752" t="s">
        <v>2158</v>
      </c>
      <c r="C14" s="1708" t="s">
        <v>2171</v>
      </c>
      <c r="D14" s="1727" t="str">
        <f>HYPERLINK("#'報告_総括P3-5'!AL26","'報告_総括P3-5'!AL26")</f>
        <v>'報告_総括P3-5'!AL26</v>
      </c>
      <c r="E14" s="1761">
        <v>310</v>
      </c>
      <c r="F14" s="1762">
        <f>N('報告_総括P3-5'!V26)</f>
        <v>328</v>
      </c>
      <c r="G14" s="1763" t="s">
        <v>2172</v>
      </c>
    </row>
    <row r="15" spans="1:7" ht="19.95" customHeight="1">
      <c r="A15" s="1716">
        <v>8</v>
      </c>
      <c r="B15" s="1755" t="s">
        <v>2158</v>
      </c>
      <c r="C15" s="1711" t="s">
        <v>2173</v>
      </c>
      <c r="D15" s="1730" t="str">
        <f>HYPERLINK("#'報告_総括P3-5'!AO18","'報告_総括P3-5'!AO18")</f>
        <v>'報告_総括P3-5'!AO18</v>
      </c>
      <c r="E15" s="1761">
        <v>7</v>
      </c>
      <c r="F15" s="1762">
        <f>N('報告_総括P3-5'!Y18)</f>
        <v>7</v>
      </c>
      <c r="G15" s="1764" t="s">
        <v>2174</v>
      </c>
    </row>
    <row r="16" spans="1:7" ht="19.95" customHeight="1">
      <c r="A16" s="1712">
        <v>9</v>
      </c>
      <c r="B16" s="1752" t="s">
        <v>2158</v>
      </c>
      <c r="C16" s="1708" t="s">
        <v>2175</v>
      </c>
      <c r="D16" s="1727" t="str">
        <f>HYPERLINK("#'報告_総括P3-5'!AO24","'報告_総括P3-5'!AO24")</f>
        <v>'報告_総括P3-5'!AO24</v>
      </c>
      <c r="E16" s="1761">
        <v>5</v>
      </c>
      <c r="F16" s="1762">
        <f>N('報告_総括P3-5'!Y24)</f>
        <v>3</v>
      </c>
      <c r="G16" s="1763" t="s">
        <v>2176</v>
      </c>
    </row>
    <row r="17" spans="1:7" ht="19.95" customHeight="1">
      <c r="A17" s="1716">
        <v>10</v>
      </c>
      <c r="B17" s="1755" t="s">
        <v>2158</v>
      </c>
      <c r="C17" s="1711" t="s">
        <v>2177</v>
      </c>
      <c r="D17" s="1730" t="str">
        <f>HYPERLINK("#'報告_総括P3-5'!AN37","'報告_総括P3-5'!AN37")</f>
        <v>'報告_総括P3-5'!AN37</v>
      </c>
      <c r="E17" s="1761">
        <v>4868580</v>
      </c>
      <c r="F17" s="1762">
        <f>N('報告_総括P3-5'!T37)</f>
        <v>5026190</v>
      </c>
      <c r="G17" s="1764" t="s">
        <v>2178</v>
      </c>
    </row>
    <row r="18" spans="1:7" ht="19.95" customHeight="1">
      <c r="A18" s="1712">
        <v>11</v>
      </c>
      <c r="B18" s="1752" t="s">
        <v>2158</v>
      </c>
      <c r="C18" s="1708" t="s">
        <v>2179</v>
      </c>
      <c r="D18" s="1727" t="str">
        <f>HYPERLINK("#'報告_総括P3-5'!AN38","'報告_総括P3-5'!AN38")</f>
        <v>'報告_総括P3-5'!AN38</v>
      </c>
      <c r="E18" s="1761">
        <v>4550</v>
      </c>
      <c r="F18" s="1762">
        <f>N('報告_総括P3-5'!T38)</f>
        <v>4520</v>
      </c>
      <c r="G18" s="1763" t="s">
        <v>2180</v>
      </c>
    </row>
    <row r="19" spans="1:7" ht="19.95" customHeight="1">
      <c r="A19" s="1716">
        <v>12</v>
      </c>
      <c r="B19" s="1755" t="s">
        <v>2158</v>
      </c>
      <c r="C19" s="1711" t="s">
        <v>2181</v>
      </c>
      <c r="D19" s="1730" t="str">
        <f>HYPERLINK("#'報告_総括P3-5'!AN39","'報告_総括P3-5'!AN39")</f>
        <v>'報告_総括P3-5'!AN39</v>
      </c>
      <c r="E19" s="1761">
        <v>5107020</v>
      </c>
      <c r="F19" s="1762">
        <f>N('報告_総括P3-5'!T39)</f>
        <v>5267530</v>
      </c>
      <c r="G19" s="1764" t="s">
        <v>2182</v>
      </c>
    </row>
    <row r="20" spans="1:7" ht="19.95" customHeight="1">
      <c r="A20" s="1712">
        <v>13</v>
      </c>
      <c r="B20" s="1752" t="s">
        <v>2158</v>
      </c>
      <c r="C20" s="1708" t="s">
        <v>2183</v>
      </c>
      <c r="D20" s="1727" t="str">
        <f>HYPERLINK("#'報告_総括P3-5'!AN40","'報告_総括P3-5'!AN40")</f>
        <v>'報告_総括P3-5'!AN40</v>
      </c>
      <c r="E20" s="1761">
        <v>6390</v>
      </c>
      <c r="F20" s="1762">
        <f>N('報告_総括P3-5'!T40)</f>
        <v>6260</v>
      </c>
      <c r="G20" s="1763" t="s">
        <v>2184</v>
      </c>
    </row>
    <row r="21" spans="1:7" ht="19.95" customHeight="1">
      <c r="A21" s="1716">
        <v>14</v>
      </c>
      <c r="B21" s="1755" t="s">
        <v>2158</v>
      </c>
      <c r="C21" s="1711" t="s">
        <v>2185</v>
      </c>
      <c r="D21" s="1730" t="str">
        <f>HYPERLINK("#'報告_総括P3-5'!AN41","'報告_総括P3-5'!AN41")</f>
        <v>'報告_総括P3-5'!AN41</v>
      </c>
      <c r="E21" s="1761">
        <v>1042860</v>
      </c>
      <c r="F21" s="1762">
        <f>N('報告_総括P3-5'!T41)</f>
        <v>1148376</v>
      </c>
      <c r="G21" s="1764" t="s">
        <v>2186</v>
      </c>
    </row>
    <row r="22" spans="1:7" ht="19.95" customHeight="1">
      <c r="A22" s="1712">
        <v>15</v>
      </c>
      <c r="B22" s="1752" t="s">
        <v>2158</v>
      </c>
      <c r="C22" s="1708" t="s">
        <v>2187</v>
      </c>
      <c r="D22" s="1727" t="str">
        <f>HYPERLINK("#'報告_総括P3-5'!AN42","'報告_総括P3-5'!AN42")</f>
        <v>'報告_総括P3-5'!AN42</v>
      </c>
      <c r="E22" s="1761">
        <v>650</v>
      </c>
      <c r="F22" s="1762">
        <f>N('報告_総括P3-5'!T42)</f>
        <v>650</v>
      </c>
      <c r="G22" s="1763" t="s">
        <v>2188</v>
      </c>
    </row>
    <row r="23" spans="1:7" ht="19.95" customHeight="1">
      <c r="A23" s="1716">
        <v>16</v>
      </c>
      <c r="B23" s="1755" t="s">
        <v>2158</v>
      </c>
      <c r="C23" s="1711" t="s">
        <v>2189</v>
      </c>
      <c r="D23" s="1730" t="str">
        <f>HYPERLINK("#'報告_総括P3-5'!AN43","'報告_総括P3-5'!AN43")</f>
        <v>'報告_総括P3-5'!AN43</v>
      </c>
      <c r="E23" s="1761">
        <v>1330</v>
      </c>
      <c r="F23" s="1762">
        <f>N('報告_総括P3-5'!T43)</f>
        <v>1330</v>
      </c>
      <c r="G23" s="1764" t="s">
        <v>2190</v>
      </c>
    </row>
    <row r="24" spans="1:7" ht="19.95" customHeight="1">
      <c r="A24" s="1712">
        <v>17</v>
      </c>
      <c r="B24" s="1752" t="s">
        <v>2158</v>
      </c>
      <c r="C24" s="1708" t="s">
        <v>2191</v>
      </c>
      <c r="D24" s="1727" t="str">
        <f>HYPERLINK("#'報告_総括P3-5'!AN44","'報告_総括P3-5'!AN44")</f>
        <v>'報告_総括P3-5'!AN44</v>
      </c>
      <c r="E24" s="1761">
        <v>548680</v>
      </c>
      <c r="F24" s="1762">
        <f>N('報告_総括P3-5'!T44)</f>
        <v>565600</v>
      </c>
      <c r="G24" s="1763" t="s">
        <v>2192</v>
      </c>
    </row>
    <row r="25" spans="1:7" ht="19.95" customHeight="1">
      <c r="A25" s="1716">
        <v>18</v>
      </c>
      <c r="B25" s="1755" t="s">
        <v>2158</v>
      </c>
      <c r="C25" s="1711" t="s">
        <v>2193</v>
      </c>
      <c r="D25" s="1730" t="str">
        <f>HYPERLINK("#'報告_総括P3-5'!AN45","'報告_総括P3-5'!AN45")</f>
        <v>'報告_総括P3-5'!AN45</v>
      </c>
      <c r="E25" s="1761">
        <v>549030</v>
      </c>
      <c r="F25" s="1762">
        <f>N('報告_総括P3-5'!T45)</f>
        <v>566180</v>
      </c>
      <c r="G25" s="1764" t="s">
        <v>2194</v>
      </c>
    </row>
    <row r="26" spans="1:7" ht="19.95" customHeight="1">
      <c r="A26" s="1712">
        <v>19</v>
      </c>
      <c r="B26" s="1752" t="s">
        <v>2158</v>
      </c>
      <c r="C26" s="1708" t="s">
        <v>2195</v>
      </c>
      <c r="D26" s="1727" t="str">
        <f>HYPERLINK("#'報告_総括P3-5'!AN46","'報告_総括P3-5'!AN46")</f>
        <v>'報告_総括P3-5'!AN46</v>
      </c>
      <c r="E26" s="1761">
        <v>4108</v>
      </c>
      <c r="F26" s="1762">
        <f>N('報告_総括P3-5'!T46)</f>
        <v>4660</v>
      </c>
      <c r="G26" s="1763" t="s">
        <v>2196</v>
      </c>
    </row>
    <row r="27" spans="1:7" ht="19.95" customHeight="1">
      <c r="A27" s="1716">
        <v>20</v>
      </c>
      <c r="B27" s="1755" t="s">
        <v>2158</v>
      </c>
      <c r="C27" s="1711" t="s">
        <v>2197</v>
      </c>
      <c r="D27" s="1730" t="str">
        <f>HYPERLINK("#'報告_総括P3-5'!AN47","'報告_総括P3-5'!AN47")</f>
        <v>'報告_総括P3-5'!AN47</v>
      </c>
      <c r="E27" s="1761">
        <v>2680</v>
      </c>
      <c r="F27" s="1762">
        <f>N('報告_総括P3-5'!T47)</f>
        <v>1680</v>
      </c>
      <c r="G27" s="1764" t="s">
        <v>2198</v>
      </c>
    </row>
    <row r="28" spans="1:7" ht="19.95" customHeight="1">
      <c r="A28" s="1712">
        <v>21</v>
      </c>
      <c r="B28" s="1752" t="s">
        <v>2158</v>
      </c>
      <c r="C28" s="1708" t="s">
        <v>2199</v>
      </c>
      <c r="D28" s="1727" t="str">
        <f>HYPERLINK("#'報告_総括P3-5'!AN51","'報告_総括P3-5'!AN51")</f>
        <v>'報告_総括P3-5'!AN51</v>
      </c>
      <c r="E28" s="1761">
        <v>73642</v>
      </c>
      <c r="F28" s="1762">
        <f>N('報告_総括P3-5'!T51)</f>
        <v>75830</v>
      </c>
      <c r="G28" s="1763" t="s">
        <v>2200</v>
      </c>
    </row>
    <row r="29" spans="1:7" ht="19.95" customHeight="1">
      <c r="A29" s="1716">
        <v>22</v>
      </c>
      <c r="B29" s="1755" t="s">
        <v>2158</v>
      </c>
      <c r="C29" s="1711" t="s">
        <v>2201</v>
      </c>
      <c r="D29" s="1730" t="str">
        <f>HYPERLINK("#'報告_総括P3-5'!AL65","'報告_総括P3-5'!AL65")</f>
        <v>'報告_総括P3-5'!AL65</v>
      </c>
      <c r="E29" s="1761">
        <v>18754006</v>
      </c>
      <c r="F29" s="1762">
        <f>N('報告_総括P3-5'!U65)</f>
        <v>19591421</v>
      </c>
      <c r="G29" s="1764" t="s">
        <v>2202</v>
      </c>
    </row>
    <row r="30" spans="1:7" ht="19.95" customHeight="1">
      <c r="A30" s="1712">
        <v>23</v>
      </c>
      <c r="B30" s="1752" t="s">
        <v>2158</v>
      </c>
      <c r="C30" s="1708" t="s">
        <v>2203</v>
      </c>
      <c r="D30" s="1727" t="str">
        <f>HYPERLINK("#'報告_総括P3-5'!AL66","'報告_総括P3-5'!AL66")</f>
        <v>'報告_総括P3-5'!AL66</v>
      </c>
      <c r="E30" s="1761">
        <v>23271</v>
      </c>
      <c r="F30" s="1762">
        <f>N('報告_総括P3-5'!U66)</f>
        <v>22831</v>
      </c>
      <c r="G30" s="1763" t="s">
        <v>2204</v>
      </c>
    </row>
    <row r="31" spans="1:7" ht="19.95" customHeight="1">
      <c r="A31" s="1716">
        <v>24</v>
      </c>
      <c r="B31" s="1755" t="s">
        <v>2158</v>
      </c>
      <c r="C31" s="1711" t="s">
        <v>2205</v>
      </c>
      <c r="D31" s="1730" t="str">
        <f>HYPERLINK("#'報告_総括P3-5'!AL67","'報告_総括P3-5'!AL67")</f>
        <v>'報告_総括P3-5'!AL67</v>
      </c>
      <c r="E31" s="1761">
        <v>18803852</v>
      </c>
      <c r="F31" s="1762">
        <f>N('報告_総括P3-5'!U67)</f>
        <v>19673117</v>
      </c>
      <c r="G31" s="1764" t="s">
        <v>2206</v>
      </c>
    </row>
    <row r="32" spans="1:7" ht="19.95" customHeight="1">
      <c r="A32" s="1712">
        <v>25</v>
      </c>
      <c r="B32" s="1752" t="s">
        <v>2158</v>
      </c>
      <c r="C32" s="1708" t="s">
        <v>2207</v>
      </c>
      <c r="D32" s="1727" t="str">
        <f>HYPERLINK("#'報告_総括P3-5'!AL68","'報告_総括P3-5'!AL68")</f>
        <v>'報告_総括P3-5'!AL68</v>
      </c>
      <c r="E32" s="1761">
        <v>31625</v>
      </c>
      <c r="F32" s="1762">
        <f>N('報告_総括P3-5'!U68)</f>
        <v>30569</v>
      </c>
      <c r="G32" s="1763" t="s">
        <v>2208</v>
      </c>
    </row>
    <row r="33" spans="1:7" ht="19.95" customHeight="1">
      <c r="A33" s="1716">
        <v>26</v>
      </c>
      <c r="B33" s="1755" t="s">
        <v>2158</v>
      </c>
      <c r="C33" s="1711" t="s">
        <v>2209</v>
      </c>
      <c r="D33" s="1730" t="str">
        <f>HYPERLINK("#'報告_総括P3-5'!AL69","'報告_総括P3-5'!AL69")</f>
        <v>'報告_総括P3-5'!AL69</v>
      </c>
      <c r="E33" s="1761">
        <v>3677284</v>
      </c>
      <c r="F33" s="1762">
        <f>N('報告_総括P3-5'!U69)</f>
        <v>4067808</v>
      </c>
      <c r="G33" s="1764" t="s">
        <v>2210</v>
      </c>
    </row>
    <row r="34" spans="1:7" ht="19.95" customHeight="1">
      <c r="A34" s="1712">
        <v>27</v>
      </c>
      <c r="B34" s="1752" t="s">
        <v>2158</v>
      </c>
      <c r="C34" s="1708" t="s">
        <v>2211</v>
      </c>
      <c r="D34" s="1727" t="str">
        <f>HYPERLINK("#'報告_総括P3-5'!AL70","'報告_総括P3-5'!AL70")</f>
        <v>'報告_総括P3-5'!AL70</v>
      </c>
      <c r="E34" s="1761">
        <v>3809</v>
      </c>
      <c r="F34" s="1762">
        <f>N('報告_総括P3-5'!U70)</f>
        <v>3728</v>
      </c>
      <c r="G34" s="1763" t="s">
        <v>2212</v>
      </c>
    </row>
    <row r="35" spans="1:7" ht="19.95" customHeight="1">
      <c r="A35" s="1716">
        <v>28</v>
      </c>
      <c r="B35" s="1755" t="s">
        <v>2158</v>
      </c>
      <c r="C35" s="1711" t="s">
        <v>2213</v>
      </c>
      <c r="D35" s="1730" t="str">
        <f>HYPERLINK("#'報告_総括P3-5'!AL71","'報告_総括P3-5'!AL71")</f>
        <v>'報告_総括P3-5'!AL71</v>
      </c>
      <c r="E35" s="1761">
        <v>5730</v>
      </c>
      <c r="F35" s="1762">
        <f>N('報告_総括P3-5'!U71)</f>
        <v>5730</v>
      </c>
      <c r="G35" s="1764" t="s">
        <v>2214</v>
      </c>
    </row>
    <row r="36" spans="1:7" ht="19.95" customHeight="1">
      <c r="A36" s="1712">
        <v>29</v>
      </c>
      <c r="B36" s="1752" t="s">
        <v>2158</v>
      </c>
      <c r="C36" s="1708" t="s">
        <v>2215</v>
      </c>
      <c r="D36" s="1727" t="str">
        <f>HYPERLINK("#'報告_総括P3-5'!AL72","'報告_総括P3-5'!AL72")</f>
        <v>'報告_総括P3-5'!AL72</v>
      </c>
      <c r="E36" s="1761">
        <v>2016178</v>
      </c>
      <c r="F36" s="1762">
        <f>N('報告_総括P3-5'!U72)</f>
        <v>2118061</v>
      </c>
      <c r="G36" s="1763" t="s">
        <v>2216</v>
      </c>
    </row>
    <row r="37" spans="1:7" ht="19.95" customHeight="1">
      <c r="A37" s="1716">
        <v>30</v>
      </c>
      <c r="B37" s="1755" t="s">
        <v>2158</v>
      </c>
      <c r="C37" s="1711" t="s">
        <v>2217</v>
      </c>
      <c r="D37" s="1730" t="str">
        <f>HYPERLINK("#'報告_総括P3-5'!AL73","'報告_総括P3-5'!AL73")</f>
        <v>'報告_総括P3-5'!AL73</v>
      </c>
      <c r="E37" s="1761">
        <v>2016178</v>
      </c>
      <c r="F37" s="1762">
        <f>N('報告_総括P3-5'!U73)</f>
        <v>2118061</v>
      </c>
      <c r="G37" s="1764" t="s">
        <v>2218</v>
      </c>
    </row>
    <row r="38" spans="1:7" ht="19.95" customHeight="1">
      <c r="A38" s="1712">
        <v>31</v>
      </c>
      <c r="B38" s="1752" t="s">
        <v>2158</v>
      </c>
      <c r="C38" s="1708" t="s">
        <v>2219</v>
      </c>
      <c r="D38" s="1727" t="str">
        <f>HYPERLINK("#'報告_総括P3-5'!AL74","'報告_総括P3-5'!AL74")</f>
        <v>'報告_総括P3-5'!AL74</v>
      </c>
      <c r="E38" s="1761">
        <v>16296</v>
      </c>
      <c r="F38" s="1762">
        <f>N('報告_総括P3-5'!U74)</f>
        <v>19504</v>
      </c>
      <c r="G38" s="1763" t="s">
        <v>2220</v>
      </c>
    </row>
    <row r="39" spans="1:7" ht="19.95" customHeight="1">
      <c r="A39" s="1716">
        <v>32</v>
      </c>
      <c r="B39" s="1755" t="s">
        <v>2158</v>
      </c>
      <c r="C39" s="1711" t="s">
        <v>2221</v>
      </c>
      <c r="D39" s="1730" t="str">
        <f>HYPERLINK("#'報告_総括P3-5'!AL75","'報告_総括P3-5'!AL75")</f>
        <v>'報告_総括P3-5'!AL75</v>
      </c>
      <c r="E39" s="1761">
        <v>12863</v>
      </c>
      <c r="F39" s="1762">
        <f>N('報告_総括P3-5'!U75)</f>
        <v>7871</v>
      </c>
      <c r="G39" s="1764" t="s">
        <v>2222</v>
      </c>
    </row>
    <row r="40" spans="1:7" ht="19.95" customHeight="1">
      <c r="A40" s="1712">
        <v>33</v>
      </c>
      <c r="B40" s="1752" t="s">
        <v>2158</v>
      </c>
      <c r="C40" s="1708" t="s">
        <v>2223</v>
      </c>
      <c r="D40" s="1727" t="str">
        <f>HYPERLINK("#'報告_総括P3-5'!AH88","'報告_総括P3-5'!AH88")</f>
        <v>'報告_総括P3-5'!AH88</v>
      </c>
      <c r="E40" s="1761">
        <v>7755</v>
      </c>
      <c r="F40" s="1762">
        <f>N('報告_総括P3-5'!T88)</f>
        <v>7623</v>
      </c>
      <c r="G40" s="1763" t="s">
        <v>2224</v>
      </c>
    </row>
    <row r="41" spans="1:7" ht="19.95" customHeight="1">
      <c r="A41" s="1716">
        <v>34</v>
      </c>
      <c r="B41" s="1755" t="s">
        <v>2158</v>
      </c>
      <c r="C41" s="1711" t="s">
        <v>2225</v>
      </c>
      <c r="D41" s="1730" t="str">
        <f>HYPERLINK("#'報告_総括P3-5'!AH89","'報告_総括P3-5'!AH89")</f>
        <v>'報告_総括P3-5'!AH89</v>
      </c>
      <c r="E41" s="1761">
        <v>1007</v>
      </c>
      <c r="F41" s="1762">
        <f>N('報告_総括P3-5'!T89)</f>
        <v>965</v>
      </c>
      <c r="G41" s="1764" t="s">
        <v>2226</v>
      </c>
    </row>
    <row r="42" spans="1:7" ht="19.95" customHeight="1">
      <c r="A42" s="1712">
        <v>35</v>
      </c>
      <c r="B42" s="1752" t="s">
        <v>2158</v>
      </c>
      <c r="C42" s="1708" t="s">
        <v>2227</v>
      </c>
      <c r="D42" s="1727" t="str">
        <f>HYPERLINK("#'報告_総括P3-5'!AH90","'報告_総括P3-5'!AH90")</f>
        <v>'報告_総括P3-5'!AH90</v>
      </c>
      <c r="E42" s="1761">
        <v>1</v>
      </c>
      <c r="F42" s="1762">
        <f>N('報告_総括P3-5'!T90)</f>
        <v>1</v>
      </c>
      <c r="G42" s="1763" t="s">
        <v>2228</v>
      </c>
    </row>
    <row r="43" spans="1:7" ht="19.95" customHeight="1">
      <c r="A43" s="1716">
        <v>36</v>
      </c>
      <c r="B43" s="1755" t="s">
        <v>2158</v>
      </c>
      <c r="C43" s="1711" t="s">
        <v>2229</v>
      </c>
      <c r="D43" s="1730" t="str">
        <f>HYPERLINK("#'報告_総括P3-5'!AH91","'報告_総括P3-5'!AH91")</f>
        <v>'報告_総括P3-5'!AH91</v>
      </c>
      <c r="E43" s="1761">
        <v>1942</v>
      </c>
      <c r="F43" s="1762">
        <f>N('報告_総括P3-5'!T91)</f>
        <v>1961</v>
      </c>
      <c r="G43" s="1764" t="s">
        <v>2230</v>
      </c>
    </row>
    <row r="44" spans="1:7" ht="19.95" customHeight="1">
      <c r="A44" s="1712">
        <v>37</v>
      </c>
      <c r="B44" s="1752" t="s">
        <v>2158</v>
      </c>
      <c r="C44" s="1708" t="s">
        <v>2231</v>
      </c>
      <c r="D44" s="1727" t="str">
        <f>HYPERLINK("#'報告_総括P3-5'!AH92","'報告_総括P3-5'!AH92")</f>
        <v>'報告_総括P3-5'!AH92</v>
      </c>
      <c r="E44" s="1761">
        <v>0</v>
      </c>
      <c r="F44" s="1762">
        <f>N('報告_総括P3-5'!T92)</f>
        <v>0</v>
      </c>
      <c r="G44" s="1763" t="s">
        <v>2232</v>
      </c>
    </row>
    <row r="45" spans="1:7" ht="19.95" customHeight="1">
      <c r="A45" s="1716">
        <v>38</v>
      </c>
      <c r="B45" s="1755" t="s">
        <v>2158</v>
      </c>
      <c r="C45" s="1711" t="s">
        <v>2233</v>
      </c>
      <c r="D45" s="1730" t="str">
        <f>HYPERLINK("#'報告_総括P3-5'!AH94","'報告_総括P3-5'!AH94")</f>
        <v>'報告_総括P3-5'!AH94</v>
      </c>
      <c r="E45" s="1761">
        <v>155</v>
      </c>
      <c r="F45" s="1762">
        <f>N('報告_総括P3-5'!T94)</f>
        <v>133</v>
      </c>
      <c r="G45" s="1764" t="s">
        <v>2234</v>
      </c>
    </row>
    <row r="46" spans="1:7" ht="19.95" customHeight="1">
      <c r="A46" s="1712">
        <v>39</v>
      </c>
      <c r="B46" s="1752" t="s">
        <v>2158</v>
      </c>
      <c r="C46" s="1708" t="s">
        <v>2235</v>
      </c>
      <c r="D46" s="1727" t="str">
        <f>HYPERLINK("#'報告_概況P1-2'!G57","'報告_概況P1-2'!G57")</f>
        <v>'報告_概況P1-2'!G57</v>
      </c>
      <c r="E46" s="1761">
        <v>1</v>
      </c>
      <c r="F46" s="1762">
        <f>N('報告_概況P1-2'!G55)</f>
        <v>1</v>
      </c>
      <c r="G46" s="1763" t="s">
        <v>2236</v>
      </c>
    </row>
    <row r="47" spans="1:7" ht="19.95" customHeight="1">
      <c r="A47" s="1716">
        <v>40</v>
      </c>
      <c r="B47" s="1755" t="s">
        <v>2158</v>
      </c>
      <c r="C47" s="1711" t="s">
        <v>2237</v>
      </c>
      <c r="D47" s="1730" t="str">
        <f>HYPERLINK("#'報告_概況P1-2'!I57","'報告_概況P1-2'!I57")</f>
        <v>'報告_概況P1-2'!I57</v>
      </c>
      <c r="E47" s="1761">
        <v>1</v>
      </c>
      <c r="F47" s="1762">
        <f>N('報告_概況P1-2'!I55)</f>
        <v>1</v>
      </c>
      <c r="G47" s="1764" t="s">
        <v>2238</v>
      </c>
    </row>
    <row r="48" spans="1:7" ht="19.95" customHeight="1">
      <c r="A48" s="1712">
        <v>41</v>
      </c>
      <c r="B48" s="1752" t="s">
        <v>2158</v>
      </c>
      <c r="C48" s="1708" t="s">
        <v>2239</v>
      </c>
      <c r="D48" s="1727" t="str">
        <f>HYPERLINK("#'報告_概況P1-2'!K57","'報告_概況P1-2'!K57")</f>
        <v>'報告_概況P1-2'!K57</v>
      </c>
      <c r="E48" s="1761">
        <v>2</v>
      </c>
      <c r="F48" s="1762">
        <f>N('報告_概況P1-2'!K55)</f>
        <v>2</v>
      </c>
      <c r="G48" s="1763" t="s">
        <v>2240</v>
      </c>
    </row>
    <row r="49" spans="1:7" ht="19.95" customHeight="1">
      <c r="A49" s="1716">
        <v>42</v>
      </c>
      <c r="B49" s="1755" t="s">
        <v>2158</v>
      </c>
      <c r="C49" s="1711" t="s">
        <v>2241</v>
      </c>
      <c r="D49" s="1730" t="str">
        <f>HYPERLINK("#'報告_概況P1-2'!M57","'報告_概況P1-2'!M57")</f>
        <v>'報告_概況P1-2'!M57</v>
      </c>
      <c r="E49" s="1761">
        <v>1</v>
      </c>
      <c r="F49" s="1762">
        <f>N('報告_概況P1-2'!M55)</f>
        <v>1</v>
      </c>
      <c r="G49" s="1764" t="s">
        <v>2242</v>
      </c>
    </row>
    <row r="50" spans="1:7" ht="19.95" customHeight="1">
      <c r="A50" s="1712">
        <v>43</v>
      </c>
      <c r="B50" s="1752" t="s">
        <v>2158</v>
      </c>
      <c r="C50" s="1708" t="s">
        <v>2243</v>
      </c>
      <c r="D50" s="1727" t="str">
        <f>HYPERLINK("#'報告_概況P1-2'!O57","'報告_概況P1-2'!O57")</f>
        <v>'報告_概況P1-2'!O57</v>
      </c>
      <c r="E50" s="1761">
        <v>2</v>
      </c>
      <c r="F50" s="1762">
        <f>N('報告_概況P1-2'!O55)</f>
        <v>2</v>
      </c>
      <c r="G50" s="1763" t="s">
        <v>2244</v>
      </c>
    </row>
    <row r="51" spans="1:7" ht="19.95" customHeight="1">
      <c r="A51" s="1716">
        <v>44</v>
      </c>
      <c r="B51" s="1755" t="s">
        <v>2158</v>
      </c>
      <c r="C51" s="1711" t="s">
        <v>2245</v>
      </c>
      <c r="D51" s="1730" t="str">
        <f>HYPERLINK("#'報告_概況P1-2'!Q57","'報告_概況P1-2'!Q57")</f>
        <v>'報告_概況P1-2'!Q57</v>
      </c>
      <c r="E51" s="1761">
        <v>2</v>
      </c>
      <c r="F51" s="1762">
        <f>N('報告_概況P1-2'!Q55)</f>
        <v>4</v>
      </c>
      <c r="G51" s="1764" t="s">
        <v>2246</v>
      </c>
    </row>
    <row r="52" spans="1:7" ht="19.95" customHeight="1">
      <c r="A52" s="1712">
        <v>45</v>
      </c>
      <c r="B52" s="1752" t="s">
        <v>2158</v>
      </c>
      <c r="C52" s="1708" t="s">
        <v>2247</v>
      </c>
      <c r="D52" s="1727" t="str">
        <f>HYPERLINK("#'報告_概況P1-2'!S57","'報告_概況P1-2'!S57")</f>
        <v>'報告_概況P1-2'!S57</v>
      </c>
      <c r="E52" s="1761">
        <v>8</v>
      </c>
      <c r="F52" s="1762">
        <f>N('報告_概況P1-2'!S55)</f>
        <v>7</v>
      </c>
      <c r="G52" s="1763" t="s">
        <v>2248</v>
      </c>
    </row>
    <row r="53" spans="1:7" ht="19.95" customHeight="1">
      <c r="A53" s="1716">
        <v>46</v>
      </c>
      <c r="B53" s="1755" t="s">
        <v>2158</v>
      </c>
      <c r="C53" s="1711" t="s">
        <v>2249</v>
      </c>
      <c r="D53" s="1730" t="str">
        <f>HYPERLINK("#'報告_概況P1-2'!U57","'報告_概況P1-2'!U57")</f>
        <v>'報告_概況P1-2'!U57</v>
      </c>
      <c r="E53" s="1761">
        <v>10</v>
      </c>
      <c r="F53" s="1762">
        <f>N('報告_概況P1-2'!U55)</f>
        <v>9</v>
      </c>
      <c r="G53" s="1764" t="s">
        <v>2250</v>
      </c>
    </row>
    <row r="54" spans="1:7" ht="19.95" customHeight="1">
      <c r="A54" s="1712">
        <v>47</v>
      </c>
      <c r="B54" s="1752" t="s">
        <v>7</v>
      </c>
      <c r="C54" s="1708" t="s">
        <v>2251</v>
      </c>
      <c r="D54" s="1727" t="str">
        <f>HYPERLINK("#'報告_短期P6'!P29","'報告_短期P6'!P29")</f>
        <v>'報告_短期P6'!P29</v>
      </c>
      <c r="E54" s="1761">
        <v>0.1</v>
      </c>
      <c r="F54" s="1762">
        <f>N(報告_短期P6!X29)</f>
        <v>0.1</v>
      </c>
      <c r="G54" s="1763" t="s">
        <v>2252</v>
      </c>
    </row>
    <row r="55" spans="1:7" ht="19.95" customHeight="1">
      <c r="A55" s="1716">
        <v>48</v>
      </c>
      <c r="B55" s="1755" t="s">
        <v>7</v>
      </c>
      <c r="C55" s="1711" t="s">
        <v>2253</v>
      </c>
      <c r="D55" s="1730" t="str">
        <f>HYPERLINK("#'報告_短期P6'!X29","'報告_短期P6'!X29")</f>
        <v>'報告_短期P6'!X29</v>
      </c>
      <c r="E55" s="1761">
        <v>0.1</v>
      </c>
      <c r="F55" s="1762">
        <f>N(報告_短期P6!AF29)</f>
        <v>0.1</v>
      </c>
      <c r="G55" s="1764" t="s">
        <v>2254</v>
      </c>
    </row>
    <row r="56" spans="1:7" ht="19.95" customHeight="1">
      <c r="A56" s="1712">
        <v>49</v>
      </c>
      <c r="B56" s="1752" t="s">
        <v>7</v>
      </c>
      <c r="C56" s="1708" t="s">
        <v>2255</v>
      </c>
      <c r="D56" s="1727" t="str">
        <f>HYPERLINK("#'報告_短期P6'!P30","'報告_短期P6'!P30")</f>
        <v>'報告_短期P6'!P30</v>
      </c>
      <c r="E56" s="1761">
        <v>0.08</v>
      </c>
      <c r="F56" s="1762">
        <f>N(報告_短期P6!X30)</f>
        <v>0.74</v>
      </c>
      <c r="G56" s="1763" t="s">
        <v>2256</v>
      </c>
    </row>
    <row r="57" spans="1:7" ht="19.95" customHeight="1">
      <c r="A57" s="1716">
        <v>50</v>
      </c>
      <c r="B57" s="1755" t="s">
        <v>7</v>
      </c>
      <c r="C57" s="1711" t="s">
        <v>2257</v>
      </c>
      <c r="D57" s="1730" t="str">
        <f>HYPERLINK("#'報告_短期P6'!X30","'報告_短期P6'!X30")</f>
        <v>'報告_短期P6'!X30</v>
      </c>
      <c r="E57" s="1761">
        <v>0.74</v>
      </c>
      <c r="F57" s="1762">
        <f>N(報告_短期P6!AF30)</f>
        <v>0.87</v>
      </c>
      <c r="G57" s="1764" t="s">
        <v>2258</v>
      </c>
    </row>
    <row r="58" spans="1:7" ht="19.95" customHeight="1">
      <c r="A58" s="1712">
        <v>51</v>
      </c>
      <c r="B58" s="1752" t="s">
        <v>7</v>
      </c>
      <c r="C58" s="1708" t="s">
        <v>2259</v>
      </c>
      <c r="D58" s="1727" t="str">
        <f>HYPERLINK("#'報告_短期P7-10'!EF5","'報告_短期P7-10'!EF5")</f>
        <v>'報告_短期P7-10'!EF5</v>
      </c>
      <c r="E58" s="1761">
        <v>5337035666</v>
      </c>
      <c r="F58" s="1762">
        <f>N('報告_短期P7-10'!CB5)</f>
        <v>5553498733</v>
      </c>
      <c r="G58" s="1763" t="s">
        <v>2260</v>
      </c>
    </row>
    <row r="59" spans="1:7" ht="19.95" customHeight="1">
      <c r="A59" s="1716">
        <v>52</v>
      </c>
      <c r="B59" s="1755" t="s">
        <v>7</v>
      </c>
      <c r="C59" s="1711" t="s">
        <v>2261</v>
      </c>
      <c r="D59" s="1730" t="str">
        <f>HYPERLINK("#'報告_短期P7-10'!EF6","'報告_短期P7-10'!EF6")</f>
        <v>'報告_短期P7-10'!EF6</v>
      </c>
      <c r="E59" s="1761">
        <v>55855362</v>
      </c>
      <c r="F59" s="1762">
        <f>N('報告_短期P7-10'!CB6)</f>
        <v>68555495</v>
      </c>
      <c r="G59" s="1764" t="s">
        <v>2262</v>
      </c>
    </row>
    <row r="60" spans="1:7" ht="19.95" customHeight="1">
      <c r="A60" s="1712">
        <v>53</v>
      </c>
      <c r="B60" s="1752" t="s">
        <v>7</v>
      </c>
      <c r="C60" s="1708" t="s">
        <v>2263</v>
      </c>
      <c r="D60" s="1727" t="str">
        <f>HYPERLINK("#'報告_短期P7-10'!EF7","'報告_短期P7-10'!EF7")</f>
        <v>'報告_短期P7-10'!EF7</v>
      </c>
      <c r="E60" s="1761">
        <v>507030300</v>
      </c>
      <c r="F60" s="1762">
        <f>N('報告_短期P7-10'!CB7)</f>
        <v>496114904</v>
      </c>
      <c r="G60" s="1763" t="s">
        <v>2264</v>
      </c>
    </row>
    <row r="61" spans="1:7" ht="19.95" customHeight="1">
      <c r="A61" s="1716">
        <v>54</v>
      </c>
      <c r="B61" s="1755" t="s">
        <v>7</v>
      </c>
      <c r="C61" s="1711" t="s">
        <v>2265</v>
      </c>
      <c r="D61" s="1730" t="str">
        <f>HYPERLINK("#'報告_短期P7-10'!EF8","'報告_短期P7-10'!EF8")</f>
        <v>'報告_短期P7-10'!EF8</v>
      </c>
      <c r="E61" s="1761">
        <v>5335292349</v>
      </c>
      <c r="F61" s="1762">
        <f>N('報告_短期P7-10'!CB8)</f>
        <v>5551497726</v>
      </c>
      <c r="G61" s="1764" t="s">
        <v>2266</v>
      </c>
    </row>
    <row r="62" spans="1:7" ht="19.95" customHeight="1">
      <c r="A62" s="1712">
        <v>55</v>
      </c>
      <c r="B62" s="1752" t="s">
        <v>7</v>
      </c>
      <c r="C62" s="1708" t="s">
        <v>2267</v>
      </c>
      <c r="D62" s="1727" t="str">
        <f>HYPERLINK("#'報告_短期P7-10'!EF9","'報告_短期P7-10'!EF9")</f>
        <v>'報告_短期P7-10'!EF9</v>
      </c>
      <c r="E62" s="1761">
        <v>506998331</v>
      </c>
      <c r="F62" s="1762">
        <f>N('報告_短期P7-10'!CB9)</f>
        <v>496288832</v>
      </c>
      <c r="G62" s="1763" t="s">
        <v>2268</v>
      </c>
    </row>
    <row r="63" spans="1:7" ht="19.95" customHeight="1">
      <c r="A63" s="1716">
        <v>56</v>
      </c>
      <c r="B63" s="1755" t="s">
        <v>7</v>
      </c>
      <c r="C63" s="1711" t="s">
        <v>2269</v>
      </c>
      <c r="D63" s="1730" t="str">
        <f>HYPERLINK("#'報告_短期P7-10'!EF10","'報告_短期P7-10'!EF10")</f>
        <v>'報告_短期P7-10'!EF10</v>
      </c>
      <c r="E63" s="1761">
        <v>96171555</v>
      </c>
      <c r="F63" s="1762">
        <f>N('報告_短期P7-10'!CB10)</f>
        <v>96062536</v>
      </c>
      <c r="G63" s="1764" t="s">
        <v>2270</v>
      </c>
    </row>
    <row r="64" spans="1:7" ht="19.95" customHeight="1">
      <c r="A64" s="1712">
        <v>57</v>
      </c>
      <c r="B64" s="1752" t="s">
        <v>7</v>
      </c>
      <c r="C64" s="1708" t="s">
        <v>2271</v>
      </c>
      <c r="D64" s="1727" t="str">
        <f>HYPERLINK("#'報告_短期P7-10'!EF11","'報告_短期P7-10'!EF11")</f>
        <v>'報告_短期P7-10'!EF11</v>
      </c>
      <c r="E64" s="1761">
        <v>6808280</v>
      </c>
      <c r="F64" s="1762">
        <f>N('報告_短期P7-10'!CB11)</f>
        <v>4793716</v>
      </c>
      <c r="G64" s="1763" t="s">
        <v>2272</v>
      </c>
    </row>
    <row r="65" spans="1:7" ht="19.95" customHeight="1">
      <c r="A65" s="1716">
        <v>58</v>
      </c>
      <c r="B65" s="1755" t="s">
        <v>7</v>
      </c>
      <c r="C65" s="1711" t="s">
        <v>2273</v>
      </c>
      <c r="D65" s="1730" t="str">
        <f>HYPERLINK("#'報告_短期P7-10'!EF12","'報告_短期P7-10'!EF12")</f>
        <v>'報告_短期P7-10'!EF12</v>
      </c>
      <c r="E65" s="1761">
        <v>7979689</v>
      </c>
      <c r="F65" s="1762">
        <f>N('報告_短期P7-10'!CB12)</f>
        <v>7419879</v>
      </c>
      <c r="G65" s="1764" t="s">
        <v>2274</v>
      </c>
    </row>
    <row r="66" spans="1:7" ht="19.95" customHeight="1">
      <c r="A66" s="1712">
        <v>59</v>
      </c>
      <c r="B66" s="1752" t="s">
        <v>7</v>
      </c>
      <c r="C66" s="1708" t="s">
        <v>2275</v>
      </c>
      <c r="D66" s="1727" t="str">
        <f>HYPERLINK("#'報告_短期P7-10'!EF13","'報告_短期P7-10'!EF13")</f>
        <v>'報告_短期P7-10'!EF13</v>
      </c>
      <c r="E66" s="1761">
        <v>211390</v>
      </c>
      <c r="F66" s="1762">
        <f>N('報告_短期P7-10'!CB13)</f>
        <v>13759</v>
      </c>
      <c r="G66" s="1763" t="s">
        <v>2276</v>
      </c>
    </row>
    <row r="67" spans="1:7" ht="19.95" customHeight="1">
      <c r="A67" s="1716">
        <v>60</v>
      </c>
      <c r="B67" s="1755" t="s">
        <v>7</v>
      </c>
      <c r="C67" s="1711" t="s">
        <v>2277</v>
      </c>
      <c r="D67" s="1730" t="str">
        <f>HYPERLINK("#'報告_短期P7-10'!EF14","'報告_短期P7-10'!EF14")</f>
        <v>'報告_短期P7-10'!EF14</v>
      </c>
      <c r="E67" s="1761">
        <v>0</v>
      </c>
      <c r="F67" s="1762">
        <f>N('報告_短期P7-10'!CB14)</f>
        <v>0</v>
      </c>
      <c r="G67" s="1764" t="s">
        <v>2278</v>
      </c>
    </row>
    <row r="68" spans="1:7" ht="19.95" customHeight="1">
      <c r="A68" s="1712">
        <v>61</v>
      </c>
      <c r="B68" s="1752" t="s">
        <v>7</v>
      </c>
      <c r="C68" s="1708" t="s">
        <v>2279</v>
      </c>
      <c r="D68" s="1727" t="str">
        <f>HYPERLINK("#'報告_短期P7-10'!EF15","'報告_短期P7-10'!EF15")</f>
        <v>'報告_短期P7-10'!EF15</v>
      </c>
      <c r="E68" s="1761">
        <v>0</v>
      </c>
      <c r="F68" s="1762">
        <f>N('報告_短期P7-10'!CB15)</f>
        <v>0</v>
      </c>
      <c r="G68" s="1763" t="s">
        <v>2280</v>
      </c>
    </row>
    <row r="69" spans="1:7" ht="19.95" customHeight="1">
      <c r="A69" s="1716">
        <v>62</v>
      </c>
      <c r="B69" s="1755" t="s">
        <v>7</v>
      </c>
      <c r="C69" s="1711" t="s">
        <v>2281</v>
      </c>
      <c r="D69" s="1730" t="str">
        <f>HYPERLINK("#'報告_短期P7-10'!EF16","'報告_短期P7-10'!EF16")</f>
        <v>'報告_短期P7-10'!EF16</v>
      </c>
      <c r="E69" s="1761">
        <v>0</v>
      </c>
      <c r="F69" s="1762">
        <f>N('報告_短期P7-10'!CB16)</f>
        <v>0</v>
      </c>
      <c r="G69" s="1764" t="s">
        <v>2282</v>
      </c>
    </row>
    <row r="70" spans="1:7" ht="19.95" customHeight="1">
      <c r="A70" s="1712">
        <v>63</v>
      </c>
      <c r="B70" s="1752" t="s">
        <v>7</v>
      </c>
      <c r="C70" s="1708" t="s">
        <v>2283</v>
      </c>
      <c r="D70" s="1727" t="str">
        <f>HYPERLINK("#'報告_短期P7-10'!EF17","'報告_短期P7-10'!EF17")</f>
        <v>'報告_短期P7-10'!EF17</v>
      </c>
      <c r="E70" s="1761">
        <v>98548000</v>
      </c>
      <c r="F70" s="1762">
        <f>N('報告_短期P7-10'!CB17)</f>
        <v>71223000</v>
      </c>
      <c r="G70" s="1763" t="s">
        <v>2284</v>
      </c>
    </row>
    <row r="71" spans="1:7" ht="19.95" customHeight="1">
      <c r="A71" s="1716">
        <v>64</v>
      </c>
      <c r="B71" s="1755" t="s">
        <v>7</v>
      </c>
      <c r="C71" s="1711" t="s">
        <v>2285</v>
      </c>
      <c r="D71" s="1730" t="str">
        <f>HYPERLINK("#'報告_短期P7-10'!EF18","'報告_短期P7-10'!EF18")</f>
        <v>'報告_短期P7-10'!EF18</v>
      </c>
      <c r="E71" s="1761">
        <v>0</v>
      </c>
      <c r="F71" s="1762">
        <f>N('報告_短期P7-10'!CB18)</f>
        <v>0</v>
      </c>
      <c r="G71" s="1764" t="s">
        <v>2286</v>
      </c>
    </row>
    <row r="72" spans="1:7" ht="19.95" customHeight="1">
      <c r="A72" s="1712">
        <v>65</v>
      </c>
      <c r="B72" s="1752" t="s">
        <v>7</v>
      </c>
      <c r="C72" s="1708" t="s">
        <v>2287</v>
      </c>
      <c r="D72" s="1727" t="str">
        <f>HYPERLINK("#'報告_短期P7-10'!EF20","'報告_短期P7-10'!EF20")</f>
        <v>'報告_短期P7-10'!EF20</v>
      </c>
      <c r="E72" s="1761">
        <v>0</v>
      </c>
      <c r="F72" s="1762">
        <f>N('報告_短期P7-10'!CB20)</f>
        <v>0</v>
      </c>
      <c r="G72" s="1763" t="s">
        <v>2288</v>
      </c>
    </row>
    <row r="73" spans="1:7" ht="19.95" customHeight="1">
      <c r="A73" s="1716">
        <v>66</v>
      </c>
      <c r="B73" s="1755" t="s">
        <v>7</v>
      </c>
      <c r="C73" s="1711" t="s">
        <v>2289</v>
      </c>
      <c r="D73" s="1730" t="str">
        <f>HYPERLINK("#'報告_短期P7-10'!EF22","'報告_短期P7-10'!EF22")</f>
        <v>'報告_短期P7-10'!EF22</v>
      </c>
      <c r="E73" s="1761">
        <v>0</v>
      </c>
      <c r="F73" s="1762">
        <f>N('報告_短期P7-10'!CB22)</f>
        <v>0</v>
      </c>
      <c r="G73" s="1764" t="s">
        <v>2290</v>
      </c>
    </row>
    <row r="74" spans="1:7" ht="19.95" customHeight="1">
      <c r="A74" s="1712">
        <v>67</v>
      </c>
      <c r="B74" s="1752" t="s">
        <v>7</v>
      </c>
      <c r="C74" s="1708" t="s">
        <v>2291</v>
      </c>
      <c r="D74" s="1727" t="str">
        <f>HYPERLINK("#'報告_短期P7-10'!EF23","'報告_短期P7-10'!EF23")</f>
        <v>'報告_短期P7-10'!EF23</v>
      </c>
      <c r="E74" s="1761">
        <v>10086976</v>
      </c>
      <c r="F74" s="1762">
        <f>N('報告_短期P7-10'!CB23)</f>
        <v>10496090</v>
      </c>
      <c r="G74" s="1763" t="s">
        <v>2292</v>
      </c>
    </row>
    <row r="75" spans="1:7" ht="19.95" customHeight="1">
      <c r="A75" s="1716">
        <v>68</v>
      </c>
      <c r="B75" s="1755" t="s">
        <v>7</v>
      </c>
      <c r="C75" s="1711" t="s">
        <v>2293</v>
      </c>
      <c r="D75" s="1730" t="str">
        <f>HYPERLINK("#'報告_短期P7-10'!EF24","'報告_短期P7-10'!EF24")</f>
        <v>'報告_短期P7-10'!EF24</v>
      </c>
      <c r="E75" s="1761">
        <v>0</v>
      </c>
      <c r="F75" s="1762">
        <f>N('報告_短期P7-10'!CB24)</f>
        <v>37196000</v>
      </c>
      <c r="G75" s="1764" t="s">
        <v>2294</v>
      </c>
    </row>
    <row r="76" spans="1:7" ht="19.95" customHeight="1">
      <c r="A76" s="1712">
        <v>69</v>
      </c>
      <c r="B76" s="1752" t="s">
        <v>7</v>
      </c>
      <c r="C76" s="1708" t="s">
        <v>2295</v>
      </c>
      <c r="D76" s="1727" t="str">
        <f>HYPERLINK("#'報告_短期P7-10'!EF25","'報告_短期P7-10'!EF25")</f>
        <v>'報告_短期P7-10'!EF25</v>
      </c>
      <c r="E76" s="1761">
        <v>0</v>
      </c>
      <c r="F76" s="1762">
        <f>N('報告_短期P7-10'!CB25)</f>
        <v>0</v>
      </c>
      <c r="G76" s="1763" t="s">
        <v>2296</v>
      </c>
    </row>
    <row r="77" spans="1:7" ht="19.95" customHeight="1">
      <c r="A77" s="1716">
        <v>70</v>
      </c>
      <c r="B77" s="1755" t="s">
        <v>7</v>
      </c>
      <c r="C77" s="1711" t="s">
        <v>2297</v>
      </c>
      <c r="D77" s="1730" t="str">
        <f>HYPERLINK("#'報告_短期P7-10'!EF26","'報告_短期P7-10'!EF26")</f>
        <v>'報告_短期P7-10'!EF26</v>
      </c>
      <c r="E77" s="1761">
        <v>0</v>
      </c>
      <c r="F77" s="1762">
        <f>N('報告_短期P7-10'!CB26)</f>
        <v>0</v>
      </c>
      <c r="G77" s="1764" t="s">
        <v>2298</v>
      </c>
    </row>
    <row r="78" spans="1:7" ht="19.95" customHeight="1">
      <c r="A78" s="1712">
        <v>71</v>
      </c>
      <c r="B78" s="1752" t="s">
        <v>7</v>
      </c>
      <c r="C78" s="1708" t="s">
        <v>2299</v>
      </c>
      <c r="D78" s="1727" t="str">
        <f>HYPERLINK("#'報告_短期P7-10'!EF27","'報告_短期P7-10'!EF27")</f>
        <v>'報告_短期P7-10'!EF27</v>
      </c>
      <c r="E78" s="1761">
        <v>2621295</v>
      </c>
      <c r="F78" s="1762">
        <f>N('報告_短期P7-10'!CB27)</f>
        <v>1422838</v>
      </c>
      <c r="G78" s="1763" t="s">
        <v>2300</v>
      </c>
    </row>
    <row r="79" spans="1:7" ht="19.95" customHeight="1">
      <c r="A79" s="1716">
        <v>72</v>
      </c>
      <c r="B79" s="1755" t="s">
        <v>7</v>
      </c>
      <c r="C79" s="1711" t="s">
        <v>2301</v>
      </c>
      <c r="D79" s="1730" t="str">
        <f>HYPERLINK("#'報告_短期P7-10'!EF28","'報告_短期P7-10'!EF28")</f>
        <v>'報告_短期P7-10'!EF28</v>
      </c>
      <c r="E79" s="1761">
        <v>883951850</v>
      </c>
      <c r="F79" s="1762">
        <f>N('報告_短期P7-10'!CB28)</f>
        <v>876229790</v>
      </c>
      <c r="G79" s="1764" t="s">
        <v>2302</v>
      </c>
    </row>
    <row r="80" spans="1:7" ht="19.95" customHeight="1">
      <c r="A80" s="1712">
        <v>73</v>
      </c>
      <c r="B80" s="1752" t="s">
        <v>7</v>
      </c>
      <c r="C80" s="1708" t="s">
        <v>2303</v>
      </c>
      <c r="D80" s="1727" t="str">
        <f>HYPERLINK("#'報告_短期P7-10'!EF29","'報告_短期P7-10'!EF29")</f>
        <v>'報告_短期P7-10'!EF29</v>
      </c>
      <c r="E80" s="1761">
        <v>2100931</v>
      </c>
      <c r="F80" s="1762">
        <f>N('報告_短期P7-10'!CB29)</f>
        <v>10567708</v>
      </c>
      <c r="G80" s="1763" t="s">
        <v>2304</v>
      </c>
    </row>
    <row r="81" spans="1:7" ht="19.95" customHeight="1">
      <c r="A81" s="1716">
        <v>74</v>
      </c>
      <c r="B81" s="1755" t="s">
        <v>7</v>
      </c>
      <c r="C81" s="1711" t="s">
        <v>2305</v>
      </c>
      <c r="D81" s="1730" t="str">
        <f>HYPERLINK("#'報告_短期P7-10'!EF36","'報告_短期P7-10'!EF36")</f>
        <v>'報告_短期P7-10'!EF36</v>
      </c>
      <c r="E81" s="1761">
        <v>100</v>
      </c>
      <c r="F81" s="1762">
        <f>N('報告_短期P7-10'!DD36)</f>
        <v>100</v>
      </c>
      <c r="G81" s="1764" t="s">
        <v>2306</v>
      </c>
    </row>
    <row r="82" spans="1:7" ht="19.95" customHeight="1">
      <c r="A82" s="1712">
        <v>75</v>
      </c>
      <c r="B82" s="1752" t="s">
        <v>7</v>
      </c>
      <c r="C82" s="1708" t="s">
        <v>2307</v>
      </c>
      <c r="D82" s="1727" t="str">
        <f>HYPERLINK("#'報告_短期P7-10'!EF37","'報告_短期P7-10'!EF37")</f>
        <v>'報告_短期P7-10'!EF37</v>
      </c>
      <c r="E82" s="1761">
        <v>100</v>
      </c>
      <c r="F82" s="1762">
        <f>N('報告_短期P7-10'!DD37)</f>
        <v>100</v>
      </c>
      <c r="G82" s="1763" t="s">
        <v>2308</v>
      </c>
    </row>
    <row r="83" spans="1:7" ht="19.95" customHeight="1">
      <c r="A83" s="1716">
        <v>76</v>
      </c>
      <c r="B83" s="1755" t="s">
        <v>7</v>
      </c>
      <c r="C83" s="1711" t="s">
        <v>2309</v>
      </c>
      <c r="D83" s="1730" t="str">
        <f>HYPERLINK("#'報告_短期P7-10'!EF38","'報告_短期P7-10'!EF38")</f>
        <v>'報告_短期P7-10'!EF38</v>
      </c>
      <c r="E83" s="1761">
        <v>99.99</v>
      </c>
      <c r="F83" s="1762">
        <f>N('報告_短期P7-10'!DD38)</f>
        <v>99.99</v>
      </c>
      <c r="G83" s="1764" t="s">
        <v>2310</v>
      </c>
    </row>
    <row r="84" spans="1:7" ht="19.95" customHeight="1">
      <c r="A84" s="1712">
        <v>77</v>
      </c>
      <c r="B84" s="1752" t="s">
        <v>7</v>
      </c>
      <c r="C84" s="1708" t="s">
        <v>2307</v>
      </c>
      <c r="D84" s="1727" t="str">
        <f>HYPERLINK("#'報告_短期P7-10'!EF39","'報告_短期P7-10'!EF39")</f>
        <v>'報告_短期P7-10'!EF39</v>
      </c>
      <c r="E84" s="1761">
        <v>99.99</v>
      </c>
      <c r="F84" s="1762">
        <f>N('報告_短期P7-10'!DD39)</f>
        <v>100</v>
      </c>
      <c r="G84" s="1763" t="s">
        <v>2311</v>
      </c>
    </row>
    <row r="85" spans="1:7" ht="19.95" customHeight="1">
      <c r="A85" s="1716">
        <v>78</v>
      </c>
      <c r="B85" s="1755" t="s">
        <v>7</v>
      </c>
      <c r="C85" s="1711" t="s">
        <v>2312</v>
      </c>
      <c r="D85" s="1730" t="str">
        <f>HYPERLINK("#'報告_短期P7-10'!EF40","'報告_短期P7-10'!EF40")</f>
        <v>'報告_短期P7-10'!EF40</v>
      </c>
      <c r="E85" s="1761">
        <v>99.99</v>
      </c>
      <c r="F85" s="1762">
        <f>N('報告_短期P7-10'!DD40)</f>
        <v>99.99</v>
      </c>
      <c r="G85" s="1764" t="s">
        <v>2313</v>
      </c>
    </row>
    <row r="86" spans="1:7" ht="19.95" customHeight="1">
      <c r="A86" s="1712">
        <v>79</v>
      </c>
      <c r="B86" s="1752" t="s">
        <v>7</v>
      </c>
      <c r="C86" s="1708" t="s">
        <v>2307</v>
      </c>
      <c r="D86" s="1727" t="str">
        <f>HYPERLINK("#'報告_短期P7-10'!EF41","'報告_短期P7-10'!EF41")</f>
        <v>'報告_短期P7-10'!EF41</v>
      </c>
      <c r="E86" s="1761">
        <v>99.99</v>
      </c>
      <c r="F86" s="1762">
        <f>N('報告_短期P7-10'!DD41)</f>
        <v>100</v>
      </c>
      <c r="G86" s="1763" t="s">
        <v>2314</v>
      </c>
    </row>
    <row r="87" spans="1:7" ht="19.95" customHeight="1">
      <c r="A87" s="1716">
        <v>80</v>
      </c>
      <c r="B87" s="1755" t="s">
        <v>7</v>
      </c>
      <c r="C87" s="1711" t="s">
        <v>2315</v>
      </c>
      <c r="D87" s="1730" t="str">
        <f>HYPERLINK("#'報告_短期P7-10'!EF49","'報告_短期P7-10'!EF49")</f>
        <v>'報告_短期P7-10'!EF49</v>
      </c>
      <c r="E87" s="1761">
        <v>2203762570</v>
      </c>
      <c r="F87" s="1762">
        <f>N('報告_短期P7-10'!CB49)</f>
        <v>2267481074</v>
      </c>
      <c r="G87" s="1764" t="s">
        <v>2316</v>
      </c>
    </row>
    <row r="88" spans="1:7" ht="19.95" customHeight="1">
      <c r="A88" s="1712">
        <v>81</v>
      </c>
      <c r="B88" s="1752" t="s">
        <v>7</v>
      </c>
      <c r="C88" s="1708" t="s">
        <v>2317</v>
      </c>
      <c r="D88" s="1727" t="str">
        <f>HYPERLINK("#'報告_短期P7-10'!EF50","'報告_短期P7-10'!EF50")</f>
        <v>'報告_短期P7-10'!EF50</v>
      </c>
      <c r="E88" s="1761">
        <v>9157342</v>
      </c>
      <c r="F88" s="1762">
        <f>N('報告_短期P7-10'!CB50)</f>
        <v>9189131</v>
      </c>
      <c r="G88" s="1763" t="s">
        <v>2318</v>
      </c>
    </row>
    <row r="89" spans="1:7" ht="19.95" customHeight="1">
      <c r="A89" s="1716">
        <v>82</v>
      </c>
      <c r="B89" s="1755" t="s">
        <v>7</v>
      </c>
      <c r="C89" s="1711" t="s">
        <v>2319</v>
      </c>
      <c r="D89" s="1730" t="str">
        <f>HYPERLINK("#'報告_短期P7-10'!EF51","'報告_短期P7-10'!EF51")</f>
        <v>'報告_短期P7-10'!EF51</v>
      </c>
      <c r="E89" s="1761">
        <v>14713620</v>
      </c>
      <c r="F89" s="1762">
        <f>N('報告_短期P7-10'!CB51)</f>
        <v>10108630</v>
      </c>
      <c r="G89" s="1764" t="s">
        <v>2320</v>
      </c>
    </row>
    <row r="90" spans="1:7" ht="19.95" customHeight="1">
      <c r="A90" s="1712">
        <v>83</v>
      </c>
      <c r="B90" s="1752" t="s">
        <v>7</v>
      </c>
      <c r="C90" s="1708" t="s">
        <v>2321</v>
      </c>
      <c r="D90" s="1727" t="str">
        <f>HYPERLINK("#'報告_短期P7-10'!EF52","'報告_短期P7-10'!EF52")</f>
        <v>'報告_短期P7-10'!EF52</v>
      </c>
      <c r="E90" s="1761">
        <v>1206371250</v>
      </c>
      <c r="F90" s="1762">
        <f>N('報告_短期P7-10'!CB52)</f>
        <v>1228428283</v>
      </c>
      <c r="G90" s="1763" t="s">
        <v>2322</v>
      </c>
    </row>
    <row r="91" spans="1:7" ht="19.95" customHeight="1">
      <c r="A91" s="1716">
        <v>84</v>
      </c>
      <c r="B91" s="1755" t="s">
        <v>7</v>
      </c>
      <c r="C91" s="1711" t="s">
        <v>2323</v>
      </c>
      <c r="D91" s="1730" t="str">
        <f>HYPERLINK("#'報告_短期P7-10'!EF53","'報告_短期P7-10'!EF53")</f>
        <v>'報告_短期P7-10'!EF53</v>
      </c>
      <c r="E91" s="1761">
        <v>27470107</v>
      </c>
      <c r="F91" s="1762">
        <f>N('報告_短期P7-10'!CB53)</f>
        <v>39360367</v>
      </c>
      <c r="G91" s="1764" t="s">
        <v>2324</v>
      </c>
    </row>
    <row r="92" spans="1:7" ht="19.95" customHeight="1">
      <c r="A92" s="1712">
        <v>85</v>
      </c>
      <c r="B92" s="1752" t="s">
        <v>7</v>
      </c>
      <c r="C92" s="1708" t="s">
        <v>2325</v>
      </c>
      <c r="D92" s="1727" t="str">
        <f>HYPERLINK("#'報告_短期P7-10'!EF54","'報告_短期P7-10'!EF54")</f>
        <v>'報告_短期P7-10'!EF54</v>
      </c>
      <c r="E92" s="1761">
        <v>359559292</v>
      </c>
      <c r="F92" s="1762">
        <f>N('報告_短期P7-10'!CB54)</f>
        <v>381627185</v>
      </c>
      <c r="G92" s="1763" t="s">
        <v>2326</v>
      </c>
    </row>
    <row r="93" spans="1:7" ht="19.95" customHeight="1">
      <c r="A93" s="1716">
        <v>86</v>
      </c>
      <c r="B93" s="1755" t="s">
        <v>7</v>
      </c>
      <c r="C93" s="1711" t="s">
        <v>2327</v>
      </c>
      <c r="D93" s="1730" t="str">
        <f>HYPERLINK("#'報告_短期P7-10'!EF55","'報告_短期P7-10'!EF55")</f>
        <v>'報告_短期P7-10'!EF55</v>
      </c>
      <c r="E93" s="1761">
        <v>23010577</v>
      </c>
      <c r="F93" s="1762">
        <f>N('報告_短期P7-10'!CB55)</f>
        <v>23086688</v>
      </c>
      <c r="G93" s="1764" t="s">
        <v>2328</v>
      </c>
    </row>
    <row r="94" spans="1:7" ht="19.95" customHeight="1">
      <c r="A94" s="1712">
        <v>87</v>
      </c>
      <c r="B94" s="1752" t="s">
        <v>7</v>
      </c>
      <c r="C94" s="1708" t="s">
        <v>2329</v>
      </c>
      <c r="D94" s="1727" t="str">
        <f>HYPERLINK("#'報告_短期P7-10'!EF56","'報告_短期P7-10'!EF56")</f>
        <v>'報告_短期P7-10'!EF56</v>
      </c>
      <c r="E94" s="1761">
        <v>8410255</v>
      </c>
      <c r="F94" s="1762">
        <f>N('報告_短期P7-10'!CB56)</f>
        <v>8090156</v>
      </c>
      <c r="G94" s="1763" t="s">
        <v>2330</v>
      </c>
    </row>
    <row r="95" spans="1:7" ht="19.95" customHeight="1">
      <c r="A95" s="1716">
        <v>88</v>
      </c>
      <c r="B95" s="1755" t="s">
        <v>7</v>
      </c>
      <c r="C95" s="1711" t="s">
        <v>2331</v>
      </c>
      <c r="D95" s="1730" t="str">
        <f>HYPERLINK("#'報告_短期P7-10'!EF57","'報告_短期P7-10'!EF57")</f>
        <v>'報告_短期P7-10'!EF57</v>
      </c>
      <c r="E95" s="1761">
        <v>23111980</v>
      </c>
      <c r="F95" s="1762">
        <f>N('報告_短期P7-10'!CB57)</f>
        <v>21842018</v>
      </c>
      <c r="G95" s="1764" t="s">
        <v>2332</v>
      </c>
    </row>
    <row r="96" spans="1:7" ht="19.95" customHeight="1">
      <c r="A96" s="1712">
        <v>89</v>
      </c>
      <c r="B96" s="1752" t="s">
        <v>7</v>
      </c>
      <c r="C96" s="1708" t="s">
        <v>2333</v>
      </c>
      <c r="D96" s="1727" t="str">
        <f>HYPERLINK("#'報告_短期P7-10'!EF58","'報告_短期P7-10'!EF58")</f>
        <v>'報告_短期P7-10'!EF58</v>
      </c>
      <c r="E96" s="1761">
        <v>0</v>
      </c>
      <c r="F96" s="1762">
        <f>N('報告_短期P7-10'!CB58)</f>
        <v>0</v>
      </c>
      <c r="G96" s="1763" t="s">
        <v>2334</v>
      </c>
    </row>
    <row r="97" spans="1:7" ht="19.95" customHeight="1">
      <c r="A97" s="1716">
        <v>90</v>
      </c>
      <c r="B97" s="1755" t="s">
        <v>7</v>
      </c>
      <c r="C97" s="1711" t="s">
        <v>2335</v>
      </c>
      <c r="D97" s="1730" t="str">
        <f>HYPERLINK("#'報告_短期P7-10'!EF59","'報告_短期P7-10'!EF59")</f>
        <v>'報告_短期P7-10'!EF59</v>
      </c>
      <c r="E97" s="1761">
        <v>963329625</v>
      </c>
      <c r="F97" s="1762">
        <f>N('報告_短期P7-10'!CB59)</f>
        <v>1057716295</v>
      </c>
      <c r="G97" s="1764" t="s">
        <v>2336</v>
      </c>
    </row>
    <row r="98" spans="1:7" ht="19.95" customHeight="1">
      <c r="A98" s="1712">
        <v>91</v>
      </c>
      <c r="B98" s="1752" t="s">
        <v>7</v>
      </c>
      <c r="C98" s="1708" t="s">
        <v>2337</v>
      </c>
      <c r="D98" s="1727" t="str">
        <f>HYPERLINK("#'報告_短期P7-10'!EF60","'報告_短期P7-10'!EF60")</f>
        <v>'報告_短期P7-10'!EF60</v>
      </c>
      <c r="E98" s="1761">
        <v>0</v>
      </c>
      <c r="F98" s="1762">
        <f>N('報告_短期P7-10'!CB60)</f>
        <v>0</v>
      </c>
      <c r="G98" s="1763" t="s">
        <v>2338</v>
      </c>
    </row>
    <row r="99" spans="1:7" ht="19.95" customHeight="1">
      <c r="A99" s="1716">
        <v>92</v>
      </c>
      <c r="B99" s="1755" t="s">
        <v>7</v>
      </c>
      <c r="C99" s="1711" t="s">
        <v>2339</v>
      </c>
      <c r="D99" s="1730" t="str">
        <f>HYPERLINK("#'報告_短期P7-10'!EF61","'報告_短期P7-10'!EF61")</f>
        <v>'報告_短期P7-10'!EF61</v>
      </c>
      <c r="E99" s="1761">
        <v>70824</v>
      </c>
      <c r="F99" s="1762">
        <f>N('報告_短期P7-10'!CB61)</f>
        <v>0</v>
      </c>
      <c r="G99" s="1764" t="s">
        <v>2340</v>
      </c>
    </row>
    <row r="100" spans="1:7" ht="19.95" customHeight="1">
      <c r="A100" s="1712">
        <v>93</v>
      </c>
      <c r="B100" s="1752" t="s">
        <v>7</v>
      </c>
      <c r="C100" s="1708" t="s">
        <v>2341</v>
      </c>
      <c r="D100" s="1727" t="str">
        <f>HYPERLINK("#'報告_短期P7-10'!EF62","'報告_短期P7-10'!EF62")</f>
        <v>'報告_短期P7-10'!EF62</v>
      </c>
      <c r="E100" s="1761">
        <v>181939816</v>
      </c>
      <c r="F100" s="1762">
        <f>N('報告_短期P7-10'!CB62)</f>
        <v>187759301</v>
      </c>
      <c r="G100" s="1763" t="s">
        <v>2342</v>
      </c>
    </row>
    <row r="101" spans="1:7" ht="19.95" customHeight="1">
      <c r="A101" s="1716">
        <v>94</v>
      </c>
      <c r="B101" s="1755" t="s">
        <v>7</v>
      </c>
      <c r="C101" s="1711" t="s">
        <v>2343</v>
      </c>
      <c r="D101" s="1730" t="str">
        <f>HYPERLINK("#'報告_短期P7-10'!EF63","'報告_短期P7-10'!EF63")</f>
        <v>'報告_短期P7-10'!EF63</v>
      </c>
      <c r="E101" s="1761">
        <v>41150522</v>
      </c>
      <c r="F101" s="1762">
        <f>N('報告_短期P7-10'!CB63)</f>
        <v>28863369</v>
      </c>
      <c r="G101" s="1764" t="s">
        <v>2344</v>
      </c>
    </row>
    <row r="102" spans="1:7" ht="19.95" customHeight="1">
      <c r="A102" s="1712">
        <v>95</v>
      </c>
      <c r="B102" s="1752" t="s">
        <v>7</v>
      </c>
      <c r="C102" s="1708" t="s">
        <v>2345</v>
      </c>
      <c r="D102" s="1727" t="str">
        <f>HYPERLINK("#'報告_短期P7-10'!EF64","'報告_短期P7-10'!EF64")</f>
        <v>'報告_短期P7-10'!EF64</v>
      </c>
      <c r="E102" s="1761">
        <v>650000</v>
      </c>
      <c r="F102" s="1762">
        <f>N('報告_短期P7-10'!CB64)</f>
        <v>100000</v>
      </c>
      <c r="G102" s="1763" t="s">
        <v>2346</v>
      </c>
    </row>
    <row r="103" spans="1:7" ht="19.95" customHeight="1">
      <c r="A103" s="1716">
        <v>96</v>
      </c>
      <c r="B103" s="1755" t="s">
        <v>7</v>
      </c>
      <c r="C103" s="1711" t="s">
        <v>2347</v>
      </c>
      <c r="D103" s="1730" t="str">
        <f>HYPERLINK("#'報告_短期P7-10'!EF65","'報告_短期P7-10'!EF65")</f>
        <v>'報告_短期P7-10'!EF65</v>
      </c>
      <c r="E103" s="1761">
        <v>250000</v>
      </c>
      <c r="F103" s="1762">
        <f>N('報告_短期P7-10'!CB65)</f>
        <v>350000</v>
      </c>
      <c r="G103" s="1764" t="s">
        <v>2348</v>
      </c>
    </row>
    <row r="104" spans="1:7" ht="19.95" customHeight="1">
      <c r="A104" s="1712">
        <v>97</v>
      </c>
      <c r="B104" s="1752" t="s">
        <v>7</v>
      </c>
      <c r="C104" s="1708" t="s">
        <v>2349</v>
      </c>
      <c r="D104" s="1727" t="str">
        <f>HYPERLINK("#'報告_短期P7-10'!EF67","'報告_短期P7-10'!EF67")</f>
        <v>'報告_短期P7-10'!EF67</v>
      </c>
      <c r="E104" s="1761">
        <v>83681239</v>
      </c>
      <c r="F104" s="1762">
        <f>N('報告_短期P7-10'!CB67)</f>
        <v>62042212</v>
      </c>
      <c r="G104" s="1763" t="s">
        <v>2350</v>
      </c>
    </row>
    <row r="105" spans="1:7" ht="19.95" customHeight="1">
      <c r="A105" s="1716">
        <v>98</v>
      </c>
      <c r="B105" s="1755" t="s">
        <v>7</v>
      </c>
      <c r="C105" s="1711" t="s">
        <v>2351</v>
      </c>
      <c r="D105" s="1730" t="str">
        <f>HYPERLINK("#'報告_短期P7-10'!EF68","'報告_短期P7-10'!EF68")</f>
        <v>'報告_短期P7-10'!EF68</v>
      </c>
      <c r="E105" s="1761">
        <v>575890</v>
      </c>
      <c r="F105" s="1762">
        <f>N('報告_短期P7-10'!CB68)</f>
        <v>965439</v>
      </c>
      <c r="G105" s="1764" t="s">
        <v>2352</v>
      </c>
    </row>
    <row r="106" spans="1:7" ht="19.95" customHeight="1">
      <c r="A106" s="1712">
        <v>99</v>
      </c>
      <c r="B106" s="1752" t="s">
        <v>7</v>
      </c>
      <c r="C106" s="1708" t="s">
        <v>2353</v>
      </c>
      <c r="D106" s="1727" t="str">
        <f>HYPERLINK("#'報告_短期P7-10'!EF69","'報告_短期P7-10'!EF69")</f>
        <v>'報告_短期P7-10'!EF69</v>
      </c>
      <c r="E106" s="1761">
        <v>0</v>
      </c>
      <c r="F106" s="1762">
        <f>N('報告_短期P7-10'!CB69)</f>
        <v>0</v>
      </c>
      <c r="G106" s="1763" t="s">
        <v>2354</v>
      </c>
    </row>
    <row r="107" spans="1:7" ht="19.95" customHeight="1">
      <c r="A107" s="1716">
        <v>100</v>
      </c>
      <c r="B107" s="1755" t="s">
        <v>7</v>
      </c>
      <c r="C107" s="1711" t="s">
        <v>2355</v>
      </c>
      <c r="D107" s="1730" t="str">
        <f>HYPERLINK("#'報告_短期P7-10'!EF70","'報告_短期P7-10'!EF70")</f>
        <v>'報告_短期P7-10'!EF70</v>
      </c>
      <c r="E107" s="1761">
        <v>510785757</v>
      </c>
      <c r="F107" s="1762">
        <f>N('報告_短期P7-10'!CB70)</f>
        <v>568913474</v>
      </c>
      <c r="G107" s="1764" t="s">
        <v>2356</v>
      </c>
    </row>
    <row r="108" spans="1:7" ht="19.95" customHeight="1">
      <c r="A108" s="1712">
        <v>101</v>
      </c>
      <c r="B108" s="1752" t="s">
        <v>7</v>
      </c>
      <c r="C108" s="1708" t="s">
        <v>2357</v>
      </c>
      <c r="D108" s="1727" t="str">
        <f>HYPERLINK("#'報告_短期P7-10'!EF71","'報告_短期P7-10'!EF71")</f>
        <v>'報告_短期P7-10'!EF71</v>
      </c>
      <c r="E108" s="1761">
        <v>0</v>
      </c>
      <c r="F108" s="1762">
        <f>N('報告_短期P7-10'!CB71)</f>
        <v>9328251</v>
      </c>
      <c r="G108" s="1763" t="s">
        <v>2358</v>
      </c>
    </row>
    <row r="109" spans="1:7" ht="19.95" customHeight="1">
      <c r="A109" s="1716">
        <v>102</v>
      </c>
      <c r="B109" s="1755" t="s">
        <v>7</v>
      </c>
      <c r="C109" s="1711" t="s">
        <v>2359</v>
      </c>
      <c r="D109" s="1730" t="str">
        <f>HYPERLINK("#'報告_短期P7-10'!EF72","'報告_短期P7-10'!EF72")</f>
        <v>'報告_短期P7-10'!EF72</v>
      </c>
      <c r="E109" s="1761">
        <v>1867491</v>
      </c>
      <c r="F109" s="1762">
        <f>N('報告_短期P7-10'!CB72)</f>
        <v>3608457</v>
      </c>
      <c r="G109" s="1764" t="s">
        <v>2360</v>
      </c>
    </row>
    <row r="110" spans="1:7" ht="19.95" customHeight="1">
      <c r="A110" s="1712">
        <v>103</v>
      </c>
      <c r="B110" s="1752" t="s">
        <v>7</v>
      </c>
      <c r="C110" s="1708" t="s">
        <v>2361</v>
      </c>
      <c r="D110" s="1727" t="str">
        <f>HYPERLINK("#'報告_短期P7-10'!EF73","'報告_短期P7-10'!EF73")</f>
        <v>'報告_短期P7-10'!EF73</v>
      </c>
      <c r="E110" s="1761">
        <v>0</v>
      </c>
      <c r="F110" s="1762">
        <f>N('報告_短期P7-10'!CB73)</f>
        <v>5476402</v>
      </c>
      <c r="G110" s="1763" t="s">
        <v>2362</v>
      </c>
    </row>
    <row r="111" spans="1:7" ht="19.95" customHeight="1">
      <c r="A111" s="1716">
        <v>104</v>
      </c>
      <c r="B111" s="1755" t="s">
        <v>7</v>
      </c>
      <c r="C111" s="1711" t="s">
        <v>2363</v>
      </c>
      <c r="D111" s="1730" t="str">
        <f>HYPERLINK("#'報告_短期P7-10'!EF75","'報告_短期P7-10'!EF75")</f>
        <v>'報告_短期P7-10'!EF75</v>
      </c>
      <c r="E111" s="1761">
        <v>0</v>
      </c>
      <c r="F111" s="1762">
        <f>N('報告_短期P7-10'!CB75)</f>
        <v>0</v>
      </c>
      <c r="G111" s="1764" t="s">
        <v>2364</v>
      </c>
    </row>
    <row r="112" spans="1:7" ht="19.95" customHeight="1">
      <c r="A112" s="1712">
        <v>105</v>
      </c>
      <c r="B112" s="1752" t="s">
        <v>7</v>
      </c>
      <c r="C112" s="1708" t="s">
        <v>2365</v>
      </c>
      <c r="D112" s="1727" t="str">
        <f>HYPERLINK("#'報告_短期P7-10'!EF76","'報告_短期P7-10'!EF76")</f>
        <v>'報告_短期P7-10'!EF76</v>
      </c>
      <c r="E112" s="1761">
        <v>0</v>
      </c>
      <c r="F112" s="1762">
        <f>N('報告_短期P7-10'!CB76)</f>
        <v>0</v>
      </c>
      <c r="G112" s="1763" t="s">
        <v>2366</v>
      </c>
    </row>
    <row r="113" spans="1:7" ht="19.95" customHeight="1">
      <c r="A113" s="1716">
        <v>106</v>
      </c>
      <c r="B113" s="1755" t="s">
        <v>7</v>
      </c>
      <c r="C113" s="1711" t="s">
        <v>2367</v>
      </c>
      <c r="D113" s="1730" t="str">
        <f>HYPERLINK("#'報告_短期P7-10'!EF77","'報告_短期P7-10'!EF77")</f>
        <v>'報告_短期P7-10'!EF77</v>
      </c>
      <c r="E113" s="1761">
        <v>0</v>
      </c>
      <c r="F113" s="1762">
        <f>N('報告_短期P7-10'!CB77)</f>
        <v>0</v>
      </c>
      <c r="G113" s="1764" t="s">
        <v>2368</v>
      </c>
    </row>
    <row r="114" spans="1:7" ht="19.95" customHeight="1">
      <c r="A114" s="1712">
        <v>107</v>
      </c>
      <c r="B114" s="1752" t="s">
        <v>7</v>
      </c>
      <c r="C114" s="1708" t="s">
        <v>2369</v>
      </c>
      <c r="D114" s="1727" t="str">
        <f>HYPERLINK("#'報告_短期P7-10'!EF82","'報告_短期P7-10'!EF82")</f>
        <v>'報告_短期P7-10'!EF82</v>
      </c>
      <c r="E114" s="1761">
        <v>21029200</v>
      </c>
      <c r="F114" s="1762">
        <f>N('報告_短期P7-10'!CB82)</f>
        <v>26199034</v>
      </c>
      <c r="G114" s="1763" t="s">
        <v>2370</v>
      </c>
    </row>
    <row r="115" spans="1:7" ht="19.95" customHeight="1">
      <c r="A115" s="1716">
        <v>108</v>
      </c>
      <c r="B115" s="1755" t="s">
        <v>7</v>
      </c>
      <c r="C115" s="1711" t="s">
        <v>2371</v>
      </c>
      <c r="D115" s="1730" t="str">
        <f>HYPERLINK("#'報告_短期P7-10'!EF83","'報告_短期P7-10'!EF83")</f>
        <v>'報告_短期P7-10'!EF83</v>
      </c>
      <c r="E115" s="1761">
        <v>0</v>
      </c>
      <c r="F115" s="1762">
        <f>N('報告_短期P7-10'!CB83)</f>
        <v>0</v>
      </c>
      <c r="G115" s="1764" t="s">
        <v>2372</v>
      </c>
    </row>
    <row r="116" spans="1:7" ht="19.95" customHeight="1">
      <c r="A116" s="1712">
        <v>109</v>
      </c>
      <c r="B116" s="1752" t="s">
        <v>7</v>
      </c>
      <c r="C116" s="1708" t="s">
        <v>2373</v>
      </c>
      <c r="D116" s="1727" t="str">
        <f>HYPERLINK("#'報告_短期P7-10'!EF84","'報告_短期P7-10'!EF84")</f>
        <v>'報告_短期P7-10'!EF84</v>
      </c>
      <c r="E116" s="1761">
        <v>7120000</v>
      </c>
      <c r="F116" s="1762">
        <f>N('報告_短期P7-10'!CB84)</f>
        <v>7180000</v>
      </c>
      <c r="G116" s="1763" t="s">
        <v>2374</v>
      </c>
    </row>
    <row r="117" spans="1:7" ht="19.95" customHeight="1">
      <c r="A117" s="1716">
        <v>110</v>
      </c>
      <c r="B117" s="1755" t="s">
        <v>7</v>
      </c>
      <c r="C117" s="1711" t="s">
        <v>2375</v>
      </c>
      <c r="D117" s="1730" t="str">
        <f>HYPERLINK("#'報告_短期P7-10'!EF85","'報告_短期P7-10'!EF85")</f>
        <v>'報告_短期P7-10'!EF85</v>
      </c>
      <c r="E117" s="1761">
        <v>1516000</v>
      </c>
      <c r="F117" s="1762">
        <f>N('報告_短期P7-10'!CB85)</f>
        <v>1080000</v>
      </c>
      <c r="G117" s="1764" t="s">
        <v>2376</v>
      </c>
    </row>
    <row r="118" spans="1:7" ht="19.95" customHeight="1">
      <c r="A118" s="1712">
        <v>111</v>
      </c>
      <c r="B118" s="1752" t="s">
        <v>7</v>
      </c>
      <c r="C118" s="1708" t="s">
        <v>2377</v>
      </c>
      <c r="D118" s="1727" t="str">
        <f>HYPERLINK("#'報告_短期P7-10'!EF86","'報告_短期P7-10'!EF86")</f>
        <v>'報告_短期P7-10'!EF86</v>
      </c>
      <c r="E118" s="1761">
        <v>600000</v>
      </c>
      <c r="F118" s="1762">
        <f>N('報告_短期P7-10'!CB86)</f>
        <v>100000</v>
      </c>
      <c r="G118" s="1763" t="s">
        <v>2378</v>
      </c>
    </row>
    <row r="119" spans="1:7" ht="19.95" customHeight="1">
      <c r="A119" s="1716">
        <v>112</v>
      </c>
      <c r="B119" s="1755" t="s">
        <v>7</v>
      </c>
      <c r="C119" s="1711" t="s">
        <v>2379</v>
      </c>
      <c r="D119" s="1730" t="str">
        <f>HYPERLINK("#'報告_短期P7-10'!EF87","'報告_短期P7-10'!EF87")</f>
        <v>'報告_短期P7-10'!EF87</v>
      </c>
      <c r="E119" s="1761">
        <v>250000</v>
      </c>
      <c r="F119" s="1762">
        <f>N('報告_短期P7-10'!CB87)</f>
        <v>350000</v>
      </c>
      <c r="G119" s="1764" t="s">
        <v>2380</v>
      </c>
    </row>
    <row r="120" spans="1:7" ht="19.95" customHeight="1">
      <c r="A120" s="1712">
        <v>113</v>
      </c>
      <c r="B120" s="1752" t="s">
        <v>7</v>
      </c>
      <c r="C120" s="1708" t="s">
        <v>2381</v>
      </c>
      <c r="D120" s="1727" t="str">
        <f>HYPERLINK("#'報告_短期P7-10'!EF88","'報告_短期P7-10'!EF88")</f>
        <v>'報告_短期P7-10'!EF88</v>
      </c>
      <c r="E120" s="1761">
        <v>5606313</v>
      </c>
      <c r="F120" s="1762">
        <f>N('報告_短期P7-10'!CB88)</f>
        <v>1437643</v>
      </c>
      <c r="G120" s="1763" t="s">
        <v>2382</v>
      </c>
    </row>
    <row r="121" spans="1:7" ht="19.95" customHeight="1">
      <c r="A121" s="1716">
        <v>114</v>
      </c>
      <c r="B121" s="1755" t="s">
        <v>7</v>
      </c>
      <c r="C121" s="1711" t="s">
        <v>2383</v>
      </c>
      <c r="D121" s="1730" t="str">
        <f>HYPERLINK("#'報告_短期P7-10'!EF90","'報告_短期P7-10'!EF90")</f>
        <v>'報告_短期P7-10'!EF90</v>
      </c>
      <c r="E121" s="1761">
        <v>2031234846</v>
      </c>
      <c r="F121" s="1762">
        <f>N('報告_短期P7-10'!CB90)</f>
        <v>2096611727</v>
      </c>
      <c r="G121" s="1764" t="s">
        <v>2384</v>
      </c>
    </row>
    <row r="122" spans="1:7" ht="19.95" customHeight="1">
      <c r="A122" s="1712">
        <v>115</v>
      </c>
      <c r="B122" s="1752" t="s">
        <v>7</v>
      </c>
      <c r="C122" s="1708" t="s">
        <v>2385</v>
      </c>
      <c r="D122" s="1727" t="str">
        <f>HYPERLINK("#'報告_短期P7-10'!EF91","'報告_短期P7-10'!EF91")</f>
        <v>'報告_短期P7-10'!EF91</v>
      </c>
      <c r="E122" s="1761">
        <v>2191337400</v>
      </c>
      <c r="F122" s="1762">
        <f>N('報告_短期P7-10'!CB91)</f>
        <v>2306088269</v>
      </c>
      <c r="G122" s="1763" t="s">
        <v>2386</v>
      </c>
    </row>
    <row r="123" spans="1:7" ht="19.95" customHeight="1">
      <c r="A123" s="1716">
        <v>116</v>
      </c>
      <c r="B123" s="1755" t="s">
        <v>7</v>
      </c>
      <c r="C123" s="1711" t="s">
        <v>2387</v>
      </c>
      <c r="D123" s="1730" t="str">
        <f>HYPERLINK("#'報告_短期P7-10'!EF92","'報告_短期P7-10'!EF92")</f>
        <v>'報告_短期P7-10'!EF92</v>
      </c>
      <c r="E123" s="1761">
        <v>9941</v>
      </c>
      <c r="F123" s="1762">
        <f>N('報告_短期P7-10'!CB92)</f>
        <v>0</v>
      </c>
      <c r="G123" s="1764" t="s">
        <v>2388</v>
      </c>
    </row>
    <row r="124" spans="1:7" ht="19.95" customHeight="1">
      <c r="A124" s="1712">
        <v>117</v>
      </c>
      <c r="B124" s="1752" t="s">
        <v>7</v>
      </c>
      <c r="C124" s="1708" t="s">
        <v>2389</v>
      </c>
      <c r="D124" s="1727" t="str">
        <f>HYPERLINK("#'報告_短期P7-10'!EF93","'報告_短期P7-10'!EF93")</f>
        <v>'報告_短期P7-10'!EF93</v>
      </c>
      <c r="E124" s="1761">
        <v>0</v>
      </c>
      <c r="F124" s="1762">
        <f>N('報告_短期P7-10'!CB93)</f>
        <v>0</v>
      </c>
      <c r="G124" s="1763" t="s">
        <v>2390</v>
      </c>
    </row>
    <row r="125" spans="1:7" ht="19.95" customHeight="1">
      <c r="A125" s="1716">
        <v>118</v>
      </c>
      <c r="B125" s="1755" t="s">
        <v>7</v>
      </c>
      <c r="C125" s="1711" t="s">
        <v>2391</v>
      </c>
      <c r="D125" s="1730" t="str">
        <f>HYPERLINK("#'報告_短期P7-10'!EF94","'報告_短期P7-10'!EF94")</f>
        <v>'報告_短期P7-10'!EF94</v>
      </c>
      <c r="E125" s="1761">
        <v>881</v>
      </c>
      <c r="F125" s="1762">
        <f>N('報告_短期P7-10'!CB94)</f>
        <v>871</v>
      </c>
      <c r="G125" s="1764" t="s">
        <v>2392</v>
      </c>
    </row>
    <row r="126" spans="1:7" ht="19.95" customHeight="1">
      <c r="A126" s="1712">
        <v>119</v>
      </c>
      <c r="B126" s="1752" t="s">
        <v>7</v>
      </c>
      <c r="C126" s="1708" t="s">
        <v>2393</v>
      </c>
      <c r="D126" s="1727" t="str">
        <f>HYPERLINK("#'報告_短期P7-10'!EF95","'報告_短期P7-10'!EF95")</f>
        <v>'報告_短期P7-10'!EF95</v>
      </c>
      <c r="E126" s="1761">
        <v>933307404</v>
      </c>
      <c r="F126" s="1762">
        <f>N('報告_短期P7-10'!CB95)</f>
        <v>949753680</v>
      </c>
      <c r="G126" s="1763" t="s">
        <v>2394</v>
      </c>
    </row>
    <row r="127" spans="1:7" ht="19.95" customHeight="1">
      <c r="A127" s="1716">
        <v>120</v>
      </c>
      <c r="B127" s="1755" t="s">
        <v>7</v>
      </c>
      <c r="C127" s="1711" t="s">
        <v>2395</v>
      </c>
      <c r="D127" s="1730" t="str">
        <f>HYPERLINK("#'報告_短期P7-10'!EF96","'報告_短期P7-10'!EF96")</f>
        <v>'報告_短期P7-10'!EF96</v>
      </c>
      <c r="E127" s="1761">
        <v>0</v>
      </c>
      <c r="F127" s="1762">
        <f>N('報告_短期P7-10'!CB96)</f>
        <v>0</v>
      </c>
      <c r="G127" s="1764" t="s">
        <v>2396</v>
      </c>
    </row>
    <row r="128" spans="1:7" ht="19.95" customHeight="1">
      <c r="A128" s="1712">
        <v>121</v>
      </c>
      <c r="B128" s="1752" t="s">
        <v>7</v>
      </c>
      <c r="C128" s="1708" t="s">
        <v>2397</v>
      </c>
      <c r="D128" s="1727" t="str">
        <f>HYPERLINK("#'報告_短期P7-10'!EF97","'報告_短期P7-10'!EF97")</f>
        <v>'報告_短期P7-10'!EF97</v>
      </c>
      <c r="E128" s="1761">
        <v>74042318</v>
      </c>
      <c r="F128" s="1762">
        <f>N('報告_短期P7-10'!CB97)</f>
        <v>83079703</v>
      </c>
      <c r="G128" s="1763" t="s">
        <v>2398</v>
      </c>
    </row>
    <row r="129" spans="1:7" ht="19.95" customHeight="1">
      <c r="A129" s="1716">
        <v>122</v>
      </c>
      <c r="B129" s="1755" t="s">
        <v>7</v>
      </c>
      <c r="C129" s="1711" t="s">
        <v>2399</v>
      </c>
      <c r="D129" s="1730" t="str">
        <f>HYPERLINK("#'報告_短期P7-10'!EF98","'報告_短期P7-10'!EF98")</f>
        <v>'報告_短期P7-10'!EF98</v>
      </c>
      <c r="E129" s="1761">
        <v>0</v>
      </c>
      <c r="F129" s="1762">
        <f>N('報告_短期P7-10'!CB98)</f>
        <v>0</v>
      </c>
      <c r="G129" s="1764" t="s">
        <v>2400</v>
      </c>
    </row>
    <row r="130" spans="1:7" ht="19.95" customHeight="1">
      <c r="A130" s="1712">
        <v>123</v>
      </c>
      <c r="B130" s="1752" t="s">
        <v>7</v>
      </c>
      <c r="C130" s="1708" t="s">
        <v>2401</v>
      </c>
      <c r="D130" s="1727" t="str">
        <f>HYPERLINK("#'報告_短期P7-10'!EF99","'報告_短期P7-10'!EF99")</f>
        <v>'報告_短期P7-10'!EF99</v>
      </c>
      <c r="E130" s="1761">
        <v>0</v>
      </c>
      <c r="F130" s="1762">
        <f>N('報告_短期P7-10'!CB99)</f>
        <v>0</v>
      </c>
      <c r="G130" s="1763" t="s">
        <v>2402</v>
      </c>
    </row>
    <row r="131" spans="1:7" ht="19.95" customHeight="1">
      <c r="A131" s="1716">
        <v>124</v>
      </c>
      <c r="B131" s="1755" t="s">
        <v>7</v>
      </c>
      <c r="C131" s="1711" t="s">
        <v>2403</v>
      </c>
      <c r="D131" s="1730" t="str">
        <f>HYPERLINK("#'報告_短期P7-10'!EF100","'報告_短期P7-10'!EF100")</f>
        <v>'報告_短期P7-10'!EF100</v>
      </c>
      <c r="E131" s="1761">
        <v>20352273</v>
      </c>
      <c r="F131" s="1762">
        <f>N('報告_短期P7-10'!CB100)</f>
        <v>21170108</v>
      </c>
      <c r="G131" s="1764" t="s">
        <v>2404</v>
      </c>
    </row>
    <row r="132" spans="1:7" ht="19.95" customHeight="1">
      <c r="A132" s="1712">
        <v>125</v>
      </c>
      <c r="B132" s="1752" t="s">
        <v>7</v>
      </c>
      <c r="C132" s="1708" t="s">
        <v>2405</v>
      </c>
      <c r="D132" s="1727" t="str">
        <f>HYPERLINK("#'報告_短期P7-10'!EF101","'報告_短期P7-10'!EF101")</f>
        <v>'報告_短期P7-10'!EF101</v>
      </c>
      <c r="E132" s="1761">
        <v>111938774</v>
      </c>
      <c r="F132" s="1762">
        <f>N('報告_短期P7-10'!CB101)</f>
        <v>116435930</v>
      </c>
      <c r="G132" s="1763" t="s">
        <v>2406</v>
      </c>
    </row>
    <row r="133" spans="1:7" ht="19.95" customHeight="1">
      <c r="A133" s="1716">
        <v>126</v>
      </c>
      <c r="B133" s="1755" t="s">
        <v>7</v>
      </c>
      <c r="C133" s="1711" t="s">
        <v>2407</v>
      </c>
      <c r="D133" s="1730" t="str">
        <f>HYPERLINK("#'報告_短期P7-10'!EF103","'報告_短期P7-10'!EF103")</f>
        <v>'報告_短期P7-10'!EF103</v>
      </c>
      <c r="E133" s="1761">
        <v>10086981</v>
      </c>
      <c r="F133" s="1762">
        <f>N('報告_短期P7-10'!CB103)</f>
        <v>10496085</v>
      </c>
      <c r="G133" s="1764" t="s">
        <v>2408</v>
      </c>
    </row>
    <row r="134" spans="1:7" ht="19.95" customHeight="1">
      <c r="A134" s="1712">
        <v>127</v>
      </c>
      <c r="B134" s="1752" t="s">
        <v>7</v>
      </c>
      <c r="C134" s="1708" t="s">
        <v>2409</v>
      </c>
      <c r="D134" s="1727" t="str">
        <f>HYPERLINK("#'報告_短期P7-10'!EF104","'報告_短期P7-10'!EF104")</f>
        <v>'報告_短期P7-10'!EF104</v>
      </c>
      <c r="E134" s="1761">
        <v>582985914</v>
      </c>
      <c r="F134" s="1762">
        <f>N('報告_短期P7-10'!CB104)</f>
        <v>602043925</v>
      </c>
      <c r="G134" s="1763" t="s">
        <v>2410</v>
      </c>
    </row>
    <row r="135" spans="1:7" ht="19.95" customHeight="1">
      <c r="A135" s="1716">
        <v>128</v>
      </c>
      <c r="B135" s="1755" t="s">
        <v>7</v>
      </c>
      <c r="C135" s="1711" t="s">
        <v>2411</v>
      </c>
      <c r="D135" s="1730" t="str">
        <f>HYPERLINK("#'報告_短期P7-10'!EF106","'報告_短期P7-10'!EF106")</f>
        <v>'報告_短期P7-10'!EF106</v>
      </c>
      <c r="E135" s="1761">
        <v>11648520</v>
      </c>
      <c r="F135" s="1762">
        <f>N('報告_短期P7-10'!CB106)</f>
        <v>11834281</v>
      </c>
      <c r="G135" s="1764" t="s">
        <v>2412</v>
      </c>
    </row>
    <row r="136" spans="1:7" ht="19.95" customHeight="1">
      <c r="A136" s="1712">
        <v>129</v>
      </c>
      <c r="B136" s="1752" t="s">
        <v>7</v>
      </c>
      <c r="C136" s="1708" t="s">
        <v>2413</v>
      </c>
      <c r="D136" s="1727" t="str">
        <f>HYPERLINK("#'報告_短期P7-10'!EF109","'報告_短期P7-10'!EF109")</f>
        <v>'報告_短期P7-10'!EF109</v>
      </c>
      <c r="E136" s="1761">
        <v>0</v>
      </c>
      <c r="F136" s="1762">
        <f>N('報告_短期P7-10'!CB109)</f>
        <v>0</v>
      </c>
      <c r="G136" s="1763" t="s">
        <v>2414</v>
      </c>
    </row>
    <row r="137" spans="1:7" ht="19.95" customHeight="1">
      <c r="A137" s="1716">
        <v>130</v>
      </c>
      <c r="B137" s="1755" t="s">
        <v>7</v>
      </c>
      <c r="C137" s="1711" t="s">
        <v>2415</v>
      </c>
      <c r="D137" s="1730" t="str">
        <f>HYPERLINK("#'報告_短期P7-10'!DR136","'報告_短期P7-10'!DR136")</f>
        <v>'報告_短期P7-10'!DR136</v>
      </c>
      <c r="E137" s="1761">
        <v>1511</v>
      </c>
      <c r="F137" s="1762">
        <f>N('報告_短期P7-10'!AZ136)</f>
        <v>1576</v>
      </c>
      <c r="G137" s="1764" t="s">
        <v>2416</v>
      </c>
    </row>
    <row r="138" spans="1:7" ht="19.95" customHeight="1">
      <c r="A138" s="1712">
        <v>131</v>
      </c>
      <c r="B138" s="1752" t="s">
        <v>7</v>
      </c>
      <c r="C138" s="1708" t="s">
        <v>2417</v>
      </c>
      <c r="D138" s="1727" t="str">
        <f>HYPERLINK("#'報告_短期P7-10'!DR137","'報告_短期P7-10'!DR137")</f>
        <v>'報告_短期P7-10'!DR137</v>
      </c>
      <c r="E138" s="1761">
        <v>152883</v>
      </c>
      <c r="F138" s="1762">
        <f>N('報告_短期P7-10'!AZ137)</f>
        <v>153520</v>
      </c>
      <c r="G138" s="1763" t="s">
        <v>2418</v>
      </c>
    </row>
    <row r="139" spans="1:7" ht="19.95" customHeight="1">
      <c r="A139" s="1716">
        <v>132</v>
      </c>
      <c r="B139" s="1755" t="s">
        <v>7</v>
      </c>
      <c r="C139" s="1711" t="s">
        <v>2419</v>
      </c>
      <c r="D139" s="1730" t="str">
        <f>HYPERLINK("#'報告_短期P7-10'!DR138","'報告_短期P7-10'!DR138")</f>
        <v>'報告_短期P7-10'!DR138</v>
      </c>
      <c r="E139" s="1761">
        <v>40341</v>
      </c>
      <c r="F139" s="1762">
        <f>N('報告_短期P7-10'!AZ138)</f>
        <v>42061</v>
      </c>
      <c r="G139" s="1764" t="s">
        <v>2420</v>
      </c>
    </row>
    <row r="140" spans="1:7" ht="19.95" customHeight="1">
      <c r="A140" s="1712">
        <v>133</v>
      </c>
      <c r="B140" s="1752" t="s">
        <v>7</v>
      </c>
      <c r="C140" s="1708" t="s">
        <v>2421</v>
      </c>
      <c r="D140" s="1727" t="str">
        <f>HYPERLINK("#'報告_短期P7-10'!DR139","'報告_短期P7-10'!DR139")</f>
        <v>'報告_短期P7-10'!DR139</v>
      </c>
      <c r="E140" s="1761">
        <v>1274</v>
      </c>
      <c r="F140" s="1762">
        <f>N('報告_短期P7-10'!AZ139)</f>
        <v>1312</v>
      </c>
      <c r="G140" s="1763" t="s">
        <v>2422</v>
      </c>
    </row>
    <row r="141" spans="1:7" ht="19.95" customHeight="1">
      <c r="A141" s="1716">
        <v>134</v>
      </c>
      <c r="B141" s="1755" t="s">
        <v>7</v>
      </c>
      <c r="C141" s="1711" t="s">
        <v>2423</v>
      </c>
      <c r="D141" s="1730" t="str">
        <f>HYPERLINK("#'報告_短期P7-10'!DR141","'報告_短期P7-10'!DR141")</f>
        <v>'報告_短期P7-10'!DR141</v>
      </c>
      <c r="E141" s="1761">
        <v>105406</v>
      </c>
      <c r="F141" s="1762">
        <f>N('報告_短期P7-10'!AZ141)</f>
        <v>106878</v>
      </c>
      <c r="G141" s="1764" t="s">
        <v>2424</v>
      </c>
    </row>
    <row r="142" spans="1:7" ht="19.95" customHeight="1">
      <c r="A142" s="1712">
        <v>135</v>
      </c>
      <c r="B142" s="1752" t="s">
        <v>7</v>
      </c>
      <c r="C142" s="1708" t="s">
        <v>2425</v>
      </c>
      <c r="D142" s="1727" t="str">
        <f>HYPERLINK("#'報告_短期P7-10'!DR142","'報告_短期P7-10'!DR142")</f>
        <v>'報告_短期P7-10'!DR142</v>
      </c>
      <c r="E142" s="1761">
        <v>221</v>
      </c>
      <c r="F142" s="1762">
        <f>N('報告_短期P7-10'!AZ142)</f>
        <v>219</v>
      </c>
      <c r="G142" s="1763" t="s">
        <v>2426</v>
      </c>
    </row>
    <row r="143" spans="1:7" ht="19.95" customHeight="1">
      <c r="A143" s="1716">
        <v>136</v>
      </c>
      <c r="B143" s="1755" t="s">
        <v>7</v>
      </c>
      <c r="C143" s="1711" t="s">
        <v>2427</v>
      </c>
      <c r="D143" s="1730" t="str">
        <f>HYPERLINK("#'報告_短期P7-10'!DR143","'報告_短期P7-10'!DR143")</f>
        <v>'報告_短期P7-10'!DR143</v>
      </c>
      <c r="E143" s="1761">
        <v>0</v>
      </c>
      <c r="F143" s="1762">
        <f>N('報告_短期P7-10'!AZ143)</f>
        <v>0</v>
      </c>
      <c r="G143" s="1764" t="s">
        <v>2428</v>
      </c>
    </row>
    <row r="144" spans="1:7" ht="19.95" customHeight="1">
      <c r="A144" s="1712">
        <v>137</v>
      </c>
      <c r="B144" s="1752" t="s">
        <v>7</v>
      </c>
      <c r="C144" s="1708" t="s">
        <v>2429</v>
      </c>
      <c r="D144" s="1727" t="str">
        <f>HYPERLINK("#'報告_短期P7-10'!DR145","'報告_短期P7-10'!DR145")</f>
        <v>'報告_短期P7-10'!DR145</v>
      </c>
      <c r="E144" s="1761">
        <v>986</v>
      </c>
      <c r="F144" s="1762">
        <f>N('報告_短期P7-10'!AZ145)</f>
        <v>965</v>
      </c>
      <c r="G144" s="1763" t="s">
        <v>2430</v>
      </c>
    </row>
    <row r="145" spans="1:7" ht="19.95" customHeight="1">
      <c r="A145" s="1716">
        <v>138</v>
      </c>
      <c r="B145" s="1755" t="s">
        <v>7</v>
      </c>
      <c r="C145" s="1711" t="s">
        <v>2431</v>
      </c>
      <c r="D145" s="1730" t="str">
        <f>HYPERLINK("#'報告_短期P7-10'!DR146","'報告_短期P7-10'!DR146")</f>
        <v>'報告_短期P7-10'!DR146</v>
      </c>
      <c r="E145" s="1761">
        <v>85580</v>
      </c>
      <c r="F145" s="1762">
        <f>N('報告_短期P7-10'!AZ146)</f>
        <v>84951</v>
      </c>
      <c r="G145" s="1764" t="s">
        <v>2432</v>
      </c>
    </row>
    <row r="146" spans="1:7" ht="19.95" customHeight="1">
      <c r="A146" s="1712">
        <v>139</v>
      </c>
      <c r="B146" s="1752" t="s">
        <v>7</v>
      </c>
      <c r="C146" s="1708" t="s">
        <v>2433</v>
      </c>
      <c r="D146" s="1727" t="str">
        <f>HYPERLINK("#'報告_短期P7-10'!DR147","'報告_短期P7-10'!DR147")</f>
        <v>'報告_短期P7-10'!DR147</v>
      </c>
      <c r="E146" s="1761">
        <v>21003</v>
      </c>
      <c r="F146" s="1762">
        <f>N('報告_短期P7-10'!AZ147)</f>
        <v>21961</v>
      </c>
      <c r="G146" s="1763" t="s">
        <v>2434</v>
      </c>
    </row>
    <row r="147" spans="1:7" ht="19.95" customHeight="1">
      <c r="A147" s="1716">
        <v>140</v>
      </c>
      <c r="B147" s="1755" t="s">
        <v>7</v>
      </c>
      <c r="C147" s="1711" t="s">
        <v>2435</v>
      </c>
      <c r="D147" s="1730" t="str">
        <f>HYPERLINK("#'報告_短期P7-10'!DR148","'報告_短期P7-10'!DR148")</f>
        <v>'報告_短期P7-10'!DR148</v>
      </c>
      <c r="E147" s="1761">
        <v>825</v>
      </c>
      <c r="F147" s="1762">
        <f>N('報告_短期P7-10'!AZ148)</f>
        <v>813</v>
      </c>
      <c r="G147" s="1764" t="s">
        <v>2436</v>
      </c>
    </row>
    <row r="148" spans="1:7" ht="19.95" customHeight="1">
      <c r="A148" s="1712">
        <v>141</v>
      </c>
      <c r="B148" s="1752" t="s">
        <v>7</v>
      </c>
      <c r="C148" s="1708" t="s">
        <v>2437</v>
      </c>
      <c r="D148" s="1727" t="str">
        <f>HYPERLINK("#'報告_短期P7-10'!DR150","'報告_短期P7-10'!DR150")</f>
        <v>'報告_短期P7-10'!DR150</v>
      </c>
      <c r="E148" s="1761">
        <v>61457</v>
      </c>
      <c r="F148" s="1762">
        <f>N('報告_短期P7-10'!AZ150)</f>
        <v>61391</v>
      </c>
      <c r="G148" s="1763" t="s">
        <v>2438</v>
      </c>
    </row>
    <row r="149" spans="1:7" ht="19.95" customHeight="1">
      <c r="A149" s="1716">
        <v>142</v>
      </c>
      <c r="B149" s="1755" t="s">
        <v>7</v>
      </c>
      <c r="C149" s="1711" t="s">
        <v>2439</v>
      </c>
      <c r="D149" s="1730" t="str">
        <f>HYPERLINK("#'報告_短期P7-10'!DR151","'報告_短期P7-10'!DR151")</f>
        <v>'報告_短期P7-10'!DR151</v>
      </c>
      <c r="E149" s="1761">
        <v>636</v>
      </c>
      <c r="F149" s="1762">
        <f>N('報告_短期P7-10'!AZ151)</f>
        <v>838</v>
      </c>
      <c r="G149" s="1764" t="s">
        <v>2440</v>
      </c>
    </row>
    <row r="150" spans="1:7" ht="19.95" customHeight="1">
      <c r="A150" s="1712">
        <v>143</v>
      </c>
      <c r="B150" s="1752" t="s">
        <v>7</v>
      </c>
      <c r="C150" s="1708" t="s">
        <v>2441</v>
      </c>
      <c r="D150" s="1727" t="str">
        <f>HYPERLINK("#'報告_短期P7-10'!DR152","'報告_短期P7-10'!DR152")</f>
        <v>'報告_短期P7-10'!DR152</v>
      </c>
      <c r="E150" s="1761">
        <v>1</v>
      </c>
      <c r="F150" s="1762">
        <f>N('報告_短期P7-10'!AZ152)</f>
        <v>0</v>
      </c>
      <c r="G150" s="1763" t="s">
        <v>2442</v>
      </c>
    </row>
    <row r="151" spans="1:7" ht="19.95" customHeight="1">
      <c r="A151" s="1716">
        <v>144</v>
      </c>
      <c r="B151" s="1755" t="s">
        <v>7</v>
      </c>
      <c r="C151" s="1711" t="s">
        <v>2443</v>
      </c>
      <c r="D151" s="1730" t="str">
        <f>HYPERLINK("#'報告_短期P7-10'!DR154","'報告_短期P7-10'!DR154")</f>
        <v>'報告_短期P7-10'!DR154</v>
      </c>
      <c r="E151" s="1761">
        <v>2981</v>
      </c>
      <c r="F151" s="1762">
        <f>N('報告_短期P7-10'!AZ154)</f>
        <v>3345</v>
      </c>
      <c r="G151" s="1764" t="s">
        <v>2444</v>
      </c>
    </row>
    <row r="152" spans="1:7" ht="19.95" customHeight="1">
      <c r="A152" s="1712">
        <v>145</v>
      </c>
      <c r="B152" s="1752" t="s">
        <v>7</v>
      </c>
      <c r="C152" s="1708" t="s">
        <v>2445</v>
      </c>
      <c r="D152" s="1727" t="str">
        <f>HYPERLINK("#'報告_短期P7-10'!EO136","'報告_短期P7-10'!EO136")</f>
        <v>'報告_短期P7-10'!EO136</v>
      </c>
      <c r="E152" s="1761">
        <v>11184</v>
      </c>
      <c r="F152" s="1762">
        <f>N('報告_短期P7-10'!BW136)</f>
        <v>11459</v>
      </c>
      <c r="G152" s="1763" t="s">
        <v>2446</v>
      </c>
    </row>
    <row r="153" spans="1:7" ht="19.95" customHeight="1">
      <c r="A153" s="1716">
        <v>146</v>
      </c>
      <c r="B153" s="1755" t="s">
        <v>7</v>
      </c>
      <c r="C153" s="1711" t="s">
        <v>2447</v>
      </c>
      <c r="D153" s="1730" t="str">
        <f>HYPERLINK("#'報告_短期P7-10'!EO137","'報告_短期P7-10'!EO137")</f>
        <v>'報告_短期P7-10'!EO137</v>
      </c>
      <c r="E153" s="1761">
        <v>207756</v>
      </c>
      <c r="F153" s="1762">
        <f>N('報告_短期P7-10'!BW137)</f>
        <v>208152</v>
      </c>
      <c r="G153" s="1764" t="s">
        <v>2448</v>
      </c>
    </row>
    <row r="154" spans="1:7" ht="19.95" customHeight="1">
      <c r="A154" s="1712">
        <v>147</v>
      </c>
      <c r="B154" s="1752" t="s">
        <v>7</v>
      </c>
      <c r="C154" s="1708" t="s">
        <v>2449</v>
      </c>
      <c r="D154" s="1727" t="str">
        <f>HYPERLINK("#'報告_短期P7-10'!EO138","'報告_短期P7-10'!EO138")</f>
        <v>'報告_短期P7-10'!EO138</v>
      </c>
      <c r="E154" s="1761">
        <v>58484</v>
      </c>
      <c r="F154" s="1762">
        <f>N('報告_短期P7-10'!BW138)</f>
        <v>59708</v>
      </c>
      <c r="G154" s="1763" t="s">
        <v>2450</v>
      </c>
    </row>
    <row r="155" spans="1:7" ht="19.95" customHeight="1">
      <c r="A155" s="1716">
        <v>148</v>
      </c>
      <c r="B155" s="1755" t="s">
        <v>7</v>
      </c>
      <c r="C155" s="1711" t="s">
        <v>2451</v>
      </c>
      <c r="D155" s="1730" t="str">
        <f>HYPERLINK("#'報告_短期P7-10'!EO139","'報告_短期P7-10'!EO139")</f>
        <v>'報告_短期P7-10'!EO139</v>
      </c>
      <c r="E155" s="1761">
        <v>23538</v>
      </c>
      <c r="F155" s="1762">
        <f>N('報告_短期P7-10'!BW139)</f>
        <v>24331</v>
      </c>
      <c r="G155" s="1764" t="s">
        <v>2452</v>
      </c>
    </row>
    <row r="156" spans="1:7" ht="19.95" customHeight="1">
      <c r="A156" s="1712">
        <v>149</v>
      </c>
      <c r="B156" s="1752" t="s">
        <v>7</v>
      </c>
      <c r="C156" s="1708" t="s">
        <v>2453</v>
      </c>
      <c r="D156" s="1727" t="str">
        <f>HYPERLINK("#'報告_短期P7-10'!EO141","'報告_短期P7-10'!EO141")</f>
        <v>'報告_短期P7-10'!EO141</v>
      </c>
      <c r="E156" s="1761">
        <v>121864</v>
      </c>
      <c r="F156" s="1762">
        <f>N('報告_短期P7-10'!BW141)</f>
        <v>122721</v>
      </c>
      <c r="G156" s="1763" t="s">
        <v>2454</v>
      </c>
    </row>
    <row r="157" spans="1:7" ht="19.95" customHeight="1">
      <c r="A157" s="1716">
        <v>150</v>
      </c>
      <c r="B157" s="1755" t="s">
        <v>7</v>
      </c>
      <c r="C157" s="1711" t="s">
        <v>2455</v>
      </c>
      <c r="D157" s="1730" t="str">
        <f>HYPERLINK("#'報告_短期P7-10'!EO142","'報告_短期P7-10'!EO142")</f>
        <v>'報告_短期P7-10'!EO142</v>
      </c>
      <c r="E157" s="1761">
        <v>1258</v>
      </c>
      <c r="F157" s="1762">
        <f>N('報告_短期P7-10'!BW142)</f>
        <v>1235</v>
      </c>
      <c r="G157" s="1764" t="s">
        <v>2456</v>
      </c>
    </row>
    <row r="158" spans="1:7" ht="19.95" customHeight="1">
      <c r="A158" s="1712">
        <v>151</v>
      </c>
      <c r="B158" s="1752" t="s">
        <v>7</v>
      </c>
      <c r="C158" s="1708" t="s">
        <v>2457</v>
      </c>
      <c r="D158" s="1727" t="str">
        <f>HYPERLINK("#'報告_短期P7-10'!EO145","'報告_短期P7-10'!EO145")</f>
        <v>'報告_短期P7-10'!EO145</v>
      </c>
      <c r="E158" s="1761">
        <v>9047</v>
      </c>
      <c r="F158" s="1762">
        <f>N('報告_短期P7-10'!BW145)</f>
        <v>9143</v>
      </c>
      <c r="G158" s="1763" t="s">
        <v>2458</v>
      </c>
    </row>
    <row r="159" spans="1:7" ht="19.95" customHeight="1">
      <c r="A159" s="1716">
        <v>152</v>
      </c>
      <c r="B159" s="1755" t="s">
        <v>7</v>
      </c>
      <c r="C159" s="1711" t="s">
        <v>2459</v>
      </c>
      <c r="D159" s="1730" t="str">
        <f>HYPERLINK("#'報告_短期P7-10'!EO146","'報告_短期P7-10'!EO146")</f>
        <v>'報告_短期P7-10'!EO146</v>
      </c>
      <c r="E159" s="1761">
        <v>117869</v>
      </c>
      <c r="F159" s="1762">
        <f>N('報告_短期P7-10'!BW146)</f>
        <v>116061</v>
      </c>
      <c r="G159" s="1764" t="s">
        <v>2460</v>
      </c>
    </row>
    <row r="160" spans="1:7" ht="19.95" customHeight="1">
      <c r="A160" s="1712">
        <v>153</v>
      </c>
      <c r="B160" s="1752" t="s">
        <v>7</v>
      </c>
      <c r="C160" s="1708" t="s">
        <v>2461</v>
      </c>
      <c r="D160" s="1727" t="str">
        <f>HYPERLINK("#'報告_短期P7-10'!EO147","'報告_短期P7-10'!EO147")</f>
        <v>'報告_短期P7-10'!EO147</v>
      </c>
      <c r="E160" s="1761">
        <v>27197</v>
      </c>
      <c r="F160" s="1762">
        <f>N('報告_短期P7-10'!BW147)</f>
        <v>27855</v>
      </c>
      <c r="G160" s="1763" t="s">
        <v>2462</v>
      </c>
    </row>
    <row r="161" spans="1:7" ht="19.95" customHeight="1">
      <c r="A161" s="1716">
        <v>154</v>
      </c>
      <c r="B161" s="1755" t="s">
        <v>7</v>
      </c>
      <c r="C161" s="1711" t="s">
        <v>2463</v>
      </c>
      <c r="D161" s="1730" t="str">
        <f>HYPERLINK("#'報告_短期P7-10'!EO148","'報告_短期P7-10'!EO148")</f>
        <v>'報告_短期P7-10'!EO148</v>
      </c>
      <c r="E161" s="1761">
        <v>20414</v>
      </c>
      <c r="F161" s="1762">
        <f>N('報告_短期P7-10'!BW148)</f>
        <v>20430</v>
      </c>
      <c r="G161" s="1764" t="s">
        <v>2464</v>
      </c>
    </row>
    <row r="162" spans="1:7" ht="19.95" customHeight="1">
      <c r="A162" s="1712">
        <v>155</v>
      </c>
      <c r="B162" s="1752" t="s">
        <v>7</v>
      </c>
      <c r="C162" s="1708" t="s">
        <v>2465</v>
      </c>
      <c r="D162" s="1727" t="str">
        <f>HYPERLINK("#'報告_短期P7-10'!EO150","'報告_短期P7-10'!EO150")</f>
        <v>'報告_短期P7-10'!EO150</v>
      </c>
      <c r="E162" s="1761">
        <v>74865</v>
      </c>
      <c r="F162" s="1762">
        <f>N('報告_短期P7-10'!BW150)</f>
        <v>73911</v>
      </c>
      <c r="G162" s="1763" t="s">
        <v>2466</v>
      </c>
    </row>
    <row r="163" spans="1:7" ht="19.95" customHeight="1">
      <c r="A163" s="1716">
        <v>156</v>
      </c>
      <c r="B163" s="1755" t="s">
        <v>7</v>
      </c>
      <c r="C163" s="1711" t="s">
        <v>2467</v>
      </c>
      <c r="D163" s="1730" t="str">
        <f>HYPERLINK("#'報告_短期P7-10'!EO151","'報告_短期P7-10'!EO151")</f>
        <v>'報告_短期P7-10'!EO151</v>
      </c>
      <c r="E163" s="1761">
        <v>3248</v>
      </c>
      <c r="F163" s="1762">
        <f>N('報告_短期P7-10'!BW151)</f>
        <v>4775</v>
      </c>
      <c r="G163" s="1764" t="s">
        <v>2468</v>
      </c>
    </row>
    <row r="164" spans="1:7" ht="19.95" customHeight="1">
      <c r="A164" s="1712">
        <v>157</v>
      </c>
      <c r="B164" s="1752" t="s">
        <v>7</v>
      </c>
      <c r="C164" s="1708" t="s">
        <v>2469</v>
      </c>
      <c r="D164" s="1727" t="str">
        <f>HYPERLINK("#'報告_短期P7-10'!FH136","'報告_短期P7-10'!FH136")</f>
        <v>'報告_短期P7-10'!FH136</v>
      </c>
      <c r="E164" s="1761">
        <v>574576335</v>
      </c>
      <c r="F164" s="1762">
        <f>N('報告_短期P7-10'!CP136)</f>
        <v>574813579</v>
      </c>
      <c r="G164" s="1763" t="s">
        <v>2470</v>
      </c>
    </row>
    <row r="165" spans="1:7" ht="19.95" customHeight="1">
      <c r="A165" s="1716">
        <v>158</v>
      </c>
      <c r="B165" s="1755" t="s">
        <v>7</v>
      </c>
      <c r="C165" s="1711" t="s">
        <v>2471</v>
      </c>
      <c r="D165" s="1730" t="str">
        <f>HYPERLINK("#'報告_短期P7-10'!FH137","'報告_短期P7-10'!FH137")</f>
        <v>'報告_短期P7-10'!FH137</v>
      </c>
      <c r="E165" s="1761">
        <v>1271252147</v>
      </c>
      <c r="F165" s="1762">
        <f>N('報告_短期P7-10'!CP137)</f>
        <v>1316199270</v>
      </c>
      <c r="G165" s="1764" t="s">
        <v>2472</v>
      </c>
    </row>
    <row r="166" spans="1:7" ht="19.95" customHeight="1">
      <c r="A166" s="1712">
        <v>159</v>
      </c>
      <c r="B166" s="1752" t="s">
        <v>7</v>
      </c>
      <c r="C166" s="1708" t="s">
        <v>2473</v>
      </c>
      <c r="D166" s="1727" t="str">
        <f>HYPERLINK("#'報告_短期P7-10'!FH138","'報告_短期P7-10'!FH138")</f>
        <v>'報告_短期P7-10'!FH138</v>
      </c>
      <c r="E166" s="1761">
        <v>357934088</v>
      </c>
      <c r="F166" s="1762">
        <f>N('報告_短期P7-10'!CP138)</f>
        <v>376468225</v>
      </c>
      <c r="G166" s="1763" t="s">
        <v>2474</v>
      </c>
    </row>
    <row r="167" spans="1:7" ht="19.95" customHeight="1">
      <c r="A167" s="1716">
        <v>160</v>
      </c>
      <c r="B167" s="1755" t="s">
        <v>7</v>
      </c>
      <c r="C167" s="1711" t="s">
        <v>2475</v>
      </c>
      <c r="D167" s="1730" t="str">
        <f>HYPERLINK("#'報告_短期P7-10'!FH139","'報告_短期P7-10'!FH139")</f>
        <v>'報告_短期P7-10'!FH139</v>
      </c>
      <c r="E167" s="1761">
        <v>4984573</v>
      </c>
      <c r="F167" s="1762">
        <f>N('報告_短期P7-10'!CP139)</f>
        <v>5084491</v>
      </c>
      <c r="G167" s="1764" t="s">
        <v>2476</v>
      </c>
    </row>
    <row r="168" spans="1:7" ht="19.95" customHeight="1">
      <c r="A168" s="1712">
        <v>161</v>
      </c>
      <c r="B168" s="1752" t="s">
        <v>7</v>
      </c>
      <c r="C168" s="1708" t="s">
        <v>2477</v>
      </c>
      <c r="D168" s="1727" t="str">
        <f>HYPERLINK("#'報告_短期P7-10'!FH141","'報告_短期P7-10'!FH141")</f>
        <v>'報告_短期P7-10'!FH141</v>
      </c>
      <c r="E168" s="1761">
        <v>630097278</v>
      </c>
      <c r="F168" s="1762">
        <f>N('報告_短期P7-10'!CP141)</f>
        <v>689489860</v>
      </c>
      <c r="G168" s="1763" t="s">
        <v>2478</v>
      </c>
    </row>
    <row r="169" spans="1:7" ht="19.95" customHeight="1">
      <c r="A169" s="1716">
        <v>162</v>
      </c>
      <c r="B169" s="1755" t="s">
        <v>7</v>
      </c>
      <c r="C169" s="1711" t="s">
        <v>2479</v>
      </c>
      <c r="D169" s="1730" t="str">
        <f>HYPERLINK("#'報告_短期P7-10'!FH143","'報告_短期P7-10'!FH143")</f>
        <v>'報告_短期P7-10'!FH143</v>
      </c>
      <c r="E169" s="1761">
        <v>0</v>
      </c>
      <c r="F169" s="1762">
        <f>N('報告_短期P7-10'!CP143)</f>
        <v>0</v>
      </c>
      <c r="G169" s="1764" t="s">
        <v>2480</v>
      </c>
    </row>
    <row r="170" spans="1:7" ht="19.95" customHeight="1">
      <c r="A170" s="1712">
        <v>163</v>
      </c>
      <c r="B170" s="1752" t="s">
        <v>7</v>
      </c>
      <c r="C170" s="1708" t="s">
        <v>2481</v>
      </c>
      <c r="D170" s="1727" t="str">
        <f>HYPERLINK("#'報告_短期P7-10'!FH145","'報告_短期P7-10'!FH145")</f>
        <v>'報告_短期P7-10'!FH145</v>
      </c>
      <c r="E170" s="1761">
        <v>395953163</v>
      </c>
      <c r="F170" s="1762">
        <f>N('報告_短期P7-10'!CP145)</f>
        <v>396509932</v>
      </c>
      <c r="G170" s="1763" t="s">
        <v>2482</v>
      </c>
    </row>
    <row r="171" spans="1:7" ht="19.95" customHeight="1">
      <c r="A171" s="1716">
        <v>164</v>
      </c>
      <c r="B171" s="1755" t="s">
        <v>7</v>
      </c>
      <c r="C171" s="1711" t="s">
        <v>2483</v>
      </c>
      <c r="D171" s="1730" t="str">
        <f>HYPERLINK("#'報告_短期P7-10'!FH146","'報告_短期P7-10'!FH146")</f>
        <v>'報告_短期P7-10'!FH146</v>
      </c>
      <c r="E171" s="1761">
        <v>645283771</v>
      </c>
      <c r="F171" s="1762">
        <f>N('報告_短期P7-10'!CP146)</f>
        <v>653895303</v>
      </c>
      <c r="G171" s="1764" t="s">
        <v>2484</v>
      </c>
    </row>
    <row r="172" spans="1:7" ht="19.95" customHeight="1">
      <c r="A172" s="1712">
        <v>165</v>
      </c>
      <c r="B172" s="1752" t="s">
        <v>7</v>
      </c>
      <c r="C172" s="1708" t="s">
        <v>2485</v>
      </c>
      <c r="D172" s="1727" t="str">
        <f>HYPERLINK("#'報告_短期P7-10'!FH147","'報告_短期P7-10'!FH147")</f>
        <v>'報告_短期P7-10'!FH147</v>
      </c>
      <c r="E172" s="1761">
        <v>165134316</v>
      </c>
      <c r="F172" s="1762">
        <f>N('報告_短期P7-10'!CP147)</f>
        <v>178023048</v>
      </c>
      <c r="G172" s="1763" t="s">
        <v>2486</v>
      </c>
    </row>
    <row r="173" spans="1:7" ht="19.95" customHeight="1">
      <c r="A173" s="1716">
        <v>166</v>
      </c>
      <c r="B173" s="1755" t="s">
        <v>7</v>
      </c>
      <c r="C173" s="1711" t="s">
        <v>2487</v>
      </c>
      <c r="D173" s="1730" t="str">
        <f>HYPERLINK("#'報告_短期P7-10'!FH148","'報告_短期P7-10'!FH148")</f>
        <v>'報告_短期P7-10'!FH148</v>
      </c>
      <c r="E173" s="1761">
        <v>4172769</v>
      </c>
      <c r="F173" s="1762">
        <f>N('報告_短期P7-10'!CP148)</f>
        <v>4104640</v>
      </c>
      <c r="G173" s="1764" t="s">
        <v>2488</v>
      </c>
    </row>
    <row r="174" spans="1:7" ht="19.95" customHeight="1">
      <c r="A174" s="1712">
        <v>167</v>
      </c>
      <c r="B174" s="1752" t="s">
        <v>7</v>
      </c>
      <c r="C174" s="1708" t="s">
        <v>2489</v>
      </c>
      <c r="D174" s="1727" t="str">
        <f>HYPERLINK("#'報告_短期P7-10'!FH150","'報告_短期P7-10'!FH150")</f>
        <v>'報告_短期P7-10'!FH150</v>
      </c>
      <c r="E174" s="1761">
        <v>333232347</v>
      </c>
      <c r="F174" s="1762">
        <f>N('報告_短期P7-10'!CP150)</f>
        <v>368226435</v>
      </c>
      <c r="G174" s="1763" t="s">
        <v>2490</v>
      </c>
    </row>
    <row r="175" spans="1:7" ht="19.95" customHeight="1">
      <c r="A175" s="1716">
        <v>168</v>
      </c>
      <c r="B175" s="1755" t="s">
        <v>7</v>
      </c>
      <c r="C175" s="1711" t="s">
        <v>2491</v>
      </c>
      <c r="D175" s="1730" t="str">
        <f>HYPERLINK("#'報告_短期P11-13'!DE27","'報告_短期P11-13'!DE27")</f>
        <v>'報告_短期P11-13'!DE27</v>
      </c>
      <c r="E175" s="1761">
        <v>227028</v>
      </c>
      <c r="F175" s="1762">
        <f>N('報告_短期P11-13'!DE28)</f>
        <v>228717</v>
      </c>
      <c r="G175" s="1764" t="s">
        <v>2492</v>
      </c>
    </row>
    <row r="176" spans="1:7" ht="19.95" customHeight="1">
      <c r="A176" s="1712">
        <v>169</v>
      </c>
      <c r="B176" s="1752" t="s">
        <v>7</v>
      </c>
      <c r="C176" s="1708" t="s">
        <v>2493</v>
      </c>
      <c r="D176" s="1727" t="str">
        <f>HYPERLINK("#'報告_短期P11-13'!EB27","'報告_短期P11-13'!EB27")</f>
        <v>'報告_短期P11-13'!EB27</v>
      </c>
      <c r="E176" s="1761">
        <v>127188</v>
      </c>
      <c r="F176" s="1762">
        <f>N('報告_短期P11-13'!EB28)</f>
        <v>125206</v>
      </c>
      <c r="G176" s="1763" t="s">
        <v>2494</v>
      </c>
    </row>
    <row r="177" spans="1:7" ht="19.95" customHeight="1">
      <c r="A177" s="1716">
        <v>170</v>
      </c>
      <c r="B177" s="1755" t="s">
        <v>7</v>
      </c>
      <c r="C177" s="1711" t="s">
        <v>2495</v>
      </c>
      <c r="D177" s="1730" t="str">
        <f>HYPERLINK("#'報告_短期P11-13'!DE65","'報告_短期P11-13'!DE65")</f>
        <v>'報告_短期P11-13'!DE65</v>
      </c>
      <c r="E177" s="1761">
        <v>18919</v>
      </c>
      <c r="F177" s="1762">
        <f>N('報告_短期P11-13'!DE66)</f>
        <v>19060</v>
      </c>
      <c r="G177" s="1764" t="s">
        <v>2496</v>
      </c>
    </row>
    <row r="178" spans="1:7" ht="19.95" customHeight="1">
      <c r="A178" s="1712">
        <v>171</v>
      </c>
      <c r="B178" s="1752" t="s">
        <v>7</v>
      </c>
      <c r="C178" s="1708" t="s">
        <v>2497</v>
      </c>
      <c r="D178" s="1727" t="str">
        <f>HYPERLINK("#'報告_短期P11-13'!EB65","'報告_短期P11-13'!EB65")</f>
        <v>'報告_短期P11-13'!EB65</v>
      </c>
      <c r="E178" s="1761">
        <v>10599</v>
      </c>
      <c r="F178" s="1762">
        <f>N('報告_短期P11-13'!EB66)</f>
        <v>10434</v>
      </c>
      <c r="G178" s="1763" t="s">
        <v>2498</v>
      </c>
    </row>
    <row r="179" spans="1:7" ht="19.95" customHeight="1">
      <c r="A179" s="1716">
        <v>172</v>
      </c>
      <c r="B179" s="1755" t="s">
        <v>7</v>
      </c>
      <c r="C179" s="1711" t="s">
        <v>2499</v>
      </c>
      <c r="D179" s="1730" t="str">
        <f>HYPERLINK("#'短期_決算精算表'!B19","'短期_決算精算表'!B19")</f>
        <v>'短期_決算精算表'!B19</v>
      </c>
      <c r="E179" s="1761">
        <v>876229790</v>
      </c>
      <c r="F179" s="1762">
        <f>N(短期_決算精算表!G19)</f>
        <v>907739421</v>
      </c>
      <c r="G179" s="1764" t="s">
        <v>2500</v>
      </c>
    </row>
    <row r="180" spans="1:7" ht="19.95" customHeight="1">
      <c r="A180" s="1712">
        <v>173</v>
      </c>
      <c r="B180" s="1752" t="s">
        <v>7</v>
      </c>
      <c r="C180" s="1708" t="s">
        <v>2501</v>
      </c>
      <c r="D180" s="1727" t="str">
        <f>HYPERLINK("#'短期_附属明細表'!E99","'短期_附属明細表'!E99")</f>
        <v>'短期_附属明細表'!E99</v>
      </c>
      <c r="E180" s="1761">
        <v>480287584</v>
      </c>
      <c r="F180" s="1762">
        <f>N(短期_附属明細表!Q99)</f>
        <v>533584212</v>
      </c>
      <c r="G180" s="1763" t="s">
        <v>2502</v>
      </c>
    </row>
    <row r="181" spans="1:7" ht="19.95" customHeight="1">
      <c r="A181" s="1716">
        <v>174</v>
      </c>
      <c r="B181" s="1755" t="s">
        <v>7</v>
      </c>
      <c r="C181" s="1711" t="s">
        <v>2503</v>
      </c>
      <c r="D181" s="1730" t="str">
        <f>HYPERLINK("#'短期_附属明細表'!E100","'短期_附属明細表'!E100")</f>
        <v>'短期_附属明細表'!E100</v>
      </c>
      <c r="E181" s="1761">
        <v>1646038250</v>
      </c>
      <c r="F181" s="1762">
        <f>N(短期_附属明細表!Q100)</f>
        <v>2358068031</v>
      </c>
      <c r="G181" s="1764" t="s">
        <v>2504</v>
      </c>
    </row>
    <row r="182" spans="1:7" ht="19.95" customHeight="1">
      <c r="A182" s="1712">
        <v>175</v>
      </c>
      <c r="B182" s="1752" t="s">
        <v>7</v>
      </c>
      <c r="C182" s="1708" t="s">
        <v>2505</v>
      </c>
      <c r="D182" s="1727" t="str">
        <f>HYPERLINK("#'短期_附属明細表'!E101","'短期_附属明細表'!E101")</f>
        <v>'短期_附属明細表'!E101</v>
      </c>
      <c r="E182" s="1761">
        <v>111039759</v>
      </c>
      <c r="F182" s="1762">
        <f>N(短期_附属明細表!Q101)</f>
        <v>158483531</v>
      </c>
      <c r="G182" s="1763" t="s">
        <v>2506</v>
      </c>
    </row>
    <row r="183" spans="1:7" ht="19.95" customHeight="1">
      <c r="A183" s="1716">
        <v>176</v>
      </c>
      <c r="B183" s="1755" t="s">
        <v>8</v>
      </c>
      <c r="C183" s="1711" t="s">
        <v>2507</v>
      </c>
      <c r="D183" s="1730" t="str">
        <f>HYPERLINK("#'報告_厚生年金P14'!AQ33","'報告_厚生年金P14'!AQ33")</f>
        <v>'報告_厚生年金P14'!AQ33</v>
      </c>
      <c r="E183" s="1761">
        <v>5531758837</v>
      </c>
      <c r="F183" s="1762">
        <f>N(報告_厚生年金P14!W33)</f>
        <v>5764604459</v>
      </c>
      <c r="G183" s="1764" t="s">
        <v>2508</v>
      </c>
    </row>
    <row r="184" spans="1:7" ht="19.95" customHeight="1">
      <c r="A184" s="1712">
        <v>177</v>
      </c>
      <c r="B184" s="1752" t="s">
        <v>8</v>
      </c>
      <c r="C184" s="1708" t="s">
        <v>2509</v>
      </c>
      <c r="D184" s="1727" t="str">
        <f>HYPERLINK("#'報告_厚生年金P14'!AQ34","'報告_厚生年金P14'!AQ34")</f>
        <v>'報告_厚生年金P14'!AQ34</v>
      </c>
      <c r="E184" s="1761">
        <v>1983079708</v>
      </c>
      <c r="F184" s="1762">
        <f>N(報告_厚生年金P14!W34)</f>
        <v>1970882224</v>
      </c>
      <c r="G184" s="1763" t="s">
        <v>2510</v>
      </c>
    </row>
    <row r="185" spans="1:7" ht="19.95" customHeight="1">
      <c r="A185" s="1716">
        <v>178</v>
      </c>
      <c r="B185" s="1755" t="s">
        <v>8</v>
      </c>
      <c r="C185" s="1711" t="s">
        <v>2511</v>
      </c>
      <c r="D185" s="1730" t="str">
        <f>HYPERLINK("#'報告_厚生年金P14'!AQ35","'報告_厚生年金P14'!AQ35")</f>
        <v>'報告_厚生年金P14'!AQ35</v>
      </c>
      <c r="E185" s="1761">
        <v>2828934070</v>
      </c>
      <c r="F185" s="1762">
        <f>N(報告_厚生年金P14!W35)</f>
        <v>3627902360</v>
      </c>
      <c r="G185" s="1764" t="s">
        <v>2512</v>
      </c>
    </row>
    <row r="186" spans="1:7" ht="19.95" customHeight="1">
      <c r="A186" s="1712">
        <v>179</v>
      </c>
      <c r="B186" s="1752" t="s">
        <v>8</v>
      </c>
      <c r="C186" s="1708" t="s">
        <v>2513</v>
      </c>
      <c r="D186" s="1727" t="str">
        <f>HYPERLINK("#'報告_厚生年金P14'!AQ36","'報告_厚生年金P14'!AQ36")</f>
        <v>'報告_厚生年金P14'!AQ36</v>
      </c>
      <c r="E186" s="1761">
        <v>692129770</v>
      </c>
      <c r="F186" s="1762">
        <f>N(報告_厚生年金P14!W36)</f>
        <v>632205840</v>
      </c>
      <c r="G186" s="1763" t="s">
        <v>2514</v>
      </c>
    </row>
    <row r="187" spans="1:7" ht="19.95" customHeight="1">
      <c r="A187" s="1716">
        <v>180</v>
      </c>
      <c r="B187" s="1755" t="s">
        <v>8</v>
      </c>
      <c r="C187" s="1711" t="s">
        <v>2515</v>
      </c>
      <c r="D187" s="1730" t="str">
        <f>HYPERLINK("#'報告_厚生年金P14'!AQ38","'報告_厚生年金P14'!AQ38")</f>
        <v>'報告_厚生年金P14'!AQ38</v>
      </c>
      <c r="E187" s="1761">
        <v>5625742744</v>
      </c>
      <c r="F187" s="1762">
        <f>N(報告_厚生年金P14!W38)</f>
        <v>5763421510</v>
      </c>
      <c r="G187" s="1764" t="s">
        <v>2516</v>
      </c>
    </row>
    <row r="188" spans="1:7" ht="19.95" customHeight="1">
      <c r="A188" s="1712">
        <v>181</v>
      </c>
      <c r="B188" s="1752" t="s">
        <v>8</v>
      </c>
      <c r="C188" s="1708" t="s">
        <v>2517</v>
      </c>
      <c r="D188" s="1727" t="str">
        <f>HYPERLINK("#'報告_厚生年金P14'!AQ39","'報告_厚生年金P14'!AQ39")</f>
        <v>'報告_厚生年金P14'!AQ39</v>
      </c>
      <c r="E188" s="1761">
        <v>1888572976</v>
      </c>
      <c r="F188" s="1762">
        <f>N(報告_厚生年金P14!W39)</f>
        <v>1972393403</v>
      </c>
      <c r="G188" s="1763" t="s">
        <v>2518</v>
      </c>
    </row>
    <row r="189" spans="1:7" ht="19.95" customHeight="1">
      <c r="A189" s="1716">
        <v>182</v>
      </c>
      <c r="B189" s="1755" t="s">
        <v>8</v>
      </c>
      <c r="C189" s="1711" t="s">
        <v>2519</v>
      </c>
      <c r="D189" s="1730" t="str">
        <f>HYPERLINK("#'報告_厚生年金P14'!AQ40","'報告_厚生年金P14'!AQ40")</f>
        <v>'報告_厚生年金P14'!AQ40</v>
      </c>
      <c r="E189" s="1761">
        <v>0</v>
      </c>
      <c r="F189" s="1762">
        <f>N(報告_厚生年金P14!W40)</f>
        <v>0</v>
      </c>
      <c r="G189" s="1764" t="s">
        <v>2520</v>
      </c>
    </row>
    <row r="190" spans="1:7" ht="19.95" customHeight="1">
      <c r="A190" s="1712">
        <v>183</v>
      </c>
      <c r="B190" s="1752" t="s">
        <v>8</v>
      </c>
      <c r="C190" s="1708" t="s">
        <v>2519</v>
      </c>
      <c r="D190" s="1727" t="str">
        <f>HYPERLINK("#'報告_厚生年金P14'!AQ57","'報告_厚生年金P14'!AQ57")</f>
        <v>'報告_厚生年金P14'!AQ57</v>
      </c>
      <c r="E190" s="1761">
        <v>0</v>
      </c>
      <c r="F190" s="1762">
        <f>N(報告_厚生年金P14!W57)</f>
        <v>0</v>
      </c>
      <c r="G190" s="1763" t="s">
        <v>2521</v>
      </c>
    </row>
    <row r="191" spans="1:7" ht="19.95" customHeight="1">
      <c r="A191" s="1716">
        <v>184</v>
      </c>
      <c r="B191" s="1755" t="s">
        <v>8</v>
      </c>
      <c r="C191" s="1711" t="s">
        <v>2522</v>
      </c>
      <c r="D191" s="1730" t="str">
        <f>HYPERLINK("#'報告_厚生年金P14'!AQ47","'報告_厚生年金P14'!AQ47")</f>
        <v>'報告_厚生年金P14'!AQ47</v>
      </c>
      <c r="E191" s="1761">
        <v>100</v>
      </c>
      <c r="F191" s="1762">
        <f>N(報告_厚生年金P14!AG47)</f>
        <v>100</v>
      </c>
      <c r="G191" s="1764" t="s">
        <v>2523</v>
      </c>
    </row>
    <row r="192" spans="1:7" ht="19.95" customHeight="1">
      <c r="A192" s="1712">
        <v>185</v>
      </c>
      <c r="B192" s="1752" t="s">
        <v>8</v>
      </c>
      <c r="C192" s="1708" t="s">
        <v>2524</v>
      </c>
      <c r="D192" s="1727" t="str">
        <f>HYPERLINK("#'報告_厚生年金P14'!AQ48","'報告_厚生年金P14'!AQ48")</f>
        <v>'報告_厚生年金P14'!AQ48</v>
      </c>
      <c r="E192" s="1761">
        <v>100</v>
      </c>
      <c r="F192" s="1762">
        <f>N(報告_厚生年金P14!AG48)</f>
        <v>100</v>
      </c>
      <c r="G192" s="1763" t="s">
        <v>2525</v>
      </c>
    </row>
    <row r="193" spans="1:7" ht="19.95" customHeight="1">
      <c r="A193" s="1716">
        <v>186</v>
      </c>
      <c r="B193" s="1755" t="s">
        <v>8</v>
      </c>
      <c r="C193" s="1711" t="s">
        <v>2526</v>
      </c>
      <c r="D193" s="1730" t="str">
        <f>HYPERLINK("#'報告_厚生年金P14'!AQ49","'報告_厚生年金P14'!AQ49")</f>
        <v>'報告_厚生年金P14'!AQ49</v>
      </c>
      <c r="E193" s="1761">
        <v>100</v>
      </c>
      <c r="F193" s="1762">
        <f>N(報告_厚生年金P14!AG49)</f>
        <v>100</v>
      </c>
      <c r="G193" s="1764" t="s">
        <v>2527</v>
      </c>
    </row>
    <row r="194" spans="1:7" ht="19.95" customHeight="1">
      <c r="A194" s="1712">
        <v>187</v>
      </c>
      <c r="B194" s="1752" t="s">
        <v>9</v>
      </c>
      <c r="C194" s="1708" t="s">
        <v>2507</v>
      </c>
      <c r="D194" s="1727" t="str">
        <f>HYPERLINK("#'報告_退職等年金P15'!AQ20","'報告_退職等年金P15'!AQ20")</f>
        <v>'報告_退職等年金P15'!AQ20</v>
      </c>
      <c r="E194" s="1761">
        <v>461340943</v>
      </c>
      <c r="F194" s="1762">
        <f>N(報告_退職等年金P15!W20)</f>
        <v>472546683</v>
      </c>
      <c r="G194" s="1763" t="s">
        <v>2528</v>
      </c>
    </row>
    <row r="195" spans="1:7" ht="19.95" customHeight="1">
      <c r="A195" s="1716">
        <v>188</v>
      </c>
      <c r="B195" s="1755" t="s">
        <v>9</v>
      </c>
      <c r="C195" s="1711" t="s">
        <v>2509</v>
      </c>
      <c r="D195" s="1730" t="str">
        <f>HYPERLINK("#'報告_退職等年金P15'!AQ21","'報告_退職等年金P15'!AQ21")</f>
        <v>'報告_退職等年金P15'!AQ21</v>
      </c>
      <c r="E195" s="1761">
        <v>154824584</v>
      </c>
      <c r="F195" s="1762">
        <f>N(報告_退職等年金P15!W21)</f>
        <v>161612772</v>
      </c>
      <c r="G195" s="1764" t="s">
        <v>2529</v>
      </c>
    </row>
    <row r="196" spans="1:7" ht="19.95" customHeight="1">
      <c r="A196" s="1712">
        <v>189</v>
      </c>
      <c r="B196" s="1752" t="s">
        <v>9</v>
      </c>
      <c r="C196" s="1708" t="s">
        <v>2530</v>
      </c>
      <c r="D196" s="1727" t="str">
        <f>HYPERLINK("#'報告_退職等年金P15'!AQ23","'報告_退職等年金P15'!AQ23")</f>
        <v>'報告_退職等年金P15'!AQ23</v>
      </c>
      <c r="E196" s="1761">
        <v>461252949</v>
      </c>
      <c r="F196" s="1762">
        <f>N(報告_退職等年金P15!W23)</f>
        <v>472518734</v>
      </c>
      <c r="G196" s="1763" t="s">
        <v>2531</v>
      </c>
    </row>
    <row r="197" spans="1:7" ht="19.95" customHeight="1">
      <c r="A197" s="1716">
        <v>190</v>
      </c>
      <c r="B197" s="1755" t="s">
        <v>9</v>
      </c>
      <c r="C197" s="1711" t="s">
        <v>2532</v>
      </c>
      <c r="D197" s="1730" t="str">
        <f>HYPERLINK("#'報告_退職等年金P15'!AQ24","'報告_退職等年金P15'!AQ24")</f>
        <v>'報告_退職等年金P15'!AQ24</v>
      </c>
      <c r="E197" s="1761">
        <v>154848092</v>
      </c>
      <c r="F197" s="1762">
        <f>N(報告_退職等年金P15!W24)</f>
        <v>161687161</v>
      </c>
      <c r="G197" s="1764" t="s">
        <v>2533</v>
      </c>
    </row>
    <row r="198" spans="1:7" ht="19.95" customHeight="1">
      <c r="A198" s="1712">
        <v>191</v>
      </c>
      <c r="B198" s="1752" t="s">
        <v>9</v>
      </c>
      <c r="C198" s="1708" t="s">
        <v>2519</v>
      </c>
      <c r="D198" s="1727" t="str">
        <f>HYPERLINK("#'報告_退職等年金P15'!AQ25","'報告_退職等年金P15'!AQ25")</f>
        <v>'報告_退職等年金P15'!AQ25</v>
      </c>
      <c r="E198" s="1761">
        <v>0</v>
      </c>
      <c r="F198" s="1762">
        <f>N(報告_退職等年金P15!W25)</f>
        <v>0</v>
      </c>
      <c r="G198" s="1763" t="s">
        <v>2534</v>
      </c>
    </row>
    <row r="199" spans="1:7" ht="19.95" customHeight="1">
      <c r="A199" s="1716">
        <v>192</v>
      </c>
      <c r="B199" s="1755" t="s">
        <v>9</v>
      </c>
      <c r="C199" s="1711" t="s">
        <v>2519</v>
      </c>
      <c r="D199" s="1730" t="str">
        <f>HYPERLINK("#'報告_退職等年金P15'!AQ42","'報告_退職等年金P15'!AQ42")</f>
        <v>'報告_退職等年金P15'!AQ42</v>
      </c>
      <c r="E199" s="1761">
        <v>0</v>
      </c>
      <c r="F199" s="1762">
        <f>N(報告_退職等年金P15!W42)</f>
        <v>0</v>
      </c>
      <c r="G199" s="1764" t="s">
        <v>2535</v>
      </c>
    </row>
    <row r="200" spans="1:7" ht="19.95" customHeight="1">
      <c r="A200" s="1712">
        <v>193</v>
      </c>
      <c r="B200" s="1752" t="s">
        <v>9</v>
      </c>
      <c r="C200" s="1708" t="s">
        <v>2522</v>
      </c>
      <c r="D200" s="1727" t="str">
        <f>HYPERLINK("#'報告_退職等年金P15'!AQ32","'報告_退職等年金P15'!AQ32")</f>
        <v>'報告_退職等年金P15'!AQ32</v>
      </c>
      <c r="E200" s="1761">
        <v>100</v>
      </c>
      <c r="F200" s="1762">
        <f>N(報告_退職等年金P15!AG32)</f>
        <v>100</v>
      </c>
      <c r="G200" s="1763" t="s">
        <v>2536</v>
      </c>
    </row>
    <row r="201" spans="1:7" ht="19.95" customHeight="1">
      <c r="A201" s="1716">
        <v>194</v>
      </c>
      <c r="B201" s="1755" t="s">
        <v>9</v>
      </c>
      <c r="C201" s="1711" t="s">
        <v>2537</v>
      </c>
      <c r="D201" s="1730" t="str">
        <f>HYPERLINK("#'報告_退職等年金P15'!AQ33","'報告_退職等年金P15'!AQ33")</f>
        <v>'報告_退職等年金P15'!AQ33</v>
      </c>
      <c r="E201" s="1761">
        <v>100</v>
      </c>
      <c r="F201" s="1762">
        <f>N(報告_退職等年金P15!AG33)</f>
        <v>100</v>
      </c>
      <c r="G201" s="1764" t="s">
        <v>2538</v>
      </c>
    </row>
    <row r="202" spans="1:7" ht="19.95" customHeight="1">
      <c r="A202" s="1712">
        <v>195</v>
      </c>
      <c r="B202" s="1752" t="s">
        <v>9</v>
      </c>
      <c r="C202" s="1708" t="s">
        <v>2526</v>
      </c>
      <c r="D202" s="1727" t="str">
        <f>HYPERLINK("#'報告_退職等年金P15'!AQ34","'報告_退職等年金P15'!AQ34")</f>
        <v>'報告_退職等年金P15'!AQ34</v>
      </c>
      <c r="E202" s="1761">
        <v>100</v>
      </c>
      <c r="F202" s="1762">
        <f>N(報告_退職等年金P15!AG34)</f>
        <v>100</v>
      </c>
      <c r="G202" s="1763" t="s">
        <v>2539</v>
      </c>
    </row>
    <row r="203" spans="1:7" ht="19.95" customHeight="1">
      <c r="A203" s="1716">
        <v>196</v>
      </c>
      <c r="B203" s="1755" t="s">
        <v>10</v>
      </c>
      <c r="C203" s="1711" t="s">
        <v>2507</v>
      </c>
      <c r="D203" s="1730" t="str">
        <f>HYPERLINK("#'報告_経過的長期P16'!AQ26","'報告_経過的長期P16'!AQ26")</f>
        <v>'報告_経過的長期P16'!AQ26</v>
      </c>
      <c r="E203" s="1761">
        <v>6077620</v>
      </c>
      <c r="F203" s="1762">
        <f>N(報告_経過的長期P16!W26)</f>
        <v>6155801</v>
      </c>
      <c r="G203" s="1764" t="s">
        <v>2540</v>
      </c>
    </row>
    <row r="204" spans="1:7" ht="19.95" customHeight="1">
      <c r="A204" s="1712">
        <v>197</v>
      </c>
      <c r="B204" s="1752" t="s">
        <v>10</v>
      </c>
      <c r="C204" s="1708" t="s">
        <v>2509</v>
      </c>
      <c r="D204" s="1727" t="str">
        <f>HYPERLINK("#'報告_経過的長期P16'!AQ27","'報告_経過的長期P16'!AQ27")</f>
        <v>'報告_経過的長期P16'!AQ27</v>
      </c>
      <c r="E204" s="1761">
        <v>1991711</v>
      </c>
      <c r="F204" s="1762">
        <f>N(報告_経過的長期P16!W27)</f>
        <v>2051455</v>
      </c>
      <c r="G204" s="1763" t="s">
        <v>2541</v>
      </c>
    </row>
    <row r="205" spans="1:7" ht="19.95" customHeight="1">
      <c r="A205" s="1716">
        <v>198</v>
      </c>
      <c r="B205" s="1755" t="s">
        <v>10</v>
      </c>
      <c r="C205" s="1711" t="s">
        <v>2513</v>
      </c>
      <c r="D205" s="1730" t="str">
        <f>HYPERLINK("#'報告_経過的長期P16'!AQ28","'報告_経過的長期P16'!AQ28")</f>
        <v>'報告_経過的長期P16'!AQ28</v>
      </c>
      <c r="E205" s="1761">
        <v>76197772</v>
      </c>
      <c r="F205" s="1762">
        <f>N(報告_経過的長期P16!W28)</f>
        <v>77412960</v>
      </c>
      <c r="G205" s="1764" t="s">
        <v>2542</v>
      </c>
    </row>
    <row r="206" spans="1:7" ht="19.95" customHeight="1">
      <c r="A206" s="1712">
        <v>199</v>
      </c>
      <c r="B206" s="1752" t="s">
        <v>10</v>
      </c>
      <c r="C206" s="1708" t="s">
        <v>2543</v>
      </c>
      <c r="D206" s="1727" t="str">
        <f>HYPERLINK("#'報告_経過的長期P16'!AQ29","'報告_経過的長期P16'!AQ29")</f>
        <v>'報告_経過的長期P16'!AQ29</v>
      </c>
      <c r="E206" s="1761">
        <v>0</v>
      </c>
      <c r="F206" s="1762">
        <f>N(報告_経過的長期P16!W29)</f>
        <v>0</v>
      </c>
      <c r="G206" s="1763" t="s">
        <v>2544</v>
      </c>
    </row>
    <row r="207" spans="1:7" ht="19.95" customHeight="1">
      <c r="A207" s="1716">
        <v>200</v>
      </c>
      <c r="B207" s="1755" t="s">
        <v>10</v>
      </c>
      <c r="C207" s="1711" t="s">
        <v>2519</v>
      </c>
      <c r="D207" s="1730" t="str">
        <f>HYPERLINK("#'報告_経過的長期P16'!AQ30","'報告_経過的長期P16'!AQ30")</f>
        <v>'報告_経過的長期P16'!AQ30</v>
      </c>
      <c r="E207" s="1761">
        <v>0</v>
      </c>
      <c r="F207" s="1762">
        <f>N(報告_経過的長期P16!W30)</f>
        <v>0</v>
      </c>
      <c r="G207" s="1764" t="s">
        <v>2545</v>
      </c>
    </row>
    <row r="208" spans="1:7" ht="19.95" customHeight="1">
      <c r="A208" s="1712">
        <v>201</v>
      </c>
      <c r="B208" s="1752" t="s">
        <v>10</v>
      </c>
      <c r="C208" s="1708" t="s">
        <v>2546</v>
      </c>
      <c r="D208" s="1727" t="str">
        <f>HYPERLINK("#'報告_経過的長期P16'!AQ44","'報告_経過的長期P16'!AQ44")</f>
        <v>'報告_経過的長期P16'!AQ44</v>
      </c>
      <c r="E208" s="1761">
        <v>0</v>
      </c>
      <c r="F208" s="1762">
        <f>N(報告_経過的長期P16!W44)</f>
        <v>0</v>
      </c>
      <c r="G208" s="1763" t="s">
        <v>2547</v>
      </c>
    </row>
    <row r="209" spans="1:7" ht="19.95" customHeight="1">
      <c r="A209" s="1716">
        <v>202</v>
      </c>
      <c r="B209" s="1755" t="s">
        <v>10</v>
      </c>
      <c r="C209" s="1711" t="s">
        <v>2522</v>
      </c>
      <c r="D209" s="1730" t="str">
        <f>HYPERLINK("#'報告_経過的長期P16'!AQ37","'報告_経過的長期P16'!AQ37")</f>
        <v>'報告_経過的長期P16'!AQ37</v>
      </c>
      <c r="E209" s="1761">
        <v>100</v>
      </c>
      <c r="F209" s="1762">
        <f>N(報告_経過的長期P16!AG37)</f>
        <v>100</v>
      </c>
      <c r="G209" s="1764" t="s">
        <v>2548</v>
      </c>
    </row>
    <row r="210" spans="1:7" ht="19.95" customHeight="1">
      <c r="A210" s="1712">
        <v>203</v>
      </c>
      <c r="B210" s="1752" t="s">
        <v>11</v>
      </c>
      <c r="C210" s="1708" t="s">
        <v>2549</v>
      </c>
      <c r="D210" s="1727" t="str">
        <f>HYPERLINK("#'報告_預託金P17'!I8","'報告_預託金P17'!I8")</f>
        <v>'報告_預託金P17'!I8</v>
      </c>
      <c r="E210" s="1761">
        <v>1174027</v>
      </c>
      <c r="F210" s="1762">
        <f>N(報告_預託金P17!G8)</f>
        <v>136059</v>
      </c>
      <c r="G210" s="1763" t="s">
        <v>2550</v>
      </c>
    </row>
    <row r="211" spans="1:7" ht="19.95" customHeight="1">
      <c r="A211" s="1716">
        <v>204</v>
      </c>
      <c r="B211" s="1755" t="s">
        <v>11</v>
      </c>
      <c r="C211" s="1711" t="s">
        <v>2519</v>
      </c>
      <c r="D211" s="1730" t="str">
        <f>HYPERLINK("#'報告_預託金P17'!I9","'報告_預託金P17'!I9")</f>
        <v>'報告_預託金P17'!I9</v>
      </c>
      <c r="E211" s="1761">
        <v>0</v>
      </c>
      <c r="F211" s="1762">
        <f>N(報告_預託金P17!G9)</f>
        <v>0</v>
      </c>
      <c r="G211" s="1764" t="s">
        <v>2551</v>
      </c>
    </row>
    <row r="212" spans="1:7" ht="19.95" customHeight="1">
      <c r="A212" s="1712">
        <v>205</v>
      </c>
      <c r="B212" s="1752" t="s">
        <v>11</v>
      </c>
      <c r="C212" s="1708" t="s">
        <v>2519</v>
      </c>
      <c r="D212" s="1727" t="str">
        <f>HYPERLINK("#'報告_預託金P17'!I18","'報告_預託金P17'!I18")</f>
        <v>'報告_預託金P17'!I18</v>
      </c>
      <c r="E212" s="1761">
        <v>0</v>
      </c>
      <c r="F212" s="1762">
        <f>N(報告_預託金P17!G18)</f>
        <v>0</v>
      </c>
      <c r="G212" s="1763" t="s">
        <v>2552</v>
      </c>
    </row>
    <row r="213" spans="1:7" ht="19.95" customHeight="1">
      <c r="A213" s="1716">
        <v>206</v>
      </c>
      <c r="B213" s="1755" t="s">
        <v>11</v>
      </c>
      <c r="C213" s="1711" t="s">
        <v>2553</v>
      </c>
      <c r="D213" s="1730" t="str">
        <f>HYPERLINK("#'報告_預託金のカメラ'!J6","'報告_預託金のカメラ'!J6")</f>
        <v>'報告_預託金のカメラ'!J6</v>
      </c>
      <c r="E213" s="1761">
        <v>21064915</v>
      </c>
      <c r="F213" s="1762">
        <f>N(報告_預託金のカメラ!F6)</f>
        <v>0</v>
      </c>
      <c r="G213" s="1764" t="s">
        <v>2554</v>
      </c>
    </row>
    <row r="214" spans="1:7" ht="19.95" customHeight="1">
      <c r="A214" s="1712">
        <v>207</v>
      </c>
      <c r="B214" s="1752" t="s">
        <v>11</v>
      </c>
      <c r="C214" s="1708" t="s">
        <v>2555</v>
      </c>
      <c r="D214" s="1727" t="str">
        <f>HYPERLINK("#'報告_預託金のカメラ'!J7","'報告_預託金のカメラ'!J7")</f>
        <v>'報告_預託金のカメラ'!J7</v>
      </c>
      <c r="E214" s="1761">
        <v>2413</v>
      </c>
      <c r="F214" s="1762">
        <f>N(報告_預託金のカメラ!F7)</f>
        <v>0</v>
      </c>
      <c r="G214" s="1763" t="s">
        <v>2556</v>
      </c>
    </row>
    <row r="215" spans="1:7" ht="19.95" customHeight="1">
      <c r="A215" s="1716">
        <v>208</v>
      </c>
      <c r="B215" s="1755" t="s">
        <v>11</v>
      </c>
      <c r="C215" s="1711" t="s">
        <v>2555</v>
      </c>
      <c r="D215" s="1730" t="str">
        <f>HYPERLINK("#'報告_預託金のカメラ'!J10","'報告_預託金のカメラ'!J10")</f>
        <v>'報告_預託金のカメラ'!J10</v>
      </c>
      <c r="E215" s="1761">
        <v>0</v>
      </c>
      <c r="F215" s="1762">
        <f>N(報告_預託金のカメラ!F10)</f>
        <v>0</v>
      </c>
      <c r="G215" s="1764" t="s">
        <v>2557</v>
      </c>
    </row>
    <row r="216" spans="1:7" ht="19.95" customHeight="1">
      <c r="A216" s="1712">
        <v>209</v>
      </c>
      <c r="B216" s="1752" t="s">
        <v>12</v>
      </c>
      <c r="C216" s="1708" t="s">
        <v>2558</v>
      </c>
      <c r="D216" s="1727" t="str">
        <f>HYPERLINK("#'報告_業務P18'!Y7","'報告_業務P18'!Y7")</f>
        <v>'報告_業務P18'!Y7</v>
      </c>
      <c r="E216" s="1761">
        <v>5508</v>
      </c>
      <c r="F216" s="1762">
        <f>N(報告_業務P18!AJ7)</f>
        <v>6038</v>
      </c>
      <c r="G216" s="1763" t="s">
        <v>2559</v>
      </c>
    </row>
    <row r="217" spans="1:7" ht="19.95" customHeight="1">
      <c r="A217" s="1716">
        <v>210</v>
      </c>
      <c r="B217" s="1755" t="s">
        <v>12</v>
      </c>
      <c r="C217" s="1711" t="s">
        <v>2560</v>
      </c>
      <c r="D217" s="1730" t="str">
        <f>HYPERLINK("#'報告_業務P18'!Y8","'報告_業務P18'!Y8")</f>
        <v>'報告_業務P18'!Y8</v>
      </c>
      <c r="E217" s="1761">
        <v>1847</v>
      </c>
      <c r="F217" s="1762">
        <f>N(報告_業務P18!AJ8)</f>
        <v>1863</v>
      </c>
      <c r="G217" s="1764" t="s">
        <v>2561</v>
      </c>
    </row>
    <row r="218" spans="1:7" ht="19.95" customHeight="1">
      <c r="A218" s="1712">
        <v>211</v>
      </c>
      <c r="B218" s="1752" t="s">
        <v>12</v>
      </c>
      <c r="C218" s="1708" t="s">
        <v>2562</v>
      </c>
      <c r="D218" s="1727" t="str">
        <f>HYPERLINK("#'報告_業務P18'!Y9","'報告_業務P18'!Y9")</f>
        <v>'報告_業務P18'!Y9</v>
      </c>
      <c r="E218" s="1761">
        <v>1570</v>
      </c>
      <c r="F218" s="1762">
        <f>N(報告_業務P18!AJ9)</f>
        <v>1635</v>
      </c>
      <c r="G218" s="1763" t="s">
        <v>2563</v>
      </c>
    </row>
    <row r="219" spans="1:7" ht="19.95" customHeight="1">
      <c r="A219" s="1716">
        <v>212</v>
      </c>
      <c r="B219" s="1755" t="s">
        <v>12</v>
      </c>
      <c r="C219" s="1711" t="s">
        <v>2564</v>
      </c>
      <c r="D219" s="1730" t="str">
        <f>HYPERLINK("#'報告_業務P18'!Y10","'報告_業務P18'!Y10")</f>
        <v>'報告_業務P18'!Y10</v>
      </c>
      <c r="E219" s="1761">
        <v>1466</v>
      </c>
      <c r="F219" s="1762">
        <f>N(報告_業務P18!AJ10)</f>
        <v>1616</v>
      </c>
      <c r="G219" s="1764" t="s">
        <v>2565</v>
      </c>
    </row>
    <row r="220" spans="1:7" ht="19.95" customHeight="1">
      <c r="A220" s="1712">
        <v>213</v>
      </c>
      <c r="B220" s="1752" t="s">
        <v>12</v>
      </c>
      <c r="C220" s="1708" t="s">
        <v>2566</v>
      </c>
      <c r="D220" s="1727" t="str">
        <f>HYPERLINK("#'報告_業務P18'!Y11","'報告_業務P18'!Y11")</f>
        <v>'報告_業務P18'!Y11</v>
      </c>
      <c r="E220" s="1761">
        <v>0</v>
      </c>
      <c r="F220" s="1762">
        <f>N(報告_業務P18!AJ11)</f>
        <v>0</v>
      </c>
      <c r="G220" s="1763" t="s">
        <v>2567</v>
      </c>
    </row>
    <row r="221" spans="1:7" ht="19.95" customHeight="1">
      <c r="A221" s="1716">
        <v>214</v>
      </c>
      <c r="B221" s="1755" t="s">
        <v>12</v>
      </c>
      <c r="C221" s="1711" t="s">
        <v>2568</v>
      </c>
      <c r="D221" s="1730" t="str">
        <f>HYPERLINK("#'報告_業務P18'!Y21","'報告_業務P18'!Y21")</f>
        <v>'報告_業務P18'!Y21</v>
      </c>
      <c r="E221" s="1761">
        <v>151</v>
      </c>
      <c r="F221" s="1762">
        <f>N(報告_業務P18!AJ21)</f>
        <v>170</v>
      </c>
      <c r="G221" s="1764" t="s">
        <v>2569</v>
      </c>
    </row>
    <row r="222" spans="1:7" ht="19.95" customHeight="1">
      <c r="A222" s="1712">
        <v>215</v>
      </c>
      <c r="B222" s="1752" t="s">
        <v>12</v>
      </c>
      <c r="C222" s="1708" t="s">
        <v>2570</v>
      </c>
      <c r="D222" s="1727" t="str">
        <f>HYPERLINK("#'報告_業務P18'!AN27","'報告_業務P18'!AN27")</f>
        <v>'報告_業務P18'!AN27</v>
      </c>
      <c r="E222" s="1761">
        <v>82167559</v>
      </c>
      <c r="F222" s="1762">
        <f>N(報告_業務P18!V27)</f>
        <v>89655843</v>
      </c>
      <c r="G222" s="1763" t="s">
        <v>2571</v>
      </c>
    </row>
    <row r="223" spans="1:7" ht="19.95" customHeight="1">
      <c r="A223" s="1716">
        <v>216</v>
      </c>
      <c r="B223" s="1755" t="s">
        <v>12</v>
      </c>
      <c r="C223" s="1711" t="s">
        <v>2277</v>
      </c>
      <c r="D223" s="1730" t="str">
        <f>HYPERLINK("#'報告_業務P18'!AN28","'報告_業務P18'!AN28")</f>
        <v>'報告_業務P18'!AN28</v>
      </c>
      <c r="E223" s="1761">
        <v>20856594</v>
      </c>
      <c r="F223" s="1762">
        <f>N(報告_業務P18!V28)</f>
        <v>23159738</v>
      </c>
      <c r="G223" s="1764" t="s">
        <v>2572</v>
      </c>
    </row>
    <row r="224" spans="1:7" ht="19.95" customHeight="1">
      <c r="A224" s="1712">
        <v>217</v>
      </c>
      <c r="B224" s="1752" t="s">
        <v>12</v>
      </c>
      <c r="C224" s="1708" t="s">
        <v>2573</v>
      </c>
      <c r="D224" s="1727" t="str">
        <f>HYPERLINK("#'報告_業務P18'!AN29","'報告_業務P18'!AN29")</f>
        <v>'報告_業務P18'!AN29</v>
      </c>
      <c r="E224" s="1761">
        <v>0</v>
      </c>
      <c r="F224" s="1762">
        <f>N(報告_業務P18!V29)</f>
        <v>0</v>
      </c>
      <c r="G224" s="1763" t="s">
        <v>2574</v>
      </c>
    </row>
    <row r="225" spans="1:7" ht="19.95" customHeight="1">
      <c r="A225" s="1716">
        <v>218</v>
      </c>
      <c r="B225" s="1755" t="s">
        <v>12</v>
      </c>
      <c r="C225" s="1711" t="s">
        <v>2575</v>
      </c>
      <c r="D225" s="1730" t="str">
        <f>HYPERLINK("#'報告_業務P18'!AN30","'報告_業務P18'!AN30")</f>
        <v>'報告_業務P18'!AN30</v>
      </c>
      <c r="E225" s="1761">
        <v>11648520</v>
      </c>
      <c r="F225" s="1762">
        <f>N(報告_業務P18!V30)</f>
        <v>11834281</v>
      </c>
      <c r="G225" s="1764" t="s">
        <v>2576</v>
      </c>
    </row>
    <row r="226" spans="1:7" ht="19.95" customHeight="1">
      <c r="A226" s="1712">
        <v>219</v>
      </c>
      <c r="B226" s="1752" t="s">
        <v>12</v>
      </c>
      <c r="C226" s="1708" t="s">
        <v>2577</v>
      </c>
      <c r="D226" s="1727" t="str">
        <f>HYPERLINK("#'報告_業務P18'!AN31","'報告_業務P18'!AN31")</f>
        <v>'報告_業務P18'!AN31</v>
      </c>
      <c r="E226" s="1761">
        <v>1275345</v>
      </c>
      <c r="F226" s="1762">
        <f>N(報告_業務P18!V31)</f>
        <v>77607</v>
      </c>
      <c r="G226" s="1763" t="s">
        <v>2578</v>
      </c>
    </row>
    <row r="227" spans="1:7" ht="19.95" customHeight="1">
      <c r="A227" s="1716">
        <v>220</v>
      </c>
      <c r="B227" s="1755" t="s">
        <v>12</v>
      </c>
      <c r="C227" s="1711" t="s">
        <v>2579</v>
      </c>
      <c r="D227" s="1730" t="str">
        <f>HYPERLINK("#'報告_業務P19'!AN5","'報告_業務P19'!AN5")</f>
        <v>'報告_業務P19'!AN5</v>
      </c>
      <c r="E227" s="1761">
        <v>33000</v>
      </c>
      <c r="F227" s="1762">
        <f>N(報告_業務P19!V5)</f>
        <v>33000</v>
      </c>
      <c r="G227" s="1764" t="s">
        <v>2580</v>
      </c>
    </row>
    <row r="228" spans="1:7" ht="19.95" customHeight="1">
      <c r="A228" s="1712">
        <v>221</v>
      </c>
      <c r="B228" s="1752" t="s">
        <v>12</v>
      </c>
      <c r="C228" s="1708" t="s">
        <v>2581</v>
      </c>
      <c r="D228" s="1727" t="str">
        <f>HYPERLINK("#'報告_業務P19'!AN6","'報告_業務P19'!AN6")</f>
        <v>'報告_業務P19'!AN6</v>
      </c>
      <c r="E228" s="1761">
        <v>9574938</v>
      </c>
      <c r="F228" s="1762">
        <f>N(報告_業務P19!V6)</f>
        <v>10141337</v>
      </c>
      <c r="G228" s="1763" t="s">
        <v>2582</v>
      </c>
    </row>
    <row r="229" spans="1:7" ht="19.95" customHeight="1">
      <c r="A229" s="1716">
        <v>222</v>
      </c>
      <c r="B229" s="1755" t="s">
        <v>12</v>
      </c>
      <c r="C229" s="1711" t="s">
        <v>2583</v>
      </c>
      <c r="D229" s="1730" t="str">
        <f>HYPERLINK("#'報告_業務P19'!AN7","'報告_業務P19'!AN7")</f>
        <v>'報告_業務P19'!AN7</v>
      </c>
      <c r="E229" s="1761">
        <v>8305</v>
      </c>
      <c r="F229" s="1762">
        <f>N(報告_業務P19!V7)</f>
        <v>9702</v>
      </c>
      <c r="G229" s="1764" t="s">
        <v>2584</v>
      </c>
    </row>
    <row r="230" spans="1:7" ht="19.95" customHeight="1">
      <c r="A230" s="1712">
        <v>223</v>
      </c>
      <c r="B230" s="1752" t="s">
        <v>12</v>
      </c>
      <c r="C230" s="1708" t="s">
        <v>2585</v>
      </c>
      <c r="D230" s="1727" t="str">
        <f>HYPERLINK("#'報告_業務P19'!AN8","'報告_業務P19'!AN8")</f>
        <v>'報告_業務P19'!AN8</v>
      </c>
      <c r="E230" s="1761">
        <v>560200</v>
      </c>
      <c r="F230" s="1762">
        <f>N(報告_業務P19!V8)</f>
        <v>343112</v>
      </c>
      <c r="G230" s="1763" t="s">
        <v>2586</v>
      </c>
    </row>
    <row r="231" spans="1:7" ht="19.95" customHeight="1">
      <c r="A231" s="1716">
        <v>224</v>
      </c>
      <c r="B231" s="1755" t="s">
        <v>12</v>
      </c>
      <c r="C231" s="1711" t="s">
        <v>2587</v>
      </c>
      <c r="D231" s="1730" t="str">
        <f>HYPERLINK("#'報告_業務P19'!AN9","'報告_業務P19'!AN9")</f>
        <v>'報告_業務P19'!AN9</v>
      </c>
      <c r="E231" s="1761">
        <v>11253363</v>
      </c>
      <c r="F231" s="1762">
        <f>N(報告_業務P19!V9)</f>
        <v>13993113</v>
      </c>
      <c r="G231" s="1764" t="s">
        <v>2588</v>
      </c>
    </row>
    <row r="232" spans="1:7" ht="19.95" customHeight="1">
      <c r="A232" s="1712">
        <v>225</v>
      </c>
      <c r="B232" s="1752" t="s">
        <v>12</v>
      </c>
      <c r="C232" s="1708" t="s">
        <v>2589</v>
      </c>
      <c r="D232" s="1727" t="str">
        <f>HYPERLINK("#'報告_業務P19'!AN10","'報告_業務P19'!AN10")</f>
        <v>'報告_業務P19'!AN10</v>
      </c>
      <c r="E232" s="1761">
        <v>4198740</v>
      </c>
      <c r="F232" s="1762">
        <f>N(報告_業務P19!V10)</f>
        <v>4598066</v>
      </c>
      <c r="G232" s="1763" t="s">
        <v>2590</v>
      </c>
    </row>
    <row r="233" spans="1:7" ht="19.95" customHeight="1">
      <c r="A233" s="1716">
        <v>226</v>
      </c>
      <c r="B233" s="1755" t="s">
        <v>12</v>
      </c>
      <c r="C233" s="1711" t="s">
        <v>2591</v>
      </c>
      <c r="D233" s="1730" t="str">
        <f>HYPERLINK("#'報告_業務P19'!AN11","'報告_業務P19'!AN11")</f>
        <v>'報告_業務P19'!AN11</v>
      </c>
      <c r="E233" s="1761">
        <v>17036296</v>
      </c>
      <c r="F233" s="1762">
        <f>N(報告_業務P19!V11)</f>
        <v>10084438</v>
      </c>
      <c r="G233" s="1764" t="s">
        <v>2592</v>
      </c>
    </row>
    <row r="234" spans="1:7" ht="19.95" customHeight="1">
      <c r="A234" s="1712">
        <v>227</v>
      </c>
      <c r="B234" s="1752" t="s">
        <v>12</v>
      </c>
      <c r="C234" s="1708" t="s">
        <v>2593</v>
      </c>
      <c r="D234" s="1727" t="str">
        <f>HYPERLINK("#'報告_業務P19'!AN12","'報告_業務P19'!AN12")</f>
        <v>'報告_業務P19'!AN12</v>
      </c>
      <c r="E234" s="1761">
        <v>0</v>
      </c>
      <c r="F234" s="1762">
        <f>N(報告_業務P19!V12)</f>
        <v>0</v>
      </c>
      <c r="G234" s="1763" t="s">
        <v>2594</v>
      </c>
    </row>
    <row r="235" spans="1:7" ht="19.95" customHeight="1">
      <c r="A235" s="1716">
        <v>228</v>
      </c>
      <c r="B235" s="1755" t="s">
        <v>12</v>
      </c>
      <c r="C235" s="1711" t="s">
        <v>2595</v>
      </c>
      <c r="D235" s="1730" t="str">
        <f>HYPERLINK("#'報告_業務P19'!AN13","'報告_業務P19'!AN13")</f>
        <v>'報告_業務P19'!AN13</v>
      </c>
      <c r="E235" s="1761">
        <v>123594</v>
      </c>
      <c r="F235" s="1762">
        <f>N(報告_業務P19!V13)</f>
        <v>103921</v>
      </c>
      <c r="G235" s="1764" t="s">
        <v>2596</v>
      </c>
    </row>
    <row r="236" spans="1:7" ht="19.95" customHeight="1">
      <c r="A236" s="1712">
        <v>229</v>
      </c>
      <c r="B236" s="1752" t="s">
        <v>12</v>
      </c>
      <c r="C236" s="1708" t="s">
        <v>2597</v>
      </c>
      <c r="D236" s="1727" t="str">
        <f>HYPERLINK("#'報告_業務P19'!AN14","'報告_業務P19'!AN14")</f>
        <v>'報告_業務P19'!AN14</v>
      </c>
      <c r="E236" s="1761">
        <v>0</v>
      </c>
      <c r="F236" s="1762">
        <f>N(報告_業務P19!V14)</f>
        <v>0</v>
      </c>
      <c r="G236" s="1763" t="s">
        <v>2598</v>
      </c>
    </row>
    <row r="237" spans="1:7" ht="19.95" customHeight="1">
      <c r="A237" s="1716">
        <v>230</v>
      </c>
      <c r="B237" s="1755" t="s">
        <v>12</v>
      </c>
      <c r="C237" s="1711" t="s">
        <v>2599</v>
      </c>
      <c r="D237" s="1730" t="str">
        <f>HYPERLINK("#'報告_業務P19'!AN15","'報告_業務P19'!AN15")</f>
        <v>'報告_業務P19'!AN15</v>
      </c>
      <c r="E237" s="1761">
        <v>7576231</v>
      </c>
      <c r="F237" s="1762">
        <f>N(報告_業務P19!V15)</f>
        <v>9430768</v>
      </c>
      <c r="G237" s="1764" t="s">
        <v>2600</v>
      </c>
    </row>
    <row r="238" spans="1:7" ht="19.95" customHeight="1">
      <c r="A238" s="1712">
        <v>231</v>
      </c>
      <c r="B238" s="1752" t="s">
        <v>12</v>
      </c>
      <c r="C238" s="1708" t="s">
        <v>2601</v>
      </c>
      <c r="D238" s="1727" t="str">
        <f>HYPERLINK("#'報告_業務P19'!AN16","'報告_業務P19'!AN16")</f>
        <v>'報告_業務P19'!AN16</v>
      </c>
      <c r="E238" s="1761">
        <v>2063463</v>
      </c>
      <c r="F238" s="1762">
        <f>N(報告_業務P19!V16)</f>
        <v>1884714</v>
      </c>
      <c r="G238" s="1763" t="s">
        <v>2602</v>
      </c>
    </row>
    <row r="239" spans="1:7" ht="19.95" customHeight="1">
      <c r="A239" s="1716">
        <v>232</v>
      </c>
      <c r="B239" s="1755" t="s">
        <v>12</v>
      </c>
      <c r="C239" s="1711" t="s">
        <v>2603</v>
      </c>
      <c r="D239" s="1730" t="str">
        <f>HYPERLINK("#'報告_業務P19'!AN17","'報告_業務P19'!AN17")</f>
        <v>'報告_業務P19'!AN17</v>
      </c>
      <c r="E239" s="1761">
        <v>0</v>
      </c>
      <c r="F239" s="1762">
        <f>N(報告_業務P19!V17)</f>
        <v>0</v>
      </c>
      <c r="G239" s="1764" t="s">
        <v>2604</v>
      </c>
    </row>
    <row r="240" spans="1:7" ht="19.95" customHeight="1">
      <c r="A240" s="1712">
        <v>233</v>
      </c>
      <c r="B240" s="1752" t="s">
        <v>12</v>
      </c>
      <c r="C240" s="1708" t="s">
        <v>2605</v>
      </c>
      <c r="D240" s="1727" t="str">
        <f>HYPERLINK("#'報告_業務P19'!AN19","'報告_業務P19'!AN19")</f>
        <v>'報告_業務P19'!AN19</v>
      </c>
      <c r="E240" s="1761">
        <v>2286386</v>
      </c>
      <c r="F240" s="1762">
        <f>N(報告_業務P19!V19)</f>
        <v>2453880</v>
      </c>
      <c r="G240" s="1763" t="s">
        <v>2606</v>
      </c>
    </row>
    <row r="241" spans="1:7" ht="19.95" customHeight="1">
      <c r="A241" s="1716">
        <v>234</v>
      </c>
      <c r="B241" s="1755" t="s">
        <v>12</v>
      </c>
      <c r="C241" s="1711" t="s">
        <v>2607</v>
      </c>
      <c r="D241" s="1730" t="str">
        <f>HYPERLINK("#'報告_業務P19'!AN20","'報告_業務P19'!AN20")</f>
        <v>'報告_業務P19'!AN20</v>
      </c>
      <c r="E241" s="1761">
        <v>9334157</v>
      </c>
      <c r="F241" s="1762">
        <f>N(報告_業務P19!V20)</f>
        <v>13718352</v>
      </c>
      <c r="G241" s="1764" t="s">
        <v>2608</v>
      </c>
    </row>
    <row r="242" spans="1:7" ht="19.95" customHeight="1">
      <c r="A242" s="1712">
        <v>235</v>
      </c>
      <c r="B242" s="1752" t="s">
        <v>12</v>
      </c>
      <c r="C242" s="1708" t="s">
        <v>2609</v>
      </c>
      <c r="D242" s="1727" t="str">
        <f>HYPERLINK("#'報告_業務P19'!AN21","'報告_業務P19'!AN21")</f>
        <v>'報告_業務P19'!AN21</v>
      </c>
      <c r="E242" s="1761">
        <v>47222000</v>
      </c>
      <c r="F242" s="1762">
        <f>N(報告_業務P19!V21)</f>
        <v>54153000</v>
      </c>
      <c r="G242" s="1763" t="s">
        <v>2610</v>
      </c>
    </row>
    <row r="243" spans="1:7" ht="19.95" customHeight="1">
      <c r="A243" s="1716">
        <v>236</v>
      </c>
      <c r="B243" s="1755" t="s">
        <v>12</v>
      </c>
      <c r="C243" s="1711" t="s">
        <v>2611</v>
      </c>
      <c r="D243" s="1730" t="str">
        <f>HYPERLINK("#'報告_業務P19'!AN23","'報告_業務P19'!AN23")</f>
        <v>'報告_業務P19'!AN23</v>
      </c>
      <c r="E243" s="1761">
        <v>176556</v>
      </c>
      <c r="F243" s="1762">
        <f>N(報告_業務P19!V23)</f>
        <v>176556</v>
      </c>
      <c r="G243" s="1764" t="s">
        <v>2612</v>
      </c>
    </row>
    <row r="244" spans="1:7" ht="19.95" customHeight="1">
      <c r="A244" s="1712">
        <v>237</v>
      </c>
      <c r="B244" s="1752" t="s">
        <v>12</v>
      </c>
      <c r="C244" s="1708" t="s">
        <v>2613</v>
      </c>
      <c r="D244" s="1727" t="str">
        <f>HYPERLINK("#'報告_業務P19'!AN24","'報告_業務P19'!AN24")</f>
        <v>'報告_業務P19'!AN24</v>
      </c>
      <c r="E244" s="1761">
        <v>0</v>
      </c>
      <c r="F244" s="1762">
        <f>N(報告_業務P19!V24)</f>
        <v>0</v>
      </c>
      <c r="G244" s="1763" t="s">
        <v>2614</v>
      </c>
    </row>
    <row r="245" spans="1:7" ht="19.95" customHeight="1">
      <c r="A245" s="1716">
        <v>238</v>
      </c>
      <c r="B245" s="1755" t="s">
        <v>12</v>
      </c>
      <c r="C245" s="1711" t="s">
        <v>2615</v>
      </c>
      <c r="D245" s="1730" t="str">
        <f>HYPERLINK("#'報告_業務P19'!AN25","'報告_業務P19'!AN25")</f>
        <v>'報告_業務P19'!AN25</v>
      </c>
      <c r="E245" s="1761">
        <v>1</v>
      </c>
      <c r="F245" s="1762">
        <f>N(報告_業務P19!V25)</f>
        <v>0</v>
      </c>
      <c r="G245" s="1764" t="s">
        <v>2616</v>
      </c>
    </row>
    <row r="246" spans="1:7" ht="19.95" customHeight="1">
      <c r="A246" s="1712">
        <v>239</v>
      </c>
      <c r="B246" s="1752" t="s">
        <v>12</v>
      </c>
      <c r="C246" s="1708" t="s">
        <v>2617</v>
      </c>
      <c r="D246" s="1727" t="str">
        <f>HYPERLINK("#'業務_附属明細表'!E91","'業務_附属明細表'!E91")</f>
        <v>'業務_附属明細表'!E91</v>
      </c>
      <c r="E246" s="1761">
        <v>71093911</v>
      </c>
      <c r="F246" s="1762">
        <f>N(業務_附属明細表!Q91)</f>
        <v>74697421</v>
      </c>
      <c r="G246" s="1763" t="s">
        <v>2618</v>
      </c>
    </row>
    <row r="247" spans="1:7" ht="19.95" customHeight="1">
      <c r="A247" s="1716">
        <v>240</v>
      </c>
      <c r="B247" s="1755" t="s">
        <v>12</v>
      </c>
      <c r="C247" s="1711" t="s">
        <v>2619</v>
      </c>
      <c r="D247" s="1730" t="str">
        <f>HYPERLINK("#'業務_附属明細表'!D76","'業務_附属明細表'!D76")</f>
        <v>'業務_附属明細表'!D76</v>
      </c>
      <c r="E247" s="1761">
        <v>383946</v>
      </c>
      <c r="F247" s="1762">
        <f>N(業務_附属明細表!S76)</f>
        <v>207390</v>
      </c>
      <c r="G247" s="1764" t="s">
        <v>2620</v>
      </c>
    </row>
    <row r="248" spans="1:7" ht="19.95" customHeight="1">
      <c r="A248" s="1712">
        <v>241</v>
      </c>
      <c r="B248" s="1752" t="s">
        <v>12</v>
      </c>
      <c r="C248" s="1708" t="s">
        <v>2621</v>
      </c>
      <c r="D248" s="1727" t="str">
        <f>HYPERLINK("#'業務_附属明細表'!E115","'業務_附属明細表'!E115")</f>
        <v>'業務_附属明細表'!E115</v>
      </c>
      <c r="E248" s="1761">
        <v>466904</v>
      </c>
      <c r="F248" s="1762">
        <f>N(業務_附属明細表!Q115)</f>
        <v>643460</v>
      </c>
      <c r="G248" s="1763" t="s">
        <v>2622</v>
      </c>
    </row>
    <row r="249" spans="1:7" ht="19.95" customHeight="1">
      <c r="A249" s="1716">
        <v>242</v>
      </c>
      <c r="B249" s="1755" t="s">
        <v>13</v>
      </c>
      <c r="C249" s="1711" t="s">
        <v>2623</v>
      </c>
      <c r="D249" s="1730" t="str">
        <f>HYPERLINK("#'報告_保健P20-22'!AN21","'報告_保健P20-22'!AN21")</f>
        <v>'報告_保健P20-22'!AN21</v>
      </c>
      <c r="E249" s="1761">
        <v>160536624</v>
      </c>
      <c r="F249" s="1762">
        <f>N('報告_保健P20-22'!V21)</f>
        <v>166275659</v>
      </c>
      <c r="G249" s="1764" t="s">
        <v>2624</v>
      </c>
    </row>
    <row r="250" spans="1:7" ht="19.95" customHeight="1">
      <c r="A250" s="1712">
        <v>243</v>
      </c>
      <c r="B250" s="1752" t="s">
        <v>13</v>
      </c>
      <c r="C250" s="1708" t="s">
        <v>2625</v>
      </c>
      <c r="D250" s="1727" t="str">
        <f>HYPERLINK("#'報告_保健P20-22'!AN22","'報告_保健P20-22'!AN22")</f>
        <v>'報告_保健P20-22'!AN22</v>
      </c>
      <c r="E250" s="1761">
        <v>51290649</v>
      </c>
      <c r="F250" s="1762">
        <f>N('報告_保健P20-22'!V22)</f>
        <v>54143045</v>
      </c>
      <c r="G250" s="1763" t="s">
        <v>2626</v>
      </c>
    </row>
    <row r="251" spans="1:7" ht="19.95" customHeight="1">
      <c r="A251" s="1716">
        <v>244</v>
      </c>
      <c r="B251" s="1755" t="s">
        <v>13</v>
      </c>
      <c r="C251" s="1711" t="s">
        <v>2627</v>
      </c>
      <c r="D251" s="1730" t="str">
        <f>HYPERLINK("#'報告_保健P20-22'!AN23","'報告_保健P20-22'!AN23")</f>
        <v>'報告_保健P20-22'!AN23</v>
      </c>
      <c r="E251" s="1761">
        <v>181517142</v>
      </c>
      <c r="F251" s="1762">
        <f>N('報告_保健P20-22'!V23)</f>
        <v>184749787</v>
      </c>
      <c r="G251" s="1764" t="s">
        <v>2628</v>
      </c>
    </row>
    <row r="252" spans="1:7" ht="19.95" customHeight="1">
      <c r="A252" s="1712">
        <v>245</v>
      </c>
      <c r="B252" s="1752" t="s">
        <v>13</v>
      </c>
      <c r="C252" s="1708" t="s">
        <v>2629</v>
      </c>
      <c r="D252" s="1727" t="str">
        <f>HYPERLINK("#'報告_保健P20-22'!AN25","'報告_保健P20-22'!AN25")</f>
        <v>'報告_保健P20-22'!AN25</v>
      </c>
      <c r="E252" s="1761">
        <v>164263385</v>
      </c>
      <c r="F252" s="1762">
        <f>N('報告_保健P20-22'!V25)</f>
        <v>169993600</v>
      </c>
      <c r="G252" s="1763" t="s">
        <v>2630</v>
      </c>
    </row>
    <row r="253" spans="1:7" ht="19.95" customHeight="1">
      <c r="A253" s="1716">
        <v>246</v>
      </c>
      <c r="B253" s="1755" t="s">
        <v>13</v>
      </c>
      <c r="C253" s="1711" t="s">
        <v>2631</v>
      </c>
      <c r="D253" s="1730" t="str">
        <f>HYPERLINK("#'報告_保健P20-22'!AN26","'報告_保健P20-22'!AN26")</f>
        <v>'報告_保健P20-22'!AN26</v>
      </c>
      <c r="E253" s="1761">
        <v>51306562</v>
      </c>
      <c r="F253" s="1762">
        <f>N('報告_保健P20-22'!V26)</f>
        <v>54160380</v>
      </c>
      <c r="G253" s="1764" t="s">
        <v>2632</v>
      </c>
    </row>
    <row r="254" spans="1:7" ht="19.95" customHeight="1">
      <c r="A254" s="1712">
        <v>247</v>
      </c>
      <c r="B254" s="1752" t="s">
        <v>13</v>
      </c>
      <c r="C254" s="1708" t="s">
        <v>2633</v>
      </c>
      <c r="D254" s="1727" t="str">
        <f>HYPERLINK("#'報告_保健P20-22'!AN27","'報告_保健P20-22'!AN27")</f>
        <v>'報告_保健P20-22'!AN27</v>
      </c>
      <c r="E254" s="1761">
        <v>0</v>
      </c>
      <c r="F254" s="1762">
        <f>N('報告_保健P20-22'!V27)</f>
        <v>0</v>
      </c>
      <c r="G254" s="1763" t="s">
        <v>2634</v>
      </c>
    </row>
    <row r="255" spans="1:7" ht="19.95" customHeight="1">
      <c r="A255" s="1716">
        <v>248</v>
      </c>
      <c r="B255" s="1755" t="s">
        <v>13</v>
      </c>
      <c r="C255" s="1711" t="s">
        <v>2275</v>
      </c>
      <c r="D255" s="1730" t="str">
        <f>HYPERLINK("#'報告_保健P20-22'!AN28","'報告_保健P20-22'!AN28")</f>
        <v>'報告_保健P20-22'!AN28</v>
      </c>
      <c r="E255" s="1761">
        <v>0</v>
      </c>
      <c r="F255" s="1762">
        <f>N('報告_保健P20-22'!V28)</f>
        <v>0</v>
      </c>
      <c r="G255" s="1764" t="s">
        <v>2635</v>
      </c>
    </row>
    <row r="256" spans="1:7" ht="19.95" customHeight="1">
      <c r="A256" s="1712">
        <v>249</v>
      </c>
      <c r="B256" s="1752" t="s">
        <v>13</v>
      </c>
      <c r="C256" s="1708" t="s">
        <v>2636</v>
      </c>
      <c r="D256" s="1727" t="str">
        <f>HYPERLINK("#'報告_保健P20-22'!AN29","'報告_保健P20-22'!AN29")</f>
        <v>'報告_保健P20-22'!AN29</v>
      </c>
      <c r="E256" s="1761">
        <v>0</v>
      </c>
      <c r="F256" s="1762">
        <f>N('報告_保健P20-22'!V29)</f>
        <v>0</v>
      </c>
      <c r="G256" s="1763" t="s">
        <v>2637</v>
      </c>
    </row>
    <row r="257" spans="1:7" ht="19.95" customHeight="1">
      <c r="A257" s="1716">
        <v>250</v>
      </c>
      <c r="B257" s="1755" t="s">
        <v>13</v>
      </c>
      <c r="C257" s="1711" t="s">
        <v>2638</v>
      </c>
      <c r="D257" s="1730" t="str">
        <f>HYPERLINK("#'報告_保健P20-22'!AN30","'報告_保健P20-22'!AN30")</f>
        <v>'報告_保健P20-22'!AN30</v>
      </c>
      <c r="E257" s="1761">
        <v>0</v>
      </c>
      <c r="F257" s="1762">
        <f>N('報告_保健P20-22'!V30)</f>
        <v>0</v>
      </c>
      <c r="G257" s="1764" t="s">
        <v>2639</v>
      </c>
    </row>
    <row r="258" spans="1:7" ht="19.95" customHeight="1">
      <c r="A258" s="1712">
        <v>251</v>
      </c>
      <c r="B258" s="1752" t="s">
        <v>13</v>
      </c>
      <c r="C258" s="1708" t="s">
        <v>2573</v>
      </c>
      <c r="D258" s="1727" t="str">
        <f>HYPERLINK("#'報告_保健P20-22'!AN31","'報告_保健P20-22'!AN31")</f>
        <v>'報告_保健P20-22'!AN31</v>
      </c>
      <c r="E258" s="1761">
        <v>0</v>
      </c>
      <c r="F258" s="1762">
        <f>N('報告_保健P20-22'!V31)</f>
        <v>0</v>
      </c>
      <c r="G258" s="1763" t="s">
        <v>2640</v>
      </c>
    </row>
    <row r="259" spans="1:7" ht="19.95" customHeight="1">
      <c r="A259" s="1716">
        <v>252</v>
      </c>
      <c r="B259" s="1755" t="s">
        <v>13</v>
      </c>
      <c r="C259" s="1711" t="s">
        <v>2303</v>
      </c>
      <c r="D259" s="1730" t="str">
        <f>HYPERLINK("#'報告_保健P20-22'!AN32","'報告_保健P20-22'!AN32")</f>
        <v>'報告_保健P20-22'!AN32</v>
      </c>
      <c r="E259" s="1761">
        <v>0</v>
      </c>
      <c r="F259" s="1762">
        <f>N('報告_保健P20-22'!V32)</f>
        <v>104640</v>
      </c>
      <c r="G259" s="1764" t="s">
        <v>2641</v>
      </c>
    </row>
    <row r="260" spans="1:7" ht="19.95" customHeight="1">
      <c r="A260" s="1712">
        <v>253</v>
      </c>
      <c r="B260" s="1752" t="s">
        <v>13</v>
      </c>
      <c r="C260" s="1708" t="s">
        <v>2522</v>
      </c>
      <c r="D260" s="1727" t="str">
        <f>HYPERLINK("#'報告_保健P20-22'!AN39","'報告_保健P20-22'!AN39")</f>
        <v>'報告_保健P20-22'!AN39</v>
      </c>
      <c r="E260" s="1761">
        <v>100</v>
      </c>
      <c r="F260" s="1762">
        <f>N('報告_保健P20-22'!AE39)</f>
        <v>100</v>
      </c>
      <c r="G260" s="1763" t="s">
        <v>2642</v>
      </c>
    </row>
    <row r="261" spans="1:7" ht="19.95" customHeight="1">
      <c r="A261" s="1716">
        <v>254</v>
      </c>
      <c r="B261" s="1755" t="s">
        <v>13</v>
      </c>
      <c r="C261" s="1711" t="s">
        <v>2537</v>
      </c>
      <c r="D261" s="1730" t="str">
        <f>HYPERLINK("#'報告_保健P20-22'!AN40","'報告_保健P20-22'!AN40")</f>
        <v>'報告_保健P20-22'!AN40</v>
      </c>
      <c r="E261" s="1761">
        <v>100</v>
      </c>
      <c r="F261" s="1762">
        <f>N('報告_保健P20-22'!AE40)</f>
        <v>100</v>
      </c>
      <c r="G261" s="1764" t="s">
        <v>2643</v>
      </c>
    </row>
    <row r="262" spans="1:7" ht="19.95" customHeight="1">
      <c r="A262" s="1712">
        <v>255</v>
      </c>
      <c r="B262" s="1752" t="s">
        <v>13</v>
      </c>
      <c r="C262" s="1708" t="s">
        <v>2526</v>
      </c>
      <c r="D262" s="1727" t="str">
        <f>HYPERLINK("#'報告_保健P20-22'!AN41","'報告_保健P20-22'!AN41")</f>
        <v>'報告_保健P20-22'!AN41</v>
      </c>
      <c r="E262" s="1761">
        <v>100</v>
      </c>
      <c r="F262" s="1762">
        <f>N('報告_保健P20-22'!AE41)</f>
        <v>100</v>
      </c>
      <c r="G262" s="1763" t="s">
        <v>2644</v>
      </c>
    </row>
    <row r="263" spans="1:7" ht="19.95" customHeight="1">
      <c r="A263" s="1716">
        <v>256</v>
      </c>
      <c r="B263" s="1755" t="s">
        <v>13</v>
      </c>
      <c r="C263" s="1711" t="s">
        <v>2581</v>
      </c>
      <c r="D263" s="1730" t="str">
        <f>HYPERLINK("#'報告_保健P20-22'!AN46","'報告_保健P20-22'!AN46")</f>
        <v>'報告_保健P20-22'!AN46</v>
      </c>
      <c r="E263" s="1761">
        <v>6040584</v>
      </c>
      <c r="F263" s="1762">
        <f>N('報告_保健P20-22'!V46)</f>
        <v>6510030</v>
      </c>
      <c r="G263" s="1764" t="s">
        <v>2645</v>
      </c>
    </row>
    <row r="264" spans="1:7" ht="19.95" customHeight="1">
      <c r="A264" s="1712">
        <v>257</v>
      </c>
      <c r="B264" s="1752" t="s">
        <v>13</v>
      </c>
      <c r="C264" s="1708" t="s">
        <v>2583</v>
      </c>
      <c r="D264" s="1727" t="str">
        <f>HYPERLINK("#'報告_保健P20-22'!AN47","'報告_保健P20-22'!AN47")</f>
        <v>'報告_保健P20-22'!AN47</v>
      </c>
      <c r="E264" s="1761">
        <v>550775667</v>
      </c>
      <c r="F264" s="1762">
        <f>N('報告_保健P20-22'!V47)</f>
        <v>574362302</v>
      </c>
      <c r="G264" s="1763" t="s">
        <v>2646</v>
      </c>
    </row>
    <row r="265" spans="1:7" ht="19.95" customHeight="1">
      <c r="A265" s="1716">
        <v>258</v>
      </c>
      <c r="B265" s="1755" t="s">
        <v>13</v>
      </c>
      <c r="C265" s="1711" t="s">
        <v>2647</v>
      </c>
      <c r="D265" s="1730" t="str">
        <f>HYPERLINK("#'報告_保健P20-22'!AN48","'報告_保健P20-22'!AN48")</f>
        <v>'報告_保健P20-22'!AN48</v>
      </c>
      <c r="E265" s="1761">
        <v>19290386</v>
      </c>
      <c r="F265" s="1762">
        <f>N('報告_保健P20-22'!V48)</f>
        <v>20355535</v>
      </c>
      <c r="G265" s="1764" t="s">
        <v>2648</v>
      </c>
    </row>
    <row r="266" spans="1:7" ht="19.95" customHeight="1">
      <c r="A266" s="1712">
        <v>259</v>
      </c>
      <c r="B266" s="1752" t="s">
        <v>13</v>
      </c>
      <c r="C266" s="1708" t="s">
        <v>2585</v>
      </c>
      <c r="D266" s="1727" t="str">
        <f>HYPERLINK("#'報告_保健P20-22'!AN49","'報告_保健P20-22'!AN49")</f>
        <v>'報告_保健P20-22'!AN49</v>
      </c>
      <c r="E266" s="1761">
        <v>0</v>
      </c>
      <c r="F266" s="1762">
        <f>N('報告_保健P20-22'!V49)</f>
        <v>0</v>
      </c>
      <c r="G266" s="1763" t="s">
        <v>2649</v>
      </c>
    </row>
    <row r="267" spans="1:7" ht="19.95" customHeight="1">
      <c r="A267" s="1716">
        <v>260</v>
      </c>
      <c r="B267" s="1755" t="s">
        <v>13</v>
      </c>
      <c r="C267" s="1711" t="s">
        <v>2587</v>
      </c>
      <c r="D267" s="1730" t="str">
        <f>HYPERLINK("#'報告_保健P20-22'!AN50","'報告_保健P20-22'!AN50")</f>
        <v>'報告_保健P20-22'!AN50</v>
      </c>
      <c r="E267" s="1761">
        <v>418088</v>
      </c>
      <c r="F267" s="1762">
        <f>N('報告_保健P20-22'!V50)</f>
        <v>543780</v>
      </c>
      <c r="G267" s="1764" t="s">
        <v>2650</v>
      </c>
    </row>
    <row r="268" spans="1:7" ht="19.95" customHeight="1">
      <c r="A268" s="1712">
        <v>261</v>
      </c>
      <c r="B268" s="1752" t="s">
        <v>13</v>
      </c>
      <c r="C268" s="1708" t="s">
        <v>2651</v>
      </c>
      <c r="D268" s="1727" t="str">
        <f>HYPERLINK("#'報告_保健P20-22'!AN51","'報告_保健P20-22'!AN51")</f>
        <v>'報告_保健P20-22'!AN51</v>
      </c>
      <c r="E268" s="1761">
        <v>108839</v>
      </c>
      <c r="F268" s="1762">
        <f>N('報告_保健P20-22'!V51)</f>
        <v>170673</v>
      </c>
      <c r="G268" s="1763" t="s">
        <v>2652</v>
      </c>
    </row>
    <row r="269" spans="1:7" ht="19.95" customHeight="1">
      <c r="A269" s="1716">
        <v>262</v>
      </c>
      <c r="B269" s="1755" t="s">
        <v>13</v>
      </c>
      <c r="C269" s="1711" t="s">
        <v>2589</v>
      </c>
      <c r="D269" s="1730" t="str">
        <f>HYPERLINK("#'報告_保健P20-22'!AN52","'報告_保健P20-22'!AN52")</f>
        <v>'報告_保健P20-22'!AN52</v>
      </c>
      <c r="E269" s="1761">
        <v>0</v>
      </c>
      <c r="F269" s="1762">
        <f>N('報告_保健P20-22'!V52)</f>
        <v>0</v>
      </c>
      <c r="G269" s="1764" t="s">
        <v>2653</v>
      </c>
    </row>
    <row r="270" spans="1:7" ht="19.95" customHeight="1">
      <c r="A270" s="1712">
        <v>263</v>
      </c>
      <c r="B270" s="1752" t="s">
        <v>13</v>
      </c>
      <c r="C270" s="1708" t="s">
        <v>2591</v>
      </c>
      <c r="D270" s="1727" t="str">
        <f>HYPERLINK("#'報告_保健P20-22'!AN53","'報告_保健P20-22'!AN53")</f>
        <v>'報告_保健P20-22'!AN53</v>
      </c>
      <c r="E270" s="1761">
        <v>26431455</v>
      </c>
      <c r="F270" s="1762">
        <f>N('報告_保健P20-22'!V53)</f>
        <v>4535066</v>
      </c>
      <c r="G270" s="1763" t="s">
        <v>2654</v>
      </c>
    </row>
    <row r="271" spans="1:7" ht="19.95" customHeight="1">
      <c r="A271" s="1716">
        <v>264</v>
      </c>
      <c r="B271" s="1755" t="s">
        <v>13</v>
      </c>
      <c r="C271" s="1711" t="s">
        <v>2595</v>
      </c>
      <c r="D271" s="1730" t="str">
        <f>HYPERLINK("#'報告_保健P20-22'!AN54","'報告_保健P20-22'!AN54")</f>
        <v>'報告_保健P20-22'!AN54</v>
      </c>
      <c r="E271" s="1761">
        <v>59832</v>
      </c>
      <c r="F271" s="1762">
        <f>N('報告_保健P20-22'!V54)</f>
        <v>0</v>
      </c>
      <c r="G271" s="1764" t="s">
        <v>2655</v>
      </c>
    </row>
    <row r="272" spans="1:7" ht="19.95" customHeight="1">
      <c r="A272" s="1712">
        <v>265</v>
      </c>
      <c r="B272" s="1752" t="s">
        <v>13</v>
      </c>
      <c r="C272" s="1708" t="s">
        <v>2597</v>
      </c>
      <c r="D272" s="1727" t="str">
        <f>HYPERLINK("#'報告_保健P20-22'!AN55","'報告_保健P20-22'!AN55")</f>
        <v>'報告_保健P20-22'!AN55</v>
      </c>
      <c r="E272" s="1761">
        <v>0</v>
      </c>
      <c r="F272" s="1762">
        <f>N('報告_保健P20-22'!V55)</f>
        <v>0</v>
      </c>
      <c r="G272" s="1763" t="s">
        <v>2656</v>
      </c>
    </row>
    <row r="273" spans="1:7" ht="19.95" customHeight="1">
      <c r="A273" s="1716">
        <v>266</v>
      </c>
      <c r="B273" s="1755" t="s">
        <v>13</v>
      </c>
      <c r="C273" s="1711" t="s">
        <v>2657</v>
      </c>
      <c r="D273" s="1730" t="str">
        <f>HYPERLINK("#'報告_保健P20-22'!AN56","'報告_保健P20-22'!AN56")</f>
        <v>'報告_保健P20-22'!AN56</v>
      </c>
      <c r="E273" s="1761">
        <v>24585</v>
      </c>
      <c r="F273" s="1762">
        <f>N('報告_保健P20-22'!V56)</f>
        <v>28027</v>
      </c>
      <c r="G273" s="1764" t="s">
        <v>2658</v>
      </c>
    </row>
    <row r="274" spans="1:7" ht="19.95" customHeight="1">
      <c r="A274" s="1712">
        <v>267</v>
      </c>
      <c r="B274" s="1752" t="s">
        <v>13</v>
      </c>
      <c r="C274" s="1708" t="s">
        <v>2599</v>
      </c>
      <c r="D274" s="1727" t="str">
        <f>HYPERLINK("#'報告_保健P20-22'!AN57","'報告_保健P20-22'!AN57")</f>
        <v>'報告_保健P20-22'!AN57</v>
      </c>
      <c r="E274" s="1761">
        <v>4888697</v>
      </c>
      <c r="F274" s="1762">
        <f>N('報告_保健P20-22'!V57)</f>
        <v>3453940</v>
      </c>
      <c r="G274" s="1763" t="s">
        <v>2659</v>
      </c>
    </row>
    <row r="275" spans="1:7" ht="19.95" customHeight="1">
      <c r="A275" s="1716">
        <v>268</v>
      </c>
      <c r="B275" s="1755" t="s">
        <v>13</v>
      </c>
      <c r="C275" s="1711" t="s">
        <v>2660</v>
      </c>
      <c r="D275" s="1730" t="str">
        <f>HYPERLINK("#'報告_保健P20-22'!AN58","'報告_保健P20-22'!AN58")</f>
        <v>'報告_保健P20-22'!AN58</v>
      </c>
      <c r="E275" s="1761">
        <v>74014</v>
      </c>
      <c r="F275" s="1762">
        <f>N('報告_保健P20-22'!V58)</f>
        <v>0</v>
      </c>
      <c r="G275" s="1764" t="s">
        <v>2661</v>
      </c>
    </row>
    <row r="276" spans="1:7" ht="19.95" customHeight="1">
      <c r="A276" s="1712">
        <v>269</v>
      </c>
      <c r="B276" s="1752" t="s">
        <v>13</v>
      </c>
      <c r="C276" s="1708" t="s">
        <v>2601</v>
      </c>
      <c r="D276" s="1727" t="str">
        <f>HYPERLINK("#'報告_保健P20-22'!AN59","'報告_保健P20-22'!AN59")</f>
        <v>'報告_保健P20-22'!AN59</v>
      </c>
      <c r="E276" s="1761">
        <v>2058419</v>
      </c>
      <c r="F276" s="1762">
        <f>N('報告_保健P20-22'!V59)</f>
        <v>1768131</v>
      </c>
      <c r="G276" s="1763" t="s">
        <v>2662</v>
      </c>
    </row>
    <row r="277" spans="1:7" ht="19.95" customHeight="1">
      <c r="A277" s="1716">
        <v>270</v>
      </c>
      <c r="B277" s="1755" t="s">
        <v>13</v>
      </c>
      <c r="C277" s="1711" t="s">
        <v>2605</v>
      </c>
      <c r="D277" s="1730" t="str">
        <f>HYPERLINK("#'報告_保健P20-22'!AN60","'報告_保健P20-22'!AN60")</f>
        <v>'報告_保健P20-22'!AN60</v>
      </c>
      <c r="E277" s="1761">
        <v>725721</v>
      </c>
      <c r="F277" s="1762">
        <f>N('報告_保健P20-22'!V60)</f>
        <v>565872</v>
      </c>
      <c r="G277" s="1764" t="s">
        <v>2663</v>
      </c>
    </row>
    <row r="278" spans="1:7" ht="19.95" customHeight="1">
      <c r="A278" s="1712">
        <v>271</v>
      </c>
      <c r="B278" s="1752" t="s">
        <v>13</v>
      </c>
      <c r="C278" s="1708" t="s">
        <v>2607</v>
      </c>
      <c r="D278" s="1727" t="str">
        <f>HYPERLINK("#'報告_保健P20-22'!AN61","'報告_保健P20-22'!AN61")</f>
        <v>'報告_保健P20-22'!AN61</v>
      </c>
      <c r="E278" s="1761">
        <v>2767401</v>
      </c>
      <c r="F278" s="1762">
        <f>N('報告_保健P20-22'!V61)</f>
        <v>2868615</v>
      </c>
      <c r="G278" s="1763" t="s">
        <v>2664</v>
      </c>
    </row>
    <row r="279" spans="1:7" ht="19.95" customHeight="1">
      <c r="A279" s="1716">
        <v>272</v>
      </c>
      <c r="B279" s="1755" t="s">
        <v>13</v>
      </c>
      <c r="C279" s="1711" t="s">
        <v>2611</v>
      </c>
      <c r="D279" s="1730" t="str">
        <f>HYPERLINK("#'報告_保健P20-22'!AN62","'報告_保健P20-22'!AN62")</f>
        <v>'報告_保健P20-22'!AN62</v>
      </c>
      <c r="E279" s="1761">
        <v>0</v>
      </c>
      <c r="F279" s="1762">
        <f>N('報告_保健P20-22'!V62)</f>
        <v>0</v>
      </c>
      <c r="G279" s="1764" t="s">
        <v>2665</v>
      </c>
    </row>
    <row r="280" spans="1:7" ht="19.95" customHeight="1">
      <c r="A280" s="1712">
        <v>273</v>
      </c>
      <c r="B280" s="1752" t="s">
        <v>13</v>
      </c>
      <c r="C280" s="1708" t="s">
        <v>2613</v>
      </c>
      <c r="D280" s="1727" t="str">
        <f>HYPERLINK("#'報告_保健P20-22'!AN63","'報告_保健P20-22'!AN63")</f>
        <v>'報告_保健P20-22'!AN63</v>
      </c>
      <c r="E280" s="1761">
        <v>0</v>
      </c>
      <c r="F280" s="1762">
        <f>N('報告_保健P20-22'!V63)</f>
        <v>0</v>
      </c>
      <c r="G280" s="1763" t="s">
        <v>2666</v>
      </c>
    </row>
    <row r="281" spans="1:7" ht="19.95" customHeight="1">
      <c r="A281" s="1716">
        <v>274</v>
      </c>
      <c r="B281" s="1755" t="s">
        <v>13</v>
      </c>
      <c r="C281" s="1711" t="s">
        <v>2615</v>
      </c>
      <c r="D281" s="1730" t="str">
        <f>HYPERLINK("#'報告_保健P20-22'!AN64","'報告_保健P20-22'!AN64")</f>
        <v>'報告_保健P20-22'!AN64</v>
      </c>
      <c r="E281" s="1761">
        <v>538895</v>
      </c>
      <c r="F281" s="1762">
        <f>N('報告_保健P20-22'!V64)</f>
        <v>0</v>
      </c>
      <c r="G281" s="1764" t="s">
        <v>2667</v>
      </c>
    </row>
    <row r="282" spans="1:7" ht="19.95" customHeight="1">
      <c r="A282" s="1712">
        <v>275</v>
      </c>
      <c r="B282" s="1752" t="s">
        <v>13</v>
      </c>
      <c r="C282" s="1708" t="s">
        <v>2617</v>
      </c>
      <c r="D282" s="1727" t="str">
        <f>HYPERLINK("#'保健_附属明細表'!E147","'保健_附属明細表'!E147")</f>
        <v>'保健_附属明細表'!E147</v>
      </c>
      <c r="E282" s="1761">
        <v>270947604</v>
      </c>
      <c r="F282" s="1762">
        <f>N(保健_附属明細表!Q147)</f>
        <v>285212744</v>
      </c>
      <c r="G282" s="1763" t="s">
        <v>2668</v>
      </c>
    </row>
    <row r="283" spans="1:7" ht="19.95" customHeight="1">
      <c r="A283" s="1716">
        <v>276</v>
      </c>
      <c r="B283" s="1755" t="s">
        <v>14</v>
      </c>
      <c r="C283" s="1711" t="s">
        <v>2669</v>
      </c>
      <c r="D283" s="1730" t="str">
        <f>HYPERLINK("#'報告_貸付P23-25'!AQ6","'報告_貸付P23-25'!AQ6")</f>
        <v>'報告_貸付P23-25'!AQ6</v>
      </c>
      <c r="E283" s="1761">
        <v>12712000</v>
      </c>
      <c r="F283" s="1762">
        <f>N('報告_貸付P23-25'!Y6)</f>
        <v>10920960</v>
      </c>
      <c r="G283" s="1764" t="s">
        <v>2670</v>
      </c>
    </row>
    <row r="284" spans="1:7" ht="19.95" customHeight="1">
      <c r="A284" s="1712">
        <v>277</v>
      </c>
      <c r="B284" s="1752" t="s">
        <v>14</v>
      </c>
      <c r="C284" s="1708" t="s">
        <v>2277</v>
      </c>
      <c r="D284" s="1727" t="str">
        <f>HYPERLINK("#'報告_貸付P23-25'!AQ7","'報告_貸付P23-25'!AQ7")</f>
        <v>'報告_貸付P23-25'!AQ7</v>
      </c>
      <c r="E284" s="1761">
        <v>44000</v>
      </c>
      <c r="F284" s="1762">
        <f>N('報告_貸付P23-25'!Y7)</f>
        <v>42000</v>
      </c>
      <c r="G284" s="1763" t="s">
        <v>2671</v>
      </c>
    </row>
    <row r="285" spans="1:7" ht="19.95" customHeight="1">
      <c r="A285" s="1716">
        <v>278</v>
      </c>
      <c r="B285" s="1755" t="s">
        <v>14</v>
      </c>
      <c r="C285" s="1711" t="s">
        <v>2573</v>
      </c>
      <c r="D285" s="1730" t="str">
        <f>HYPERLINK("#'報告_貸付P23-25'!AQ8","'報告_貸付P23-25'!AQ8")</f>
        <v>'報告_貸付P23-25'!AQ8</v>
      </c>
      <c r="E285" s="1761">
        <v>0</v>
      </c>
      <c r="F285" s="1762">
        <f>N('報告_貸付P23-25'!Y8)</f>
        <v>0</v>
      </c>
      <c r="G285" s="1764" t="s">
        <v>2672</v>
      </c>
    </row>
    <row r="286" spans="1:7" ht="19.95" customHeight="1">
      <c r="A286" s="1712">
        <v>279</v>
      </c>
      <c r="B286" s="1752" t="s">
        <v>14</v>
      </c>
      <c r="C286" s="1708" t="s">
        <v>2581</v>
      </c>
      <c r="D286" s="1727" t="str">
        <f>HYPERLINK("#'報告_貸付P23-25'!AQ15","'報告_貸付P23-25'!AQ15")</f>
        <v>'報告_貸付P23-25'!AQ15</v>
      </c>
      <c r="E286" s="1761">
        <v>6160420</v>
      </c>
      <c r="F286" s="1762">
        <f>N('報告_貸付P23-25'!Y15)</f>
        <v>6345567</v>
      </c>
      <c r="G286" s="1763" t="s">
        <v>2673</v>
      </c>
    </row>
    <row r="287" spans="1:7" ht="19.95" customHeight="1">
      <c r="A287" s="1716">
        <v>280</v>
      </c>
      <c r="B287" s="1755" t="s">
        <v>14</v>
      </c>
      <c r="C287" s="1711" t="s">
        <v>2583</v>
      </c>
      <c r="D287" s="1730" t="str">
        <f>HYPERLINK("#'報告_貸付P23-25'!AQ16","'報告_貸付P23-25'!AQ16")</f>
        <v>'報告_貸付P23-25'!AQ16</v>
      </c>
      <c r="E287" s="1761">
        <v>10890</v>
      </c>
      <c r="F287" s="1762">
        <f>N('報告_貸付P23-25'!Y16)</f>
        <v>23507</v>
      </c>
      <c r="G287" s="1764" t="s">
        <v>2674</v>
      </c>
    </row>
    <row r="288" spans="1:7" ht="19.95" customHeight="1">
      <c r="A288" s="1712">
        <v>281</v>
      </c>
      <c r="B288" s="1752" t="s">
        <v>14</v>
      </c>
      <c r="C288" s="1708" t="s">
        <v>2585</v>
      </c>
      <c r="D288" s="1727" t="str">
        <f>HYPERLINK("#'報告_貸付P23-25'!AQ17","'報告_貸付P23-25'!AQ17")</f>
        <v>'報告_貸付P23-25'!AQ17</v>
      </c>
      <c r="E288" s="1761">
        <v>0</v>
      </c>
      <c r="F288" s="1762">
        <f>N('報告_貸付P23-25'!Y17)</f>
        <v>0</v>
      </c>
      <c r="G288" s="1763" t="s">
        <v>2675</v>
      </c>
    </row>
    <row r="289" spans="1:7" ht="19.95" customHeight="1">
      <c r="A289" s="1716">
        <v>282</v>
      </c>
      <c r="B289" s="1755" t="s">
        <v>14</v>
      </c>
      <c r="C289" s="1711" t="s">
        <v>2587</v>
      </c>
      <c r="D289" s="1730" t="str">
        <f>HYPERLINK("#'報告_貸付P23-25'!AQ18","'報告_貸付P23-25'!AQ18")</f>
        <v>'報告_貸付P23-25'!AQ18</v>
      </c>
      <c r="E289" s="1761">
        <v>365797</v>
      </c>
      <c r="F289" s="1762">
        <f>N('報告_貸付P23-25'!Y18)</f>
        <v>635259</v>
      </c>
      <c r="G289" s="1764" t="s">
        <v>2676</v>
      </c>
    </row>
    <row r="290" spans="1:7" ht="19.95" customHeight="1">
      <c r="A290" s="1712">
        <v>283</v>
      </c>
      <c r="B290" s="1752" t="s">
        <v>14</v>
      </c>
      <c r="C290" s="1708" t="s">
        <v>2589</v>
      </c>
      <c r="D290" s="1727" t="str">
        <f>HYPERLINK("#'報告_貸付P23-25'!AQ19","'報告_貸付P23-25'!AQ19")</f>
        <v>'報告_貸付P23-25'!AQ19</v>
      </c>
      <c r="E290" s="1761">
        <v>3977910</v>
      </c>
      <c r="F290" s="1762">
        <f>N('報告_貸付P23-25'!Y19)</f>
        <v>4403185</v>
      </c>
      <c r="G290" s="1763" t="s">
        <v>2677</v>
      </c>
    </row>
    <row r="291" spans="1:7" ht="19.95" customHeight="1">
      <c r="A291" s="1716">
        <v>284</v>
      </c>
      <c r="B291" s="1755" t="s">
        <v>14</v>
      </c>
      <c r="C291" s="1711" t="s">
        <v>2591</v>
      </c>
      <c r="D291" s="1730" t="str">
        <f>HYPERLINK("#'報告_貸付P23-25'!AQ20","'報告_貸付P23-25'!AQ20")</f>
        <v>'報告_貸付P23-25'!AQ20</v>
      </c>
      <c r="E291" s="1761">
        <v>3695884</v>
      </c>
      <c r="F291" s="1762">
        <f>N('報告_貸付P23-25'!Y20)</f>
        <v>229663</v>
      </c>
      <c r="G291" s="1764" t="s">
        <v>2678</v>
      </c>
    </row>
    <row r="292" spans="1:7" ht="19.95" customHeight="1">
      <c r="A292" s="1712">
        <v>285</v>
      </c>
      <c r="B292" s="1752" t="s">
        <v>14</v>
      </c>
      <c r="C292" s="1708" t="s">
        <v>2597</v>
      </c>
      <c r="D292" s="1727" t="str">
        <f>HYPERLINK("#'報告_貸付P23-25'!AQ21","'報告_貸付P23-25'!AQ21")</f>
        <v>'報告_貸付P23-25'!AQ21</v>
      </c>
      <c r="E292" s="1761">
        <v>0</v>
      </c>
      <c r="F292" s="1762">
        <f>N('報告_貸付P23-25'!Y21)</f>
        <v>0</v>
      </c>
      <c r="G292" s="1763" t="s">
        <v>2679</v>
      </c>
    </row>
    <row r="293" spans="1:7" ht="19.95" customHeight="1">
      <c r="A293" s="1716">
        <v>286</v>
      </c>
      <c r="B293" s="1755" t="s">
        <v>14</v>
      </c>
      <c r="C293" s="1711" t="s">
        <v>2599</v>
      </c>
      <c r="D293" s="1730" t="str">
        <f>HYPERLINK("#'報告_貸付P23-25'!AQ22","'報告_貸付P23-25'!AQ22")</f>
        <v>'報告_貸付P23-25'!AQ22</v>
      </c>
      <c r="E293" s="1761">
        <v>768012</v>
      </c>
      <c r="F293" s="1762">
        <f>N('報告_貸付P23-25'!Y22)</f>
        <v>912240</v>
      </c>
      <c r="G293" s="1764" t="s">
        <v>2680</v>
      </c>
    </row>
    <row r="294" spans="1:7" ht="19.95" customHeight="1">
      <c r="A294" s="1712">
        <v>287</v>
      </c>
      <c r="B294" s="1752" t="s">
        <v>14</v>
      </c>
      <c r="C294" s="1708" t="s">
        <v>2660</v>
      </c>
      <c r="D294" s="1727" t="str">
        <f>HYPERLINK("#'報告_貸付P23-25'!AQ23","'報告_貸付P23-25'!AQ23")</f>
        <v>'報告_貸付P23-25'!AQ23</v>
      </c>
      <c r="E294" s="1761">
        <v>0</v>
      </c>
      <c r="F294" s="1762">
        <f>N('報告_貸付P23-25'!Y23)</f>
        <v>0</v>
      </c>
      <c r="G294" s="1763" t="s">
        <v>2681</v>
      </c>
    </row>
    <row r="295" spans="1:7" ht="19.95" customHeight="1">
      <c r="A295" s="1716">
        <v>288</v>
      </c>
      <c r="B295" s="1755" t="s">
        <v>14</v>
      </c>
      <c r="C295" s="1711" t="s">
        <v>2601</v>
      </c>
      <c r="D295" s="1730" t="str">
        <f>HYPERLINK("#'報告_貸付P23-25'!AQ24","'報告_貸付P23-25'!AQ24")</f>
        <v>'報告_貸付P23-25'!AQ24</v>
      </c>
      <c r="E295" s="1761">
        <v>344075</v>
      </c>
      <c r="F295" s="1762">
        <f>N('報告_貸付P23-25'!Y24)</f>
        <v>323822</v>
      </c>
      <c r="G295" s="1764" t="s">
        <v>2682</v>
      </c>
    </row>
    <row r="296" spans="1:7" ht="19.95" customHeight="1">
      <c r="A296" s="1712">
        <v>289</v>
      </c>
      <c r="B296" s="1752" t="s">
        <v>14</v>
      </c>
      <c r="C296" s="1708" t="s">
        <v>2683</v>
      </c>
      <c r="D296" s="1727" t="str">
        <f>HYPERLINK("#'報告_貸付P23-25'!AQ25","'報告_貸付P23-25'!AQ25")</f>
        <v>'報告_貸付P23-25'!AQ25</v>
      </c>
      <c r="E296" s="1761">
        <v>0</v>
      </c>
      <c r="F296" s="1762">
        <f>N('報告_貸付P23-25'!Y25)</f>
        <v>0</v>
      </c>
      <c r="G296" s="1763" t="s">
        <v>2684</v>
      </c>
    </row>
    <row r="297" spans="1:7" ht="19.95" customHeight="1">
      <c r="A297" s="1716">
        <v>290</v>
      </c>
      <c r="B297" s="1755" t="s">
        <v>14</v>
      </c>
      <c r="C297" s="1711" t="s">
        <v>2605</v>
      </c>
      <c r="D297" s="1730" t="str">
        <f>HYPERLINK("#'報告_貸付P23-25'!AQ26","'報告_貸付P23-25'!AQ26")</f>
        <v>'報告_貸付P23-25'!AQ26</v>
      </c>
      <c r="E297" s="1761">
        <v>1630292</v>
      </c>
      <c r="F297" s="1762">
        <f>N('報告_貸付P23-25'!Y26)</f>
        <v>1896954</v>
      </c>
      <c r="G297" s="1764" t="s">
        <v>2685</v>
      </c>
    </row>
    <row r="298" spans="1:7" ht="19.95" customHeight="1">
      <c r="A298" s="1712">
        <v>291</v>
      </c>
      <c r="B298" s="1752" t="s">
        <v>14</v>
      </c>
      <c r="C298" s="1708" t="s">
        <v>2686</v>
      </c>
      <c r="D298" s="1727" t="str">
        <f>HYPERLINK("#'報告_貸付P23-25'!AQ27","'報告_貸付P23-25'!AQ27")</f>
        <v>'報告_貸付P23-25'!AQ27</v>
      </c>
      <c r="E298" s="1761">
        <v>1156845</v>
      </c>
      <c r="F298" s="1762">
        <f>N('報告_貸付P23-25'!Y27)</f>
        <v>112191</v>
      </c>
      <c r="G298" s="1763" t="s">
        <v>2687</v>
      </c>
    </row>
    <row r="299" spans="1:7" ht="19.95" customHeight="1">
      <c r="A299" s="1716">
        <v>292</v>
      </c>
      <c r="B299" s="1755" t="s">
        <v>14</v>
      </c>
      <c r="C299" s="1711" t="s">
        <v>2688</v>
      </c>
      <c r="D299" s="1730" t="str">
        <f>HYPERLINK("#'報告_貸付P23-25'!AQ28","'報告_貸付P23-25'!AQ28")</f>
        <v>'報告_貸付P23-25'!AQ28</v>
      </c>
      <c r="E299" s="1761">
        <v>0</v>
      </c>
      <c r="F299" s="1762">
        <f>N('報告_貸付P23-25'!Y28)</f>
        <v>0</v>
      </c>
      <c r="G299" s="1764" t="s">
        <v>2689</v>
      </c>
    </row>
    <row r="300" spans="1:7" ht="19.95" customHeight="1">
      <c r="A300" s="1712">
        <v>293</v>
      </c>
      <c r="B300" s="1752" t="s">
        <v>14</v>
      </c>
      <c r="C300" s="1708" t="s">
        <v>2690</v>
      </c>
      <c r="D300" s="1727" t="str">
        <f>HYPERLINK("#'報告_貸付P23-25'!AQ29","'報告_貸付P23-25'!AQ29")</f>
        <v>'報告_貸付P23-25'!AQ29</v>
      </c>
      <c r="E300" s="1761">
        <v>0</v>
      </c>
      <c r="F300" s="1762">
        <f>N('報告_貸付P23-25'!Y29)</f>
        <v>0</v>
      </c>
      <c r="G300" s="1763" t="s">
        <v>2691</v>
      </c>
    </row>
    <row r="301" spans="1:7" ht="19.95" customHeight="1">
      <c r="A301" s="1716">
        <v>294</v>
      </c>
      <c r="B301" s="1755" t="s">
        <v>14</v>
      </c>
      <c r="C301" s="1711" t="s">
        <v>2611</v>
      </c>
      <c r="D301" s="1730" t="str">
        <f>HYPERLINK("#'報告_貸付P23-25'!AQ30","'報告_貸付P23-25'!AQ30")</f>
        <v>'報告_貸付P23-25'!AQ30</v>
      </c>
      <c r="E301" s="1761">
        <v>0</v>
      </c>
      <c r="F301" s="1762">
        <f>N('報告_貸付P23-25'!Y30)</f>
        <v>0</v>
      </c>
      <c r="G301" s="1764" t="s">
        <v>2692</v>
      </c>
    </row>
    <row r="302" spans="1:7" ht="19.95" customHeight="1">
      <c r="A302" s="1712">
        <v>295</v>
      </c>
      <c r="B302" s="1752" t="s">
        <v>14</v>
      </c>
      <c r="C302" s="1708" t="s">
        <v>2613</v>
      </c>
      <c r="D302" s="1727" t="str">
        <f>HYPERLINK("#'報告_貸付P23-25'!AQ31","'報告_貸付P23-25'!AQ31")</f>
        <v>'報告_貸付P23-25'!AQ31</v>
      </c>
      <c r="E302" s="1761">
        <v>0</v>
      </c>
      <c r="F302" s="1762">
        <f>N('報告_貸付P23-25'!Y31)</f>
        <v>0</v>
      </c>
      <c r="G302" s="1763" t="s">
        <v>2693</v>
      </c>
    </row>
    <row r="303" spans="1:7" ht="19.95" customHeight="1">
      <c r="A303" s="1716">
        <v>296</v>
      </c>
      <c r="B303" s="1755" t="s">
        <v>14</v>
      </c>
      <c r="C303" s="1711" t="s">
        <v>2694</v>
      </c>
      <c r="D303" s="1730" t="str">
        <f>HYPERLINK("#'報告_貸付P23-25'!M78","'報告_貸付P23-25'!M78")</f>
        <v>'報告_貸付P23-25'!M78</v>
      </c>
      <c r="E303" s="1761">
        <v>107</v>
      </c>
      <c r="F303" s="1762">
        <f>N('報告_貸付P23-25'!AC78)</f>
        <v>119</v>
      </c>
      <c r="G303" s="1764" t="s">
        <v>2695</v>
      </c>
    </row>
    <row r="304" spans="1:7" ht="19.95" customHeight="1">
      <c r="A304" s="1712">
        <v>297</v>
      </c>
      <c r="B304" s="1752" t="s">
        <v>14</v>
      </c>
      <c r="C304" s="1708" t="s">
        <v>2696</v>
      </c>
      <c r="D304" s="1727" t="str">
        <f>HYPERLINK("#'報告_貸付P23-25'!M79","'報告_貸付P23-25'!M79")</f>
        <v>'報告_貸付P23-25'!M79</v>
      </c>
      <c r="E304" s="1761">
        <v>295</v>
      </c>
      <c r="F304" s="1762">
        <f>N('報告_貸付P23-25'!AC79)</f>
        <v>247</v>
      </c>
      <c r="G304" s="1763" t="s">
        <v>2697</v>
      </c>
    </row>
    <row r="305" spans="1:7" ht="19.95" customHeight="1">
      <c r="A305" s="1716">
        <v>298</v>
      </c>
      <c r="B305" s="1755" t="s">
        <v>14</v>
      </c>
      <c r="C305" s="1711" t="s">
        <v>2698</v>
      </c>
      <c r="D305" s="1730" t="str">
        <f>HYPERLINK("#'報告_貸付P23-25'!M80","'報告_貸付P23-25'!M80")</f>
        <v>'報告_貸付P23-25'!M80</v>
      </c>
      <c r="E305" s="1761">
        <v>4</v>
      </c>
      <c r="F305" s="1762">
        <f>N('報告_貸付P23-25'!AC80)</f>
        <v>3</v>
      </c>
      <c r="G305" s="1764" t="s">
        <v>2699</v>
      </c>
    </row>
    <row r="306" spans="1:7" ht="19.95" customHeight="1">
      <c r="A306" s="1712">
        <v>299</v>
      </c>
      <c r="B306" s="1752" t="s">
        <v>14</v>
      </c>
      <c r="C306" s="1708" t="s">
        <v>2700</v>
      </c>
      <c r="D306" s="1727" t="str">
        <f>HYPERLINK("#'報告_貸付P23-25'!M81","'報告_貸付P23-25'!M81")</f>
        <v>'報告_貸付P23-25'!M81</v>
      </c>
      <c r="E306" s="1761">
        <v>1</v>
      </c>
      <c r="F306" s="1762">
        <f>N('報告_貸付P23-25'!AC81)</f>
        <v>1</v>
      </c>
      <c r="G306" s="1763" t="s">
        <v>2701</v>
      </c>
    </row>
    <row r="307" spans="1:7" ht="19.95" customHeight="1">
      <c r="A307" s="1716">
        <v>300</v>
      </c>
      <c r="B307" s="1755" t="s">
        <v>14</v>
      </c>
      <c r="C307" s="1711" t="s">
        <v>2702</v>
      </c>
      <c r="D307" s="1730" t="str">
        <f>HYPERLINK("#'報告_貸付P23-25'!M82","'報告_貸付P23-25'!M82")</f>
        <v>'報告_貸付P23-25'!M82</v>
      </c>
      <c r="E307" s="1761">
        <v>0</v>
      </c>
      <c r="F307" s="1762">
        <f>N('報告_貸付P23-25'!AC82)</f>
        <v>0</v>
      </c>
      <c r="G307" s="1764" t="s">
        <v>2703</v>
      </c>
    </row>
    <row r="308" spans="1:7" ht="19.95" customHeight="1">
      <c r="A308" s="1712">
        <v>301</v>
      </c>
      <c r="B308" s="1752" t="s">
        <v>14</v>
      </c>
      <c r="C308" s="1708" t="s">
        <v>2704</v>
      </c>
      <c r="D308" s="1727" t="str">
        <f>HYPERLINK("#'報告_貸付P23-25'!M83","'報告_貸付P23-25'!M83")</f>
        <v>'報告_貸付P23-25'!M83</v>
      </c>
      <c r="E308" s="1761">
        <v>0</v>
      </c>
      <c r="F308" s="1762">
        <f>N('報告_貸付P23-25'!AC83)</f>
        <v>0</v>
      </c>
      <c r="G308" s="1763" t="s">
        <v>2705</v>
      </c>
    </row>
    <row r="309" spans="1:7" ht="19.95" customHeight="1">
      <c r="A309" s="1716">
        <v>302</v>
      </c>
      <c r="B309" s="1755" t="s">
        <v>14</v>
      </c>
      <c r="C309" s="1711" t="s">
        <v>2706</v>
      </c>
      <c r="D309" s="1730" t="str">
        <f>HYPERLINK("#'報告_貸付P23-25'!M85","'報告_貸付P23-25'!M85")</f>
        <v>'報告_貸付P23-25'!M85</v>
      </c>
      <c r="E309" s="1761">
        <v>1</v>
      </c>
      <c r="F309" s="1762">
        <f>N('報告_貸付P23-25'!AC85)</f>
        <v>1</v>
      </c>
      <c r="G309" s="1764" t="s">
        <v>2707</v>
      </c>
    </row>
    <row r="310" spans="1:7" ht="19.95" customHeight="1">
      <c r="A310" s="1712">
        <v>303</v>
      </c>
      <c r="B310" s="1752" t="s">
        <v>14</v>
      </c>
      <c r="C310" s="1708" t="s">
        <v>2708</v>
      </c>
      <c r="D310" s="1727" t="str">
        <f>HYPERLINK("#'報告_貸付P23-25'!M86","'報告_貸付P23-25'!M86")</f>
        <v>'報告_貸付P23-25'!M86</v>
      </c>
      <c r="E310" s="1761">
        <v>75</v>
      </c>
      <c r="F310" s="1762">
        <f>N('報告_貸付P23-25'!AC86)</f>
        <v>78</v>
      </c>
      <c r="G310" s="1763" t="s">
        <v>2709</v>
      </c>
    </row>
    <row r="311" spans="1:7" ht="19.95" customHeight="1">
      <c r="A311" s="1716">
        <v>304</v>
      </c>
      <c r="B311" s="1755" t="s">
        <v>14</v>
      </c>
      <c r="C311" s="1711" t="s">
        <v>2710</v>
      </c>
      <c r="D311" s="1730" t="str">
        <f>HYPERLINK("#'報告_貸付P23-25'!M87","'報告_貸付P23-25'!M87")</f>
        <v>'報告_貸付P23-25'!M87</v>
      </c>
      <c r="E311" s="1761">
        <v>285</v>
      </c>
      <c r="F311" s="1762">
        <f>N('報告_貸付P23-25'!AC87)</f>
        <v>274</v>
      </c>
      <c r="G311" s="1764" t="s">
        <v>2711</v>
      </c>
    </row>
    <row r="312" spans="1:7" ht="19.95" customHeight="1">
      <c r="A312" s="1712">
        <v>305</v>
      </c>
      <c r="B312" s="1752" t="s">
        <v>14</v>
      </c>
      <c r="C312" s="1708" t="s">
        <v>2712</v>
      </c>
      <c r="D312" s="1727" t="str">
        <f>HYPERLINK("#'報告_貸付P23-25'!M88","'報告_貸付P23-25'!M88")</f>
        <v>'報告_貸付P23-25'!M88</v>
      </c>
      <c r="E312" s="1761">
        <v>18</v>
      </c>
      <c r="F312" s="1762">
        <f>N('報告_貸付P23-25'!AC88)</f>
        <v>15</v>
      </c>
      <c r="G312" s="1763" t="s">
        <v>2713</v>
      </c>
    </row>
    <row r="313" spans="1:7" ht="19.95" customHeight="1">
      <c r="A313" s="1716">
        <v>306</v>
      </c>
      <c r="B313" s="1755" t="s">
        <v>14</v>
      </c>
      <c r="C313" s="1711" t="s">
        <v>2714</v>
      </c>
      <c r="D313" s="1730" t="str">
        <f>HYPERLINK("#'報告_貸付P23-25'!M89","'報告_貸付P23-25'!M89")</f>
        <v>'報告_貸付P23-25'!M89</v>
      </c>
      <c r="E313" s="1761">
        <v>0</v>
      </c>
      <c r="F313" s="1762">
        <f>N('報告_貸付P23-25'!AC89)</f>
        <v>0</v>
      </c>
      <c r="G313" s="1764" t="s">
        <v>2715</v>
      </c>
    </row>
    <row r="314" spans="1:7" ht="19.95" customHeight="1">
      <c r="A314" s="1712">
        <v>307</v>
      </c>
      <c r="B314" s="1752" t="s">
        <v>14</v>
      </c>
      <c r="C314" s="1708" t="s">
        <v>2716</v>
      </c>
      <c r="D314" s="1727" t="str">
        <f>HYPERLINK("#'報告_貸付P23-25'!M91","'報告_貸付P23-25'!M91")</f>
        <v>'報告_貸付P23-25'!M91</v>
      </c>
      <c r="E314" s="1761">
        <v>0</v>
      </c>
      <c r="F314" s="1762">
        <f>N('報告_貸付P23-25'!AC91)</f>
        <v>0</v>
      </c>
      <c r="G314" s="1763" t="s">
        <v>2717</v>
      </c>
    </row>
    <row r="315" spans="1:7" ht="19.95" customHeight="1">
      <c r="A315" s="1716">
        <v>308</v>
      </c>
      <c r="B315" s="1755" t="s">
        <v>14</v>
      </c>
      <c r="C315" s="1711" t="s">
        <v>2718</v>
      </c>
      <c r="D315" s="1730" t="str">
        <f>HYPERLINK("#'報告_貸付P23-25'!Q78","'報告_貸付P23-25'!Q78")</f>
        <v>'報告_貸付P23-25'!Q78</v>
      </c>
      <c r="E315" s="1761">
        <v>93501952</v>
      </c>
      <c r="F315" s="1762">
        <f>N('報告_貸付P23-25'!AG78)</f>
        <v>111636857</v>
      </c>
      <c r="G315" s="1764" t="s">
        <v>2719</v>
      </c>
    </row>
    <row r="316" spans="1:7" ht="19.95" customHeight="1">
      <c r="A316" s="1712">
        <v>309</v>
      </c>
      <c r="B316" s="1752" t="s">
        <v>14</v>
      </c>
      <c r="C316" s="1708" t="s">
        <v>2720</v>
      </c>
      <c r="D316" s="1727" t="str">
        <f>HYPERLINK("#'報告_貸付P23-25'!Q79","'報告_貸付P23-25'!Q79")</f>
        <v>'報告_貸付P23-25'!Q79</v>
      </c>
      <c r="E316" s="1761">
        <v>520519169</v>
      </c>
      <c r="F316" s="1762">
        <f>N('報告_貸付P23-25'!AG79)</f>
        <v>393439258</v>
      </c>
      <c r="G316" s="1763" t="s">
        <v>2721</v>
      </c>
    </row>
    <row r="317" spans="1:7" ht="19.95" customHeight="1">
      <c r="A317" s="1716">
        <v>310</v>
      </c>
      <c r="B317" s="1755" t="s">
        <v>14</v>
      </c>
      <c r="C317" s="1711" t="s">
        <v>2722</v>
      </c>
      <c r="D317" s="1730" t="str">
        <f>HYPERLINK("#'報告_貸付P23-25'!Q80","'報告_貸付P23-25'!Q80")</f>
        <v>'報告_貸付P23-25'!Q80</v>
      </c>
      <c r="E317" s="1761">
        <v>3495763</v>
      </c>
      <c r="F317" s="1762">
        <f>N('報告_貸付P23-25'!AG80)</f>
        <v>2739610</v>
      </c>
      <c r="G317" s="1764" t="s">
        <v>2723</v>
      </c>
    </row>
    <row r="318" spans="1:7" ht="19.95" customHeight="1">
      <c r="A318" s="1712">
        <v>311</v>
      </c>
      <c r="B318" s="1752" t="s">
        <v>14</v>
      </c>
      <c r="C318" s="1708" t="s">
        <v>2724</v>
      </c>
      <c r="D318" s="1727" t="str">
        <f>HYPERLINK("#'報告_貸付P23-25'!Q81","'報告_貸付P23-25'!Q81")</f>
        <v>'報告_貸付P23-25'!Q81</v>
      </c>
      <c r="E318" s="1761">
        <v>96527</v>
      </c>
      <c r="F318" s="1762">
        <f>N('報告_貸付P23-25'!AG81)</f>
        <v>32261</v>
      </c>
      <c r="G318" s="1763" t="s">
        <v>2725</v>
      </c>
    </row>
    <row r="319" spans="1:7" ht="19.95" customHeight="1">
      <c r="A319" s="1716">
        <v>312</v>
      </c>
      <c r="B319" s="1755" t="s">
        <v>14</v>
      </c>
      <c r="C319" s="1711" t="s">
        <v>2726</v>
      </c>
      <c r="D319" s="1730" t="str">
        <f>HYPERLINK("#'報告_貸付P23-25'!Q82","'報告_貸付P23-25'!Q82")</f>
        <v>'報告_貸付P23-25'!Q82</v>
      </c>
      <c r="E319" s="1761">
        <v>0</v>
      </c>
      <c r="F319" s="1762">
        <f>N('報告_貸付P23-25'!AG82)</f>
        <v>0</v>
      </c>
      <c r="G319" s="1764" t="s">
        <v>2727</v>
      </c>
    </row>
    <row r="320" spans="1:7" ht="19.95" customHeight="1">
      <c r="A320" s="1712">
        <v>313</v>
      </c>
      <c r="B320" s="1752" t="s">
        <v>14</v>
      </c>
      <c r="C320" s="1708" t="s">
        <v>2728</v>
      </c>
      <c r="D320" s="1727" t="str">
        <f>HYPERLINK("#'報告_貸付P23-25'!Q83","'報告_貸付P23-25'!Q83")</f>
        <v>'報告_貸付P23-25'!Q83</v>
      </c>
      <c r="E320" s="1761">
        <v>0</v>
      </c>
      <c r="F320" s="1762">
        <f>N('報告_貸付P23-25'!AG83)</f>
        <v>0</v>
      </c>
      <c r="G320" s="1763" t="s">
        <v>2729</v>
      </c>
    </row>
    <row r="321" spans="1:7" ht="19.95" customHeight="1">
      <c r="A321" s="1716">
        <v>314</v>
      </c>
      <c r="B321" s="1755" t="s">
        <v>14</v>
      </c>
      <c r="C321" s="1711" t="s">
        <v>2730</v>
      </c>
      <c r="D321" s="1730" t="str">
        <f>HYPERLINK("#'報告_貸付P23-25'!Q85","'報告_貸付P23-25'!Q85")</f>
        <v>'報告_貸付P23-25'!Q85</v>
      </c>
      <c r="E321" s="1761">
        <v>202555</v>
      </c>
      <c r="F321" s="1762">
        <f>N('報告_貸付P23-25'!AG85)</f>
        <v>160132</v>
      </c>
      <c r="G321" s="1764" t="s">
        <v>2731</v>
      </c>
    </row>
    <row r="322" spans="1:7" ht="19.95" customHeight="1">
      <c r="A322" s="1712">
        <v>315</v>
      </c>
      <c r="B322" s="1752" t="s">
        <v>14</v>
      </c>
      <c r="C322" s="1708" t="s">
        <v>2732</v>
      </c>
      <c r="D322" s="1727" t="str">
        <f>HYPERLINK("#'報告_貸付P23-25'!Q86","'報告_貸付P23-25'!Q86")</f>
        <v>'報告_貸付P23-25'!Q86</v>
      </c>
      <c r="E322" s="1761">
        <v>64933373</v>
      </c>
      <c r="F322" s="1762">
        <f>N('報告_貸付P23-25'!AG86)</f>
        <v>70948742</v>
      </c>
      <c r="G322" s="1763" t="s">
        <v>2733</v>
      </c>
    </row>
    <row r="323" spans="1:7" ht="19.95" customHeight="1">
      <c r="A323" s="1716">
        <v>316</v>
      </c>
      <c r="B323" s="1755" t="s">
        <v>14</v>
      </c>
      <c r="C323" s="1711" t="s">
        <v>2734</v>
      </c>
      <c r="D323" s="1730" t="str">
        <f>HYPERLINK("#'報告_貸付P23-25'!Q87","'報告_貸付P23-25'!Q87")</f>
        <v>'報告_貸付P23-25'!Q87</v>
      </c>
      <c r="E323" s="1761">
        <v>267210788</v>
      </c>
      <c r="F323" s="1762">
        <f>N('報告_貸付P23-25'!AG87)</f>
        <v>261289703</v>
      </c>
      <c r="G323" s="1764" t="s">
        <v>2735</v>
      </c>
    </row>
    <row r="324" spans="1:7" ht="19.95" customHeight="1">
      <c r="A324" s="1712">
        <v>317</v>
      </c>
      <c r="B324" s="1752" t="s">
        <v>14</v>
      </c>
      <c r="C324" s="1708" t="s">
        <v>2736</v>
      </c>
      <c r="D324" s="1727" t="str">
        <f>HYPERLINK("#'報告_貸付P23-25'!Q88","'報告_貸付P23-25'!Q88")</f>
        <v>'報告_貸付P23-25'!Q88</v>
      </c>
      <c r="E324" s="1761">
        <v>7918897</v>
      </c>
      <c r="F324" s="1762">
        <f>N('報告_貸付P23-25'!AG88)</f>
        <v>8929145</v>
      </c>
      <c r="G324" s="1763" t="s">
        <v>2737</v>
      </c>
    </row>
    <row r="325" spans="1:7" ht="19.95" customHeight="1">
      <c r="A325" s="1716">
        <v>318</v>
      </c>
      <c r="B325" s="1755" t="s">
        <v>14</v>
      </c>
      <c r="C325" s="1711" t="s">
        <v>2738</v>
      </c>
      <c r="D325" s="1730" t="str">
        <f>HYPERLINK("#'報告_貸付P23-25'!Q89","'報告_貸付P23-25'!Q89")</f>
        <v>'報告_貸付P23-25'!Q89</v>
      </c>
      <c r="E325" s="1761">
        <v>0</v>
      </c>
      <c r="F325" s="1762">
        <f>N('報告_貸付P23-25'!AG89)</f>
        <v>0</v>
      </c>
      <c r="G325" s="1764" t="s">
        <v>2739</v>
      </c>
    </row>
    <row r="326" spans="1:7" ht="19.95" customHeight="1">
      <c r="A326" s="1712">
        <v>319</v>
      </c>
      <c r="B326" s="1752" t="s">
        <v>14</v>
      </c>
      <c r="C326" s="1708" t="s">
        <v>2740</v>
      </c>
      <c r="D326" s="1727" t="str">
        <f>HYPERLINK("#'報告_貸付P23-25'!Q91","'報告_貸付P23-25'!Q91")</f>
        <v>'報告_貸付P23-25'!Q91</v>
      </c>
      <c r="E326" s="1761">
        <v>0</v>
      </c>
      <c r="F326" s="1762">
        <f>N('報告_貸付P23-25'!AG91)</f>
        <v>0</v>
      </c>
      <c r="G326" s="1763" t="s">
        <v>2741</v>
      </c>
    </row>
    <row r="327" spans="1:7" ht="19.95" customHeight="1">
      <c r="A327" s="1716">
        <v>320</v>
      </c>
      <c r="B327" s="1755" t="s">
        <v>14</v>
      </c>
      <c r="C327" s="1711" t="s">
        <v>2742</v>
      </c>
      <c r="D327" s="1730" t="str">
        <f>HYPERLINK("#'報告_貸付P23-25'!Y87","'報告_貸付P23-25'!Y87")</f>
        <v>'報告_貸付P23-25'!Y87</v>
      </c>
      <c r="E327" s="1761">
        <v>27.89</v>
      </c>
      <c r="F327" s="1762">
        <f>N('報告_貸付P23-25'!AO87)</f>
        <v>30.77</v>
      </c>
      <c r="G327" s="1764" t="s">
        <v>2743</v>
      </c>
    </row>
    <row r="328" spans="1:7" ht="19.95" customHeight="1">
      <c r="A328" s="1712">
        <v>321</v>
      </c>
      <c r="B328" s="1752" t="s">
        <v>14</v>
      </c>
      <c r="C328" s="1708" t="s">
        <v>2744</v>
      </c>
      <c r="D328" s="1727" t="str">
        <f>HYPERLINK("#'貸付_入力'!C15","'貸付_入力'!C15")</f>
        <v>'貸付_入力'!C15</v>
      </c>
      <c r="E328" s="1761">
        <v>105000000</v>
      </c>
      <c r="F328" s="1762">
        <f>N(貸付_附属明細表!R20)</f>
        <v>0</v>
      </c>
      <c r="G328" s="1763" t="s">
        <v>2745</v>
      </c>
    </row>
    <row r="329" spans="1:7" ht="19.95" customHeight="1">
      <c r="A329" s="1716">
        <v>322</v>
      </c>
      <c r="B329" s="1755" t="s">
        <v>14</v>
      </c>
      <c r="C329" s="1711" t="s">
        <v>2746</v>
      </c>
      <c r="D329" s="1730" t="str">
        <f>HYPERLINK("#'貸付_入力'!C33","'貸付_入力'!C33")</f>
        <v>'貸付_入力'!C33</v>
      </c>
      <c r="E329" s="1761">
        <v>1</v>
      </c>
      <c r="F329" s="1762">
        <f>N(貸付_附属明細表!S76)</f>
        <v>1</v>
      </c>
      <c r="G329" s="1764" t="s">
        <v>2747</v>
      </c>
    </row>
    <row r="330" spans="1:7" ht="19.95" customHeight="1">
      <c r="A330" s="1712">
        <v>323</v>
      </c>
      <c r="B330" s="1752" t="s">
        <v>14</v>
      </c>
      <c r="C330" s="1708" t="s">
        <v>1200</v>
      </c>
      <c r="D330" s="1727" t="str">
        <f>HYPERLINK("#'貸付_入力'!C38","'貸付_入力'!C38")</f>
        <v>'貸付_入力'!C38</v>
      </c>
      <c r="E330" s="1761">
        <v>580544</v>
      </c>
      <c r="F330" s="1762">
        <f>N(貸付_附属明細表!Q104)</f>
        <v>580544</v>
      </c>
      <c r="G330" s="1763" t="s">
        <v>2748</v>
      </c>
    </row>
    <row r="331" spans="1:7" ht="19.95" customHeight="1">
      <c r="A331" s="1716">
        <v>324</v>
      </c>
      <c r="B331" s="1755" t="s">
        <v>14</v>
      </c>
      <c r="C331" s="1711" t="s">
        <v>1204</v>
      </c>
      <c r="D331" s="1730" t="str">
        <f>HYPERLINK("#'貸付_入力'!C41","'貸付_入力'!C41")</f>
        <v>'貸付_入力'!C41</v>
      </c>
      <c r="E331" s="1761">
        <v>1961052168</v>
      </c>
      <c r="F331" s="1762">
        <f>N(貸付_附属明細表!Q90)</f>
        <v>1957132740</v>
      </c>
      <c r="G331" s="1764" t="s">
        <v>2749</v>
      </c>
    </row>
    <row r="332" spans="1:7" ht="19.95" customHeight="1">
      <c r="A332" s="1712">
        <v>325</v>
      </c>
      <c r="B332" s="1752" t="s">
        <v>14</v>
      </c>
      <c r="C332" s="1708" t="s">
        <v>1208</v>
      </c>
      <c r="D332" s="1727" t="str">
        <f>HYPERLINK("#'貸付_入力'!C44","'貸付_入力'!C44")</f>
        <v>'貸付_入力'!C44</v>
      </c>
      <c r="E332" s="1761">
        <v>0</v>
      </c>
      <c r="F332" s="1762">
        <f>N(貸付_附属明細表!Q97)</f>
        <v>0</v>
      </c>
      <c r="G332" s="1763" t="s">
        <v>2750</v>
      </c>
    </row>
  </sheetData>
  <sheetProtection formatCells="0" formatColumns="0" formatRows="0" insertColumns="0" insertRows="0" insertHyperlinks="0" deleteColumns="0" deleteRows="0" selectLockedCells="1"/>
  <autoFilter ref="A7:G332" xr:uid="{00000000-0009-0000-0000-000002000000}"/>
  <mergeCells count="6">
    <mergeCell ref="A1:G1"/>
    <mergeCell ref="A3:G3"/>
    <mergeCell ref="A4:G4"/>
    <mergeCell ref="A6:F6"/>
    <mergeCell ref="A2:G2"/>
    <mergeCell ref="A5:G5"/>
  </mergeCells>
  <phoneticPr fontId="155"/>
  <pageMargins left="0.5" right="0.5" top="0.6" bottom="0.6" header="0.3" footer="0.3"/>
  <pageSetup paperSize="9" fitToHeight="0"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FB1-5642-4E32-9DE0-C598EA3750C7}">
  <sheetPr codeName="Sheet53">
    <tabColor rgb="FFA6A6A6"/>
    <pageSetUpPr fitToPage="1"/>
  </sheetPr>
  <dimension ref="A1:M254"/>
  <sheetViews>
    <sheetView zoomScaleNormal="100" workbookViewId="0">
      <pane ySplit="5" topLeftCell="A6" activePane="bottomLeft" state="frozen"/>
      <selection sqref="A1:G1"/>
      <selection pane="bottomLeft" sqref="A1:J1"/>
    </sheetView>
  </sheetViews>
  <sheetFormatPr defaultRowHeight="13.2"/>
  <cols>
    <col min="1" max="1" width="6.44140625" style="1698" customWidth="1"/>
    <col min="2" max="3" width="18" style="1698" customWidth="1"/>
    <col min="4" max="4" width="48" style="1698" customWidth="1"/>
    <col min="5" max="6" width="18" style="1698" customWidth="1"/>
    <col min="7" max="7" width="14" style="1698" customWidth="1"/>
    <col min="8" max="8" width="10" style="1698" customWidth="1"/>
    <col min="9" max="10" width="34" style="1698" customWidth="1"/>
    <col min="11" max="11" width="3" style="1698" customWidth="1"/>
    <col min="12" max="13" width="11" style="1698" customWidth="1"/>
  </cols>
  <sheetData>
    <row r="1" spans="1:13" ht="30" customHeight="1">
      <c r="A1" s="1813" t="s">
        <v>2751</v>
      </c>
      <c r="B1" s="1813"/>
      <c r="C1" s="1813"/>
      <c r="D1" s="1813"/>
      <c r="E1" s="1813"/>
      <c r="F1" s="1813"/>
      <c r="G1" s="1813"/>
      <c r="H1" s="1813"/>
      <c r="I1" s="1813"/>
      <c r="J1" s="1813"/>
      <c r="L1" s="1819" t="str">
        <f>HYPERLINK("#'入力ガイド'!A1","[ ガイドへ戻る ]")</f>
        <v>[ ガイドへ戻る ]</v>
      </c>
      <c r="M1" s="1819"/>
    </row>
    <row r="2" spans="1:13" ht="25.05" customHeight="1">
      <c r="A2" s="1820" t="str">
        <f ca="1">IF(L6=0,"【総合判定：すべてOK】 全 "&amp;M6&amp;" 項目の整合性チェックおよび数式エラー検査をクリアしています（不一致 0 件）","【要確認】 整合性チェックで NG が "&amp;L6&amp;" 件検出されました。赤色表示の行を確認してください。")</f>
        <v>【総合判定：すべてOK】 全 171 項目の整合性チェックおよび数式エラー検査をクリアしています（不一致 0 件）</v>
      </c>
      <c r="B2" s="1820"/>
      <c r="C2" s="1820"/>
      <c r="D2" s="1820"/>
      <c r="E2" s="1820"/>
      <c r="F2" s="1820"/>
      <c r="G2" s="1820"/>
      <c r="H2" s="1820"/>
      <c r="I2" s="1820"/>
      <c r="J2" s="1820"/>
    </row>
    <row r="3" spans="1:13" ht="19.95" customHeight="1">
      <c r="A3" s="1806" t="s">
        <v>2752</v>
      </c>
      <c r="B3" s="1806"/>
      <c r="C3" s="1806"/>
      <c r="D3" s="1806"/>
      <c r="E3" s="1806"/>
      <c r="F3" s="1806"/>
      <c r="G3" s="1806"/>
      <c r="H3" s="1806"/>
      <c r="I3" s="1806"/>
      <c r="J3" s="1806"/>
    </row>
    <row r="4" spans="1:13" ht="10.050000000000001" customHeight="1"/>
    <row r="5" spans="1:13" ht="25.05" customHeight="1">
      <c r="A5" s="1700" t="s">
        <v>1451</v>
      </c>
      <c r="B5" s="1700" t="s">
        <v>0</v>
      </c>
      <c r="C5" s="1700" t="s">
        <v>2753</v>
      </c>
      <c r="D5" s="1700" t="s">
        <v>2754</v>
      </c>
      <c r="E5" s="1700" t="s">
        <v>2755</v>
      </c>
      <c r="F5" s="1700" t="s">
        <v>2756</v>
      </c>
      <c r="G5" s="1700" t="s">
        <v>2757</v>
      </c>
      <c r="H5" s="1700" t="s">
        <v>2758</v>
      </c>
      <c r="I5" s="1700" t="s">
        <v>2759</v>
      </c>
      <c r="J5" s="1700" t="s">
        <v>2760</v>
      </c>
      <c r="L5" s="1765" t="s">
        <v>1324</v>
      </c>
      <c r="M5" s="1765" t="s">
        <v>2761</v>
      </c>
    </row>
    <row r="6" spans="1:13" ht="22.95" customHeight="1">
      <c r="A6" s="1818" t="s">
        <v>2762</v>
      </c>
      <c r="B6" s="1818"/>
      <c r="C6" s="1818"/>
      <c r="D6" s="1818"/>
      <c r="E6" s="1818"/>
      <c r="F6" s="1818"/>
      <c r="G6" s="1818"/>
      <c r="H6" s="1818"/>
      <c r="I6" s="1818"/>
      <c r="J6" s="1818"/>
      <c r="L6" s="1766">
        <f ca="1">COUNTIF(H6:H193,"NG")</f>
        <v>0</v>
      </c>
      <c r="M6" s="1767">
        <f ca="1">COUNTA(H6:H193)</f>
        <v>171</v>
      </c>
    </row>
    <row r="7" spans="1:13" ht="19.95" customHeight="1">
      <c r="A7" s="1768">
        <v>1</v>
      </c>
      <c r="B7" s="1755" t="s">
        <v>7</v>
      </c>
      <c r="C7" s="1711" t="s">
        <v>764</v>
      </c>
      <c r="D7" s="1711" t="s">
        <v>2763</v>
      </c>
      <c r="E7" s="1757">
        <f>IFERROR(N(短期_財務諸表!D25),"エラー")</f>
        <v>4035990451</v>
      </c>
      <c r="F7" s="1757">
        <f>IFERROR(N(短期_財務諸表!H25),"エラー")</f>
        <v>4035990451</v>
      </c>
      <c r="G7" s="1757">
        <f t="shared" ref="G7:G45" si="0">IFERROR(E7-F7,0)</f>
        <v>0</v>
      </c>
      <c r="H7" s="1709" t="str">
        <f t="shared" ref="H7:H39" si="1">IFERROR(IF(ABS(E7-F7)&lt;0.5,"OK","NG"),"NG")</f>
        <v>OK</v>
      </c>
      <c r="I7" s="1731" t="s">
        <v>2764</v>
      </c>
      <c r="J7" s="1731" t="s">
        <v>2765</v>
      </c>
    </row>
    <row r="8" spans="1:13" ht="19.95" customHeight="1">
      <c r="A8" s="1769">
        <v>2</v>
      </c>
      <c r="B8" s="1752" t="s">
        <v>7</v>
      </c>
      <c r="C8" s="1708" t="s">
        <v>787</v>
      </c>
      <c r="D8" s="1708" t="s">
        <v>2766</v>
      </c>
      <c r="E8" s="1754">
        <f>IFERROR(N(短期_財務諸表!D66),"エラー")</f>
        <v>13868707590</v>
      </c>
      <c r="F8" s="1754">
        <f>IFERROR(N(短期_財務諸表!H66),"エラー")</f>
        <v>13868707590</v>
      </c>
      <c r="G8" s="1754">
        <f t="shared" si="0"/>
        <v>0</v>
      </c>
      <c r="H8" s="1709" t="str">
        <f t="shared" si="1"/>
        <v>OK</v>
      </c>
      <c r="I8" s="1729" t="s">
        <v>2767</v>
      </c>
      <c r="J8" s="1729" t="s">
        <v>2768</v>
      </c>
    </row>
    <row r="9" spans="1:13" ht="19.95" customHeight="1">
      <c r="A9" s="1768">
        <v>3</v>
      </c>
      <c r="B9" s="1755" t="s">
        <v>7</v>
      </c>
      <c r="C9" s="1711" t="s">
        <v>887</v>
      </c>
      <c r="D9" s="1711" t="s">
        <v>2769</v>
      </c>
      <c r="E9" s="1757">
        <f>IFERROR(N(短期_決算精算表!A64),"エラー")</f>
        <v>17904698041</v>
      </c>
      <c r="F9" s="1757">
        <f>IFERROR(N(短期_決算精算表!G64),"エラー")</f>
        <v>17904698041</v>
      </c>
      <c r="G9" s="1757">
        <f t="shared" si="0"/>
        <v>0</v>
      </c>
      <c r="H9" s="1709" t="str">
        <f t="shared" si="1"/>
        <v>OK</v>
      </c>
      <c r="I9" s="1731" t="s">
        <v>2770</v>
      </c>
      <c r="J9" s="1731" t="s">
        <v>2771</v>
      </c>
    </row>
    <row r="10" spans="1:13" ht="19.95" customHeight="1">
      <c r="A10" s="1769">
        <v>4</v>
      </c>
      <c r="B10" s="1752" t="s">
        <v>7</v>
      </c>
      <c r="C10" s="1708" t="s">
        <v>887</v>
      </c>
      <c r="D10" s="1708" t="s">
        <v>2772</v>
      </c>
      <c r="E10" s="1754">
        <f>IFERROR(N(短期_決算精算表!C64),"エラー")</f>
        <v>16142540320</v>
      </c>
      <c r="F10" s="1754">
        <f>IFERROR(N(短期_決算精算表!E64),"エラー")</f>
        <v>16142540320</v>
      </c>
      <c r="G10" s="1754">
        <f t="shared" si="0"/>
        <v>0</v>
      </c>
      <c r="H10" s="1709" t="str">
        <f t="shared" si="1"/>
        <v>OK</v>
      </c>
      <c r="I10" s="1729" t="s">
        <v>2773</v>
      </c>
      <c r="J10" s="1729" t="s">
        <v>2774</v>
      </c>
    </row>
    <row r="11" spans="1:13" ht="19.95" customHeight="1">
      <c r="A11" s="1768">
        <v>5</v>
      </c>
      <c r="B11" s="1755" t="s">
        <v>7</v>
      </c>
      <c r="C11" s="1711" t="s">
        <v>887</v>
      </c>
      <c r="D11" s="1711" t="s">
        <v>2775</v>
      </c>
      <c r="E11" s="1757">
        <f>IFERROR(N(短期_決算精算表!B64),"エラー")</f>
        <v>3451252492</v>
      </c>
      <c r="F11" s="1757">
        <f>IFERROR(N(短期_決算精算表!F64),"エラー")</f>
        <v>3451252492</v>
      </c>
      <c r="G11" s="1757">
        <f t="shared" si="0"/>
        <v>0</v>
      </c>
      <c r="H11" s="1709" t="str">
        <f t="shared" si="1"/>
        <v>OK</v>
      </c>
      <c r="I11" s="1731" t="s">
        <v>2776</v>
      </c>
      <c r="J11" s="1731" t="s">
        <v>2777</v>
      </c>
    </row>
    <row r="12" spans="1:13" ht="19.95" customHeight="1">
      <c r="A12" s="1769">
        <v>6</v>
      </c>
      <c r="B12" s="1752" t="s">
        <v>7</v>
      </c>
      <c r="C12" s="1708" t="s">
        <v>2778</v>
      </c>
      <c r="D12" s="1708" t="s">
        <v>2779</v>
      </c>
      <c r="E12" s="1754">
        <f>IFERROR(N(短期_附属明細表!M9),"エラー")</f>
        <v>3976508883</v>
      </c>
      <c r="F12" s="1754">
        <f>IFERROR(N(短期_財務諸表!C7),"エラー")</f>
        <v>3976508883</v>
      </c>
      <c r="G12" s="1754">
        <f t="shared" si="0"/>
        <v>0</v>
      </c>
      <c r="H12" s="1709" t="str">
        <f t="shared" si="1"/>
        <v>OK</v>
      </c>
      <c r="I12" s="1729" t="s">
        <v>2780</v>
      </c>
      <c r="J12" s="1729" t="s">
        <v>2781</v>
      </c>
    </row>
    <row r="13" spans="1:13" ht="19.95" customHeight="1">
      <c r="A13" s="1768">
        <v>7</v>
      </c>
      <c r="B13" s="1755" t="s">
        <v>7</v>
      </c>
      <c r="C13" s="1711" t="s">
        <v>2778</v>
      </c>
      <c r="D13" s="1711" t="s">
        <v>2782</v>
      </c>
      <c r="E13" s="1757">
        <f>IFERROR(N(短期_附属明細表!M16),"エラー")</f>
        <v>0</v>
      </c>
      <c r="F13" s="1757">
        <f>IFERROR(N(短期_財務諸表!C8),"エラー")</f>
        <v>0</v>
      </c>
      <c r="G13" s="1757">
        <f t="shared" si="0"/>
        <v>0</v>
      </c>
      <c r="H13" s="1709" t="str">
        <f t="shared" si="1"/>
        <v>OK</v>
      </c>
      <c r="I13" s="1731" t="s">
        <v>2783</v>
      </c>
      <c r="J13" s="1731" t="s">
        <v>2784</v>
      </c>
    </row>
    <row r="14" spans="1:13" ht="19.95" customHeight="1">
      <c r="A14" s="1769">
        <v>8</v>
      </c>
      <c r="B14" s="1752" t="s">
        <v>7</v>
      </c>
      <c r="C14" s="1708" t="s">
        <v>2778</v>
      </c>
      <c r="D14" s="1708" t="s">
        <v>2785</v>
      </c>
      <c r="E14" s="1754">
        <f>IFERROR(N(短期_附属明細表!M25),"エラー")</f>
        <v>0</v>
      </c>
      <c r="F14" s="1754">
        <f>IFERROR(N(短期_財務諸表!C9),"エラー")</f>
        <v>0</v>
      </c>
      <c r="G14" s="1754">
        <f t="shared" si="0"/>
        <v>0</v>
      </c>
      <c r="H14" s="1709" t="str">
        <f t="shared" si="1"/>
        <v>OK</v>
      </c>
      <c r="I14" s="1729" t="s">
        <v>2786</v>
      </c>
      <c r="J14" s="1729" t="s">
        <v>2787</v>
      </c>
    </row>
    <row r="15" spans="1:13" ht="19.95" customHeight="1">
      <c r="A15" s="1768">
        <v>9</v>
      </c>
      <c r="B15" s="1755" t="s">
        <v>7</v>
      </c>
      <c r="C15" s="1711" t="s">
        <v>2778</v>
      </c>
      <c r="D15" s="1711" t="s">
        <v>2788</v>
      </c>
      <c r="E15" s="1757">
        <f>IFERROR(N(短期_附属明細表!G49),"エラー")</f>
        <v>54568</v>
      </c>
      <c r="F15" s="1757">
        <f>IFERROR(N(短期_財務諸表!C12),"エラー")</f>
        <v>54568</v>
      </c>
      <c r="G15" s="1757">
        <f t="shared" si="0"/>
        <v>0</v>
      </c>
      <c r="H15" s="1709" t="str">
        <f t="shared" si="1"/>
        <v>OK</v>
      </c>
      <c r="I15" s="1731" t="s">
        <v>2789</v>
      </c>
      <c r="J15" s="1731" t="s">
        <v>2790</v>
      </c>
    </row>
    <row r="16" spans="1:13" ht="19.95" customHeight="1">
      <c r="A16" s="1769">
        <v>10</v>
      </c>
      <c r="B16" s="1752" t="s">
        <v>7</v>
      </c>
      <c r="C16" s="1708" t="s">
        <v>2778</v>
      </c>
      <c r="D16" s="1708" t="s">
        <v>2791</v>
      </c>
      <c r="E16" s="1754">
        <f>IFERROR(N(短期_附属明細表!G56),"エラー")</f>
        <v>59427000</v>
      </c>
      <c r="F16" s="1754">
        <f>IFERROR(N(短期_財務諸表!C13),"エラー")</f>
        <v>59427000</v>
      </c>
      <c r="G16" s="1754">
        <f t="shared" si="0"/>
        <v>0</v>
      </c>
      <c r="H16" s="1709" t="str">
        <f t="shared" si="1"/>
        <v>OK</v>
      </c>
      <c r="I16" s="1729" t="s">
        <v>2792</v>
      </c>
      <c r="J16" s="1729" t="s">
        <v>2793</v>
      </c>
    </row>
    <row r="17" spans="1:10" ht="19.95" customHeight="1">
      <c r="A17" s="1768">
        <v>11</v>
      </c>
      <c r="B17" s="1755" t="s">
        <v>7</v>
      </c>
      <c r="C17" s="1711" t="s">
        <v>2778</v>
      </c>
      <c r="D17" s="1711" t="s">
        <v>2794</v>
      </c>
      <c r="E17" s="1757">
        <f>IFERROR(N(短期_附属明細表!G75),"エラー")</f>
        <v>41640951</v>
      </c>
      <c r="F17" s="1757">
        <f>IFERROR(N(短期_財務諸表!G7),"エラー")</f>
        <v>41640951</v>
      </c>
      <c r="G17" s="1757">
        <f t="shared" si="0"/>
        <v>0</v>
      </c>
      <c r="H17" s="1709" t="str">
        <f t="shared" si="1"/>
        <v>OK</v>
      </c>
      <c r="I17" s="1731" t="s">
        <v>2795</v>
      </c>
      <c r="J17" s="1731" t="s">
        <v>2796</v>
      </c>
    </row>
    <row r="18" spans="1:10" ht="19.95" customHeight="1">
      <c r="A18" s="1769">
        <v>12</v>
      </c>
      <c r="B18" s="1752" t="s">
        <v>7</v>
      </c>
      <c r="C18" s="1708" t="s">
        <v>2778</v>
      </c>
      <c r="D18" s="1708" t="s">
        <v>2797</v>
      </c>
      <c r="E18" s="1754">
        <f>IFERROR(N(短期_附属明細表!G82),"エラー")</f>
        <v>6050</v>
      </c>
      <c r="F18" s="1754">
        <f>IFERROR(N(短期_決算精算表!G17),"エラー")</f>
        <v>6050</v>
      </c>
      <c r="G18" s="1754">
        <f t="shared" si="0"/>
        <v>0</v>
      </c>
      <c r="H18" s="1709" t="str">
        <f t="shared" si="1"/>
        <v>OK</v>
      </c>
      <c r="I18" s="1729" t="s">
        <v>2798</v>
      </c>
      <c r="J18" s="1729" t="s">
        <v>2799</v>
      </c>
    </row>
    <row r="19" spans="1:10" ht="19.95" customHeight="1">
      <c r="A19" s="1768">
        <v>13</v>
      </c>
      <c r="B19" s="1755" t="s">
        <v>7</v>
      </c>
      <c r="C19" s="1711" t="s">
        <v>2778</v>
      </c>
      <c r="D19" s="1711" t="s">
        <v>2800</v>
      </c>
      <c r="E19" s="1757">
        <f>IFERROR(N(短期_附属明細表!G82),"エラー")</f>
        <v>6050</v>
      </c>
      <c r="F19" s="1757">
        <f>IFERROR(N(短期_財務諸表!G8),"エラー")</f>
        <v>6050</v>
      </c>
      <c r="G19" s="1757">
        <f t="shared" si="0"/>
        <v>0</v>
      </c>
      <c r="H19" s="1709" t="str">
        <f t="shared" si="1"/>
        <v>OK</v>
      </c>
      <c r="I19" s="1731" t="s">
        <v>2798</v>
      </c>
      <c r="J19" s="1731" t="s">
        <v>2801</v>
      </c>
    </row>
    <row r="20" spans="1:10" ht="19.95" customHeight="1">
      <c r="A20" s="1769">
        <v>14</v>
      </c>
      <c r="B20" s="1752" t="s">
        <v>7</v>
      </c>
      <c r="C20" s="1708" t="s">
        <v>2778</v>
      </c>
      <c r="D20" s="1708" t="s">
        <v>2802</v>
      </c>
      <c r="E20" s="1754">
        <f>IFERROR(N(短期_附属明細表!R92),"エラー")</f>
        <v>36468255</v>
      </c>
      <c r="F20" s="1754">
        <f>IFERROR(N(短期_財務諸表!G9),"エラー")</f>
        <v>36468255</v>
      </c>
      <c r="G20" s="1754">
        <f t="shared" si="0"/>
        <v>0</v>
      </c>
      <c r="H20" s="1709" t="str">
        <f t="shared" si="1"/>
        <v>OK</v>
      </c>
      <c r="I20" s="1729" t="s">
        <v>2803</v>
      </c>
      <c r="J20" s="1729" t="s">
        <v>2804</v>
      </c>
    </row>
    <row r="21" spans="1:10" ht="19.95" customHeight="1">
      <c r="A21" s="1768">
        <v>15</v>
      </c>
      <c r="B21" s="1755" t="s">
        <v>7</v>
      </c>
      <c r="C21" s="1711" t="s">
        <v>2778</v>
      </c>
      <c r="D21" s="1711" t="s">
        <v>2805</v>
      </c>
      <c r="E21" s="1757">
        <f>IFERROR(N(短期_附属明細表!Q99),"エラー")</f>
        <v>533584212</v>
      </c>
      <c r="F21" s="1757">
        <f>IFERROR(N(短期_財務諸表!F19),"エラー")</f>
        <v>533584212</v>
      </c>
      <c r="G21" s="1757">
        <f t="shared" si="0"/>
        <v>0</v>
      </c>
      <c r="H21" s="1709" t="str">
        <f t="shared" si="1"/>
        <v>OK</v>
      </c>
      <c r="I21" s="1731" t="s">
        <v>2502</v>
      </c>
      <c r="J21" s="1731" t="s">
        <v>2806</v>
      </c>
    </row>
    <row r="22" spans="1:10" ht="19.95" customHeight="1">
      <c r="A22" s="1769">
        <v>16</v>
      </c>
      <c r="B22" s="1752" t="s">
        <v>7</v>
      </c>
      <c r="C22" s="1708" t="s">
        <v>2778</v>
      </c>
      <c r="D22" s="1708" t="s">
        <v>2807</v>
      </c>
      <c r="E22" s="1754">
        <f>IFERROR(N(短期_附属明細表!Q100),"エラー")</f>
        <v>2358068031</v>
      </c>
      <c r="F22" s="1754">
        <f>IFERROR(N(短期_財務諸表!F20),"エラー")</f>
        <v>2358068031</v>
      </c>
      <c r="G22" s="1754">
        <f t="shared" si="0"/>
        <v>0</v>
      </c>
      <c r="H22" s="1709" t="str">
        <f t="shared" si="1"/>
        <v>OK</v>
      </c>
      <c r="I22" s="1729" t="s">
        <v>2504</v>
      </c>
      <c r="J22" s="1729" t="s">
        <v>2808</v>
      </c>
    </row>
    <row r="23" spans="1:10" ht="19.95" customHeight="1">
      <c r="A23" s="1768">
        <v>17</v>
      </c>
      <c r="B23" s="1755" t="s">
        <v>7</v>
      </c>
      <c r="C23" s="1711" t="s">
        <v>2778</v>
      </c>
      <c r="D23" s="1711" t="s">
        <v>2809</v>
      </c>
      <c r="E23" s="1757">
        <f>IFERROR(N(短期_附属明細表!Q101),"エラー")</f>
        <v>158483531</v>
      </c>
      <c r="F23" s="1757">
        <f>IFERROR(N(短期_財務諸表!F21),"エラー")</f>
        <v>158483531</v>
      </c>
      <c r="G23" s="1757">
        <f t="shared" si="0"/>
        <v>0</v>
      </c>
      <c r="H23" s="1709" t="str">
        <f t="shared" si="1"/>
        <v>OK</v>
      </c>
      <c r="I23" s="1731" t="s">
        <v>2506</v>
      </c>
      <c r="J23" s="1731" t="s">
        <v>2810</v>
      </c>
    </row>
    <row r="24" spans="1:10" ht="19.95" customHeight="1">
      <c r="A24" s="1769">
        <v>18</v>
      </c>
      <c r="B24" s="1752" t="s">
        <v>7</v>
      </c>
      <c r="C24" s="1708" t="s">
        <v>2778</v>
      </c>
      <c r="D24" s="1708" t="s">
        <v>2811</v>
      </c>
      <c r="E24" s="1754">
        <f>IFERROR(N(短期_附属明細表!K118),"エラー")</f>
        <v>2358068031</v>
      </c>
      <c r="F24" s="1754">
        <f>IFERROR(N(短期_附属明細表!Q100),"エラー")</f>
        <v>2358068031</v>
      </c>
      <c r="G24" s="1754">
        <f t="shared" si="0"/>
        <v>0</v>
      </c>
      <c r="H24" s="1709" t="str">
        <f t="shared" si="1"/>
        <v>OK</v>
      </c>
      <c r="I24" s="1729" t="s">
        <v>2812</v>
      </c>
      <c r="J24" s="1729" t="s">
        <v>2504</v>
      </c>
    </row>
    <row r="25" spans="1:10" ht="19.95" customHeight="1">
      <c r="A25" s="1768">
        <v>19</v>
      </c>
      <c r="B25" s="1755" t="s">
        <v>7</v>
      </c>
      <c r="C25" s="1711" t="s">
        <v>2778</v>
      </c>
      <c r="D25" s="1711" t="s">
        <v>2813</v>
      </c>
      <c r="E25" s="1757">
        <f>IFERROR(N(短期_附属明細表!K119),"エラー")</f>
        <v>158483531</v>
      </c>
      <c r="F25" s="1757">
        <f>IFERROR(N(短期_附属明細表!Q101),"エラー")</f>
        <v>158483531</v>
      </c>
      <c r="G25" s="1757">
        <f t="shared" si="0"/>
        <v>0</v>
      </c>
      <c r="H25" s="1709" t="str">
        <f t="shared" si="1"/>
        <v>OK</v>
      </c>
      <c r="I25" s="1731" t="s">
        <v>2814</v>
      </c>
      <c r="J25" s="1731" t="s">
        <v>2506</v>
      </c>
    </row>
    <row r="26" spans="1:10" ht="19.95" customHeight="1">
      <c r="A26" s="1769">
        <v>20</v>
      </c>
      <c r="B26" s="1752" t="s">
        <v>7</v>
      </c>
      <c r="C26" s="1708" t="s">
        <v>2778</v>
      </c>
      <c r="D26" s="1708" t="s">
        <v>2815</v>
      </c>
      <c r="E26" s="1754">
        <f>IFERROR(N(短期_決算精算表!G19),"エラー")</f>
        <v>907739421</v>
      </c>
      <c r="F26" s="1754">
        <f>IFERROR(N(短期_財務諸表!G13),"エラー")</f>
        <v>907739421</v>
      </c>
      <c r="G26" s="1754">
        <f t="shared" si="0"/>
        <v>0</v>
      </c>
      <c r="H26" s="1709" t="str">
        <f t="shared" si="1"/>
        <v>OK</v>
      </c>
      <c r="I26" s="1729" t="s">
        <v>2500</v>
      </c>
      <c r="J26" s="1729" t="s">
        <v>2816</v>
      </c>
    </row>
    <row r="27" spans="1:10" ht="19.95" customHeight="1">
      <c r="A27" s="1768">
        <v>21</v>
      </c>
      <c r="B27" s="1755" t="s">
        <v>7</v>
      </c>
      <c r="C27" s="1711" t="s">
        <v>2817</v>
      </c>
      <c r="D27" s="1711" t="s">
        <v>2818</v>
      </c>
      <c r="E27" s="1757">
        <f>IFERROR(N('報告_短期P7-10'!CB30),"エラー")</f>
        <v>13868707590</v>
      </c>
      <c r="F27" s="1757">
        <f>IFERROR(N(短期_財務諸表!H37+短期_財務諸表!H56+短期_財務諸表!H58),"エラー")</f>
        <v>13868707590</v>
      </c>
      <c r="G27" s="1757">
        <f t="shared" si="0"/>
        <v>0</v>
      </c>
      <c r="H27" s="1709" t="str">
        <f t="shared" si="1"/>
        <v>OK</v>
      </c>
      <c r="I27" s="1731" t="s">
        <v>2819</v>
      </c>
      <c r="J27" s="1731" t="s">
        <v>2820</v>
      </c>
    </row>
    <row r="28" spans="1:10" ht="19.95" customHeight="1">
      <c r="A28" s="1769">
        <v>22</v>
      </c>
      <c r="B28" s="1752" t="s">
        <v>7</v>
      </c>
      <c r="C28" s="1708" t="s">
        <v>2817</v>
      </c>
      <c r="D28" s="1708" t="s">
        <v>2821</v>
      </c>
      <c r="E28" s="1754">
        <f>IFERROR(N('報告_短期P7-10'!CB110),"エラー")</f>
        <v>13055937409</v>
      </c>
      <c r="F28" s="1754">
        <f>IFERROR(N(短期_財務諸表!D37+短期_財務諸表!D56+短期_財務諸表!D58+短期_財務諸表!D60),"エラー")</f>
        <v>13055937409</v>
      </c>
      <c r="G28" s="1754">
        <f t="shared" si="0"/>
        <v>0</v>
      </c>
      <c r="H28" s="1709" t="str">
        <f t="shared" si="1"/>
        <v>OK</v>
      </c>
      <c r="I28" s="1729" t="s">
        <v>2822</v>
      </c>
      <c r="J28" s="1729" t="s">
        <v>2823</v>
      </c>
    </row>
    <row r="29" spans="1:10" ht="19.95" customHeight="1">
      <c r="A29" s="1768">
        <v>23</v>
      </c>
      <c r="B29" s="1755" t="s">
        <v>7</v>
      </c>
      <c r="C29" s="1711" t="s">
        <v>2817</v>
      </c>
      <c r="D29" s="1711" t="s">
        <v>2824</v>
      </c>
      <c r="E29" s="1757">
        <f>IFERROR(N('報告_短期P7-10'!CB111),"エラー")</f>
        <v>812770181</v>
      </c>
      <c r="F29" s="1757">
        <f>IFERROR(N(短期_財務諸表!D62-短期_財務諸表!H60),"エラー")</f>
        <v>812770181</v>
      </c>
      <c r="G29" s="1757">
        <f t="shared" si="0"/>
        <v>0</v>
      </c>
      <c r="H29" s="1709" t="str">
        <f t="shared" si="1"/>
        <v>OK</v>
      </c>
      <c r="I29" s="1731" t="s">
        <v>2825</v>
      </c>
      <c r="J29" s="1731" t="s">
        <v>2826</v>
      </c>
    </row>
    <row r="30" spans="1:10" ht="19.95" customHeight="1">
      <c r="A30" s="1769">
        <v>24</v>
      </c>
      <c r="B30" s="1752" t="s">
        <v>7</v>
      </c>
      <c r="C30" s="1708" t="s">
        <v>2817</v>
      </c>
      <c r="D30" s="1708" t="s">
        <v>2827</v>
      </c>
      <c r="E30" s="1754">
        <f>IFERROR(N('報告_短期P7-10'!CB66),"エラー")</f>
        <v>5264002497</v>
      </c>
      <c r="F30" s="1754">
        <f>IFERROR(N(短期_財務諸表!B39),"エラー")</f>
        <v>5264002497</v>
      </c>
      <c r="G30" s="1754">
        <f t="shared" si="0"/>
        <v>0</v>
      </c>
      <c r="H30" s="1709" t="str">
        <f t="shared" si="1"/>
        <v>OK</v>
      </c>
      <c r="I30" s="1729" t="s">
        <v>2828</v>
      </c>
      <c r="J30" s="1729" t="s">
        <v>2829</v>
      </c>
    </row>
    <row r="31" spans="1:10" ht="19.95" customHeight="1">
      <c r="A31" s="1768">
        <v>25</v>
      </c>
      <c r="B31" s="1755" t="s">
        <v>7</v>
      </c>
      <c r="C31" s="1711" t="s">
        <v>2817</v>
      </c>
      <c r="D31" s="1711" t="s">
        <v>2830</v>
      </c>
      <c r="E31" s="1757">
        <f>IFERROR(N('報告_短期P7-10'!CB74),"エラー")</f>
        <v>650334235</v>
      </c>
      <c r="F31" s="1757">
        <f>IFERROR(N(短期_財務諸表!B40),"エラー")</f>
        <v>650334235</v>
      </c>
      <c r="G31" s="1757">
        <f t="shared" si="0"/>
        <v>0</v>
      </c>
      <c r="H31" s="1709" t="str">
        <f t="shared" si="1"/>
        <v>OK</v>
      </c>
      <c r="I31" s="1731" t="s">
        <v>2831</v>
      </c>
      <c r="J31" s="1731" t="s">
        <v>2832</v>
      </c>
    </row>
    <row r="32" spans="1:10" ht="19.95" customHeight="1">
      <c r="A32" s="1769">
        <v>26</v>
      </c>
      <c r="B32" s="1752" t="s">
        <v>7</v>
      </c>
      <c r="C32" s="1708" t="s">
        <v>2817</v>
      </c>
      <c r="D32" s="1708" t="s">
        <v>2833</v>
      </c>
      <c r="E32" s="1754">
        <f>IFERROR(N('報告_短期P7-10'!CB89),"エラー")</f>
        <v>36346677</v>
      </c>
      <c r="F32" s="1754">
        <f>IFERROR(N(短期_財務諸表!B42),"エラー")</f>
        <v>36346677</v>
      </c>
      <c r="G32" s="1754">
        <f t="shared" si="0"/>
        <v>0</v>
      </c>
      <c r="H32" s="1709" t="str">
        <f t="shared" si="1"/>
        <v>OK</v>
      </c>
      <c r="I32" s="1729" t="s">
        <v>2834</v>
      </c>
      <c r="J32" s="1729" t="s">
        <v>2835</v>
      </c>
    </row>
    <row r="33" spans="1:10" ht="19.95" customHeight="1">
      <c r="A33" s="1768">
        <v>27</v>
      </c>
      <c r="B33" s="1755" t="s">
        <v>7</v>
      </c>
      <c r="C33" s="1711" t="s">
        <v>2817</v>
      </c>
      <c r="D33" s="1711" t="s">
        <v>2836</v>
      </c>
      <c r="E33" s="1757">
        <f>IFERROR(N('報告_短期P7-10'!CB90),"エラー")</f>
        <v>2096611727</v>
      </c>
      <c r="F33" s="1757">
        <f>IFERROR(N(短期_財務諸表!B43),"エラー")</f>
        <v>2096611727</v>
      </c>
      <c r="G33" s="1757">
        <f t="shared" si="0"/>
        <v>0</v>
      </c>
      <c r="H33" s="1709" t="str">
        <f t="shared" si="1"/>
        <v>OK</v>
      </c>
      <c r="I33" s="1731" t="s">
        <v>2837</v>
      </c>
      <c r="J33" s="1731" t="s">
        <v>2838</v>
      </c>
    </row>
    <row r="34" spans="1:10" ht="19.95" customHeight="1">
      <c r="A34" s="1769">
        <v>28</v>
      </c>
      <c r="B34" s="1752" t="s">
        <v>7</v>
      </c>
      <c r="C34" s="1708" t="s">
        <v>2817</v>
      </c>
      <c r="D34" s="1708" t="s">
        <v>2839</v>
      </c>
      <c r="E34" s="1754">
        <f>IFERROR(N('報告_短期P7-10'!CB91),"エラー")</f>
        <v>2306088269</v>
      </c>
      <c r="F34" s="1754">
        <f>IFERROR(N(短期_財務諸表!B44),"エラー")</f>
        <v>2306088269</v>
      </c>
      <c r="G34" s="1754">
        <f t="shared" si="0"/>
        <v>0</v>
      </c>
      <c r="H34" s="1709" t="str">
        <f t="shared" si="1"/>
        <v>OK</v>
      </c>
      <c r="I34" s="1729" t="s">
        <v>2840</v>
      </c>
      <c r="J34" s="1729" t="s">
        <v>2841</v>
      </c>
    </row>
    <row r="35" spans="1:10" ht="19.95" customHeight="1">
      <c r="A35" s="1768">
        <v>29</v>
      </c>
      <c r="B35" s="1755" t="s">
        <v>7</v>
      </c>
      <c r="C35" s="1711" t="s">
        <v>2817</v>
      </c>
      <c r="D35" s="1711" t="s">
        <v>2842</v>
      </c>
      <c r="E35" s="1757">
        <f>IFERROR(N('報告_短期P7-10'!CB95),"エラー")</f>
        <v>949753680</v>
      </c>
      <c r="F35" s="1757">
        <f>IFERROR(N(短期_財務諸表!B48),"エラー")</f>
        <v>949753680</v>
      </c>
      <c r="G35" s="1757">
        <f t="shared" si="0"/>
        <v>0</v>
      </c>
      <c r="H35" s="1709" t="str">
        <f t="shared" si="1"/>
        <v>OK</v>
      </c>
      <c r="I35" s="1731" t="s">
        <v>2843</v>
      </c>
      <c r="J35" s="1731" t="s">
        <v>2844</v>
      </c>
    </row>
    <row r="36" spans="1:10" ht="19.95" customHeight="1">
      <c r="A36" s="1769">
        <v>30</v>
      </c>
      <c r="B36" s="1752" t="s">
        <v>7</v>
      </c>
      <c r="C36" s="1708" t="s">
        <v>2817</v>
      </c>
      <c r="D36" s="1708" t="s">
        <v>2845</v>
      </c>
      <c r="E36" s="1754">
        <f>IFERROR(N('報告_短期P7-10'!CB102),"エラー")</f>
        <v>137606038</v>
      </c>
      <c r="F36" s="1754">
        <f>IFERROR(N(短期_財務諸表!B53),"エラー")</f>
        <v>137606038</v>
      </c>
      <c r="G36" s="1754">
        <f t="shared" si="0"/>
        <v>0</v>
      </c>
      <c r="H36" s="1709" t="str">
        <f t="shared" si="1"/>
        <v>OK</v>
      </c>
      <c r="I36" s="1729" t="s">
        <v>2846</v>
      </c>
      <c r="J36" s="1729" t="s">
        <v>2847</v>
      </c>
    </row>
    <row r="37" spans="1:10" ht="19.95" customHeight="1">
      <c r="A37" s="1768">
        <v>31</v>
      </c>
      <c r="B37" s="1755" t="s">
        <v>7</v>
      </c>
      <c r="C37" s="1711" t="s">
        <v>2817</v>
      </c>
      <c r="D37" s="1711" t="s">
        <v>2848</v>
      </c>
      <c r="E37" s="1757">
        <f>IFERROR(N('報告_短期P7-10'!CB105),"エラー")</f>
        <v>612540010</v>
      </c>
      <c r="F37" s="1757">
        <f>IFERROR(N(短期_財務諸表!B54),"エラー")</f>
        <v>612540010</v>
      </c>
      <c r="G37" s="1757">
        <f t="shared" si="0"/>
        <v>0</v>
      </c>
      <c r="H37" s="1709" t="str">
        <f t="shared" si="1"/>
        <v>OK</v>
      </c>
      <c r="I37" s="1731" t="s">
        <v>2849</v>
      </c>
      <c r="J37" s="1731" t="s">
        <v>2850</v>
      </c>
    </row>
    <row r="38" spans="1:10" ht="19.95" customHeight="1">
      <c r="A38" s="1769">
        <v>32</v>
      </c>
      <c r="B38" s="1752" t="s">
        <v>7</v>
      </c>
      <c r="C38" s="1708" t="s">
        <v>2817</v>
      </c>
      <c r="D38" s="1708" t="s">
        <v>2851</v>
      </c>
      <c r="E38" s="1754">
        <f>IFERROR(N('報告_短期P7-10'!CB8),"エラー")</f>
        <v>5551497726</v>
      </c>
      <c r="F38" s="1754">
        <f>IFERROR(N(短期_財務諸表!F41),"エラー")</f>
        <v>5551497726</v>
      </c>
      <c r="G38" s="1754">
        <f t="shared" si="0"/>
        <v>0</v>
      </c>
      <c r="H38" s="1709" t="str">
        <f t="shared" si="1"/>
        <v>OK</v>
      </c>
      <c r="I38" s="1729" t="s">
        <v>2852</v>
      </c>
      <c r="J38" s="1729" t="s">
        <v>2853</v>
      </c>
    </row>
    <row r="39" spans="1:10" ht="19.95" customHeight="1">
      <c r="A39" s="1768">
        <v>33</v>
      </c>
      <c r="B39" s="1755" t="s">
        <v>7</v>
      </c>
      <c r="C39" s="1711" t="s">
        <v>2817</v>
      </c>
      <c r="D39" s="1711" t="s">
        <v>2854</v>
      </c>
      <c r="E39" s="1757">
        <f>IFERROR(N('報告_短期P7-10'!CB5+'報告_短期P7-10'!CB6),"エラー")</f>
        <v>5622054228</v>
      </c>
      <c r="F39" s="1757">
        <f>IFERROR(N(短期_財務諸表!F39),"エラー")</f>
        <v>5622054228</v>
      </c>
      <c r="G39" s="1757">
        <f t="shared" si="0"/>
        <v>0</v>
      </c>
      <c r="H39" s="1709" t="str">
        <f t="shared" si="1"/>
        <v>OK</v>
      </c>
      <c r="I39" s="1731" t="s">
        <v>2855</v>
      </c>
      <c r="J39" s="1731" t="s">
        <v>2856</v>
      </c>
    </row>
    <row r="40" spans="1:10" ht="19.95" customHeight="1">
      <c r="A40" s="1769">
        <v>34</v>
      </c>
      <c r="B40" s="1752" t="s">
        <v>7</v>
      </c>
      <c r="C40" s="1708" t="s">
        <v>2857</v>
      </c>
      <c r="D40" s="1708" t="s">
        <v>2858</v>
      </c>
      <c r="E40" s="1754">
        <f>IFERROR(N(報告_P8グラフデータ!C11),"エラー")</f>
        <v>100</v>
      </c>
      <c r="F40" s="1754">
        <v>100</v>
      </c>
      <c r="G40" s="1754">
        <f t="shared" si="0"/>
        <v>0</v>
      </c>
      <c r="H40" s="1709" t="str">
        <f>IFERROR(IF(ABS(E40-F40)&lt;0.005,"OK","NG"),"NG")</f>
        <v>OK</v>
      </c>
      <c r="I40" s="1729" t="s">
        <v>2859</v>
      </c>
      <c r="J40" s="1729" t="s">
        <v>2860</v>
      </c>
    </row>
    <row r="41" spans="1:10" ht="19.95" customHeight="1">
      <c r="A41" s="1768">
        <v>35</v>
      </c>
      <c r="B41" s="1755" t="s">
        <v>7</v>
      </c>
      <c r="C41" s="1711" t="s">
        <v>2857</v>
      </c>
      <c r="D41" s="1711" t="s">
        <v>2861</v>
      </c>
      <c r="E41" s="1757">
        <f>IFERROR(N(報告_P8グラフデータ!C22),"エラー")</f>
        <v>100</v>
      </c>
      <c r="F41" s="1757">
        <v>100</v>
      </c>
      <c r="G41" s="1757">
        <f t="shared" si="0"/>
        <v>0</v>
      </c>
      <c r="H41" s="1709" t="str">
        <f>IFERROR(IF(ABS(E41-F41)&lt;0.005,"OK","NG"),"NG")</f>
        <v>OK</v>
      </c>
      <c r="I41" s="1731" t="s">
        <v>2862</v>
      </c>
      <c r="J41" s="1731" t="s">
        <v>2860</v>
      </c>
    </row>
    <row r="42" spans="1:10" ht="19.95" customHeight="1">
      <c r="A42" s="1769">
        <v>36</v>
      </c>
      <c r="B42" s="1752" t="s">
        <v>7</v>
      </c>
      <c r="C42" s="1708" t="s">
        <v>2863</v>
      </c>
      <c r="D42" s="1708" t="s">
        <v>2864</v>
      </c>
      <c r="E42" s="1754">
        <f>IFERROR(N(短期_附属明細表!E99+短期_附属明細表!I99-短期_附属明細表!M99),"エラー")</f>
        <v>533584212</v>
      </c>
      <c r="F42" s="1754">
        <f>IFERROR(N(短期_附属明細表!Q99),"エラー")</f>
        <v>533584212</v>
      </c>
      <c r="G42" s="1754">
        <f t="shared" si="0"/>
        <v>0</v>
      </c>
      <c r="H42" s="1709" t="str">
        <f>IFERROR(IF(ABS(E42-F42)&lt;0.5,"OK","NG"),"NG")</f>
        <v>OK</v>
      </c>
      <c r="I42" s="1729" t="s">
        <v>2865</v>
      </c>
      <c r="J42" s="1729" t="s">
        <v>2502</v>
      </c>
    </row>
    <row r="43" spans="1:10" ht="19.95" customHeight="1">
      <c r="A43" s="1768">
        <v>37</v>
      </c>
      <c r="B43" s="1755" t="s">
        <v>7</v>
      </c>
      <c r="C43" s="1711" t="s">
        <v>2863</v>
      </c>
      <c r="D43" s="1711" t="s">
        <v>2866</v>
      </c>
      <c r="E43" s="1757">
        <f>IFERROR(N(短期_附属明細表!E100+短期_附属明細表!I100-短期_附属明細表!M100),"エラー")</f>
        <v>2358068031</v>
      </c>
      <c r="F43" s="1757">
        <f>IFERROR(N(短期_附属明細表!Q100),"エラー")</f>
        <v>2358068031</v>
      </c>
      <c r="G43" s="1757">
        <f t="shared" si="0"/>
        <v>0</v>
      </c>
      <c r="H43" s="1709" t="str">
        <f>IFERROR(IF(ABS(E43-F43)&lt;0.5,"OK","NG"),"NG")</f>
        <v>OK</v>
      </c>
      <c r="I43" s="1731" t="s">
        <v>2867</v>
      </c>
      <c r="J43" s="1731" t="s">
        <v>2504</v>
      </c>
    </row>
    <row r="44" spans="1:10" ht="19.95" customHeight="1">
      <c r="A44" s="1769">
        <v>38</v>
      </c>
      <c r="B44" s="1752" t="s">
        <v>7</v>
      </c>
      <c r="C44" s="1708" t="s">
        <v>2863</v>
      </c>
      <c r="D44" s="1708" t="s">
        <v>2868</v>
      </c>
      <c r="E44" s="1754">
        <f>IFERROR(N(短期_附属明細表!E101+短期_附属明細表!I101-短期_附属明細表!M101),"エラー")</f>
        <v>158483531</v>
      </c>
      <c r="F44" s="1754">
        <f>IFERROR(N(短期_附属明細表!Q101),"エラー")</f>
        <v>158483531</v>
      </c>
      <c r="G44" s="1754">
        <f t="shared" si="0"/>
        <v>0</v>
      </c>
      <c r="H44" s="1709" t="str">
        <f>IFERROR(IF(ABS(E44-F44)&lt;0.5,"OK","NG"),"NG")</f>
        <v>OK</v>
      </c>
      <c r="I44" s="1729" t="s">
        <v>2869</v>
      </c>
      <c r="J44" s="1729" t="s">
        <v>2506</v>
      </c>
    </row>
    <row r="45" spans="1:10" ht="19.95" customHeight="1">
      <c r="A45" s="1768">
        <v>39</v>
      </c>
      <c r="B45" s="1755" t="s">
        <v>7</v>
      </c>
      <c r="C45" s="1711" t="s">
        <v>2863</v>
      </c>
      <c r="D45" s="1711" t="s">
        <v>2870</v>
      </c>
      <c r="E45" s="1757">
        <f>IFERROR(N(短期_決算精算表!B19),"エラー")</f>
        <v>876229790</v>
      </c>
      <c r="F45" s="1757">
        <f>IFERROR(N(短期_財務諸表!G57),"エラー")</f>
        <v>876229790</v>
      </c>
      <c r="G45" s="1757">
        <f t="shared" si="0"/>
        <v>0</v>
      </c>
      <c r="H45" s="1709" t="str">
        <f>IFERROR(IF(ABS(E45-F45)&lt;0.5,"OK","NG"),"NG")</f>
        <v>OK</v>
      </c>
      <c r="I45" s="1731" t="s">
        <v>2871</v>
      </c>
      <c r="J45" s="1731" t="s">
        <v>2872</v>
      </c>
    </row>
    <row r="46" spans="1:10" ht="7.95" customHeight="1"/>
    <row r="47" spans="1:10" ht="22.95" customHeight="1">
      <c r="A47" s="1818" t="s">
        <v>2873</v>
      </c>
      <c r="B47" s="1818"/>
      <c r="C47" s="1818"/>
      <c r="D47" s="1818"/>
      <c r="E47" s="1818"/>
      <c r="F47" s="1818"/>
      <c r="G47" s="1818"/>
      <c r="H47" s="1818"/>
      <c r="I47" s="1818"/>
      <c r="J47" s="1818"/>
    </row>
    <row r="48" spans="1:10" ht="19.95" customHeight="1">
      <c r="A48" s="1769">
        <v>40</v>
      </c>
      <c r="B48" s="1752" t="s">
        <v>8</v>
      </c>
      <c r="C48" s="1708" t="s">
        <v>764</v>
      </c>
      <c r="D48" s="1708" t="s">
        <v>2763</v>
      </c>
      <c r="E48" s="1754">
        <f>IFERROR(N(厚生_貸借・損益!F12),"エラー")</f>
        <v>1679618183</v>
      </c>
      <c r="F48" s="1754">
        <f>IFERROR(N(厚生_貸借・損益!M12),"エラー")</f>
        <v>1679618183</v>
      </c>
      <c r="G48" s="1754">
        <f t="shared" ref="G48:G61" si="2">IFERROR(E48-F48,0)</f>
        <v>0</v>
      </c>
      <c r="H48" s="1709" t="str">
        <f t="shared" ref="H48:H61" si="3">IFERROR(IF(ABS(E48-F48)&lt;0.5,"OK","NG"),"NG")</f>
        <v>OK</v>
      </c>
      <c r="I48" s="1729" t="s">
        <v>2874</v>
      </c>
      <c r="J48" s="1729" t="s">
        <v>2875</v>
      </c>
    </row>
    <row r="49" spans="1:10" ht="19.95" customHeight="1">
      <c r="A49" s="1768">
        <v>41</v>
      </c>
      <c r="B49" s="1755" t="s">
        <v>8</v>
      </c>
      <c r="C49" s="1711" t="s">
        <v>787</v>
      </c>
      <c r="D49" s="1711" t="s">
        <v>2766</v>
      </c>
      <c r="E49" s="1757">
        <f>IFERROR(N(厚生_貸借・損益!F26),"エラー")</f>
        <v>19731409796</v>
      </c>
      <c r="F49" s="1757">
        <f>IFERROR(N(厚生_貸借・損益!M26),"エラー")</f>
        <v>19731409796</v>
      </c>
      <c r="G49" s="1757">
        <f t="shared" si="2"/>
        <v>0</v>
      </c>
      <c r="H49" s="1709" t="str">
        <f t="shared" si="3"/>
        <v>OK</v>
      </c>
      <c r="I49" s="1731" t="s">
        <v>2876</v>
      </c>
      <c r="J49" s="1731" t="s">
        <v>2877</v>
      </c>
    </row>
    <row r="50" spans="1:10" ht="19.95" customHeight="1">
      <c r="A50" s="1769">
        <v>42</v>
      </c>
      <c r="B50" s="1752" t="s">
        <v>8</v>
      </c>
      <c r="C50" s="1708" t="s">
        <v>887</v>
      </c>
      <c r="D50" s="1708" t="s">
        <v>2769</v>
      </c>
      <c r="E50" s="1754">
        <f>IFERROR(N(厚生_決算精算表!A22),"エラー")</f>
        <v>21411027979</v>
      </c>
      <c r="F50" s="1754">
        <f>IFERROR(N(厚生_決算精算表!G22),"エラー")</f>
        <v>21411027979</v>
      </c>
      <c r="G50" s="1754">
        <f t="shared" si="2"/>
        <v>0</v>
      </c>
      <c r="H50" s="1709" t="str">
        <f t="shared" si="3"/>
        <v>OK</v>
      </c>
      <c r="I50" s="1729" t="s">
        <v>2878</v>
      </c>
      <c r="J50" s="1729" t="s">
        <v>2879</v>
      </c>
    </row>
    <row r="51" spans="1:10" ht="19.95" customHeight="1">
      <c r="A51" s="1768">
        <v>43</v>
      </c>
      <c r="B51" s="1755" t="s">
        <v>8</v>
      </c>
      <c r="C51" s="1711" t="s">
        <v>887</v>
      </c>
      <c r="D51" s="1711" t="s">
        <v>2772</v>
      </c>
      <c r="E51" s="1757">
        <f>IFERROR(N(厚生_決算精算表!C22),"エラー")</f>
        <v>19731499796</v>
      </c>
      <c r="F51" s="1757">
        <f>IFERROR(N(厚生_決算精算表!E22),"エラー")</f>
        <v>19731499796</v>
      </c>
      <c r="G51" s="1757">
        <f t="shared" si="2"/>
        <v>0</v>
      </c>
      <c r="H51" s="1709" t="str">
        <f t="shared" si="3"/>
        <v>OK</v>
      </c>
      <c r="I51" s="1731" t="s">
        <v>2880</v>
      </c>
      <c r="J51" s="1731" t="s">
        <v>2881</v>
      </c>
    </row>
    <row r="52" spans="1:10" ht="19.95" customHeight="1">
      <c r="A52" s="1769">
        <v>44</v>
      </c>
      <c r="B52" s="1752" t="s">
        <v>8</v>
      </c>
      <c r="C52" s="1708" t="s">
        <v>887</v>
      </c>
      <c r="D52" s="1708" t="s">
        <v>2882</v>
      </c>
      <c r="E52" s="1754">
        <f>IFERROR(N(厚生_決算精算表!B22),"エラー")</f>
        <v>1679528183</v>
      </c>
      <c r="F52" s="1754">
        <f>IFERROR(N(厚生_決算精算表!F22),"エラー")</f>
        <v>1679528183</v>
      </c>
      <c r="G52" s="1754">
        <f t="shared" si="2"/>
        <v>0</v>
      </c>
      <c r="H52" s="1709" t="str">
        <f t="shared" si="3"/>
        <v>OK</v>
      </c>
      <c r="I52" s="1729" t="s">
        <v>2883</v>
      </c>
      <c r="J52" s="1729" t="s">
        <v>2884</v>
      </c>
    </row>
    <row r="53" spans="1:10" ht="19.95" customHeight="1">
      <c r="A53" s="1768">
        <v>45</v>
      </c>
      <c r="B53" s="1755" t="s">
        <v>8</v>
      </c>
      <c r="C53" s="1711" t="s">
        <v>2778</v>
      </c>
      <c r="D53" s="1711" t="s">
        <v>2779</v>
      </c>
      <c r="E53" s="1757">
        <f>IFERROR(N(厚生_預金・立替・未収!E11),"エラー")</f>
        <v>1679618183</v>
      </c>
      <c r="F53" s="1757">
        <f>IFERROR(N(厚生_貸借・損益!E8),"エラー")</f>
        <v>1679618183</v>
      </c>
      <c r="G53" s="1757">
        <f t="shared" si="2"/>
        <v>0</v>
      </c>
      <c r="H53" s="1709" t="str">
        <f t="shared" si="3"/>
        <v>OK</v>
      </c>
      <c r="I53" s="1731" t="s">
        <v>2885</v>
      </c>
      <c r="J53" s="1731" t="s">
        <v>2886</v>
      </c>
    </row>
    <row r="54" spans="1:10" ht="19.95" customHeight="1">
      <c r="A54" s="1769">
        <v>46</v>
      </c>
      <c r="B54" s="1752" t="s">
        <v>8</v>
      </c>
      <c r="C54" s="1708" t="s">
        <v>2778</v>
      </c>
      <c r="D54" s="1708" t="s">
        <v>2788</v>
      </c>
      <c r="E54" s="1754">
        <f>IFERROR(N(厚生_預金・立替・未収!C19),"エラー")</f>
        <v>0</v>
      </c>
      <c r="F54" s="1754">
        <f>IFERROR(N(厚生_貸借・損益!E9),"エラー")</f>
        <v>0</v>
      </c>
      <c r="G54" s="1754">
        <f t="shared" si="2"/>
        <v>0</v>
      </c>
      <c r="H54" s="1709" t="str">
        <f t="shared" si="3"/>
        <v>OK</v>
      </c>
      <c r="I54" s="1729" t="s">
        <v>2887</v>
      </c>
      <c r="J54" s="1729" t="s">
        <v>2888</v>
      </c>
    </row>
    <row r="55" spans="1:10" ht="19.95" customHeight="1">
      <c r="A55" s="1768">
        <v>47</v>
      </c>
      <c r="B55" s="1755" t="s">
        <v>8</v>
      </c>
      <c r="C55" s="1711" t="s">
        <v>2778</v>
      </c>
      <c r="D55" s="1711" t="s">
        <v>2794</v>
      </c>
      <c r="E55" s="1757">
        <f>IFERROR(N(厚生_預金・立替・未収!C30),"エラー")</f>
        <v>1679528183</v>
      </c>
      <c r="F55" s="1757">
        <f>IFERROR(N(厚生_貸借・損益!L8),"エラー")</f>
        <v>1679528183</v>
      </c>
      <c r="G55" s="1757">
        <f t="shared" si="2"/>
        <v>0</v>
      </c>
      <c r="H55" s="1709" t="str">
        <f t="shared" si="3"/>
        <v>OK</v>
      </c>
      <c r="I55" s="1731" t="s">
        <v>2889</v>
      </c>
      <c r="J55" s="1731" t="s">
        <v>2890</v>
      </c>
    </row>
    <row r="56" spans="1:10" ht="19.95" customHeight="1">
      <c r="A56" s="1769">
        <v>48</v>
      </c>
      <c r="B56" s="1752" t="s">
        <v>8</v>
      </c>
      <c r="C56" s="1708" t="s">
        <v>2778</v>
      </c>
      <c r="D56" s="1708" t="s">
        <v>2800</v>
      </c>
      <c r="E56" s="1754">
        <f>IFERROR(N(厚生_預金・立替・未収!C38),"エラー")</f>
        <v>90000</v>
      </c>
      <c r="F56" s="1754">
        <f>IFERROR(N(厚生_貸借・損益!L9),"エラー")</f>
        <v>90000</v>
      </c>
      <c r="G56" s="1754">
        <f t="shared" si="2"/>
        <v>0</v>
      </c>
      <c r="H56" s="1709" t="str">
        <f t="shared" si="3"/>
        <v>OK</v>
      </c>
      <c r="I56" s="1729" t="s">
        <v>2891</v>
      </c>
      <c r="J56" s="1729" t="s">
        <v>2892</v>
      </c>
    </row>
    <row r="57" spans="1:10" ht="19.95" customHeight="1">
      <c r="A57" s="1768">
        <v>49</v>
      </c>
      <c r="B57" s="1755" t="s">
        <v>8</v>
      </c>
      <c r="C57" s="1711" t="s">
        <v>2817</v>
      </c>
      <c r="D57" s="1711" t="s">
        <v>2893</v>
      </c>
      <c r="E57" s="1757">
        <f>IFERROR(N(報告_厚生年金P14!W41),"エラー")</f>
        <v>19731409796</v>
      </c>
      <c r="F57" s="1757">
        <f>IFERROR(N(厚生_貸借・損益!M26),"エラー")</f>
        <v>19731409796</v>
      </c>
      <c r="G57" s="1757">
        <f t="shared" si="2"/>
        <v>0</v>
      </c>
      <c r="H57" s="1709" t="str">
        <f t="shared" si="3"/>
        <v>OK</v>
      </c>
      <c r="I57" s="1731" t="s">
        <v>2894</v>
      </c>
      <c r="J57" s="1731" t="s">
        <v>2877</v>
      </c>
    </row>
    <row r="58" spans="1:10" ht="19.95" customHeight="1">
      <c r="A58" s="1769">
        <v>50</v>
      </c>
      <c r="B58" s="1752" t="s">
        <v>8</v>
      </c>
      <c r="C58" s="1708" t="s">
        <v>2817</v>
      </c>
      <c r="D58" s="1708" t="s">
        <v>2895</v>
      </c>
      <c r="E58" s="1754">
        <f>IFERROR(N(報告_厚生年金P14!W58),"エラー")</f>
        <v>19731409796</v>
      </c>
      <c r="F58" s="1754">
        <f>IFERROR(N(厚生_貸借・損益!F26),"エラー")</f>
        <v>19731409796</v>
      </c>
      <c r="G58" s="1754">
        <f t="shared" si="2"/>
        <v>0</v>
      </c>
      <c r="H58" s="1709" t="str">
        <f t="shared" si="3"/>
        <v>OK</v>
      </c>
      <c r="I58" s="1729" t="s">
        <v>2896</v>
      </c>
      <c r="J58" s="1729" t="s">
        <v>2876</v>
      </c>
    </row>
    <row r="59" spans="1:10" ht="19.95" customHeight="1">
      <c r="A59" s="1768">
        <v>51</v>
      </c>
      <c r="B59" s="1755" t="s">
        <v>8</v>
      </c>
      <c r="C59" s="1711" t="s">
        <v>2817</v>
      </c>
      <c r="D59" s="1711" t="s">
        <v>2897</v>
      </c>
      <c r="E59" s="1757">
        <f>IFERROR(N(報告_厚生年金P14!W55),"エラー")</f>
        <v>11995594883</v>
      </c>
      <c r="F59" s="1757">
        <f>IFERROR(N(厚生_貸借・損益!D23),"エラー")</f>
        <v>11995594883</v>
      </c>
      <c r="G59" s="1757">
        <f t="shared" si="2"/>
        <v>0</v>
      </c>
      <c r="H59" s="1709" t="str">
        <f t="shared" si="3"/>
        <v>OK</v>
      </c>
      <c r="I59" s="1731" t="s">
        <v>2898</v>
      </c>
      <c r="J59" s="1731" t="s">
        <v>2899</v>
      </c>
    </row>
    <row r="60" spans="1:10" ht="19.95" customHeight="1">
      <c r="A60" s="1769">
        <v>52</v>
      </c>
      <c r="B60" s="1752" t="s">
        <v>8</v>
      </c>
      <c r="C60" s="1708" t="s">
        <v>2817</v>
      </c>
      <c r="D60" s="1708" t="s">
        <v>2900</v>
      </c>
      <c r="E60" s="1754">
        <f>IFERROR(N(報告_厚生年金P14!W56),"エラー")</f>
        <v>7735814913</v>
      </c>
      <c r="F60" s="1754">
        <f>IFERROR(N(厚生_貸借・損益!D24),"エラー")</f>
        <v>7735814913</v>
      </c>
      <c r="G60" s="1754">
        <f t="shared" si="2"/>
        <v>0</v>
      </c>
      <c r="H60" s="1709" t="str">
        <f t="shared" si="3"/>
        <v>OK</v>
      </c>
      <c r="I60" s="1729" t="s">
        <v>2901</v>
      </c>
      <c r="J60" s="1729" t="s">
        <v>2902</v>
      </c>
    </row>
    <row r="61" spans="1:10" ht="19.95" customHeight="1">
      <c r="A61" s="1768">
        <v>53</v>
      </c>
      <c r="B61" s="1755" t="s">
        <v>8</v>
      </c>
      <c r="C61" s="1711" t="s">
        <v>2857</v>
      </c>
      <c r="D61" s="1711" t="s">
        <v>2903</v>
      </c>
      <c r="E61" s="1757">
        <f>IFERROR(N(報告_厚生年金P14!W33+報告_厚生年金P14!W34+報告_厚生年金P14!W35+報告_厚生年金P14!W36),"エラー")</f>
        <v>11995594883</v>
      </c>
      <c r="F61" s="1757">
        <f>IFERROR(N(厚生_貸借・損益!K23),"エラー")</f>
        <v>11995594883</v>
      </c>
      <c r="G61" s="1757">
        <f t="shared" si="2"/>
        <v>0</v>
      </c>
      <c r="H61" s="1709" t="str">
        <f t="shared" si="3"/>
        <v>OK</v>
      </c>
      <c r="I61" s="1731" t="s">
        <v>2904</v>
      </c>
      <c r="J61" s="1731" t="s">
        <v>2905</v>
      </c>
    </row>
    <row r="62" spans="1:10" ht="7.95" customHeight="1"/>
    <row r="63" spans="1:10" ht="22.95" customHeight="1">
      <c r="A63" s="1818" t="s">
        <v>2906</v>
      </c>
      <c r="B63" s="1818"/>
      <c r="C63" s="1818"/>
      <c r="D63" s="1818"/>
      <c r="E63" s="1818"/>
      <c r="F63" s="1818"/>
      <c r="G63" s="1818"/>
      <c r="H63" s="1818"/>
      <c r="I63" s="1818"/>
      <c r="J63" s="1818"/>
    </row>
    <row r="64" spans="1:10" ht="19.95" customHeight="1">
      <c r="A64" s="1769">
        <v>54</v>
      </c>
      <c r="B64" s="1752" t="s">
        <v>9</v>
      </c>
      <c r="C64" s="1708" t="s">
        <v>764</v>
      </c>
      <c r="D64" s="1708" t="s">
        <v>2763</v>
      </c>
      <c r="E64" s="1754">
        <f>IFERROR(N(退職等_貸借・損益!F12),"エラー")</f>
        <v>111499006</v>
      </c>
      <c r="F64" s="1754">
        <f>IFERROR(N(退職等_貸借・損益!M12),"エラー")</f>
        <v>111499006</v>
      </c>
      <c r="G64" s="1754">
        <f t="shared" ref="G64:G76" si="4">IFERROR(E64-F64,0)</f>
        <v>0</v>
      </c>
      <c r="H64" s="1709" t="str">
        <f t="shared" ref="H64:H76" si="5">IFERROR(IF(ABS(E64-F64)&lt;0.5,"OK","NG"),"NG")</f>
        <v>OK</v>
      </c>
      <c r="I64" s="1729" t="s">
        <v>2907</v>
      </c>
      <c r="J64" s="1729" t="s">
        <v>2908</v>
      </c>
    </row>
    <row r="65" spans="1:10" ht="19.95" customHeight="1">
      <c r="A65" s="1768">
        <v>55</v>
      </c>
      <c r="B65" s="1755" t="s">
        <v>9</v>
      </c>
      <c r="C65" s="1711" t="s">
        <v>787</v>
      </c>
      <c r="D65" s="1711" t="s">
        <v>2766</v>
      </c>
      <c r="E65" s="1757">
        <f>IFERROR(N(退職等_貸借・損益!F26),"エラー")</f>
        <v>1268365350</v>
      </c>
      <c r="F65" s="1757">
        <f>IFERROR(N(退職等_貸借・損益!M26),"エラー")</f>
        <v>1268365350</v>
      </c>
      <c r="G65" s="1757">
        <f t="shared" si="4"/>
        <v>0</v>
      </c>
      <c r="H65" s="1709" t="str">
        <f t="shared" si="5"/>
        <v>OK</v>
      </c>
      <c r="I65" s="1731" t="s">
        <v>2909</v>
      </c>
      <c r="J65" s="1731" t="s">
        <v>2910</v>
      </c>
    </row>
    <row r="66" spans="1:10" ht="19.95" customHeight="1">
      <c r="A66" s="1769">
        <v>56</v>
      </c>
      <c r="B66" s="1752" t="s">
        <v>9</v>
      </c>
      <c r="C66" s="1708" t="s">
        <v>887</v>
      </c>
      <c r="D66" s="1708" t="s">
        <v>2769</v>
      </c>
      <c r="E66" s="1754">
        <f>IFERROR(N(退職等_決算精算表!A22),"エラー")</f>
        <v>1379864356</v>
      </c>
      <c r="F66" s="1754">
        <f>IFERROR(N(退職等_決算精算表!G22),"エラー")</f>
        <v>1379864356</v>
      </c>
      <c r="G66" s="1754">
        <f t="shared" si="4"/>
        <v>0</v>
      </c>
      <c r="H66" s="1709" t="str">
        <f t="shared" si="5"/>
        <v>OK</v>
      </c>
      <c r="I66" s="1729" t="s">
        <v>2911</v>
      </c>
      <c r="J66" s="1729" t="s">
        <v>2912</v>
      </c>
    </row>
    <row r="67" spans="1:10" ht="19.95" customHeight="1">
      <c r="A67" s="1768">
        <v>57</v>
      </c>
      <c r="B67" s="1755" t="s">
        <v>9</v>
      </c>
      <c r="C67" s="1711" t="s">
        <v>887</v>
      </c>
      <c r="D67" s="1711" t="s">
        <v>2772</v>
      </c>
      <c r="E67" s="1757">
        <f>IFERROR(N(退職等_決算精算表!C22),"エラー")</f>
        <v>1268365350</v>
      </c>
      <c r="F67" s="1757">
        <f>IFERROR(N(退職等_決算精算表!E22),"エラー")</f>
        <v>1268365350</v>
      </c>
      <c r="G67" s="1757">
        <f t="shared" si="4"/>
        <v>0</v>
      </c>
      <c r="H67" s="1709" t="str">
        <f t="shared" si="5"/>
        <v>OK</v>
      </c>
      <c r="I67" s="1731" t="s">
        <v>2913</v>
      </c>
      <c r="J67" s="1731" t="s">
        <v>2914</v>
      </c>
    </row>
    <row r="68" spans="1:10" ht="19.95" customHeight="1">
      <c r="A68" s="1769">
        <v>58</v>
      </c>
      <c r="B68" s="1752" t="s">
        <v>9</v>
      </c>
      <c r="C68" s="1708" t="s">
        <v>887</v>
      </c>
      <c r="D68" s="1708" t="s">
        <v>2882</v>
      </c>
      <c r="E68" s="1754">
        <f>IFERROR(N(退職等_決算精算表!B22),"エラー")</f>
        <v>111499006</v>
      </c>
      <c r="F68" s="1754">
        <f>IFERROR(N(退職等_決算精算表!F22),"エラー")</f>
        <v>111499006</v>
      </c>
      <c r="G68" s="1754">
        <f t="shared" si="4"/>
        <v>0</v>
      </c>
      <c r="H68" s="1709" t="str">
        <f t="shared" si="5"/>
        <v>OK</v>
      </c>
      <c r="I68" s="1729" t="s">
        <v>2915</v>
      </c>
      <c r="J68" s="1729" t="s">
        <v>2916</v>
      </c>
    </row>
    <row r="69" spans="1:10" ht="19.95" customHeight="1">
      <c r="A69" s="1768">
        <v>59</v>
      </c>
      <c r="B69" s="1755" t="s">
        <v>9</v>
      </c>
      <c r="C69" s="1711" t="s">
        <v>2778</v>
      </c>
      <c r="D69" s="1711" t="s">
        <v>2779</v>
      </c>
      <c r="E69" s="1757">
        <f>IFERROR(N(退職等_預金・立替・未収!E8),"エラー")</f>
        <v>111499006</v>
      </c>
      <c r="F69" s="1757">
        <f>IFERROR(N(退職等_貸借・損益!E8),"エラー")</f>
        <v>111499006</v>
      </c>
      <c r="G69" s="1757">
        <f t="shared" si="4"/>
        <v>0</v>
      </c>
      <c r="H69" s="1709" t="str">
        <f t="shared" si="5"/>
        <v>OK</v>
      </c>
      <c r="I69" s="1731" t="s">
        <v>2917</v>
      </c>
      <c r="J69" s="1731" t="s">
        <v>2918</v>
      </c>
    </row>
    <row r="70" spans="1:10" ht="19.95" customHeight="1">
      <c r="A70" s="1769">
        <v>60</v>
      </c>
      <c r="B70" s="1752" t="s">
        <v>9</v>
      </c>
      <c r="C70" s="1708" t="s">
        <v>2778</v>
      </c>
      <c r="D70" s="1708" t="s">
        <v>2788</v>
      </c>
      <c r="E70" s="1754">
        <f>IFERROR(N(退職等_預金・立替・未収!C16),"エラー")</f>
        <v>0</v>
      </c>
      <c r="F70" s="1754">
        <f>IFERROR(N(退職等_貸借・損益!E9),"エラー")</f>
        <v>0</v>
      </c>
      <c r="G70" s="1754">
        <f t="shared" si="4"/>
        <v>0</v>
      </c>
      <c r="H70" s="1709" t="str">
        <f t="shared" si="5"/>
        <v>OK</v>
      </c>
      <c r="I70" s="1729" t="s">
        <v>2919</v>
      </c>
      <c r="J70" s="1729" t="s">
        <v>2920</v>
      </c>
    </row>
    <row r="71" spans="1:10" ht="19.95" customHeight="1">
      <c r="A71" s="1768">
        <v>61</v>
      </c>
      <c r="B71" s="1755" t="s">
        <v>9</v>
      </c>
      <c r="C71" s="1711" t="s">
        <v>2778</v>
      </c>
      <c r="D71" s="1711" t="s">
        <v>2794</v>
      </c>
      <c r="E71" s="1757">
        <f>IFERROR(N(退職等_預金・立替・未収!C26),"エラー")</f>
        <v>111499006</v>
      </c>
      <c r="F71" s="1757">
        <f>IFERROR(N(退職等_貸借・損益!L8),"エラー")</f>
        <v>111499006</v>
      </c>
      <c r="G71" s="1757">
        <f t="shared" si="4"/>
        <v>0</v>
      </c>
      <c r="H71" s="1709" t="str">
        <f t="shared" si="5"/>
        <v>OK</v>
      </c>
      <c r="I71" s="1731" t="s">
        <v>2921</v>
      </c>
      <c r="J71" s="1731" t="s">
        <v>2922</v>
      </c>
    </row>
    <row r="72" spans="1:10" ht="19.95" customHeight="1">
      <c r="A72" s="1769">
        <v>62</v>
      </c>
      <c r="B72" s="1752" t="s">
        <v>9</v>
      </c>
      <c r="C72" s="1708" t="s">
        <v>2778</v>
      </c>
      <c r="D72" s="1708" t="s">
        <v>2923</v>
      </c>
      <c r="E72" s="1754">
        <f>IFERROR(N(退職等_預金・立替・未収!C34),"エラー")</f>
        <v>0</v>
      </c>
      <c r="F72" s="1754">
        <f>IFERROR(N(退職等_貸借・損益!L9),"エラー")</f>
        <v>0</v>
      </c>
      <c r="G72" s="1754">
        <f t="shared" si="4"/>
        <v>0</v>
      </c>
      <c r="H72" s="1709" t="str">
        <f t="shared" si="5"/>
        <v>OK</v>
      </c>
      <c r="I72" s="1729" t="s">
        <v>2924</v>
      </c>
      <c r="J72" s="1729" t="s">
        <v>2925</v>
      </c>
    </row>
    <row r="73" spans="1:10" ht="19.95" customHeight="1">
      <c r="A73" s="1768">
        <v>63</v>
      </c>
      <c r="B73" s="1755" t="s">
        <v>9</v>
      </c>
      <c r="C73" s="1711" t="s">
        <v>2817</v>
      </c>
      <c r="D73" s="1711" t="s">
        <v>2893</v>
      </c>
      <c r="E73" s="1757">
        <f>IFERROR(N(報告_退職等年金P15!W26),"エラー")</f>
        <v>1268365350</v>
      </c>
      <c r="F73" s="1757">
        <f>IFERROR(N(退職等_貸借・損益!M26),"エラー")</f>
        <v>1268365350</v>
      </c>
      <c r="G73" s="1757">
        <f t="shared" si="4"/>
        <v>0</v>
      </c>
      <c r="H73" s="1709" t="str">
        <f t="shared" si="5"/>
        <v>OK</v>
      </c>
      <c r="I73" s="1731" t="s">
        <v>2926</v>
      </c>
      <c r="J73" s="1731" t="s">
        <v>2910</v>
      </c>
    </row>
    <row r="74" spans="1:10" ht="19.95" customHeight="1">
      <c r="A74" s="1769">
        <v>64</v>
      </c>
      <c r="B74" s="1752" t="s">
        <v>9</v>
      </c>
      <c r="C74" s="1708" t="s">
        <v>2817</v>
      </c>
      <c r="D74" s="1708" t="s">
        <v>2895</v>
      </c>
      <c r="E74" s="1754">
        <f>IFERROR(N(報告_退職等年金P15!W43),"エラー")</f>
        <v>1268365350</v>
      </c>
      <c r="F74" s="1754">
        <f>IFERROR(N(退職等_貸借・損益!F26),"エラー")</f>
        <v>1268365350</v>
      </c>
      <c r="G74" s="1754">
        <f t="shared" si="4"/>
        <v>0</v>
      </c>
      <c r="H74" s="1709" t="str">
        <f t="shared" si="5"/>
        <v>OK</v>
      </c>
      <c r="I74" s="1729" t="s">
        <v>2927</v>
      </c>
      <c r="J74" s="1729" t="s">
        <v>2909</v>
      </c>
    </row>
    <row r="75" spans="1:10" ht="19.95" customHeight="1">
      <c r="A75" s="1768">
        <v>65</v>
      </c>
      <c r="B75" s="1755" t="s">
        <v>9</v>
      </c>
      <c r="C75" s="1711" t="s">
        <v>2817</v>
      </c>
      <c r="D75" s="1711" t="s">
        <v>2897</v>
      </c>
      <c r="E75" s="1757">
        <f>IFERROR(N(報告_退職等年金P15!W40),"エラー")</f>
        <v>634159455</v>
      </c>
      <c r="F75" s="1757">
        <f>IFERROR(N(退職等_貸借・損益!D23),"エラー")</f>
        <v>634159455</v>
      </c>
      <c r="G75" s="1757">
        <f t="shared" si="4"/>
        <v>0</v>
      </c>
      <c r="H75" s="1709" t="str">
        <f t="shared" si="5"/>
        <v>OK</v>
      </c>
      <c r="I75" s="1731" t="s">
        <v>2928</v>
      </c>
      <c r="J75" s="1731" t="s">
        <v>2929</v>
      </c>
    </row>
    <row r="76" spans="1:10" ht="19.95" customHeight="1">
      <c r="A76" s="1769">
        <v>66</v>
      </c>
      <c r="B76" s="1752" t="s">
        <v>9</v>
      </c>
      <c r="C76" s="1708" t="s">
        <v>2817</v>
      </c>
      <c r="D76" s="1708" t="s">
        <v>2930</v>
      </c>
      <c r="E76" s="1754">
        <f>IFERROR(N(報告_退職等年金P15!W41),"エラー")</f>
        <v>634205895</v>
      </c>
      <c r="F76" s="1754">
        <f>IFERROR(N(退職等_貸借・損益!D24),"エラー")</f>
        <v>634205895</v>
      </c>
      <c r="G76" s="1754">
        <f t="shared" si="4"/>
        <v>0</v>
      </c>
      <c r="H76" s="1709" t="str">
        <f t="shared" si="5"/>
        <v>OK</v>
      </c>
      <c r="I76" s="1729" t="s">
        <v>2931</v>
      </c>
      <c r="J76" s="1729" t="s">
        <v>2932</v>
      </c>
    </row>
    <row r="77" spans="1:10" ht="7.95" customHeight="1"/>
    <row r="78" spans="1:10" ht="22.95" customHeight="1">
      <c r="A78" s="1818" t="s">
        <v>2933</v>
      </c>
      <c r="B78" s="1818"/>
      <c r="C78" s="1818"/>
      <c r="D78" s="1818"/>
      <c r="E78" s="1818"/>
      <c r="F78" s="1818"/>
      <c r="G78" s="1818"/>
      <c r="H78" s="1818"/>
      <c r="I78" s="1818"/>
      <c r="J78" s="1818"/>
    </row>
    <row r="79" spans="1:10" ht="19.95" customHeight="1">
      <c r="A79" s="1768">
        <v>67</v>
      </c>
      <c r="B79" s="1755" t="s">
        <v>10</v>
      </c>
      <c r="C79" s="1711" t="s">
        <v>764</v>
      </c>
      <c r="D79" s="1711" t="s">
        <v>2763</v>
      </c>
      <c r="E79" s="1757">
        <f>IFERROR(N(経過的_貸借・損益!F12),"エラー")</f>
        <v>722478</v>
      </c>
      <c r="F79" s="1757">
        <f>IFERROR(N(経過的_貸借・損益!M12),"エラー")</f>
        <v>722478</v>
      </c>
      <c r="G79" s="1757">
        <f t="shared" ref="G79:G88" si="6">IFERROR(E79-F79,0)</f>
        <v>0</v>
      </c>
      <c r="H79" s="1709" t="str">
        <f t="shared" ref="H79:H88" si="7">IFERROR(IF(ABS(E79-F79)&lt;0.5,"OK","NG"),"NG")</f>
        <v>OK</v>
      </c>
      <c r="I79" s="1731" t="s">
        <v>2934</v>
      </c>
      <c r="J79" s="1731" t="s">
        <v>2935</v>
      </c>
    </row>
    <row r="80" spans="1:10" ht="19.95" customHeight="1">
      <c r="A80" s="1769">
        <v>68</v>
      </c>
      <c r="B80" s="1752" t="s">
        <v>10</v>
      </c>
      <c r="C80" s="1708" t="s">
        <v>787</v>
      </c>
      <c r="D80" s="1708" t="s">
        <v>2766</v>
      </c>
      <c r="E80" s="1754">
        <f>IFERROR(N(経過的_貸借・損益!F25),"エラー")</f>
        <v>85620216</v>
      </c>
      <c r="F80" s="1754">
        <f>IFERROR(N(経過的_貸借・損益!M25),"エラー")</f>
        <v>85620216</v>
      </c>
      <c r="G80" s="1754">
        <f t="shared" si="6"/>
        <v>0</v>
      </c>
      <c r="H80" s="1709" t="str">
        <f t="shared" si="7"/>
        <v>OK</v>
      </c>
      <c r="I80" s="1729" t="s">
        <v>2936</v>
      </c>
      <c r="J80" s="1729" t="s">
        <v>2937</v>
      </c>
    </row>
    <row r="81" spans="1:10" ht="19.95" customHeight="1">
      <c r="A81" s="1768">
        <v>69</v>
      </c>
      <c r="B81" s="1755" t="s">
        <v>10</v>
      </c>
      <c r="C81" s="1711" t="s">
        <v>887</v>
      </c>
      <c r="D81" s="1711" t="s">
        <v>2769</v>
      </c>
      <c r="E81" s="1757">
        <f>IFERROR(N(経過的_決算精算表!A19),"エラー")</f>
        <v>86342694</v>
      </c>
      <c r="F81" s="1757">
        <f>IFERROR(N(経過的_決算精算表!G19),"エラー")</f>
        <v>86342694</v>
      </c>
      <c r="G81" s="1757">
        <f t="shared" si="6"/>
        <v>0</v>
      </c>
      <c r="H81" s="1709" t="str">
        <f t="shared" si="7"/>
        <v>OK</v>
      </c>
      <c r="I81" s="1731" t="s">
        <v>2938</v>
      </c>
      <c r="J81" s="1731" t="s">
        <v>2939</v>
      </c>
    </row>
    <row r="82" spans="1:10" ht="19.95" customHeight="1">
      <c r="A82" s="1769">
        <v>70</v>
      </c>
      <c r="B82" s="1752" t="s">
        <v>10</v>
      </c>
      <c r="C82" s="1708" t="s">
        <v>887</v>
      </c>
      <c r="D82" s="1708" t="s">
        <v>2772</v>
      </c>
      <c r="E82" s="1754">
        <f>IFERROR(N(経過的_決算精算表!C19),"エラー")</f>
        <v>85620216</v>
      </c>
      <c r="F82" s="1754">
        <f>IFERROR(N(経過的_決算精算表!E19),"エラー")</f>
        <v>85620216</v>
      </c>
      <c r="G82" s="1754">
        <f t="shared" si="6"/>
        <v>0</v>
      </c>
      <c r="H82" s="1709" t="str">
        <f t="shared" si="7"/>
        <v>OK</v>
      </c>
      <c r="I82" s="1729" t="s">
        <v>2940</v>
      </c>
      <c r="J82" s="1729" t="s">
        <v>2941</v>
      </c>
    </row>
    <row r="83" spans="1:10" ht="19.95" customHeight="1">
      <c r="A83" s="1768">
        <v>71</v>
      </c>
      <c r="B83" s="1755" t="s">
        <v>10</v>
      </c>
      <c r="C83" s="1711" t="s">
        <v>887</v>
      </c>
      <c r="D83" s="1711" t="s">
        <v>2882</v>
      </c>
      <c r="E83" s="1757">
        <f>IFERROR(N(経過的_決算精算表!B19),"エラー")</f>
        <v>722478</v>
      </c>
      <c r="F83" s="1757">
        <f>IFERROR(N(経過的_決算精算表!F19),"エラー")</f>
        <v>722478</v>
      </c>
      <c r="G83" s="1757">
        <f t="shared" si="6"/>
        <v>0</v>
      </c>
      <c r="H83" s="1709" t="str">
        <f t="shared" si="7"/>
        <v>OK</v>
      </c>
      <c r="I83" s="1731" t="s">
        <v>2942</v>
      </c>
      <c r="J83" s="1731" t="s">
        <v>2943</v>
      </c>
    </row>
    <row r="84" spans="1:10" ht="19.95" customHeight="1">
      <c r="A84" s="1769">
        <v>72</v>
      </c>
      <c r="B84" s="1752" t="s">
        <v>10</v>
      </c>
      <c r="C84" s="1708" t="s">
        <v>2778</v>
      </c>
      <c r="D84" s="1708" t="s">
        <v>2779</v>
      </c>
      <c r="E84" s="1754">
        <f>IFERROR(N(経過的_預金・立替・未収!E8),"エラー")</f>
        <v>722478</v>
      </c>
      <c r="F84" s="1754">
        <f>IFERROR(N(経過的_貸借・損益!E8),"エラー")</f>
        <v>722478</v>
      </c>
      <c r="G84" s="1754">
        <f t="shared" si="6"/>
        <v>0</v>
      </c>
      <c r="H84" s="1709" t="str">
        <f t="shared" si="7"/>
        <v>OK</v>
      </c>
      <c r="I84" s="1729" t="s">
        <v>2944</v>
      </c>
      <c r="J84" s="1729" t="s">
        <v>2945</v>
      </c>
    </row>
    <row r="85" spans="1:10" ht="19.95" customHeight="1">
      <c r="A85" s="1768">
        <v>73</v>
      </c>
      <c r="B85" s="1755" t="s">
        <v>10</v>
      </c>
      <c r="C85" s="1711" t="s">
        <v>2778</v>
      </c>
      <c r="D85" s="1711" t="s">
        <v>2788</v>
      </c>
      <c r="E85" s="1757">
        <f>IFERROR(N(経過的_預金・立替・未収!C16),"エラー")</f>
        <v>0</v>
      </c>
      <c r="F85" s="1757">
        <f>IFERROR(N(経過的_貸借・損益!E9),"エラー")</f>
        <v>0</v>
      </c>
      <c r="G85" s="1757">
        <f t="shared" si="6"/>
        <v>0</v>
      </c>
      <c r="H85" s="1709" t="str">
        <f t="shared" si="7"/>
        <v>OK</v>
      </c>
      <c r="I85" s="1731" t="s">
        <v>2946</v>
      </c>
      <c r="J85" s="1731" t="s">
        <v>2947</v>
      </c>
    </row>
    <row r="86" spans="1:10" ht="19.95" customHeight="1">
      <c r="A86" s="1769">
        <v>74</v>
      </c>
      <c r="B86" s="1752" t="s">
        <v>10</v>
      </c>
      <c r="C86" s="1708" t="s">
        <v>2778</v>
      </c>
      <c r="D86" s="1708" t="s">
        <v>2794</v>
      </c>
      <c r="E86" s="1754">
        <f>IFERROR(N(経過的_預金・立替・未収!C23),"エラー")</f>
        <v>722478</v>
      </c>
      <c r="F86" s="1754">
        <f>IFERROR(N(経過的_貸借・損益!L8),"エラー")</f>
        <v>722478</v>
      </c>
      <c r="G86" s="1754">
        <f t="shared" si="6"/>
        <v>0</v>
      </c>
      <c r="H86" s="1709" t="str">
        <f t="shared" si="7"/>
        <v>OK</v>
      </c>
      <c r="I86" s="1729" t="s">
        <v>2948</v>
      </c>
      <c r="J86" s="1729" t="s">
        <v>2949</v>
      </c>
    </row>
    <row r="87" spans="1:10" ht="19.95" customHeight="1">
      <c r="A87" s="1768">
        <v>75</v>
      </c>
      <c r="B87" s="1755" t="s">
        <v>10</v>
      </c>
      <c r="C87" s="1711" t="s">
        <v>2817</v>
      </c>
      <c r="D87" s="1711" t="s">
        <v>2893</v>
      </c>
      <c r="E87" s="1757">
        <f>IFERROR(N(報告_経過的長期P16!W31),"エラー")</f>
        <v>85620216</v>
      </c>
      <c r="F87" s="1757">
        <f>IFERROR(N(経過的_貸借・損益!M25),"エラー")</f>
        <v>85620216</v>
      </c>
      <c r="G87" s="1757">
        <f t="shared" si="6"/>
        <v>0</v>
      </c>
      <c r="H87" s="1709" t="str">
        <f t="shared" si="7"/>
        <v>OK</v>
      </c>
      <c r="I87" s="1731" t="s">
        <v>2950</v>
      </c>
      <c r="J87" s="1731" t="s">
        <v>2937</v>
      </c>
    </row>
    <row r="88" spans="1:10" ht="19.95" customHeight="1">
      <c r="A88" s="1769">
        <v>76</v>
      </c>
      <c r="B88" s="1752" t="s">
        <v>10</v>
      </c>
      <c r="C88" s="1708" t="s">
        <v>2817</v>
      </c>
      <c r="D88" s="1708" t="s">
        <v>2895</v>
      </c>
      <c r="E88" s="1754">
        <f>IFERROR(N(報告_経過的長期P16!W45),"エラー")</f>
        <v>85620216</v>
      </c>
      <c r="F88" s="1754">
        <f>IFERROR(N(経過的_貸借・損益!F25),"エラー")</f>
        <v>85620216</v>
      </c>
      <c r="G88" s="1754">
        <f t="shared" si="6"/>
        <v>0</v>
      </c>
      <c r="H88" s="1709" t="str">
        <f t="shared" si="7"/>
        <v>OK</v>
      </c>
      <c r="I88" s="1729" t="s">
        <v>2951</v>
      </c>
      <c r="J88" s="1729" t="s">
        <v>2936</v>
      </c>
    </row>
    <row r="89" spans="1:10" ht="7.95" customHeight="1"/>
    <row r="90" spans="1:10" ht="22.95" customHeight="1">
      <c r="A90" s="1818" t="s">
        <v>2952</v>
      </c>
      <c r="B90" s="1818"/>
      <c r="C90" s="1818"/>
      <c r="D90" s="1818"/>
      <c r="E90" s="1818"/>
      <c r="F90" s="1818"/>
      <c r="G90" s="1818"/>
      <c r="H90" s="1818"/>
      <c r="I90" s="1818"/>
      <c r="J90" s="1818"/>
    </row>
    <row r="91" spans="1:10" ht="19.95" customHeight="1">
      <c r="A91" s="1768">
        <v>77</v>
      </c>
      <c r="B91" s="1755" t="s">
        <v>11</v>
      </c>
      <c r="C91" s="1711" t="s">
        <v>764</v>
      </c>
      <c r="D91" s="1711" t="s">
        <v>2763</v>
      </c>
      <c r="E91" s="1757">
        <f>IFERROR(N(預託金_貸借・損益!F15),"エラー")</f>
        <v>0</v>
      </c>
      <c r="F91" s="1757">
        <f>IFERROR(N(預託金_貸借・損益!M15),"エラー")</f>
        <v>0</v>
      </c>
      <c r="G91" s="1757">
        <f t="shared" ref="G91:G105" si="8">IFERROR(E91-F91,0)</f>
        <v>0</v>
      </c>
      <c r="H91" s="1709" t="str">
        <f t="shared" ref="H91:H105" si="9">IFERROR(IF(ABS(E91-F91)&lt;0.5,"OK","NG"),"NG")</f>
        <v>OK</v>
      </c>
      <c r="I91" s="1731" t="s">
        <v>2953</v>
      </c>
      <c r="J91" s="1731" t="s">
        <v>2954</v>
      </c>
    </row>
    <row r="92" spans="1:10" ht="19.95" customHeight="1">
      <c r="A92" s="1769">
        <v>78</v>
      </c>
      <c r="B92" s="1752" t="s">
        <v>11</v>
      </c>
      <c r="C92" s="1708" t="s">
        <v>787</v>
      </c>
      <c r="D92" s="1708" t="s">
        <v>2766</v>
      </c>
      <c r="E92" s="1754">
        <f>IFERROR(N(預託金_貸借・損益!F30),"エラー")</f>
        <v>136059</v>
      </c>
      <c r="F92" s="1754">
        <f>IFERROR(N(預託金_貸借・損益!M30),"エラー")</f>
        <v>136059</v>
      </c>
      <c r="G92" s="1754">
        <f t="shared" si="8"/>
        <v>0</v>
      </c>
      <c r="H92" s="1709" t="str">
        <f t="shared" si="9"/>
        <v>OK</v>
      </c>
      <c r="I92" s="1729" t="s">
        <v>2955</v>
      </c>
      <c r="J92" s="1729" t="s">
        <v>2956</v>
      </c>
    </row>
    <row r="93" spans="1:10" ht="19.95" customHeight="1">
      <c r="A93" s="1768">
        <v>79</v>
      </c>
      <c r="B93" s="1755" t="s">
        <v>11</v>
      </c>
      <c r="C93" s="1711" t="s">
        <v>887</v>
      </c>
      <c r="D93" s="1711" t="s">
        <v>2769</v>
      </c>
      <c r="E93" s="1757">
        <f>IFERROR(N(預託金_決算精算表!A20),"エラー")</f>
        <v>136059</v>
      </c>
      <c r="F93" s="1757">
        <f>IFERROR(N(預託金_決算精算表!G20),"エラー")</f>
        <v>136059</v>
      </c>
      <c r="G93" s="1757">
        <f t="shared" si="8"/>
        <v>0</v>
      </c>
      <c r="H93" s="1709" t="str">
        <f t="shared" si="9"/>
        <v>OK</v>
      </c>
      <c r="I93" s="1731" t="s">
        <v>2957</v>
      </c>
      <c r="J93" s="1731" t="s">
        <v>2958</v>
      </c>
    </row>
    <row r="94" spans="1:10" ht="19.95" customHeight="1">
      <c r="A94" s="1769">
        <v>80</v>
      </c>
      <c r="B94" s="1752" t="s">
        <v>11</v>
      </c>
      <c r="C94" s="1708" t="s">
        <v>887</v>
      </c>
      <c r="D94" s="1708" t="s">
        <v>2772</v>
      </c>
      <c r="E94" s="1754">
        <f>IFERROR(N(預託金_決算精算表!C20),"エラー")</f>
        <v>136059</v>
      </c>
      <c r="F94" s="1754">
        <f>IFERROR(N(預託金_決算精算表!E20),"エラー")</f>
        <v>136059</v>
      </c>
      <c r="G94" s="1754">
        <f t="shared" si="8"/>
        <v>0</v>
      </c>
      <c r="H94" s="1709" t="str">
        <f t="shared" si="9"/>
        <v>OK</v>
      </c>
      <c r="I94" s="1729" t="s">
        <v>2959</v>
      </c>
      <c r="J94" s="1729" t="s">
        <v>2960</v>
      </c>
    </row>
    <row r="95" spans="1:10" ht="19.95" customHeight="1">
      <c r="A95" s="1768">
        <v>81</v>
      </c>
      <c r="B95" s="1755" t="s">
        <v>11</v>
      </c>
      <c r="C95" s="1711" t="s">
        <v>887</v>
      </c>
      <c r="D95" s="1711" t="s">
        <v>2882</v>
      </c>
      <c r="E95" s="1757">
        <f>IFERROR(N(預託金_決算精算表!B20),"エラー")</f>
        <v>3</v>
      </c>
      <c r="F95" s="1757">
        <f>IFERROR(N(預託金_決算精算表!F20),"エラー")</f>
        <v>3</v>
      </c>
      <c r="G95" s="1757">
        <f t="shared" si="8"/>
        <v>0</v>
      </c>
      <c r="H95" s="1709" t="str">
        <f t="shared" si="9"/>
        <v>OK</v>
      </c>
      <c r="I95" s="1731" t="s">
        <v>2961</v>
      </c>
      <c r="J95" s="1731" t="s">
        <v>2962</v>
      </c>
    </row>
    <row r="96" spans="1:10" ht="19.95" customHeight="1">
      <c r="A96" s="1769">
        <v>82</v>
      </c>
      <c r="B96" s="1752" t="s">
        <v>11</v>
      </c>
      <c r="C96" s="1708" t="s">
        <v>2778</v>
      </c>
      <c r="D96" s="1708" t="s">
        <v>2779</v>
      </c>
      <c r="E96" s="1754">
        <f>IFERROR(N(預託金_預金・未収・貸付・預託金!F8),"エラー")</f>
        <v>0</v>
      </c>
      <c r="F96" s="1754">
        <f>IFERROR(N(預託金_貸借・損益!E8),"エラー")</f>
        <v>0</v>
      </c>
      <c r="G96" s="1754">
        <f t="shared" si="8"/>
        <v>0</v>
      </c>
      <c r="H96" s="1709" t="str">
        <f t="shared" si="9"/>
        <v>OK</v>
      </c>
      <c r="I96" s="1729" t="s">
        <v>2963</v>
      </c>
      <c r="J96" s="1729" t="s">
        <v>2964</v>
      </c>
    </row>
    <row r="97" spans="1:10" ht="19.95" customHeight="1">
      <c r="A97" s="1768">
        <v>83</v>
      </c>
      <c r="B97" s="1755" t="s">
        <v>11</v>
      </c>
      <c r="C97" s="1711" t="s">
        <v>2778</v>
      </c>
      <c r="D97" s="1711" t="s">
        <v>2965</v>
      </c>
      <c r="E97" s="1757">
        <f>IFERROR(N(預託金_預金・未収・貸付・預託金!C15),"エラー")</f>
        <v>0</v>
      </c>
      <c r="F97" s="1757">
        <f>IFERROR(N(預託金_貸借・損益!E9),"エラー")</f>
        <v>0</v>
      </c>
      <c r="G97" s="1757">
        <f t="shared" si="8"/>
        <v>0</v>
      </c>
      <c r="H97" s="1709" t="str">
        <f t="shared" si="9"/>
        <v>OK</v>
      </c>
      <c r="I97" s="1731" t="s">
        <v>2966</v>
      </c>
      <c r="J97" s="1731" t="s">
        <v>2967</v>
      </c>
    </row>
    <row r="98" spans="1:10" ht="19.95" customHeight="1">
      <c r="A98" s="1769">
        <v>84</v>
      </c>
      <c r="B98" s="1752" t="s">
        <v>11</v>
      </c>
      <c r="C98" s="1708" t="s">
        <v>2778</v>
      </c>
      <c r="D98" s="1708" t="s">
        <v>2968</v>
      </c>
      <c r="E98" s="1754">
        <f>IFERROR(N(預託金_預金・未収・貸付・預託金!M22),"エラー")</f>
        <v>0</v>
      </c>
      <c r="F98" s="1754">
        <f>IFERROR(N(預託金_貸借・損益!E13),"エラー")</f>
        <v>0</v>
      </c>
      <c r="G98" s="1754">
        <f t="shared" si="8"/>
        <v>0</v>
      </c>
      <c r="H98" s="1709" t="str">
        <f t="shared" si="9"/>
        <v>OK</v>
      </c>
      <c r="I98" s="1729" t="s">
        <v>2969</v>
      </c>
      <c r="J98" s="1729" t="s">
        <v>2970</v>
      </c>
    </row>
    <row r="99" spans="1:10" ht="19.95" customHeight="1">
      <c r="A99" s="1768">
        <v>85</v>
      </c>
      <c r="B99" s="1755" t="s">
        <v>11</v>
      </c>
      <c r="C99" s="1711" t="s">
        <v>2778</v>
      </c>
      <c r="D99" s="1711" t="s">
        <v>2971</v>
      </c>
      <c r="E99" s="1757">
        <f>IFERROR(N(預託金_預金・未収・貸付・預託金!M29),"エラー")</f>
        <v>0</v>
      </c>
      <c r="F99" s="1757">
        <f>IFERROR(N(預託金_貸借・損益!L8),"エラー")</f>
        <v>0</v>
      </c>
      <c r="G99" s="1757">
        <f t="shared" si="8"/>
        <v>0</v>
      </c>
      <c r="H99" s="1709" t="str">
        <f t="shared" si="9"/>
        <v>OK</v>
      </c>
      <c r="I99" s="1731" t="s">
        <v>2972</v>
      </c>
      <c r="J99" s="1731" t="s">
        <v>2973</v>
      </c>
    </row>
    <row r="100" spans="1:10" ht="19.95" customHeight="1">
      <c r="A100" s="1769">
        <v>86</v>
      </c>
      <c r="B100" s="1752" t="s">
        <v>11</v>
      </c>
      <c r="C100" s="1708" t="s">
        <v>2817</v>
      </c>
      <c r="D100" s="1708" t="s">
        <v>2893</v>
      </c>
      <c r="E100" s="1754">
        <f>IFERROR(N(報告_預託金P17!G10),"エラー")</f>
        <v>136059</v>
      </c>
      <c r="F100" s="1754">
        <f>IFERROR(N(預託金_貸借・損益!M30),"エラー")</f>
        <v>136059</v>
      </c>
      <c r="G100" s="1754">
        <f t="shared" si="8"/>
        <v>0</v>
      </c>
      <c r="H100" s="1709" t="str">
        <f t="shared" si="9"/>
        <v>OK</v>
      </c>
      <c r="I100" s="1729" t="s">
        <v>2974</v>
      </c>
      <c r="J100" s="1729" t="s">
        <v>2956</v>
      </c>
    </row>
    <row r="101" spans="1:10" ht="19.95" customHeight="1">
      <c r="A101" s="1768">
        <v>87</v>
      </c>
      <c r="B101" s="1755" t="s">
        <v>11</v>
      </c>
      <c r="C101" s="1711" t="s">
        <v>2817</v>
      </c>
      <c r="D101" s="1711" t="s">
        <v>2895</v>
      </c>
      <c r="E101" s="1757">
        <f>IFERROR(N(報告_預託金P17!G19),"エラー")</f>
        <v>136059</v>
      </c>
      <c r="F101" s="1757">
        <f>IFERROR(N(預託金_貸借・損益!F30),"エラー")</f>
        <v>136059</v>
      </c>
      <c r="G101" s="1757">
        <f t="shared" si="8"/>
        <v>0</v>
      </c>
      <c r="H101" s="1709" t="str">
        <f t="shared" si="9"/>
        <v>OK</v>
      </c>
      <c r="I101" s="1731" t="s">
        <v>2975</v>
      </c>
      <c r="J101" s="1731" t="s">
        <v>2955</v>
      </c>
    </row>
    <row r="102" spans="1:10" ht="19.95" customHeight="1">
      <c r="A102" s="1769">
        <v>88</v>
      </c>
      <c r="B102" s="1752" t="s">
        <v>11</v>
      </c>
      <c r="C102" s="1708" t="s">
        <v>2817</v>
      </c>
      <c r="D102" s="1708" t="s">
        <v>2976</v>
      </c>
      <c r="E102" s="1754">
        <f>IFERROR(N(報告_預託金のカメラ!F12),"エラー")</f>
        <v>0</v>
      </c>
      <c r="F102" s="1754">
        <f>IFERROR(N(預託金_貸借・損益!F15),"エラー")</f>
        <v>0</v>
      </c>
      <c r="G102" s="1754">
        <f t="shared" si="8"/>
        <v>0</v>
      </c>
      <c r="H102" s="1709" t="str">
        <f t="shared" si="9"/>
        <v>OK</v>
      </c>
      <c r="I102" s="1729" t="s">
        <v>2977</v>
      </c>
      <c r="J102" s="1729" t="s">
        <v>2953</v>
      </c>
    </row>
    <row r="103" spans="1:10" ht="19.95" customHeight="1">
      <c r="A103" s="1768">
        <v>89</v>
      </c>
      <c r="B103" s="1755" t="s">
        <v>11</v>
      </c>
      <c r="C103" s="1711" t="s">
        <v>2863</v>
      </c>
      <c r="D103" s="1711" t="s">
        <v>2978</v>
      </c>
      <c r="E103" s="1757">
        <f>IFERROR(N(預託金_預金・未収・貸付・預託金!C21+預託金_預金・未収・貸付・預託金!F21-預託金_預金・未収・貸付・預託金!I21),"エラー")</f>
        <v>0</v>
      </c>
      <c r="F103" s="1757">
        <f>IFERROR(N(預託金_預金・未収・貸付・預託金!M21),"エラー")</f>
        <v>0</v>
      </c>
      <c r="G103" s="1757">
        <f t="shared" si="8"/>
        <v>0</v>
      </c>
      <c r="H103" s="1709" t="str">
        <f t="shared" si="9"/>
        <v>OK</v>
      </c>
      <c r="I103" s="1731" t="s">
        <v>2979</v>
      </c>
      <c r="J103" s="1731" t="s">
        <v>2980</v>
      </c>
    </row>
    <row r="104" spans="1:10" ht="19.95" customHeight="1">
      <c r="A104" s="1769">
        <v>90</v>
      </c>
      <c r="B104" s="1752" t="s">
        <v>11</v>
      </c>
      <c r="C104" s="1708" t="s">
        <v>2863</v>
      </c>
      <c r="D104" s="1708" t="s">
        <v>2981</v>
      </c>
      <c r="E104" s="1754">
        <f>IFERROR(N(預託金_預金・未収・貸付・預託金!M22),"エラー")</f>
        <v>0</v>
      </c>
      <c r="F104" s="1754">
        <f>IFERROR(N(貸付_附属明細表!R20),"エラー")</f>
        <v>0</v>
      </c>
      <c r="G104" s="1754">
        <f t="shared" si="8"/>
        <v>0</v>
      </c>
      <c r="H104" s="1709" t="str">
        <f t="shared" si="9"/>
        <v>OK</v>
      </c>
      <c r="I104" s="1729" t="s">
        <v>2969</v>
      </c>
      <c r="J104" s="1729" t="s">
        <v>2745</v>
      </c>
    </row>
    <row r="105" spans="1:10" ht="19.95" customHeight="1">
      <c r="A105" s="1768">
        <v>91</v>
      </c>
      <c r="B105" s="1755" t="s">
        <v>11</v>
      </c>
      <c r="C105" s="1711" t="s">
        <v>2863</v>
      </c>
      <c r="D105" s="1711" t="s">
        <v>2982</v>
      </c>
      <c r="E105" s="1757">
        <f>IFERROR(N(預託金_預金・未収・貸付・預託金!C28+預託金_預金・未収・貸付・預託金!F28-預託金_預金・未収・貸付・預託金!I28),"エラー")</f>
        <v>0</v>
      </c>
      <c r="F105" s="1757">
        <f>IFERROR(N(預託金_預金・未収・貸付・預託金!M28),"エラー")</f>
        <v>0</v>
      </c>
      <c r="G105" s="1757">
        <f t="shared" si="8"/>
        <v>0</v>
      </c>
      <c r="H105" s="1709" t="str">
        <f t="shared" si="9"/>
        <v>OK</v>
      </c>
      <c r="I105" s="1731" t="s">
        <v>2983</v>
      </c>
      <c r="J105" s="1731" t="s">
        <v>2984</v>
      </c>
    </row>
    <row r="106" spans="1:10" ht="7.95" customHeight="1"/>
    <row r="107" spans="1:10" ht="22.95" customHeight="1">
      <c r="A107" s="1818" t="s">
        <v>2985</v>
      </c>
      <c r="B107" s="1818"/>
      <c r="C107" s="1818"/>
      <c r="D107" s="1818"/>
      <c r="E107" s="1818"/>
      <c r="F107" s="1818"/>
      <c r="G107" s="1818"/>
      <c r="H107" s="1818"/>
      <c r="I107" s="1818"/>
      <c r="J107" s="1818"/>
    </row>
    <row r="108" spans="1:10" ht="19.95" customHeight="1">
      <c r="A108" s="1769">
        <v>92</v>
      </c>
      <c r="B108" s="1752" t="s">
        <v>12</v>
      </c>
      <c r="C108" s="1708" t="s">
        <v>764</v>
      </c>
      <c r="D108" s="1708" t="s">
        <v>2763</v>
      </c>
      <c r="E108" s="1754">
        <f>IFERROR(N(業務_財務諸表!D25),"エラー")</f>
        <v>85175250</v>
      </c>
      <c r="F108" s="1754">
        <f>IFERROR(N(業務_財務諸表!H25),"エラー")</f>
        <v>85175250</v>
      </c>
      <c r="G108" s="1754">
        <f t="shared" ref="G108:G128" si="10">IFERROR(E108-F108,0)</f>
        <v>0</v>
      </c>
      <c r="H108" s="1709" t="str">
        <f t="shared" ref="H108:H128" si="11">IFERROR(IF(ABS(E108-F108)&lt;0.5,"OK","NG"),"NG")</f>
        <v>OK</v>
      </c>
      <c r="I108" s="1729" t="s">
        <v>2986</v>
      </c>
      <c r="J108" s="1729" t="s">
        <v>2987</v>
      </c>
    </row>
    <row r="109" spans="1:10" ht="19.95" customHeight="1">
      <c r="A109" s="1768">
        <v>93</v>
      </c>
      <c r="B109" s="1755" t="s">
        <v>12</v>
      </c>
      <c r="C109" s="1711" t="s">
        <v>787</v>
      </c>
      <c r="D109" s="1711" t="s">
        <v>2766</v>
      </c>
      <c r="E109" s="1757">
        <f>IFERROR(N(業務_財務諸表!D59),"エラー")</f>
        <v>124727469</v>
      </c>
      <c r="F109" s="1757">
        <f>IFERROR(N(業務_財務諸表!H59),"エラー")</f>
        <v>124727469</v>
      </c>
      <c r="G109" s="1757">
        <f t="shared" si="10"/>
        <v>0</v>
      </c>
      <c r="H109" s="1709" t="str">
        <f t="shared" si="11"/>
        <v>OK</v>
      </c>
      <c r="I109" s="1731" t="s">
        <v>2988</v>
      </c>
      <c r="J109" s="1731" t="s">
        <v>2989</v>
      </c>
    </row>
    <row r="110" spans="1:10" ht="19.95" customHeight="1">
      <c r="A110" s="1769">
        <v>94</v>
      </c>
      <c r="B110" s="1752" t="s">
        <v>12</v>
      </c>
      <c r="C110" s="1708" t="s">
        <v>887</v>
      </c>
      <c r="D110" s="1708" t="s">
        <v>2769</v>
      </c>
      <c r="E110" s="1754">
        <f>IFERROR(N(業務_決算精算表!A48),"エラー")</f>
        <v>209902719</v>
      </c>
      <c r="F110" s="1754">
        <f>IFERROR(N(業務_決算精算表!G48),"エラー")</f>
        <v>209902719</v>
      </c>
      <c r="G110" s="1754">
        <f t="shared" si="10"/>
        <v>0</v>
      </c>
      <c r="H110" s="1709" t="str">
        <f t="shared" si="11"/>
        <v>OK</v>
      </c>
      <c r="I110" s="1729" t="s">
        <v>2990</v>
      </c>
      <c r="J110" s="1729" t="s">
        <v>2991</v>
      </c>
    </row>
    <row r="111" spans="1:10" ht="19.95" customHeight="1">
      <c r="A111" s="1768">
        <v>95</v>
      </c>
      <c r="B111" s="1755" t="s">
        <v>12</v>
      </c>
      <c r="C111" s="1711" t="s">
        <v>887</v>
      </c>
      <c r="D111" s="1711" t="s">
        <v>2772</v>
      </c>
      <c r="E111" s="1757">
        <f>IFERROR(N(業務_決算精算表!C48),"エラー")</f>
        <v>189744039</v>
      </c>
      <c r="F111" s="1757">
        <f>IFERROR(N(業務_決算精算表!E48),"エラー")</f>
        <v>189744039</v>
      </c>
      <c r="G111" s="1757">
        <f t="shared" si="10"/>
        <v>0</v>
      </c>
      <c r="H111" s="1709" t="str">
        <f t="shared" si="11"/>
        <v>OK</v>
      </c>
      <c r="I111" s="1731" t="s">
        <v>2992</v>
      </c>
      <c r="J111" s="1731" t="s">
        <v>2993</v>
      </c>
    </row>
    <row r="112" spans="1:10" ht="19.95" customHeight="1">
      <c r="A112" s="1769">
        <v>96</v>
      </c>
      <c r="B112" s="1752" t="s">
        <v>12</v>
      </c>
      <c r="C112" s="1708" t="s">
        <v>887</v>
      </c>
      <c r="D112" s="1708" t="s">
        <v>2775</v>
      </c>
      <c r="E112" s="1754">
        <f>IFERROR(N(業務_決算精算表!B48),"エラー")</f>
        <v>29250903</v>
      </c>
      <c r="F112" s="1754">
        <f>IFERROR(N(業務_決算精算表!F48),"エラー")</f>
        <v>29250903</v>
      </c>
      <c r="G112" s="1754">
        <f t="shared" si="10"/>
        <v>0</v>
      </c>
      <c r="H112" s="1709" t="str">
        <f t="shared" si="11"/>
        <v>OK</v>
      </c>
      <c r="I112" s="1729" t="s">
        <v>2994</v>
      </c>
      <c r="J112" s="1729" t="s">
        <v>2995</v>
      </c>
    </row>
    <row r="113" spans="1:10" ht="19.95" customHeight="1">
      <c r="A113" s="1768">
        <v>97</v>
      </c>
      <c r="B113" s="1755" t="s">
        <v>12</v>
      </c>
      <c r="C113" s="1711" t="s">
        <v>2778</v>
      </c>
      <c r="D113" s="1711" t="s">
        <v>2779</v>
      </c>
      <c r="E113" s="1757">
        <f>IFERROR(N(業務_附属明細表!M6),"エラー")</f>
        <v>72939159</v>
      </c>
      <c r="F113" s="1757">
        <f>IFERROR(N(業務_財務諸表!C7),"エラー")</f>
        <v>72939159</v>
      </c>
      <c r="G113" s="1757">
        <f t="shared" si="10"/>
        <v>0</v>
      </c>
      <c r="H113" s="1709" t="str">
        <f t="shared" si="11"/>
        <v>OK</v>
      </c>
      <c r="I113" s="1731" t="s">
        <v>2996</v>
      </c>
      <c r="J113" s="1731" t="s">
        <v>2997</v>
      </c>
    </row>
    <row r="114" spans="1:10" ht="19.95" customHeight="1">
      <c r="A114" s="1769">
        <v>98</v>
      </c>
      <c r="B114" s="1752" t="s">
        <v>12</v>
      </c>
      <c r="C114" s="1708" t="s">
        <v>2778</v>
      </c>
      <c r="D114" s="1708" t="s">
        <v>2998</v>
      </c>
      <c r="E114" s="1754">
        <f>IFERROR(N(業務_附属明細表!G14),"エラー")</f>
        <v>194420</v>
      </c>
      <c r="F114" s="1754">
        <f>IFERROR(N(業務_財務諸表!C8),"エラー")</f>
        <v>194420</v>
      </c>
      <c r="G114" s="1754">
        <f t="shared" si="10"/>
        <v>0</v>
      </c>
      <c r="H114" s="1709" t="str">
        <f t="shared" si="11"/>
        <v>OK</v>
      </c>
      <c r="I114" s="1729" t="s">
        <v>2999</v>
      </c>
      <c r="J114" s="1729" t="s">
        <v>3000</v>
      </c>
    </row>
    <row r="115" spans="1:10" ht="19.95" customHeight="1">
      <c r="A115" s="1768">
        <v>99</v>
      </c>
      <c r="B115" s="1755" t="s">
        <v>12</v>
      </c>
      <c r="C115" s="1711" t="s">
        <v>2778</v>
      </c>
      <c r="D115" s="1711" t="s">
        <v>2788</v>
      </c>
      <c r="E115" s="1757">
        <f>IFERROR(N(業務_附属明細表!G32),"エラー")</f>
        <v>11834281</v>
      </c>
      <c r="F115" s="1757">
        <f>IFERROR(N(業務_財務諸表!C9),"エラー")</f>
        <v>11834281</v>
      </c>
      <c r="G115" s="1757">
        <f t="shared" si="10"/>
        <v>0</v>
      </c>
      <c r="H115" s="1709" t="str">
        <f t="shared" si="11"/>
        <v>OK</v>
      </c>
      <c r="I115" s="1731" t="s">
        <v>3001</v>
      </c>
      <c r="J115" s="1731" t="s">
        <v>3002</v>
      </c>
    </row>
    <row r="116" spans="1:10" ht="19.95" customHeight="1">
      <c r="A116" s="1769">
        <v>100</v>
      </c>
      <c r="B116" s="1752" t="s">
        <v>12</v>
      </c>
      <c r="C116" s="1708" t="s">
        <v>2778</v>
      </c>
      <c r="D116" s="1708" t="s">
        <v>2794</v>
      </c>
      <c r="E116" s="1754">
        <f>IFERROR(N(業務_附属明細表!G46),"エラー")</f>
        <v>9597685</v>
      </c>
      <c r="F116" s="1754">
        <f>IFERROR(N(業務_財務諸表!G7),"エラー")</f>
        <v>9597685</v>
      </c>
      <c r="G116" s="1754">
        <f t="shared" si="10"/>
        <v>0</v>
      </c>
      <c r="H116" s="1709" t="str">
        <f t="shared" si="11"/>
        <v>OK</v>
      </c>
      <c r="I116" s="1729" t="s">
        <v>3003</v>
      </c>
      <c r="J116" s="1729" t="s">
        <v>3004</v>
      </c>
    </row>
    <row r="117" spans="1:10" ht="19.95" customHeight="1">
      <c r="A117" s="1768">
        <v>101</v>
      </c>
      <c r="B117" s="1755" t="s">
        <v>12</v>
      </c>
      <c r="C117" s="1711" t="s">
        <v>2778</v>
      </c>
      <c r="D117" s="1711" t="s">
        <v>3005</v>
      </c>
      <c r="E117" s="1757">
        <f>IFERROR(N(業務_附属明細表!G54),"エラー")</f>
        <v>435361</v>
      </c>
      <c r="F117" s="1757">
        <f>IFERROR(N(業務_財務諸表!G8),"エラー")</f>
        <v>435361</v>
      </c>
      <c r="G117" s="1757">
        <f t="shared" si="10"/>
        <v>0</v>
      </c>
      <c r="H117" s="1709" t="str">
        <f t="shared" si="11"/>
        <v>OK</v>
      </c>
      <c r="I117" s="1731" t="s">
        <v>3006</v>
      </c>
      <c r="J117" s="1731" t="s">
        <v>3007</v>
      </c>
    </row>
    <row r="118" spans="1:10" ht="19.95" customHeight="1">
      <c r="A118" s="1769">
        <v>102</v>
      </c>
      <c r="B118" s="1752" t="s">
        <v>12</v>
      </c>
      <c r="C118" s="1708" t="s">
        <v>2778</v>
      </c>
      <c r="D118" s="1708" t="s">
        <v>2800</v>
      </c>
      <c r="E118" s="1754">
        <f>IFERROR(N(業務_附属明細表!G62),"エラー")</f>
        <v>227940</v>
      </c>
      <c r="F118" s="1754">
        <f>IFERROR(N(業務_財務諸表!G9),"エラー")</f>
        <v>227940</v>
      </c>
      <c r="G118" s="1754">
        <f t="shared" si="10"/>
        <v>0</v>
      </c>
      <c r="H118" s="1709" t="str">
        <f t="shared" si="11"/>
        <v>OK</v>
      </c>
      <c r="I118" s="1729" t="s">
        <v>3008</v>
      </c>
      <c r="J118" s="1729" t="s">
        <v>3009</v>
      </c>
    </row>
    <row r="119" spans="1:10" ht="19.95" customHeight="1">
      <c r="A119" s="1768">
        <v>103</v>
      </c>
      <c r="B119" s="1755" t="s">
        <v>12</v>
      </c>
      <c r="C119" s="1711" t="s">
        <v>2778</v>
      </c>
      <c r="D119" s="1711" t="s">
        <v>3010</v>
      </c>
      <c r="E119" s="1757">
        <f>IFERROR(N(業務_附属明細表!G69),"エラー")</f>
        <v>216843</v>
      </c>
      <c r="F119" s="1757">
        <f>IFERROR(N(業務_財務諸表!G10),"エラー")</f>
        <v>216843</v>
      </c>
      <c r="G119" s="1757">
        <f t="shared" si="10"/>
        <v>0</v>
      </c>
      <c r="H119" s="1709" t="str">
        <f t="shared" si="11"/>
        <v>OK</v>
      </c>
      <c r="I119" s="1731" t="s">
        <v>3011</v>
      </c>
      <c r="J119" s="1731" t="s">
        <v>3012</v>
      </c>
    </row>
    <row r="120" spans="1:10" ht="19.95" customHeight="1">
      <c r="A120" s="1769">
        <v>104</v>
      </c>
      <c r="B120" s="1752" t="s">
        <v>12</v>
      </c>
      <c r="C120" s="1708" t="s">
        <v>2778</v>
      </c>
      <c r="D120" s="1708" t="s">
        <v>3013</v>
      </c>
      <c r="E120" s="1754">
        <f>IFERROR(N(業務_附属明細表!S77),"エラー")</f>
        <v>207390</v>
      </c>
      <c r="F120" s="1754">
        <f>IFERROR(N(業務_財務諸表!B14),"エラー")</f>
        <v>207390</v>
      </c>
      <c r="G120" s="1754">
        <f t="shared" si="10"/>
        <v>0</v>
      </c>
      <c r="H120" s="1709" t="str">
        <f t="shared" si="11"/>
        <v>OK</v>
      </c>
      <c r="I120" s="1729" t="s">
        <v>3014</v>
      </c>
      <c r="J120" s="1729" t="s">
        <v>3015</v>
      </c>
    </row>
    <row r="121" spans="1:10" ht="19.95" customHeight="1">
      <c r="A121" s="1768">
        <v>105</v>
      </c>
      <c r="B121" s="1755" t="s">
        <v>12</v>
      </c>
      <c r="C121" s="1711" t="s">
        <v>2778</v>
      </c>
      <c r="D121" s="1711" t="s">
        <v>3016</v>
      </c>
      <c r="E121" s="1757">
        <f>IFERROR(N(業務_附属明細表!Q92),"エラー")</f>
        <v>74697421</v>
      </c>
      <c r="F121" s="1757">
        <f>IFERROR(N(業務_財務諸表!F16),"エラー")</f>
        <v>74697421</v>
      </c>
      <c r="G121" s="1757">
        <f t="shared" si="10"/>
        <v>0</v>
      </c>
      <c r="H121" s="1709" t="str">
        <f t="shared" si="11"/>
        <v>OK</v>
      </c>
      <c r="I121" s="1731" t="s">
        <v>3017</v>
      </c>
      <c r="J121" s="1731" t="s">
        <v>3018</v>
      </c>
    </row>
    <row r="122" spans="1:10" ht="19.95" customHeight="1">
      <c r="A122" s="1769">
        <v>106</v>
      </c>
      <c r="B122" s="1752" t="s">
        <v>12</v>
      </c>
      <c r="C122" s="1708" t="s">
        <v>2778</v>
      </c>
      <c r="D122" s="1708" t="s">
        <v>3019</v>
      </c>
      <c r="E122" s="1754">
        <f>IFERROR(N(業務_附属明細表!Q116),"エラー")</f>
        <v>643460</v>
      </c>
      <c r="F122" s="1754">
        <f>IFERROR(N(業務_附属明細表!K85),"エラー")</f>
        <v>643460</v>
      </c>
      <c r="G122" s="1754">
        <f t="shared" si="10"/>
        <v>0</v>
      </c>
      <c r="H122" s="1709" t="str">
        <f t="shared" si="11"/>
        <v>OK</v>
      </c>
      <c r="I122" s="1729" t="s">
        <v>3020</v>
      </c>
      <c r="J122" s="1729" t="s">
        <v>3021</v>
      </c>
    </row>
    <row r="123" spans="1:10" ht="19.95" customHeight="1">
      <c r="A123" s="1768">
        <v>107</v>
      </c>
      <c r="B123" s="1755" t="s">
        <v>12</v>
      </c>
      <c r="C123" s="1711" t="s">
        <v>2778</v>
      </c>
      <c r="D123" s="1711" t="s">
        <v>3022</v>
      </c>
      <c r="E123" s="1757">
        <f>IFERROR(N(業務_附属明細表!P77),"エラー")</f>
        <v>176556</v>
      </c>
      <c r="F123" s="1757">
        <f>IFERROR(N(業務_財務諸表!B52),"エラー")</f>
        <v>176556</v>
      </c>
      <c r="G123" s="1757">
        <f t="shared" si="10"/>
        <v>0</v>
      </c>
      <c r="H123" s="1709" t="str">
        <f t="shared" si="11"/>
        <v>OK</v>
      </c>
      <c r="I123" s="1731" t="s">
        <v>3023</v>
      </c>
      <c r="J123" s="1731" t="s">
        <v>3024</v>
      </c>
    </row>
    <row r="124" spans="1:10" ht="19.95" customHeight="1">
      <c r="A124" s="1769">
        <v>108</v>
      </c>
      <c r="B124" s="1752" t="s">
        <v>12</v>
      </c>
      <c r="C124" s="1708" t="s">
        <v>2817</v>
      </c>
      <c r="D124" s="1708" t="s">
        <v>3025</v>
      </c>
      <c r="E124" s="1754">
        <f>IFERROR(N(報告_業務P18!V32),"エラー")</f>
        <v>124727469</v>
      </c>
      <c r="F124" s="1754">
        <f>IFERROR(N(業務_財務諸表!H36+業務_財務諸表!H46+業務_財務諸表!H49),"エラー")</f>
        <v>124727469</v>
      </c>
      <c r="G124" s="1754">
        <f t="shared" si="10"/>
        <v>0</v>
      </c>
      <c r="H124" s="1709" t="str">
        <f t="shared" si="11"/>
        <v>OK</v>
      </c>
      <c r="I124" s="1729" t="s">
        <v>3026</v>
      </c>
      <c r="J124" s="1729" t="s">
        <v>3027</v>
      </c>
    </row>
    <row r="125" spans="1:10" ht="19.95" customHeight="1">
      <c r="A125" s="1768">
        <v>109</v>
      </c>
      <c r="B125" s="1755" t="s">
        <v>12</v>
      </c>
      <c r="C125" s="1711" t="s">
        <v>2817</v>
      </c>
      <c r="D125" s="1711" t="s">
        <v>3028</v>
      </c>
      <c r="E125" s="1757">
        <f>IFERROR(N(報告_業務P19!V26),"エラー")</f>
        <v>121123959</v>
      </c>
      <c r="F125" s="1757">
        <f>IFERROR(N(業務_財務諸表!D36+業務_財務諸表!D53),"エラー")</f>
        <v>121123959</v>
      </c>
      <c r="G125" s="1757">
        <f t="shared" si="10"/>
        <v>0</v>
      </c>
      <c r="H125" s="1709" t="str">
        <f t="shared" si="11"/>
        <v>OK</v>
      </c>
      <c r="I125" s="1731" t="s">
        <v>3029</v>
      </c>
      <c r="J125" s="1731" t="s">
        <v>3030</v>
      </c>
    </row>
    <row r="126" spans="1:10" ht="19.95" customHeight="1">
      <c r="A126" s="1769">
        <v>110</v>
      </c>
      <c r="B126" s="1752" t="s">
        <v>12</v>
      </c>
      <c r="C126" s="1708" t="s">
        <v>2857</v>
      </c>
      <c r="D126" s="1708" t="s">
        <v>3031</v>
      </c>
      <c r="E126" s="1754">
        <f>IFERROR(N(業務_財務諸表!G47),"エラー")</f>
        <v>11834281</v>
      </c>
      <c r="F126" s="1754">
        <f>IFERROR(N(短期_財務諸表!C57),"エラー")</f>
        <v>11834281</v>
      </c>
      <c r="G126" s="1754">
        <f t="shared" si="10"/>
        <v>0</v>
      </c>
      <c r="H126" s="1709" t="str">
        <f t="shared" si="11"/>
        <v>OK</v>
      </c>
      <c r="I126" s="1729" t="s">
        <v>3032</v>
      </c>
      <c r="J126" s="1729" t="s">
        <v>3033</v>
      </c>
    </row>
    <row r="127" spans="1:10" ht="19.95" customHeight="1">
      <c r="A127" s="1768">
        <v>111</v>
      </c>
      <c r="B127" s="1755" t="s">
        <v>12</v>
      </c>
      <c r="C127" s="1711" t="s">
        <v>2863</v>
      </c>
      <c r="D127" s="1711" t="s">
        <v>3034</v>
      </c>
      <c r="E127" s="1757">
        <f>IFERROR(N(業務_附属明細表!E91+業務_附属明細表!I91-業務_附属明細表!M91),"エラー")</f>
        <v>74697421</v>
      </c>
      <c r="F127" s="1757">
        <f>IFERROR(N(業務_附属明細表!Q91),"エラー")</f>
        <v>74697421</v>
      </c>
      <c r="G127" s="1757">
        <f t="shared" si="10"/>
        <v>0</v>
      </c>
      <c r="H127" s="1709" t="str">
        <f t="shared" si="11"/>
        <v>OK</v>
      </c>
      <c r="I127" s="1731" t="s">
        <v>3035</v>
      </c>
      <c r="J127" s="1731" t="s">
        <v>2618</v>
      </c>
    </row>
    <row r="128" spans="1:10" ht="19.95" customHeight="1">
      <c r="A128" s="1769">
        <v>112</v>
      </c>
      <c r="B128" s="1752" t="s">
        <v>12</v>
      </c>
      <c r="C128" s="1708" t="s">
        <v>2863</v>
      </c>
      <c r="D128" s="1708" t="s">
        <v>3036</v>
      </c>
      <c r="E128" s="1754">
        <f>IFERROR(N(業務_附属明細表!M77),"エラー")</f>
        <v>383946</v>
      </c>
      <c r="F128" s="1754">
        <f>IFERROR(N(業務_附属明細表!F85-業務_附属明細表!E115),"エラー")</f>
        <v>383946</v>
      </c>
      <c r="G128" s="1754">
        <f t="shared" si="10"/>
        <v>0</v>
      </c>
      <c r="H128" s="1709" t="str">
        <f t="shared" si="11"/>
        <v>OK</v>
      </c>
      <c r="I128" s="1729" t="s">
        <v>3037</v>
      </c>
      <c r="J128" s="1729" t="s">
        <v>3038</v>
      </c>
    </row>
    <row r="129" spans="1:10" ht="7.95" customHeight="1"/>
    <row r="130" spans="1:10" ht="22.95" customHeight="1">
      <c r="A130" s="1818" t="s">
        <v>3039</v>
      </c>
      <c r="B130" s="1818"/>
      <c r="C130" s="1818"/>
      <c r="D130" s="1818"/>
      <c r="E130" s="1818"/>
      <c r="F130" s="1818"/>
      <c r="G130" s="1818"/>
      <c r="H130" s="1818"/>
      <c r="I130" s="1818"/>
      <c r="J130" s="1818"/>
    </row>
    <row r="131" spans="1:10" ht="19.95" customHeight="1">
      <c r="A131" s="1768">
        <v>113</v>
      </c>
      <c r="B131" s="1755" t="s">
        <v>13</v>
      </c>
      <c r="C131" s="1711" t="s">
        <v>764</v>
      </c>
      <c r="D131" s="1711" t="s">
        <v>2763</v>
      </c>
      <c r="E131" s="1757">
        <f>IFERROR(N(保健_財務諸表!D27),"エラー")</f>
        <v>461488881</v>
      </c>
      <c r="F131" s="1757">
        <f>IFERROR(N(保健_財務諸表!H27),"エラー")</f>
        <v>461488881</v>
      </c>
      <c r="G131" s="1757">
        <f t="shared" ref="G131:G150" si="12">IFERROR(E131-F131,0)</f>
        <v>0</v>
      </c>
      <c r="H131" s="1709" t="str">
        <f t="shared" ref="H131:H150" si="13">IFERROR(IF(ABS(E131-F131)&lt;0.5,"OK","NG"),"NG")</f>
        <v>OK</v>
      </c>
      <c r="I131" s="1731" t="s">
        <v>3040</v>
      </c>
      <c r="J131" s="1731" t="s">
        <v>3041</v>
      </c>
    </row>
    <row r="132" spans="1:10" ht="19.95" customHeight="1">
      <c r="A132" s="1769">
        <v>114</v>
      </c>
      <c r="B132" s="1752" t="s">
        <v>13</v>
      </c>
      <c r="C132" s="1708" t="s">
        <v>787</v>
      </c>
      <c r="D132" s="1708" t="s">
        <v>2766</v>
      </c>
      <c r="E132" s="1754">
        <f>IFERROR(N(保健_財務諸表!D62),"エラー")</f>
        <v>629427111</v>
      </c>
      <c r="F132" s="1754">
        <f>IFERROR(N(保健_財務諸表!H62),"エラー")</f>
        <v>629427111</v>
      </c>
      <c r="G132" s="1754">
        <f t="shared" si="12"/>
        <v>0</v>
      </c>
      <c r="H132" s="1709" t="str">
        <f t="shared" si="13"/>
        <v>OK</v>
      </c>
      <c r="I132" s="1729" t="s">
        <v>3042</v>
      </c>
      <c r="J132" s="1729" t="s">
        <v>3043</v>
      </c>
    </row>
    <row r="133" spans="1:10" ht="19.95" customHeight="1">
      <c r="A133" s="1768">
        <v>115</v>
      </c>
      <c r="B133" s="1755" t="s">
        <v>13</v>
      </c>
      <c r="C133" s="1711" t="s">
        <v>887</v>
      </c>
      <c r="D133" s="1711" t="s">
        <v>2769</v>
      </c>
      <c r="E133" s="1757">
        <f>IFERROR(N(保健_決算精算表!A54),"エラー")</f>
        <v>1090915992</v>
      </c>
      <c r="F133" s="1757">
        <f>IFERROR(N(保健_決算精算表!G54),"エラー")</f>
        <v>1090915992</v>
      </c>
      <c r="G133" s="1757">
        <f t="shared" si="12"/>
        <v>0</v>
      </c>
      <c r="H133" s="1709" t="str">
        <f t="shared" si="13"/>
        <v>OK</v>
      </c>
      <c r="I133" s="1731" t="s">
        <v>3044</v>
      </c>
      <c r="J133" s="1731" t="s">
        <v>3045</v>
      </c>
    </row>
    <row r="134" spans="1:10" ht="19.95" customHeight="1">
      <c r="A134" s="1769">
        <v>116</v>
      </c>
      <c r="B134" s="1752" t="s">
        <v>13</v>
      </c>
      <c r="C134" s="1708" t="s">
        <v>887</v>
      </c>
      <c r="D134" s="1708" t="s">
        <v>2772</v>
      </c>
      <c r="E134" s="1754">
        <f>IFERROR(N(保健_決算精算表!C54),"エラー")</f>
        <v>772179484</v>
      </c>
      <c r="F134" s="1754">
        <f>IFERROR(N(保健_決算精算表!E54),"エラー")</f>
        <v>772179484</v>
      </c>
      <c r="G134" s="1754">
        <f t="shared" si="12"/>
        <v>0</v>
      </c>
      <c r="H134" s="1709" t="str">
        <f t="shared" si="13"/>
        <v>OK</v>
      </c>
      <c r="I134" s="1729" t="s">
        <v>3046</v>
      </c>
      <c r="J134" s="1729" t="s">
        <v>3047</v>
      </c>
    </row>
    <row r="135" spans="1:10" ht="19.95" customHeight="1">
      <c r="A135" s="1768">
        <v>117</v>
      </c>
      <c r="B135" s="1755" t="s">
        <v>13</v>
      </c>
      <c r="C135" s="1711" t="s">
        <v>887</v>
      </c>
      <c r="D135" s="1711" t="s">
        <v>2775</v>
      </c>
      <c r="E135" s="1757">
        <f>IFERROR(N(保健_決算精算表!B54),"エラー")</f>
        <v>333001648</v>
      </c>
      <c r="F135" s="1757">
        <f>IFERROR(N(保健_決算精算表!F54),"エラー")</f>
        <v>333001648</v>
      </c>
      <c r="G135" s="1757">
        <f t="shared" si="12"/>
        <v>0</v>
      </c>
      <c r="H135" s="1709" t="str">
        <f t="shared" si="13"/>
        <v>OK</v>
      </c>
      <c r="I135" s="1731" t="s">
        <v>3048</v>
      </c>
      <c r="J135" s="1731" t="s">
        <v>3049</v>
      </c>
    </row>
    <row r="136" spans="1:10" ht="19.95" customHeight="1">
      <c r="A136" s="1769">
        <v>118</v>
      </c>
      <c r="B136" s="1752" t="s">
        <v>13</v>
      </c>
      <c r="C136" s="1708" t="s">
        <v>2778</v>
      </c>
      <c r="D136" s="1708" t="s">
        <v>2779</v>
      </c>
      <c r="E136" s="1754">
        <f>IFERROR(N(保健_附属明細表!M6),"エラー")</f>
        <v>332277800</v>
      </c>
      <c r="F136" s="1754">
        <f>IFERROR(N(保健_財務諸表!C7),"エラー")</f>
        <v>332277800</v>
      </c>
      <c r="G136" s="1754">
        <f t="shared" si="12"/>
        <v>0</v>
      </c>
      <c r="H136" s="1709" t="str">
        <f t="shared" si="13"/>
        <v>OK</v>
      </c>
      <c r="I136" s="1729" t="s">
        <v>3050</v>
      </c>
      <c r="J136" s="1729" t="s">
        <v>3051</v>
      </c>
    </row>
    <row r="137" spans="1:10" ht="19.95" customHeight="1">
      <c r="A137" s="1768">
        <v>119</v>
      </c>
      <c r="B137" s="1755" t="s">
        <v>13</v>
      </c>
      <c r="C137" s="1711" t="s">
        <v>2778</v>
      </c>
      <c r="D137" s="1711" t="s">
        <v>2782</v>
      </c>
      <c r="E137" s="1757">
        <f>IFERROR(N(保健_附属明細表!M13),"エラー")</f>
        <v>0</v>
      </c>
      <c r="F137" s="1757">
        <f>IFERROR(N(保健_財務諸表!C8),"エラー")</f>
        <v>0</v>
      </c>
      <c r="G137" s="1757">
        <f t="shared" si="12"/>
        <v>0</v>
      </c>
      <c r="H137" s="1709" t="str">
        <f t="shared" si="13"/>
        <v>OK</v>
      </c>
      <c r="I137" s="1731" t="s">
        <v>3052</v>
      </c>
      <c r="J137" s="1731" t="s">
        <v>3053</v>
      </c>
    </row>
    <row r="138" spans="1:10" ht="19.95" customHeight="1">
      <c r="A138" s="1769">
        <v>120</v>
      </c>
      <c r="B138" s="1752" t="s">
        <v>13</v>
      </c>
      <c r="C138" s="1708" t="s">
        <v>2778</v>
      </c>
      <c r="D138" s="1708" t="s">
        <v>2785</v>
      </c>
      <c r="E138" s="1754">
        <f>IFERROR(N(保健_附属明細表!M20),"エラー")</f>
        <v>0</v>
      </c>
      <c r="F138" s="1754">
        <f>IFERROR(N(保健_財務諸表!C9),"エラー")</f>
        <v>0</v>
      </c>
      <c r="G138" s="1754">
        <f t="shared" si="12"/>
        <v>0</v>
      </c>
      <c r="H138" s="1709" t="str">
        <f t="shared" si="13"/>
        <v>OK</v>
      </c>
      <c r="I138" s="1729" t="s">
        <v>3054</v>
      </c>
      <c r="J138" s="1729" t="s">
        <v>3055</v>
      </c>
    </row>
    <row r="139" spans="1:10" ht="19.95" customHeight="1">
      <c r="A139" s="1768">
        <v>121</v>
      </c>
      <c r="B139" s="1755" t="s">
        <v>13</v>
      </c>
      <c r="C139" s="1711" t="s">
        <v>2778</v>
      </c>
      <c r="D139" s="1711" t="s">
        <v>2788</v>
      </c>
      <c r="E139" s="1757">
        <f>IFERROR(N(保健_附属明細表!G43),"エラー")</f>
        <v>129211081</v>
      </c>
      <c r="F139" s="1757">
        <f>IFERROR(N(保健_財務諸表!C12),"エラー")</f>
        <v>129211081</v>
      </c>
      <c r="G139" s="1757">
        <f t="shared" si="12"/>
        <v>0</v>
      </c>
      <c r="H139" s="1709" t="str">
        <f t="shared" si="13"/>
        <v>OK</v>
      </c>
      <c r="I139" s="1731" t="s">
        <v>3056</v>
      </c>
      <c r="J139" s="1731" t="s">
        <v>3057</v>
      </c>
    </row>
    <row r="140" spans="1:10" ht="19.95" customHeight="1">
      <c r="A140" s="1769">
        <v>122</v>
      </c>
      <c r="B140" s="1752" t="s">
        <v>13</v>
      </c>
      <c r="C140" s="1708" t="s">
        <v>2778</v>
      </c>
      <c r="D140" s="1708" t="s">
        <v>2794</v>
      </c>
      <c r="E140" s="1754">
        <f>IFERROR(N(保健_附属明細表!G61),"エラー")</f>
        <v>175260287</v>
      </c>
      <c r="F140" s="1754">
        <f>IFERROR(N(保健_財務諸表!G7),"エラー")</f>
        <v>175260287</v>
      </c>
      <c r="G140" s="1754">
        <f t="shared" si="12"/>
        <v>0</v>
      </c>
      <c r="H140" s="1709" t="str">
        <f t="shared" si="13"/>
        <v>OK</v>
      </c>
      <c r="I140" s="1729" t="s">
        <v>3058</v>
      </c>
      <c r="J140" s="1729" t="s">
        <v>3059</v>
      </c>
    </row>
    <row r="141" spans="1:10" ht="19.95" customHeight="1">
      <c r="A141" s="1768">
        <v>123</v>
      </c>
      <c r="B141" s="1755" t="s">
        <v>13</v>
      </c>
      <c r="C141" s="1711" t="s">
        <v>2778</v>
      </c>
      <c r="D141" s="1711" t="s">
        <v>3005</v>
      </c>
      <c r="E141" s="1757">
        <f>IFERROR(N(保健_附属明細表!G70),"エラー")</f>
        <v>0</v>
      </c>
      <c r="F141" s="1757">
        <f>IFERROR(N(保健_財務諸表!G8),"エラー")</f>
        <v>0</v>
      </c>
      <c r="G141" s="1757">
        <f t="shared" si="12"/>
        <v>0</v>
      </c>
      <c r="H141" s="1709" t="str">
        <f t="shared" si="13"/>
        <v>OK</v>
      </c>
      <c r="I141" s="1731" t="s">
        <v>3060</v>
      </c>
      <c r="J141" s="1731" t="s">
        <v>3061</v>
      </c>
    </row>
    <row r="142" spans="1:10" ht="19.95" customHeight="1">
      <c r="A142" s="1769">
        <v>124</v>
      </c>
      <c r="B142" s="1752" t="s">
        <v>13</v>
      </c>
      <c r="C142" s="1708" t="s">
        <v>2778</v>
      </c>
      <c r="D142" s="1708" t="s">
        <v>3010</v>
      </c>
      <c r="E142" s="1754">
        <f>IFERROR(N(保健_附属明細表!G79),"エラー")</f>
        <v>1015850</v>
      </c>
      <c r="F142" s="1754">
        <f>IFERROR(N(保健_財務諸表!G9),"エラー")</f>
        <v>1015850</v>
      </c>
      <c r="G142" s="1754">
        <f t="shared" si="12"/>
        <v>0</v>
      </c>
      <c r="H142" s="1709" t="str">
        <f t="shared" si="13"/>
        <v>OK</v>
      </c>
      <c r="I142" s="1729" t="s">
        <v>3062</v>
      </c>
      <c r="J142" s="1729" t="s">
        <v>3063</v>
      </c>
    </row>
    <row r="143" spans="1:10" ht="19.95" customHeight="1">
      <c r="A143" s="1768">
        <v>125</v>
      </c>
      <c r="B143" s="1755" t="s">
        <v>13</v>
      </c>
      <c r="C143" s="1711" t="s">
        <v>2778</v>
      </c>
      <c r="D143" s="1711" t="s">
        <v>3064</v>
      </c>
      <c r="E143" s="1757">
        <f>IFERROR(N(保健_附属明細表!Q148),"エラー")</f>
        <v>285212744</v>
      </c>
      <c r="F143" s="1757">
        <f>IFERROR(N(保健_財務諸表!H14),"エラー")</f>
        <v>285212744</v>
      </c>
      <c r="G143" s="1757">
        <f t="shared" si="12"/>
        <v>0</v>
      </c>
      <c r="H143" s="1709" t="str">
        <f t="shared" si="13"/>
        <v>OK</v>
      </c>
      <c r="I143" s="1731" t="s">
        <v>3065</v>
      </c>
      <c r="J143" s="1731" t="s">
        <v>3066</v>
      </c>
    </row>
    <row r="144" spans="1:10" ht="19.95" customHeight="1">
      <c r="A144" s="1769">
        <v>126</v>
      </c>
      <c r="B144" s="1752" t="s">
        <v>13</v>
      </c>
      <c r="C144" s="1708" t="s">
        <v>2817</v>
      </c>
      <c r="D144" s="1708" t="s">
        <v>3067</v>
      </c>
      <c r="E144" s="1754">
        <f>IFERROR(N('報告_保健P20-22'!V33),"エラー")</f>
        <v>629427111</v>
      </c>
      <c r="F144" s="1754">
        <f>IFERROR(N(保健_財務諸表!H37+保健_財務諸表!H46),"エラー")</f>
        <v>629427111</v>
      </c>
      <c r="G144" s="1754">
        <f t="shared" si="12"/>
        <v>0</v>
      </c>
      <c r="H144" s="1709" t="str">
        <f t="shared" si="13"/>
        <v>OK</v>
      </c>
      <c r="I144" s="1729" t="s">
        <v>3068</v>
      </c>
      <c r="J144" s="1729" t="s">
        <v>3069</v>
      </c>
    </row>
    <row r="145" spans="1:10" ht="19.95" customHeight="1">
      <c r="A145" s="1768">
        <v>127</v>
      </c>
      <c r="B145" s="1755" t="s">
        <v>13</v>
      </c>
      <c r="C145" s="1711" t="s">
        <v>2817</v>
      </c>
      <c r="D145" s="1711" t="s">
        <v>3028</v>
      </c>
      <c r="E145" s="1757">
        <f>IFERROR(N('報告_保健P20-22'!V65),"エラー")</f>
        <v>615161971</v>
      </c>
      <c r="F145" s="1757">
        <f>IFERROR(N(保健_財務諸表!D37+保健_財務諸表!D55),"エラー")</f>
        <v>615161971</v>
      </c>
      <c r="G145" s="1757">
        <f t="shared" si="12"/>
        <v>0</v>
      </c>
      <c r="H145" s="1709" t="str">
        <f t="shared" si="13"/>
        <v>OK</v>
      </c>
      <c r="I145" s="1731" t="s">
        <v>3070</v>
      </c>
      <c r="J145" s="1731" t="s">
        <v>3071</v>
      </c>
    </row>
    <row r="146" spans="1:10" ht="19.95" customHeight="1">
      <c r="A146" s="1769">
        <v>128</v>
      </c>
      <c r="B146" s="1752" t="s">
        <v>13</v>
      </c>
      <c r="C146" s="1708" t="s">
        <v>2857</v>
      </c>
      <c r="D146" s="1708" t="s">
        <v>3072</v>
      </c>
      <c r="E146" s="1754">
        <f>IFERROR(N('報告_保健P20-22'!X98),"エラー")</f>
        <v>615161971</v>
      </c>
      <c r="F146" s="1754">
        <f>IFERROR(N('報告_保健P20-22'!V65),"エラー")</f>
        <v>615161971</v>
      </c>
      <c r="G146" s="1754">
        <f t="shared" si="12"/>
        <v>0</v>
      </c>
      <c r="H146" s="1709" t="str">
        <f t="shared" si="13"/>
        <v>OK</v>
      </c>
      <c r="I146" s="1729" t="s">
        <v>3073</v>
      </c>
      <c r="J146" s="1729" t="s">
        <v>3070</v>
      </c>
    </row>
    <row r="147" spans="1:10" ht="19.95" customHeight="1">
      <c r="A147" s="1768">
        <v>129</v>
      </c>
      <c r="B147" s="1755" t="s">
        <v>13</v>
      </c>
      <c r="C147" s="1711" t="s">
        <v>2857</v>
      </c>
      <c r="D147" s="1711" t="s">
        <v>3074</v>
      </c>
      <c r="E147" s="1757">
        <f>IFERROR(N('報告_保健P20-22'!P98),"エラー")</f>
        <v>617582000</v>
      </c>
      <c r="F147" s="1757">
        <f>IFERROR(N('報告_保健P20-22'!M65),"エラー")</f>
        <v>617582000</v>
      </c>
      <c r="G147" s="1757">
        <f t="shared" si="12"/>
        <v>0</v>
      </c>
      <c r="H147" s="1709" t="str">
        <f t="shared" si="13"/>
        <v>OK</v>
      </c>
      <c r="I147" s="1731" t="s">
        <v>3075</v>
      </c>
      <c r="J147" s="1731" t="s">
        <v>3076</v>
      </c>
    </row>
    <row r="148" spans="1:10" ht="19.95" customHeight="1">
      <c r="A148" s="1769">
        <v>130</v>
      </c>
      <c r="B148" s="1752" t="s">
        <v>13</v>
      </c>
      <c r="C148" s="1708" t="s">
        <v>2863</v>
      </c>
      <c r="D148" s="1708" t="s">
        <v>3034</v>
      </c>
      <c r="E148" s="1754">
        <f>IFERROR(N(保健_附属明細表!E147+保健_附属明細表!I147-保健_附属明細表!M147),"エラー")</f>
        <v>285212744</v>
      </c>
      <c r="F148" s="1754">
        <f>IFERROR(N(保健_附属明細表!Q147),"エラー")</f>
        <v>285212744</v>
      </c>
      <c r="G148" s="1754">
        <f t="shared" si="12"/>
        <v>0</v>
      </c>
      <c r="H148" s="1709" t="str">
        <f t="shared" si="13"/>
        <v>OK</v>
      </c>
      <c r="I148" s="1729" t="s">
        <v>3077</v>
      </c>
      <c r="J148" s="1729" t="s">
        <v>2668</v>
      </c>
    </row>
    <row r="149" spans="1:10" ht="19.95" customHeight="1">
      <c r="A149" s="1768">
        <v>131</v>
      </c>
      <c r="B149" s="1755" t="s">
        <v>13</v>
      </c>
      <c r="C149" s="1711" t="s">
        <v>2778</v>
      </c>
      <c r="D149" s="1711" t="s">
        <v>3078</v>
      </c>
      <c r="E149" s="1757">
        <f>IFERROR(N(保健_附属明細表!I116),"エラー")</f>
        <v>0</v>
      </c>
      <c r="F149" s="1757">
        <f>IFERROR(N(N(保健_財務諸表!B54)),"エラー")</f>
        <v>0</v>
      </c>
      <c r="G149" s="1757">
        <f t="shared" si="12"/>
        <v>0</v>
      </c>
      <c r="H149" s="1709" t="str">
        <f t="shared" si="13"/>
        <v>OK</v>
      </c>
      <c r="I149" s="1731" t="s">
        <v>3079</v>
      </c>
      <c r="J149" s="1731" t="s">
        <v>3080</v>
      </c>
    </row>
    <row r="150" spans="1:10" ht="19.95" customHeight="1">
      <c r="A150" s="1769">
        <v>132</v>
      </c>
      <c r="B150" s="1752" t="s">
        <v>13</v>
      </c>
      <c r="C150" s="1708" t="s">
        <v>2778</v>
      </c>
      <c r="D150" s="1708" t="s">
        <v>3081</v>
      </c>
      <c r="E150" s="1754">
        <f>IFERROR(N(保健_附属明細表!S95),"エラー")</f>
        <v>0</v>
      </c>
      <c r="F150" s="1754">
        <f>IFERROR(N(保健_財務諸表!C15),"エラー")</f>
        <v>0</v>
      </c>
      <c r="G150" s="1754">
        <f t="shared" si="12"/>
        <v>0</v>
      </c>
      <c r="H150" s="1709" t="str">
        <f t="shared" si="13"/>
        <v>OK</v>
      </c>
      <c r="I150" s="1729" t="s">
        <v>3082</v>
      </c>
      <c r="J150" s="1729" t="s">
        <v>3083</v>
      </c>
    </row>
    <row r="151" spans="1:10" ht="7.95" customHeight="1"/>
    <row r="152" spans="1:10" ht="22.95" customHeight="1">
      <c r="A152" s="1818" t="s">
        <v>3084</v>
      </c>
      <c r="B152" s="1818"/>
      <c r="C152" s="1818"/>
      <c r="D152" s="1818"/>
      <c r="E152" s="1818"/>
      <c r="F152" s="1818"/>
      <c r="G152" s="1818"/>
      <c r="H152" s="1818"/>
      <c r="I152" s="1818"/>
      <c r="J152" s="1818"/>
    </row>
    <row r="153" spans="1:10" ht="19.95" customHeight="1">
      <c r="A153" s="1768">
        <v>133</v>
      </c>
      <c r="B153" s="1755" t="s">
        <v>14</v>
      </c>
      <c r="C153" s="1711" t="s">
        <v>764</v>
      </c>
      <c r="D153" s="1711" t="s">
        <v>2763</v>
      </c>
      <c r="E153" s="1757">
        <f>IFERROR(N(貸付_財務諸表!D25),"エラー")</f>
        <v>1958201706</v>
      </c>
      <c r="F153" s="1757">
        <f>IFERROR(N(貸付_財務諸表!H25),"エラー")</f>
        <v>1958201706</v>
      </c>
      <c r="G153" s="1757">
        <f t="shared" ref="G153:G179" si="14">IFERROR(E153-F153,0)</f>
        <v>0</v>
      </c>
      <c r="H153" s="1709" t="str">
        <f t="shared" ref="H153:H179" si="15">IFERROR(IF(ABS(E153-F153)&lt;0.5,"OK","NG"),"NG")</f>
        <v>OK</v>
      </c>
      <c r="I153" s="1731" t="s">
        <v>3085</v>
      </c>
      <c r="J153" s="1731" t="s">
        <v>3086</v>
      </c>
    </row>
    <row r="154" spans="1:10" ht="19.95" customHeight="1">
      <c r="A154" s="1769">
        <v>134</v>
      </c>
      <c r="B154" s="1752" t="s">
        <v>14</v>
      </c>
      <c r="C154" s="1708" t="s">
        <v>787</v>
      </c>
      <c r="D154" s="1708" t="s">
        <v>2766</v>
      </c>
      <c r="E154" s="1754">
        <f>IFERROR(N(貸付_財務諸表!D58),"エラー")</f>
        <v>14882388</v>
      </c>
      <c r="F154" s="1754">
        <f>IFERROR(N(貸付_財務諸表!H58),"エラー")</f>
        <v>14882388</v>
      </c>
      <c r="G154" s="1754">
        <f t="shared" si="14"/>
        <v>0</v>
      </c>
      <c r="H154" s="1709" t="str">
        <f t="shared" si="15"/>
        <v>OK</v>
      </c>
      <c r="I154" s="1729" t="s">
        <v>3087</v>
      </c>
      <c r="J154" s="1729" t="s">
        <v>3088</v>
      </c>
    </row>
    <row r="155" spans="1:10" ht="19.95" customHeight="1">
      <c r="A155" s="1768">
        <v>135</v>
      </c>
      <c r="B155" s="1755" t="s">
        <v>14</v>
      </c>
      <c r="C155" s="1711" t="s">
        <v>887</v>
      </c>
      <c r="D155" s="1711" t="s">
        <v>3089</v>
      </c>
      <c r="E155" s="1757">
        <f>IFERROR(N(貸付_決算精算表!A39),"エラー")</f>
        <v>1973084094</v>
      </c>
      <c r="F155" s="1757">
        <f>IFERROR(N(貸付_決算精算表!G39+貸付_附属明細表!G70),"エラー")</f>
        <v>1973084094</v>
      </c>
      <c r="G155" s="1757">
        <f t="shared" si="14"/>
        <v>0</v>
      </c>
      <c r="H155" s="1709" t="str">
        <f t="shared" si="15"/>
        <v>OK</v>
      </c>
      <c r="I155" s="1731" t="s">
        <v>3090</v>
      </c>
      <c r="J155" s="1731" t="s">
        <v>3091</v>
      </c>
    </row>
    <row r="156" spans="1:10" ht="19.95" customHeight="1">
      <c r="A156" s="1769">
        <v>136</v>
      </c>
      <c r="B156" s="1752" t="s">
        <v>14</v>
      </c>
      <c r="C156" s="1708" t="s">
        <v>887</v>
      </c>
      <c r="D156" s="1708" t="s">
        <v>2772</v>
      </c>
      <c r="E156" s="1754">
        <f>IFERROR(N(貸付_決算精算表!C39),"エラー")</f>
        <v>1972139610</v>
      </c>
      <c r="F156" s="1754">
        <f>IFERROR(N(貸付_決算精算表!E39),"エラー")</f>
        <v>1972139610</v>
      </c>
      <c r="G156" s="1754">
        <f t="shared" si="14"/>
        <v>0</v>
      </c>
      <c r="H156" s="1709" t="str">
        <f t="shared" si="15"/>
        <v>OK</v>
      </c>
      <c r="I156" s="1729" t="s">
        <v>3092</v>
      </c>
      <c r="J156" s="1729" t="s">
        <v>3093</v>
      </c>
    </row>
    <row r="157" spans="1:10" ht="19.95" customHeight="1">
      <c r="A157" s="1768">
        <v>137</v>
      </c>
      <c r="B157" s="1755" t="s">
        <v>14</v>
      </c>
      <c r="C157" s="1711" t="s">
        <v>887</v>
      </c>
      <c r="D157" s="1711" t="s">
        <v>3094</v>
      </c>
      <c r="E157" s="1757">
        <f>IFERROR(N(貸付_決算精算表!B39),"エラー")</f>
        <v>8783340</v>
      </c>
      <c r="F157" s="1757">
        <f>IFERROR(N(貸付_決算精算表!F39+貸付_附属明細表!G70),"エラー")</f>
        <v>8783340</v>
      </c>
      <c r="G157" s="1757">
        <f t="shared" si="14"/>
        <v>0</v>
      </c>
      <c r="H157" s="1709" t="str">
        <f t="shared" si="15"/>
        <v>OK</v>
      </c>
      <c r="I157" s="1731" t="s">
        <v>3095</v>
      </c>
      <c r="J157" s="1731" t="s">
        <v>3096</v>
      </c>
    </row>
    <row r="158" spans="1:10" ht="19.95" customHeight="1">
      <c r="A158" s="1769">
        <v>138</v>
      </c>
      <c r="B158" s="1752" t="s">
        <v>14</v>
      </c>
      <c r="C158" s="1708" t="s">
        <v>2778</v>
      </c>
      <c r="D158" s="1708" t="s">
        <v>2779</v>
      </c>
      <c r="E158" s="1754">
        <f>IFERROR(N(貸付_附属明細表!M6),"エラー")</f>
        <v>1108845248</v>
      </c>
      <c r="F158" s="1754">
        <f>IFERROR(N(貸付_財務諸表!C7),"エラー")</f>
        <v>1108845248</v>
      </c>
      <c r="G158" s="1754">
        <f t="shared" si="14"/>
        <v>0</v>
      </c>
      <c r="H158" s="1709" t="str">
        <f t="shared" si="15"/>
        <v>OK</v>
      </c>
      <c r="I158" s="1729" t="s">
        <v>3097</v>
      </c>
      <c r="J158" s="1729" t="s">
        <v>3098</v>
      </c>
    </row>
    <row r="159" spans="1:10" ht="19.95" customHeight="1">
      <c r="A159" s="1768">
        <v>139</v>
      </c>
      <c r="B159" s="1755" t="s">
        <v>14</v>
      </c>
      <c r="C159" s="1711" t="s">
        <v>2778</v>
      </c>
      <c r="D159" s="1711" t="s">
        <v>2965</v>
      </c>
      <c r="E159" s="1757">
        <f>IFERROR(N(貸付_附属明細表!G29),"エラー")</f>
        <v>180749</v>
      </c>
      <c r="F159" s="1757">
        <f>IFERROR(N(貸付_財務諸表!C8),"エラー")</f>
        <v>180749</v>
      </c>
      <c r="G159" s="1757">
        <f t="shared" si="14"/>
        <v>0</v>
      </c>
      <c r="H159" s="1709" t="str">
        <f t="shared" si="15"/>
        <v>OK</v>
      </c>
      <c r="I159" s="1731" t="s">
        <v>3099</v>
      </c>
      <c r="J159" s="1731" t="s">
        <v>3100</v>
      </c>
    </row>
    <row r="160" spans="1:10" ht="19.95" customHeight="1">
      <c r="A160" s="1769">
        <v>140</v>
      </c>
      <c r="B160" s="1752" t="s">
        <v>14</v>
      </c>
      <c r="C160" s="1708" t="s">
        <v>2778</v>
      </c>
      <c r="D160" s="1708" t="s">
        <v>2788</v>
      </c>
      <c r="E160" s="1754">
        <f>IFERROR(N(貸付_附属明細表!G37),"エラー")</f>
        <v>0</v>
      </c>
      <c r="F160" s="1754">
        <f>IFERROR(N(貸付_財務諸表!C9),"エラー")</f>
        <v>0</v>
      </c>
      <c r="G160" s="1754">
        <f t="shared" si="14"/>
        <v>0</v>
      </c>
      <c r="H160" s="1709" t="str">
        <f t="shared" si="15"/>
        <v>OK</v>
      </c>
      <c r="I160" s="1729" t="s">
        <v>3101</v>
      </c>
      <c r="J160" s="1729" t="s">
        <v>3102</v>
      </c>
    </row>
    <row r="161" spans="1:10" ht="19.95" customHeight="1">
      <c r="A161" s="1768">
        <v>141</v>
      </c>
      <c r="B161" s="1755" t="s">
        <v>14</v>
      </c>
      <c r="C161" s="1711" t="s">
        <v>2778</v>
      </c>
      <c r="D161" s="1711" t="s">
        <v>2794</v>
      </c>
      <c r="E161" s="1757">
        <f>IFERROR(N(貸付_附属明細表!G47),"エラー")</f>
        <v>380530</v>
      </c>
      <c r="F161" s="1757">
        <f>IFERROR(N(貸付_財務諸表!G7),"エラー")</f>
        <v>380530</v>
      </c>
      <c r="G161" s="1757">
        <f t="shared" si="14"/>
        <v>0</v>
      </c>
      <c r="H161" s="1709" t="str">
        <f t="shared" si="15"/>
        <v>OK</v>
      </c>
      <c r="I161" s="1731" t="s">
        <v>3103</v>
      </c>
      <c r="J161" s="1731" t="s">
        <v>3104</v>
      </c>
    </row>
    <row r="162" spans="1:10" ht="19.95" customHeight="1">
      <c r="A162" s="1769">
        <v>142</v>
      </c>
      <c r="B162" s="1752" t="s">
        <v>14</v>
      </c>
      <c r="C162" s="1708" t="s">
        <v>2778</v>
      </c>
      <c r="D162" s="1708" t="s">
        <v>3005</v>
      </c>
      <c r="E162" s="1754">
        <f>IFERROR(N(貸付_附属明細表!G55),"エラー")</f>
        <v>383205</v>
      </c>
      <c r="F162" s="1754">
        <f>IFERROR(N(貸付_財務諸表!G8),"エラー")</f>
        <v>383205</v>
      </c>
      <c r="G162" s="1754">
        <f t="shared" si="14"/>
        <v>0</v>
      </c>
      <c r="H162" s="1709" t="str">
        <f t="shared" si="15"/>
        <v>OK</v>
      </c>
      <c r="I162" s="1729" t="s">
        <v>3105</v>
      </c>
      <c r="J162" s="1729" t="s">
        <v>3106</v>
      </c>
    </row>
    <row r="163" spans="1:10" ht="19.95" customHeight="1">
      <c r="A163" s="1768">
        <v>143</v>
      </c>
      <c r="B163" s="1755" t="s">
        <v>14</v>
      </c>
      <c r="C163" s="1711" t="s">
        <v>2778</v>
      </c>
      <c r="D163" s="1711" t="s">
        <v>2800</v>
      </c>
      <c r="E163" s="1757">
        <f>IFERROR(N(貸付_附属明細表!G62),"エラー")</f>
        <v>305231</v>
      </c>
      <c r="F163" s="1757">
        <f>IFERROR(N(貸付_財務諸表!G9),"エラー")</f>
        <v>305231</v>
      </c>
      <c r="G163" s="1757">
        <f t="shared" si="14"/>
        <v>0</v>
      </c>
      <c r="H163" s="1709" t="str">
        <f t="shared" si="15"/>
        <v>OK</v>
      </c>
      <c r="I163" s="1731" t="s">
        <v>3107</v>
      </c>
      <c r="J163" s="1731" t="s">
        <v>3108</v>
      </c>
    </row>
    <row r="164" spans="1:10" ht="19.95" customHeight="1">
      <c r="A164" s="1769">
        <v>144</v>
      </c>
      <c r="B164" s="1752" t="s">
        <v>14</v>
      </c>
      <c r="C164" s="1708" t="s">
        <v>2778</v>
      </c>
      <c r="D164" s="1708" t="s">
        <v>2802</v>
      </c>
      <c r="E164" s="1754">
        <f>IFERROR(N(貸付_附属明細表!G70),"エラー")</f>
        <v>0</v>
      </c>
      <c r="F164" s="1754">
        <f>IFERROR(N(貸付_財務諸表!G10),"エラー")</f>
        <v>0</v>
      </c>
      <c r="G164" s="1754">
        <f t="shared" si="14"/>
        <v>0</v>
      </c>
      <c r="H164" s="1709" t="str">
        <f t="shared" si="15"/>
        <v>OK</v>
      </c>
      <c r="I164" s="1729" t="s">
        <v>3109</v>
      </c>
      <c r="J164" s="1729" t="s">
        <v>3110</v>
      </c>
    </row>
    <row r="165" spans="1:10" ht="19.95" customHeight="1">
      <c r="A165" s="1768">
        <v>145</v>
      </c>
      <c r="B165" s="1755" t="s">
        <v>14</v>
      </c>
      <c r="C165" s="1711" t="s">
        <v>2778</v>
      </c>
      <c r="D165" s="1711" t="s">
        <v>3111</v>
      </c>
      <c r="E165" s="1757">
        <f>IFERROR(N(貸付_附属明細表!R20),"エラー")</f>
        <v>0</v>
      </c>
      <c r="F165" s="1757">
        <f>IFERROR(N(貸付_財務諸表!G13),"エラー")</f>
        <v>0</v>
      </c>
      <c r="G165" s="1757">
        <f t="shared" si="14"/>
        <v>0</v>
      </c>
      <c r="H165" s="1709" t="str">
        <f t="shared" si="15"/>
        <v>OK</v>
      </c>
      <c r="I165" s="1731" t="s">
        <v>2745</v>
      </c>
      <c r="J165" s="1731" t="s">
        <v>3112</v>
      </c>
    </row>
    <row r="166" spans="1:10" ht="19.95" customHeight="1">
      <c r="A166" s="1769">
        <v>146</v>
      </c>
      <c r="B166" s="1752" t="s">
        <v>14</v>
      </c>
      <c r="C166" s="1708" t="s">
        <v>2778</v>
      </c>
      <c r="D166" s="1708" t="s">
        <v>3013</v>
      </c>
      <c r="E166" s="1754">
        <f>IFERROR(N(貸付_附属明細表!S77),"エラー")</f>
        <v>1</v>
      </c>
      <c r="F166" s="1754">
        <f>IFERROR(N(貸付_財務諸表!B14),"エラー")</f>
        <v>1</v>
      </c>
      <c r="G166" s="1754">
        <f t="shared" si="14"/>
        <v>0</v>
      </c>
      <c r="H166" s="1709" t="str">
        <f t="shared" si="15"/>
        <v>OK</v>
      </c>
      <c r="I166" s="1729" t="s">
        <v>3113</v>
      </c>
      <c r="J166" s="1729" t="s">
        <v>3114</v>
      </c>
    </row>
    <row r="167" spans="1:10" ht="19.95" customHeight="1">
      <c r="A167" s="1768">
        <v>147</v>
      </c>
      <c r="B167" s="1755" t="s">
        <v>14</v>
      </c>
      <c r="C167" s="1711" t="s">
        <v>2778</v>
      </c>
      <c r="D167" s="1711" t="s">
        <v>3115</v>
      </c>
      <c r="E167" s="1757">
        <f>IFERROR(N(貸付_附属明細表!R13-貸付_附属明細表!G28-貸付_附属明細表!G35+貸付_附属明細表!G68),"エラー")</f>
        <v>849175708</v>
      </c>
      <c r="F167" s="1757">
        <f>IFERROR(N(貸付_財務諸表!B19),"エラー")</f>
        <v>849175708</v>
      </c>
      <c r="G167" s="1757">
        <f t="shared" si="14"/>
        <v>0</v>
      </c>
      <c r="H167" s="1709" t="str">
        <f t="shared" si="15"/>
        <v>OK</v>
      </c>
      <c r="I167" s="1731" t="s">
        <v>3116</v>
      </c>
      <c r="J167" s="1731" t="s">
        <v>3117</v>
      </c>
    </row>
    <row r="168" spans="1:10" ht="19.95" customHeight="1">
      <c r="A168" s="1769">
        <v>148</v>
      </c>
      <c r="B168" s="1752" t="s">
        <v>14</v>
      </c>
      <c r="C168" s="1708" t="s">
        <v>2778</v>
      </c>
      <c r="D168" s="1708" t="s">
        <v>3118</v>
      </c>
      <c r="E168" s="1754">
        <f>IFERROR(N(貸付_附属明細表!Q91),"エラー")</f>
        <v>1957132740</v>
      </c>
      <c r="F168" s="1754">
        <f>IFERROR(N(貸付_財務諸表!H18),"エラー")</f>
        <v>1957132740</v>
      </c>
      <c r="G168" s="1754">
        <f t="shared" si="14"/>
        <v>0</v>
      </c>
      <c r="H168" s="1709" t="str">
        <f t="shared" si="15"/>
        <v>OK</v>
      </c>
      <c r="I168" s="1729" t="s">
        <v>3119</v>
      </c>
      <c r="J168" s="1729" t="s">
        <v>3120</v>
      </c>
    </row>
    <row r="169" spans="1:10" ht="19.95" customHeight="1">
      <c r="A169" s="1768">
        <v>149</v>
      </c>
      <c r="B169" s="1755" t="s">
        <v>14</v>
      </c>
      <c r="C169" s="1711" t="s">
        <v>2778</v>
      </c>
      <c r="D169" s="1711" t="s">
        <v>3121</v>
      </c>
      <c r="E169" s="1757">
        <f>IFERROR(N(貸付_附属明細表!Q90),"エラー")</f>
        <v>1957132740</v>
      </c>
      <c r="F169" s="1757">
        <f>IFERROR(N(貸付_財務諸表!F20),"エラー")</f>
        <v>1957132740</v>
      </c>
      <c r="G169" s="1757">
        <f t="shared" si="14"/>
        <v>0</v>
      </c>
      <c r="H169" s="1709" t="str">
        <f t="shared" si="15"/>
        <v>OK</v>
      </c>
      <c r="I169" s="1731" t="s">
        <v>2749</v>
      </c>
      <c r="J169" s="1731" t="s">
        <v>3122</v>
      </c>
    </row>
    <row r="170" spans="1:10" ht="19.95" customHeight="1">
      <c r="A170" s="1769">
        <v>150</v>
      </c>
      <c r="B170" s="1752" t="s">
        <v>14</v>
      </c>
      <c r="C170" s="1708" t="s">
        <v>2817</v>
      </c>
      <c r="D170" s="1708" t="s">
        <v>3123</v>
      </c>
      <c r="E170" s="1754">
        <f>IFERROR(N('報告_貸付P23-25'!Y9),"エラー")</f>
        <v>10962960</v>
      </c>
      <c r="F170" s="1754">
        <f>IFERROR(N(貸付_財務諸表!H35),"エラー")</f>
        <v>10962960</v>
      </c>
      <c r="G170" s="1754">
        <f t="shared" si="14"/>
        <v>0</v>
      </c>
      <c r="H170" s="1709" t="str">
        <f t="shared" si="15"/>
        <v>OK</v>
      </c>
      <c r="I170" s="1729" t="s">
        <v>3124</v>
      </c>
      <c r="J170" s="1729" t="s">
        <v>3125</v>
      </c>
    </row>
    <row r="171" spans="1:10" ht="19.95" customHeight="1">
      <c r="A171" s="1768">
        <v>151</v>
      </c>
      <c r="B171" s="1755" t="s">
        <v>14</v>
      </c>
      <c r="C171" s="1711" t="s">
        <v>2817</v>
      </c>
      <c r="D171" s="1711" t="s">
        <v>3028</v>
      </c>
      <c r="E171" s="1757">
        <f>IFERROR(N('報告_貸付P23-25'!Y32),"エラー")</f>
        <v>14882388</v>
      </c>
      <c r="F171" s="1757">
        <f>IFERROR(N(貸付_財務諸表!D35+貸付_財務諸表!D49),"エラー")</f>
        <v>14882388</v>
      </c>
      <c r="G171" s="1757">
        <f t="shared" si="14"/>
        <v>0</v>
      </c>
      <c r="H171" s="1709" t="str">
        <f t="shared" si="15"/>
        <v>OK</v>
      </c>
      <c r="I171" s="1731" t="s">
        <v>3126</v>
      </c>
      <c r="J171" s="1731" t="s">
        <v>3127</v>
      </c>
    </row>
    <row r="172" spans="1:10" ht="19.95" customHeight="1">
      <c r="A172" s="1769">
        <v>152</v>
      </c>
      <c r="B172" s="1752" t="s">
        <v>14</v>
      </c>
      <c r="C172" s="1708" t="s">
        <v>2817</v>
      </c>
      <c r="D172" s="1708" t="s">
        <v>3128</v>
      </c>
      <c r="E172" s="1754">
        <f>IFERROR(N('報告_貸付P23-25'!AL40),"エラー")</f>
        <v>849175708</v>
      </c>
      <c r="F172" s="1754">
        <f>IFERROR(N(貸付_財務諸表!B19),"エラー")</f>
        <v>849175708</v>
      </c>
      <c r="G172" s="1754">
        <f t="shared" si="14"/>
        <v>0</v>
      </c>
      <c r="H172" s="1709" t="str">
        <f t="shared" si="15"/>
        <v>OK</v>
      </c>
      <c r="I172" s="1729" t="s">
        <v>3129</v>
      </c>
      <c r="J172" s="1729" t="s">
        <v>3117</v>
      </c>
    </row>
    <row r="173" spans="1:10" ht="19.95" customHeight="1">
      <c r="A173" s="1768">
        <v>153</v>
      </c>
      <c r="B173" s="1755" t="s">
        <v>14</v>
      </c>
      <c r="C173" s="1711" t="s">
        <v>2857</v>
      </c>
      <c r="D173" s="1711" t="s">
        <v>3130</v>
      </c>
      <c r="E173" s="1757">
        <f>IFERROR(N('報告_貸付P23-25'!AG92),"エラー")</f>
        <v>849175708</v>
      </c>
      <c r="F173" s="1757">
        <f>IFERROR(N(貸付_附属明細表!R13),"エラー")</f>
        <v>849175708</v>
      </c>
      <c r="G173" s="1757">
        <f t="shared" si="14"/>
        <v>0</v>
      </c>
      <c r="H173" s="1709" t="str">
        <f t="shared" si="15"/>
        <v>OK</v>
      </c>
      <c r="I173" s="1731" t="s">
        <v>3131</v>
      </c>
      <c r="J173" s="1731" t="s">
        <v>3132</v>
      </c>
    </row>
    <row r="174" spans="1:10" ht="19.95" customHeight="1">
      <c r="A174" s="1769">
        <v>154</v>
      </c>
      <c r="B174" s="1752" t="s">
        <v>14</v>
      </c>
      <c r="C174" s="1708" t="s">
        <v>2857</v>
      </c>
      <c r="D174" s="1708" t="s">
        <v>3133</v>
      </c>
      <c r="E174" s="1754">
        <f>IFERROR(N('報告_貸付P23-25'!Q92),"エラー")</f>
        <v>957879024</v>
      </c>
      <c r="F174" s="1754">
        <f>IFERROR(N(貸付_附属明細表!F13),"エラー")</f>
        <v>957879024</v>
      </c>
      <c r="G174" s="1754">
        <f t="shared" si="14"/>
        <v>0</v>
      </c>
      <c r="H174" s="1709" t="str">
        <f t="shared" si="15"/>
        <v>OK</v>
      </c>
      <c r="I174" s="1729" t="s">
        <v>3134</v>
      </c>
      <c r="J174" s="1729" t="s">
        <v>3135</v>
      </c>
    </row>
    <row r="175" spans="1:10" ht="19.95" customHeight="1">
      <c r="A175" s="1768">
        <v>155</v>
      </c>
      <c r="B175" s="1755" t="s">
        <v>14</v>
      </c>
      <c r="C175" s="1711" t="s">
        <v>2863</v>
      </c>
      <c r="D175" s="1711" t="s">
        <v>3136</v>
      </c>
      <c r="E175" s="1757">
        <f>IFERROR(N(貸付_附属明細表!F13+貸付_附属明細表!J13-貸付_附属明細表!N13),"エラー")</f>
        <v>849175708</v>
      </c>
      <c r="F175" s="1757">
        <f>IFERROR(N(貸付_附属明細表!R13),"エラー")</f>
        <v>849175708</v>
      </c>
      <c r="G175" s="1757">
        <f t="shared" si="14"/>
        <v>0</v>
      </c>
      <c r="H175" s="1709" t="str">
        <f t="shared" si="15"/>
        <v>OK</v>
      </c>
      <c r="I175" s="1731" t="s">
        <v>3137</v>
      </c>
      <c r="J175" s="1731" t="s">
        <v>3132</v>
      </c>
    </row>
    <row r="176" spans="1:10" ht="19.95" customHeight="1">
      <c r="A176" s="1769">
        <v>156</v>
      </c>
      <c r="B176" s="1752" t="s">
        <v>14</v>
      </c>
      <c r="C176" s="1708" t="s">
        <v>2863</v>
      </c>
      <c r="D176" s="1708" t="s">
        <v>3138</v>
      </c>
      <c r="E176" s="1754">
        <f>IFERROR(N(貸付_附属明細表!F20+貸付_附属明細表!J20-貸付_附属明細表!N20),"エラー")</f>
        <v>0</v>
      </c>
      <c r="F176" s="1754">
        <f>IFERROR(N(貸付_附属明細表!R20),"エラー")</f>
        <v>0</v>
      </c>
      <c r="G176" s="1754">
        <f t="shared" si="14"/>
        <v>0</v>
      </c>
      <c r="H176" s="1709" t="str">
        <f t="shared" si="15"/>
        <v>OK</v>
      </c>
      <c r="I176" s="1729" t="s">
        <v>3139</v>
      </c>
      <c r="J176" s="1729" t="s">
        <v>2745</v>
      </c>
    </row>
    <row r="177" spans="1:10" ht="19.95" customHeight="1">
      <c r="A177" s="1768">
        <v>157</v>
      </c>
      <c r="B177" s="1755" t="s">
        <v>14</v>
      </c>
      <c r="C177" s="1711" t="s">
        <v>2863</v>
      </c>
      <c r="D177" s="1711" t="s">
        <v>3140</v>
      </c>
      <c r="E177" s="1757">
        <f>IFERROR(N(貸付_附属明細表!E91+貸付_附属明細表!I91-貸付_附属明細表!M91),"エラー")</f>
        <v>1957132740</v>
      </c>
      <c r="F177" s="1757">
        <f>IFERROR(N(貸付_附属明細表!Q91),"エラー")</f>
        <v>1957132740</v>
      </c>
      <c r="G177" s="1757">
        <f t="shared" si="14"/>
        <v>0</v>
      </c>
      <c r="H177" s="1709" t="str">
        <f t="shared" si="15"/>
        <v>OK</v>
      </c>
      <c r="I177" s="1731" t="s">
        <v>3141</v>
      </c>
      <c r="J177" s="1731" t="s">
        <v>3119</v>
      </c>
    </row>
    <row r="178" spans="1:10" ht="19.95" customHeight="1">
      <c r="A178" s="1769">
        <v>158</v>
      </c>
      <c r="B178" s="1752" t="s">
        <v>14</v>
      </c>
      <c r="C178" s="1708" t="s">
        <v>2863</v>
      </c>
      <c r="D178" s="1708" t="s">
        <v>3142</v>
      </c>
      <c r="E178" s="1754">
        <f>IFERROR(N(貸付_附属明細表!M77),"エラー")</f>
        <v>1</v>
      </c>
      <c r="F178" s="1754">
        <f>IFERROR(N(貸付_附属明細表!F84-貸付_附属明細表!E105),"エラー")</f>
        <v>1</v>
      </c>
      <c r="G178" s="1754">
        <f t="shared" si="14"/>
        <v>0</v>
      </c>
      <c r="H178" s="1709" t="str">
        <f t="shared" si="15"/>
        <v>OK</v>
      </c>
      <c r="I178" s="1729" t="s">
        <v>3143</v>
      </c>
      <c r="J178" s="1729" t="s">
        <v>3144</v>
      </c>
    </row>
    <row r="179" spans="1:10" ht="19.95" customHeight="1">
      <c r="A179" s="1768">
        <v>159</v>
      </c>
      <c r="B179" s="1755" t="s">
        <v>14</v>
      </c>
      <c r="C179" s="1711" t="s">
        <v>2778</v>
      </c>
      <c r="D179" s="1711" t="s">
        <v>3078</v>
      </c>
      <c r="E179" s="1757">
        <f>IFERROR(N(貸付_附属明細表!H84),"エラー")</f>
        <v>0</v>
      </c>
      <c r="F179" s="1757">
        <f>IFERROR(N(N(貸付_財務諸表!B47)),"エラー")</f>
        <v>0</v>
      </c>
      <c r="G179" s="1757">
        <f t="shared" si="14"/>
        <v>0</v>
      </c>
      <c r="H179" s="1709" t="str">
        <f t="shared" si="15"/>
        <v>OK</v>
      </c>
      <c r="I179" s="1731" t="s">
        <v>3145</v>
      </c>
      <c r="J179" s="1731" t="s">
        <v>3146</v>
      </c>
    </row>
    <row r="180" spans="1:10" ht="7.95" customHeight="1"/>
    <row r="181" spans="1:10" ht="22.95" customHeight="1">
      <c r="A181" s="1818" t="s">
        <v>3147</v>
      </c>
      <c r="B181" s="1818"/>
      <c r="C181" s="1818"/>
      <c r="D181" s="1818"/>
      <c r="E181" s="1818"/>
      <c r="F181" s="1818"/>
      <c r="G181" s="1818"/>
      <c r="H181" s="1818"/>
      <c r="I181" s="1818"/>
      <c r="J181" s="1818"/>
    </row>
    <row r="182" spans="1:10" ht="19.95" customHeight="1">
      <c r="A182" s="1769">
        <v>160</v>
      </c>
      <c r="B182" s="1752" t="s">
        <v>1330</v>
      </c>
      <c r="C182" s="1708" t="s">
        <v>3148</v>
      </c>
      <c r="D182" s="1708" t="s">
        <v>3149</v>
      </c>
      <c r="E182" s="1754">
        <f>SUM(B204:B254)</f>
        <v>0</v>
      </c>
      <c r="F182" s="1754">
        <v>0</v>
      </c>
      <c r="G182" s="1754">
        <f t="shared" ref="G182:G189" si="16">E182-F182</f>
        <v>0</v>
      </c>
      <c r="H182" s="1709" t="str">
        <f t="shared" ref="H182:H187" si="17">IFERROR(IF(E182=0,"OK","NG"),"NG")</f>
        <v>OK</v>
      </c>
      <c r="I182" s="1729" t="s">
        <v>3150</v>
      </c>
      <c r="J182" s="1729"/>
    </row>
    <row r="183" spans="1:10" ht="19.95" customHeight="1">
      <c r="A183" s="1768">
        <v>161</v>
      </c>
      <c r="B183" s="1755" t="s">
        <v>1330</v>
      </c>
      <c r="C183" s="1711" t="s">
        <v>3148</v>
      </c>
      <c r="D183" s="1711" t="s">
        <v>3151</v>
      </c>
      <c r="E183" s="1757">
        <f>SUM(C204:C254)</f>
        <v>0</v>
      </c>
      <c r="F183" s="1757">
        <v>0</v>
      </c>
      <c r="G183" s="1757">
        <f t="shared" si="16"/>
        <v>0</v>
      </c>
      <c r="H183" s="1709" t="str">
        <f t="shared" si="17"/>
        <v>OK</v>
      </c>
      <c r="I183" s="1731" t="s">
        <v>3150</v>
      </c>
      <c r="J183" s="1731"/>
    </row>
    <row r="184" spans="1:10" ht="19.95" customHeight="1">
      <c r="A184" s="1769">
        <v>162</v>
      </c>
      <c r="B184" s="1752" t="s">
        <v>1330</v>
      </c>
      <c r="C184" s="1708" t="s">
        <v>3148</v>
      </c>
      <c r="D184" s="1708" t="s">
        <v>3152</v>
      </c>
      <c r="E184" s="1754">
        <f>SUM(D204:D254)</f>
        <v>0</v>
      </c>
      <c r="F184" s="1754">
        <v>0</v>
      </c>
      <c r="G184" s="1754">
        <f t="shared" si="16"/>
        <v>0</v>
      </c>
      <c r="H184" s="1709" t="str">
        <f t="shared" si="17"/>
        <v>OK</v>
      </c>
      <c r="I184" s="1729" t="s">
        <v>3150</v>
      </c>
      <c r="J184" s="1729"/>
    </row>
    <row r="185" spans="1:10" ht="19.95" customHeight="1">
      <c r="A185" s="1768">
        <v>163</v>
      </c>
      <c r="B185" s="1755" t="s">
        <v>1330</v>
      </c>
      <c r="C185" s="1711" t="s">
        <v>3148</v>
      </c>
      <c r="D185" s="1711" t="s">
        <v>3153</v>
      </c>
      <c r="E185" s="1757">
        <f>SUM(E204:E254)</f>
        <v>0</v>
      </c>
      <c r="F185" s="1757">
        <v>0</v>
      </c>
      <c r="G185" s="1757">
        <f t="shared" si="16"/>
        <v>0</v>
      </c>
      <c r="H185" s="1709" t="str">
        <f t="shared" si="17"/>
        <v>OK</v>
      </c>
      <c r="I185" s="1731" t="s">
        <v>3150</v>
      </c>
      <c r="J185" s="1731"/>
    </row>
    <row r="186" spans="1:10" ht="19.95" customHeight="1">
      <c r="A186" s="1769">
        <v>164</v>
      </c>
      <c r="B186" s="1752" t="s">
        <v>1330</v>
      </c>
      <c r="C186" s="1708" t="s">
        <v>3148</v>
      </c>
      <c r="D186" s="1708" t="s">
        <v>3154</v>
      </c>
      <c r="E186" s="1754">
        <f>SUM(F204:F254)</f>
        <v>0</v>
      </c>
      <c r="F186" s="1754">
        <v>0</v>
      </c>
      <c r="G186" s="1754">
        <f t="shared" si="16"/>
        <v>0</v>
      </c>
      <c r="H186" s="1709" t="str">
        <f t="shared" si="17"/>
        <v>OK</v>
      </c>
      <c r="I186" s="1729" t="s">
        <v>3150</v>
      </c>
      <c r="J186" s="1729"/>
    </row>
    <row r="187" spans="1:10" ht="19.95" customHeight="1">
      <c r="A187" s="1768">
        <v>165</v>
      </c>
      <c r="B187" s="1755" t="s">
        <v>1330</v>
      </c>
      <c r="C187" s="1711" t="s">
        <v>3148</v>
      </c>
      <c r="D187" s="1711" t="s">
        <v>3155</v>
      </c>
      <c r="E187" s="1757">
        <f ca="1">SUM(G204:G254)</f>
        <v>0</v>
      </c>
      <c r="F187" s="1757">
        <v>0</v>
      </c>
      <c r="G187" s="1757">
        <f t="shared" ca="1" si="16"/>
        <v>0</v>
      </c>
      <c r="H187" s="1709" t="str">
        <f t="shared" ca="1" si="17"/>
        <v>OK</v>
      </c>
      <c r="I187" s="1731" t="s">
        <v>3150</v>
      </c>
      <c r="J187" s="1731"/>
    </row>
    <row r="188" spans="1:10" ht="19.95" customHeight="1">
      <c r="A188" s="1769">
        <v>166</v>
      </c>
      <c r="B188" s="1752" t="s">
        <v>1330</v>
      </c>
      <c r="C188" s="1708" t="s">
        <v>1480</v>
      </c>
      <c r="D188" s="1708" t="s">
        <v>3156</v>
      </c>
      <c r="E188" s="1754">
        <f>IFERROR(COUNTBLANK(前年度貼付!E8:E332),-1)</f>
        <v>0</v>
      </c>
      <c r="F188" s="1754">
        <v>0</v>
      </c>
      <c r="G188" s="1754">
        <f t="shared" si="16"/>
        <v>0</v>
      </c>
      <c r="H188" s="1709" t="str">
        <f>IF(E188=F188,"OK","NG")</f>
        <v>OK</v>
      </c>
      <c r="I188" s="1729" t="s">
        <v>3157</v>
      </c>
      <c r="J188" s="1729"/>
    </row>
    <row r="189" spans="1:10" ht="19.95" customHeight="1">
      <c r="A189" s="1768">
        <v>167</v>
      </c>
      <c r="B189" s="1755" t="s">
        <v>1330</v>
      </c>
      <c r="C189" s="1711" t="s">
        <v>3158</v>
      </c>
      <c r="D189" s="1711" t="s">
        <v>3159</v>
      </c>
      <c r="E189" s="1757">
        <f>IFERROR(IFERROR(--AND(INT(入力ガイド!C6)=入力ガイド!C6,入力ガイド!C6&gt;=1,入力ガイド!C6&lt;=99,入力ガイド!C8&gt;=1,入力ガイド!C8&lt;=12,入力ガイド!C9&gt;=1,入力ガイド!C9&lt;=31),0),-1)</f>
        <v>1</v>
      </c>
      <c r="F189" s="1757">
        <v>1</v>
      </c>
      <c r="G189" s="1757">
        <f t="shared" si="16"/>
        <v>0</v>
      </c>
      <c r="H189" s="1709" t="str">
        <f>IF(E189=F189,"OK","NG")</f>
        <v>OK</v>
      </c>
      <c r="I189" s="1731" t="s">
        <v>3160</v>
      </c>
      <c r="J189" s="1731"/>
    </row>
    <row r="190" spans="1:10" ht="19.95" customHeight="1">
      <c r="A190" s="1769">
        <v>168</v>
      </c>
      <c r="B190" s="1752" t="s">
        <v>12</v>
      </c>
      <c r="C190" s="1708" t="s">
        <v>3161</v>
      </c>
      <c r="D190" s="1708" t="s">
        <v>3162</v>
      </c>
      <c r="E190" s="1754">
        <f>IFERROR(N(業務_附属明細表!J126+業務_附属明細表!O126),"エラー")</f>
        <v>24510562</v>
      </c>
      <c r="F190" s="1754">
        <f>IFERROR(N(業務_決算精算表!A21+業務_決算精算表!A22+業務_決算精算表!A24+業務_決算精算表!A25),"エラー")</f>
        <v>24510562</v>
      </c>
      <c r="G190" s="1754">
        <f>IFERROR(E190-F190,0)</f>
        <v>0</v>
      </c>
      <c r="H190" s="1709" t="str">
        <f>IFERROR(IF(ABS(E190-F190)&lt;0.5,"OK","NG"),"NG")</f>
        <v>OK</v>
      </c>
      <c r="I190" s="1729" t="s">
        <v>3163</v>
      </c>
      <c r="J190" s="1729" t="s">
        <v>3164</v>
      </c>
    </row>
    <row r="191" spans="1:10" ht="19.95" customHeight="1">
      <c r="A191" s="1768">
        <v>169</v>
      </c>
      <c r="B191" s="1755" t="s">
        <v>13</v>
      </c>
      <c r="C191" s="1711" t="s">
        <v>3161</v>
      </c>
      <c r="D191" s="1711" t="s">
        <v>3165</v>
      </c>
      <c r="E191" s="1757">
        <f>IFERROR(N(保健_附属明細表!J139+保健_附属明細表!O139),"エラー")</f>
        <v>7053810</v>
      </c>
      <c r="F191" s="1757">
        <f>IFERROR(N(保健_決算精算表!A27+保健_附属明細表!J137+保健_附属明細表!O137+保健_決算精算表!A30),"エラー")</f>
        <v>7053810</v>
      </c>
      <c r="G191" s="1757">
        <f>IFERROR(E191-F191,0)</f>
        <v>0</v>
      </c>
      <c r="H191" s="1709" t="str">
        <f>IFERROR(IF(ABS(E191-F191)&lt;0.5,"OK","NG"),"NG")</f>
        <v>OK</v>
      </c>
      <c r="I191" s="1731" t="s">
        <v>3166</v>
      </c>
      <c r="J191" s="1731" t="s">
        <v>3167</v>
      </c>
    </row>
    <row r="192" spans="1:10" ht="19.95" customHeight="1">
      <c r="A192" s="1769">
        <v>170</v>
      </c>
      <c r="B192" s="1752" t="s">
        <v>14</v>
      </c>
      <c r="C192" s="1708" t="s">
        <v>3161</v>
      </c>
      <c r="D192" s="1708" t="s">
        <v>3165</v>
      </c>
      <c r="E192" s="1754">
        <f>IFERROR(N(貸付_附属明細表!J115+貸付_附属明細表!O115),"エラー")</f>
        <v>6980826</v>
      </c>
      <c r="F192" s="1754">
        <f>IFERROR(N(貸付_決算精算表!A21+貸付_決算精算表!A23+貸付_決算精算表!A24),"エラー")</f>
        <v>6980826</v>
      </c>
      <c r="G192" s="1754">
        <f>IFERROR(E192-F192,0)</f>
        <v>0</v>
      </c>
      <c r="H192" s="1709" t="str">
        <f>IFERROR(IF(ABS(E192-F192)&lt;0.5,"OK","NG"),"NG")</f>
        <v>OK</v>
      </c>
      <c r="I192" s="1729" t="s">
        <v>3168</v>
      </c>
      <c r="J192" s="1729" t="s">
        <v>3169</v>
      </c>
    </row>
    <row r="193" spans="1:10" ht="19.95" customHeight="1">
      <c r="A193" s="1768">
        <v>171</v>
      </c>
      <c r="B193" s="1755" t="s">
        <v>7</v>
      </c>
      <c r="C193" s="1711" t="s">
        <v>3170</v>
      </c>
      <c r="D193" s="1711" t="s">
        <v>3171</v>
      </c>
      <c r="E193" s="1757">
        <f>IFERROR(N(報告_P8グラフデータ!B11+報告_P8グラフデータ!B22),"エラー")</f>
        <v>1310088</v>
      </c>
      <c r="F193" s="1757">
        <f>IFERROR(N(ROUND(報告_P8グラフデータ!G11,0)+ROUND(報告_P8グラフデータ!G22,0)),"エラー")</f>
        <v>1310088</v>
      </c>
      <c r="G193" s="1757">
        <f>IFERROR(E193-F193,0)</f>
        <v>0</v>
      </c>
      <c r="H193" s="1709" t="str">
        <f>IFERROR(IF(ABS(E193-F193)&lt;0.5,"OK","NG"),"NG")</f>
        <v>OK</v>
      </c>
      <c r="I193" s="1731" t="s">
        <v>3172</v>
      </c>
      <c r="J193" s="1731" t="s">
        <v>3173</v>
      </c>
    </row>
    <row r="202" spans="1:10" ht="25.05" customHeight="1">
      <c r="A202" s="1790" t="s">
        <v>3174</v>
      </c>
      <c r="B202" s="1790"/>
      <c r="C202" s="1790"/>
      <c r="D202" s="1790"/>
      <c r="E202" s="1790"/>
      <c r="F202" s="1790"/>
      <c r="G202" s="1790"/>
      <c r="H202" s="1790"/>
      <c r="I202" s="1699"/>
      <c r="J202" s="1699"/>
    </row>
    <row r="203" spans="1:10" ht="24" customHeight="1">
      <c r="A203" s="1700" t="s">
        <v>1</v>
      </c>
      <c r="B203" s="1700" t="s">
        <v>3175</v>
      </c>
      <c r="C203" s="1700" t="s">
        <v>3176</v>
      </c>
      <c r="D203" s="1700" t="s">
        <v>3177</v>
      </c>
      <c r="E203" s="1700" t="s">
        <v>3178</v>
      </c>
      <c r="F203" s="1700" t="s">
        <v>3179</v>
      </c>
      <c r="G203" s="1700" t="s">
        <v>3180</v>
      </c>
      <c r="H203" s="1700" t="s">
        <v>3181</v>
      </c>
    </row>
    <row r="204" spans="1:10" ht="19.05" customHeight="1">
      <c r="A204" s="1752" t="s">
        <v>3182</v>
      </c>
      <c r="B204" s="1770">
        <f>COUNTIF(入力セル一覧!A1:G843,"#"&amp;"REF!")</f>
        <v>0</v>
      </c>
      <c r="C204" s="1770">
        <f>COUNTIF(入力セル一覧!A1:G843,"#"&amp;"VALUE!")</f>
        <v>0</v>
      </c>
      <c r="D204" s="1770">
        <f>COUNTIF(入力セル一覧!A1:G843,"#"&amp;"DIV/0!")</f>
        <v>0</v>
      </c>
      <c r="E204" s="1770">
        <f>COUNTIF(入力セル一覧!A1:G843,"#"&amp;"NAME?")</f>
        <v>0</v>
      </c>
      <c r="F204" s="1770">
        <f>SUMPRODUCT(--ISERROR(入力セル一覧!A1:G843))-SUM(B204:E204)</f>
        <v>0</v>
      </c>
      <c r="G204" s="1770">
        <f ca="1">IFERROR(SUMPRODUCT(--ISNUMBER(FIND("[",_xlfn.FORMULATEXT(入力セル一覧!A1:G843)))),0)</f>
        <v>0</v>
      </c>
      <c r="H204" s="1771" t="s">
        <v>3183</v>
      </c>
    </row>
    <row r="205" spans="1:10" ht="19.05" customHeight="1">
      <c r="A205" s="1755" t="s">
        <v>1480</v>
      </c>
      <c r="B205" s="1772">
        <f>COUNTIF(前年度貼付!A1:G332,"#"&amp;"REF!")</f>
        <v>0</v>
      </c>
      <c r="C205" s="1772">
        <f>COUNTIF(前年度貼付!A1:G332,"#"&amp;"VALUE!")</f>
        <v>0</v>
      </c>
      <c r="D205" s="1772">
        <f>COUNTIF(前年度貼付!A1:G332,"#"&amp;"DIV/0!")</f>
        <v>0</v>
      </c>
      <c r="E205" s="1772">
        <f>COUNTIF(前年度貼付!A1:G332,"#"&amp;"NAME?")</f>
        <v>0</v>
      </c>
      <c r="F205" s="1772">
        <f>SUMPRODUCT(--ISERROR(前年度貼付!A1:G332))-SUM(B205:E205)</f>
        <v>0</v>
      </c>
      <c r="G205" s="1772">
        <f ca="1">IFERROR(SUMPRODUCT(--ISNUMBER(FIND("[",_xlfn.FORMULATEXT(前年度貼付!A1:G332)))),0)</f>
        <v>0</v>
      </c>
      <c r="H205" s="1773" t="s">
        <v>3184</v>
      </c>
    </row>
    <row r="206" spans="1:10" ht="19.05" customHeight="1">
      <c r="A206" s="1752" t="s">
        <v>3185</v>
      </c>
      <c r="B206" s="1770">
        <f>COUNTIF(表紙等!A1:G188,"#"&amp;"REF!")</f>
        <v>0</v>
      </c>
      <c r="C206" s="1770">
        <f>COUNTIF(表紙等!A1:G188,"#"&amp;"VALUE!")</f>
        <v>0</v>
      </c>
      <c r="D206" s="1770">
        <f>COUNTIF(表紙等!A1:G188,"#"&amp;"DIV/0!")</f>
        <v>0</v>
      </c>
      <c r="E206" s="1770">
        <f>COUNTIF(表紙等!A1:G188,"#"&amp;"NAME?")</f>
        <v>0</v>
      </c>
      <c r="F206" s="1770">
        <f>SUMPRODUCT(--ISERROR(表紙等!A1:G188))-SUM(B206:E206)</f>
        <v>0</v>
      </c>
      <c r="G206" s="1770">
        <f ca="1">IFERROR(SUMPRODUCT(--ISNUMBER(FIND("[",_xlfn.FORMULATEXT(表紙等!A1:G188)))),0)</f>
        <v>0</v>
      </c>
      <c r="H206" s="1771" t="s">
        <v>3186</v>
      </c>
    </row>
    <row r="207" spans="1:10" ht="19.05" customHeight="1">
      <c r="A207" s="1755" t="s">
        <v>3</v>
      </c>
      <c r="B207" s="1772">
        <f>COUNTIF(目次!A1:O46,"#"&amp;"REF!")</f>
        <v>0</v>
      </c>
      <c r="C207" s="1772">
        <f>COUNTIF(目次!A1:O46,"#"&amp;"VALUE!")</f>
        <v>0</v>
      </c>
      <c r="D207" s="1772">
        <f>COUNTIF(目次!A1:O46,"#"&amp;"DIV/0!")</f>
        <v>0</v>
      </c>
      <c r="E207" s="1772">
        <f>COUNTIF(目次!A1:O46,"#"&amp;"NAME?")</f>
        <v>0</v>
      </c>
      <c r="F207" s="1772">
        <f>SUMPRODUCT(--ISERROR(目次!A1:O46))-SUM(B207:E207)</f>
        <v>0</v>
      </c>
      <c r="G207" s="1772">
        <f ca="1">IFERROR(SUMPRODUCT(--ISNUMBER(FIND("[",_xlfn.FORMULATEXT(目次!A1:O46)))),0)</f>
        <v>0</v>
      </c>
      <c r="H207" s="1773" t="s">
        <v>3187</v>
      </c>
    </row>
    <row r="208" spans="1:10" ht="19.05" customHeight="1">
      <c r="A208" s="1752" t="s">
        <v>1572</v>
      </c>
      <c r="B208" s="1770">
        <f>COUNTIF('報告_概況P1-2'!A1:Y67,"#"&amp;"REF!")</f>
        <v>0</v>
      </c>
      <c r="C208" s="1770">
        <f>COUNTIF('報告_概況P1-2'!A1:Y67,"#"&amp;"VALUE!")</f>
        <v>0</v>
      </c>
      <c r="D208" s="1770">
        <f>COUNTIF('報告_概況P1-2'!A1:Y67,"#"&amp;"DIV/0!")</f>
        <v>0</v>
      </c>
      <c r="E208" s="1770">
        <f>COUNTIF('報告_概況P1-2'!A1:Y67,"#"&amp;"NAME?")</f>
        <v>0</v>
      </c>
      <c r="F208" s="1770">
        <f>SUMPRODUCT(--ISERROR('報告_概況P1-2'!A1:Y67))-SUM(B208:E208)</f>
        <v>0</v>
      </c>
      <c r="G208" s="1770">
        <f ca="1">IFERROR(SUMPRODUCT(--ISNUMBER(FIND("[",_xlfn.FORMULATEXT('報告_概況P1-2'!A1:Y67)))),0)</f>
        <v>0</v>
      </c>
      <c r="H208" s="1771" t="s">
        <v>3188</v>
      </c>
    </row>
    <row r="209" spans="1:8" ht="19.05" customHeight="1">
      <c r="A209" s="1755" t="s">
        <v>1506</v>
      </c>
      <c r="B209" s="1772">
        <f>COUNTIF('報告_総括P3-5'!A1:BA95,"#"&amp;"REF!")</f>
        <v>0</v>
      </c>
      <c r="C209" s="1772">
        <f>COUNTIF('報告_総括P3-5'!A1:BA95,"#"&amp;"VALUE!")</f>
        <v>0</v>
      </c>
      <c r="D209" s="1772">
        <f>COUNTIF('報告_総括P3-5'!A1:BA95,"#"&amp;"DIV/0!")</f>
        <v>0</v>
      </c>
      <c r="E209" s="1772">
        <f>COUNTIF('報告_総括P3-5'!A1:BA95,"#"&amp;"NAME?")</f>
        <v>0</v>
      </c>
      <c r="F209" s="1772">
        <f>SUMPRODUCT(--ISERROR('報告_総括P3-5'!A1:BA95))-SUM(B209:E209)</f>
        <v>0</v>
      </c>
      <c r="G209" s="1772">
        <f ca="1">IFERROR(SUMPRODUCT(--ISNUMBER(FIND("[",_xlfn.FORMULATEXT('報告_総括P3-5'!A1:BA95)))),0)</f>
        <v>0</v>
      </c>
      <c r="H209" s="1773" t="s">
        <v>3189</v>
      </c>
    </row>
    <row r="210" spans="1:8" ht="19.05" customHeight="1">
      <c r="A210" s="1752" t="s">
        <v>1625</v>
      </c>
      <c r="B210" s="1770">
        <f>COUNTIF(報告_短期P6!A1:AM31,"#"&amp;"REF!")</f>
        <v>0</v>
      </c>
      <c r="C210" s="1770">
        <f>COUNTIF(報告_短期P6!A1:AM31,"#"&amp;"VALUE!")</f>
        <v>0</v>
      </c>
      <c r="D210" s="1770">
        <f>COUNTIF(報告_短期P6!A1:AM31,"#"&amp;"DIV/0!")</f>
        <v>0</v>
      </c>
      <c r="E210" s="1770">
        <f>COUNTIF(報告_短期P6!A1:AM31,"#"&amp;"NAME?")</f>
        <v>0</v>
      </c>
      <c r="F210" s="1770">
        <f>SUMPRODUCT(--ISERROR(報告_短期P6!A1:AM31))-SUM(B210:E210)</f>
        <v>0</v>
      </c>
      <c r="G210" s="1770">
        <f ca="1">IFERROR(SUMPRODUCT(--ISNUMBER(FIND("[",_xlfn.FORMULATEXT(報告_短期P6!A1:AM31)))),0)</f>
        <v>0</v>
      </c>
      <c r="H210" s="1771" t="s">
        <v>3190</v>
      </c>
    </row>
    <row r="211" spans="1:8" ht="19.05" customHeight="1">
      <c r="A211" s="1755" t="s">
        <v>1456</v>
      </c>
      <c r="B211" s="1772">
        <f>COUNTIF('報告_短期P7-10'!A1:FP160,"#"&amp;"REF!")</f>
        <v>0</v>
      </c>
      <c r="C211" s="1772">
        <f>COUNTIF('報告_短期P7-10'!A1:FP160,"#"&amp;"VALUE!")</f>
        <v>0</v>
      </c>
      <c r="D211" s="1772">
        <f>COUNTIF('報告_短期P7-10'!A1:FP160,"#"&amp;"DIV/0!")</f>
        <v>0</v>
      </c>
      <c r="E211" s="1772">
        <f>COUNTIF('報告_短期P7-10'!A1:FP160,"#"&amp;"NAME?")</f>
        <v>0</v>
      </c>
      <c r="F211" s="1772">
        <f>SUMPRODUCT(--ISERROR('報告_短期P7-10'!A1:FP160))-SUM(B211:E211)</f>
        <v>0</v>
      </c>
      <c r="G211" s="1772">
        <f ca="1">IFERROR(SUMPRODUCT(--ISNUMBER(FIND("[",_xlfn.FORMULATEXT('報告_短期P7-10'!A1:FP160)))),0)</f>
        <v>0</v>
      </c>
      <c r="H211" s="1773" t="s">
        <v>3191</v>
      </c>
    </row>
    <row r="212" spans="1:8" ht="19.05" customHeight="1">
      <c r="A212" s="1752" t="s">
        <v>1501</v>
      </c>
      <c r="B212" s="1770">
        <f>COUNTIF('報告_短期P11-13'!A1:HT122,"#"&amp;"REF!")</f>
        <v>0</v>
      </c>
      <c r="C212" s="1770">
        <f>COUNTIF('報告_短期P11-13'!A1:HT122,"#"&amp;"VALUE!")</f>
        <v>0</v>
      </c>
      <c r="D212" s="1770">
        <f>COUNTIF('報告_短期P11-13'!A1:HT122,"#"&amp;"DIV/0!")</f>
        <v>0</v>
      </c>
      <c r="E212" s="1770">
        <f>COUNTIF('報告_短期P11-13'!A1:HT122,"#"&amp;"NAME?")</f>
        <v>0</v>
      </c>
      <c r="F212" s="1770">
        <f>SUMPRODUCT(--ISERROR('報告_短期P11-13'!A1:HT122))-SUM(B212:E212)</f>
        <v>0</v>
      </c>
      <c r="G212" s="1770">
        <f ca="1">IFERROR(SUMPRODUCT(--ISNUMBER(FIND("[",_xlfn.FORMULATEXT('報告_短期P11-13'!A1:HT122)))),0)</f>
        <v>0</v>
      </c>
      <c r="H212" s="1771" t="s">
        <v>3192</v>
      </c>
    </row>
    <row r="213" spans="1:8" ht="19.05" customHeight="1">
      <c r="A213" s="1755" t="s">
        <v>1469</v>
      </c>
      <c r="B213" s="1772">
        <f>COUNTIF(報告_P8グラフデータ!A1:H27,"#"&amp;"REF!")</f>
        <v>0</v>
      </c>
      <c r="C213" s="1772">
        <f>COUNTIF(報告_P8グラフデータ!A1:H27,"#"&amp;"VALUE!")</f>
        <v>0</v>
      </c>
      <c r="D213" s="1772">
        <f>COUNTIF(報告_P8グラフデータ!A1:H27,"#"&amp;"DIV/0!")</f>
        <v>0</v>
      </c>
      <c r="E213" s="1772">
        <f>COUNTIF(報告_P8グラフデータ!A1:H27,"#"&amp;"NAME?")</f>
        <v>0</v>
      </c>
      <c r="F213" s="1772">
        <f>SUMPRODUCT(--ISERROR(報告_P8グラフデータ!A1:H27))-SUM(B213:E213)</f>
        <v>0</v>
      </c>
      <c r="G213" s="1772">
        <f ca="1">IFERROR(SUMPRODUCT(--ISNUMBER(FIND("[",_xlfn.FORMULATEXT(報告_P8グラフデータ!A1:H27)))),0)</f>
        <v>0</v>
      </c>
      <c r="H213" s="1773" t="s">
        <v>3193</v>
      </c>
    </row>
    <row r="214" spans="1:8" ht="19.05" customHeight="1">
      <c r="A214" s="1752" t="s">
        <v>1751</v>
      </c>
      <c r="B214" s="1770">
        <f>COUNTIF(報告_厚生年金P14!A1:BF58,"#"&amp;"REF!")</f>
        <v>0</v>
      </c>
      <c r="C214" s="1770">
        <f>COUNTIF(報告_厚生年金P14!A1:BF58,"#"&amp;"VALUE!")</f>
        <v>0</v>
      </c>
      <c r="D214" s="1770">
        <f>COUNTIF(報告_厚生年金P14!A1:BF58,"#"&amp;"DIV/0!")</f>
        <v>0</v>
      </c>
      <c r="E214" s="1770">
        <f>COUNTIF(報告_厚生年金P14!A1:BF58,"#"&amp;"NAME?")</f>
        <v>0</v>
      </c>
      <c r="F214" s="1770">
        <f>SUMPRODUCT(--ISERROR(報告_厚生年金P14!A1:BF58))-SUM(B214:E214)</f>
        <v>0</v>
      </c>
      <c r="G214" s="1770">
        <f ca="1">IFERROR(SUMPRODUCT(--ISNUMBER(FIND("[",_xlfn.FORMULATEXT(報告_厚生年金P14!A1:BF58)))),0)</f>
        <v>0</v>
      </c>
      <c r="H214" s="1771" t="s">
        <v>3194</v>
      </c>
    </row>
    <row r="215" spans="1:8" ht="19.05" customHeight="1">
      <c r="A215" s="1755" t="s">
        <v>1770</v>
      </c>
      <c r="B215" s="1772">
        <f>COUNTIF(報告_退職等年金P15!A1:BF43,"#"&amp;"REF!")</f>
        <v>0</v>
      </c>
      <c r="C215" s="1772">
        <f>COUNTIF(報告_退職等年金P15!A1:BF43,"#"&amp;"VALUE!")</f>
        <v>0</v>
      </c>
      <c r="D215" s="1772">
        <f>COUNTIF(報告_退職等年金P15!A1:BF43,"#"&amp;"DIV/0!")</f>
        <v>0</v>
      </c>
      <c r="E215" s="1772">
        <f>COUNTIF(報告_退職等年金P15!A1:BF43,"#"&amp;"NAME?")</f>
        <v>0</v>
      </c>
      <c r="F215" s="1772">
        <f>SUMPRODUCT(--ISERROR(報告_退職等年金P15!A1:BF43))-SUM(B215:E215)</f>
        <v>0</v>
      </c>
      <c r="G215" s="1772">
        <f ca="1">IFERROR(SUMPRODUCT(--ISNUMBER(FIND("[",_xlfn.FORMULATEXT(報告_退職等年金P15!A1:BF43)))),0)</f>
        <v>0</v>
      </c>
      <c r="H215" s="1773" t="s">
        <v>3195</v>
      </c>
    </row>
    <row r="216" spans="1:8" ht="19.05" customHeight="1">
      <c r="A216" s="1752" t="s">
        <v>1777</v>
      </c>
      <c r="B216" s="1770">
        <f>COUNTIF(報告_経過的長期P16!A1:BF45,"#"&amp;"REF!")</f>
        <v>0</v>
      </c>
      <c r="C216" s="1770">
        <f>COUNTIF(報告_経過的長期P16!A1:BF45,"#"&amp;"VALUE!")</f>
        <v>0</v>
      </c>
      <c r="D216" s="1770">
        <f>COUNTIF(報告_経過的長期P16!A1:BF45,"#"&amp;"DIV/0!")</f>
        <v>0</v>
      </c>
      <c r="E216" s="1770">
        <f>COUNTIF(報告_経過的長期P16!A1:BF45,"#"&amp;"NAME?")</f>
        <v>0</v>
      </c>
      <c r="F216" s="1770">
        <f>SUMPRODUCT(--ISERROR(報告_経過的長期P16!A1:BF45))-SUM(B216:E216)</f>
        <v>0</v>
      </c>
      <c r="G216" s="1770">
        <f ca="1">IFERROR(SUMPRODUCT(--ISNUMBER(FIND("[",_xlfn.FORMULATEXT(報告_経過的長期P16!A1:BF45)))),0)</f>
        <v>0</v>
      </c>
      <c r="H216" s="1771" t="s">
        <v>3196</v>
      </c>
    </row>
    <row r="217" spans="1:8" ht="19.05" customHeight="1">
      <c r="A217" s="1755" t="s">
        <v>1781</v>
      </c>
      <c r="B217" s="1772">
        <f>COUNTIF(報告_預託金P17!A1:J28,"#"&amp;"REF!")</f>
        <v>0</v>
      </c>
      <c r="C217" s="1772">
        <f>COUNTIF(報告_預託金P17!A1:J28,"#"&amp;"VALUE!")</f>
        <v>0</v>
      </c>
      <c r="D217" s="1772">
        <f>COUNTIF(報告_預託金P17!A1:J28,"#"&amp;"DIV/0!")</f>
        <v>0</v>
      </c>
      <c r="E217" s="1772">
        <f>COUNTIF(報告_預託金P17!A1:J28,"#"&amp;"NAME?")</f>
        <v>0</v>
      </c>
      <c r="F217" s="1772">
        <f>SUMPRODUCT(--ISERROR(報告_預託金P17!A1:J28))-SUM(B217:E217)</f>
        <v>0</v>
      </c>
      <c r="G217" s="1772">
        <f ca="1">IFERROR(SUMPRODUCT(--ISNUMBER(FIND("[",_xlfn.FORMULATEXT(報告_預託金P17!A1:J28)))),0)</f>
        <v>0</v>
      </c>
      <c r="H217" s="1773" t="s">
        <v>3197</v>
      </c>
    </row>
    <row r="218" spans="1:8" ht="19.05" customHeight="1">
      <c r="A218" s="1752" t="s">
        <v>1783</v>
      </c>
      <c r="B218" s="1770">
        <f>COUNTIF(報告_預託金のカメラ!A1:M15,"#"&amp;"REF!")</f>
        <v>0</v>
      </c>
      <c r="C218" s="1770">
        <f>COUNTIF(報告_預託金のカメラ!A1:M15,"#"&amp;"VALUE!")</f>
        <v>0</v>
      </c>
      <c r="D218" s="1770">
        <f>COUNTIF(報告_預託金のカメラ!A1:M15,"#"&amp;"DIV/0!")</f>
        <v>0</v>
      </c>
      <c r="E218" s="1770">
        <f>COUNTIF(報告_預託金のカメラ!A1:M15,"#"&amp;"NAME?")</f>
        <v>0</v>
      </c>
      <c r="F218" s="1770">
        <f>SUMPRODUCT(--ISERROR(報告_預託金のカメラ!A1:M15))-SUM(B218:E218)</f>
        <v>0</v>
      </c>
      <c r="G218" s="1770">
        <f ca="1">IFERROR(SUMPRODUCT(--ISNUMBER(FIND("[",_xlfn.FORMULATEXT(報告_預託金のカメラ!A1:M15)))),0)</f>
        <v>0</v>
      </c>
      <c r="H218" s="1771" t="s">
        <v>3198</v>
      </c>
    </row>
    <row r="219" spans="1:8" ht="19.05" customHeight="1">
      <c r="A219" s="1755" t="s">
        <v>1787</v>
      </c>
      <c r="B219" s="1772">
        <f>COUNTIF(報告_業務P18!A1:BN32,"#"&amp;"REF!")</f>
        <v>0</v>
      </c>
      <c r="C219" s="1772">
        <f>COUNTIF(報告_業務P18!A1:BN32,"#"&amp;"VALUE!")</f>
        <v>0</v>
      </c>
      <c r="D219" s="1772">
        <f>COUNTIF(報告_業務P18!A1:BN32,"#"&amp;"DIV/0!")</f>
        <v>0</v>
      </c>
      <c r="E219" s="1772">
        <f>COUNTIF(報告_業務P18!A1:BN32,"#"&amp;"NAME?")</f>
        <v>0</v>
      </c>
      <c r="F219" s="1772">
        <f>SUMPRODUCT(--ISERROR(報告_業務P18!A1:BN32))-SUM(B219:E219)</f>
        <v>0</v>
      </c>
      <c r="G219" s="1772">
        <f ca="1">IFERROR(SUMPRODUCT(--ISNUMBER(FIND("[",_xlfn.FORMULATEXT(報告_業務P18!A1:BN32)))),0)</f>
        <v>0</v>
      </c>
      <c r="H219" s="1773" t="s">
        <v>3199</v>
      </c>
    </row>
    <row r="220" spans="1:8" ht="19.05" customHeight="1">
      <c r="A220" s="1752" t="s">
        <v>1498</v>
      </c>
      <c r="B220" s="1770">
        <f>COUNTIF(報告_業務P19!A1:BH60,"#"&amp;"REF!")</f>
        <v>0</v>
      </c>
      <c r="C220" s="1770">
        <f>COUNTIF(報告_業務P19!A1:BH60,"#"&amp;"VALUE!")</f>
        <v>0</v>
      </c>
      <c r="D220" s="1770">
        <f>COUNTIF(報告_業務P19!A1:BH60,"#"&amp;"DIV/0!")</f>
        <v>0</v>
      </c>
      <c r="E220" s="1770">
        <f>COUNTIF(報告_業務P19!A1:BH60,"#"&amp;"NAME?")</f>
        <v>0</v>
      </c>
      <c r="F220" s="1770">
        <f>SUMPRODUCT(--ISERROR(報告_業務P19!A1:BH60))-SUM(B220:E220)</f>
        <v>0</v>
      </c>
      <c r="G220" s="1770">
        <f ca="1">IFERROR(SUMPRODUCT(--ISNUMBER(FIND("[",_xlfn.FORMULATEXT(報告_業務P19!A1:BH60)))),0)</f>
        <v>0</v>
      </c>
      <c r="H220" s="1771" t="s">
        <v>3200</v>
      </c>
    </row>
    <row r="221" spans="1:8" ht="19.05" customHeight="1">
      <c r="A221" s="1755" t="s">
        <v>1811</v>
      </c>
      <c r="B221" s="1772">
        <f>COUNTIF('報告_保健P20-22'!A1:BQ103,"#"&amp;"REF!")</f>
        <v>0</v>
      </c>
      <c r="C221" s="1772">
        <f>COUNTIF('報告_保健P20-22'!A1:BQ103,"#"&amp;"VALUE!")</f>
        <v>0</v>
      </c>
      <c r="D221" s="1772">
        <f>COUNTIF('報告_保健P20-22'!A1:BQ103,"#"&amp;"DIV/0!")</f>
        <v>0</v>
      </c>
      <c r="E221" s="1772">
        <f>COUNTIF('報告_保健P20-22'!A1:BQ103,"#"&amp;"NAME?")</f>
        <v>0</v>
      </c>
      <c r="F221" s="1772">
        <f>SUMPRODUCT(--ISERROR('報告_保健P20-22'!A1:BQ103))-SUM(B221:E221)</f>
        <v>0</v>
      </c>
      <c r="G221" s="1772">
        <f ca="1">IFERROR(SUMPRODUCT(--ISNUMBER(FIND("[",_xlfn.FORMULATEXT('報告_保健P20-22'!A1:BQ103)))),0)</f>
        <v>0</v>
      </c>
      <c r="H221" s="1773" t="s">
        <v>3201</v>
      </c>
    </row>
    <row r="222" spans="1:8" ht="19.05" customHeight="1">
      <c r="A222" s="1752" t="s">
        <v>1459</v>
      </c>
      <c r="B222" s="1770">
        <f>COUNTIF('報告_貸付P23-25'!A1:BO129,"#"&amp;"REF!")</f>
        <v>0</v>
      </c>
      <c r="C222" s="1770">
        <f>COUNTIF('報告_貸付P23-25'!A1:BO129,"#"&amp;"VALUE!")</f>
        <v>0</v>
      </c>
      <c r="D222" s="1770">
        <f>COUNTIF('報告_貸付P23-25'!A1:BO129,"#"&amp;"DIV/0!")</f>
        <v>0</v>
      </c>
      <c r="E222" s="1770">
        <f>COUNTIF('報告_貸付P23-25'!A1:BO129,"#"&amp;"NAME?")</f>
        <v>0</v>
      </c>
      <c r="F222" s="1770">
        <f>SUMPRODUCT(--ISERROR('報告_貸付P23-25'!A1:BO129))-SUM(B222:E222)</f>
        <v>0</v>
      </c>
      <c r="G222" s="1770">
        <f ca="1">IFERROR(SUMPRODUCT(--ISNUMBER(FIND("[",_xlfn.FORMULATEXT('報告_貸付P23-25'!A1:BO129)))),0)</f>
        <v>0</v>
      </c>
      <c r="H222" s="1771" t="s">
        <v>3202</v>
      </c>
    </row>
    <row r="223" spans="1:8" ht="19.05" customHeight="1">
      <c r="A223" s="1755" t="s">
        <v>3203</v>
      </c>
      <c r="B223" s="1772">
        <f>COUNTIF(報告_白紙P26!A1:A1,"#"&amp;"REF!")</f>
        <v>0</v>
      </c>
      <c r="C223" s="1772">
        <f>COUNTIF(報告_白紙P26!A1:A1,"#"&amp;"VALUE!")</f>
        <v>0</v>
      </c>
      <c r="D223" s="1772">
        <f>COUNTIF(報告_白紙P26!A1:A1,"#"&amp;"DIV/0!")</f>
        <v>0</v>
      </c>
      <c r="E223" s="1772">
        <f>COUNTIF(報告_白紙P26!A1:A1,"#"&amp;"NAME?")</f>
        <v>0</v>
      </c>
      <c r="F223" s="1772">
        <f>SUMPRODUCT(--ISERROR(報告_白紙P26!A1:A1))-SUM(B223:E223)</f>
        <v>0</v>
      </c>
      <c r="G223" s="1772">
        <f ca="1">IFERROR(SUMPRODUCT(--ISNUMBER(FIND("[",_xlfn.FORMULATEXT(報告_白紙P26!A1:A1)))),0)</f>
        <v>0</v>
      </c>
      <c r="H223" s="1773" t="s">
        <v>3204</v>
      </c>
    </row>
    <row r="224" spans="1:8" ht="19.05" customHeight="1">
      <c r="A224" s="1752" t="s">
        <v>1901</v>
      </c>
      <c r="B224" s="1770">
        <f>COUNTIF(短期_財務諸表!A1:M67,"#"&amp;"REF!")</f>
        <v>0</v>
      </c>
      <c r="C224" s="1770">
        <f>COUNTIF(短期_財務諸表!A1:M67,"#"&amp;"VALUE!")</f>
        <v>0</v>
      </c>
      <c r="D224" s="1770">
        <f>COUNTIF(短期_財務諸表!A1:M67,"#"&amp;"DIV/0!")</f>
        <v>0</v>
      </c>
      <c r="E224" s="1770">
        <f>COUNTIF(短期_財務諸表!A1:M67,"#"&amp;"NAME?")</f>
        <v>0</v>
      </c>
      <c r="F224" s="1770">
        <f>SUMPRODUCT(--ISERROR(短期_財務諸表!A1:M67))-SUM(B224:E224)</f>
        <v>0</v>
      </c>
      <c r="G224" s="1770">
        <f ca="1">IFERROR(SUMPRODUCT(--ISNUMBER(FIND("[",_xlfn.FORMULATEXT(短期_財務諸表!A1:M67)))),0)</f>
        <v>0</v>
      </c>
      <c r="H224" s="1771" t="s">
        <v>3205</v>
      </c>
    </row>
    <row r="225" spans="1:8" ht="19.05" customHeight="1">
      <c r="A225" s="1755" t="s">
        <v>1495</v>
      </c>
      <c r="B225" s="1772">
        <f>COUNTIF(短期_附属明細表!A1:V119,"#"&amp;"REF!")</f>
        <v>0</v>
      </c>
      <c r="C225" s="1772">
        <f>COUNTIF(短期_附属明細表!A1:V119,"#"&amp;"VALUE!")</f>
        <v>0</v>
      </c>
      <c r="D225" s="1772">
        <f>COUNTIF(短期_附属明細表!A1:V119,"#"&amp;"DIV/0!")</f>
        <v>0</v>
      </c>
      <c r="E225" s="1772">
        <f>COUNTIF(短期_附属明細表!A1:V119,"#"&amp;"NAME?")</f>
        <v>0</v>
      </c>
      <c r="F225" s="1772">
        <f>SUMPRODUCT(--ISERROR(短期_附属明細表!A1:V119))-SUM(B225:E225)</f>
        <v>0</v>
      </c>
      <c r="G225" s="1772">
        <f ca="1">IFERROR(SUMPRODUCT(--ISNUMBER(FIND("[",_xlfn.FORMULATEXT(短期_附属明細表!A1:V119)))),0)</f>
        <v>0</v>
      </c>
      <c r="H225" s="1773" t="s">
        <v>3206</v>
      </c>
    </row>
    <row r="226" spans="1:8" ht="19.05" customHeight="1">
      <c r="A226" s="1752" t="s">
        <v>1927</v>
      </c>
      <c r="B226" s="1770">
        <f>COUNTIF(短期_決算精算表!A1:I69,"#"&amp;"REF!")</f>
        <v>0</v>
      </c>
      <c r="C226" s="1770">
        <f>COUNTIF(短期_決算精算表!A1:I69,"#"&amp;"VALUE!")</f>
        <v>0</v>
      </c>
      <c r="D226" s="1770">
        <f>COUNTIF(短期_決算精算表!A1:I69,"#"&amp;"DIV/0!")</f>
        <v>0</v>
      </c>
      <c r="E226" s="1770">
        <f>COUNTIF(短期_決算精算表!A1:I69,"#"&amp;"NAME?")</f>
        <v>0</v>
      </c>
      <c r="F226" s="1770">
        <f>SUMPRODUCT(--ISERROR(短期_決算精算表!A1:I69))-SUM(B226:E226)</f>
        <v>0</v>
      </c>
      <c r="G226" s="1770">
        <f ca="1">IFERROR(SUMPRODUCT(--ISNUMBER(FIND("[",_xlfn.FORMULATEXT(短期_決算精算表!A1:I69)))),0)</f>
        <v>0</v>
      </c>
      <c r="H226" s="1771" t="s">
        <v>3207</v>
      </c>
    </row>
    <row r="227" spans="1:8" ht="19.05" customHeight="1">
      <c r="A227" s="1755" t="s">
        <v>3208</v>
      </c>
      <c r="B227" s="1772">
        <f>COUNTIF(厚生_貸借・損益!A1:M26,"#"&amp;"REF!")</f>
        <v>0</v>
      </c>
      <c r="C227" s="1772">
        <f>COUNTIF(厚生_貸借・損益!A1:M26,"#"&amp;"VALUE!")</f>
        <v>0</v>
      </c>
      <c r="D227" s="1772">
        <f>COUNTIF(厚生_貸借・損益!A1:M26,"#"&amp;"DIV/0!")</f>
        <v>0</v>
      </c>
      <c r="E227" s="1772">
        <f>COUNTIF(厚生_貸借・損益!A1:M26,"#"&amp;"NAME?")</f>
        <v>0</v>
      </c>
      <c r="F227" s="1772">
        <f>SUMPRODUCT(--ISERROR(厚生_貸借・損益!A1:M26))-SUM(B227:E227)</f>
        <v>0</v>
      </c>
      <c r="G227" s="1772">
        <f ca="1">IFERROR(SUMPRODUCT(--ISNUMBER(FIND("[",_xlfn.FORMULATEXT(厚生_貸借・損益!A1:M26)))),0)</f>
        <v>0</v>
      </c>
      <c r="H227" s="1773" t="s">
        <v>3209</v>
      </c>
    </row>
    <row r="228" spans="1:8" ht="19.05" customHeight="1">
      <c r="A228" s="1752" t="s">
        <v>1952</v>
      </c>
      <c r="B228" s="1770">
        <f>COUNTIF(厚生_預金・立替・未収!A1:I38,"#"&amp;"REF!")</f>
        <v>0</v>
      </c>
      <c r="C228" s="1770">
        <f>COUNTIF(厚生_預金・立替・未収!A1:I38,"#"&amp;"VALUE!")</f>
        <v>0</v>
      </c>
      <c r="D228" s="1770">
        <f>COUNTIF(厚生_預金・立替・未収!A1:I38,"#"&amp;"DIV/0!")</f>
        <v>0</v>
      </c>
      <c r="E228" s="1770">
        <f>COUNTIF(厚生_預金・立替・未収!A1:I38,"#"&amp;"NAME?")</f>
        <v>0</v>
      </c>
      <c r="F228" s="1770">
        <f>SUMPRODUCT(--ISERROR(厚生_預金・立替・未収!A1:I38))-SUM(B228:E228)</f>
        <v>0</v>
      </c>
      <c r="G228" s="1770">
        <f ca="1">IFERROR(SUMPRODUCT(--ISNUMBER(FIND("[",_xlfn.FORMULATEXT(厚生_預金・立替・未収!A1:I38)))),0)</f>
        <v>0</v>
      </c>
      <c r="H228" s="1771" t="s">
        <v>3210</v>
      </c>
    </row>
    <row r="229" spans="1:8" ht="19.05" customHeight="1">
      <c r="A229" s="1755" t="s">
        <v>1960</v>
      </c>
      <c r="B229" s="1772">
        <f>COUNTIF(厚生_決算精算表!A1:G26,"#"&amp;"REF!")</f>
        <v>0</v>
      </c>
      <c r="C229" s="1772">
        <f>COUNTIF(厚生_決算精算表!A1:G26,"#"&amp;"VALUE!")</f>
        <v>0</v>
      </c>
      <c r="D229" s="1772">
        <f>COUNTIF(厚生_決算精算表!A1:G26,"#"&amp;"DIV/0!")</f>
        <v>0</v>
      </c>
      <c r="E229" s="1772">
        <f>COUNTIF(厚生_決算精算表!A1:G26,"#"&amp;"NAME?")</f>
        <v>0</v>
      </c>
      <c r="F229" s="1772">
        <f>SUMPRODUCT(--ISERROR(厚生_決算精算表!A1:G26))-SUM(B229:E229)</f>
        <v>0</v>
      </c>
      <c r="G229" s="1772">
        <f ca="1">IFERROR(SUMPRODUCT(--ISNUMBER(FIND("[",_xlfn.FORMULATEXT(厚生_決算精算表!A1:G26)))),0)</f>
        <v>0</v>
      </c>
      <c r="H229" s="1773" t="s">
        <v>3211</v>
      </c>
    </row>
    <row r="230" spans="1:8" ht="19.05" customHeight="1">
      <c r="A230" s="1752" t="s">
        <v>3212</v>
      </c>
      <c r="B230" s="1770">
        <f>COUNTIF(厚生_白紙!A1:A1,"#"&amp;"REF!")</f>
        <v>0</v>
      </c>
      <c r="C230" s="1770">
        <f>COUNTIF(厚生_白紙!A1:A1,"#"&amp;"VALUE!")</f>
        <v>0</v>
      </c>
      <c r="D230" s="1770">
        <f>COUNTIF(厚生_白紙!A1:A1,"#"&amp;"DIV/0!")</f>
        <v>0</v>
      </c>
      <c r="E230" s="1770">
        <f>COUNTIF(厚生_白紙!A1:A1,"#"&amp;"NAME?")</f>
        <v>0</v>
      </c>
      <c r="F230" s="1770">
        <f>SUMPRODUCT(--ISERROR(厚生_白紙!A1:A1))-SUM(B230:E230)</f>
        <v>0</v>
      </c>
      <c r="G230" s="1770">
        <f ca="1">IFERROR(SUMPRODUCT(--ISNUMBER(FIND("[",_xlfn.FORMULATEXT(厚生_白紙!A1:A1)))),0)</f>
        <v>0</v>
      </c>
      <c r="H230" s="1771" t="s">
        <v>3204</v>
      </c>
    </row>
    <row r="231" spans="1:8" ht="19.05" customHeight="1">
      <c r="A231" s="1755" t="s">
        <v>1487</v>
      </c>
      <c r="B231" s="1772">
        <f>COUNTIF(退職等_貸借・損益!A1:M26,"#"&amp;"REF!")</f>
        <v>0</v>
      </c>
      <c r="C231" s="1772">
        <f>COUNTIF(退職等_貸借・損益!A1:M26,"#"&amp;"VALUE!")</f>
        <v>0</v>
      </c>
      <c r="D231" s="1772">
        <f>COUNTIF(退職等_貸借・損益!A1:M26,"#"&amp;"DIV/0!")</f>
        <v>0</v>
      </c>
      <c r="E231" s="1772">
        <f>COUNTIF(退職等_貸借・損益!A1:M26,"#"&amp;"NAME?")</f>
        <v>0</v>
      </c>
      <c r="F231" s="1772">
        <f>SUMPRODUCT(--ISERROR(退職等_貸借・損益!A1:M26))-SUM(B231:E231)</f>
        <v>0</v>
      </c>
      <c r="G231" s="1772">
        <f ca="1">IFERROR(SUMPRODUCT(--ISNUMBER(FIND("[",_xlfn.FORMULATEXT(退職等_貸借・損益!A1:M26)))),0)</f>
        <v>0</v>
      </c>
      <c r="H231" s="1773" t="s">
        <v>3209</v>
      </c>
    </row>
    <row r="232" spans="1:8" ht="19.05" customHeight="1">
      <c r="A232" s="1752" t="s">
        <v>1963</v>
      </c>
      <c r="B232" s="1770">
        <f>COUNTIF(退職等_預金・立替・未収!A1:I34,"#"&amp;"REF!")</f>
        <v>0</v>
      </c>
      <c r="C232" s="1770">
        <f>COUNTIF(退職等_預金・立替・未収!A1:I34,"#"&amp;"VALUE!")</f>
        <v>0</v>
      </c>
      <c r="D232" s="1770">
        <f>COUNTIF(退職等_預金・立替・未収!A1:I34,"#"&amp;"DIV/0!")</f>
        <v>0</v>
      </c>
      <c r="E232" s="1770">
        <f>COUNTIF(退職等_預金・立替・未収!A1:I34,"#"&amp;"NAME?")</f>
        <v>0</v>
      </c>
      <c r="F232" s="1770">
        <f>SUMPRODUCT(--ISERROR(退職等_預金・立替・未収!A1:I34))-SUM(B232:E232)</f>
        <v>0</v>
      </c>
      <c r="G232" s="1770">
        <f ca="1">IFERROR(SUMPRODUCT(--ISNUMBER(FIND("[",_xlfn.FORMULATEXT(退職等_預金・立替・未収!A1:I34)))),0)</f>
        <v>0</v>
      </c>
      <c r="H232" s="1771" t="s">
        <v>3213</v>
      </c>
    </row>
    <row r="233" spans="1:8" ht="19.05" customHeight="1">
      <c r="A233" s="1755" t="s">
        <v>1966</v>
      </c>
      <c r="B233" s="1772">
        <f>COUNTIF(退職等_決算精算表!A1:G26,"#"&amp;"REF!")</f>
        <v>0</v>
      </c>
      <c r="C233" s="1772">
        <f>COUNTIF(退職等_決算精算表!A1:G26,"#"&amp;"VALUE!")</f>
        <v>0</v>
      </c>
      <c r="D233" s="1772">
        <f>COUNTIF(退職等_決算精算表!A1:G26,"#"&amp;"DIV/0!")</f>
        <v>0</v>
      </c>
      <c r="E233" s="1772">
        <f>COUNTIF(退職等_決算精算表!A1:G26,"#"&amp;"NAME?")</f>
        <v>0</v>
      </c>
      <c r="F233" s="1772">
        <f>SUMPRODUCT(--ISERROR(退職等_決算精算表!A1:G26))-SUM(B233:E233)</f>
        <v>0</v>
      </c>
      <c r="G233" s="1772">
        <f ca="1">IFERROR(SUMPRODUCT(--ISNUMBER(FIND("[",_xlfn.FORMULATEXT(退職等_決算精算表!A1:G26)))),0)</f>
        <v>0</v>
      </c>
      <c r="H233" s="1773" t="s">
        <v>3211</v>
      </c>
    </row>
    <row r="234" spans="1:8" ht="19.05" customHeight="1">
      <c r="A234" s="1752" t="s">
        <v>3214</v>
      </c>
      <c r="B234" s="1770">
        <f>COUNTIF(退職等_白紙!A1:A1,"#"&amp;"REF!")</f>
        <v>0</v>
      </c>
      <c r="C234" s="1770">
        <f>COUNTIF(退職等_白紙!A1:A1,"#"&amp;"VALUE!")</f>
        <v>0</v>
      </c>
      <c r="D234" s="1770">
        <f>COUNTIF(退職等_白紙!A1:A1,"#"&amp;"DIV/0!")</f>
        <v>0</v>
      </c>
      <c r="E234" s="1770">
        <f>COUNTIF(退職等_白紙!A1:A1,"#"&amp;"NAME?")</f>
        <v>0</v>
      </c>
      <c r="F234" s="1770">
        <f>SUMPRODUCT(--ISERROR(退職等_白紙!A1:A1))-SUM(B234:E234)</f>
        <v>0</v>
      </c>
      <c r="G234" s="1770">
        <f ca="1">IFERROR(SUMPRODUCT(--ISNUMBER(FIND("[",_xlfn.FORMULATEXT(退職等_白紙!A1:A1)))),0)</f>
        <v>0</v>
      </c>
      <c r="H234" s="1771" t="s">
        <v>3204</v>
      </c>
    </row>
    <row r="235" spans="1:8" ht="19.05" customHeight="1">
      <c r="A235" s="1755" t="s">
        <v>3215</v>
      </c>
      <c r="B235" s="1772">
        <f>COUNTIF(経過的_貸借・損益!A1:M25,"#"&amp;"REF!")</f>
        <v>0</v>
      </c>
      <c r="C235" s="1772">
        <f>COUNTIF(経過的_貸借・損益!A1:M25,"#"&amp;"VALUE!")</f>
        <v>0</v>
      </c>
      <c r="D235" s="1772">
        <f>COUNTIF(経過的_貸借・損益!A1:M25,"#"&amp;"DIV/0!")</f>
        <v>0</v>
      </c>
      <c r="E235" s="1772">
        <f>COUNTIF(経過的_貸借・損益!A1:M25,"#"&amp;"NAME?")</f>
        <v>0</v>
      </c>
      <c r="F235" s="1772">
        <f>SUMPRODUCT(--ISERROR(経過的_貸借・損益!A1:M25))-SUM(B235:E235)</f>
        <v>0</v>
      </c>
      <c r="G235" s="1772">
        <f ca="1">IFERROR(SUMPRODUCT(--ISNUMBER(FIND("[",_xlfn.FORMULATEXT(経過的_貸借・損益!A1:M25)))),0)</f>
        <v>0</v>
      </c>
      <c r="H235" s="1773" t="s">
        <v>3216</v>
      </c>
    </row>
    <row r="236" spans="1:8" ht="19.05" customHeight="1">
      <c r="A236" s="1752" t="s">
        <v>1969</v>
      </c>
      <c r="B236" s="1770">
        <f>COUNTIF(経過的_預金・立替・未収!A1:I23,"#"&amp;"REF!")</f>
        <v>0</v>
      </c>
      <c r="C236" s="1770">
        <f>COUNTIF(経過的_預金・立替・未収!A1:I23,"#"&amp;"VALUE!")</f>
        <v>0</v>
      </c>
      <c r="D236" s="1770">
        <f>COUNTIF(経過的_預金・立替・未収!A1:I23,"#"&amp;"DIV/0!")</f>
        <v>0</v>
      </c>
      <c r="E236" s="1770">
        <f>COUNTIF(経過的_預金・立替・未収!A1:I23,"#"&amp;"NAME?")</f>
        <v>0</v>
      </c>
      <c r="F236" s="1770">
        <f>SUMPRODUCT(--ISERROR(経過的_預金・立替・未収!A1:I23))-SUM(B236:E236)</f>
        <v>0</v>
      </c>
      <c r="G236" s="1770">
        <f ca="1">IFERROR(SUMPRODUCT(--ISNUMBER(FIND("[",_xlfn.FORMULATEXT(経過的_預金・立替・未収!A1:I23)))),0)</f>
        <v>0</v>
      </c>
      <c r="H236" s="1771" t="s">
        <v>3217</v>
      </c>
    </row>
    <row r="237" spans="1:8" ht="19.05" customHeight="1">
      <c r="A237" s="1755" t="s">
        <v>1970</v>
      </c>
      <c r="B237" s="1772">
        <f>COUNTIF(経過的_決算精算表!A1:G23,"#"&amp;"REF!")</f>
        <v>0</v>
      </c>
      <c r="C237" s="1772">
        <f>COUNTIF(経過的_決算精算表!A1:G23,"#"&amp;"VALUE!")</f>
        <v>0</v>
      </c>
      <c r="D237" s="1772">
        <f>COUNTIF(経過的_決算精算表!A1:G23,"#"&amp;"DIV/0!")</f>
        <v>0</v>
      </c>
      <c r="E237" s="1772">
        <f>COUNTIF(経過的_決算精算表!A1:G23,"#"&amp;"NAME?")</f>
        <v>0</v>
      </c>
      <c r="F237" s="1772">
        <f>SUMPRODUCT(--ISERROR(経過的_決算精算表!A1:G23))-SUM(B237:E237)</f>
        <v>0</v>
      </c>
      <c r="G237" s="1772">
        <f ca="1">IFERROR(SUMPRODUCT(--ISNUMBER(FIND("[",_xlfn.FORMULATEXT(経過的_決算精算表!A1:G23)))),0)</f>
        <v>0</v>
      </c>
      <c r="H237" s="1773" t="s">
        <v>3218</v>
      </c>
    </row>
    <row r="238" spans="1:8" ht="19.05" customHeight="1">
      <c r="A238" s="1752" t="s">
        <v>3219</v>
      </c>
      <c r="B238" s="1770">
        <f>COUNTIF(経過的_白紙!A1:A1,"#"&amp;"REF!")</f>
        <v>0</v>
      </c>
      <c r="C238" s="1770">
        <f>COUNTIF(経過的_白紙!A1:A1,"#"&amp;"VALUE!")</f>
        <v>0</v>
      </c>
      <c r="D238" s="1770">
        <f>COUNTIF(経過的_白紙!A1:A1,"#"&amp;"DIV/0!")</f>
        <v>0</v>
      </c>
      <c r="E238" s="1770">
        <f>COUNTIF(経過的_白紙!A1:A1,"#"&amp;"NAME?")</f>
        <v>0</v>
      </c>
      <c r="F238" s="1770">
        <f>SUMPRODUCT(--ISERROR(経過的_白紙!A1:A1))-SUM(B238:E238)</f>
        <v>0</v>
      </c>
      <c r="G238" s="1770">
        <f ca="1">IFERROR(SUMPRODUCT(--ISNUMBER(FIND("[",_xlfn.FORMULATEXT(経過的_白紙!A1:A1)))),0)</f>
        <v>0</v>
      </c>
      <c r="H238" s="1771" t="s">
        <v>3204</v>
      </c>
    </row>
    <row r="239" spans="1:8" ht="19.05" customHeight="1">
      <c r="A239" s="1755" t="s">
        <v>3220</v>
      </c>
      <c r="B239" s="1772">
        <f>COUNTIF(預託金_貸借・損益!A1:M30,"#"&amp;"REF!")</f>
        <v>0</v>
      </c>
      <c r="C239" s="1772">
        <f>COUNTIF(預託金_貸借・損益!A1:M30,"#"&amp;"VALUE!")</f>
        <v>0</v>
      </c>
      <c r="D239" s="1772">
        <f>COUNTIF(預託金_貸借・損益!A1:M30,"#"&amp;"DIV/0!")</f>
        <v>0</v>
      </c>
      <c r="E239" s="1772">
        <f>COUNTIF(預託金_貸借・損益!A1:M30,"#"&amp;"NAME?")</f>
        <v>0</v>
      </c>
      <c r="F239" s="1772">
        <f>SUMPRODUCT(--ISERROR(預託金_貸借・損益!A1:M30))-SUM(B239:E239)</f>
        <v>0</v>
      </c>
      <c r="G239" s="1772">
        <f ca="1">IFERROR(SUMPRODUCT(--ISNUMBER(FIND("[",_xlfn.FORMULATEXT(預託金_貸借・損益!A1:M30)))),0)</f>
        <v>0</v>
      </c>
      <c r="H239" s="1773" t="s">
        <v>3221</v>
      </c>
    </row>
    <row r="240" spans="1:8" ht="19.05" customHeight="1">
      <c r="A240" s="1752" t="s">
        <v>1462</v>
      </c>
      <c r="B240" s="1770">
        <f>COUNTIF(預託金_預金・未収・貸付・預託金!A1:O29,"#"&amp;"REF!")</f>
        <v>0</v>
      </c>
      <c r="C240" s="1770">
        <f>COUNTIF(預託金_預金・未収・貸付・預託金!A1:O29,"#"&amp;"VALUE!")</f>
        <v>0</v>
      </c>
      <c r="D240" s="1770">
        <f>COUNTIF(預託金_預金・未収・貸付・預託金!A1:O29,"#"&amp;"DIV/0!")</f>
        <v>0</v>
      </c>
      <c r="E240" s="1770">
        <f>COUNTIF(預託金_預金・未収・貸付・預託金!A1:O29,"#"&amp;"NAME?")</f>
        <v>0</v>
      </c>
      <c r="F240" s="1770">
        <f>SUMPRODUCT(--ISERROR(預託金_預金・未収・貸付・預託金!A1:O29))-SUM(B240:E240)</f>
        <v>0</v>
      </c>
      <c r="G240" s="1770">
        <f ca="1">IFERROR(SUMPRODUCT(--ISNUMBER(FIND("[",_xlfn.FORMULATEXT(預託金_預金・未収・貸付・預託金!A1:O29)))),0)</f>
        <v>0</v>
      </c>
      <c r="H240" s="1771" t="s">
        <v>3222</v>
      </c>
    </row>
    <row r="241" spans="1:8" ht="19.05" customHeight="1">
      <c r="A241" s="1755" t="s">
        <v>1973</v>
      </c>
      <c r="B241" s="1772">
        <f>COUNTIF(預託金_決算精算表!A1:G24,"#"&amp;"REF!")</f>
        <v>0</v>
      </c>
      <c r="C241" s="1772">
        <f>COUNTIF(預託金_決算精算表!A1:G24,"#"&amp;"VALUE!")</f>
        <v>0</v>
      </c>
      <c r="D241" s="1772">
        <f>COUNTIF(預託金_決算精算表!A1:G24,"#"&amp;"DIV/0!")</f>
        <v>0</v>
      </c>
      <c r="E241" s="1772">
        <f>COUNTIF(預託金_決算精算表!A1:G24,"#"&amp;"NAME?")</f>
        <v>0</v>
      </c>
      <c r="F241" s="1772">
        <f>SUMPRODUCT(--ISERROR(預託金_決算精算表!A1:G24))-SUM(B241:E241)</f>
        <v>0</v>
      </c>
      <c r="G241" s="1772">
        <f ca="1">IFERROR(SUMPRODUCT(--ISNUMBER(FIND("[",_xlfn.FORMULATEXT(預託金_決算精算表!A1:G24)))),0)</f>
        <v>0</v>
      </c>
      <c r="H241" s="1773" t="s">
        <v>3223</v>
      </c>
    </row>
    <row r="242" spans="1:8" ht="19.05" customHeight="1">
      <c r="A242" s="1752" t="s">
        <v>3224</v>
      </c>
      <c r="B242" s="1770">
        <f>COUNTIF(預託金_白紙!A1:A1,"#"&amp;"REF!")</f>
        <v>0</v>
      </c>
      <c r="C242" s="1770">
        <f>COUNTIF(預託金_白紙!A1:A1,"#"&amp;"VALUE!")</f>
        <v>0</v>
      </c>
      <c r="D242" s="1770">
        <f>COUNTIF(預託金_白紙!A1:A1,"#"&amp;"DIV/0!")</f>
        <v>0</v>
      </c>
      <c r="E242" s="1770">
        <f>COUNTIF(預託金_白紙!A1:A1,"#"&amp;"NAME?")</f>
        <v>0</v>
      </c>
      <c r="F242" s="1770">
        <f>SUMPRODUCT(--ISERROR(預託金_白紙!A1:A1))-SUM(B242:E242)</f>
        <v>0</v>
      </c>
      <c r="G242" s="1770">
        <f ca="1">IFERROR(SUMPRODUCT(--ISNUMBER(FIND("[",_xlfn.FORMULATEXT(預託金_白紙!A1:A1)))),0)</f>
        <v>0</v>
      </c>
      <c r="H242" s="1771" t="s">
        <v>3204</v>
      </c>
    </row>
    <row r="243" spans="1:8" ht="19.05" customHeight="1">
      <c r="A243" s="1755" t="s">
        <v>3225</v>
      </c>
      <c r="B243" s="1772">
        <f>COUNTIF(業務_財務諸表!A1:H59,"#"&amp;"REF!")</f>
        <v>0</v>
      </c>
      <c r="C243" s="1772">
        <f>COUNTIF(業務_財務諸表!A1:H59,"#"&amp;"VALUE!")</f>
        <v>0</v>
      </c>
      <c r="D243" s="1772">
        <f>COUNTIF(業務_財務諸表!A1:H59,"#"&amp;"DIV/0!")</f>
        <v>0</v>
      </c>
      <c r="E243" s="1772">
        <f>COUNTIF(業務_財務諸表!A1:H59,"#"&amp;"NAME?")</f>
        <v>0</v>
      </c>
      <c r="F243" s="1772">
        <f>SUMPRODUCT(--ISERROR(業務_財務諸表!A1:H59))-SUM(B243:E243)</f>
        <v>0</v>
      </c>
      <c r="G243" s="1772">
        <f ca="1">IFERROR(SUMPRODUCT(--ISNUMBER(FIND("[",_xlfn.FORMULATEXT(業務_財務諸表!A1:H59)))),0)</f>
        <v>0</v>
      </c>
      <c r="H243" s="1773" t="s">
        <v>3226</v>
      </c>
    </row>
    <row r="244" spans="1:8" ht="19.05" customHeight="1">
      <c r="A244" s="1752" t="s">
        <v>1467</v>
      </c>
      <c r="B244" s="1770">
        <f>COUNTIF(業務_附属明細表!A1:Y150,"#"&amp;"REF!")</f>
        <v>0</v>
      </c>
      <c r="C244" s="1770">
        <f>COUNTIF(業務_附属明細表!A1:Y150,"#"&amp;"VALUE!")</f>
        <v>0</v>
      </c>
      <c r="D244" s="1770">
        <f>COUNTIF(業務_附属明細表!A1:Y150,"#"&amp;"DIV/0!")</f>
        <v>0</v>
      </c>
      <c r="E244" s="1770">
        <f>COUNTIF(業務_附属明細表!A1:Y150,"#"&amp;"NAME?")</f>
        <v>0</v>
      </c>
      <c r="F244" s="1770">
        <f>SUMPRODUCT(--ISERROR(業務_附属明細表!A1:Y150))-SUM(B244:E244)</f>
        <v>0</v>
      </c>
      <c r="G244" s="1770">
        <f ca="1">IFERROR(SUMPRODUCT(--ISNUMBER(FIND("[",_xlfn.FORMULATEXT(業務_附属明細表!A1:Y150)))),0)</f>
        <v>0</v>
      </c>
      <c r="H244" s="1771" t="s">
        <v>3227</v>
      </c>
    </row>
    <row r="245" spans="1:8" ht="19.05" customHeight="1">
      <c r="A245" s="1755" t="s">
        <v>2011</v>
      </c>
      <c r="B245" s="1772">
        <f>COUNTIF(業務_決算精算表!A1:G54,"#"&amp;"REF!")</f>
        <v>0</v>
      </c>
      <c r="C245" s="1772">
        <f>COUNTIF(業務_決算精算表!A1:G54,"#"&amp;"VALUE!")</f>
        <v>0</v>
      </c>
      <c r="D245" s="1772">
        <f>COUNTIF(業務_決算精算表!A1:G54,"#"&amp;"DIV/0!")</f>
        <v>0</v>
      </c>
      <c r="E245" s="1772">
        <f>COUNTIF(業務_決算精算表!A1:G54,"#"&amp;"NAME?")</f>
        <v>0</v>
      </c>
      <c r="F245" s="1772">
        <f>SUMPRODUCT(--ISERROR(業務_決算精算表!A1:G54))-SUM(B245:E245)</f>
        <v>0</v>
      </c>
      <c r="G245" s="1772">
        <f ca="1">IFERROR(SUMPRODUCT(--ISNUMBER(FIND("[",_xlfn.FORMULATEXT(業務_決算精算表!A1:G54)))),0)</f>
        <v>0</v>
      </c>
      <c r="H245" s="1773" t="s">
        <v>3228</v>
      </c>
    </row>
    <row r="246" spans="1:8" ht="19.05" customHeight="1">
      <c r="A246" s="1752" t="s">
        <v>3229</v>
      </c>
      <c r="B246" s="1770">
        <f>COUNTIF(業務_白紙!A1:A1,"#"&amp;"REF!")</f>
        <v>0</v>
      </c>
      <c r="C246" s="1770">
        <f>COUNTIF(業務_白紙!A1:A1,"#"&amp;"VALUE!")</f>
        <v>0</v>
      </c>
      <c r="D246" s="1770">
        <f>COUNTIF(業務_白紙!A1:A1,"#"&amp;"DIV/0!")</f>
        <v>0</v>
      </c>
      <c r="E246" s="1770">
        <f>COUNTIF(業務_白紙!A1:A1,"#"&amp;"NAME?")</f>
        <v>0</v>
      </c>
      <c r="F246" s="1770">
        <f>SUMPRODUCT(--ISERROR(業務_白紙!A1:A1))-SUM(B246:E246)</f>
        <v>0</v>
      </c>
      <c r="G246" s="1770">
        <f ca="1">IFERROR(SUMPRODUCT(--ISNUMBER(FIND("[",_xlfn.FORMULATEXT(業務_白紙!A1:A1)))),0)</f>
        <v>0</v>
      </c>
      <c r="H246" s="1771" t="s">
        <v>3204</v>
      </c>
    </row>
    <row r="247" spans="1:8" ht="19.05" customHeight="1">
      <c r="A247" s="1755" t="s">
        <v>3230</v>
      </c>
      <c r="B247" s="1772">
        <f>COUNTIF(保健_財務諸表!A1:K62,"#"&amp;"REF!")</f>
        <v>0</v>
      </c>
      <c r="C247" s="1772">
        <f>COUNTIF(保健_財務諸表!A1:K62,"#"&amp;"VALUE!")</f>
        <v>0</v>
      </c>
      <c r="D247" s="1772">
        <f>COUNTIF(保健_財務諸表!A1:K62,"#"&amp;"DIV/0!")</f>
        <v>0</v>
      </c>
      <c r="E247" s="1772">
        <f>COUNTIF(保健_財務諸表!A1:K62,"#"&amp;"NAME?")</f>
        <v>0</v>
      </c>
      <c r="F247" s="1772">
        <f>SUMPRODUCT(--ISERROR(保健_財務諸表!A1:K62))-SUM(B247:E247)</f>
        <v>0</v>
      </c>
      <c r="G247" s="1772">
        <f ca="1">IFERROR(SUMPRODUCT(--ISNUMBER(FIND("[",_xlfn.FORMULATEXT(保健_財務諸表!A1:K62)))),0)</f>
        <v>0</v>
      </c>
      <c r="H247" s="1773" t="s">
        <v>3231</v>
      </c>
    </row>
    <row r="248" spans="1:8" ht="19.05" customHeight="1">
      <c r="A248" s="1752" t="s">
        <v>1475</v>
      </c>
      <c r="B248" s="1770">
        <f>COUNTIF(保健_附属明細表!A1:AA167,"#"&amp;"REF!")</f>
        <v>0</v>
      </c>
      <c r="C248" s="1770">
        <f>COUNTIF(保健_附属明細表!A1:AA167,"#"&amp;"VALUE!")</f>
        <v>0</v>
      </c>
      <c r="D248" s="1770">
        <f>COUNTIF(保健_附属明細表!A1:AA167,"#"&amp;"DIV/0!")</f>
        <v>0</v>
      </c>
      <c r="E248" s="1770">
        <f>COUNTIF(保健_附属明細表!A1:AA167,"#"&amp;"NAME?")</f>
        <v>0</v>
      </c>
      <c r="F248" s="1770">
        <f>SUMPRODUCT(--ISERROR(保健_附属明細表!A1:AA167))-SUM(B248:E248)</f>
        <v>0</v>
      </c>
      <c r="G248" s="1770">
        <f ca="1">IFERROR(SUMPRODUCT(--ISNUMBER(FIND("[",_xlfn.FORMULATEXT(保健_附属明細表!A1:AA167)))),0)</f>
        <v>0</v>
      </c>
      <c r="H248" s="1771" t="s">
        <v>3232</v>
      </c>
    </row>
    <row r="249" spans="1:8" ht="19.05" customHeight="1">
      <c r="A249" s="1755" t="s">
        <v>2114</v>
      </c>
      <c r="B249" s="1772">
        <f>COUNTIF(保健_決算精算表!A1:G59,"#"&amp;"REF!")</f>
        <v>0</v>
      </c>
      <c r="C249" s="1772">
        <f>COUNTIF(保健_決算精算表!A1:G59,"#"&amp;"VALUE!")</f>
        <v>0</v>
      </c>
      <c r="D249" s="1772">
        <f>COUNTIF(保健_決算精算表!A1:G59,"#"&amp;"DIV/0!")</f>
        <v>0</v>
      </c>
      <c r="E249" s="1772">
        <f>COUNTIF(保健_決算精算表!A1:G59,"#"&amp;"NAME?")</f>
        <v>0</v>
      </c>
      <c r="F249" s="1772">
        <f>SUMPRODUCT(--ISERROR(保健_決算精算表!A1:G59))-SUM(B249:E249)</f>
        <v>0</v>
      </c>
      <c r="G249" s="1772">
        <f ca="1">IFERROR(SUMPRODUCT(--ISNUMBER(FIND("[",_xlfn.FORMULATEXT(保健_決算精算表!A1:G59)))),0)</f>
        <v>0</v>
      </c>
      <c r="H249" s="1773" t="s">
        <v>3233</v>
      </c>
    </row>
    <row r="250" spans="1:8" ht="19.05" customHeight="1">
      <c r="A250" s="1752" t="s">
        <v>1471</v>
      </c>
      <c r="B250" s="1770">
        <f>COUNTIF(貸付_入力!A1:D86,"#"&amp;"REF!")</f>
        <v>0</v>
      </c>
      <c r="C250" s="1770">
        <f>COUNTIF(貸付_入力!A1:D86,"#"&amp;"VALUE!")</f>
        <v>0</v>
      </c>
      <c r="D250" s="1770">
        <f>COUNTIF(貸付_入力!A1:D86,"#"&amp;"DIV/0!")</f>
        <v>0</v>
      </c>
      <c r="E250" s="1770">
        <f>COUNTIF(貸付_入力!A1:D86,"#"&amp;"NAME?")</f>
        <v>0</v>
      </c>
      <c r="F250" s="1770">
        <f>SUMPRODUCT(--ISERROR(貸付_入力!A1:D86))-SUM(B250:E250)</f>
        <v>0</v>
      </c>
      <c r="G250" s="1770">
        <f ca="1">IFERROR(SUMPRODUCT(--ISNUMBER(FIND("[",_xlfn.FORMULATEXT(貸付_入力!A1:D86)))),0)</f>
        <v>0</v>
      </c>
      <c r="H250" s="1771" t="s">
        <v>3234</v>
      </c>
    </row>
    <row r="251" spans="1:8" ht="19.05" customHeight="1">
      <c r="A251" s="1755" t="s">
        <v>1490</v>
      </c>
      <c r="B251" s="1772">
        <f>COUNTIF(貸付_財務諸表!A1:H58,"#"&amp;"REF!")</f>
        <v>0</v>
      </c>
      <c r="C251" s="1772">
        <f>COUNTIF(貸付_財務諸表!A1:H58,"#"&amp;"VALUE!")</f>
        <v>0</v>
      </c>
      <c r="D251" s="1772">
        <f>COUNTIF(貸付_財務諸表!A1:H58,"#"&amp;"DIV/0!")</f>
        <v>0</v>
      </c>
      <c r="E251" s="1772">
        <f>COUNTIF(貸付_財務諸表!A1:H58,"#"&amp;"NAME?")</f>
        <v>0</v>
      </c>
      <c r="F251" s="1772">
        <f>SUMPRODUCT(--ISERROR(貸付_財務諸表!A1:H58))-SUM(B251:E251)</f>
        <v>0</v>
      </c>
      <c r="G251" s="1772">
        <f ca="1">IFERROR(SUMPRODUCT(--ISNUMBER(FIND("[",_xlfn.FORMULATEXT(貸付_財務諸表!A1:H58)))),0)</f>
        <v>0</v>
      </c>
      <c r="H251" s="1773" t="s">
        <v>3235</v>
      </c>
    </row>
    <row r="252" spans="1:8" ht="19.05" customHeight="1">
      <c r="A252" s="1752" t="s">
        <v>3236</v>
      </c>
      <c r="B252" s="1770">
        <f>COUNTIF(貸付_附属明細表!A1:V125,"#"&amp;"REF!")</f>
        <v>0</v>
      </c>
      <c r="C252" s="1770">
        <f>COUNTIF(貸付_附属明細表!A1:V125,"#"&amp;"VALUE!")</f>
        <v>0</v>
      </c>
      <c r="D252" s="1770">
        <f>COUNTIF(貸付_附属明細表!A1:V125,"#"&amp;"DIV/0!")</f>
        <v>0</v>
      </c>
      <c r="E252" s="1770">
        <f>COUNTIF(貸付_附属明細表!A1:V125,"#"&amp;"NAME?")</f>
        <v>0</v>
      </c>
      <c r="F252" s="1770">
        <f>SUMPRODUCT(--ISERROR(貸付_附属明細表!A1:V125))-SUM(B252:E252)</f>
        <v>0</v>
      </c>
      <c r="G252" s="1770">
        <f ca="1">IFERROR(SUMPRODUCT(--ISNUMBER(FIND("[",_xlfn.FORMULATEXT(貸付_附属明細表!A1:V125)))),0)</f>
        <v>0</v>
      </c>
      <c r="H252" s="1771" t="s">
        <v>3237</v>
      </c>
    </row>
    <row r="253" spans="1:8" ht="19.05" customHeight="1">
      <c r="A253" s="1755" t="s">
        <v>1477</v>
      </c>
      <c r="B253" s="1772">
        <f>COUNTIF(貸付_決算精算表!A1:G45,"#"&amp;"REF!")</f>
        <v>0</v>
      </c>
      <c r="C253" s="1772">
        <f>COUNTIF(貸付_決算精算表!A1:G45,"#"&amp;"VALUE!")</f>
        <v>0</v>
      </c>
      <c r="D253" s="1772">
        <f>COUNTIF(貸付_決算精算表!A1:G45,"#"&amp;"DIV/0!")</f>
        <v>0</v>
      </c>
      <c r="E253" s="1772">
        <f>COUNTIF(貸付_決算精算表!A1:G45,"#"&amp;"NAME?")</f>
        <v>0</v>
      </c>
      <c r="F253" s="1772">
        <f>SUMPRODUCT(--ISERROR(貸付_決算精算表!A1:G45))-SUM(B253:E253)</f>
        <v>0</v>
      </c>
      <c r="G253" s="1772">
        <f ca="1">IFERROR(SUMPRODUCT(--ISNUMBER(FIND("[",_xlfn.FORMULATEXT(貸付_決算精算表!A1:G45)))),0)</f>
        <v>0</v>
      </c>
      <c r="H253" s="1773" t="s">
        <v>3238</v>
      </c>
    </row>
    <row r="254" spans="1:8" ht="19.05" customHeight="1">
      <c r="A254" s="1752" t="s">
        <v>3239</v>
      </c>
      <c r="B254" s="1770">
        <f>COUNTIF(貸付_白紙!A1:A1,"#"&amp;"REF!")</f>
        <v>0</v>
      </c>
      <c r="C254" s="1770">
        <f>COUNTIF(貸付_白紙!A1:A1,"#"&amp;"VALUE!")</f>
        <v>0</v>
      </c>
      <c r="D254" s="1770">
        <f>COUNTIF(貸付_白紙!A1:A1,"#"&amp;"DIV/0!")</f>
        <v>0</v>
      </c>
      <c r="E254" s="1770">
        <f>COUNTIF(貸付_白紙!A1:A1,"#"&amp;"NAME?")</f>
        <v>0</v>
      </c>
      <c r="F254" s="1770">
        <f>SUMPRODUCT(--ISERROR(貸付_白紙!A1:A1))-SUM(B254:E254)</f>
        <v>0</v>
      </c>
      <c r="G254" s="1770">
        <f ca="1">IFERROR(SUMPRODUCT(--ISNUMBER(FIND("[",_xlfn.FORMULATEXT(貸付_白紙!A1:A1)))),0)</f>
        <v>0</v>
      </c>
      <c r="H254" s="1771" t="s">
        <v>3204</v>
      </c>
    </row>
  </sheetData>
  <sheetProtection formatCells="0" formatColumns="0" formatRows="0" insertColumns="0" insertRows="0" insertHyperlinks="0" deleteColumns="0" deleteRows="0" selectLockedCells="1"/>
  <mergeCells count="14">
    <mergeCell ref="L1:M1"/>
    <mergeCell ref="A130:J130"/>
    <mergeCell ref="A2:J2"/>
    <mergeCell ref="A202:H202"/>
    <mergeCell ref="A90:J90"/>
    <mergeCell ref="A152:J152"/>
    <mergeCell ref="A63:J63"/>
    <mergeCell ref="A107:J107"/>
    <mergeCell ref="A47:J47"/>
    <mergeCell ref="A1:J1"/>
    <mergeCell ref="A6:J6"/>
    <mergeCell ref="A181:J181"/>
    <mergeCell ref="A3:J3"/>
    <mergeCell ref="A78:J78"/>
  </mergeCells>
  <phoneticPr fontId="155"/>
  <conditionalFormatting sqref="H7:H193">
    <cfRule type="cellIs" dxfId="1" priority="3" stopIfTrue="1" operator="equal">
      <formula>"NG"</formula>
    </cfRule>
  </conditionalFormatting>
  <pageMargins left="0.5" right="0.5" top="0.6" bottom="0.6" header="0.3" footer="0.3"/>
  <pageSetup paperSize="9" fitToHeight="0"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C9906-4504-4F8E-8BB9-55DECDE5EBED}">
  <sheetPr codeName="Sheet3">
    <tabColor rgb="FFA6A6A6"/>
  </sheetPr>
  <dimension ref="A1:IW189"/>
  <sheetViews>
    <sheetView zoomScaleNormal="100" workbookViewId="0">
      <selection sqref="A1:G1"/>
    </sheetView>
  </sheetViews>
  <sheetFormatPr defaultColWidth="4.44140625" defaultRowHeight="14.4"/>
  <cols>
    <col min="1" max="2" width="4.44140625" style="1"/>
    <col min="3" max="3" width="4.44140625" style="2"/>
    <col min="4" max="257" width="4.44140625" style="1"/>
  </cols>
  <sheetData>
    <row r="1" spans="1:25" ht="20.100000000000001" customHeight="1">
      <c r="A1" s="2"/>
      <c r="B1" s="2"/>
      <c r="D1" s="3"/>
      <c r="E1" s="3"/>
      <c r="F1" s="3"/>
      <c r="G1" s="4"/>
      <c r="H1" s="4"/>
      <c r="I1" s="4"/>
      <c r="J1" s="4"/>
      <c r="K1" s="4"/>
      <c r="L1" s="4"/>
      <c r="M1" s="4"/>
      <c r="N1" s="4"/>
      <c r="O1" s="4"/>
      <c r="P1" s="4"/>
      <c r="Q1" s="4"/>
      <c r="R1" s="4"/>
      <c r="S1" s="4"/>
      <c r="T1" s="3"/>
      <c r="U1" s="3"/>
      <c r="V1" s="3"/>
      <c r="W1" s="3"/>
      <c r="X1" s="3"/>
      <c r="Y1" s="3"/>
    </row>
    <row r="2" spans="1:25" ht="20.100000000000001" customHeight="1">
      <c r="A2" s="5"/>
      <c r="B2" s="3"/>
      <c r="D2" s="3"/>
      <c r="E2" s="3"/>
      <c r="F2" s="3"/>
      <c r="G2" s="3"/>
      <c r="H2" s="3"/>
      <c r="I2" s="3"/>
      <c r="J2" s="3"/>
      <c r="K2" s="3"/>
      <c r="L2" s="3"/>
      <c r="M2" s="3"/>
      <c r="N2" s="3"/>
      <c r="O2" s="3"/>
      <c r="P2" s="3"/>
      <c r="Q2" s="3"/>
      <c r="R2" s="3"/>
      <c r="S2" s="3"/>
      <c r="T2" s="3"/>
      <c r="U2" s="3"/>
      <c r="V2" s="3"/>
      <c r="W2" s="3"/>
      <c r="X2" s="3"/>
      <c r="Y2" s="3"/>
    </row>
    <row r="3" spans="1:25" ht="20.100000000000001" customHeight="1">
      <c r="A3" s="2"/>
      <c r="B3" s="2"/>
      <c r="D3" s="3"/>
      <c r="E3" s="3"/>
      <c r="F3" s="3"/>
      <c r="G3" s="3"/>
      <c r="H3" s="3"/>
      <c r="I3" s="3"/>
      <c r="J3" s="3"/>
      <c r="K3" s="3"/>
      <c r="L3" s="3"/>
      <c r="M3" s="3"/>
      <c r="N3" s="3"/>
      <c r="O3" s="3"/>
      <c r="P3" s="3"/>
      <c r="Q3" s="3"/>
      <c r="R3" s="3"/>
      <c r="S3" s="3"/>
      <c r="T3" s="3"/>
      <c r="U3" s="3"/>
      <c r="V3" s="3"/>
      <c r="W3" s="3"/>
      <c r="X3" s="3"/>
      <c r="Y3" s="3"/>
    </row>
    <row r="4" spans="1:25" s="6" customFormat="1" ht="24" customHeight="1">
      <c r="A4" s="2"/>
      <c r="B4" s="2"/>
      <c r="C4" s="2"/>
      <c r="D4" s="2"/>
      <c r="E4" s="2"/>
      <c r="F4" s="2"/>
      <c r="G4" s="1823" t="str">
        <f>"令 和 "&amp;IF((入力ガイド!$C$6)&gt;=10,MID("０１２３４５６７８９",INT((入力ガイド!$C$6)/10)+1,1),"")&amp;MID("０１２３４５６７８９",MOD((入力ガイド!$C$6),10)+1,1)&amp;" 年 度"</f>
        <v>令 和 ７ 年 度</v>
      </c>
      <c r="H4" s="1823"/>
      <c r="I4" s="1823"/>
      <c r="J4" s="1823"/>
      <c r="K4" s="1823"/>
      <c r="L4" s="1823"/>
      <c r="M4" s="1823"/>
      <c r="N4" s="1823"/>
      <c r="O4" s="2"/>
      <c r="P4" s="2"/>
      <c r="Q4" s="2"/>
      <c r="R4" s="2"/>
      <c r="S4" s="2"/>
      <c r="T4" s="2"/>
      <c r="U4" s="2"/>
      <c r="V4" s="2"/>
      <c r="W4" s="2"/>
      <c r="X4" s="2"/>
      <c r="Y4" s="2"/>
    </row>
    <row r="5" spans="1:25" s="6" customFormat="1" ht="20.100000000000001" customHeight="1">
      <c r="A5" s="2"/>
      <c r="B5" s="2"/>
      <c r="C5" s="2"/>
      <c r="D5" s="2"/>
      <c r="E5" s="2"/>
      <c r="F5" s="2"/>
      <c r="G5" s="2"/>
      <c r="H5" s="4"/>
      <c r="I5" s="4"/>
      <c r="J5" s="4"/>
      <c r="K5" s="4"/>
      <c r="L5" s="4"/>
      <c r="M5" s="4"/>
      <c r="N5" s="4"/>
      <c r="O5" s="4"/>
      <c r="P5" s="2"/>
      <c r="Q5" s="2"/>
      <c r="R5" s="2"/>
      <c r="S5" s="2"/>
      <c r="T5" s="2"/>
      <c r="U5" s="2"/>
      <c r="V5" s="2"/>
      <c r="W5" s="2"/>
      <c r="X5" s="2"/>
      <c r="Y5" s="2"/>
    </row>
    <row r="6" spans="1:25" s="8" customFormat="1" ht="20.100000000000001" customHeight="1">
      <c r="A6" s="2"/>
      <c r="B6" s="2"/>
      <c r="C6" s="2"/>
      <c r="D6" s="2"/>
      <c r="E6" s="2"/>
      <c r="F6" s="2"/>
      <c r="G6" s="2"/>
      <c r="H6" s="2"/>
      <c r="I6" s="2"/>
      <c r="J6" s="2"/>
      <c r="K6" s="2"/>
      <c r="L6" s="2"/>
      <c r="M6" s="2"/>
      <c r="N6" s="7"/>
      <c r="O6" s="7"/>
      <c r="P6" s="7"/>
      <c r="Q6" s="7"/>
      <c r="R6" s="2"/>
      <c r="S6" s="2"/>
      <c r="T6" s="2"/>
      <c r="U6" s="2"/>
      <c r="V6" s="7"/>
      <c r="W6" s="7"/>
      <c r="X6" s="7"/>
      <c r="Y6" s="7"/>
    </row>
    <row r="7" spans="1:25" s="8" customFormat="1" ht="20.100000000000001" customHeight="1">
      <c r="A7" s="2"/>
      <c r="B7" s="2"/>
      <c r="C7" s="2"/>
      <c r="D7" s="2"/>
      <c r="E7" s="2"/>
      <c r="F7" s="2"/>
      <c r="G7" s="2"/>
      <c r="H7" s="2"/>
      <c r="I7" s="2"/>
      <c r="J7" s="2"/>
      <c r="K7" s="2"/>
      <c r="L7" s="2"/>
      <c r="M7" s="2"/>
      <c r="N7" s="7"/>
      <c r="O7" s="7"/>
      <c r="P7" s="7"/>
      <c r="Q7" s="7"/>
      <c r="R7" s="2"/>
      <c r="S7" s="2"/>
      <c r="T7" s="2"/>
      <c r="U7" s="2"/>
      <c r="V7" s="7"/>
      <c r="W7" s="7"/>
      <c r="X7" s="7"/>
      <c r="Y7" s="7"/>
    </row>
    <row r="8" spans="1:25" s="8" customFormat="1" ht="20.100000000000001" customHeight="1">
      <c r="A8" s="2"/>
      <c r="B8" s="2"/>
      <c r="C8" s="2"/>
      <c r="D8" s="2"/>
      <c r="E8" s="2"/>
      <c r="F8" s="2"/>
      <c r="G8" s="2"/>
      <c r="H8" s="2"/>
      <c r="I8" s="2"/>
      <c r="J8" s="2"/>
      <c r="K8" s="2"/>
      <c r="L8" s="2"/>
      <c r="M8" s="2"/>
      <c r="N8" s="7"/>
      <c r="O8" s="7"/>
      <c r="P8" s="7"/>
      <c r="Q8" s="7"/>
      <c r="R8" s="2"/>
      <c r="S8" s="2"/>
      <c r="T8" s="2"/>
      <c r="U8" s="2"/>
      <c r="V8" s="7"/>
      <c r="W8" s="7"/>
      <c r="X8" s="7"/>
      <c r="Y8" s="7"/>
    </row>
    <row r="9" spans="1:25" s="6" customFormat="1" ht="20.100000000000001" customHeight="1">
      <c r="A9" s="9"/>
      <c r="B9" s="2"/>
      <c r="C9" s="2"/>
      <c r="D9" s="2"/>
      <c r="E9" s="2"/>
      <c r="F9" s="2"/>
      <c r="G9" s="2"/>
      <c r="H9" s="2"/>
      <c r="I9" s="2"/>
      <c r="J9" s="2"/>
      <c r="K9" s="2"/>
      <c r="L9" s="2"/>
      <c r="M9" s="2"/>
      <c r="N9" s="2"/>
      <c r="O9" s="2"/>
      <c r="P9" s="2"/>
      <c r="Q9" s="2"/>
      <c r="R9" s="2"/>
      <c r="S9" s="2"/>
      <c r="T9" s="2"/>
      <c r="U9" s="2"/>
      <c r="V9" s="2"/>
      <c r="W9" s="2"/>
      <c r="X9" s="2"/>
      <c r="Y9" s="2"/>
    </row>
    <row r="10" spans="1:25" s="6" customFormat="1" ht="60.75" customHeight="1">
      <c r="A10" s="9"/>
      <c r="B10" s="2"/>
      <c r="C10" s="1824" t="s">
        <v>246</v>
      </c>
      <c r="D10" s="1824"/>
      <c r="E10" s="1824"/>
      <c r="F10" s="1824"/>
      <c r="G10" s="1824"/>
      <c r="H10" s="1824"/>
      <c r="I10" s="1824"/>
      <c r="J10" s="1824"/>
      <c r="K10" s="1824"/>
      <c r="L10" s="1824"/>
      <c r="M10" s="1824"/>
      <c r="N10" s="1824"/>
      <c r="O10" s="1824"/>
      <c r="P10" s="1824"/>
      <c r="Q10" s="1824"/>
      <c r="R10" s="1824"/>
      <c r="S10" s="2"/>
      <c r="T10" s="2"/>
      <c r="U10" s="2"/>
      <c r="V10" s="2"/>
      <c r="W10" s="2"/>
      <c r="X10" s="2"/>
      <c r="Y10" s="2"/>
    </row>
    <row r="11" spans="1:25" s="6" customFormat="1" ht="20.100000000000001" customHeight="1">
      <c r="A11" s="9"/>
      <c r="B11" s="2"/>
      <c r="C11" s="2"/>
      <c r="D11" s="2"/>
      <c r="E11" s="2"/>
      <c r="F11" s="2"/>
      <c r="G11" s="2"/>
      <c r="H11" s="2"/>
      <c r="I11" s="2"/>
      <c r="J11" s="2"/>
      <c r="K11" s="2"/>
      <c r="L11" s="7"/>
      <c r="M11" s="7"/>
      <c r="N11" s="7"/>
      <c r="O11" s="7"/>
      <c r="P11" s="7"/>
      <c r="Q11" s="7"/>
      <c r="R11" s="2"/>
      <c r="S11" s="2"/>
      <c r="T11" s="2"/>
      <c r="U11" s="2"/>
      <c r="V11" s="2"/>
      <c r="W11" s="2"/>
      <c r="X11" s="2"/>
      <c r="Y11" s="2"/>
    </row>
    <row r="12" spans="1:25" s="6" customFormat="1" ht="20.100000000000001" customHeight="1">
      <c r="A12" s="9"/>
      <c r="B12" s="2"/>
      <c r="C12" s="2"/>
      <c r="D12" s="2"/>
      <c r="E12" s="2"/>
      <c r="F12" s="2"/>
      <c r="G12" s="2"/>
      <c r="H12" s="2"/>
      <c r="I12" s="2"/>
      <c r="J12" s="2"/>
      <c r="K12" s="2"/>
      <c r="L12" s="7"/>
      <c r="M12" s="7"/>
      <c r="N12" s="7"/>
      <c r="O12" s="7"/>
      <c r="P12" s="7"/>
      <c r="Q12" s="2"/>
      <c r="R12" s="2"/>
      <c r="S12" s="2"/>
      <c r="T12" s="2"/>
      <c r="U12" s="2"/>
      <c r="V12" s="2"/>
      <c r="W12" s="2"/>
      <c r="X12" s="2"/>
      <c r="Y12" s="2"/>
    </row>
    <row r="13" spans="1:25" ht="20.100000000000001" customHeight="1">
      <c r="A13" s="10"/>
      <c r="B13" s="3"/>
      <c r="D13" s="3"/>
      <c r="E13" s="3"/>
      <c r="F13" s="3"/>
      <c r="G13" s="3"/>
      <c r="H13" s="3"/>
      <c r="I13" s="3"/>
      <c r="J13" s="3"/>
      <c r="K13" s="3"/>
      <c r="L13" s="3"/>
      <c r="M13" s="3"/>
      <c r="N13" s="3"/>
      <c r="O13" s="3"/>
      <c r="P13" s="3"/>
      <c r="Q13" s="3"/>
      <c r="R13" s="3"/>
      <c r="S13" s="3"/>
      <c r="T13" s="3"/>
      <c r="U13" s="3"/>
      <c r="V13" s="3"/>
      <c r="W13" s="3"/>
      <c r="X13" s="3"/>
      <c r="Y13" s="3"/>
    </row>
    <row r="14" spans="1:25" ht="20.100000000000001" customHeight="1">
      <c r="A14" s="5"/>
      <c r="B14" s="3"/>
      <c r="D14" s="3"/>
      <c r="E14" s="3"/>
      <c r="F14" s="3"/>
      <c r="G14" s="3"/>
      <c r="H14" s="3"/>
      <c r="I14" s="3"/>
      <c r="J14" s="3"/>
      <c r="K14" s="3"/>
      <c r="L14" s="3"/>
      <c r="M14" s="3"/>
      <c r="N14" s="3"/>
      <c r="O14" s="3"/>
      <c r="P14" s="3"/>
      <c r="Q14" s="3"/>
      <c r="R14" s="3"/>
      <c r="S14" s="3"/>
      <c r="T14" s="3"/>
      <c r="U14" s="3"/>
      <c r="V14" s="3"/>
      <c r="W14" s="3"/>
      <c r="X14" s="3"/>
      <c r="Y14" s="3"/>
    </row>
    <row r="15" spans="1:25" s="6" customFormat="1" ht="20.100000000000001" customHeight="1">
      <c r="A15" s="2"/>
      <c r="B15" s="2"/>
      <c r="C15" s="2"/>
      <c r="D15" s="2"/>
      <c r="E15" s="2"/>
      <c r="F15" s="2"/>
      <c r="G15" s="2"/>
      <c r="H15" s="2"/>
      <c r="I15" s="2"/>
      <c r="J15" s="2"/>
      <c r="K15" s="2"/>
      <c r="L15" s="2"/>
      <c r="M15" s="2"/>
      <c r="N15" s="2"/>
      <c r="O15" s="2"/>
      <c r="P15" s="2"/>
      <c r="Q15" s="2"/>
      <c r="R15" s="2"/>
      <c r="S15" s="2"/>
      <c r="T15" s="2"/>
      <c r="U15" s="2"/>
      <c r="V15" s="2"/>
      <c r="W15" s="2"/>
      <c r="X15" s="2"/>
      <c r="Y15" s="2"/>
    </row>
    <row r="16" spans="1:25" s="6" customFormat="1" ht="20.100000000000001" customHeight="1">
      <c r="A16" s="2"/>
      <c r="B16" s="2"/>
      <c r="C16" s="2"/>
      <c r="D16" s="2"/>
      <c r="E16" s="2"/>
      <c r="F16" s="2"/>
      <c r="G16" s="2"/>
      <c r="H16" s="2"/>
      <c r="I16" s="2"/>
      <c r="J16" s="2"/>
      <c r="K16" s="2"/>
      <c r="L16" s="2"/>
      <c r="M16" s="2"/>
      <c r="N16" s="2"/>
      <c r="O16" s="2"/>
      <c r="P16" s="2"/>
      <c r="Q16" s="11"/>
      <c r="R16" s="2"/>
      <c r="S16" s="2"/>
      <c r="T16" s="2"/>
      <c r="U16" s="2"/>
      <c r="V16" s="2"/>
      <c r="W16" s="2"/>
      <c r="X16" s="2"/>
      <c r="Y16" s="2"/>
    </row>
    <row r="17" spans="1:25" s="8" customFormat="1" ht="20.100000000000001" customHeight="1">
      <c r="A17" s="12"/>
      <c r="B17" s="12"/>
      <c r="C17" s="2"/>
      <c r="D17" s="12"/>
      <c r="E17" s="12"/>
      <c r="F17" s="12"/>
      <c r="G17" s="12"/>
      <c r="H17" s="12"/>
      <c r="I17" s="12"/>
      <c r="J17" s="12"/>
      <c r="K17" s="12"/>
      <c r="L17" s="13"/>
      <c r="M17" s="13"/>
      <c r="N17" s="13"/>
      <c r="O17" s="13"/>
      <c r="P17" s="13"/>
      <c r="R17" s="14"/>
      <c r="S17" s="14"/>
      <c r="T17" s="14"/>
      <c r="U17" s="14"/>
      <c r="V17" s="14"/>
      <c r="W17" s="14"/>
      <c r="X17" s="14"/>
      <c r="Y17" s="14"/>
    </row>
    <row r="18" spans="1:25" s="6" customFormat="1" ht="20.100000000000001" customHeight="1">
      <c r="A18" s="2"/>
      <c r="B18" s="2"/>
      <c r="C18" s="2"/>
      <c r="D18" s="2"/>
      <c r="E18" s="2"/>
      <c r="F18" s="2"/>
      <c r="G18" s="2"/>
      <c r="H18" s="2"/>
      <c r="I18" s="2"/>
      <c r="J18" s="2"/>
      <c r="K18" s="2"/>
      <c r="L18" s="15"/>
      <c r="M18" s="15"/>
      <c r="N18" s="15"/>
      <c r="O18" s="15"/>
      <c r="P18" s="15"/>
      <c r="Q18" s="11"/>
      <c r="R18" s="16"/>
      <c r="S18" s="16"/>
      <c r="T18" s="16"/>
      <c r="U18" s="16"/>
      <c r="V18" s="16"/>
      <c r="W18" s="16"/>
      <c r="X18" s="16"/>
      <c r="Y18" s="16"/>
    </row>
    <row r="19" spans="1:25" ht="20.100000000000001" customHeight="1">
      <c r="A19" s="10"/>
      <c r="B19" s="3"/>
      <c r="D19" s="3"/>
      <c r="E19" s="3"/>
      <c r="F19" s="3"/>
      <c r="G19" s="3"/>
      <c r="H19" s="3"/>
      <c r="I19" s="3"/>
      <c r="J19" s="3"/>
      <c r="K19" s="3"/>
      <c r="L19" s="3"/>
      <c r="M19" s="3"/>
      <c r="N19" s="3"/>
      <c r="O19" s="3"/>
      <c r="P19" s="3"/>
      <c r="Q19" s="3"/>
      <c r="R19" s="3"/>
      <c r="S19" s="3"/>
      <c r="T19" s="3"/>
      <c r="U19" s="3"/>
      <c r="V19" s="3"/>
      <c r="W19" s="3"/>
      <c r="X19" s="3"/>
      <c r="Y19" s="3"/>
    </row>
    <row r="20" spans="1:25" ht="20.100000000000001" customHeight="1">
      <c r="A20" s="5"/>
      <c r="B20" s="3"/>
      <c r="D20" s="3"/>
      <c r="E20" s="3"/>
      <c r="F20" s="3"/>
      <c r="G20" s="3"/>
      <c r="H20" s="3"/>
      <c r="I20" s="3"/>
      <c r="J20" s="3"/>
      <c r="K20" s="3"/>
      <c r="L20" s="3"/>
      <c r="M20" s="3"/>
      <c r="N20" s="3"/>
      <c r="O20" s="3"/>
      <c r="P20" s="3"/>
      <c r="Q20" s="3"/>
      <c r="R20" s="3"/>
      <c r="S20" s="3"/>
      <c r="T20" s="3"/>
      <c r="U20" s="3"/>
      <c r="V20" s="3"/>
      <c r="W20" s="3"/>
      <c r="X20" s="3"/>
      <c r="Y20" s="3"/>
    </row>
    <row r="21" spans="1:25" s="6" customFormat="1" ht="20.100000000000001" customHeight="1">
      <c r="A21" s="2"/>
      <c r="B21" s="2"/>
      <c r="C21" s="2"/>
      <c r="D21" s="2"/>
      <c r="E21" s="2"/>
      <c r="F21" s="2"/>
      <c r="G21" s="2"/>
      <c r="H21" s="7"/>
      <c r="I21" s="7"/>
      <c r="J21" s="7"/>
      <c r="K21" s="7"/>
      <c r="L21" s="7"/>
      <c r="M21" s="7"/>
      <c r="N21" s="7"/>
      <c r="O21" s="7"/>
      <c r="P21" s="7"/>
      <c r="Q21" s="7"/>
      <c r="R21" s="7"/>
      <c r="S21" s="7"/>
      <c r="T21" s="2"/>
      <c r="U21" s="2"/>
      <c r="V21" s="2"/>
      <c r="W21" s="2"/>
      <c r="X21" s="2"/>
      <c r="Y21" s="2"/>
    </row>
    <row r="22" spans="1:25" s="6" customFormat="1" ht="20.100000000000001" customHeight="1">
      <c r="A22" s="2"/>
      <c r="B22" s="16"/>
      <c r="C22" s="2"/>
      <c r="D22" s="16"/>
      <c r="E22" s="16"/>
      <c r="F22" s="16"/>
      <c r="G22" s="16"/>
      <c r="H22" s="15"/>
      <c r="I22" s="15"/>
      <c r="J22" s="15"/>
      <c r="K22" s="15"/>
      <c r="L22" s="15"/>
      <c r="M22" s="15"/>
      <c r="N22" s="15"/>
      <c r="O22" s="15"/>
      <c r="P22" s="15"/>
      <c r="Q22" s="15"/>
      <c r="R22" s="15"/>
      <c r="S22" s="15"/>
      <c r="T22" s="2"/>
      <c r="U22" s="2"/>
      <c r="V22" s="2"/>
      <c r="W22" s="2"/>
      <c r="X22" s="2"/>
      <c r="Y22" s="2"/>
    </row>
    <row r="23" spans="1:25" s="8" customFormat="1" ht="20.100000000000001" customHeight="1">
      <c r="A23" s="12"/>
      <c r="B23" s="14"/>
      <c r="C23" s="2"/>
      <c r="D23" s="14"/>
      <c r="E23" s="14"/>
      <c r="F23" s="14"/>
      <c r="G23" s="14"/>
      <c r="H23" s="13"/>
      <c r="I23" s="13"/>
      <c r="J23" s="13"/>
      <c r="K23" s="13"/>
      <c r="L23" s="13"/>
      <c r="M23" s="13"/>
      <c r="N23" s="13"/>
      <c r="O23" s="13"/>
      <c r="P23" s="13"/>
      <c r="Q23" s="13"/>
      <c r="R23" s="13"/>
      <c r="S23" s="13"/>
      <c r="T23" s="12"/>
      <c r="U23" s="12"/>
      <c r="V23" s="12"/>
      <c r="W23" s="12"/>
      <c r="X23" s="12"/>
      <c r="Y23" s="12"/>
    </row>
    <row r="24" spans="1:25" s="6" customFormat="1" ht="20.100000000000001" customHeight="1">
      <c r="A24" s="2"/>
      <c r="B24" s="16"/>
      <c r="C24" s="2"/>
      <c r="D24" s="16"/>
      <c r="E24" s="16"/>
      <c r="F24" s="16"/>
      <c r="G24" s="16"/>
      <c r="H24" s="15"/>
      <c r="I24" s="15"/>
      <c r="J24" s="15"/>
      <c r="K24" s="15"/>
      <c r="L24" s="15"/>
      <c r="M24" s="15"/>
      <c r="N24" s="15"/>
      <c r="O24" s="15"/>
      <c r="P24" s="15"/>
      <c r="Q24" s="15"/>
      <c r="R24" s="15"/>
      <c r="S24" s="15"/>
      <c r="T24" s="2"/>
      <c r="U24" s="2"/>
      <c r="V24" s="2"/>
      <c r="W24" s="2"/>
      <c r="X24" s="2"/>
      <c r="Y24" s="2"/>
    </row>
    <row r="25" spans="1:25" s="6" customFormat="1" ht="20.100000000000001" customHeight="1">
      <c r="A25" s="2"/>
      <c r="B25" s="16"/>
      <c r="C25" s="2"/>
      <c r="D25" s="16"/>
      <c r="E25" s="16"/>
      <c r="F25" s="16"/>
      <c r="G25" s="16"/>
      <c r="H25" s="15"/>
      <c r="I25" s="15"/>
      <c r="J25" s="15"/>
      <c r="K25" s="15"/>
      <c r="L25" s="15"/>
      <c r="M25" s="15"/>
      <c r="N25" s="15"/>
      <c r="O25" s="15"/>
      <c r="P25" s="15"/>
      <c r="Q25" s="15"/>
      <c r="R25" s="15"/>
      <c r="S25" s="15"/>
      <c r="T25" s="2"/>
      <c r="U25" s="2"/>
      <c r="V25" s="2"/>
      <c r="W25" s="2"/>
      <c r="X25" s="2"/>
      <c r="Y25" s="2"/>
    </row>
    <row r="26" spans="1:25" s="6" customFormat="1" ht="20.100000000000001" customHeight="1">
      <c r="A26" s="2"/>
      <c r="B26" s="2"/>
      <c r="C26" s="2"/>
      <c r="D26" s="2"/>
      <c r="E26" s="2"/>
      <c r="F26" s="2"/>
      <c r="G26" s="2"/>
      <c r="H26" s="2"/>
      <c r="I26" s="2"/>
      <c r="J26" s="2"/>
      <c r="K26" s="2"/>
      <c r="L26" s="2"/>
      <c r="M26" s="2"/>
      <c r="N26" s="2"/>
      <c r="O26" s="2"/>
      <c r="P26" s="2"/>
      <c r="Q26" s="2"/>
      <c r="R26" s="2"/>
      <c r="S26" s="2"/>
      <c r="T26" s="2"/>
      <c r="U26" s="2"/>
      <c r="V26" s="2"/>
      <c r="W26" s="2"/>
      <c r="X26" s="2"/>
      <c r="Y26" s="2"/>
    </row>
    <row r="27" spans="1:25" ht="20.100000000000001" customHeight="1">
      <c r="A27" s="3"/>
      <c r="B27" s="3"/>
      <c r="D27" s="3"/>
      <c r="E27" s="3"/>
      <c r="F27" s="3"/>
      <c r="G27" s="3"/>
      <c r="H27" s="15"/>
      <c r="I27" s="15"/>
      <c r="J27" s="15"/>
      <c r="K27" s="15"/>
      <c r="L27" s="15"/>
      <c r="M27" s="15"/>
      <c r="N27" s="15"/>
      <c r="O27" s="11"/>
      <c r="P27" s="3"/>
      <c r="Q27" s="3"/>
      <c r="R27" s="3"/>
      <c r="S27" s="3"/>
      <c r="T27" s="3"/>
      <c r="U27" s="3"/>
      <c r="V27" s="3"/>
      <c r="W27" s="3"/>
      <c r="X27" s="3"/>
      <c r="Y27" s="3"/>
    </row>
    <row r="28" spans="1:25" ht="20.100000000000001" customHeight="1">
      <c r="A28" s="3"/>
      <c r="B28" s="3"/>
      <c r="D28" s="3"/>
      <c r="E28" s="3"/>
      <c r="F28" s="3"/>
      <c r="G28" s="3"/>
      <c r="H28" s="15"/>
      <c r="I28" s="15"/>
      <c r="J28" s="15"/>
      <c r="K28" s="15"/>
      <c r="L28" s="15"/>
      <c r="M28" s="15"/>
      <c r="N28" s="15"/>
      <c r="O28" s="11"/>
      <c r="P28" s="3"/>
      <c r="Q28" s="3"/>
      <c r="R28" s="3"/>
      <c r="S28" s="3"/>
      <c r="T28" s="3"/>
      <c r="U28" s="3"/>
      <c r="V28" s="3"/>
      <c r="W28" s="3"/>
      <c r="X28" s="3"/>
      <c r="Y28" s="3"/>
    </row>
    <row r="29" spans="1:25" s="8" customFormat="1" ht="20.100000000000001" customHeight="1">
      <c r="A29" s="12"/>
      <c r="B29" s="12"/>
      <c r="C29" s="2"/>
      <c r="D29" s="12"/>
      <c r="E29" s="12"/>
      <c r="F29" s="12"/>
      <c r="G29" s="12"/>
      <c r="H29" s="13"/>
      <c r="I29" s="13"/>
      <c r="J29" s="13"/>
      <c r="K29" s="13"/>
      <c r="L29" s="13"/>
      <c r="M29" s="13"/>
      <c r="N29" s="13"/>
      <c r="P29" s="12"/>
      <c r="Q29" s="12"/>
      <c r="R29" s="12"/>
      <c r="S29" s="12"/>
      <c r="T29" s="12"/>
      <c r="U29" s="12"/>
      <c r="V29" s="12"/>
      <c r="W29" s="12"/>
      <c r="X29" s="12"/>
      <c r="Y29" s="12"/>
    </row>
    <row r="30" spans="1:25" s="6" customFormat="1" ht="20.100000000000001" customHeight="1">
      <c r="A30" s="2"/>
      <c r="B30" s="2"/>
      <c r="C30" s="2"/>
      <c r="D30" s="2"/>
      <c r="E30" s="2"/>
      <c r="F30" s="2"/>
      <c r="G30" s="2"/>
      <c r="H30" s="15"/>
      <c r="I30" s="15"/>
      <c r="J30" s="15"/>
      <c r="K30" s="15"/>
      <c r="L30" s="15"/>
      <c r="M30" s="15"/>
      <c r="N30" s="15"/>
      <c r="P30" s="2"/>
      <c r="Q30" s="2"/>
      <c r="R30" s="2"/>
      <c r="S30" s="2"/>
      <c r="T30" s="2"/>
      <c r="U30" s="2"/>
      <c r="V30" s="2"/>
      <c r="W30" s="2"/>
      <c r="X30" s="2"/>
      <c r="Y30" s="2"/>
    </row>
    <row r="31" spans="1:25" s="6" customFormat="1" ht="19.5" customHeight="1">
      <c r="A31" s="2"/>
      <c r="B31" s="2"/>
      <c r="C31" s="2"/>
      <c r="D31" s="2"/>
      <c r="E31" s="15"/>
      <c r="F31" s="1825"/>
      <c r="G31" s="1825"/>
      <c r="H31" s="1825"/>
      <c r="I31" s="1825"/>
      <c r="J31" s="1825"/>
      <c r="K31" s="1825"/>
      <c r="L31" s="1825"/>
      <c r="M31" s="1825"/>
      <c r="N31" s="1825"/>
      <c r="O31" s="1825"/>
      <c r="P31" s="2"/>
      <c r="Q31" s="2"/>
      <c r="R31" s="2"/>
      <c r="S31" s="2"/>
      <c r="T31" s="2"/>
      <c r="U31" s="2"/>
      <c r="V31" s="2"/>
      <c r="W31" s="2"/>
      <c r="X31" s="2"/>
      <c r="Y31" s="2"/>
    </row>
    <row r="32" spans="1:25" s="6" customFormat="1" ht="27" customHeight="1">
      <c r="A32" s="2"/>
      <c r="B32" s="2"/>
      <c r="C32" s="2"/>
      <c r="D32" s="2"/>
      <c r="E32" s="2"/>
      <c r="F32" s="1826" t="s">
        <v>247</v>
      </c>
      <c r="G32" s="1826"/>
      <c r="H32" s="1826"/>
      <c r="I32" s="1826"/>
      <c r="J32" s="1826"/>
      <c r="K32" s="1826"/>
      <c r="L32" s="1826"/>
      <c r="M32" s="1826"/>
      <c r="N32" s="1826"/>
      <c r="O32" s="1826"/>
      <c r="P32" s="2"/>
      <c r="Q32" s="2"/>
      <c r="R32" s="2"/>
      <c r="S32" s="2"/>
      <c r="T32" s="2"/>
      <c r="U32" s="2"/>
      <c r="V32" s="2"/>
      <c r="W32" s="2"/>
      <c r="X32" s="2"/>
      <c r="Y32" s="2"/>
    </row>
    <row r="33" spans="1:25" ht="20.100000000000001" customHeight="1">
      <c r="A33" s="3"/>
      <c r="B33" s="3"/>
      <c r="D33" s="3"/>
      <c r="E33" s="3"/>
      <c r="F33" s="3"/>
      <c r="G33" s="3"/>
      <c r="H33" s="15"/>
      <c r="I33" s="15"/>
      <c r="J33" s="15"/>
      <c r="K33" s="15"/>
      <c r="L33" s="15"/>
      <c r="M33" s="15"/>
      <c r="N33" s="15"/>
      <c r="O33" s="15"/>
      <c r="P33" s="3"/>
      <c r="Q33" s="3"/>
      <c r="R33" s="3"/>
      <c r="S33" s="3"/>
      <c r="T33" s="3"/>
      <c r="U33" s="3"/>
      <c r="V33" s="3"/>
      <c r="W33" s="3"/>
      <c r="X33" s="3"/>
      <c r="Y33" s="3"/>
    </row>
    <row r="34" spans="1:25" ht="20.100000000000001" customHeight="1">
      <c r="A34" s="10"/>
      <c r="B34" s="3"/>
      <c r="D34" s="3"/>
      <c r="E34" s="3"/>
      <c r="F34" s="3"/>
      <c r="G34" s="3"/>
      <c r="H34" s="3"/>
      <c r="I34" s="3"/>
      <c r="J34" s="3"/>
      <c r="K34" s="3"/>
      <c r="L34" s="3"/>
      <c r="M34" s="3"/>
      <c r="N34" s="3"/>
      <c r="O34" s="3"/>
      <c r="P34" s="3"/>
      <c r="Q34" s="3"/>
      <c r="R34" s="3"/>
      <c r="S34" s="3"/>
      <c r="T34" s="3"/>
      <c r="U34" s="3"/>
      <c r="V34" s="3"/>
      <c r="W34" s="3"/>
      <c r="X34" s="3"/>
      <c r="Y34" s="3"/>
    </row>
    <row r="35" spans="1:25" ht="20.100000000000001" customHeight="1">
      <c r="A35" s="3"/>
      <c r="B35" s="3"/>
      <c r="D35" s="3"/>
      <c r="E35" s="3"/>
      <c r="F35" s="3"/>
      <c r="G35" s="3"/>
      <c r="H35" s="15"/>
      <c r="I35" s="15"/>
      <c r="J35" s="15"/>
      <c r="K35" s="15"/>
      <c r="L35" s="15"/>
      <c r="M35" s="15"/>
      <c r="N35" s="15"/>
      <c r="O35" s="15"/>
      <c r="P35" s="3"/>
      <c r="Q35" s="3"/>
      <c r="R35" s="3"/>
      <c r="S35" s="3"/>
      <c r="T35" s="3"/>
      <c r="U35" s="3"/>
      <c r="V35" s="3"/>
      <c r="W35" s="3"/>
      <c r="X35" s="3"/>
      <c r="Y35" s="3"/>
    </row>
    <row r="36" spans="1:25" ht="20.100000000000001" customHeight="1">
      <c r="A36" s="3"/>
      <c r="B36" s="3"/>
      <c r="D36" s="3"/>
      <c r="E36" s="3"/>
      <c r="F36" s="3"/>
      <c r="G36" s="3"/>
      <c r="H36" s="15"/>
      <c r="I36" s="15"/>
      <c r="J36" s="15"/>
      <c r="K36" s="15"/>
      <c r="L36" s="15"/>
      <c r="M36" s="15"/>
      <c r="N36" s="15"/>
      <c r="O36" s="15"/>
      <c r="P36" s="3"/>
      <c r="Q36" s="3"/>
      <c r="R36" s="3"/>
      <c r="S36" s="3"/>
      <c r="T36" s="3"/>
      <c r="U36" s="3"/>
      <c r="V36" s="3"/>
      <c r="W36" s="3"/>
      <c r="X36" s="3"/>
      <c r="Y36" s="3"/>
    </row>
    <row r="37" spans="1:25" ht="20.100000000000001" customHeight="1">
      <c r="A37" s="3"/>
      <c r="B37" s="3"/>
      <c r="D37" s="3"/>
      <c r="E37" s="3"/>
      <c r="F37" s="3"/>
      <c r="G37" s="3"/>
      <c r="H37" s="15"/>
      <c r="I37" s="15"/>
      <c r="J37" s="15"/>
      <c r="K37" s="15"/>
      <c r="L37" s="15"/>
      <c r="M37" s="15"/>
      <c r="N37" s="15"/>
      <c r="O37" s="15"/>
      <c r="P37" s="3"/>
      <c r="Q37" s="3"/>
      <c r="R37" s="3"/>
      <c r="S37" s="3"/>
      <c r="T37" s="3"/>
      <c r="U37" s="3"/>
      <c r="V37" s="3"/>
      <c r="W37" s="3"/>
      <c r="X37" s="3"/>
      <c r="Y37" s="3"/>
    </row>
    <row r="38" spans="1:25" ht="20.100000000000001" customHeight="1">
      <c r="A38" s="2"/>
      <c r="B38" s="2"/>
      <c r="D38" s="2"/>
      <c r="E38" s="2"/>
      <c r="F38" s="2"/>
      <c r="G38" s="2"/>
      <c r="H38" s="2"/>
      <c r="I38" s="7"/>
      <c r="J38" s="7"/>
      <c r="K38" s="7"/>
      <c r="L38" s="7"/>
      <c r="M38" s="7"/>
      <c r="N38" s="7"/>
      <c r="O38" s="7"/>
      <c r="P38" s="7"/>
      <c r="Q38" s="2"/>
      <c r="R38" s="2"/>
      <c r="S38" s="3"/>
      <c r="T38" s="3"/>
      <c r="U38" s="3"/>
      <c r="V38" s="3"/>
      <c r="W38" s="3"/>
      <c r="X38" s="3"/>
      <c r="Y38" s="3"/>
    </row>
    <row r="39" spans="1:25" ht="20.100000000000001" customHeight="1">
      <c r="A39" s="2"/>
      <c r="B39" s="2"/>
      <c r="D39" s="2"/>
      <c r="E39" s="17"/>
      <c r="F39" s="17"/>
      <c r="G39" s="17"/>
      <c r="H39" s="17"/>
      <c r="I39" s="17"/>
      <c r="J39" s="17"/>
      <c r="K39" s="17"/>
      <c r="L39" s="17"/>
      <c r="M39" s="17"/>
      <c r="N39" s="17"/>
      <c r="O39" s="17"/>
      <c r="P39" s="17"/>
      <c r="Q39" s="17"/>
      <c r="R39" s="17"/>
      <c r="S39" s="3"/>
      <c r="T39" s="3"/>
      <c r="U39" s="3"/>
      <c r="V39" s="3"/>
      <c r="W39" s="3"/>
      <c r="X39" s="3"/>
      <c r="Y39" s="3"/>
    </row>
    <row r="40" spans="1:25" ht="20.100000000000001" customHeight="1">
      <c r="A40" s="12"/>
      <c r="B40" s="12"/>
      <c r="D40" s="12"/>
      <c r="E40" s="13"/>
      <c r="F40" s="13"/>
      <c r="G40" s="13"/>
      <c r="H40" s="13"/>
      <c r="I40" s="13"/>
      <c r="J40" s="13"/>
      <c r="K40" s="13"/>
      <c r="L40" s="13"/>
      <c r="M40" s="13"/>
      <c r="N40" s="13"/>
      <c r="O40" s="13"/>
      <c r="P40" s="13"/>
      <c r="Q40" s="13"/>
      <c r="R40" s="13"/>
      <c r="S40" s="3"/>
      <c r="T40" s="3"/>
      <c r="U40" s="3"/>
      <c r="V40" s="3"/>
      <c r="W40" s="3"/>
      <c r="X40" s="3"/>
      <c r="Y40" s="3"/>
    </row>
    <row r="41" spans="1:25" ht="20.100000000000001" customHeight="1">
      <c r="A41" s="2"/>
      <c r="B41" s="2"/>
      <c r="D41" s="2"/>
      <c r="E41" s="15"/>
      <c r="F41" s="15"/>
      <c r="G41" s="15"/>
      <c r="H41" s="15"/>
      <c r="I41" s="15"/>
      <c r="J41" s="15"/>
      <c r="K41" s="15"/>
      <c r="L41" s="15"/>
      <c r="M41" s="15"/>
      <c r="N41" s="15"/>
      <c r="O41" s="15"/>
      <c r="P41" s="15"/>
      <c r="Q41" s="15"/>
      <c r="R41" s="15"/>
      <c r="S41" s="3"/>
      <c r="T41" s="3"/>
      <c r="U41" s="3"/>
      <c r="V41" s="3"/>
      <c r="W41" s="3"/>
      <c r="X41" s="3"/>
      <c r="Y41" s="3"/>
    </row>
    <row r="42" spans="1:25" ht="20.100000000000001" customHeight="1">
      <c r="A42" s="3"/>
      <c r="B42" s="3"/>
      <c r="D42" s="3"/>
      <c r="E42" s="18"/>
      <c r="F42" s="3"/>
      <c r="G42" s="3"/>
      <c r="H42" s="15"/>
      <c r="I42" s="15"/>
      <c r="J42" s="15"/>
      <c r="K42" s="15"/>
      <c r="L42" s="15"/>
      <c r="M42" s="15"/>
      <c r="N42" s="15"/>
      <c r="O42" s="15"/>
      <c r="P42" s="3"/>
      <c r="Q42" s="3"/>
      <c r="R42" s="3"/>
      <c r="S42" s="3"/>
      <c r="T42" s="3"/>
      <c r="U42" s="3"/>
      <c r="V42" s="3"/>
      <c r="W42" s="3"/>
      <c r="X42" s="3"/>
      <c r="Y42" s="3"/>
    </row>
    <row r="43" spans="1:25" ht="20.100000000000001" customHeight="1">
      <c r="A43" s="10"/>
      <c r="B43" s="3"/>
      <c r="D43" s="3"/>
      <c r="E43" s="3"/>
      <c r="F43" s="3"/>
      <c r="G43" s="3"/>
      <c r="H43" s="3"/>
      <c r="I43" s="3"/>
      <c r="J43" s="3"/>
      <c r="K43" s="3"/>
      <c r="L43" s="3"/>
      <c r="M43" s="3"/>
      <c r="N43" s="3"/>
      <c r="O43" s="3"/>
      <c r="P43" s="3"/>
      <c r="Q43" s="3"/>
      <c r="R43" s="3"/>
      <c r="S43" s="3"/>
      <c r="T43" s="3"/>
      <c r="U43" s="3"/>
      <c r="V43" s="3"/>
      <c r="W43" s="3"/>
      <c r="X43" s="3"/>
      <c r="Y43" s="3"/>
    </row>
    <row r="44" spans="1:25" ht="20.100000000000001" customHeight="1">
      <c r="A44" s="3"/>
      <c r="B44" s="3"/>
      <c r="D44" s="3"/>
      <c r="E44" s="3"/>
      <c r="F44" s="3"/>
      <c r="G44" s="3"/>
      <c r="H44" s="15"/>
      <c r="I44" s="15"/>
      <c r="J44" s="15"/>
      <c r="K44" s="15"/>
      <c r="L44" s="15"/>
      <c r="M44" s="15"/>
      <c r="N44" s="15"/>
      <c r="O44" s="15"/>
      <c r="P44" s="3"/>
      <c r="Q44" s="3"/>
      <c r="R44" s="3"/>
      <c r="S44" s="3"/>
      <c r="T44" s="3"/>
      <c r="U44" s="3"/>
      <c r="V44" s="3"/>
      <c r="W44" s="3"/>
      <c r="X44" s="3"/>
      <c r="Y44" s="3"/>
    </row>
    <row r="45" spans="1:25" ht="20.100000000000001" customHeight="1">
      <c r="A45" s="2"/>
      <c r="B45" s="2"/>
      <c r="D45" s="2"/>
      <c r="E45" s="2"/>
      <c r="F45" s="2"/>
      <c r="G45" s="2"/>
      <c r="H45" s="2"/>
      <c r="I45" s="7"/>
      <c r="J45" s="7"/>
      <c r="K45" s="7"/>
      <c r="L45" s="7"/>
      <c r="M45" s="7"/>
      <c r="N45" s="7"/>
      <c r="O45" s="7"/>
      <c r="P45" s="7"/>
      <c r="Q45" s="2"/>
      <c r="R45" s="2"/>
      <c r="S45" s="3"/>
      <c r="T45" s="3"/>
      <c r="U45" s="3"/>
      <c r="V45" s="3"/>
      <c r="W45" s="3"/>
      <c r="X45" s="3"/>
      <c r="Y45" s="3"/>
    </row>
    <row r="46" spans="1:25" ht="20.100000000000001" customHeight="1">
      <c r="A46" s="2"/>
      <c r="B46" s="2"/>
      <c r="D46" s="2"/>
      <c r="E46" s="17"/>
      <c r="F46" s="17"/>
      <c r="G46" s="17"/>
      <c r="H46" s="17"/>
      <c r="I46" s="17"/>
      <c r="J46" s="17"/>
      <c r="K46" s="17"/>
      <c r="L46" s="17"/>
      <c r="M46" s="17"/>
      <c r="N46" s="17"/>
      <c r="O46" s="17"/>
      <c r="P46" s="17"/>
      <c r="Q46" s="17"/>
      <c r="R46" s="17"/>
      <c r="S46" s="3"/>
      <c r="T46" s="3"/>
      <c r="U46" s="3"/>
      <c r="V46" s="3"/>
      <c r="W46" s="3"/>
      <c r="X46" s="3"/>
      <c r="Y46" s="3"/>
    </row>
    <row r="47" spans="1:25" ht="20.100000000000001" customHeight="1">
      <c r="A47" s="12"/>
      <c r="B47" s="12"/>
      <c r="D47" s="19"/>
      <c r="E47" s="13"/>
      <c r="F47" s="13"/>
      <c r="G47" s="13"/>
      <c r="H47" s="13"/>
      <c r="I47" s="13"/>
      <c r="J47" s="13"/>
      <c r="K47" s="13"/>
      <c r="L47" s="13"/>
      <c r="M47" s="13"/>
      <c r="N47" s="13"/>
      <c r="O47" s="13"/>
      <c r="P47" s="13"/>
      <c r="Q47" s="13"/>
      <c r="R47" s="13"/>
      <c r="S47" s="3"/>
      <c r="T47" s="3"/>
      <c r="U47" s="3"/>
      <c r="V47" s="3"/>
      <c r="W47" s="3"/>
      <c r="X47" s="3"/>
      <c r="Y47" s="3"/>
    </row>
    <row r="48" spans="1:25" ht="20.100000000000001" customHeight="1">
      <c r="A48" s="2"/>
      <c r="B48" s="2"/>
      <c r="D48" s="2"/>
      <c r="E48" s="15"/>
      <c r="F48" s="15"/>
      <c r="G48" s="15"/>
      <c r="H48" s="15"/>
      <c r="I48" s="15"/>
      <c r="J48" s="15"/>
      <c r="K48" s="15"/>
      <c r="L48" s="15"/>
      <c r="M48" s="15"/>
      <c r="N48" s="15"/>
      <c r="O48" s="15"/>
      <c r="P48" s="15"/>
      <c r="Q48" s="15"/>
      <c r="R48" s="15"/>
      <c r="S48" s="3"/>
      <c r="T48" s="3"/>
      <c r="U48" s="3"/>
      <c r="V48" s="3"/>
      <c r="W48" s="3"/>
      <c r="X48" s="3"/>
      <c r="Y48" s="3"/>
    </row>
    <row r="49" spans="1:25" ht="20.100000000000001" customHeight="1">
      <c r="B49" s="20"/>
      <c r="C49" s="7"/>
      <c r="D49" s="21"/>
      <c r="E49" s="21"/>
      <c r="F49" s="22"/>
      <c r="S49" s="3"/>
      <c r="T49" s="3"/>
      <c r="U49" s="3"/>
      <c r="V49" s="3"/>
      <c r="W49" s="3"/>
      <c r="X49" s="3"/>
      <c r="Y49" s="3"/>
    </row>
    <row r="50" spans="1:25" ht="46.5" customHeight="1">
      <c r="A50" s="5"/>
      <c r="B50" s="3"/>
      <c r="D50" s="1822" t="s">
        <v>4</v>
      </c>
      <c r="E50" s="1822"/>
      <c r="F50" s="1822"/>
      <c r="G50" s="1822"/>
      <c r="H50" s="1822"/>
      <c r="I50" s="1822"/>
      <c r="J50" s="1822"/>
      <c r="K50" s="1822"/>
      <c r="L50" s="1822"/>
      <c r="M50" s="1822"/>
      <c r="N50" s="1822"/>
      <c r="O50" s="1822"/>
      <c r="P50" s="1822"/>
      <c r="Q50" s="1822"/>
      <c r="R50" s="23"/>
      <c r="S50" s="3"/>
      <c r="T50" s="3"/>
      <c r="U50" s="3"/>
      <c r="V50" s="3"/>
      <c r="W50" s="3"/>
      <c r="X50" s="3"/>
      <c r="Y50" s="3"/>
    </row>
    <row r="51" spans="1:25" ht="20.100000000000001" customHeight="1">
      <c r="A51" s="2"/>
      <c r="B51" s="2"/>
      <c r="D51" s="2"/>
      <c r="E51" s="2"/>
      <c r="F51" s="2"/>
      <c r="G51" s="2"/>
      <c r="H51" s="2"/>
      <c r="I51" s="2"/>
      <c r="J51" s="2"/>
      <c r="K51" s="2"/>
      <c r="L51" s="2"/>
      <c r="M51" s="2"/>
      <c r="N51" s="2"/>
      <c r="O51" s="2"/>
      <c r="P51" s="2"/>
      <c r="Q51" s="2"/>
      <c r="R51" s="2"/>
      <c r="S51" s="3"/>
      <c r="T51" s="3"/>
      <c r="U51" s="3"/>
      <c r="V51" s="3"/>
      <c r="W51" s="3"/>
      <c r="X51" s="3"/>
      <c r="Y51" s="3"/>
    </row>
    <row r="52" spans="1:25" ht="20.100000000000001" customHeight="1">
      <c r="A52" s="2"/>
      <c r="B52" s="2"/>
      <c r="D52" s="2"/>
      <c r="E52" s="2"/>
      <c r="F52" s="2"/>
      <c r="G52" s="2"/>
      <c r="H52" s="2"/>
      <c r="I52" s="7"/>
      <c r="J52" s="7"/>
      <c r="K52" s="7"/>
      <c r="L52" s="7"/>
      <c r="M52" s="7"/>
      <c r="N52" s="7"/>
      <c r="O52" s="7"/>
      <c r="P52" s="7"/>
      <c r="Q52" s="2"/>
      <c r="R52" s="2"/>
      <c r="S52" s="2"/>
      <c r="T52" s="2"/>
      <c r="U52" s="2"/>
      <c r="V52" s="2"/>
      <c r="W52" s="2"/>
      <c r="X52" s="2"/>
      <c r="Y52" s="2"/>
    </row>
    <row r="53" spans="1:25" ht="20.100000000000001" customHeight="1">
      <c r="A53" s="2"/>
      <c r="B53" s="2"/>
      <c r="D53" s="2"/>
      <c r="E53" s="17"/>
      <c r="F53" s="17"/>
      <c r="G53" s="17"/>
      <c r="H53" s="17"/>
      <c r="I53" s="17"/>
      <c r="J53" s="17"/>
      <c r="K53" s="17"/>
      <c r="L53" s="17"/>
      <c r="M53" s="17"/>
      <c r="N53" s="17"/>
      <c r="O53" s="17"/>
      <c r="P53" s="17"/>
      <c r="Q53" s="17"/>
      <c r="R53" s="17"/>
      <c r="S53" s="17"/>
      <c r="T53" s="17"/>
      <c r="U53" s="2"/>
      <c r="V53" s="2"/>
      <c r="W53" s="2"/>
      <c r="X53" s="2"/>
      <c r="Y53" s="2"/>
    </row>
    <row r="54" spans="1:25" s="8" customFormat="1" ht="20.100000000000001" customHeight="1">
      <c r="A54" s="12"/>
      <c r="B54" s="12"/>
      <c r="C54" s="2"/>
      <c r="D54" s="12"/>
      <c r="E54" s="13"/>
      <c r="F54" s="13"/>
      <c r="G54" s="13"/>
      <c r="H54" s="13"/>
      <c r="I54" s="13"/>
      <c r="J54" s="13"/>
      <c r="K54" s="13"/>
      <c r="L54" s="13"/>
      <c r="M54" s="13"/>
      <c r="N54" s="13"/>
      <c r="O54" s="13"/>
      <c r="P54" s="13"/>
      <c r="Q54" s="13"/>
      <c r="R54" s="13"/>
      <c r="S54" s="13"/>
      <c r="T54" s="13"/>
      <c r="U54" s="12"/>
      <c r="V54" s="12"/>
      <c r="W54" s="12"/>
      <c r="X54" s="12"/>
      <c r="Y54" s="12"/>
    </row>
    <row r="55" spans="1:25" ht="20.100000000000001" customHeight="1">
      <c r="A55" s="2"/>
      <c r="B55" s="2"/>
      <c r="D55" s="2"/>
      <c r="E55" s="15"/>
      <c r="F55" s="15"/>
      <c r="G55" s="15"/>
      <c r="H55" s="15"/>
      <c r="I55" s="15"/>
      <c r="J55" s="15"/>
      <c r="K55" s="15"/>
      <c r="L55" s="15"/>
      <c r="M55" s="15"/>
      <c r="N55" s="15"/>
      <c r="O55" s="15"/>
      <c r="P55" s="15"/>
      <c r="Q55" s="15"/>
      <c r="R55" s="15"/>
      <c r="S55" s="15"/>
      <c r="T55" s="15"/>
      <c r="U55" s="2"/>
      <c r="V55" s="2"/>
      <c r="W55" s="2"/>
      <c r="X55" s="2"/>
      <c r="Y55" s="2"/>
    </row>
    <row r="56" spans="1:25" ht="20.100000000000001" customHeight="1">
      <c r="A56" s="3"/>
      <c r="B56" s="3"/>
      <c r="D56" s="3"/>
      <c r="E56" s="18"/>
      <c r="F56" s="3"/>
      <c r="G56" s="3"/>
      <c r="H56" s="15"/>
      <c r="I56" s="15"/>
      <c r="J56" s="15"/>
      <c r="K56" s="15"/>
      <c r="L56" s="15"/>
      <c r="M56" s="15"/>
      <c r="N56" s="15"/>
      <c r="O56" s="15"/>
      <c r="P56" s="3"/>
      <c r="Q56" s="3"/>
      <c r="R56" s="3"/>
      <c r="S56" s="3"/>
      <c r="T56" s="3"/>
      <c r="U56" s="3"/>
      <c r="V56" s="3"/>
      <c r="W56" s="3"/>
      <c r="X56" s="3"/>
      <c r="Y56" s="3"/>
    </row>
    <row r="57" spans="1:25" ht="20.100000000000001" customHeight="1">
      <c r="A57" s="10"/>
      <c r="B57" s="3"/>
      <c r="D57" s="3"/>
      <c r="E57" s="3"/>
      <c r="F57" s="3"/>
      <c r="G57" s="3"/>
      <c r="H57" s="3"/>
      <c r="I57" s="3"/>
      <c r="J57" s="3"/>
      <c r="K57" s="3"/>
      <c r="L57" s="3"/>
      <c r="M57" s="3"/>
      <c r="N57" s="3"/>
      <c r="O57" s="3"/>
      <c r="P57" s="3"/>
      <c r="Q57" s="3"/>
      <c r="R57" s="3"/>
      <c r="S57" s="3"/>
      <c r="T57" s="3"/>
      <c r="U57" s="3"/>
      <c r="V57" s="3"/>
      <c r="W57" s="3"/>
      <c r="X57" s="3"/>
      <c r="Y57" s="3"/>
    </row>
    <row r="58" spans="1:25" ht="20.100000000000001" customHeight="1">
      <c r="A58" s="3"/>
      <c r="B58" s="3"/>
      <c r="D58" s="3"/>
      <c r="E58" s="3"/>
      <c r="F58" s="3"/>
      <c r="G58" s="3"/>
      <c r="H58" s="15"/>
      <c r="I58" s="15"/>
      <c r="J58" s="15"/>
      <c r="K58" s="15"/>
      <c r="L58" s="15"/>
      <c r="M58" s="15"/>
      <c r="N58" s="15"/>
      <c r="O58" s="15"/>
      <c r="P58" s="3"/>
      <c r="Q58" s="3"/>
      <c r="R58" s="3"/>
      <c r="S58" s="3"/>
      <c r="T58" s="3"/>
      <c r="U58" s="3"/>
      <c r="V58" s="3"/>
      <c r="W58" s="3"/>
      <c r="X58" s="3"/>
      <c r="Y58" s="3"/>
    </row>
    <row r="59" spans="1:25" ht="20.100000000000001" customHeight="1">
      <c r="A59" s="2"/>
      <c r="B59" s="2"/>
      <c r="D59" s="2"/>
      <c r="E59" s="2"/>
      <c r="F59" s="2"/>
      <c r="G59" s="2"/>
      <c r="H59" s="2"/>
      <c r="I59" s="7"/>
      <c r="J59" s="7"/>
      <c r="K59" s="7"/>
      <c r="L59" s="7"/>
      <c r="M59" s="7"/>
      <c r="N59" s="7"/>
      <c r="O59" s="7"/>
      <c r="P59" s="7"/>
      <c r="Q59" s="2"/>
      <c r="R59" s="2"/>
      <c r="S59" s="2"/>
      <c r="T59" s="2"/>
      <c r="U59" s="2"/>
      <c r="V59" s="2"/>
      <c r="W59" s="2"/>
      <c r="X59" s="2"/>
      <c r="Y59" s="2"/>
    </row>
    <row r="60" spans="1:25" ht="20.100000000000001" customHeight="1">
      <c r="A60" s="2"/>
      <c r="B60" s="2"/>
      <c r="D60" s="2"/>
      <c r="E60" s="17"/>
      <c r="F60" s="17"/>
      <c r="G60" s="17"/>
      <c r="H60" s="17"/>
      <c r="I60" s="17"/>
      <c r="J60" s="17"/>
      <c r="K60" s="17"/>
      <c r="L60" s="17"/>
      <c r="M60" s="17"/>
      <c r="N60" s="17"/>
      <c r="O60" s="17"/>
      <c r="P60" s="17"/>
      <c r="Q60" s="17"/>
      <c r="R60" s="17"/>
      <c r="S60" s="17"/>
      <c r="T60" s="17"/>
      <c r="U60" s="2"/>
      <c r="V60" s="2"/>
      <c r="W60" s="2"/>
      <c r="X60" s="2"/>
      <c r="Y60" s="2"/>
    </row>
    <row r="61" spans="1:25" s="8" customFormat="1" ht="20.100000000000001" customHeight="1">
      <c r="A61" s="12"/>
      <c r="B61" s="12"/>
      <c r="C61" s="2"/>
      <c r="D61" s="19"/>
      <c r="E61" s="13"/>
      <c r="F61" s="13"/>
      <c r="G61" s="13"/>
      <c r="H61" s="13"/>
      <c r="I61" s="13"/>
      <c r="J61" s="13"/>
      <c r="K61" s="13"/>
      <c r="L61" s="13"/>
      <c r="M61" s="13"/>
      <c r="N61" s="13"/>
      <c r="O61" s="13"/>
      <c r="P61" s="13"/>
      <c r="Q61" s="13"/>
      <c r="R61" s="13"/>
      <c r="S61" s="13"/>
      <c r="T61" s="13"/>
      <c r="U61" s="12"/>
      <c r="V61" s="12"/>
      <c r="W61" s="12"/>
      <c r="X61" s="12"/>
      <c r="Y61" s="12"/>
    </row>
    <row r="62" spans="1:25" ht="20.100000000000001" customHeight="1">
      <c r="A62" s="2"/>
      <c r="B62" s="2"/>
      <c r="D62" s="2"/>
      <c r="E62" s="15"/>
      <c r="F62" s="15"/>
      <c r="G62" s="15"/>
      <c r="H62" s="15"/>
      <c r="I62" s="15"/>
      <c r="J62" s="15"/>
      <c r="K62" s="15"/>
      <c r="L62" s="15"/>
      <c r="M62" s="15"/>
      <c r="N62" s="15"/>
      <c r="O62" s="15"/>
      <c r="P62" s="15"/>
      <c r="Q62" s="15"/>
      <c r="R62" s="15"/>
      <c r="S62" s="15"/>
      <c r="T62" s="15"/>
      <c r="U62" s="2"/>
      <c r="V62" s="2"/>
      <c r="W62" s="2"/>
      <c r="X62" s="2"/>
      <c r="Y62" s="2"/>
    </row>
    <row r="63" spans="1:25" ht="20.100000000000001" customHeight="1">
      <c r="B63" s="20"/>
      <c r="C63" s="7"/>
      <c r="D63" s="21"/>
      <c r="E63" s="21"/>
      <c r="F63" s="22"/>
    </row>
    <row r="64" spans="1:25" ht="46.5" customHeight="1">
      <c r="A64" s="5"/>
      <c r="B64" s="3"/>
      <c r="D64" s="1822" t="s">
        <v>5</v>
      </c>
      <c r="E64" s="1822"/>
      <c r="F64" s="1822"/>
      <c r="G64" s="1822"/>
      <c r="H64" s="1822"/>
      <c r="I64" s="1822"/>
      <c r="J64" s="1822"/>
      <c r="K64" s="1822"/>
      <c r="L64" s="1822"/>
      <c r="M64" s="1822"/>
      <c r="N64" s="1822"/>
      <c r="O64" s="1822"/>
      <c r="P64" s="1822"/>
      <c r="Q64" s="1822"/>
      <c r="R64" s="23"/>
      <c r="S64" s="23"/>
      <c r="T64" s="23"/>
      <c r="U64" s="3"/>
      <c r="V64" s="3"/>
      <c r="W64" s="3"/>
      <c r="X64" s="3"/>
      <c r="Y64" s="3"/>
    </row>
    <row r="65" spans="1:25" s="6" customFormat="1" ht="20.100000000000001" customHeight="1">
      <c r="A65" s="2"/>
      <c r="B65" s="2"/>
      <c r="C65" s="2"/>
      <c r="D65" s="2"/>
      <c r="E65" s="2"/>
      <c r="F65" s="2"/>
      <c r="G65" s="2"/>
      <c r="H65" s="2"/>
      <c r="I65" s="2"/>
      <c r="J65" s="2"/>
      <c r="K65" s="2"/>
      <c r="L65" s="2"/>
      <c r="M65" s="2"/>
      <c r="N65" s="2"/>
      <c r="O65" s="2"/>
      <c r="P65" s="2"/>
      <c r="Q65" s="2"/>
      <c r="R65" s="2"/>
      <c r="S65" s="2"/>
      <c r="T65" s="2"/>
      <c r="U65" s="2"/>
      <c r="V65" s="2"/>
      <c r="W65" s="2"/>
      <c r="X65" s="2"/>
      <c r="Y65" s="2"/>
    </row>
    <row r="66" spans="1:25" s="6" customFormat="1" ht="20.100000000000001" customHeight="1">
      <c r="A66" s="2"/>
      <c r="B66" s="2"/>
      <c r="C66" s="2"/>
      <c r="D66" s="2"/>
      <c r="E66" s="2"/>
      <c r="F66" s="2"/>
      <c r="G66" s="2"/>
      <c r="H66" s="2"/>
      <c r="I66" s="2"/>
      <c r="J66" s="2"/>
      <c r="K66" s="11"/>
      <c r="L66" s="2"/>
      <c r="M66" s="2"/>
      <c r="N66" s="2"/>
      <c r="O66" s="2"/>
      <c r="P66" s="2"/>
      <c r="Q66" s="11"/>
      <c r="R66" s="2"/>
      <c r="S66" s="2"/>
      <c r="T66" s="2"/>
      <c r="U66" s="2"/>
      <c r="V66" s="2"/>
      <c r="W66" s="2"/>
      <c r="X66" s="2"/>
      <c r="Y66" s="2"/>
    </row>
    <row r="67" spans="1:25" s="8" customFormat="1" ht="20.100000000000001" customHeight="1">
      <c r="A67" s="12"/>
      <c r="B67" s="12"/>
      <c r="C67" s="2"/>
      <c r="D67" s="12"/>
      <c r="E67" s="12"/>
      <c r="F67" s="13"/>
      <c r="G67" s="13"/>
      <c r="H67" s="13"/>
      <c r="I67" s="13"/>
      <c r="J67" s="13"/>
      <c r="K67" s="24"/>
      <c r="L67" s="25"/>
      <c r="M67" s="25"/>
      <c r="N67" s="25"/>
      <c r="O67" s="25"/>
      <c r="P67" s="25"/>
      <c r="Q67" s="25"/>
      <c r="R67" s="14"/>
      <c r="S67" s="14"/>
      <c r="T67" s="14"/>
      <c r="U67" s="14"/>
      <c r="V67" s="14"/>
      <c r="W67" s="14"/>
      <c r="X67" s="14"/>
      <c r="Y67" s="14"/>
    </row>
    <row r="68" spans="1:25" s="6" customFormat="1" ht="20.100000000000001" customHeight="1">
      <c r="A68" s="2"/>
      <c r="B68" s="2"/>
      <c r="C68" s="2"/>
      <c r="D68" s="2"/>
      <c r="E68" s="2"/>
      <c r="F68" s="15"/>
      <c r="G68" s="15"/>
      <c r="H68" s="15"/>
      <c r="I68" s="15"/>
      <c r="J68" s="15"/>
      <c r="K68" s="11"/>
      <c r="L68" s="7"/>
      <c r="M68" s="7"/>
      <c r="N68" s="7"/>
      <c r="O68" s="7"/>
      <c r="P68" s="7"/>
      <c r="Q68" s="7"/>
      <c r="R68" s="16"/>
      <c r="S68" s="16"/>
      <c r="T68" s="16"/>
      <c r="U68" s="16"/>
      <c r="V68" s="16"/>
      <c r="W68" s="16"/>
      <c r="X68" s="16"/>
      <c r="Y68" s="16"/>
    </row>
    <row r="69" spans="1:25" ht="20.100000000000001" customHeight="1">
      <c r="B69" s="20"/>
      <c r="C69" s="7"/>
      <c r="D69" s="21"/>
      <c r="E69" s="21"/>
      <c r="F69" s="22"/>
    </row>
    <row r="70" spans="1:25" ht="20.100000000000001" customHeight="1">
      <c r="A70" s="10"/>
      <c r="B70" s="3"/>
      <c r="D70" s="3"/>
      <c r="E70" s="3"/>
      <c r="F70" s="3"/>
      <c r="G70" s="3"/>
      <c r="H70" s="3"/>
      <c r="I70" s="3"/>
      <c r="J70" s="3"/>
      <c r="K70" s="3"/>
      <c r="L70" s="3"/>
      <c r="M70" s="3"/>
      <c r="N70" s="3"/>
      <c r="O70" s="3"/>
      <c r="P70" s="3"/>
      <c r="Q70" s="3"/>
      <c r="R70" s="3"/>
      <c r="S70" s="3"/>
      <c r="T70" s="3"/>
      <c r="U70" s="3"/>
      <c r="V70" s="3"/>
      <c r="W70" s="3"/>
      <c r="X70" s="3"/>
      <c r="Y70" s="3"/>
    </row>
    <row r="71" spans="1:25" ht="20.100000000000001" customHeight="1">
      <c r="A71" s="5"/>
      <c r="B71" s="3"/>
      <c r="D71" s="3"/>
      <c r="E71" s="3"/>
      <c r="F71" s="3"/>
      <c r="G71" s="3"/>
      <c r="H71" s="3"/>
      <c r="I71" s="3"/>
      <c r="J71" s="3"/>
      <c r="K71" s="3"/>
      <c r="L71" s="3"/>
      <c r="M71" s="3"/>
      <c r="N71" s="3"/>
      <c r="O71" s="3"/>
      <c r="P71" s="3"/>
      <c r="Q71" s="3"/>
      <c r="R71" s="3"/>
      <c r="S71" s="3"/>
      <c r="T71" s="3"/>
      <c r="U71" s="3"/>
      <c r="V71" s="3"/>
      <c r="W71" s="3"/>
      <c r="X71" s="3"/>
      <c r="Y71" s="3"/>
    </row>
    <row r="72" spans="1:25" s="6" customFormat="1" ht="20.100000000000001" customHeight="1">
      <c r="A72" s="2"/>
      <c r="B72" s="2"/>
      <c r="C72" s="2"/>
      <c r="D72" s="2"/>
      <c r="E72" s="2"/>
      <c r="F72" s="2"/>
      <c r="G72" s="2"/>
      <c r="H72" s="2"/>
      <c r="I72" s="2"/>
      <c r="J72" s="2"/>
      <c r="K72" s="2"/>
      <c r="L72" s="2"/>
      <c r="M72" s="2"/>
      <c r="N72" s="2"/>
      <c r="O72" s="2"/>
      <c r="P72" s="2"/>
      <c r="Q72" s="2"/>
      <c r="R72" s="2"/>
      <c r="S72" s="2"/>
      <c r="T72" s="2"/>
      <c r="U72" s="2"/>
      <c r="V72" s="2"/>
      <c r="W72" s="2"/>
      <c r="X72" s="2"/>
      <c r="Y72" s="2"/>
    </row>
    <row r="73" spans="1:25" s="6" customFormat="1" ht="20.100000000000001" customHeight="1">
      <c r="A73" s="2"/>
      <c r="B73" s="2"/>
      <c r="C73" s="2"/>
      <c r="D73" s="2"/>
      <c r="E73" s="2"/>
      <c r="F73" s="2"/>
      <c r="G73" s="2"/>
      <c r="H73" s="2"/>
      <c r="I73" s="2"/>
      <c r="J73" s="2"/>
      <c r="K73" s="11"/>
      <c r="L73" s="2"/>
      <c r="M73" s="2"/>
      <c r="N73" s="2"/>
      <c r="O73" s="2"/>
      <c r="P73" s="2"/>
      <c r="Q73" s="11"/>
      <c r="R73" s="2"/>
      <c r="S73" s="2"/>
      <c r="T73" s="2"/>
      <c r="U73" s="2"/>
      <c r="V73" s="2"/>
      <c r="W73" s="2"/>
      <c r="X73" s="2"/>
      <c r="Y73" s="2"/>
    </row>
    <row r="74" spans="1:25" s="8" customFormat="1" ht="20.100000000000001" customHeight="1">
      <c r="A74" s="12"/>
      <c r="B74" s="12"/>
      <c r="C74" s="2"/>
      <c r="D74" s="12"/>
      <c r="E74" s="12"/>
      <c r="F74" s="13"/>
      <c r="G74" s="13"/>
      <c r="H74" s="13"/>
      <c r="I74" s="13"/>
      <c r="J74" s="13"/>
      <c r="K74" s="24"/>
      <c r="L74" s="25"/>
      <c r="M74" s="25"/>
      <c r="N74" s="25"/>
      <c r="O74" s="25"/>
      <c r="P74" s="25"/>
      <c r="Q74" s="25"/>
      <c r="R74" s="14"/>
      <c r="S74" s="14"/>
      <c r="T74" s="14"/>
      <c r="U74" s="14"/>
      <c r="V74" s="14"/>
      <c r="W74" s="14"/>
      <c r="X74" s="14"/>
      <c r="Y74" s="14"/>
    </row>
    <row r="75" spans="1:25" s="6" customFormat="1" ht="20.100000000000001" customHeight="1">
      <c r="A75" s="2"/>
      <c r="B75" s="2"/>
      <c r="C75" s="2"/>
      <c r="D75" s="2"/>
      <c r="E75" s="2"/>
      <c r="F75" s="15"/>
      <c r="G75" s="15"/>
      <c r="H75" s="15"/>
      <c r="I75" s="15"/>
      <c r="J75" s="15"/>
      <c r="K75" s="11"/>
      <c r="L75" s="7"/>
      <c r="M75" s="7"/>
      <c r="N75" s="7"/>
      <c r="O75" s="7"/>
      <c r="P75" s="7"/>
      <c r="Q75" s="7"/>
      <c r="R75" s="16"/>
      <c r="S75" s="16"/>
      <c r="T75" s="16"/>
      <c r="U75" s="16"/>
      <c r="V75" s="16"/>
      <c r="W75" s="16"/>
      <c r="X75" s="16"/>
      <c r="Y75" s="16"/>
    </row>
    <row r="76" spans="1:25" s="6" customFormat="1" ht="20.100000000000001" customHeight="1">
      <c r="A76" s="2"/>
      <c r="B76" s="2"/>
      <c r="C76" s="2"/>
      <c r="D76" s="2"/>
      <c r="E76" s="2"/>
      <c r="F76" s="15"/>
      <c r="G76" s="15"/>
      <c r="H76" s="15"/>
      <c r="I76" s="15"/>
      <c r="J76" s="15"/>
      <c r="K76" s="11"/>
      <c r="L76" s="7"/>
      <c r="M76" s="7"/>
      <c r="N76" s="7"/>
      <c r="O76" s="7"/>
      <c r="P76" s="7"/>
      <c r="Q76" s="7"/>
      <c r="R76" s="16"/>
      <c r="S76" s="16"/>
      <c r="T76" s="16"/>
      <c r="U76" s="16"/>
      <c r="V76" s="16"/>
      <c r="W76" s="16"/>
      <c r="X76" s="16"/>
      <c r="Y76" s="16"/>
    </row>
    <row r="77" spans="1:25" s="6" customFormat="1" ht="20.100000000000001" customHeight="1">
      <c r="A77" s="2"/>
      <c r="B77" s="2"/>
      <c r="C77" s="2"/>
      <c r="D77" s="2"/>
      <c r="E77" s="2"/>
      <c r="F77" s="15"/>
      <c r="G77" s="15"/>
      <c r="H77" s="15"/>
      <c r="I77" s="15"/>
      <c r="J77" s="15"/>
      <c r="K77" s="11"/>
      <c r="L77" s="7"/>
      <c r="M77" s="7"/>
      <c r="N77" s="7"/>
      <c r="O77" s="7"/>
      <c r="P77" s="7"/>
      <c r="Q77" s="7"/>
      <c r="R77" s="16"/>
      <c r="S77" s="16"/>
      <c r="T77" s="16"/>
      <c r="U77" s="16"/>
      <c r="V77" s="16"/>
      <c r="W77" s="16"/>
      <c r="X77" s="16"/>
      <c r="Y77" s="16"/>
    </row>
    <row r="78" spans="1:25" ht="48" customHeight="1">
      <c r="A78" s="5"/>
      <c r="B78" s="3"/>
      <c r="D78" s="1822" t="s">
        <v>6</v>
      </c>
      <c r="E78" s="1822"/>
      <c r="F78" s="1822"/>
      <c r="G78" s="1822"/>
      <c r="H78" s="1822"/>
      <c r="I78" s="1822"/>
      <c r="J78" s="1822"/>
      <c r="K78" s="1822"/>
      <c r="L78" s="1822"/>
      <c r="M78" s="1822"/>
      <c r="N78" s="1822"/>
      <c r="O78" s="1822"/>
      <c r="P78" s="1822"/>
      <c r="Q78" s="1822"/>
      <c r="R78" s="23"/>
      <c r="S78" s="23"/>
      <c r="T78" s="23"/>
      <c r="U78" s="3"/>
      <c r="V78" s="3"/>
      <c r="W78" s="3"/>
      <c r="X78" s="3"/>
      <c r="Y78" s="3"/>
    </row>
    <row r="79" spans="1:25" s="6" customFormat="1" ht="20.100000000000001" customHeight="1">
      <c r="A79" s="2"/>
      <c r="B79" s="2"/>
      <c r="C79" s="2"/>
      <c r="D79" s="2"/>
      <c r="E79" s="2"/>
      <c r="F79" s="2"/>
      <c r="G79" s="2"/>
      <c r="H79" s="2"/>
      <c r="I79" s="2"/>
      <c r="J79" s="2"/>
      <c r="K79" s="2"/>
      <c r="L79" s="2"/>
      <c r="M79" s="2"/>
      <c r="N79" s="2"/>
      <c r="O79" s="2"/>
      <c r="P79" s="2"/>
      <c r="Q79" s="2"/>
      <c r="R79" s="2"/>
      <c r="S79" s="2"/>
      <c r="T79" s="2"/>
      <c r="U79" s="2"/>
      <c r="V79" s="2"/>
      <c r="W79" s="2"/>
      <c r="X79" s="2"/>
      <c r="Y79" s="2"/>
    </row>
    <row r="80" spans="1:25" s="6" customFormat="1" ht="20.100000000000001" customHeight="1">
      <c r="A80" s="2"/>
      <c r="B80" s="2"/>
      <c r="C80" s="2"/>
      <c r="D80" s="2"/>
      <c r="E80" s="2"/>
      <c r="F80" s="15"/>
      <c r="G80" s="15"/>
      <c r="H80" s="15"/>
      <c r="I80" s="15"/>
      <c r="J80" s="15"/>
      <c r="K80" s="11"/>
      <c r="L80" s="7"/>
      <c r="M80" s="7"/>
      <c r="N80" s="7"/>
      <c r="O80" s="7"/>
      <c r="P80" s="7"/>
      <c r="Q80" s="7"/>
      <c r="R80" s="16"/>
      <c r="S80" s="16"/>
      <c r="T80" s="16"/>
      <c r="U80" s="16"/>
      <c r="V80" s="16"/>
      <c r="W80" s="16"/>
      <c r="X80" s="16"/>
      <c r="Y80" s="16"/>
    </row>
    <row r="81" spans="1:25" s="6" customFormat="1" ht="20.100000000000001" customHeight="1">
      <c r="A81" s="2"/>
      <c r="B81" s="2"/>
      <c r="C81" s="2"/>
      <c r="D81" s="2"/>
      <c r="E81" s="2"/>
      <c r="F81" s="15"/>
      <c r="G81" s="15"/>
      <c r="H81" s="15"/>
      <c r="I81" s="15"/>
      <c r="J81" s="15"/>
      <c r="K81" s="11"/>
      <c r="L81" s="7"/>
      <c r="M81" s="7"/>
      <c r="N81" s="7"/>
      <c r="O81" s="7"/>
      <c r="P81" s="7"/>
      <c r="Q81" s="7"/>
      <c r="R81" s="16"/>
      <c r="S81" s="16"/>
      <c r="T81" s="16"/>
      <c r="U81" s="16"/>
      <c r="V81" s="16"/>
      <c r="W81" s="16"/>
      <c r="X81" s="16"/>
      <c r="Y81" s="16"/>
    </row>
    <row r="83" spans="1:25" ht="20.100000000000001" customHeight="1">
      <c r="A83" s="26"/>
      <c r="B83" s="2"/>
      <c r="D83" s="2"/>
      <c r="E83" s="2"/>
      <c r="F83" s="2"/>
      <c r="G83" s="2"/>
      <c r="H83" s="2"/>
      <c r="I83" s="2"/>
      <c r="J83" s="2"/>
      <c r="K83" s="2"/>
      <c r="L83" s="2"/>
      <c r="M83" s="2"/>
      <c r="N83" s="2"/>
      <c r="O83" s="2"/>
      <c r="P83" s="2"/>
      <c r="Q83" s="2"/>
      <c r="R83" s="2"/>
      <c r="S83" s="2"/>
      <c r="T83" s="2"/>
      <c r="U83" s="2"/>
      <c r="V83" s="2"/>
      <c r="W83" s="2"/>
      <c r="X83" s="2"/>
      <c r="Y83" s="2"/>
    </row>
    <row r="85" spans="1:25" ht="20.100000000000001" customHeight="1">
      <c r="A85" s="2"/>
      <c r="B85" s="2"/>
      <c r="D85" s="2"/>
      <c r="E85" s="2"/>
      <c r="F85" s="2"/>
      <c r="G85" s="2"/>
      <c r="H85" s="2"/>
      <c r="I85" s="2"/>
      <c r="J85" s="2"/>
      <c r="K85" s="2"/>
      <c r="L85" s="2"/>
      <c r="M85" s="2"/>
      <c r="N85" s="2"/>
      <c r="O85" s="2"/>
      <c r="P85" s="2"/>
      <c r="Q85" s="2"/>
      <c r="R85" s="2"/>
      <c r="S85" s="2"/>
      <c r="T85" s="2"/>
      <c r="U85" s="2"/>
      <c r="V85" s="2"/>
      <c r="W85" s="2"/>
      <c r="X85" s="2"/>
      <c r="Y85" s="2"/>
    </row>
    <row r="86" spans="1:25" ht="20.100000000000001" customHeight="1">
      <c r="A86" s="2"/>
      <c r="B86" s="2"/>
      <c r="C86" s="7"/>
      <c r="D86" s="15"/>
      <c r="E86" s="15"/>
      <c r="F86" s="15"/>
      <c r="G86" s="15"/>
      <c r="H86" s="15"/>
      <c r="I86" s="15"/>
      <c r="J86" s="15"/>
      <c r="K86" s="15"/>
      <c r="L86" s="15"/>
      <c r="M86" s="15"/>
      <c r="N86" s="15"/>
      <c r="O86" s="15"/>
      <c r="P86" s="15"/>
      <c r="Q86" s="15"/>
      <c r="R86" s="15"/>
      <c r="S86" s="15"/>
      <c r="T86" s="15"/>
      <c r="U86" s="2"/>
      <c r="V86" s="2"/>
      <c r="W86" s="2"/>
      <c r="X86" s="2"/>
      <c r="Y86" s="2"/>
    </row>
    <row r="87" spans="1:25" s="8" customFormat="1" ht="20.100000000000001" customHeight="1">
      <c r="A87" s="12"/>
      <c r="B87" s="12"/>
      <c r="C87" s="7"/>
      <c r="D87" s="13"/>
      <c r="E87" s="13"/>
      <c r="F87" s="13"/>
      <c r="G87" s="13"/>
      <c r="H87" s="13"/>
      <c r="I87" s="13"/>
      <c r="J87" s="13"/>
      <c r="K87" s="13"/>
      <c r="L87" s="13"/>
      <c r="M87" s="13"/>
      <c r="N87" s="13"/>
      <c r="O87" s="13"/>
      <c r="P87" s="13"/>
      <c r="Q87" s="13"/>
      <c r="R87" s="13"/>
      <c r="S87" s="13"/>
      <c r="T87" s="13"/>
      <c r="U87" s="12"/>
      <c r="V87" s="12"/>
      <c r="W87" s="12"/>
      <c r="X87" s="12"/>
      <c r="Y87" s="12"/>
    </row>
    <row r="88" spans="1:25" ht="20.100000000000001" customHeight="1">
      <c r="A88" s="2"/>
      <c r="B88" s="2"/>
      <c r="D88" s="2"/>
      <c r="E88" s="2"/>
      <c r="F88" s="2"/>
      <c r="G88" s="2"/>
      <c r="H88" s="2"/>
      <c r="I88" s="7"/>
      <c r="J88" s="7"/>
      <c r="K88" s="7"/>
      <c r="L88" s="7"/>
      <c r="M88" s="7"/>
      <c r="N88" s="7"/>
      <c r="O88" s="7"/>
      <c r="P88" s="7"/>
      <c r="Q88" s="2"/>
      <c r="R88" s="2"/>
      <c r="S88" s="2"/>
      <c r="T88" s="2"/>
      <c r="U88" s="2"/>
      <c r="V88" s="2"/>
      <c r="W88" s="2"/>
      <c r="X88" s="2"/>
      <c r="Y88" s="2"/>
    </row>
    <row r="89" spans="1:25" ht="20.100000000000001" customHeight="1">
      <c r="A89" s="2"/>
      <c r="B89" s="2"/>
      <c r="D89" s="2"/>
      <c r="E89" s="17"/>
      <c r="F89" s="17"/>
      <c r="G89" s="17"/>
      <c r="H89" s="17"/>
      <c r="I89" s="17"/>
      <c r="J89" s="17"/>
      <c r="K89" s="17"/>
      <c r="L89" s="17"/>
      <c r="M89" s="17"/>
      <c r="N89" s="17"/>
      <c r="O89" s="17"/>
      <c r="P89" s="17"/>
      <c r="Q89" s="17"/>
      <c r="R89" s="17"/>
      <c r="S89" s="17"/>
      <c r="T89" s="17"/>
      <c r="U89" s="2"/>
      <c r="V89" s="2"/>
      <c r="W89" s="2"/>
      <c r="X89" s="2"/>
      <c r="Y89" s="2"/>
    </row>
    <row r="90" spans="1:25" ht="20.100000000000001" customHeight="1">
      <c r="A90" s="12"/>
      <c r="B90" s="12"/>
      <c r="D90" s="12"/>
      <c r="E90" s="13"/>
      <c r="F90" s="13"/>
      <c r="G90" s="13"/>
      <c r="H90" s="13"/>
      <c r="I90" s="13"/>
      <c r="J90" s="13"/>
      <c r="K90" s="13"/>
      <c r="L90" s="13"/>
      <c r="M90" s="13"/>
      <c r="N90" s="13"/>
      <c r="O90" s="13"/>
      <c r="P90" s="13"/>
      <c r="Q90" s="13"/>
      <c r="R90" s="13"/>
      <c r="S90" s="13"/>
      <c r="T90" s="13"/>
    </row>
    <row r="91" spans="1:25" ht="20.100000000000001" customHeight="1">
      <c r="A91" s="2"/>
      <c r="B91" s="2"/>
      <c r="D91" s="2"/>
      <c r="E91" s="15"/>
      <c r="F91" s="15"/>
      <c r="G91" s="15"/>
      <c r="H91" s="15"/>
      <c r="I91" s="15"/>
      <c r="J91" s="15"/>
      <c r="K91" s="15"/>
      <c r="L91" s="15"/>
      <c r="M91" s="15"/>
      <c r="N91" s="15"/>
      <c r="O91" s="15"/>
      <c r="P91" s="15"/>
      <c r="Q91" s="15"/>
      <c r="R91" s="15"/>
      <c r="S91" s="15"/>
      <c r="T91" s="15"/>
      <c r="U91" s="2"/>
      <c r="V91" s="2"/>
      <c r="W91" s="2"/>
      <c r="X91" s="2"/>
      <c r="Y91" s="2"/>
    </row>
    <row r="92" spans="1:25" ht="48" customHeight="1">
      <c r="A92" s="5"/>
      <c r="B92" s="3"/>
      <c r="C92" s="1821" t="s">
        <v>7</v>
      </c>
      <c r="D92" s="1821"/>
      <c r="E92" s="1821"/>
      <c r="F92" s="1821"/>
      <c r="G92" s="1821"/>
      <c r="H92" s="1821"/>
      <c r="I92" s="1821"/>
      <c r="J92" s="1821"/>
      <c r="K92" s="1821"/>
      <c r="L92" s="1821"/>
      <c r="M92" s="1821"/>
      <c r="N92" s="1821"/>
      <c r="O92" s="1821"/>
      <c r="P92" s="1821"/>
      <c r="Q92" s="1821"/>
      <c r="R92" s="1821"/>
      <c r="S92" s="23"/>
      <c r="T92" s="23"/>
      <c r="U92" s="2"/>
      <c r="V92" s="2"/>
      <c r="W92" s="2"/>
      <c r="X92" s="2"/>
      <c r="Y92" s="2"/>
    </row>
    <row r="93" spans="1:25" ht="20.100000000000001" customHeight="1">
      <c r="A93" s="2"/>
      <c r="B93" s="2"/>
      <c r="D93" s="17"/>
      <c r="E93" s="17"/>
      <c r="F93" s="17"/>
      <c r="G93" s="17"/>
      <c r="H93" s="17"/>
      <c r="I93" s="17"/>
      <c r="J93" s="17"/>
      <c r="K93" s="17"/>
      <c r="L93" s="17"/>
      <c r="M93" s="17"/>
      <c r="N93" s="17"/>
      <c r="O93" s="17"/>
      <c r="P93" s="17"/>
      <c r="Q93" s="17"/>
      <c r="R93" s="17"/>
      <c r="S93" s="17"/>
      <c r="T93" s="2"/>
      <c r="U93" s="2"/>
      <c r="V93" s="2"/>
      <c r="W93" s="2"/>
      <c r="X93" s="2"/>
      <c r="Y93" s="2"/>
    </row>
    <row r="106" spans="1:20" ht="48" customHeight="1">
      <c r="A106" s="5"/>
      <c r="B106" s="3"/>
      <c r="C106" s="1821" t="s">
        <v>8</v>
      </c>
      <c r="D106" s="1821"/>
      <c r="E106" s="1821"/>
      <c r="F106" s="1821"/>
      <c r="G106" s="1821"/>
      <c r="H106" s="1821"/>
      <c r="I106" s="1821"/>
      <c r="J106" s="1821"/>
      <c r="K106" s="1821"/>
      <c r="L106" s="1821"/>
      <c r="M106" s="1821"/>
      <c r="N106" s="1821"/>
      <c r="O106" s="1821"/>
      <c r="P106" s="1821"/>
      <c r="Q106" s="1821"/>
      <c r="R106" s="1821"/>
      <c r="S106" s="23"/>
      <c r="T106" s="23"/>
    </row>
    <row r="107" spans="1:20" ht="20.100000000000001" customHeight="1">
      <c r="A107" s="2"/>
      <c r="B107" s="2"/>
      <c r="D107" s="17"/>
      <c r="E107" s="17"/>
      <c r="F107" s="17"/>
      <c r="G107" s="17"/>
      <c r="H107" s="17"/>
      <c r="I107" s="17"/>
      <c r="J107" s="17"/>
      <c r="K107" s="17"/>
      <c r="L107" s="17"/>
      <c r="M107" s="17"/>
      <c r="N107" s="17"/>
      <c r="O107" s="17"/>
      <c r="P107" s="17"/>
      <c r="Q107" s="17"/>
      <c r="R107" s="17"/>
      <c r="S107" s="17"/>
      <c r="T107" s="2"/>
    </row>
    <row r="108" spans="1:20" ht="20.100000000000001" customHeight="1">
      <c r="A108" s="12"/>
      <c r="B108" s="12"/>
      <c r="D108" s="13"/>
      <c r="E108" s="13"/>
      <c r="F108" s="13"/>
      <c r="G108" s="13"/>
      <c r="H108" s="13"/>
      <c r="I108" s="13"/>
      <c r="J108" s="13"/>
      <c r="K108" s="13"/>
      <c r="L108" s="13"/>
      <c r="M108" s="13"/>
      <c r="N108" s="13"/>
      <c r="O108" s="13"/>
      <c r="P108" s="13"/>
      <c r="Q108" s="13"/>
      <c r="R108" s="13"/>
      <c r="S108" s="13"/>
      <c r="T108" s="12"/>
    </row>
    <row r="109" spans="1:20" ht="20.100000000000001" customHeight="1">
      <c r="A109" s="2"/>
      <c r="B109" s="2"/>
      <c r="D109" s="15"/>
      <c r="E109" s="15"/>
      <c r="F109" s="15"/>
      <c r="G109" s="15"/>
      <c r="H109" s="15"/>
      <c r="I109" s="15"/>
      <c r="J109" s="15"/>
      <c r="K109" s="15"/>
      <c r="L109" s="15"/>
      <c r="M109" s="15"/>
      <c r="N109" s="15"/>
      <c r="O109" s="15"/>
      <c r="P109" s="15"/>
      <c r="Q109" s="15"/>
      <c r="R109" s="15"/>
      <c r="S109" s="15"/>
      <c r="T109" s="2"/>
    </row>
    <row r="110" spans="1:20" ht="20.100000000000001" customHeight="1">
      <c r="A110" s="2"/>
      <c r="B110" s="2"/>
      <c r="D110" s="15"/>
      <c r="E110" s="15"/>
      <c r="F110" s="15"/>
      <c r="G110" s="15"/>
      <c r="H110" s="15"/>
      <c r="I110" s="15"/>
      <c r="J110" s="15"/>
      <c r="K110" s="15"/>
      <c r="L110" s="15"/>
      <c r="M110" s="15"/>
      <c r="N110" s="15"/>
      <c r="O110" s="15"/>
      <c r="P110" s="15"/>
      <c r="Q110" s="15"/>
      <c r="R110" s="15"/>
      <c r="S110" s="15"/>
      <c r="T110" s="2"/>
    </row>
    <row r="112" spans="1:20" ht="20.100000000000001" customHeight="1">
      <c r="A112" s="26"/>
      <c r="B112" s="2"/>
      <c r="D112" s="2"/>
      <c r="E112" s="2"/>
      <c r="F112" s="2"/>
      <c r="G112" s="2"/>
      <c r="H112" s="2"/>
      <c r="I112" s="2"/>
      <c r="J112" s="2"/>
      <c r="K112" s="2"/>
      <c r="L112" s="2"/>
      <c r="M112" s="2"/>
      <c r="N112" s="2"/>
      <c r="O112" s="2"/>
      <c r="P112" s="2"/>
      <c r="Q112" s="2"/>
      <c r="R112" s="2"/>
      <c r="S112" s="2"/>
      <c r="T112" s="2"/>
    </row>
    <row r="114" spans="1:20" ht="20.100000000000001" customHeight="1">
      <c r="A114" s="2"/>
      <c r="B114" s="2"/>
      <c r="D114" s="2"/>
      <c r="E114" s="2"/>
      <c r="F114" s="2"/>
      <c r="G114" s="2"/>
      <c r="H114" s="2"/>
      <c r="I114" s="2"/>
      <c r="J114" s="2"/>
      <c r="K114" s="2"/>
      <c r="L114" s="2"/>
      <c r="M114" s="2"/>
      <c r="N114" s="2"/>
      <c r="O114" s="2"/>
      <c r="P114" s="2"/>
      <c r="Q114" s="2"/>
      <c r="R114" s="2"/>
      <c r="S114" s="2"/>
      <c r="T114" s="2"/>
    </row>
    <row r="115" spans="1:20" ht="20.100000000000001" customHeight="1">
      <c r="A115" s="2"/>
      <c r="B115" s="2"/>
      <c r="D115" s="17"/>
      <c r="E115" s="17"/>
      <c r="F115" s="17"/>
      <c r="G115" s="17"/>
      <c r="H115" s="17"/>
      <c r="I115" s="17"/>
      <c r="J115" s="17"/>
      <c r="K115" s="17"/>
      <c r="L115" s="17"/>
      <c r="M115" s="17"/>
      <c r="N115" s="17"/>
      <c r="O115" s="17"/>
      <c r="P115" s="17"/>
      <c r="Q115" s="17"/>
      <c r="R115" s="17"/>
      <c r="S115" s="17"/>
      <c r="T115" s="2"/>
    </row>
    <row r="116" spans="1:20" ht="20.100000000000001" customHeight="1">
      <c r="A116" s="12"/>
      <c r="B116" s="12"/>
      <c r="D116" s="13"/>
      <c r="E116" s="13"/>
      <c r="F116" s="13"/>
      <c r="G116" s="13"/>
      <c r="H116" s="13"/>
      <c r="I116" s="13"/>
      <c r="J116" s="13"/>
      <c r="K116" s="13"/>
      <c r="L116" s="13"/>
      <c r="M116" s="13"/>
      <c r="N116" s="13"/>
      <c r="O116" s="13"/>
      <c r="P116" s="13"/>
      <c r="Q116" s="13"/>
      <c r="R116" s="13"/>
      <c r="S116" s="13"/>
      <c r="T116" s="12"/>
    </row>
    <row r="117" spans="1:20" ht="20.100000000000001" customHeight="1">
      <c r="A117" s="2"/>
      <c r="B117" s="2"/>
      <c r="D117" s="15"/>
      <c r="E117" s="15"/>
      <c r="F117" s="15"/>
      <c r="G117" s="15"/>
      <c r="H117" s="15"/>
      <c r="I117" s="15"/>
      <c r="J117" s="15"/>
      <c r="K117" s="15"/>
      <c r="L117" s="15"/>
      <c r="M117" s="15"/>
      <c r="N117" s="15"/>
      <c r="O117" s="15"/>
      <c r="P117" s="15"/>
      <c r="Q117" s="15"/>
      <c r="R117" s="15"/>
      <c r="S117" s="15"/>
      <c r="T117" s="2"/>
    </row>
    <row r="118" spans="1:20" ht="20.100000000000001" customHeight="1">
      <c r="A118" s="2"/>
      <c r="B118" s="2"/>
      <c r="D118" s="15"/>
      <c r="E118" s="15"/>
      <c r="F118" s="15"/>
      <c r="G118" s="15"/>
      <c r="H118" s="15"/>
      <c r="I118" s="15"/>
      <c r="J118" s="15"/>
      <c r="K118" s="15"/>
      <c r="L118" s="15"/>
      <c r="M118" s="15"/>
      <c r="N118" s="15"/>
      <c r="O118" s="15"/>
      <c r="P118" s="15"/>
      <c r="Q118" s="15"/>
      <c r="R118" s="15"/>
      <c r="S118" s="15"/>
      <c r="T118" s="2"/>
    </row>
    <row r="120" spans="1:20" ht="48" customHeight="1">
      <c r="A120" s="5"/>
      <c r="B120" s="3"/>
      <c r="C120" s="1821" t="s">
        <v>9</v>
      </c>
      <c r="D120" s="1821"/>
      <c r="E120" s="1821"/>
      <c r="F120" s="1821"/>
      <c r="G120" s="1821"/>
      <c r="H120" s="1821"/>
      <c r="I120" s="1821"/>
      <c r="J120" s="1821"/>
      <c r="K120" s="1821"/>
      <c r="L120" s="1821"/>
      <c r="M120" s="1821"/>
      <c r="N120" s="1821"/>
      <c r="O120" s="1821"/>
      <c r="P120" s="1821"/>
      <c r="Q120" s="1821"/>
      <c r="R120" s="1821"/>
      <c r="S120" s="23"/>
      <c r="T120" s="23"/>
    </row>
    <row r="121" spans="1:20" ht="20.100000000000001" customHeight="1">
      <c r="A121" s="2"/>
      <c r="B121" s="2"/>
      <c r="D121" s="17"/>
      <c r="E121" s="17"/>
      <c r="F121" s="17"/>
      <c r="G121" s="17"/>
      <c r="H121" s="17"/>
      <c r="I121" s="17"/>
      <c r="J121" s="17"/>
      <c r="K121" s="17"/>
      <c r="L121" s="17"/>
      <c r="M121" s="17"/>
      <c r="N121" s="17"/>
      <c r="O121" s="17"/>
      <c r="P121" s="17"/>
      <c r="Q121" s="17"/>
      <c r="R121" s="17"/>
      <c r="S121" s="17"/>
      <c r="T121" s="2"/>
    </row>
    <row r="122" spans="1:20" ht="20.100000000000001" customHeight="1">
      <c r="A122" s="12"/>
      <c r="B122" s="12"/>
      <c r="D122" s="13"/>
      <c r="E122" s="13"/>
      <c r="F122" s="13"/>
      <c r="G122" s="13"/>
      <c r="H122" s="13"/>
      <c r="I122" s="13"/>
      <c r="J122" s="13"/>
      <c r="K122" s="13"/>
      <c r="L122" s="13"/>
      <c r="M122" s="13"/>
      <c r="N122" s="13"/>
      <c r="O122" s="13"/>
      <c r="P122" s="13"/>
      <c r="Q122" s="13"/>
      <c r="R122" s="13"/>
      <c r="S122" s="13"/>
      <c r="T122" s="12"/>
    </row>
    <row r="123" spans="1:20" ht="20.100000000000001" customHeight="1">
      <c r="A123" s="2"/>
      <c r="B123" s="2"/>
      <c r="D123" s="15"/>
      <c r="E123" s="15"/>
      <c r="F123" s="15"/>
      <c r="G123" s="15"/>
      <c r="H123" s="15"/>
      <c r="I123" s="15"/>
      <c r="J123" s="15"/>
      <c r="K123" s="15"/>
      <c r="L123" s="15"/>
      <c r="M123" s="15"/>
      <c r="N123" s="15"/>
      <c r="O123" s="15"/>
      <c r="P123" s="15"/>
      <c r="Q123" s="15"/>
      <c r="R123" s="15"/>
      <c r="S123" s="15"/>
      <c r="T123" s="2"/>
    </row>
    <row r="124" spans="1:20" ht="20.100000000000001" customHeight="1">
      <c r="A124" s="2"/>
      <c r="B124" s="2"/>
      <c r="D124" s="15"/>
      <c r="E124" s="15"/>
      <c r="F124" s="15"/>
      <c r="G124" s="15"/>
      <c r="H124" s="15"/>
      <c r="I124" s="15"/>
      <c r="J124" s="15"/>
      <c r="K124" s="15"/>
      <c r="L124" s="15"/>
      <c r="M124" s="15"/>
      <c r="N124" s="15"/>
      <c r="O124" s="15"/>
      <c r="P124" s="15"/>
      <c r="Q124" s="15"/>
      <c r="R124" s="15"/>
      <c r="S124" s="15"/>
      <c r="T124" s="2"/>
    </row>
    <row r="126" spans="1:20" ht="20.100000000000001" customHeight="1">
      <c r="A126" s="26"/>
      <c r="B126" s="2"/>
      <c r="D126" s="2"/>
      <c r="E126" s="2"/>
      <c r="F126" s="2"/>
      <c r="G126" s="2"/>
      <c r="H126" s="2"/>
      <c r="I126" s="2"/>
      <c r="J126" s="2"/>
      <c r="K126" s="2"/>
      <c r="L126" s="2"/>
      <c r="M126" s="2"/>
      <c r="N126" s="2"/>
      <c r="O126" s="2"/>
      <c r="P126" s="2"/>
      <c r="Q126" s="2"/>
      <c r="R126" s="2"/>
      <c r="S126" s="2"/>
      <c r="T126" s="2"/>
    </row>
    <row r="128" spans="1:20" ht="20.100000000000001" customHeight="1">
      <c r="A128" s="2"/>
      <c r="B128" s="2"/>
      <c r="D128" s="2"/>
      <c r="E128" s="2"/>
      <c r="F128" s="2"/>
      <c r="G128" s="2"/>
      <c r="H128" s="2"/>
      <c r="I128" s="2"/>
      <c r="J128" s="2"/>
      <c r="K128" s="2"/>
      <c r="L128" s="2"/>
      <c r="M128" s="2"/>
      <c r="N128" s="2"/>
      <c r="O128" s="2"/>
      <c r="P128" s="2"/>
      <c r="Q128" s="2"/>
      <c r="R128" s="2"/>
      <c r="S128" s="2"/>
      <c r="T128" s="2"/>
    </row>
    <row r="129" spans="1:20" ht="20.100000000000001" customHeight="1">
      <c r="A129" s="2"/>
      <c r="B129" s="2"/>
      <c r="D129" s="17"/>
      <c r="E129" s="17"/>
      <c r="F129" s="17"/>
      <c r="G129" s="17"/>
      <c r="H129" s="17"/>
      <c r="I129" s="17"/>
      <c r="J129" s="17"/>
      <c r="K129" s="17"/>
      <c r="L129" s="17"/>
      <c r="M129" s="17"/>
      <c r="N129" s="17"/>
      <c r="O129" s="17"/>
      <c r="P129" s="17"/>
      <c r="Q129" s="17"/>
      <c r="R129" s="17"/>
      <c r="S129" s="17"/>
      <c r="T129" s="2"/>
    </row>
    <row r="130" spans="1:20" ht="20.100000000000001" customHeight="1">
      <c r="A130" s="12"/>
      <c r="B130" s="12"/>
      <c r="D130" s="13"/>
      <c r="E130" s="13"/>
      <c r="F130" s="13"/>
      <c r="G130" s="13"/>
      <c r="H130" s="13"/>
      <c r="I130" s="13"/>
      <c r="J130" s="13"/>
      <c r="K130" s="13"/>
      <c r="L130" s="13"/>
      <c r="M130" s="13"/>
      <c r="N130" s="13"/>
      <c r="O130" s="13"/>
      <c r="P130" s="13"/>
      <c r="Q130" s="13"/>
      <c r="R130" s="13"/>
      <c r="S130" s="13"/>
      <c r="T130" s="12"/>
    </row>
    <row r="131" spans="1:20" ht="20.100000000000001" customHeight="1">
      <c r="A131" s="2"/>
      <c r="B131" s="2"/>
      <c r="D131" s="15"/>
      <c r="E131" s="15"/>
      <c r="F131" s="15"/>
      <c r="G131" s="15"/>
      <c r="H131" s="15"/>
      <c r="I131" s="15"/>
      <c r="J131" s="15"/>
      <c r="K131" s="15"/>
      <c r="L131" s="15"/>
      <c r="M131" s="15"/>
      <c r="N131" s="15"/>
      <c r="O131" s="15"/>
      <c r="P131" s="15"/>
      <c r="Q131" s="15"/>
      <c r="R131" s="15"/>
      <c r="S131" s="15"/>
      <c r="T131" s="2"/>
    </row>
    <row r="132" spans="1:20" ht="20.100000000000001" customHeight="1">
      <c r="A132" s="2"/>
      <c r="B132" s="2"/>
      <c r="D132" s="15"/>
      <c r="E132" s="15"/>
      <c r="F132" s="15"/>
      <c r="G132" s="15"/>
      <c r="H132" s="15"/>
      <c r="I132" s="15"/>
      <c r="J132" s="15"/>
      <c r="K132" s="15"/>
      <c r="L132" s="15"/>
      <c r="M132" s="15"/>
      <c r="N132" s="15"/>
      <c r="O132" s="15"/>
      <c r="P132" s="15"/>
      <c r="Q132" s="15"/>
      <c r="R132" s="15"/>
      <c r="S132" s="15"/>
      <c r="T132" s="2"/>
    </row>
    <row r="134" spans="1:20" ht="48" customHeight="1">
      <c r="A134" s="5"/>
      <c r="B134" s="3"/>
      <c r="C134" s="1821" t="s">
        <v>10</v>
      </c>
      <c r="D134" s="1821"/>
      <c r="E134" s="1821"/>
      <c r="F134" s="1821"/>
      <c r="G134" s="1821"/>
      <c r="H134" s="1821"/>
      <c r="I134" s="1821"/>
      <c r="J134" s="1821"/>
      <c r="K134" s="1821"/>
      <c r="L134" s="1821"/>
      <c r="M134" s="1821"/>
      <c r="N134" s="1821"/>
      <c r="O134" s="1821"/>
      <c r="P134" s="1821"/>
      <c r="Q134" s="1821"/>
      <c r="R134" s="1821"/>
      <c r="S134" s="23"/>
      <c r="T134" s="23"/>
    </row>
    <row r="145" spans="1:20" ht="19.5" customHeight="1"/>
    <row r="148" spans="1:20" ht="48" customHeight="1">
      <c r="A148" s="5"/>
      <c r="B148" s="3"/>
      <c r="C148" s="1821" t="s">
        <v>11</v>
      </c>
      <c r="D148" s="1821"/>
      <c r="E148" s="1821"/>
      <c r="F148" s="1821"/>
      <c r="G148" s="1821"/>
      <c r="H148" s="1821"/>
      <c r="I148" s="1821"/>
      <c r="J148" s="1821"/>
      <c r="K148" s="1821"/>
      <c r="L148" s="1821"/>
      <c r="M148" s="1821"/>
      <c r="N148" s="1821"/>
      <c r="O148" s="1821"/>
      <c r="P148" s="1821"/>
      <c r="Q148" s="1821"/>
      <c r="R148" s="1821"/>
      <c r="S148" s="23"/>
      <c r="T148" s="23"/>
    </row>
    <row r="162" spans="1:20" ht="48" customHeight="1">
      <c r="A162" s="5"/>
      <c r="B162" s="3"/>
      <c r="C162" s="1821" t="s">
        <v>12</v>
      </c>
      <c r="D162" s="1821"/>
      <c r="E162" s="1821"/>
      <c r="F162" s="1821"/>
      <c r="G162" s="1821"/>
      <c r="H162" s="1821"/>
      <c r="I162" s="1821"/>
      <c r="J162" s="1821"/>
      <c r="K162" s="1821"/>
      <c r="L162" s="1821"/>
      <c r="M162" s="1821"/>
      <c r="N162" s="1821"/>
      <c r="O162" s="1821"/>
      <c r="P162" s="1821"/>
      <c r="Q162" s="1821"/>
      <c r="R162" s="1821"/>
      <c r="S162" s="23"/>
      <c r="T162" s="23"/>
    </row>
    <row r="175" spans="1:20" ht="48" customHeight="1">
      <c r="A175" s="5"/>
      <c r="B175" s="3"/>
      <c r="C175" s="1821" t="s">
        <v>13</v>
      </c>
      <c r="D175" s="1821"/>
      <c r="E175" s="1821"/>
      <c r="F175" s="1821"/>
      <c r="G175" s="1821"/>
      <c r="H175" s="1821"/>
      <c r="I175" s="1821"/>
      <c r="J175" s="1821"/>
      <c r="K175" s="1821"/>
      <c r="L175" s="1821"/>
      <c r="M175" s="1821"/>
      <c r="N175" s="1821"/>
      <c r="O175" s="1821"/>
      <c r="P175" s="1821"/>
      <c r="Q175" s="1821"/>
      <c r="R175" s="1821"/>
      <c r="S175" s="23"/>
      <c r="T175" s="23"/>
    </row>
    <row r="188" spans="1:20" ht="48" customHeight="1">
      <c r="A188" s="5"/>
      <c r="B188" s="3"/>
      <c r="C188" s="1821" t="s">
        <v>14</v>
      </c>
      <c r="D188" s="1821"/>
      <c r="E188" s="1821"/>
      <c r="F188" s="1821"/>
      <c r="G188" s="1821"/>
      <c r="H188" s="1821"/>
      <c r="I188" s="1821"/>
      <c r="J188" s="1821"/>
      <c r="K188" s="1821"/>
      <c r="L188" s="1821"/>
      <c r="M188" s="1821"/>
      <c r="N188" s="1821"/>
      <c r="O188" s="1821"/>
      <c r="P188" s="1821"/>
      <c r="Q188" s="1821"/>
      <c r="R188" s="1821"/>
      <c r="S188" s="23"/>
      <c r="T188" s="23"/>
    </row>
    <row r="189" spans="1:20" ht="20.100000000000001" customHeight="1">
      <c r="A189" s="2"/>
      <c r="B189" s="2"/>
      <c r="D189" s="17"/>
      <c r="E189" s="17"/>
      <c r="F189" s="17"/>
      <c r="G189" s="17"/>
      <c r="H189" s="17"/>
      <c r="I189" s="17"/>
      <c r="J189" s="17"/>
      <c r="K189" s="17"/>
      <c r="L189" s="17"/>
      <c r="M189" s="17"/>
      <c r="N189" s="17"/>
      <c r="O189" s="17"/>
      <c r="P189" s="17"/>
      <c r="Q189" s="17"/>
      <c r="R189" s="17"/>
      <c r="S189" s="17"/>
      <c r="T189" s="2"/>
    </row>
  </sheetData>
  <sheetProtection formatCells="0" formatColumns="0" formatRows="0" insertColumns="0" insertRows="0" insertHyperlinks="0" deleteColumns="0" deleteRows="0" selectLockedCells="1"/>
  <mergeCells count="15">
    <mergeCell ref="G4:N4"/>
    <mergeCell ref="C10:R10"/>
    <mergeCell ref="F31:O31"/>
    <mergeCell ref="F32:O32"/>
    <mergeCell ref="D50:Q50"/>
    <mergeCell ref="D64:Q64"/>
    <mergeCell ref="D78:Q78"/>
    <mergeCell ref="C92:R92"/>
    <mergeCell ref="C106:R106"/>
    <mergeCell ref="C120:R120"/>
    <mergeCell ref="C134:R134"/>
    <mergeCell ref="C148:R148"/>
    <mergeCell ref="C162:R162"/>
    <mergeCell ref="C175:R175"/>
    <mergeCell ref="C188:R188"/>
  </mergeCells>
  <phoneticPr fontId="155"/>
  <pageMargins left="0.59027777777777801" right="0.39374999999999999" top="0.98402777777777795" bottom="0.78749999999999998" header="0.511811023622047" footer="0.511811023622047"/>
  <pageSetup paperSize="9" scale="99" firstPageNumber="3" orientation="portrait" useFirstPageNumber="1" horizontalDpi="300" verticalDpi="300"/>
  <rowBreaks count="11" manualBreakCount="11">
    <brk id="51" max="16383" man="1"/>
    <brk id="65" max="16383" man="1"/>
    <brk id="79" max="16383" man="1"/>
    <brk id="93" max="16383" man="1"/>
    <brk id="107" max="16383" man="1"/>
    <brk id="121" max="16383" man="1"/>
    <brk id="135" max="16383" man="1"/>
    <brk id="149" max="16383" man="1"/>
    <brk id="162" max="16383" man="1"/>
    <brk id="175" max="16383" man="1"/>
    <brk id="188"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CFA06-652E-4001-8AF2-BC8C07613BE8}">
  <sheetPr codeName="Sheet4"/>
  <dimension ref="A1:IW62"/>
  <sheetViews>
    <sheetView zoomScaleNormal="100" zoomScalePageLayoutView="60" workbookViewId="0">
      <selection sqref="A1:R2"/>
    </sheetView>
  </sheetViews>
  <sheetFormatPr defaultColWidth="5.21875" defaultRowHeight="21"/>
  <cols>
    <col min="1" max="8" width="5.21875" style="27"/>
    <col min="9" max="9" width="5.33203125" style="27" customWidth="1"/>
    <col min="10" max="257" width="5.21875" style="27"/>
  </cols>
  <sheetData>
    <row r="1" spans="1:19" ht="15" customHeight="1">
      <c r="A1" s="1832" t="s">
        <v>248</v>
      </c>
      <c r="B1" s="1832"/>
      <c r="C1" s="1832"/>
      <c r="D1" s="1832"/>
      <c r="E1" s="1832"/>
      <c r="F1" s="1832"/>
      <c r="G1" s="1832"/>
      <c r="H1" s="1832"/>
      <c r="I1" s="1832"/>
      <c r="J1" s="1832"/>
      <c r="K1" s="1832"/>
      <c r="L1" s="1832"/>
      <c r="M1" s="1832"/>
      <c r="N1" s="1832"/>
      <c r="O1" s="1832"/>
      <c r="P1" s="1832"/>
      <c r="Q1" s="1832"/>
      <c r="R1" s="1832"/>
      <c r="S1" s="28"/>
    </row>
    <row r="2" spans="1:19" ht="15" customHeight="1">
      <c r="A2" s="1832"/>
      <c r="B2" s="1832"/>
      <c r="C2" s="1832"/>
      <c r="D2" s="1832"/>
      <c r="E2" s="1832"/>
      <c r="F2" s="1832"/>
      <c r="G2" s="1832"/>
      <c r="H2" s="1832"/>
      <c r="I2" s="1832"/>
      <c r="J2" s="1832"/>
      <c r="K2" s="1832"/>
      <c r="L2" s="1832"/>
      <c r="M2" s="1832"/>
      <c r="N2" s="1832"/>
      <c r="O2" s="1832"/>
      <c r="P2" s="1832"/>
      <c r="Q2" s="1832"/>
      <c r="R2" s="1832"/>
      <c r="S2" s="28"/>
    </row>
    <row r="3" spans="1:19" ht="15" customHeight="1">
      <c r="A3" s="29"/>
      <c r="B3" s="29"/>
      <c r="C3" s="29"/>
      <c r="D3" s="29"/>
      <c r="E3" s="29"/>
      <c r="F3" s="29"/>
      <c r="G3" s="29"/>
      <c r="H3" s="29"/>
      <c r="I3" s="29"/>
      <c r="J3" s="29"/>
      <c r="K3" s="29"/>
      <c r="L3" s="29"/>
      <c r="M3" s="29"/>
      <c r="N3" s="29"/>
      <c r="O3" s="29"/>
      <c r="P3" s="29"/>
      <c r="Q3" s="29"/>
      <c r="R3" s="29"/>
      <c r="S3" s="28"/>
    </row>
    <row r="4" spans="1:19" ht="15" customHeight="1">
      <c r="A4" s="29"/>
      <c r="B4" s="29"/>
      <c r="C4" s="29"/>
      <c r="D4" s="29"/>
      <c r="E4" s="29"/>
      <c r="F4" s="29"/>
      <c r="G4" s="29"/>
      <c r="H4" s="29"/>
      <c r="I4" s="29"/>
      <c r="J4" s="29"/>
      <c r="K4" s="29"/>
      <c r="L4" s="29"/>
      <c r="M4" s="29"/>
      <c r="N4" s="29"/>
      <c r="O4" s="29"/>
      <c r="P4" s="29"/>
      <c r="Q4" s="29"/>
      <c r="R4" s="29"/>
      <c r="S4" s="28"/>
    </row>
    <row r="5" spans="1:19" ht="12" customHeight="1">
      <c r="A5" s="30"/>
      <c r="B5" s="30"/>
      <c r="C5" s="30"/>
      <c r="D5" s="30"/>
      <c r="E5" s="30"/>
    </row>
    <row r="6" spans="1:19" ht="12" customHeight="1">
      <c r="A6" s="30"/>
      <c r="B6" s="30"/>
      <c r="C6" s="30"/>
      <c r="D6" s="30"/>
      <c r="E6" s="30"/>
    </row>
    <row r="7" spans="1:19" ht="12" customHeight="1">
      <c r="A7" s="30"/>
      <c r="B7" s="30"/>
      <c r="C7" s="30"/>
      <c r="D7" s="30"/>
      <c r="E7" s="30"/>
    </row>
    <row r="8" spans="1:19" ht="12" customHeight="1">
      <c r="A8" s="30"/>
      <c r="B8" s="30"/>
      <c r="C8" s="30"/>
      <c r="D8" s="30"/>
      <c r="E8" s="30"/>
    </row>
    <row r="9" spans="1:19" ht="12" customHeight="1">
      <c r="A9" s="30"/>
      <c r="B9" s="1830">
        <v>1</v>
      </c>
      <c r="C9" s="1827" t="s">
        <v>4</v>
      </c>
      <c r="D9" s="1827"/>
      <c r="E9" s="1827"/>
      <c r="F9" s="1827"/>
      <c r="G9" s="1827"/>
      <c r="H9" s="1827"/>
      <c r="I9" s="31"/>
      <c r="J9" s="31"/>
      <c r="O9" s="1829">
        <v>1</v>
      </c>
      <c r="P9" s="1828"/>
    </row>
    <row r="10" spans="1:19" ht="12" customHeight="1">
      <c r="A10" s="30"/>
      <c r="B10" s="1831"/>
      <c r="C10" s="1827"/>
      <c r="D10" s="1827"/>
      <c r="E10" s="1827"/>
      <c r="F10" s="1827"/>
      <c r="G10" s="1827"/>
      <c r="H10" s="1827"/>
      <c r="I10" s="31"/>
      <c r="J10" s="32"/>
      <c r="K10" s="32"/>
      <c r="L10" s="32"/>
      <c r="M10" s="32"/>
      <c r="N10" s="32"/>
      <c r="O10" s="1828"/>
      <c r="P10" s="1828"/>
    </row>
    <row r="14" spans="1:19" ht="12" customHeight="1">
      <c r="A14" s="30"/>
      <c r="B14" s="30"/>
      <c r="C14" s="30"/>
      <c r="D14" s="30"/>
      <c r="E14" s="30"/>
      <c r="F14" s="30"/>
      <c r="G14" s="30"/>
      <c r="H14" s="30"/>
    </row>
    <row r="15" spans="1:19" ht="12" customHeight="1">
      <c r="B15" s="1830">
        <v>2</v>
      </c>
      <c r="C15" s="1827" t="s">
        <v>5</v>
      </c>
      <c r="D15" s="1827"/>
      <c r="E15" s="1827"/>
      <c r="F15" s="1827"/>
      <c r="G15" s="1827"/>
      <c r="H15" s="1827"/>
      <c r="I15" s="31"/>
      <c r="J15" s="31"/>
      <c r="O15" s="1829">
        <v>3</v>
      </c>
      <c r="P15" s="1828"/>
    </row>
    <row r="16" spans="1:19" ht="12" customHeight="1">
      <c r="B16" s="1831"/>
      <c r="C16" s="1827"/>
      <c r="D16" s="1827"/>
      <c r="E16" s="1827"/>
      <c r="F16" s="1827"/>
      <c r="G16" s="1827"/>
      <c r="H16" s="1827"/>
      <c r="I16" s="31"/>
      <c r="J16" s="32"/>
      <c r="K16" s="32"/>
      <c r="L16" s="32"/>
      <c r="M16" s="32"/>
      <c r="N16" s="32"/>
      <c r="O16" s="1828"/>
      <c r="P16" s="1828"/>
    </row>
    <row r="17" spans="1:16" ht="12" customHeight="1">
      <c r="C17" s="33"/>
      <c r="D17" s="33"/>
      <c r="E17" s="33"/>
      <c r="F17" s="33"/>
      <c r="G17" s="33"/>
      <c r="H17" s="33"/>
      <c r="I17" s="34"/>
      <c r="J17" s="34"/>
    </row>
    <row r="18" spans="1:16" ht="12" customHeight="1">
      <c r="C18" s="33"/>
      <c r="D18" s="33"/>
      <c r="E18" s="33"/>
      <c r="F18" s="33"/>
      <c r="G18" s="33"/>
      <c r="H18" s="33"/>
      <c r="I18" s="34"/>
      <c r="J18" s="34"/>
    </row>
    <row r="19" spans="1:16" ht="12" customHeight="1">
      <c r="C19" s="33"/>
      <c r="D19" s="33"/>
      <c r="E19" s="33"/>
      <c r="F19" s="33"/>
      <c r="G19" s="33"/>
      <c r="H19" s="33"/>
      <c r="I19" s="34"/>
      <c r="J19" s="34"/>
    </row>
    <row r="20" spans="1:16" ht="12" customHeight="1">
      <c r="C20" s="33"/>
      <c r="D20" s="33"/>
      <c r="E20" s="33"/>
      <c r="F20" s="33"/>
      <c r="G20" s="33"/>
      <c r="H20" s="33"/>
      <c r="I20" s="34"/>
      <c r="J20" s="34"/>
    </row>
    <row r="21" spans="1:16" ht="12" customHeight="1">
      <c r="B21" s="1830">
        <v>3</v>
      </c>
      <c r="C21" s="1827" t="s">
        <v>6</v>
      </c>
      <c r="D21" s="1827"/>
      <c r="E21" s="1827"/>
      <c r="F21" s="1827"/>
      <c r="G21" s="1827"/>
      <c r="H21" s="1827"/>
      <c r="I21" s="31"/>
      <c r="J21" s="31"/>
      <c r="O21" s="1828"/>
      <c r="P21" s="1828"/>
    </row>
    <row r="22" spans="1:16" ht="12" customHeight="1">
      <c r="B22" s="1831"/>
      <c r="C22" s="1827"/>
      <c r="D22" s="1827"/>
      <c r="E22" s="1827"/>
      <c r="F22" s="1827"/>
      <c r="G22" s="1827"/>
      <c r="H22" s="1827"/>
      <c r="I22" s="31"/>
      <c r="J22" s="35"/>
      <c r="K22" s="35"/>
      <c r="L22" s="35"/>
      <c r="M22" s="35"/>
      <c r="N22" s="35"/>
      <c r="O22" s="1828"/>
      <c r="P22" s="1828"/>
    </row>
    <row r="23" spans="1:16" ht="12" customHeight="1">
      <c r="C23" s="33"/>
      <c r="D23" s="33"/>
      <c r="E23" s="33"/>
      <c r="F23" s="33"/>
      <c r="G23" s="33"/>
      <c r="H23" s="33"/>
      <c r="I23" s="34"/>
      <c r="J23" s="34"/>
    </row>
    <row r="24" spans="1:16" ht="12" customHeight="1">
      <c r="C24" s="33"/>
      <c r="D24" s="33"/>
      <c r="E24" s="33"/>
      <c r="F24" s="33"/>
      <c r="G24" s="33"/>
      <c r="H24" s="33"/>
      <c r="I24" s="34"/>
      <c r="J24" s="34"/>
    </row>
    <row r="25" spans="1:16" ht="12" customHeight="1">
      <c r="C25" s="1827" t="s">
        <v>7</v>
      </c>
      <c r="D25" s="1827"/>
      <c r="E25" s="1827"/>
      <c r="F25" s="1827"/>
      <c r="G25" s="1827"/>
      <c r="H25" s="1827"/>
      <c r="I25" s="31"/>
      <c r="J25" s="31"/>
      <c r="O25" s="1829">
        <v>27</v>
      </c>
      <c r="P25" s="1828"/>
    </row>
    <row r="26" spans="1:16" ht="12" customHeight="1">
      <c r="C26" s="1827"/>
      <c r="D26" s="1827"/>
      <c r="E26" s="1827"/>
      <c r="F26" s="1827"/>
      <c r="G26" s="1827"/>
      <c r="H26" s="1827"/>
      <c r="I26" s="31"/>
      <c r="J26" s="32"/>
      <c r="K26" s="32"/>
      <c r="L26" s="32"/>
      <c r="M26" s="32"/>
      <c r="N26" s="32"/>
      <c r="O26" s="1828"/>
      <c r="P26" s="1828"/>
    </row>
    <row r="27" spans="1:16" ht="12" customHeight="1">
      <c r="C27" s="33"/>
      <c r="D27" s="33"/>
      <c r="E27" s="33"/>
      <c r="F27" s="33"/>
      <c r="G27" s="33"/>
      <c r="H27" s="33"/>
      <c r="I27" s="34"/>
      <c r="J27" s="34"/>
    </row>
    <row r="28" spans="1:16" ht="12" customHeight="1">
      <c r="C28" s="1827" t="s">
        <v>8</v>
      </c>
      <c r="D28" s="1827"/>
      <c r="E28" s="1827"/>
      <c r="F28" s="1827"/>
      <c r="G28" s="1827"/>
      <c r="H28" s="1827"/>
      <c r="I28" s="31"/>
      <c r="J28" s="31"/>
      <c r="O28" s="1829">
        <v>31</v>
      </c>
      <c r="P28" s="1828"/>
    </row>
    <row r="29" spans="1:16" ht="12" customHeight="1">
      <c r="C29" s="1827"/>
      <c r="D29" s="1827"/>
      <c r="E29" s="1827"/>
      <c r="F29" s="1827"/>
      <c r="G29" s="1827"/>
      <c r="H29" s="1827"/>
      <c r="I29" s="31"/>
      <c r="J29" s="32"/>
      <c r="K29" s="32"/>
      <c r="L29" s="32"/>
      <c r="M29" s="32"/>
      <c r="N29" s="32"/>
      <c r="O29" s="1828"/>
      <c r="P29" s="1828"/>
    </row>
    <row r="30" spans="1:16" ht="12" customHeight="1">
      <c r="C30" s="33"/>
      <c r="D30" s="33"/>
      <c r="E30" s="33"/>
      <c r="F30" s="33"/>
      <c r="G30" s="33"/>
      <c r="H30" s="33"/>
      <c r="I30" s="34"/>
      <c r="J30" s="34"/>
    </row>
    <row r="31" spans="1:16" ht="12" customHeight="1">
      <c r="C31" s="1827" t="s">
        <v>9</v>
      </c>
      <c r="D31" s="1827"/>
      <c r="E31" s="1827"/>
      <c r="F31" s="1827"/>
      <c r="G31" s="1827"/>
      <c r="H31" s="1827"/>
      <c r="I31" s="31"/>
      <c r="J31" s="31"/>
      <c r="O31" s="1829">
        <v>35</v>
      </c>
      <c r="P31" s="1828"/>
    </row>
    <row r="32" spans="1:16" ht="12" customHeight="1">
      <c r="A32" s="36"/>
      <c r="B32" s="36"/>
      <c r="C32" s="1827"/>
      <c r="D32" s="1827"/>
      <c r="E32" s="1827"/>
      <c r="F32" s="1827"/>
      <c r="G32" s="1827"/>
      <c r="H32" s="1827"/>
      <c r="I32" s="31"/>
      <c r="J32" s="32"/>
      <c r="K32" s="32"/>
      <c r="L32" s="32"/>
      <c r="M32" s="32"/>
      <c r="N32" s="32"/>
      <c r="O32" s="1828"/>
      <c r="P32" s="1828"/>
    </row>
    <row r="34" spans="3:16" ht="12" customHeight="1">
      <c r="C34" s="1827" t="s">
        <v>10</v>
      </c>
      <c r="D34" s="1827"/>
      <c r="E34" s="1827"/>
      <c r="F34" s="1827"/>
      <c r="G34" s="1827"/>
      <c r="H34" s="1827"/>
      <c r="I34" s="31"/>
      <c r="J34" s="31"/>
      <c r="O34" s="1829">
        <v>39</v>
      </c>
      <c r="P34" s="1828"/>
    </row>
    <row r="35" spans="3:16" ht="12" customHeight="1">
      <c r="C35" s="1827"/>
      <c r="D35" s="1827"/>
      <c r="E35" s="1827"/>
      <c r="F35" s="1827"/>
      <c r="G35" s="1827"/>
      <c r="H35" s="1827"/>
      <c r="I35" s="31"/>
      <c r="J35" s="32"/>
      <c r="K35" s="32"/>
      <c r="L35" s="32"/>
      <c r="M35" s="32"/>
      <c r="N35" s="32"/>
      <c r="O35" s="1828"/>
      <c r="P35" s="1828"/>
    </row>
    <row r="37" spans="3:16" ht="12" customHeight="1">
      <c r="C37" s="1827" t="s">
        <v>11</v>
      </c>
      <c r="D37" s="1827"/>
      <c r="E37" s="1827"/>
      <c r="F37" s="1827"/>
      <c r="G37" s="1827"/>
      <c r="H37" s="1827"/>
      <c r="I37" s="31"/>
      <c r="J37" s="31"/>
      <c r="O37" s="1829">
        <v>43</v>
      </c>
      <c r="P37" s="1828"/>
    </row>
    <row r="38" spans="3:16" ht="12" customHeight="1">
      <c r="C38" s="1827"/>
      <c r="D38" s="1827"/>
      <c r="E38" s="1827"/>
      <c r="F38" s="1827"/>
      <c r="G38" s="1827"/>
      <c r="H38" s="1827"/>
      <c r="I38" s="31"/>
      <c r="J38" s="32"/>
      <c r="K38" s="32"/>
      <c r="L38" s="32"/>
      <c r="M38" s="32"/>
      <c r="N38" s="32"/>
      <c r="O38" s="1828"/>
      <c r="P38" s="1828"/>
    </row>
    <row r="40" spans="3:16" ht="12" customHeight="1">
      <c r="C40" s="1827" t="s">
        <v>12</v>
      </c>
      <c r="D40" s="1827"/>
      <c r="E40" s="1827"/>
      <c r="F40" s="1827"/>
      <c r="G40" s="1827"/>
      <c r="H40" s="1827"/>
      <c r="I40" s="31"/>
      <c r="J40" s="31"/>
      <c r="O40" s="1829">
        <v>47</v>
      </c>
      <c r="P40" s="1828"/>
    </row>
    <row r="41" spans="3:16" ht="12" customHeight="1">
      <c r="C41" s="1827"/>
      <c r="D41" s="1827"/>
      <c r="E41" s="1827"/>
      <c r="F41" s="1827"/>
      <c r="G41" s="1827"/>
      <c r="H41" s="1827"/>
      <c r="I41" s="31"/>
      <c r="J41" s="32"/>
      <c r="K41" s="32"/>
      <c r="L41" s="32"/>
      <c r="M41" s="32"/>
      <c r="N41" s="32"/>
      <c r="O41" s="1828"/>
      <c r="P41" s="1828"/>
    </row>
    <row r="43" spans="3:16" ht="12" customHeight="1">
      <c r="C43" s="1827" t="s">
        <v>13</v>
      </c>
      <c r="D43" s="1827"/>
      <c r="E43" s="1827"/>
      <c r="F43" s="1827"/>
      <c r="G43" s="1827"/>
      <c r="H43" s="1827"/>
      <c r="I43" s="31"/>
      <c r="J43" s="31"/>
      <c r="O43" s="1829">
        <v>53</v>
      </c>
      <c r="P43" s="1828"/>
    </row>
    <row r="44" spans="3:16" ht="12" customHeight="1">
      <c r="C44" s="1827"/>
      <c r="D44" s="1827"/>
      <c r="E44" s="1827"/>
      <c r="F44" s="1827"/>
      <c r="G44" s="1827"/>
      <c r="H44" s="1827"/>
      <c r="I44" s="31"/>
      <c r="J44" s="32"/>
      <c r="K44" s="32"/>
      <c r="L44" s="32"/>
      <c r="M44" s="32"/>
      <c r="N44" s="32"/>
      <c r="O44" s="1828"/>
      <c r="P44" s="1828"/>
    </row>
    <row r="45" spans="3:16" ht="12" customHeight="1">
      <c r="C45" s="36"/>
      <c r="D45" s="36"/>
      <c r="E45" s="36"/>
      <c r="F45" s="36"/>
      <c r="G45" s="36"/>
      <c r="H45" s="36"/>
      <c r="I45" s="31"/>
      <c r="J45" s="35"/>
      <c r="K45" s="35"/>
      <c r="L45" s="35"/>
      <c r="M45" s="35"/>
      <c r="N45" s="35"/>
      <c r="O45" s="37"/>
      <c r="P45" s="37"/>
    </row>
    <row r="46" spans="3:16" ht="12" customHeight="1">
      <c r="C46" s="1827" t="s">
        <v>14</v>
      </c>
      <c r="D46" s="1827"/>
      <c r="E46" s="1827"/>
      <c r="F46" s="1827"/>
      <c r="G46" s="1827"/>
      <c r="H46" s="1827"/>
      <c r="I46" s="31"/>
      <c r="J46" s="31"/>
      <c r="O46" s="1829">
        <v>59</v>
      </c>
      <c r="P46" s="1828"/>
    </row>
    <row r="47" spans="3:16" ht="12" customHeight="1">
      <c r="C47" s="1827"/>
      <c r="D47" s="1827"/>
      <c r="E47" s="1827"/>
      <c r="F47" s="1827"/>
      <c r="G47" s="1827"/>
      <c r="H47" s="1827"/>
      <c r="I47" s="31"/>
      <c r="J47" s="32"/>
      <c r="K47" s="32"/>
      <c r="L47" s="32"/>
      <c r="M47" s="32"/>
      <c r="N47" s="32"/>
      <c r="O47" s="1828"/>
      <c r="P47" s="1828"/>
    </row>
    <row r="48" spans="3:16" ht="12" customHeight="1">
      <c r="C48" s="34"/>
      <c r="D48" s="34"/>
      <c r="E48" s="34"/>
      <c r="F48" s="34"/>
      <c r="G48" s="34"/>
      <c r="H48" s="34"/>
      <c r="I48" s="34"/>
      <c r="J48" s="34"/>
    </row>
    <row r="49" spans="3:16" ht="12" customHeight="1">
      <c r="C49" s="1827"/>
      <c r="D49" s="1827"/>
      <c r="E49" s="1827"/>
      <c r="F49" s="1827"/>
      <c r="G49" s="1827"/>
      <c r="H49" s="1827"/>
      <c r="I49" s="31"/>
      <c r="J49" s="38"/>
      <c r="K49" s="35"/>
      <c r="L49" s="35"/>
      <c r="M49" s="35"/>
      <c r="N49" s="35"/>
      <c r="O49" s="1828"/>
      <c r="P49" s="1828"/>
    </row>
    <row r="50" spans="3:16" ht="12" customHeight="1">
      <c r="C50" s="1827"/>
      <c r="D50" s="1827"/>
      <c r="E50" s="1827"/>
      <c r="F50" s="1827"/>
      <c r="G50" s="1827"/>
      <c r="H50" s="1827"/>
      <c r="I50" s="31"/>
      <c r="J50" s="35"/>
      <c r="K50" s="35"/>
      <c r="L50" s="35"/>
      <c r="M50" s="35"/>
      <c r="N50" s="35"/>
      <c r="O50" s="1828"/>
      <c r="P50" s="1828"/>
    </row>
    <row r="51" spans="3:16" ht="12" customHeight="1">
      <c r="C51" s="36"/>
      <c r="D51" s="36"/>
      <c r="E51" s="36"/>
      <c r="F51" s="36"/>
      <c r="G51" s="36"/>
      <c r="H51" s="36"/>
      <c r="I51" s="31"/>
      <c r="J51" s="35"/>
      <c r="K51" s="35"/>
      <c r="L51" s="35"/>
      <c r="M51" s="35"/>
      <c r="N51" s="35"/>
      <c r="O51" s="37"/>
      <c r="P51" s="37"/>
    </row>
    <row r="52" spans="3:16" ht="12" customHeight="1">
      <c r="I52" s="31"/>
      <c r="J52" s="31"/>
      <c r="O52" s="1828"/>
      <c r="P52" s="1828"/>
    </row>
    <row r="53" spans="3:16" ht="12" customHeight="1">
      <c r="I53" s="31"/>
      <c r="J53" s="35"/>
      <c r="K53" s="35"/>
      <c r="L53" s="35"/>
      <c r="M53" s="35"/>
      <c r="N53" s="35"/>
      <c r="O53" s="1828"/>
      <c r="P53" s="1828"/>
    </row>
    <row r="54" spans="3:16" ht="12" customHeight="1">
      <c r="C54" s="34"/>
      <c r="D54" s="34"/>
      <c r="E54" s="34"/>
      <c r="F54" s="34"/>
      <c r="G54" s="34"/>
      <c r="H54" s="34"/>
      <c r="I54" s="34"/>
      <c r="J54" s="39"/>
      <c r="K54" s="35"/>
      <c r="L54" s="35"/>
      <c r="M54" s="35"/>
      <c r="N54" s="35"/>
    </row>
    <row r="55" spans="3:16" ht="12" customHeight="1">
      <c r="C55" s="1827"/>
      <c r="D55" s="1827"/>
      <c r="E55" s="1827"/>
      <c r="F55" s="1827"/>
      <c r="G55" s="1827"/>
      <c r="H55" s="1827"/>
      <c r="I55" s="31"/>
      <c r="J55" s="38"/>
      <c r="K55" s="35"/>
      <c r="L55" s="35"/>
      <c r="M55" s="35"/>
      <c r="N55" s="35"/>
      <c r="O55" s="1828"/>
      <c r="P55" s="1828"/>
    </row>
    <row r="56" spans="3:16" ht="12" customHeight="1">
      <c r="C56" s="1827"/>
      <c r="D56" s="1827"/>
      <c r="E56" s="1827"/>
      <c r="F56" s="1827"/>
      <c r="G56" s="1827"/>
      <c r="H56" s="1827"/>
      <c r="I56" s="31"/>
      <c r="J56" s="35"/>
      <c r="K56" s="35"/>
      <c r="L56" s="35"/>
      <c r="M56" s="35"/>
      <c r="N56" s="35"/>
      <c r="O56" s="1828"/>
      <c r="P56" s="1828"/>
    </row>
    <row r="57" spans="3:16" ht="12" customHeight="1">
      <c r="C57" s="34"/>
      <c r="D57" s="34"/>
      <c r="E57" s="34"/>
      <c r="F57" s="34"/>
      <c r="G57" s="34"/>
      <c r="H57" s="34"/>
      <c r="I57" s="34"/>
      <c r="J57" s="34"/>
    </row>
    <row r="58" spans="3:16" ht="12" customHeight="1">
      <c r="C58" s="34"/>
      <c r="D58" s="34"/>
      <c r="E58" s="34"/>
      <c r="F58" s="34"/>
      <c r="G58" s="34"/>
      <c r="H58" s="34"/>
      <c r="I58" s="34"/>
      <c r="J58" s="34"/>
    </row>
    <row r="61" spans="3:16" ht="12" customHeight="1">
      <c r="C61" s="34"/>
      <c r="D61" s="34"/>
      <c r="E61" s="34"/>
      <c r="F61" s="34"/>
      <c r="G61" s="34"/>
      <c r="H61" s="34"/>
      <c r="I61" s="34"/>
    </row>
    <row r="62" spans="3:16" ht="12" customHeight="1">
      <c r="C62" s="34"/>
      <c r="D62" s="34"/>
      <c r="E62" s="34"/>
      <c r="F62" s="34"/>
      <c r="G62" s="34"/>
      <c r="H62" s="34"/>
      <c r="I62" s="34"/>
    </row>
  </sheetData>
  <sheetProtection formatCells="0" formatColumns="0" formatRows="0" insertColumns="0" insertRows="0" insertHyperlinks="0" deleteColumns="0" deleteRows="0" selectLockedCells="1"/>
  <mergeCells count="31">
    <mergeCell ref="A1:R2"/>
    <mergeCell ref="B9:B10"/>
    <mergeCell ref="C9:H10"/>
    <mergeCell ref="O9:P10"/>
    <mergeCell ref="B15:B16"/>
    <mergeCell ref="C15:H16"/>
    <mergeCell ref="O15:P16"/>
    <mergeCell ref="B21:B22"/>
    <mergeCell ref="C21:H22"/>
    <mergeCell ref="O21:P22"/>
    <mergeCell ref="C25:H26"/>
    <mergeCell ref="O25:P26"/>
    <mergeCell ref="C28:H29"/>
    <mergeCell ref="O28:P29"/>
    <mergeCell ref="C31:H32"/>
    <mergeCell ref="O31:P32"/>
    <mergeCell ref="C34:H35"/>
    <mergeCell ref="O34:P35"/>
    <mergeCell ref="C37:H38"/>
    <mergeCell ref="O37:P38"/>
    <mergeCell ref="C40:H41"/>
    <mergeCell ref="O40:P41"/>
    <mergeCell ref="C43:H44"/>
    <mergeCell ref="O43:P44"/>
    <mergeCell ref="C55:H56"/>
    <mergeCell ref="O55:P56"/>
    <mergeCell ref="C46:H47"/>
    <mergeCell ref="O46:P47"/>
    <mergeCell ref="C49:H50"/>
    <mergeCell ref="O49:P50"/>
    <mergeCell ref="O52:P53"/>
  </mergeCells>
  <phoneticPr fontId="155"/>
  <conditionalFormatting sqref="B9 B15 B21 O9 O15 O25 O28 O31 O34 O37 O40 O43 O46">
    <cfRule type="expression" dxfId="6" priority="1">
      <formula>AND(入力色表示=1,NOT(_xlfn.ISFORMULA(B9)))</formula>
    </cfRule>
  </conditionalFormatting>
  <dataValidations count="1">
    <dataValidation allowBlank="1" showInputMessage="1" promptTitle="手入力セル" prompt="反映先：なし（このセルのみ）" sqref="B9 B15 B21 O9 O15 O25 O28 O31 O34 O37 O40 O43 O46"/>
  </dataValidations>
  <pageMargins left="0.66944444444444495" right="0.66944444444444495" top="0.98402777777777795" bottom="0.70833333333333304" header="0.511811023622047" footer="0.511811023622047"/>
  <pageSetup paperSize="9" scale="95" orientation="portrait" horizontalDpi="3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4310D-F731-4B1A-8B38-FD3DEEC5A90C}">
  <sheetPr codeName="Sheet5">
    <pageSetUpPr fitToPage="1"/>
  </sheetPr>
  <dimension ref="A1:IW73"/>
  <sheetViews>
    <sheetView topLeftCell="A48" zoomScaleNormal="100" zoomScalePageLayoutView="60" workbookViewId="0">
      <selection sqref="A1:G1"/>
    </sheetView>
  </sheetViews>
  <sheetFormatPr defaultColWidth="3.77734375" defaultRowHeight="13.2"/>
  <cols>
    <col min="1" max="1" width="3.88671875" style="40" customWidth="1"/>
    <col min="2" max="2" width="3.77734375" style="41"/>
    <col min="3" max="6" width="3.77734375" style="40"/>
    <col min="7" max="10" width="3.88671875" style="40" customWidth="1"/>
    <col min="11" max="16" width="3.77734375" style="40"/>
    <col min="17" max="17" width="4.6640625" style="40" customWidth="1"/>
    <col min="18" max="22" width="3.77734375" style="40"/>
    <col min="23" max="23" width="4.6640625" style="40" customWidth="1"/>
    <col min="24" max="257" width="3.77734375" style="40"/>
  </cols>
  <sheetData>
    <row r="1" spans="1:24" ht="24" customHeight="1">
      <c r="A1" s="42"/>
      <c r="B1" s="42"/>
      <c r="C1" s="43"/>
      <c r="D1" s="43"/>
      <c r="E1" s="43"/>
      <c r="F1" s="44"/>
      <c r="H1" s="45" t="str">
        <f>"令和"&amp;IF((入力ガイド!$C$6)&gt;=10,MID("０１２３４５６７８９",INT((入力ガイド!$C$6)/10)+1,1),"")&amp;MID("０１２３４５６７８９",MOD((入力ガイド!$C$6),10)+1,1)&amp;"年度"&amp;"事業状況報告書"</f>
        <v>令和７年度事業状況報告書</v>
      </c>
      <c r="I1" s="45"/>
      <c r="J1" s="45"/>
      <c r="K1" s="45"/>
      <c r="L1" s="45"/>
      <c r="M1" s="45"/>
      <c r="N1" s="45"/>
      <c r="O1" s="45"/>
      <c r="P1" s="45"/>
      <c r="Q1" s="46"/>
      <c r="R1" s="46"/>
      <c r="S1" s="43"/>
      <c r="T1" s="43"/>
      <c r="U1" s="43"/>
      <c r="V1" s="43"/>
      <c r="W1" s="43"/>
      <c r="X1" s="43"/>
    </row>
    <row r="2" spans="1:24" ht="24" customHeight="1">
      <c r="A2" s="42"/>
      <c r="B2" s="42"/>
      <c r="C2" s="43"/>
      <c r="D2" s="43"/>
      <c r="E2" s="43"/>
      <c r="F2" s="44"/>
      <c r="H2" s="45"/>
      <c r="I2" s="45"/>
      <c r="J2" s="45"/>
      <c r="K2" s="45"/>
      <c r="L2" s="45"/>
      <c r="M2" s="45"/>
      <c r="N2" s="45"/>
      <c r="O2" s="45"/>
      <c r="P2" s="45"/>
      <c r="Q2" s="46"/>
      <c r="R2" s="46"/>
      <c r="S2" s="43"/>
      <c r="T2" s="43"/>
      <c r="U2" s="43"/>
      <c r="V2" s="43"/>
      <c r="W2" s="43"/>
      <c r="X2" s="43"/>
    </row>
    <row r="3" spans="1:24" ht="30" customHeight="1">
      <c r="A3" s="42"/>
      <c r="C3" s="47" t="s">
        <v>249</v>
      </c>
      <c r="D3" s="47"/>
      <c r="E3" s="47"/>
      <c r="F3" s="47"/>
      <c r="G3" s="47"/>
      <c r="H3" s="47"/>
      <c r="I3" s="47"/>
      <c r="J3" s="47"/>
      <c r="K3" s="43"/>
      <c r="L3" s="43"/>
      <c r="M3" s="43"/>
      <c r="N3" s="43"/>
      <c r="O3" s="43"/>
      <c r="P3" s="43"/>
      <c r="Q3" s="43"/>
      <c r="R3" s="43"/>
      <c r="S3" s="43"/>
      <c r="T3" s="43"/>
      <c r="U3" s="43"/>
      <c r="V3" s="43"/>
      <c r="W3" s="43"/>
      <c r="X3" s="43"/>
    </row>
    <row r="4" spans="1:24" s="48" customFormat="1" ht="18" customHeight="1">
      <c r="A4" s="42"/>
      <c r="C4" s="49" t="s">
        <v>250</v>
      </c>
      <c r="D4" s="49"/>
      <c r="E4" s="50"/>
      <c r="F4" s="50"/>
      <c r="G4" s="50"/>
      <c r="H4" s="42"/>
      <c r="I4" s="42"/>
      <c r="J4" s="42"/>
      <c r="K4" s="42"/>
      <c r="L4" s="42"/>
      <c r="M4" s="42"/>
      <c r="N4" s="42"/>
      <c r="O4" s="42"/>
      <c r="P4" s="42"/>
      <c r="Q4" s="42"/>
      <c r="R4" s="42"/>
      <c r="S4" s="42"/>
      <c r="T4" s="42"/>
      <c r="U4" s="42"/>
      <c r="V4" s="42"/>
      <c r="W4" s="42"/>
      <c r="X4" s="42"/>
    </row>
    <row r="5" spans="1:24" s="48" customFormat="1" ht="15" customHeight="1">
      <c r="A5" s="42"/>
      <c r="C5" s="42"/>
      <c r="D5" s="1863" t="s">
        <v>251</v>
      </c>
      <c r="E5" s="1863"/>
      <c r="F5" s="1863"/>
      <c r="G5" s="1863"/>
      <c r="H5" s="1863"/>
      <c r="I5" s="1863"/>
      <c r="J5" s="1863"/>
      <c r="K5" s="1863"/>
      <c r="L5" s="1863"/>
      <c r="M5" s="1863"/>
      <c r="N5" s="1863"/>
      <c r="O5" s="1863"/>
      <c r="P5" s="1863"/>
      <c r="Q5" s="1863"/>
      <c r="R5" s="1863"/>
      <c r="S5" s="1863"/>
      <c r="T5" s="1863"/>
      <c r="U5" s="1863"/>
      <c r="V5" s="1863"/>
      <c r="W5" s="1863"/>
      <c r="X5" s="51"/>
    </row>
    <row r="6" spans="1:24" s="52" customFormat="1" ht="15" customHeight="1">
      <c r="A6" s="42"/>
      <c r="C6" s="42"/>
      <c r="D6" s="1863"/>
      <c r="E6" s="1863"/>
      <c r="F6" s="1863"/>
      <c r="G6" s="1863"/>
      <c r="H6" s="1863"/>
      <c r="I6" s="1863"/>
      <c r="J6" s="1863"/>
      <c r="K6" s="1863"/>
      <c r="L6" s="1863"/>
      <c r="M6" s="1863"/>
      <c r="N6" s="1863"/>
      <c r="O6" s="1863"/>
      <c r="P6" s="1863"/>
      <c r="Q6" s="1863"/>
      <c r="R6" s="1863"/>
      <c r="S6" s="1863"/>
      <c r="T6" s="1863"/>
      <c r="U6" s="1863"/>
      <c r="V6" s="1863"/>
      <c r="W6" s="1863"/>
      <c r="X6" s="51"/>
    </row>
    <row r="7" spans="1:24" s="48" customFormat="1" ht="10.5" customHeight="1">
      <c r="A7" s="42"/>
      <c r="C7" s="42"/>
      <c r="D7" s="42"/>
      <c r="E7" s="42"/>
      <c r="F7" s="42"/>
      <c r="G7" s="42"/>
      <c r="H7" s="42"/>
      <c r="I7" s="42"/>
      <c r="J7" s="42"/>
      <c r="K7" s="42"/>
      <c r="L7" s="42"/>
      <c r="M7" s="42"/>
      <c r="N7" s="42"/>
      <c r="O7" s="42"/>
      <c r="P7" s="42"/>
      <c r="Q7" s="42"/>
      <c r="R7" s="42"/>
      <c r="S7" s="42"/>
      <c r="T7" s="42"/>
      <c r="U7" s="42"/>
      <c r="V7" s="42"/>
      <c r="W7" s="42"/>
      <c r="X7" s="42"/>
    </row>
    <row r="8" spans="1:24" s="48" customFormat="1" ht="18.600000000000001" customHeight="1">
      <c r="A8" s="42"/>
      <c r="C8" s="49" t="s">
        <v>252</v>
      </c>
      <c r="D8" s="49"/>
      <c r="E8" s="49"/>
      <c r="F8" s="49"/>
      <c r="G8" s="49"/>
      <c r="H8" s="42"/>
      <c r="I8" s="42"/>
      <c r="J8" s="42"/>
      <c r="K8" s="42"/>
      <c r="L8" s="53"/>
      <c r="M8" s="53"/>
      <c r="N8" s="53"/>
      <c r="O8" s="53"/>
      <c r="P8" s="53"/>
      <c r="Q8" s="53"/>
      <c r="R8" s="42"/>
      <c r="S8" s="42"/>
      <c r="T8" s="42"/>
      <c r="U8" s="42"/>
      <c r="V8" s="42"/>
      <c r="W8" s="42"/>
      <c r="X8" s="42"/>
    </row>
    <row r="9" spans="1:24" s="48" customFormat="1" ht="18.600000000000001" customHeight="1">
      <c r="A9" s="42"/>
      <c r="C9" s="54"/>
      <c r="D9" s="41" t="s">
        <v>253</v>
      </c>
      <c r="E9" s="55" t="s">
        <v>254</v>
      </c>
      <c r="G9" s="42"/>
      <c r="H9" s="42"/>
      <c r="I9" s="42"/>
      <c r="J9" s="42"/>
      <c r="K9" s="42"/>
      <c r="L9" s="53"/>
      <c r="M9" s="53"/>
      <c r="O9" s="53"/>
      <c r="P9" s="53"/>
      <c r="Q9" s="53"/>
      <c r="R9" s="42"/>
      <c r="S9" s="42"/>
      <c r="T9" s="42"/>
      <c r="U9" s="42"/>
      <c r="V9" s="42"/>
      <c r="W9" s="42"/>
      <c r="X9" s="42"/>
    </row>
    <row r="10" spans="1:24" s="48" customFormat="1" ht="18.600000000000001" customHeight="1">
      <c r="A10" s="42"/>
      <c r="C10" s="42"/>
      <c r="D10" s="42"/>
      <c r="E10" s="56" t="s">
        <v>255</v>
      </c>
      <c r="F10" s="56"/>
      <c r="G10" s="56"/>
      <c r="H10" s="56"/>
      <c r="I10" s="56"/>
      <c r="J10" s="56"/>
      <c r="K10" s="42"/>
      <c r="L10" s="53"/>
      <c r="M10" s="53"/>
      <c r="O10" s="53"/>
      <c r="P10" s="53"/>
      <c r="Q10" s="42"/>
      <c r="R10" s="42"/>
      <c r="S10" s="42"/>
      <c r="T10" s="42"/>
      <c r="U10" s="42"/>
      <c r="V10" s="42"/>
      <c r="W10" s="54"/>
      <c r="X10" s="42"/>
    </row>
    <row r="11" spans="1:24" ht="18.600000000000001" customHeight="1">
      <c r="A11" s="53"/>
      <c r="C11" s="41"/>
      <c r="D11" s="41" t="s">
        <v>256</v>
      </c>
      <c r="E11" s="55" t="s">
        <v>257</v>
      </c>
      <c r="F11" s="54"/>
      <c r="G11" s="54"/>
      <c r="H11" s="54"/>
      <c r="I11" s="42"/>
      <c r="J11" s="42"/>
      <c r="K11" s="42"/>
      <c r="L11" s="42"/>
      <c r="M11" s="42"/>
      <c r="O11" s="42"/>
      <c r="P11" s="42"/>
      <c r="Q11" s="42"/>
      <c r="R11" s="42"/>
      <c r="S11" s="42"/>
      <c r="T11" s="42"/>
      <c r="U11" s="42"/>
      <c r="V11" s="42"/>
      <c r="W11" s="42"/>
      <c r="X11" s="42"/>
    </row>
    <row r="12" spans="1:24" ht="18.600000000000001" customHeight="1">
      <c r="A12" s="43"/>
      <c r="C12" s="42"/>
      <c r="D12" s="42"/>
      <c r="E12" s="55" t="s">
        <v>258</v>
      </c>
      <c r="F12" s="54"/>
      <c r="G12" s="54"/>
      <c r="H12" s="54"/>
      <c r="I12" s="54"/>
      <c r="J12" s="54"/>
      <c r="K12" s="42"/>
      <c r="L12" s="42"/>
      <c r="M12" s="42"/>
      <c r="O12" s="42"/>
      <c r="P12" s="42"/>
      <c r="Q12" s="43"/>
      <c r="R12" s="43"/>
      <c r="S12" s="43"/>
      <c r="T12" s="43"/>
      <c r="U12" s="43"/>
      <c r="V12" s="43"/>
      <c r="W12" s="43"/>
      <c r="X12" s="43"/>
    </row>
    <row r="13" spans="1:24" ht="18.600000000000001" customHeight="1">
      <c r="A13" s="43"/>
      <c r="C13" s="41"/>
      <c r="D13" s="41" t="s">
        <v>259</v>
      </c>
      <c r="E13" s="55" t="s">
        <v>260</v>
      </c>
      <c r="F13" s="54"/>
      <c r="G13" s="54"/>
      <c r="H13" s="54"/>
      <c r="I13" s="42"/>
      <c r="J13" s="42"/>
      <c r="K13" s="42"/>
      <c r="L13" s="42"/>
      <c r="M13" s="42"/>
      <c r="O13" s="42"/>
      <c r="P13" s="42"/>
      <c r="Q13" s="43"/>
      <c r="R13" s="43"/>
      <c r="S13" s="43"/>
      <c r="T13" s="43"/>
      <c r="U13" s="43"/>
      <c r="V13" s="43"/>
      <c r="W13" s="43"/>
      <c r="X13" s="43"/>
    </row>
    <row r="14" spans="1:24" s="48" customFormat="1" ht="18.600000000000001" customHeight="1">
      <c r="A14" s="42"/>
      <c r="C14" s="42"/>
      <c r="D14" s="42"/>
      <c r="E14" s="55" t="s">
        <v>261</v>
      </c>
      <c r="F14" s="54"/>
      <c r="G14" s="54"/>
      <c r="H14" s="54"/>
      <c r="I14" s="54"/>
      <c r="J14" s="54"/>
      <c r="K14" s="42"/>
      <c r="L14" s="42"/>
      <c r="M14" s="42"/>
      <c r="O14" s="42"/>
      <c r="P14" s="42"/>
      <c r="Q14" s="42"/>
      <c r="R14" s="42"/>
      <c r="S14" s="42"/>
      <c r="T14" s="42"/>
      <c r="U14" s="42"/>
      <c r="V14" s="42"/>
      <c r="W14" s="42"/>
      <c r="X14" s="42"/>
    </row>
    <row r="15" spans="1:24" s="48" customFormat="1" ht="18.600000000000001" customHeight="1">
      <c r="A15" s="42"/>
      <c r="D15" s="41" t="s">
        <v>262</v>
      </c>
      <c r="E15" s="55" t="s">
        <v>263</v>
      </c>
      <c r="F15" s="54"/>
      <c r="G15" s="54"/>
      <c r="H15" s="54"/>
      <c r="I15" s="42"/>
      <c r="J15" s="42"/>
      <c r="K15" s="42"/>
      <c r="L15" s="42"/>
      <c r="M15" s="42"/>
      <c r="O15" s="42"/>
      <c r="P15" s="42"/>
      <c r="Q15" s="57"/>
      <c r="R15" s="42"/>
      <c r="S15" s="42"/>
      <c r="T15" s="42"/>
      <c r="U15" s="42"/>
      <c r="V15" s="42"/>
      <c r="W15" s="42"/>
      <c r="X15" s="42"/>
    </row>
    <row r="16" spans="1:24" s="52" customFormat="1" ht="18.600000000000001" customHeight="1">
      <c r="A16" s="58"/>
      <c r="C16" s="42"/>
      <c r="D16" s="42"/>
      <c r="E16" s="55" t="s">
        <v>264</v>
      </c>
      <c r="F16" s="54"/>
      <c r="G16" s="54"/>
      <c r="H16" s="54"/>
      <c r="I16" s="54"/>
      <c r="J16" s="54"/>
      <c r="K16" s="54"/>
      <c r="L16" s="54"/>
      <c r="M16" s="54"/>
      <c r="O16" s="54"/>
      <c r="P16" s="54"/>
      <c r="Q16" s="59"/>
      <c r="R16" s="60"/>
      <c r="S16" s="60"/>
      <c r="T16" s="60"/>
      <c r="U16" s="60"/>
      <c r="V16" s="60"/>
      <c r="W16" s="60"/>
      <c r="X16" s="60"/>
    </row>
    <row r="17" spans="1:24" s="48" customFormat="1" ht="18.600000000000001" customHeight="1">
      <c r="A17" s="42"/>
      <c r="D17" s="41" t="s">
        <v>265</v>
      </c>
      <c r="E17" s="55" t="s">
        <v>266</v>
      </c>
      <c r="F17" s="42"/>
      <c r="G17" s="42"/>
      <c r="H17" s="42"/>
      <c r="I17" s="42"/>
      <c r="L17" s="61"/>
      <c r="M17" s="61"/>
      <c r="O17" s="61"/>
      <c r="P17" s="61"/>
      <c r="Q17" s="57"/>
      <c r="R17" s="54"/>
      <c r="S17" s="54"/>
      <c r="T17" s="54"/>
      <c r="U17" s="54"/>
      <c r="V17" s="54"/>
      <c r="W17" s="54"/>
      <c r="X17" s="54"/>
    </row>
    <row r="18" spans="1:24" ht="18.600000000000001" customHeight="1">
      <c r="A18" s="43"/>
      <c r="C18" s="42"/>
      <c r="E18" s="55" t="s">
        <v>267</v>
      </c>
      <c r="F18" s="54"/>
      <c r="G18" s="54"/>
      <c r="H18" s="54"/>
      <c r="I18" s="55" t="s">
        <v>268</v>
      </c>
      <c r="M18" s="54"/>
      <c r="N18" s="54"/>
      <c r="O18" s="54"/>
      <c r="P18" s="54"/>
      <c r="Q18" s="43"/>
      <c r="R18" s="43"/>
      <c r="S18" s="43"/>
      <c r="T18" s="43"/>
      <c r="U18" s="43"/>
      <c r="V18" s="43"/>
      <c r="W18" s="43"/>
      <c r="X18" s="43"/>
    </row>
    <row r="19" spans="1:24" ht="18.600000000000001" customHeight="1">
      <c r="A19" s="43"/>
      <c r="C19" s="42"/>
      <c r="E19" s="55" t="s">
        <v>269</v>
      </c>
      <c r="F19" s="54"/>
      <c r="G19" s="54"/>
      <c r="H19" s="54"/>
      <c r="I19" s="55" t="s">
        <v>270</v>
      </c>
      <c r="M19" s="54"/>
      <c r="N19" s="54"/>
      <c r="O19" s="54"/>
      <c r="P19" s="54"/>
      <c r="Q19" s="43"/>
      <c r="R19" s="43"/>
      <c r="S19" s="43"/>
      <c r="T19" s="43"/>
      <c r="U19" s="43"/>
      <c r="V19" s="43"/>
      <c r="W19" s="43"/>
      <c r="X19" s="43"/>
    </row>
    <row r="20" spans="1:24" ht="18.600000000000001" customHeight="1">
      <c r="A20" s="43"/>
      <c r="C20" s="42"/>
      <c r="E20" s="55" t="s">
        <v>271</v>
      </c>
      <c r="F20" s="54"/>
      <c r="G20" s="54"/>
      <c r="H20" s="54"/>
      <c r="I20" s="55" t="s">
        <v>272</v>
      </c>
      <c r="L20" s="54"/>
      <c r="M20" s="54"/>
      <c r="N20" s="54"/>
      <c r="O20" s="54"/>
      <c r="P20" s="54"/>
      <c r="Q20" s="43"/>
      <c r="R20" s="43"/>
      <c r="S20" s="43"/>
      <c r="T20" s="43"/>
      <c r="U20" s="43"/>
      <c r="V20" s="43"/>
      <c r="W20" s="43"/>
      <c r="X20" s="43"/>
    </row>
    <row r="21" spans="1:24" s="48" customFormat="1" ht="18.600000000000001" customHeight="1">
      <c r="A21" s="42"/>
      <c r="C21" s="42"/>
      <c r="E21" s="55" t="s">
        <v>273</v>
      </c>
      <c r="F21" s="54"/>
      <c r="G21" s="54"/>
      <c r="H21" s="54"/>
      <c r="I21" s="54"/>
      <c r="J21" s="54"/>
      <c r="K21" s="54"/>
      <c r="L21" s="54"/>
      <c r="M21" s="54"/>
      <c r="N21" s="54"/>
      <c r="O21" s="54"/>
      <c r="P21" s="54"/>
      <c r="Q21" s="53"/>
      <c r="R21" s="53"/>
      <c r="S21" s="53"/>
      <c r="T21" s="42"/>
      <c r="U21" s="42"/>
      <c r="V21" s="42"/>
      <c r="W21" s="42"/>
      <c r="X21" s="42"/>
    </row>
    <row r="22" spans="1:24" s="48" customFormat="1" ht="14.25" customHeight="1">
      <c r="A22" s="54"/>
      <c r="B22" s="42"/>
      <c r="C22" s="54"/>
      <c r="D22" s="54"/>
      <c r="E22" s="54"/>
      <c r="F22" s="54"/>
      <c r="G22" s="61"/>
      <c r="H22" s="61"/>
      <c r="I22" s="61"/>
      <c r="J22" s="61"/>
      <c r="K22" s="61"/>
      <c r="L22" s="61"/>
      <c r="M22" s="61"/>
      <c r="N22" s="61"/>
      <c r="O22" s="61"/>
      <c r="P22" s="61"/>
      <c r="Q22" s="61"/>
      <c r="R22" s="61"/>
      <c r="S22" s="42"/>
      <c r="T22" s="42"/>
      <c r="U22" s="42"/>
      <c r="V22" s="42"/>
      <c r="W22" s="42"/>
      <c r="X22" s="42"/>
    </row>
    <row r="23" spans="1:24" s="52" customFormat="1" ht="30" customHeight="1">
      <c r="A23" s="60"/>
      <c r="C23" s="47" t="s">
        <v>274</v>
      </c>
      <c r="D23" s="62"/>
      <c r="E23" s="62"/>
      <c r="F23" s="62"/>
      <c r="G23" s="62"/>
      <c r="H23" s="62"/>
      <c r="I23" s="62"/>
      <c r="J23" s="63"/>
      <c r="K23" s="63"/>
      <c r="L23" s="63"/>
      <c r="M23" s="63"/>
      <c r="N23" s="63"/>
      <c r="O23" s="63"/>
      <c r="P23" s="63"/>
      <c r="Q23" s="63"/>
      <c r="R23" s="63"/>
      <c r="S23" s="58"/>
      <c r="T23" s="58"/>
      <c r="U23" s="58"/>
      <c r="V23" s="58"/>
      <c r="W23" s="58"/>
      <c r="X23" s="58"/>
    </row>
    <row r="24" spans="1:24" s="48" customFormat="1" ht="18" customHeight="1">
      <c r="A24" s="54"/>
      <c r="C24" s="49" t="s">
        <v>275</v>
      </c>
      <c r="D24" s="50"/>
      <c r="E24" s="50"/>
      <c r="F24" s="50"/>
      <c r="G24" s="50"/>
      <c r="H24" s="42"/>
      <c r="I24" s="42"/>
      <c r="J24" s="61"/>
      <c r="K24" s="61"/>
      <c r="L24" s="61"/>
      <c r="M24" s="61"/>
      <c r="N24" s="61"/>
      <c r="O24" s="61"/>
      <c r="P24" s="61"/>
      <c r="Q24" s="61"/>
      <c r="R24" s="61"/>
      <c r="S24" s="42"/>
      <c r="T24" s="42"/>
      <c r="U24" s="42"/>
      <c r="V24" s="42"/>
      <c r="W24" s="42"/>
      <c r="X24" s="42"/>
    </row>
    <row r="25" spans="1:24" s="48" customFormat="1" ht="18.600000000000001" customHeight="1">
      <c r="A25" s="54"/>
      <c r="B25" s="42"/>
      <c r="C25" s="54"/>
      <c r="D25" s="1864" t="s">
        <v>276</v>
      </c>
      <c r="E25" s="1864"/>
      <c r="F25" s="1864"/>
      <c r="G25" s="61"/>
      <c r="H25" s="64" t="s">
        <v>277</v>
      </c>
      <c r="I25" s="61"/>
      <c r="J25" s="61"/>
      <c r="K25" s="1865" t="s">
        <v>278</v>
      </c>
      <c r="L25" s="1865"/>
      <c r="M25" s="1865"/>
      <c r="N25" s="61"/>
      <c r="O25" s="64" t="s">
        <v>277</v>
      </c>
      <c r="P25" s="61"/>
      <c r="Q25" s="61"/>
      <c r="R25" s="1864" t="s">
        <v>279</v>
      </c>
      <c r="S25" s="1864"/>
      <c r="T25" s="1864"/>
      <c r="U25" s="61"/>
      <c r="V25" s="64" t="s">
        <v>280</v>
      </c>
      <c r="W25" s="42"/>
      <c r="X25" s="42"/>
    </row>
    <row r="26" spans="1:24" s="48" customFormat="1" ht="18.600000000000001" customHeight="1">
      <c r="A26" s="54"/>
      <c r="B26" s="42"/>
      <c r="C26" s="54"/>
      <c r="D26" s="1864" t="s">
        <v>281</v>
      </c>
      <c r="E26" s="1864"/>
      <c r="F26" s="1864"/>
      <c r="G26" s="61"/>
      <c r="H26" s="64" t="s">
        <v>282</v>
      </c>
      <c r="I26" s="61"/>
      <c r="J26" s="61"/>
      <c r="K26" s="1864"/>
      <c r="L26" s="1864"/>
      <c r="M26" s="1864"/>
      <c r="N26" s="43"/>
      <c r="O26" s="61"/>
      <c r="P26" s="61"/>
      <c r="Q26" s="61"/>
      <c r="R26" s="61"/>
      <c r="S26" s="42"/>
      <c r="T26" s="42"/>
      <c r="U26" s="42"/>
      <c r="V26" s="42"/>
      <c r="W26" s="42"/>
      <c r="X26" s="42"/>
    </row>
    <row r="27" spans="1:24" ht="10.5" customHeight="1">
      <c r="A27" s="43"/>
      <c r="B27" s="42"/>
      <c r="C27" s="43"/>
      <c r="D27" s="44"/>
      <c r="E27" s="44"/>
      <c r="F27" s="44"/>
      <c r="G27" s="43"/>
      <c r="H27" s="61"/>
      <c r="I27" s="43"/>
      <c r="J27" s="43"/>
      <c r="K27" s="43"/>
      <c r="L27" s="43"/>
      <c r="M27" s="43"/>
      <c r="N27" s="43"/>
      <c r="O27" s="43"/>
      <c r="P27" s="43"/>
      <c r="Q27" s="43"/>
      <c r="R27" s="43"/>
      <c r="S27" s="43"/>
      <c r="T27" s="43"/>
      <c r="U27" s="43"/>
      <c r="V27" s="43"/>
      <c r="W27" s="43"/>
      <c r="X27" s="43"/>
    </row>
    <row r="28" spans="1:24" ht="20.100000000000001" customHeight="1">
      <c r="A28" s="42"/>
      <c r="B28" s="40"/>
      <c r="C28" s="49" t="str">
        <f>"２．  就任状況　（"&amp;"令和 "&amp;TEXT((入力ガイド!$C$6+1),"0")&amp;"年 3月31日"&amp;"現在）"</f>
        <v>２．  就任状況　（令和 8年 3月31日現在）</v>
      </c>
      <c r="D28" s="49"/>
      <c r="E28" s="49"/>
      <c r="F28" s="49"/>
      <c r="G28" s="49"/>
      <c r="H28" s="49"/>
      <c r="I28" s="42"/>
      <c r="J28" s="42"/>
      <c r="K28" s="42"/>
      <c r="L28" s="42"/>
      <c r="M28" s="42"/>
      <c r="N28" s="42"/>
      <c r="O28" s="42"/>
      <c r="P28" s="42"/>
      <c r="Q28" s="42"/>
      <c r="R28" s="42"/>
      <c r="S28" s="42"/>
      <c r="T28" s="42"/>
      <c r="U28" s="42"/>
      <c r="V28" s="42"/>
      <c r="W28" s="42"/>
      <c r="X28" s="42"/>
    </row>
    <row r="29" spans="1:24" ht="26.25" customHeight="1">
      <c r="A29" s="42"/>
      <c r="B29" s="42"/>
      <c r="C29" s="42"/>
      <c r="D29" s="1845" t="s">
        <v>283</v>
      </c>
      <c r="E29" s="1845"/>
      <c r="F29" s="1845"/>
      <c r="G29" s="1845" t="s">
        <v>284</v>
      </c>
      <c r="H29" s="1845"/>
      <c r="I29" s="1845"/>
      <c r="J29" s="1845"/>
      <c r="K29" s="1845" t="s">
        <v>285</v>
      </c>
      <c r="L29" s="1845"/>
      <c r="M29" s="1845"/>
      <c r="N29" s="1845"/>
      <c r="O29" s="1845"/>
      <c r="P29" s="1845"/>
      <c r="Q29" s="1845"/>
      <c r="R29" s="1845"/>
      <c r="S29" s="1845" t="s">
        <v>286</v>
      </c>
      <c r="T29" s="1845"/>
      <c r="U29" s="1845"/>
      <c r="V29" s="1845"/>
      <c r="W29" s="1845"/>
      <c r="X29" s="42"/>
    </row>
    <row r="30" spans="1:24" ht="19.5" customHeight="1">
      <c r="A30" s="42"/>
      <c r="B30" s="42"/>
      <c r="C30" s="42"/>
      <c r="D30" s="1861" t="s">
        <v>276</v>
      </c>
      <c r="E30" s="1861"/>
      <c r="F30" s="1861"/>
      <c r="G30" s="1855" t="s">
        <v>287</v>
      </c>
      <c r="H30" s="1855"/>
      <c r="I30" s="1855"/>
      <c r="J30" s="1855"/>
      <c r="K30" s="1856" t="s">
        <v>288</v>
      </c>
      <c r="L30" s="1856"/>
      <c r="M30" s="1856"/>
      <c r="N30" s="1856"/>
      <c r="O30" s="1856"/>
      <c r="P30" s="1856"/>
      <c r="Q30" s="1856"/>
      <c r="R30" s="1856"/>
      <c r="S30" s="1857" t="s">
        <v>289</v>
      </c>
      <c r="T30" s="1857"/>
      <c r="U30" s="1857"/>
      <c r="V30" s="1857"/>
      <c r="W30" s="1857"/>
      <c r="X30" s="42"/>
    </row>
    <row r="31" spans="1:24" s="52" customFormat="1" ht="19.5" customHeight="1">
      <c r="A31" s="42"/>
      <c r="B31" s="42"/>
      <c r="C31" s="42"/>
      <c r="D31" s="1862" t="s">
        <v>278</v>
      </c>
      <c r="E31" s="1862"/>
      <c r="F31" s="1862"/>
      <c r="G31" s="1855" t="s">
        <v>290</v>
      </c>
      <c r="H31" s="1855"/>
      <c r="I31" s="1855"/>
      <c r="J31" s="1855"/>
      <c r="K31" s="1856" t="s">
        <v>291</v>
      </c>
      <c r="L31" s="1856"/>
      <c r="M31" s="1856"/>
      <c r="N31" s="1856"/>
      <c r="O31" s="1856"/>
      <c r="P31" s="1856"/>
      <c r="Q31" s="1856"/>
      <c r="R31" s="1856"/>
      <c r="S31" s="1857" t="s">
        <v>292</v>
      </c>
      <c r="T31" s="1857"/>
      <c r="U31" s="1857"/>
      <c r="V31" s="1857"/>
      <c r="W31" s="1857"/>
      <c r="X31" s="42"/>
    </row>
    <row r="32" spans="1:24" ht="19.5" customHeight="1">
      <c r="A32" s="42"/>
      <c r="B32" s="42"/>
      <c r="C32" s="42"/>
      <c r="D32" s="1845" t="s">
        <v>293</v>
      </c>
      <c r="E32" s="1845"/>
      <c r="F32" s="1845"/>
      <c r="G32" s="1855" t="s">
        <v>294</v>
      </c>
      <c r="H32" s="1855"/>
      <c r="I32" s="1855"/>
      <c r="J32" s="1855"/>
      <c r="K32" s="1856" t="s">
        <v>291</v>
      </c>
      <c r="L32" s="1856"/>
      <c r="M32" s="1856"/>
      <c r="N32" s="1856"/>
      <c r="O32" s="1856"/>
      <c r="P32" s="1856"/>
      <c r="Q32" s="1856"/>
      <c r="R32" s="1856"/>
      <c r="S32" s="1857" t="s">
        <v>292</v>
      </c>
      <c r="T32" s="1857"/>
      <c r="U32" s="1857"/>
      <c r="V32" s="1857"/>
      <c r="W32" s="1857"/>
      <c r="X32" s="42"/>
    </row>
    <row r="33" spans="1:24" ht="19.5" customHeight="1">
      <c r="A33" s="42"/>
      <c r="B33" s="42"/>
      <c r="C33" s="42"/>
      <c r="D33" s="1845" t="s">
        <v>293</v>
      </c>
      <c r="E33" s="1845"/>
      <c r="F33" s="1845"/>
      <c r="G33" s="1855" t="s">
        <v>295</v>
      </c>
      <c r="H33" s="1855"/>
      <c r="I33" s="1855"/>
      <c r="J33" s="1855"/>
      <c r="K33" s="1856" t="s">
        <v>291</v>
      </c>
      <c r="L33" s="1856"/>
      <c r="M33" s="1856"/>
      <c r="N33" s="1856"/>
      <c r="O33" s="1856"/>
      <c r="P33" s="1856"/>
      <c r="Q33" s="1856"/>
      <c r="R33" s="1856"/>
      <c r="S33" s="1857" t="s">
        <v>296</v>
      </c>
      <c r="T33" s="1857"/>
      <c r="U33" s="1857"/>
      <c r="V33" s="1857"/>
      <c r="W33" s="1857"/>
      <c r="X33" s="42"/>
    </row>
    <row r="34" spans="1:24" ht="19.5" customHeight="1">
      <c r="A34" s="43"/>
      <c r="B34" s="42"/>
      <c r="C34" s="43"/>
      <c r="D34" s="1845" t="s">
        <v>293</v>
      </c>
      <c r="E34" s="1845"/>
      <c r="F34" s="1845"/>
      <c r="G34" s="1860" t="s">
        <v>297</v>
      </c>
      <c r="H34" s="1860"/>
      <c r="I34" s="1860"/>
      <c r="J34" s="1860"/>
      <c r="K34" s="1856" t="s">
        <v>291</v>
      </c>
      <c r="L34" s="1856"/>
      <c r="M34" s="1856"/>
      <c r="N34" s="1856"/>
      <c r="O34" s="1856"/>
      <c r="P34" s="1856"/>
      <c r="Q34" s="1856"/>
      <c r="R34" s="1856"/>
      <c r="S34" s="1857" t="s">
        <v>298</v>
      </c>
      <c r="T34" s="1857"/>
      <c r="U34" s="1857"/>
      <c r="V34" s="1857"/>
      <c r="W34" s="1857"/>
      <c r="X34" s="43"/>
    </row>
    <row r="35" spans="1:24" ht="19.5" customHeight="1">
      <c r="A35" s="43"/>
      <c r="B35" s="42"/>
      <c r="C35" s="43"/>
      <c r="D35" s="1845" t="s">
        <v>293</v>
      </c>
      <c r="E35" s="1845"/>
      <c r="F35" s="1845"/>
      <c r="G35" s="1855" t="s">
        <v>299</v>
      </c>
      <c r="H35" s="1855"/>
      <c r="I35" s="1855"/>
      <c r="J35" s="1855"/>
      <c r="K35" s="1856" t="s">
        <v>291</v>
      </c>
      <c r="L35" s="1856"/>
      <c r="M35" s="1856"/>
      <c r="N35" s="1856"/>
      <c r="O35" s="1856"/>
      <c r="P35" s="1856"/>
      <c r="Q35" s="1856"/>
      <c r="R35" s="1856"/>
      <c r="S35" s="1857" t="s">
        <v>300</v>
      </c>
      <c r="T35" s="1857"/>
      <c r="U35" s="1857"/>
      <c r="V35" s="1857"/>
      <c r="W35" s="1857"/>
      <c r="X35" s="43"/>
    </row>
    <row r="36" spans="1:24" s="48" customFormat="1" ht="19.5" customHeight="1">
      <c r="A36" s="42"/>
      <c r="B36" s="42"/>
      <c r="C36" s="42"/>
      <c r="D36" s="1845" t="s">
        <v>293</v>
      </c>
      <c r="E36" s="1845"/>
      <c r="F36" s="1845"/>
      <c r="G36" s="1855" t="s">
        <v>301</v>
      </c>
      <c r="H36" s="1855"/>
      <c r="I36" s="1855"/>
      <c r="J36" s="1855"/>
      <c r="K36" s="1856" t="s">
        <v>291</v>
      </c>
      <c r="L36" s="1856"/>
      <c r="M36" s="1856"/>
      <c r="N36" s="1856"/>
      <c r="O36" s="1856"/>
      <c r="P36" s="1856"/>
      <c r="Q36" s="1856"/>
      <c r="R36" s="1856"/>
      <c r="S36" s="1857" t="s">
        <v>302</v>
      </c>
      <c r="T36" s="1857"/>
      <c r="U36" s="1857"/>
      <c r="V36" s="1857"/>
      <c r="W36" s="1857"/>
      <c r="X36" s="42"/>
    </row>
    <row r="37" spans="1:24" s="48" customFormat="1" ht="19.5" customHeight="1">
      <c r="A37" s="42"/>
      <c r="B37" s="42"/>
      <c r="C37" s="42"/>
      <c r="D37" s="1845" t="s">
        <v>293</v>
      </c>
      <c r="E37" s="1845"/>
      <c r="F37" s="1845"/>
      <c r="G37" s="1855" t="s">
        <v>303</v>
      </c>
      <c r="H37" s="1855"/>
      <c r="I37" s="1855"/>
      <c r="J37" s="1855"/>
      <c r="K37" s="1856" t="s">
        <v>291</v>
      </c>
      <c r="L37" s="1856"/>
      <c r="M37" s="1856"/>
      <c r="N37" s="1856"/>
      <c r="O37" s="1856"/>
      <c r="P37" s="1856"/>
      <c r="Q37" s="1856"/>
      <c r="R37" s="1856"/>
      <c r="S37" s="1857" t="s">
        <v>304</v>
      </c>
      <c r="T37" s="1857"/>
      <c r="U37" s="1857"/>
      <c r="V37" s="1857"/>
      <c r="W37" s="1857"/>
      <c r="X37" s="42"/>
    </row>
    <row r="38" spans="1:24" s="52" customFormat="1" ht="19.5" customHeight="1">
      <c r="A38" s="58"/>
      <c r="B38" s="42"/>
      <c r="C38" s="58"/>
      <c r="D38" s="1859" t="s">
        <v>305</v>
      </c>
      <c r="E38" s="1859"/>
      <c r="F38" s="1859"/>
      <c r="G38" s="1855" t="s">
        <v>306</v>
      </c>
      <c r="H38" s="1855"/>
      <c r="I38" s="1855"/>
      <c r="J38" s="1855"/>
      <c r="K38" s="1856" t="s">
        <v>307</v>
      </c>
      <c r="L38" s="1856"/>
      <c r="M38" s="1856"/>
      <c r="N38" s="1856"/>
      <c r="O38" s="1856"/>
      <c r="P38" s="1856"/>
      <c r="Q38" s="1856"/>
      <c r="R38" s="1856"/>
      <c r="S38" s="1857" t="s">
        <v>308</v>
      </c>
      <c r="T38" s="1857"/>
      <c r="U38" s="1857"/>
      <c r="V38" s="1857"/>
      <c r="W38" s="1857"/>
      <c r="X38" s="60"/>
    </row>
    <row r="39" spans="1:24" s="48" customFormat="1" ht="19.5" customHeight="1">
      <c r="A39" s="54"/>
      <c r="B39" s="42"/>
      <c r="C39" s="42"/>
      <c r="D39" s="1845" t="s">
        <v>309</v>
      </c>
      <c r="E39" s="1845"/>
      <c r="F39" s="1845"/>
      <c r="G39" s="1855" t="s">
        <v>310</v>
      </c>
      <c r="H39" s="1855"/>
      <c r="I39" s="1855"/>
      <c r="J39" s="1855"/>
      <c r="K39" s="1856" t="s">
        <v>311</v>
      </c>
      <c r="L39" s="1856"/>
      <c r="M39" s="1856"/>
      <c r="N39" s="1856"/>
      <c r="O39" s="1856"/>
      <c r="P39" s="1856"/>
      <c r="Q39" s="1856"/>
      <c r="R39" s="1856"/>
      <c r="S39" s="1857" t="s">
        <v>312</v>
      </c>
      <c r="T39" s="1857"/>
      <c r="U39" s="1857"/>
      <c r="V39" s="1857"/>
      <c r="W39" s="1857"/>
      <c r="X39" s="42"/>
    </row>
    <row r="40" spans="1:24" ht="19.5" customHeight="1">
      <c r="A40" s="43"/>
      <c r="B40" s="42"/>
      <c r="C40" s="43"/>
      <c r="D40" s="1845" t="s">
        <v>309</v>
      </c>
      <c r="E40" s="1845"/>
      <c r="F40" s="1845"/>
      <c r="G40" s="1855" t="s">
        <v>313</v>
      </c>
      <c r="H40" s="1855"/>
      <c r="I40" s="1855"/>
      <c r="J40" s="1855"/>
      <c r="K40" s="1856" t="s">
        <v>314</v>
      </c>
      <c r="L40" s="1856"/>
      <c r="M40" s="1856"/>
      <c r="N40" s="1856"/>
      <c r="O40" s="1856"/>
      <c r="P40" s="1856"/>
      <c r="Q40" s="1856"/>
      <c r="R40" s="1856"/>
      <c r="S40" s="1857" t="s">
        <v>315</v>
      </c>
      <c r="T40" s="1857"/>
      <c r="U40" s="1857"/>
      <c r="V40" s="1857"/>
      <c r="W40" s="1857"/>
      <c r="X40" s="43"/>
    </row>
    <row r="41" spans="1:24" ht="16.5" customHeight="1">
      <c r="A41" s="43"/>
      <c r="B41" s="42"/>
      <c r="C41" s="43"/>
      <c r="D41" s="42"/>
      <c r="E41" s="42"/>
      <c r="F41" s="42"/>
      <c r="G41" s="42"/>
      <c r="H41" s="42"/>
      <c r="I41" s="42"/>
      <c r="J41" s="42"/>
      <c r="K41" s="65"/>
      <c r="L41" s="65"/>
      <c r="M41" s="65"/>
      <c r="N41" s="65"/>
      <c r="O41" s="65"/>
      <c r="P41" s="65"/>
      <c r="Q41" s="65"/>
      <c r="R41" s="65"/>
      <c r="S41" s="66"/>
      <c r="T41" s="66"/>
      <c r="U41" s="66"/>
      <c r="V41" s="66"/>
      <c r="W41" s="66"/>
      <c r="X41" s="43"/>
    </row>
    <row r="42" spans="1:24" ht="24" hidden="1" customHeight="1">
      <c r="A42" s="42"/>
      <c r="B42" s="42"/>
      <c r="C42" s="43"/>
      <c r="D42" s="43"/>
      <c r="E42" s="43"/>
      <c r="F42" s="44"/>
      <c r="G42" s="44"/>
      <c r="H42" s="1858"/>
      <c r="I42" s="1858"/>
      <c r="J42" s="1858"/>
      <c r="K42" s="1858"/>
      <c r="L42" s="1858"/>
      <c r="M42" s="1858"/>
      <c r="N42" s="1858"/>
      <c r="O42" s="1858"/>
      <c r="P42" s="1858"/>
      <c r="Q42" s="44"/>
      <c r="R42" s="44"/>
      <c r="S42" s="43"/>
      <c r="T42" s="43"/>
      <c r="U42" s="43"/>
      <c r="V42" s="43"/>
      <c r="W42" s="43"/>
      <c r="X42" s="43"/>
    </row>
    <row r="43" spans="1:24" s="48" customFormat="1" ht="18" customHeight="1">
      <c r="A43" s="42"/>
      <c r="B43" s="42"/>
      <c r="C43" s="42"/>
      <c r="D43" s="61"/>
      <c r="E43" s="61"/>
      <c r="F43" s="61"/>
      <c r="G43" s="61"/>
      <c r="H43" s="61"/>
      <c r="I43" s="61"/>
      <c r="J43" s="61"/>
      <c r="K43" s="61"/>
      <c r="L43" s="61"/>
      <c r="M43" s="61"/>
      <c r="N43" s="49"/>
      <c r="O43" s="42"/>
      <c r="P43" s="42"/>
      <c r="Q43" s="42"/>
      <c r="R43" s="42"/>
      <c r="S43" s="42"/>
      <c r="T43" s="42"/>
      <c r="U43" s="42"/>
      <c r="V43" s="42"/>
      <c r="W43" s="42"/>
      <c r="X43" s="42"/>
    </row>
    <row r="44" spans="1:24" s="48" customFormat="1" ht="30" customHeight="1">
      <c r="A44" s="42"/>
      <c r="C44" s="47" t="s">
        <v>316</v>
      </c>
      <c r="D44" s="47"/>
      <c r="E44" s="47"/>
      <c r="F44" s="47"/>
      <c r="G44" s="47"/>
      <c r="H44" s="47"/>
      <c r="I44" s="47"/>
      <c r="J44" s="47"/>
      <c r="K44" s="61"/>
      <c r="L44" s="61"/>
      <c r="M44" s="61"/>
      <c r="N44" s="61"/>
      <c r="O44" s="42"/>
      <c r="P44" s="42"/>
      <c r="Q44" s="42"/>
      <c r="R44" s="42"/>
      <c r="S44" s="42"/>
      <c r="T44" s="42"/>
      <c r="U44" s="42"/>
      <c r="V44" s="42"/>
      <c r="W44" s="42"/>
      <c r="X44" s="42"/>
    </row>
    <row r="45" spans="1:24" s="48" customFormat="1" ht="26.25" customHeight="1">
      <c r="A45" s="42"/>
      <c r="B45" s="42"/>
      <c r="C45" s="1845" t="s">
        <v>317</v>
      </c>
      <c r="D45" s="1845"/>
      <c r="E45" s="1845"/>
      <c r="F45" s="1845"/>
      <c r="G45" s="1846" t="s">
        <v>318</v>
      </c>
      <c r="H45" s="1846"/>
      <c r="I45" s="1846"/>
      <c r="J45" s="67"/>
      <c r="K45" s="67"/>
      <c r="L45" s="68"/>
      <c r="M45" s="1847" t="s">
        <v>319</v>
      </c>
      <c r="N45" s="1847"/>
      <c r="O45" s="1847"/>
      <c r="P45" s="1847"/>
      <c r="Q45" s="1847"/>
      <c r="R45" s="1847"/>
      <c r="S45" s="1847"/>
      <c r="T45" s="1847"/>
      <c r="U45" s="68"/>
      <c r="V45" s="69"/>
      <c r="W45" s="69"/>
      <c r="X45" s="70"/>
    </row>
    <row r="46" spans="1:24" s="48" customFormat="1" ht="32.25" customHeight="1">
      <c r="A46" s="42"/>
      <c r="B46" s="42"/>
      <c r="C46" s="1848">
        <v>45835</v>
      </c>
      <c r="D46" s="1848"/>
      <c r="E46" s="1848"/>
      <c r="F46" s="1848"/>
      <c r="G46" s="1849" t="s">
        <v>320</v>
      </c>
      <c r="H46" s="1849"/>
      <c r="I46" s="1849"/>
      <c r="J46" s="1850" t="str">
        <f>"　　○ "&amp;"令和"&amp;IF((入力ガイド!$C$6-1)&gt;=10,MID("０１２３４５６７８９",INT((入力ガイド!$C$6-1)/10)+1,1),"")&amp;MID("０１２３４５６７８９",MOD((入力ガイド!$C$6-1),10)+1,1)&amp;"年度"&amp;"事業状況報告及び決算について"</f>
        <v>　　○ 令和６年度事業状況報告及び決算について</v>
      </c>
      <c r="K46" s="1850"/>
      <c r="L46" s="1850"/>
      <c r="M46" s="1850"/>
      <c r="N46" s="1850"/>
      <c r="O46" s="1850"/>
      <c r="P46" s="1850"/>
      <c r="Q46" s="1850"/>
      <c r="R46" s="1850"/>
      <c r="S46" s="1850"/>
      <c r="T46" s="1850"/>
      <c r="U46" s="1850"/>
      <c r="V46" s="1850"/>
      <c r="W46" s="1850"/>
      <c r="X46" s="1850"/>
    </row>
    <row r="47" spans="1:24" s="48" customFormat="1" ht="32.25" customHeight="1">
      <c r="A47" s="42"/>
      <c r="B47" s="42"/>
      <c r="C47" s="1848"/>
      <c r="D47" s="1848"/>
      <c r="E47" s="1848"/>
      <c r="F47" s="1848"/>
      <c r="G47" s="1849"/>
      <c r="H47" s="1849"/>
      <c r="I47" s="1849"/>
      <c r="J47" s="1851" t="s">
        <v>321</v>
      </c>
      <c r="K47" s="1851"/>
      <c r="L47" s="1851"/>
      <c r="M47" s="1851"/>
      <c r="N47" s="1851"/>
      <c r="O47" s="1851"/>
      <c r="P47" s="1851"/>
      <c r="Q47" s="1851"/>
      <c r="R47" s="1851"/>
      <c r="S47" s="1851"/>
      <c r="T47" s="1851"/>
      <c r="U47" s="1851"/>
      <c r="V47" s="1851"/>
      <c r="W47" s="1851"/>
      <c r="X47" s="1851"/>
    </row>
    <row r="48" spans="1:24" s="48" customFormat="1" ht="32.4" customHeight="1">
      <c r="A48" s="42"/>
      <c r="B48" s="42"/>
      <c r="C48" s="1848">
        <v>46106</v>
      </c>
      <c r="D48" s="1848"/>
      <c r="E48" s="1848"/>
      <c r="F48" s="1848"/>
      <c r="G48" s="1852" t="s">
        <v>322</v>
      </c>
      <c r="H48" s="1852"/>
      <c r="I48" s="1852"/>
      <c r="J48" s="1853" t="s">
        <v>323</v>
      </c>
      <c r="K48" s="1853"/>
      <c r="L48" s="1853"/>
      <c r="M48" s="1853"/>
      <c r="N48" s="1853"/>
      <c r="O48" s="1853"/>
      <c r="P48" s="1853"/>
      <c r="Q48" s="1853"/>
      <c r="R48" s="1853"/>
      <c r="S48" s="1853"/>
      <c r="T48" s="1853"/>
      <c r="U48" s="1853"/>
      <c r="V48" s="1853"/>
      <c r="W48" s="1853"/>
      <c r="X48" s="1853"/>
    </row>
    <row r="49" spans="1:25" s="48" customFormat="1" ht="32.4" customHeight="1">
      <c r="A49" s="42"/>
      <c r="B49" s="42"/>
      <c r="C49" s="1848"/>
      <c r="D49" s="1848"/>
      <c r="E49" s="1848"/>
      <c r="F49" s="1848"/>
      <c r="G49" s="1852"/>
      <c r="H49" s="1852"/>
      <c r="I49" s="1852"/>
      <c r="J49" s="1854" t="str">
        <f>"　　○ "&amp;"令和"&amp;IF((入力ガイド!$C$6+1)&gt;=10,MID("０１２３４５６７８９",INT((入力ガイド!$C$6+1)/10)+1,1),"")&amp;MID("０１２３４５６７８９",MOD((入力ガイド!$C$6+1),10)+1,1)&amp;"年度"&amp;"事業計画及び予算について"</f>
        <v>　　○ 令和８年度事業計画及び予算について</v>
      </c>
      <c r="K49" s="1854"/>
      <c r="L49" s="1854"/>
      <c r="M49" s="1854"/>
      <c r="N49" s="1854"/>
      <c r="O49" s="1854"/>
      <c r="P49" s="1854"/>
      <c r="Q49" s="1854"/>
      <c r="R49" s="1854"/>
      <c r="S49" s="1854"/>
      <c r="T49" s="1854"/>
      <c r="U49" s="1854"/>
      <c r="V49" s="1854"/>
      <c r="W49" s="1854"/>
      <c r="X49" s="1854"/>
    </row>
    <row r="50" spans="1:25" s="48" customFormat="1" ht="24" customHeight="1">
      <c r="A50" s="43"/>
      <c r="B50" s="62"/>
      <c r="C50" s="62"/>
      <c r="D50" s="62"/>
      <c r="E50" s="62"/>
      <c r="F50" s="62"/>
      <c r="G50" s="62"/>
      <c r="H50" s="62"/>
      <c r="I50" s="62"/>
      <c r="J50" s="43"/>
      <c r="K50" s="43"/>
      <c r="L50" s="43"/>
      <c r="M50" s="43"/>
      <c r="N50" s="43"/>
      <c r="O50" s="43"/>
      <c r="P50" s="43"/>
      <c r="Q50" s="43"/>
      <c r="R50" s="43"/>
      <c r="S50" s="43"/>
      <c r="T50" s="1842"/>
      <c r="U50" s="1842"/>
      <c r="V50" s="1842"/>
      <c r="W50" s="1842"/>
      <c r="X50" s="43"/>
    </row>
    <row r="51" spans="1:25" s="48" customFormat="1" ht="30" customHeight="1">
      <c r="A51" s="43"/>
      <c r="C51" s="47" t="s">
        <v>324</v>
      </c>
      <c r="D51" s="62"/>
      <c r="E51" s="62"/>
      <c r="F51" s="62"/>
      <c r="G51" s="62"/>
      <c r="H51" s="62"/>
      <c r="J51" s="49"/>
      <c r="K51" s="43"/>
      <c r="L51" s="43"/>
      <c r="M51" s="43"/>
      <c r="N51" s="43"/>
      <c r="O51" s="43"/>
      <c r="P51" s="43"/>
      <c r="Q51" s="43"/>
      <c r="R51" s="43"/>
      <c r="S51" s="43"/>
      <c r="X51" s="43"/>
    </row>
    <row r="52" spans="1:25" s="48" customFormat="1" ht="19.5" customHeight="1">
      <c r="A52" s="43"/>
      <c r="C52" s="49" t="str">
        <f>"１．  職員数　（"&amp;"令和 "&amp;TEXT((入力ガイド!$C$6+1),"0")&amp;"年 3月31日"&amp;"現在）"</f>
        <v>１．  職員数　（令和 8年 3月31日現在）</v>
      </c>
      <c r="D52" s="62"/>
      <c r="E52" s="62"/>
      <c r="F52" s="62"/>
      <c r="G52" s="62"/>
      <c r="H52" s="62"/>
      <c r="J52" s="49"/>
      <c r="K52" s="43"/>
      <c r="L52" s="43"/>
      <c r="M52" s="43"/>
      <c r="N52" s="43"/>
      <c r="Q52" s="43"/>
      <c r="R52" s="43"/>
      <c r="S52" s="43"/>
      <c r="T52" s="43"/>
      <c r="U52" s="43"/>
      <c r="W52" s="71"/>
      <c r="X52" s="71"/>
      <c r="Y52" s="72" t="s">
        <v>325</v>
      </c>
    </row>
    <row r="53" spans="1:25" s="48" customFormat="1" ht="20.100000000000001" customHeight="1">
      <c r="A53" s="42"/>
      <c r="B53" s="42"/>
      <c r="C53" s="1839" t="s">
        <v>326</v>
      </c>
      <c r="D53" s="1839"/>
      <c r="E53" s="1839"/>
      <c r="F53" s="1839"/>
      <c r="G53" s="1837" t="s">
        <v>327</v>
      </c>
      <c r="H53" s="1837"/>
      <c r="I53" s="1837" t="s">
        <v>328</v>
      </c>
      <c r="J53" s="1837"/>
      <c r="K53" s="1843" t="s">
        <v>329</v>
      </c>
      <c r="L53" s="1843"/>
      <c r="M53" s="1837" t="s">
        <v>330</v>
      </c>
      <c r="N53" s="1837"/>
      <c r="O53" s="1837" t="s">
        <v>331</v>
      </c>
      <c r="P53" s="1837"/>
      <c r="Q53" s="1837" t="s">
        <v>332</v>
      </c>
      <c r="R53" s="1837"/>
      <c r="S53" s="1837" t="s">
        <v>333</v>
      </c>
      <c r="T53" s="1837"/>
      <c r="U53" s="1844" t="s">
        <v>334</v>
      </c>
      <c r="V53" s="1844"/>
      <c r="W53" s="1837" t="s">
        <v>335</v>
      </c>
      <c r="X53" s="1837"/>
      <c r="Y53" s="1837"/>
    </row>
    <row r="54" spans="1:25" s="48" customFormat="1" ht="38.25" customHeight="1">
      <c r="A54" s="41"/>
      <c r="B54" s="62"/>
      <c r="C54" s="1839"/>
      <c r="D54" s="1839"/>
      <c r="E54" s="1839"/>
      <c r="F54" s="1839"/>
      <c r="G54" s="1837"/>
      <c r="H54" s="1837"/>
      <c r="I54" s="1837"/>
      <c r="J54" s="1837"/>
      <c r="K54" s="1843"/>
      <c r="L54" s="1843"/>
      <c r="M54" s="1837"/>
      <c r="N54" s="1837"/>
      <c r="O54" s="1837"/>
      <c r="P54" s="1837"/>
      <c r="Q54" s="1837"/>
      <c r="R54" s="1837"/>
      <c r="S54" s="1837"/>
      <c r="T54" s="1837"/>
      <c r="U54" s="1844"/>
      <c r="V54" s="1844"/>
      <c r="W54" s="1837"/>
      <c r="X54" s="1837"/>
      <c r="Y54" s="1837"/>
    </row>
    <row r="55" spans="1:25" s="48" customFormat="1" ht="21.9" customHeight="1">
      <c r="A55" s="41"/>
      <c r="B55" s="41"/>
      <c r="C55" s="1839" t="s">
        <v>336</v>
      </c>
      <c r="D55" s="1839"/>
      <c r="E55" s="1839"/>
      <c r="F55" s="1839"/>
      <c r="G55" s="1840">
        <v>1</v>
      </c>
      <c r="H55" s="1836"/>
      <c r="I55" s="1840">
        <v>1</v>
      </c>
      <c r="J55" s="1836"/>
      <c r="K55" s="1840">
        <v>2</v>
      </c>
      <c r="L55" s="1836"/>
      <c r="M55" s="1840">
        <v>1</v>
      </c>
      <c r="N55" s="1836"/>
      <c r="O55" s="1841">
        <v>2</v>
      </c>
      <c r="P55" s="1838"/>
      <c r="Q55" s="1840">
        <v>4</v>
      </c>
      <c r="R55" s="1836"/>
      <c r="S55" s="1840">
        <v>7</v>
      </c>
      <c r="T55" s="1836"/>
      <c r="U55" s="1840">
        <v>9</v>
      </c>
      <c r="V55" s="1836"/>
      <c r="W55" s="1836">
        <f>SUM(G55:V56)</f>
        <v>27</v>
      </c>
      <c r="X55" s="1836"/>
      <c r="Y55" s="1836"/>
    </row>
    <row r="56" spans="1:25" s="48" customFormat="1" ht="21.9" customHeight="1">
      <c r="A56" s="41"/>
      <c r="B56" s="41"/>
      <c r="C56" s="1839"/>
      <c r="D56" s="1839"/>
      <c r="E56" s="1839"/>
      <c r="F56" s="1839"/>
      <c r="G56" s="1836"/>
      <c r="H56" s="1836"/>
      <c r="I56" s="1836"/>
      <c r="J56" s="1836"/>
      <c r="K56" s="1836"/>
      <c r="L56" s="1836"/>
      <c r="M56" s="1836"/>
      <c r="N56" s="1836"/>
      <c r="O56" s="1838"/>
      <c r="P56" s="1838"/>
      <c r="Q56" s="1836"/>
      <c r="R56" s="1836"/>
      <c r="S56" s="1836"/>
      <c r="T56" s="1836"/>
      <c r="U56" s="1836"/>
      <c r="V56" s="1836"/>
      <c r="W56" s="1836"/>
      <c r="X56" s="1836"/>
      <c r="Y56" s="1836"/>
    </row>
    <row r="57" spans="1:25" s="48" customFormat="1" ht="21.9" customHeight="1">
      <c r="A57" s="41"/>
      <c r="B57" s="41"/>
      <c r="C57" s="1837" t="s">
        <v>337</v>
      </c>
      <c r="D57" s="1837"/>
      <c r="E57" s="1837"/>
      <c r="F57" s="1837"/>
      <c r="G57" s="1836">
        <f>G55-前年度貼付!$E$46</f>
        <v>0</v>
      </c>
      <c r="H57" s="1836"/>
      <c r="I57" s="1836">
        <f>I55-前年度貼付!$E$47</f>
        <v>0</v>
      </c>
      <c r="J57" s="1836"/>
      <c r="K57" s="1836">
        <f>K55-前年度貼付!$E$48</f>
        <v>0</v>
      </c>
      <c r="L57" s="1836"/>
      <c r="M57" s="1836">
        <f>M55-前年度貼付!$E$49</f>
        <v>0</v>
      </c>
      <c r="N57" s="1836"/>
      <c r="O57" s="1838">
        <f>O55-前年度貼付!$E$50</f>
        <v>0</v>
      </c>
      <c r="P57" s="1838"/>
      <c r="Q57" s="1836">
        <f>Q55-前年度貼付!$E$51</f>
        <v>2</v>
      </c>
      <c r="R57" s="1836"/>
      <c r="S57" s="1836">
        <f>S55-前年度貼付!$E$52</f>
        <v>-1</v>
      </c>
      <c r="T57" s="1836"/>
      <c r="U57" s="1836">
        <f>U55-前年度貼付!$E$53</f>
        <v>-1</v>
      </c>
      <c r="V57" s="1836"/>
      <c r="W57" s="1836">
        <f>SUM(G57:V58)</f>
        <v>0</v>
      </c>
      <c r="X57" s="1836"/>
      <c r="Y57" s="1836"/>
    </row>
    <row r="58" spans="1:25" s="48" customFormat="1" ht="21.9" customHeight="1">
      <c r="A58" s="41"/>
      <c r="B58" s="41"/>
      <c r="C58" s="1837"/>
      <c r="D58" s="1837"/>
      <c r="E58" s="1837"/>
      <c r="F58" s="1837"/>
      <c r="G58" s="1836"/>
      <c r="H58" s="1836"/>
      <c r="I58" s="1836"/>
      <c r="J58" s="1836"/>
      <c r="K58" s="1836"/>
      <c r="L58" s="1836"/>
      <c r="M58" s="1836"/>
      <c r="N58" s="1836"/>
      <c r="O58" s="1838"/>
      <c r="P58" s="1838"/>
      <c r="Q58" s="1836"/>
      <c r="R58" s="1836"/>
      <c r="S58" s="1836"/>
      <c r="T58" s="1836"/>
      <c r="U58" s="1836"/>
      <c r="V58" s="1836"/>
      <c r="W58" s="1836"/>
      <c r="X58" s="1836"/>
      <c r="Y58" s="1836"/>
    </row>
    <row r="59" spans="1:25" s="48" customFormat="1" ht="21.9" customHeight="1">
      <c r="A59" s="41"/>
      <c r="B59" s="41"/>
      <c r="C59" s="73"/>
      <c r="D59" s="73"/>
      <c r="E59" s="73"/>
      <c r="F59" s="74"/>
      <c r="G59" s="74"/>
      <c r="H59" s="74"/>
      <c r="I59" s="75"/>
      <c r="J59" s="75"/>
      <c r="K59" s="74"/>
      <c r="L59" s="74"/>
      <c r="M59" s="74"/>
      <c r="N59" s="74"/>
      <c r="O59" s="74"/>
      <c r="P59" s="74"/>
      <c r="Q59" s="74"/>
      <c r="R59" s="74"/>
      <c r="S59" s="74"/>
      <c r="T59" s="74"/>
      <c r="U59" s="74"/>
      <c r="V59" s="74"/>
      <c r="W59" s="74"/>
      <c r="X59" s="41"/>
    </row>
    <row r="60" spans="1:25" s="48" customFormat="1" ht="21.9" customHeight="1">
      <c r="A60" s="41"/>
      <c r="B60" s="41"/>
      <c r="C60" s="49" t="s">
        <v>338</v>
      </c>
      <c r="D60" s="73"/>
      <c r="E60" s="73"/>
      <c r="F60" s="74"/>
      <c r="G60" s="74"/>
      <c r="H60" s="74"/>
      <c r="I60" s="75"/>
      <c r="J60" s="75"/>
      <c r="K60" s="74"/>
      <c r="L60" s="74"/>
      <c r="M60" s="74"/>
      <c r="N60" s="74"/>
      <c r="O60" s="74"/>
      <c r="P60" s="74"/>
      <c r="Q60" s="74"/>
      <c r="R60" s="74"/>
      <c r="S60" s="74"/>
      <c r="T60" s="74"/>
      <c r="U60" s="74"/>
      <c r="V60" s="74"/>
      <c r="W60" s="74"/>
      <c r="X60" s="41"/>
    </row>
    <row r="61" spans="1:25" s="49" customFormat="1" ht="21.9" customHeight="1">
      <c r="D61" s="1833" t="s">
        <v>327</v>
      </c>
      <c r="E61" s="1833"/>
      <c r="F61" s="66"/>
      <c r="G61" s="1834" t="s">
        <v>339</v>
      </c>
      <c r="H61" s="1834"/>
      <c r="I61" s="49" t="s">
        <v>340</v>
      </c>
      <c r="K61" s="77"/>
      <c r="L61" s="77"/>
      <c r="M61" s="77"/>
      <c r="N61" s="49" t="s">
        <v>341</v>
      </c>
      <c r="O61" s="77"/>
      <c r="P61" s="77"/>
      <c r="Q61" s="77"/>
      <c r="R61" s="77"/>
      <c r="S61" s="77"/>
      <c r="T61" s="77"/>
      <c r="U61" s="77"/>
      <c r="V61" s="77"/>
      <c r="W61" s="77"/>
    </row>
    <row r="62" spans="1:25" s="49" customFormat="1" ht="21.9" customHeight="1">
      <c r="D62" s="1835" t="s">
        <v>328</v>
      </c>
      <c r="E62" s="1835"/>
      <c r="F62" s="77"/>
      <c r="G62" s="78" t="s">
        <v>342</v>
      </c>
      <c r="H62" s="79"/>
      <c r="I62" s="54"/>
      <c r="K62" s="77"/>
      <c r="L62" s="77"/>
      <c r="M62" s="77"/>
      <c r="N62" s="49" t="s">
        <v>343</v>
      </c>
      <c r="O62" s="77"/>
      <c r="P62" s="77"/>
      <c r="Q62" s="77"/>
      <c r="R62" s="77"/>
      <c r="S62" s="77"/>
      <c r="T62" s="77"/>
      <c r="U62" s="77"/>
      <c r="V62" s="77"/>
      <c r="W62" s="77"/>
    </row>
    <row r="63" spans="1:25" s="49" customFormat="1" ht="21.9" customHeight="1">
      <c r="D63" s="42"/>
      <c r="E63" s="42"/>
      <c r="F63" s="77"/>
      <c r="G63" s="1834" t="s">
        <v>339</v>
      </c>
      <c r="H63" s="1834"/>
      <c r="I63" s="80" t="s">
        <v>344</v>
      </c>
      <c r="K63" s="77"/>
      <c r="L63" s="77"/>
      <c r="M63" s="77"/>
      <c r="N63" s="49" t="s">
        <v>345</v>
      </c>
      <c r="O63" s="77"/>
      <c r="P63" s="77"/>
      <c r="Q63" s="77"/>
      <c r="R63" s="77"/>
      <c r="S63" s="77"/>
      <c r="T63" s="77"/>
      <c r="U63" s="77"/>
      <c r="V63" s="77"/>
      <c r="W63" s="77"/>
    </row>
    <row r="64" spans="1:25" s="49" customFormat="1" ht="21.9" customHeight="1">
      <c r="F64" s="77"/>
      <c r="G64" s="77"/>
      <c r="H64" s="78" t="s">
        <v>346</v>
      </c>
      <c r="K64" s="77"/>
      <c r="L64" s="77"/>
      <c r="M64" s="77"/>
      <c r="N64" s="77"/>
      <c r="O64" s="77"/>
      <c r="P64" s="77"/>
      <c r="Q64" s="77"/>
      <c r="R64" s="77"/>
      <c r="S64" s="77"/>
      <c r="T64" s="77"/>
      <c r="U64" s="77"/>
      <c r="V64" s="77"/>
      <c r="W64" s="77"/>
    </row>
    <row r="65" spans="1:25" s="49" customFormat="1" ht="21.9" customHeight="1">
      <c r="F65" s="77"/>
      <c r="G65" s="77"/>
      <c r="H65" s="77"/>
      <c r="I65" s="77"/>
      <c r="J65" s="77"/>
      <c r="K65" s="77"/>
      <c r="L65" s="77"/>
      <c r="M65" s="77"/>
      <c r="N65" s="77"/>
      <c r="O65" s="77"/>
      <c r="P65" s="77"/>
      <c r="Q65" s="77"/>
      <c r="R65" s="77"/>
      <c r="S65" s="77"/>
      <c r="T65" s="77"/>
      <c r="U65" s="77"/>
      <c r="V65" s="77"/>
      <c r="W65" s="77"/>
    </row>
    <row r="66" spans="1:25" s="48" customFormat="1" ht="30" customHeight="1">
      <c r="A66" s="42"/>
      <c r="C66" s="47" t="s">
        <v>347</v>
      </c>
      <c r="D66" s="47"/>
      <c r="E66" s="47"/>
      <c r="F66" s="47"/>
      <c r="G66" s="47"/>
      <c r="H66" s="47"/>
      <c r="I66" s="47"/>
      <c r="J66" s="47"/>
      <c r="K66" s="61"/>
      <c r="L66" s="61"/>
      <c r="M66" s="61"/>
      <c r="N66" s="61"/>
      <c r="O66" s="42"/>
      <c r="P66" s="42"/>
      <c r="Q66" s="42"/>
      <c r="R66" s="42"/>
      <c r="S66" s="42"/>
      <c r="T66" s="42"/>
      <c r="U66" s="42"/>
      <c r="V66" s="42"/>
      <c r="W66" s="42"/>
      <c r="X66" s="42"/>
    </row>
    <row r="67" spans="1:25" ht="21.9" customHeight="1">
      <c r="A67" s="42"/>
      <c r="B67" s="42"/>
      <c r="C67" s="49"/>
      <c r="D67" s="49" t="str">
        <f>"令和"&amp;IF((入力ガイド!$C$6)&gt;=10,MID("０１２３４５６７８９",INT((入力ガイド!$C$6)/10)+1,1),"")&amp;MID("０１２３４５６７８９",MOD((入力ガイド!$C$6),10)+1,1)&amp;"年度"&amp;"決算報告書のとおり"</f>
        <v>令和７年度決算報告書のとおり</v>
      </c>
      <c r="E67" s="49"/>
      <c r="F67" s="77"/>
      <c r="G67" s="77"/>
      <c r="H67" s="77"/>
      <c r="I67" s="77"/>
      <c r="J67" s="77"/>
      <c r="K67" s="77"/>
      <c r="L67" s="77"/>
      <c r="M67" s="77"/>
      <c r="N67" s="77"/>
      <c r="O67" s="77"/>
      <c r="P67" s="77"/>
      <c r="Q67" s="77"/>
      <c r="R67" s="77"/>
      <c r="S67" s="77"/>
      <c r="T67" s="77"/>
      <c r="U67" s="77"/>
      <c r="V67" s="77"/>
      <c r="W67" s="77"/>
      <c r="X67" s="42"/>
      <c r="Y67" s="50"/>
    </row>
    <row r="68" spans="1:25" ht="21.9" customHeight="1">
      <c r="A68" s="42"/>
      <c r="B68" s="42"/>
      <c r="C68" s="49"/>
      <c r="D68" s="49"/>
      <c r="E68" s="49"/>
      <c r="F68" s="77"/>
      <c r="G68" s="77"/>
      <c r="H68" s="77"/>
      <c r="I68" s="77"/>
      <c r="J68" s="77"/>
      <c r="K68" s="77"/>
      <c r="L68" s="77"/>
      <c r="M68" s="77"/>
      <c r="N68" s="77"/>
      <c r="O68" s="77"/>
      <c r="P68" s="77"/>
      <c r="Q68" s="77"/>
      <c r="R68" s="77"/>
      <c r="S68" s="77"/>
      <c r="T68" s="77"/>
      <c r="U68" s="77"/>
      <c r="V68" s="77"/>
      <c r="W68" s="77"/>
      <c r="X68" s="42"/>
      <c r="Y68" s="50"/>
    </row>
    <row r="69" spans="1:25" ht="20.100000000000001" customHeight="1">
      <c r="A69" s="50"/>
      <c r="B69" s="42"/>
      <c r="C69" s="50"/>
      <c r="D69" s="50"/>
      <c r="E69" s="50"/>
      <c r="F69" s="50"/>
      <c r="G69" s="50"/>
      <c r="H69" s="50"/>
      <c r="I69" s="50"/>
      <c r="J69" s="50"/>
      <c r="K69" s="50"/>
      <c r="L69" s="50"/>
      <c r="M69" s="50"/>
      <c r="N69" s="50"/>
      <c r="O69" s="50"/>
      <c r="P69" s="50"/>
      <c r="Q69" s="50"/>
      <c r="R69" s="50"/>
      <c r="S69" s="50"/>
      <c r="T69" s="50"/>
      <c r="U69" s="50"/>
      <c r="V69" s="50"/>
      <c r="W69" s="50"/>
      <c r="X69" s="50"/>
      <c r="Y69" s="50"/>
    </row>
    <row r="70" spans="1:25" ht="20.100000000000001" customHeight="1">
      <c r="A70" s="50"/>
      <c r="B70" s="42"/>
      <c r="C70" s="50"/>
      <c r="D70" s="50"/>
      <c r="E70" s="50"/>
      <c r="F70" s="50"/>
      <c r="G70" s="50"/>
      <c r="H70" s="50"/>
      <c r="I70" s="50"/>
      <c r="J70" s="50"/>
      <c r="K70" s="50"/>
      <c r="L70" s="50"/>
      <c r="M70" s="50"/>
      <c r="N70" s="50"/>
      <c r="O70" s="50"/>
      <c r="P70" s="50"/>
      <c r="Q70" s="50"/>
      <c r="R70" s="50"/>
      <c r="S70" s="50"/>
      <c r="T70" s="50"/>
      <c r="U70" s="50"/>
      <c r="V70" s="50"/>
      <c r="W70" s="50"/>
      <c r="X70" s="50"/>
      <c r="Y70" s="50"/>
    </row>
    <row r="71" spans="1:25" ht="20.100000000000001" customHeight="1">
      <c r="A71" s="50"/>
      <c r="B71" s="42"/>
      <c r="C71" s="50"/>
      <c r="D71" s="50"/>
      <c r="E71" s="50"/>
      <c r="F71" s="50"/>
      <c r="G71" s="50"/>
      <c r="H71" s="50"/>
      <c r="I71" s="50"/>
      <c r="J71" s="50"/>
      <c r="K71" s="50"/>
      <c r="L71" s="50"/>
      <c r="M71" s="50"/>
      <c r="N71" s="50"/>
      <c r="O71" s="50"/>
      <c r="P71" s="50"/>
      <c r="Q71" s="50"/>
      <c r="R71" s="50"/>
      <c r="S71" s="50"/>
      <c r="T71" s="50"/>
      <c r="U71" s="50"/>
      <c r="V71" s="50"/>
      <c r="W71" s="50"/>
      <c r="X71" s="50"/>
      <c r="Y71" s="50"/>
    </row>
    <row r="72" spans="1:25" ht="20.100000000000001" customHeight="1">
      <c r="A72" s="50"/>
      <c r="B72" s="42"/>
      <c r="C72" s="50"/>
      <c r="D72" s="50"/>
      <c r="E72" s="50"/>
      <c r="F72" s="50"/>
      <c r="G72" s="50"/>
      <c r="H72" s="50"/>
      <c r="I72" s="50"/>
      <c r="J72" s="50"/>
      <c r="K72" s="50"/>
      <c r="L72" s="50"/>
      <c r="M72" s="50"/>
      <c r="N72" s="50"/>
      <c r="O72" s="50"/>
      <c r="P72" s="50"/>
      <c r="Q72" s="50"/>
      <c r="R72" s="50"/>
      <c r="S72" s="50"/>
      <c r="T72" s="50"/>
      <c r="U72" s="50"/>
      <c r="V72" s="50"/>
      <c r="W72" s="50"/>
      <c r="X72" s="50"/>
      <c r="Y72" s="50"/>
    </row>
    <row r="73" spans="1:25" ht="20.100000000000001" customHeight="1">
      <c r="A73" s="50"/>
      <c r="B73" s="42"/>
      <c r="C73" s="50"/>
      <c r="D73" s="50"/>
      <c r="E73" s="50"/>
      <c r="F73" s="50"/>
      <c r="G73" s="50"/>
      <c r="H73" s="50"/>
      <c r="I73" s="50"/>
      <c r="J73" s="50"/>
      <c r="K73" s="50"/>
      <c r="L73" s="50"/>
      <c r="M73" s="50"/>
      <c r="N73" s="50"/>
      <c r="O73" s="50"/>
      <c r="P73" s="50"/>
      <c r="Q73" s="50"/>
      <c r="R73" s="50"/>
      <c r="S73" s="50"/>
      <c r="T73" s="50"/>
      <c r="U73" s="50"/>
      <c r="V73" s="50"/>
      <c r="W73" s="50"/>
      <c r="X73" s="50"/>
      <c r="Y73" s="50"/>
    </row>
  </sheetData>
  <sheetProtection formatCells="0" formatColumns="0" formatRows="0" insertColumns="0" insertRows="0" insertHyperlinks="0" deleteColumns="0" deleteRows="0" selectLockedCells="1"/>
  <mergeCells count="101">
    <mergeCell ref="D5:W6"/>
    <mergeCell ref="D25:F25"/>
    <mergeCell ref="K25:M25"/>
    <mergeCell ref="R25:T25"/>
    <mergeCell ref="D26:F26"/>
    <mergeCell ref="K26:M26"/>
    <mergeCell ref="D29:F29"/>
    <mergeCell ref="G29:J29"/>
    <mergeCell ref="K29:R29"/>
    <mergeCell ref="S29:W29"/>
    <mergeCell ref="D30:F30"/>
    <mergeCell ref="G30:J30"/>
    <mergeCell ref="K30:R30"/>
    <mergeCell ref="S30:W30"/>
    <mergeCell ref="D31:F31"/>
    <mergeCell ref="G31:J31"/>
    <mergeCell ref="K31:R31"/>
    <mergeCell ref="S31:W31"/>
    <mergeCell ref="D32:F32"/>
    <mergeCell ref="G32:J32"/>
    <mergeCell ref="K32:R32"/>
    <mergeCell ref="S32:W32"/>
    <mergeCell ref="D33:F33"/>
    <mergeCell ref="G33:J33"/>
    <mergeCell ref="K33:R33"/>
    <mergeCell ref="S33:W33"/>
    <mergeCell ref="D34:F34"/>
    <mergeCell ref="G34:J34"/>
    <mergeCell ref="K34:R34"/>
    <mergeCell ref="S34:W34"/>
    <mergeCell ref="D35:F35"/>
    <mergeCell ref="G35:J35"/>
    <mergeCell ref="K35:R35"/>
    <mergeCell ref="S35:W35"/>
    <mergeCell ref="D36:F36"/>
    <mergeCell ref="G36:J36"/>
    <mergeCell ref="K36:R36"/>
    <mergeCell ref="S36:W36"/>
    <mergeCell ref="D37:F37"/>
    <mergeCell ref="G37:J37"/>
    <mergeCell ref="K37:R37"/>
    <mergeCell ref="S37:W37"/>
    <mergeCell ref="D38:F38"/>
    <mergeCell ref="G38:J38"/>
    <mergeCell ref="K38:R38"/>
    <mergeCell ref="S38:W38"/>
    <mergeCell ref="D39:F39"/>
    <mergeCell ref="G39:J39"/>
    <mergeCell ref="K39:R39"/>
    <mergeCell ref="S39:W39"/>
    <mergeCell ref="D40:F40"/>
    <mergeCell ref="G40:J40"/>
    <mergeCell ref="K40:R40"/>
    <mergeCell ref="S40:W40"/>
    <mergeCell ref="H42:P42"/>
    <mergeCell ref="C45:F45"/>
    <mergeCell ref="G45:I45"/>
    <mergeCell ref="M45:T45"/>
    <mergeCell ref="C46:F47"/>
    <mergeCell ref="G46:I47"/>
    <mergeCell ref="J46:X46"/>
    <mergeCell ref="J47:X47"/>
    <mergeCell ref="C48:F49"/>
    <mergeCell ref="G48:I49"/>
    <mergeCell ref="J48:X48"/>
    <mergeCell ref="J49:X49"/>
    <mergeCell ref="T50:W50"/>
    <mergeCell ref="C53:F54"/>
    <mergeCell ref="G53:H54"/>
    <mergeCell ref="I53:J54"/>
    <mergeCell ref="K53:L54"/>
    <mergeCell ref="M53:N54"/>
    <mergeCell ref="O53:P54"/>
    <mergeCell ref="Q53:R54"/>
    <mergeCell ref="S53:T54"/>
    <mergeCell ref="U53:V54"/>
    <mergeCell ref="W53:Y54"/>
    <mergeCell ref="D61:E61"/>
    <mergeCell ref="G61:H61"/>
    <mergeCell ref="D62:E62"/>
    <mergeCell ref="G63:H63"/>
    <mergeCell ref="W55:Y56"/>
    <mergeCell ref="C57:F58"/>
    <mergeCell ref="G57:H58"/>
    <mergeCell ref="I57:J58"/>
    <mergeCell ref="K57:L58"/>
    <mergeCell ref="M57:N58"/>
    <mergeCell ref="O57:P58"/>
    <mergeCell ref="Q57:R58"/>
    <mergeCell ref="S57:T58"/>
    <mergeCell ref="U57:V58"/>
    <mergeCell ref="W57:Y58"/>
    <mergeCell ref="C55:F56"/>
    <mergeCell ref="G55:H56"/>
    <mergeCell ref="I55:J56"/>
    <mergeCell ref="K55:L56"/>
    <mergeCell ref="M55:N56"/>
    <mergeCell ref="O55:P56"/>
    <mergeCell ref="Q55:R56"/>
    <mergeCell ref="S55:T56"/>
    <mergeCell ref="U55:V56"/>
  </mergeCells>
  <phoneticPr fontId="155"/>
  <conditionalFormatting sqref="G55 I55 K55 M55 O55 Q55 S55 U55">
    <cfRule type="expression" dxfId="6" priority="1">
      <formula>AND(入力色表示=1,NOT(_xlfn.ISFORMULA(G55)))</formula>
    </cfRule>
  </conditionalFormatting>
  <dataValidations count="8">
    <dataValidation allowBlank="1" showInputMessage="1" promptTitle="手入力セル" prompt="反映先：報告_概況P1-2 G57,W55&#10;他の帳票：なし" sqref="G55"/>
    <dataValidation allowBlank="1" showInputMessage="1" promptTitle="手入力セル" prompt="反映先：報告_概況P1-2 I57,W55&#10;他の帳票：なし" sqref="I55"/>
    <dataValidation allowBlank="1" showInputMessage="1" promptTitle="手入力セル" prompt="反映先：報告_概況P1-2 K57,W55&#10;他の帳票：なし" sqref="K55"/>
    <dataValidation allowBlank="1" showInputMessage="1" promptTitle="手入力セル" prompt="反映先：報告_概況P1-2 M57,W55&#10;他の帳票：なし" sqref="M55"/>
    <dataValidation allowBlank="1" showInputMessage="1" promptTitle="手入力セル" prompt="反映先：報告_概況P1-2 O57,W55&#10;他の帳票：なし" sqref="O55"/>
    <dataValidation allowBlank="1" showInputMessage="1" promptTitle="手入力セル" prompt="反映先：報告_概況P1-2 Q57,W55&#10;他の帳票：なし" sqref="Q55"/>
    <dataValidation allowBlank="1" showInputMessage="1" promptTitle="手入力セル" prompt="反映先：報告_概況P1-2 S57,W55&#10;他の帳票：なし" sqref="S55"/>
    <dataValidation allowBlank="1" showInputMessage="1" promptTitle="手入力セル" prompt="反映先：報告_概況P1-2 U57,W55&#10;他の帳票：なし" sqref="U55"/>
  </dataValidations>
  <pageMargins left="0.59027777777777801" right="0.39374999999999999" top="0.98402777777777795" bottom="0.78749999999999998" header="0.511811023622047" footer="0.31527777777777799"/>
  <pageSetup paperSize="9" fitToHeight="0" orientation="portrait" useFirstPageNumber="1" horizontalDpi="300" verticalDpi="300"/>
  <headerFooter>
    <oddFooter>&amp;C&amp;"ＭＳ 明朝,Regular"－ &amp;P －</oddFooter>
  </headerFooter>
  <rowBreaks count="1" manualBreakCount="1">
    <brk id="41" max="16383" man="1"/>
  </rowBreaks>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C1ED6-012B-44B3-AC10-64E682BC1B8B}">
  <sheetPr codeName="Sheet6"/>
  <dimension ref="A2:IW141"/>
  <sheetViews>
    <sheetView topLeftCell="A43" zoomScaleNormal="100" zoomScalePageLayoutView="60" workbookViewId="0">
      <selection sqref="A1:G1"/>
    </sheetView>
  </sheetViews>
  <sheetFormatPr defaultColWidth="1.77734375" defaultRowHeight="13.2"/>
  <cols>
    <col min="1" max="1" width="1.6640625" style="81" customWidth="1"/>
    <col min="2" max="3" width="2" style="81" customWidth="1"/>
    <col min="4" max="5" width="2.109375" style="81" customWidth="1"/>
    <col min="6" max="7" width="2" style="81" customWidth="1"/>
    <col min="8" max="9" width="1.6640625" style="81" customWidth="1"/>
    <col min="10" max="11" width="1.77734375" style="81"/>
    <col min="12" max="13" width="1.6640625" style="81" customWidth="1"/>
    <col min="14" max="14" width="1.88671875" style="81" customWidth="1"/>
    <col min="15" max="15" width="1.6640625" style="81" customWidth="1"/>
    <col min="16" max="49" width="1.77734375" style="81"/>
    <col min="50" max="51" width="1.88671875" style="81" customWidth="1"/>
    <col min="52" max="52" width="2.33203125" style="81" customWidth="1"/>
    <col min="53" max="53" width="3.21875" style="81" customWidth="1"/>
    <col min="54" max="57" width="1.77734375" style="81"/>
    <col min="58" max="58" width="7.6640625" style="81" customWidth="1"/>
    <col min="59" max="257" width="1.77734375" style="81"/>
  </cols>
  <sheetData>
    <row r="2" spans="1:53" ht="36" customHeight="1">
      <c r="A2" s="1926" t="str">
        <f>"令和"&amp;IF((入力ガイド!$C$6)&gt;=10,MID("０１２３４５６７８９",INT((入力ガイド!$C$6)/10)+1,1),"")&amp;MID("０１２３４５６７８９",MOD((入力ガイド!$C$6),10)+1,1)&amp;"年度決算報告書"</f>
        <v>令和７年度決算報告書</v>
      </c>
      <c r="B2" s="1926"/>
      <c r="C2" s="1926"/>
      <c r="D2" s="1926"/>
      <c r="E2" s="1926"/>
      <c r="F2" s="1926"/>
      <c r="G2" s="1926"/>
      <c r="H2" s="1926"/>
      <c r="I2" s="1926"/>
      <c r="J2" s="1926"/>
      <c r="K2" s="1926"/>
      <c r="L2" s="1926"/>
      <c r="M2" s="1926"/>
      <c r="N2" s="1926"/>
      <c r="O2" s="1926"/>
      <c r="P2" s="1926"/>
      <c r="Q2" s="1926"/>
      <c r="R2" s="1926"/>
      <c r="S2" s="1926"/>
      <c r="T2" s="1926"/>
      <c r="U2" s="1926"/>
      <c r="V2" s="1926"/>
      <c r="W2" s="1926"/>
      <c r="X2" s="1926"/>
      <c r="Y2" s="1926"/>
      <c r="Z2" s="1926"/>
      <c r="AA2" s="1926"/>
      <c r="AB2" s="1926"/>
      <c r="AC2" s="1926"/>
      <c r="AD2" s="1926"/>
      <c r="AE2" s="1926"/>
      <c r="AF2" s="1926"/>
      <c r="AG2" s="1926"/>
      <c r="AH2" s="1926"/>
      <c r="AI2" s="1926"/>
      <c r="AJ2" s="1926"/>
      <c r="AK2" s="1926"/>
      <c r="AL2" s="1926"/>
      <c r="AM2" s="1926"/>
      <c r="AN2" s="1926"/>
      <c r="AO2" s="1926"/>
      <c r="AP2" s="1926"/>
      <c r="AQ2" s="1926"/>
      <c r="AR2" s="1926"/>
      <c r="AS2" s="1926"/>
      <c r="AT2" s="1926"/>
      <c r="AU2" s="1926"/>
      <c r="AV2" s="1926"/>
      <c r="AW2" s="1926"/>
      <c r="AX2" s="1926"/>
      <c r="AY2" s="1926"/>
      <c r="AZ2" s="1926"/>
      <c r="BA2" s="1926"/>
    </row>
    <row r="3" spans="1:53" ht="27" customHeight="1">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82"/>
      <c r="AE3" s="82"/>
      <c r="AF3" s="82"/>
      <c r="AG3" s="82"/>
      <c r="AH3" s="82"/>
      <c r="AI3" s="82"/>
      <c r="AJ3" s="82"/>
      <c r="AK3" s="82"/>
      <c r="AL3" s="82"/>
      <c r="AM3" s="82"/>
      <c r="AN3" s="82"/>
      <c r="AO3" s="82"/>
      <c r="AP3" s="82"/>
      <c r="AQ3" s="82"/>
      <c r="AR3" s="82"/>
      <c r="AS3" s="82"/>
      <c r="AT3" s="82"/>
      <c r="AU3" s="82"/>
      <c r="AV3" s="82"/>
      <c r="AW3" s="82"/>
      <c r="AX3" s="82"/>
      <c r="AY3" s="82"/>
      <c r="AZ3" s="82"/>
      <c r="BA3" s="82"/>
    </row>
    <row r="4" spans="1:53" ht="24.9" customHeight="1">
      <c r="AJ4" s="1927" t="s">
        <v>247</v>
      </c>
      <c r="AK4" s="1927"/>
      <c r="AL4" s="1927"/>
      <c r="AM4" s="1927"/>
      <c r="AN4" s="1927"/>
      <c r="AO4" s="1927"/>
      <c r="AP4" s="1927"/>
      <c r="AQ4" s="1927"/>
      <c r="AR4" s="1927"/>
      <c r="AS4" s="1927"/>
      <c r="AT4" s="1927"/>
      <c r="AU4" s="1927"/>
      <c r="AV4" s="1927"/>
      <c r="AW4" s="1927"/>
      <c r="AX4" s="1927"/>
      <c r="AY4" s="1927"/>
      <c r="AZ4" s="1927"/>
      <c r="BA4" s="1927"/>
    </row>
    <row r="5" spans="1:53" ht="15" customHeight="1">
      <c r="AJ5" s="84"/>
      <c r="AK5" s="84"/>
      <c r="AL5" s="84"/>
      <c r="AM5" s="84"/>
      <c r="AN5" s="84"/>
      <c r="AO5" s="84"/>
      <c r="AP5" s="84"/>
      <c r="AQ5" s="84"/>
      <c r="AR5" s="84"/>
      <c r="AS5" s="84"/>
      <c r="AT5" s="84"/>
      <c r="AU5" s="84"/>
      <c r="AV5" s="84"/>
      <c r="AW5" s="84"/>
      <c r="AX5" s="84"/>
      <c r="AY5" s="84"/>
      <c r="AZ5" s="84"/>
      <c r="BA5" s="84"/>
    </row>
    <row r="6" spans="1:53" ht="27" customHeight="1">
      <c r="A6" s="1928" t="s">
        <v>348</v>
      </c>
      <c r="B6" s="1928"/>
      <c r="C6" s="1928"/>
      <c r="D6" s="1928"/>
      <c r="E6" s="1928"/>
      <c r="F6" s="1928"/>
      <c r="G6" s="1928"/>
      <c r="H6" s="1928"/>
      <c r="I6" s="1928"/>
      <c r="J6" s="1928"/>
      <c r="K6" s="1928"/>
      <c r="L6" s="1928"/>
      <c r="M6" s="1928"/>
      <c r="N6" s="1928"/>
      <c r="O6" s="1928"/>
      <c r="P6" s="1928"/>
    </row>
    <row r="7" spans="1:53" ht="39.9" customHeight="1">
      <c r="A7" s="1929" t="str">
        <f>"１．令和"&amp;IF((入力ガイド!$C$6)&gt;=10,MID("０１２３４５６７８９",INT((入力ガイド!$C$6)/10)+1,1),"")&amp;MID("０１２３４５６７８９",MOD((入力ガイド!$C$6),10)+1,1)&amp;"年度末現在の市町村数について"</f>
        <v>１．令和７年度末現在の市町村数について</v>
      </c>
      <c r="B7" s="1929"/>
      <c r="C7" s="1929"/>
      <c r="D7" s="1929"/>
      <c r="E7" s="1929"/>
      <c r="F7" s="1929"/>
      <c r="G7" s="1929"/>
      <c r="H7" s="1929"/>
      <c r="I7" s="1929"/>
      <c r="J7" s="1929"/>
      <c r="K7" s="1929"/>
      <c r="L7" s="1929"/>
      <c r="M7" s="1929"/>
      <c r="N7" s="1929"/>
      <c r="O7" s="1929"/>
      <c r="P7" s="1929"/>
      <c r="Q7" s="1929"/>
      <c r="R7" s="1929"/>
      <c r="S7" s="1929"/>
      <c r="T7" s="1929"/>
      <c r="U7" s="1929"/>
      <c r="V7" s="1929"/>
      <c r="W7" s="1929"/>
      <c r="X7" s="1929"/>
      <c r="Y7" s="1929"/>
      <c r="Z7" s="1929"/>
      <c r="AA7" s="1929"/>
      <c r="AB7" s="1929"/>
      <c r="AC7" s="1929"/>
      <c r="AD7" s="1929"/>
      <c r="AE7" s="1929"/>
      <c r="AF7" s="1929"/>
      <c r="AG7" s="1929"/>
      <c r="AH7" s="1929"/>
      <c r="AI7" s="1929"/>
      <c r="AJ7" s="1929"/>
      <c r="AK7" s="1929"/>
      <c r="AL7" s="1929"/>
      <c r="AM7" s="1929"/>
      <c r="AN7" s="1929"/>
      <c r="AO7" s="1929"/>
      <c r="AP7" s="1929"/>
      <c r="AQ7" s="1929"/>
      <c r="AR7" s="1929"/>
      <c r="AS7" s="1929"/>
      <c r="AT7" s="1929"/>
      <c r="AU7" s="1929"/>
      <c r="AV7" s="1929"/>
      <c r="AW7" s="1929"/>
      <c r="AX7" s="1929"/>
      <c r="AY7" s="1929"/>
      <c r="AZ7" s="1929"/>
      <c r="BA7" s="1929"/>
    </row>
    <row r="8" spans="1:53" ht="18" customHeight="1">
      <c r="A8" s="1879" t="s">
        <v>349</v>
      </c>
      <c r="B8" s="1879"/>
      <c r="C8" s="1879"/>
      <c r="D8" s="1879"/>
      <c r="E8" s="1879"/>
      <c r="F8" s="1879"/>
      <c r="G8" s="1879"/>
      <c r="H8" s="1879"/>
      <c r="I8" s="1879"/>
      <c r="J8" s="1879"/>
      <c r="K8" s="1879"/>
      <c r="L8" s="1879"/>
      <c r="M8" s="1845" t="s">
        <v>350</v>
      </c>
      <c r="N8" s="1845"/>
      <c r="O8" s="1845"/>
      <c r="P8" s="1845"/>
      <c r="Q8" s="1845"/>
      <c r="R8" s="1845"/>
      <c r="S8" s="1845"/>
      <c r="T8" s="1845"/>
      <c r="U8" s="1845" t="s">
        <v>351</v>
      </c>
      <c r="V8" s="1845"/>
      <c r="W8" s="1845"/>
      <c r="X8" s="1845"/>
      <c r="Y8" s="1845"/>
      <c r="Z8" s="1845"/>
      <c r="AA8" s="1845"/>
      <c r="AB8" s="1845"/>
      <c r="AC8" s="86"/>
      <c r="AD8" s="87"/>
      <c r="AE8" s="87"/>
      <c r="AF8" s="87"/>
      <c r="AG8" s="87"/>
      <c r="AH8" s="87"/>
      <c r="AI8" s="87"/>
      <c r="AJ8" s="87"/>
      <c r="AK8" s="87"/>
      <c r="AL8" s="87"/>
      <c r="AM8" s="87"/>
      <c r="AN8" s="87"/>
      <c r="AO8" s="87"/>
      <c r="AP8" s="87"/>
      <c r="AQ8" s="87"/>
      <c r="AR8" s="87"/>
      <c r="AS8" s="87"/>
      <c r="AT8" s="87"/>
      <c r="AU8" s="87"/>
      <c r="AV8" s="87"/>
      <c r="AW8" s="87"/>
      <c r="AX8" s="87"/>
      <c r="AY8" s="87"/>
      <c r="AZ8" s="87"/>
      <c r="BA8" s="87"/>
    </row>
    <row r="9" spans="1:53" ht="18" customHeight="1">
      <c r="A9" s="1851" t="s">
        <v>352</v>
      </c>
      <c r="B9" s="1851"/>
      <c r="C9" s="1851"/>
      <c r="D9" s="1851"/>
      <c r="E9" s="1851"/>
      <c r="F9" s="1851"/>
      <c r="G9" s="1851"/>
      <c r="H9" s="1851"/>
      <c r="I9" s="1851"/>
      <c r="J9" s="1851"/>
      <c r="K9" s="1851"/>
      <c r="L9" s="1851"/>
      <c r="M9" s="1845"/>
      <c r="N9" s="1845"/>
      <c r="O9" s="1845"/>
      <c r="P9" s="1845"/>
      <c r="Q9" s="1845"/>
      <c r="R9" s="1845"/>
      <c r="S9" s="1845"/>
      <c r="T9" s="1845"/>
      <c r="U9" s="1845"/>
      <c r="V9" s="1845"/>
      <c r="W9" s="1845"/>
      <c r="X9" s="1845"/>
      <c r="Y9" s="1845"/>
      <c r="Z9" s="1845"/>
      <c r="AA9" s="1845"/>
      <c r="AB9" s="1845"/>
      <c r="AC9" s="86"/>
      <c r="AD9" s="87"/>
      <c r="AE9" s="87"/>
      <c r="AF9" s="87"/>
      <c r="AG9" s="87"/>
      <c r="AH9" s="87"/>
      <c r="AI9" s="87"/>
      <c r="AJ9" s="87"/>
      <c r="AK9" s="87"/>
      <c r="AL9" s="87"/>
      <c r="AM9" s="87"/>
      <c r="AN9" s="87"/>
      <c r="AO9" s="87"/>
      <c r="AP9" s="87"/>
      <c r="AQ9" s="87"/>
      <c r="AR9" s="87"/>
      <c r="AS9" s="87"/>
      <c r="AT9" s="87"/>
      <c r="AU9" s="87"/>
      <c r="AV9" s="87"/>
      <c r="AW9" s="87"/>
      <c r="AX9" s="87"/>
      <c r="AY9" s="87"/>
      <c r="AZ9" s="87"/>
      <c r="BA9" s="87"/>
    </row>
    <row r="10" spans="1:53" ht="36" customHeight="1">
      <c r="A10" s="1880" t="str">
        <f>"令和"&amp;IF((入力ガイド!$C$6)&gt;=10,MID("０１２３４５６７８９",INT((入力ガイド!$C$6)/10)+1,1),"")&amp;MID("０１２３４５６７８９",MOD((入力ガイド!$C$6),10)+1,1)&amp;"年度"</f>
        <v>令和７年度</v>
      </c>
      <c r="B10" s="1880"/>
      <c r="C10" s="1880"/>
      <c r="D10" s="1880"/>
      <c r="E10" s="1880"/>
      <c r="F10" s="1880"/>
      <c r="G10" s="1880"/>
      <c r="H10" s="1880"/>
      <c r="I10" s="1880"/>
      <c r="J10" s="1880"/>
      <c r="K10" s="1880"/>
      <c r="L10" s="1880"/>
      <c r="M10" s="1930">
        <v>1</v>
      </c>
      <c r="N10" s="1845"/>
      <c r="O10" s="1845"/>
      <c r="P10" s="1845"/>
      <c r="Q10" s="1845"/>
      <c r="R10" s="1845"/>
      <c r="S10" s="1845"/>
      <c r="T10" s="1845"/>
      <c r="U10" s="1931">
        <f>SUM(M10:T10)</f>
        <v>1</v>
      </c>
      <c r="V10" s="1931"/>
      <c r="W10" s="1931"/>
      <c r="X10" s="1931"/>
      <c r="Y10" s="1931"/>
      <c r="Z10" s="1931"/>
      <c r="AA10" s="1931"/>
      <c r="AB10" s="1931"/>
    </row>
    <row r="11" spans="1:53" ht="36" customHeight="1"/>
    <row r="12" spans="1:53" ht="24.9" customHeight="1">
      <c r="A12" s="1887" t="str">
        <f>"２．令和"&amp;IF((入力ガイド!$C$6)&gt;=10,MID("０１２３４５６７８９",INT((入力ガイド!$C$6)/10)+1,1),"")&amp;MID("０１２３４５６７８９",MOD((入力ガイド!$C$6),10)+1,1)&amp;"年度末現在の組合員数、標準報酬の月額、標準期末手当等の額及び被扶養者数について"</f>
        <v>２．令和７年度末現在の組合員数、標準報酬の月額、標準期末手当等の額及び被扶養者数について</v>
      </c>
      <c r="B12" s="1887"/>
      <c r="C12" s="1887"/>
      <c r="D12" s="1887"/>
      <c r="E12" s="1887"/>
      <c r="F12" s="1887"/>
      <c r="G12" s="1887"/>
      <c r="H12" s="1887"/>
      <c r="I12" s="1887"/>
      <c r="J12" s="1887"/>
      <c r="K12" s="1887"/>
      <c r="L12" s="1887"/>
      <c r="M12" s="1887"/>
      <c r="N12" s="1887"/>
      <c r="O12" s="1887"/>
      <c r="P12" s="1887"/>
      <c r="Q12" s="1887"/>
      <c r="R12" s="1887"/>
      <c r="S12" s="1887"/>
      <c r="T12" s="1887"/>
      <c r="U12" s="1887"/>
      <c r="V12" s="1887"/>
      <c r="W12" s="1887"/>
      <c r="X12" s="1887"/>
      <c r="Y12" s="1887"/>
      <c r="Z12" s="1887"/>
      <c r="AA12" s="1887"/>
      <c r="AB12" s="1887"/>
      <c r="AC12" s="1887"/>
      <c r="AD12" s="1887"/>
      <c r="AE12" s="1887"/>
      <c r="AF12" s="1887"/>
      <c r="AG12" s="1887"/>
      <c r="AH12" s="1887"/>
      <c r="AI12" s="1887"/>
      <c r="AJ12" s="1887"/>
      <c r="AK12" s="1887"/>
      <c r="AL12" s="1887"/>
      <c r="AM12" s="1887"/>
      <c r="AN12" s="1887"/>
      <c r="AO12" s="1887"/>
      <c r="AP12" s="1887"/>
      <c r="AQ12" s="1887"/>
      <c r="AR12" s="1887"/>
      <c r="AS12" s="1887"/>
      <c r="AT12" s="1887"/>
      <c r="AU12" s="1887"/>
      <c r="AV12" s="1887"/>
      <c r="AW12" s="1887"/>
      <c r="AX12" s="1887"/>
      <c r="AY12" s="1887"/>
      <c r="AZ12" s="1887"/>
      <c r="BA12" s="1887"/>
    </row>
    <row r="13" spans="1:53" ht="24.75" customHeight="1">
      <c r="A13" s="1887" t="s">
        <v>353</v>
      </c>
      <c r="B13" s="1887"/>
      <c r="C13" s="1887"/>
      <c r="D13" s="1887"/>
      <c r="E13" s="1887"/>
      <c r="F13" s="1887"/>
      <c r="G13" s="1887"/>
      <c r="H13" s="1887"/>
      <c r="I13" s="1887"/>
      <c r="J13" s="1887"/>
      <c r="K13" s="1887"/>
      <c r="L13" s="1887"/>
      <c r="M13" s="1887"/>
      <c r="N13" s="89"/>
      <c r="O13" s="89"/>
      <c r="P13" s="89"/>
      <c r="Q13" s="89"/>
      <c r="R13" s="89"/>
      <c r="S13" s="89"/>
      <c r="T13" s="89"/>
      <c r="U13" s="89"/>
      <c r="V13" s="89"/>
      <c r="W13" s="89"/>
      <c r="X13" s="89"/>
      <c r="Y13" s="89"/>
      <c r="Z13" s="89"/>
      <c r="AA13" s="89"/>
      <c r="AB13" s="89"/>
      <c r="AC13" s="89"/>
      <c r="AD13" s="89"/>
      <c r="AE13" s="89"/>
      <c r="AF13" s="89"/>
      <c r="AG13" s="89"/>
      <c r="AH13" s="89"/>
      <c r="AI13" s="89"/>
      <c r="AJ13" s="89"/>
      <c r="AK13" s="89"/>
      <c r="AL13" s="89"/>
      <c r="AM13" s="89"/>
      <c r="AN13" s="89"/>
    </row>
    <row r="14" spans="1:53" ht="15" customHeight="1">
      <c r="AR14" s="1923" t="s">
        <v>325</v>
      </c>
      <c r="AS14" s="1923"/>
      <c r="AT14" s="1923"/>
      <c r="AU14" s="1923"/>
      <c r="AV14" s="1923"/>
      <c r="AW14" s="1923"/>
      <c r="AX14" s="1923"/>
      <c r="AY14" s="1923"/>
      <c r="AZ14" s="1923"/>
      <c r="BA14" s="1923"/>
    </row>
    <row r="15" spans="1:53" ht="21" customHeight="1">
      <c r="A15" s="1879" t="s">
        <v>349</v>
      </c>
      <c r="B15" s="1879"/>
      <c r="C15" s="1879"/>
      <c r="D15" s="1879"/>
      <c r="E15" s="1879"/>
      <c r="F15" s="1879"/>
      <c r="G15" s="1879"/>
      <c r="H15" s="1879"/>
      <c r="I15" s="1879"/>
      <c r="J15" s="1879"/>
      <c r="K15" s="1879"/>
      <c r="L15" s="1879"/>
      <c r="M15" s="1879"/>
      <c r="N15" s="1845" t="s">
        <v>354</v>
      </c>
      <c r="O15" s="1845"/>
      <c r="P15" s="1845"/>
      <c r="Q15" s="1845"/>
      <c r="R15" s="1845"/>
      <c r="S15" s="1845"/>
      <c r="T15" s="1845"/>
      <c r="U15" s="1845"/>
      <c r="V15" s="1845" t="s">
        <v>355</v>
      </c>
      <c r="W15" s="1845"/>
      <c r="X15" s="1845"/>
      <c r="Y15" s="1845"/>
      <c r="Z15" s="1845"/>
      <c r="AA15" s="1845"/>
      <c r="AB15" s="1845"/>
      <c r="AC15" s="1845"/>
      <c r="AD15" s="1845" t="s">
        <v>356</v>
      </c>
      <c r="AE15" s="1845"/>
      <c r="AF15" s="1845"/>
      <c r="AG15" s="1845"/>
      <c r="AH15" s="1845"/>
      <c r="AI15" s="1845"/>
      <c r="AJ15" s="1845"/>
      <c r="AK15" s="1845"/>
      <c r="AL15" s="1845" t="s">
        <v>357</v>
      </c>
      <c r="AM15" s="1845"/>
      <c r="AN15" s="1845"/>
      <c r="AO15" s="1845"/>
      <c r="AP15" s="1845"/>
      <c r="AQ15" s="1845"/>
      <c r="AR15" s="1845"/>
      <c r="AS15" s="1845"/>
      <c r="AT15" s="1845"/>
      <c r="AU15" s="1845"/>
      <c r="AV15" s="1845"/>
      <c r="AW15" s="1845"/>
      <c r="AX15" s="1845"/>
      <c r="AY15" s="1845"/>
      <c r="AZ15" s="1845"/>
      <c r="BA15" s="1845"/>
    </row>
    <row r="16" spans="1:53" ht="21" customHeight="1">
      <c r="A16" s="1851" t="s">
        <v>358</v>
      </c>
      <c r="B16" s="1851"/>
      <c r="C16" s="1851"/>
      <c r="D16" s="1851"/>
      <c r="E16" s="1851"/>
      <c r="F16" s="1851"/>
      <c r="G16" s="1851"/>
      <c r="H16" s="1851"/>
      <c r="I16" s="1851"/>
      <c r="J16" s="1851"/>
      <c r="K16" s="1851"/>
      <c r="L16" s="1851"/>
      <c r="M16" s="1851"/>
      <c r="N16" s="1845"/>
      <c r="O16" s="1845"/>
      <c r="P16" s="1845"/>
      <c r="Q16" s="1845"/>
      <c r="R16" s="1845"/>
      <c r="S16" s="1845"/>
      <c r="T16" s="1845"/>
      <c r="U16" s="1845"/>
      <c r="V16" s="1845"/>
      <c r="W16" s="1845"/>
      <c r="X16" s="1845"/>
      <c r="Y16" s="1845"/>
      <c r="Z16" s="1845"/>
      <c r="AA16" s="1845"/>
      <c r="AB16" s="1845"/>
      <c r="AC16" s="1845"/>
      <c r="AD16" s="1845"/>
      <c r="AE16" s="1845"/>
      <c r="AF16" s="1845"/>
      <c r="AG16" s="1845"/>
      <c r="AH16" s="1845"/>
      <c r="AI16" s="1845"/>
      <c r="AJ16" s="1845"/>
      <c r="AK16" s="1845"/>
      <c r="AL16" s="1924" t="s">
        <v>359</v>
      </c>
      <c r="AM16" s="1924"/>
      <c r="AN16" s="1924"/>
      <c r="AO16" s="1924"/>
      <c r="AP16" s="1924"/>
      <c r="AQ16" s="1924"/>
      <c r="AR16" s="1924"/>
      <c r="AS16" s="1924"/>
      <c r="AT16" s="1925" t="s">
        <v>356</v>
      </c>
      <c r="AU16" s="1925"/>
      <c r="AV16" s="1925"/>
      <c r="AW16" s="1925"/>
      <c r="AX16" s="1925"/>
      <c r="AY16" s="1925"/>
      <c r="AZ16" s="1925"/>
      <c r="BA16" s="1925"/>
    </row>
    <row r="17" spans="1:53" ht="25.5" customHeight="1">
      <c r="A17" s="90"/>
      <c r="B17" s="1866" t="s">
        <v>15</v>
      </c>
      <c r="C17" s="1866"/>
      <c r="D17" s="1866"/>
      <c r="E17" s="1866"/>
      <c r="F17" s="1866"/>
      <c r="G17" s="1866"/>
      <c r="H17" s="1866"/>
      <c r="I17" s="1866"/>
      <c r="J17" s="1866"/>
      <c r="K17" s="1866"/>
      <c r="L17" s="1866"/>
      <c r="M17" s="91"/>
      <c r="N17" s="1894">
        <v>11587</v>
      </c>
      <c r="O17" s="1895"/>
      <c r="P17" s="1895"/>
      <c r="Q17" s="1895"/>
      <c r="R17" s="1895"/>
      <c r="S17" s="1895"/>
      <c r="T17" s="1895"/>
      <c r="U17" s="92"/>
      <c r="V17" s="1894">
        <v>11647</v>
      </c>
      <c r="W17" s="1895"/>
      <c r="X17" s="1895"/>
      <c r="Y17" s="1895"/>
      <c r="Z17" s="1895"/>
      <c r="AA17" s="1895"/>
      <c r="AB17" s="1895"/>
      <c r="AC17" s="93"/>
      <c r="AD17" s="1914">
        <f>V17-N17</f>
        <v>60</v>
      </c>
      <c r="AE17" s="1914"/>
      <c r="AF17" s="1914"/>
      <c r="AG17" s="1914"/>
      <c r="AH17" s="1914"/>
      <c r="AI17" s="1914"/>
      <c r="AJ17" s="1914"/>
      <c r="AK17" s="94"/>
      <c r="AL17" s="1895">
        <f>前年度貼付!$E$8</f>
        <v>11581</v>
      </c>
      <c r="AM17" s="1895"/>
      <c r="AN17" s="1895"/>
      <c r="AO17" s="1895"/>
      <c r="AP17" s="1895"/>
      <c r="AQ17" s="1895"/>
      <c r="AR17" s="1895"/>
      <c r="AS17" s="93"/>
      <c r="AT17" s="1914">
        <f>V17-AL17</f>
        <v>66</v>
      </c>
      <c r="AU17" s="1914"/>
      <c r="AV17" s="1914"/>
      <c r="AW17" s="1914"/>
      <c r="AX17" s="1914"/>
      <c r="AY17" s="1914"/>
      <c r="AZ17" s="1914"/>
      <c r="BA17" s="95"/>
    </row>
    <row r="18" spans="1:53" ht="25.5" customHeight="1">
      <c r="A18" s="96"/>
      <c r="B18" s="1866"/>
      <c r="C18" s="1866"/>
      <c r="D18" s="1866"/>
      <c r="E18" s="1866"/>
      <c r="F18" s="1866"/>
      <c r="G18" s="1866"/>
      <c r="H18" s="1866"/>
      <c r="I18" s="1866"/>
      <c r="J18" s="1866"/>
      <c r="K18" s="1866"/>
      <c r="L18" s="1866"/>
      <c r="M18" s="97"/>
      <c r="O18" s="98"/>
      <c r="P18" s="83" t="s">
        <v>16</v>
      </c>
      <c r="Q18" s="1921">
        <v>7</v>
      </c>
      <c r="R18" s="1922"/>
      <c r="S18" s="1922"/>
      <c r="T18" s="1922"/>
      <c r="U18" s="99" t="s">
        <v>360</v>
      </c>
      <c r="W18" s="83"/>
      <c r="X18" s="83" t="s">
        <v>16</v>
      </c>
      <c r="Y18" s="1921">
        <v>7</v>
      </c>
      <c r="Z18" s="1922"/>
      <c r="AA18" s="1922"/>
      <c r="AB18" s="1922"/>
      <c r="AC18" s="100" t="s">
        <v>360</v>
      </c>
      <c r="AD18" s="101"/>
      <c r="AE18" s="102"/>
      <c r="AF18" s="103" t="s">
        <v>16</v>
      </c>
      <c r="AG18" s="1917">
        <f>Y18-Q18</f>
        <v>0</v>
      </c>
      <c r="AH18" s="1917"/>
      <c r="AI18" s="1917"/>
      <c r="AJ18" s="1917"/>
      <c r="AK18" s="100" t="s">
        <v>360</v>
      </c>
      <c r="AL18" s="104"/>
      <c r="AM18" s="105"/>
      <c r="AN18" s="106" t="s">
        <v>16</v>
      </c>
      <c r="AO18" s="1922">
        <f>前年度貼付!$E$15</f>
        <v>7</v>
      </c>
      <c r="AP18" s="1922"/>
      <c r="AQ18" s="1922"/>
      <c r="AR18" s="1922"/>
      <c r="AS18" s="100" t="s">
        <v>360</v>
      </c>
      <c r="AT18" s="101"/>
      <c r="AU18" s="102"/>
      <c r="AV18" s="103" t="s">
        <v>16</v>
      </c>
      <c r="AW18" s="1917">
        <f>Y18-AO18</f>
        <v>0</v>
      </c>
      <c r="AX18" s="1917"/>
      <c r="AY18" s="1917"/>
      <c r="AZ18" s="1917"/>
      <c r="BA18" s="107" t="s">
        <v>360</v>
      </c>
    </row>
    <row r="19" spans="1:53" ht="25.5" customHeight="1">
      <c r="A19" s="108"/>
      <c r="B19" s="1866" t="s">
        <v>17</v>
      </c>
      <c r="C19" s="1866"/>
      <c r="D19" s="1866"/>
      <c r="E19" s="1866"/>
      <c r="F19" s="1866"/>
      <c r="G19" s="1866"/>
      <c r="H19" s="1866"/>
      <c r="I19" s="1866"/>
      <c r="J19" s="1866"/>
      <c r="K19" s="1866"/>
      <c r="L19" s="1866"/>
      <c r="M19" s="109"/>
      <c r="N19" s="1892">
        <v>6128</v>
      </c>
      <c r="O19" s="1884"/>
      <c r="P19" s="1884"/>
      <c r="Q19" s="1884"/>
      <c r="R19" s="1884"/>
      <c r="S19" s="1884"/>
      <c r="T19" s="1884"/>
      <c r="U19" s="110"/>
      <c r="V19" s="1892">
        <v>6019</v>
      </c>
      <c r="W19" s="1884"/>
      <c r="X19" s="1884"/>
      <c r="Y19" s="1884"/>
      <c r="Z19" s="1884"/>
      <c r="AA19" s="1884"/>
      <c r="AB19" s="1884"/>
      <c r="AC19" s="111"/>
      <c r="AD19" s="1914">
        <f>V19-N19</f>
        <v>-109</v>
      </c>
      <c r="AE19" s="1914"/>
      <c r="AF19" s="1914"/>
      <c r="AG19" s="1914"/>
      <c r="AH19" s="1914"/>
      <c r="AI19" s="1914"/>
      <c r="AJ19" s="1914"/>
      <c r="AK19" s="112"/>
      <c r="AL19" s="1884">
        <f>前年度貼付!$E$9</f>
        <v>5943</v>
      </c>
      <c r="AM19" s="1884"/>
      <c r="AN19" s="1884"/>
      <c r="AO19" s="1884"/>
      <c r="AP19" s="1884"/>
      <c r="AQ19" s="1884"/>
      <c r="AR19" s="1884"/>
      <c r="AS19" s="111"/>
      <c r="AT19" s="1914">
        <f>V19-AL19</f>
        <v>76</v>
      </c>
      <c r="AU19" s="1914"/>
      <c r="AV19" s="1914"/>
      <c r="AW19" s="1914"/>
      <c r="AX19" s="1914"/>
      <c r="AY19" s="1914"/>
      <c r="AZ19" s="1914"/>
      <c r="BA19" s="95"/>
    </row>
    <row r="20" spans="1:53" ht="25.5" customHeight="1">
      <c r="A20" s="86"/>
      <c r="B20" s="1864" t="s">
        <v>18</v>
      </c>
      <c r="C20" s="1864"/>
      <c r="D20" s="1864"/>
      <c r="E20" s="1864"/>
      <c r="F20" s="1864"/>
      <c r="G20" s="1864"/>
      <c r="H20" s="1864"/>
      <c r="I20" s="1864"/>
      <c r="J20" s="1864"/>
      <c r="K20" s="1864"/>
      <c r="L20" s="1864"/>
      <c r="M20" s="113"/>
      <c r="N20" s="1919">
        <v>1</v>
      </c>
      <c r="O20" s="1920"/>
      <c r="P20" s="1920"/>
      <c r="Q20" s="1920"/>
      <c r="R20" s="1920"/>
      <c r="S20" s="1920"/>
      <c r="T20" s="1920"/>
      <c r="U20" s="110"/>
      <c r="V20" s="1892">
        <v>1</v>
      </c>
      <c r="W20" s="1884"/>
      <c r="X20" s="1884"/>
      <c r="Y20" s="1884"/>
      <c r="Z20" s="1884"/>
      <c r="AA20" s="1884"/>
      <c r="AB20" s="1884"/>
      <c r="AC20" s="111"/>
      <c r="AD20" s="1914">
        <f>V20-N20</f>
        <v>0</v>
      </c>
      <c r="AE20" s="1914"/>
      <c r="AF20" s="1914"/>
      <c r="AG20" s="1914"/>
      <c r="AH20" s="1914"/>
      <c r="AI20" s="1914"/>
      <c r="AJ20" s="1914"/>
      <c r="AK20" s="112"/>
      <c r="AL20" s="1884">
        <f>前年度貼付!$E$10</f>
        <v>1</v>
      </c>
      <c r="AM20" s="1884"/>
      <c r="AN20" s="1884"/>
      <c r="AO20" s="1884"/>
      <c r="AP20" s="1884"/>
      <c r="AQ20" s="1884"/>
      <c r="AR20" s="1884"/>
      <c r="AS20" s="111"/>
      <c r="AT20" s="1914">
        <f>V20-AL20</f>
        <v>0</v>
      </c>
      <c r="AU20" s="1914"/>
      <c r="AV20" s="1914"/>
      <c r="AW20" s="1914"/>
      <c r="AX20" s="1914"/>
      <c r="AY20" s="1914"/>
      <c r="AZ20" s="1914"/>
      <c r="BA20" s="95"/>
    </row>
    <row r="21" spans="1:53" ht="25.5" customHeight="1">
      <c r="A21" s="108"/>
      <c r="B21" s="1866" t="s">
        <v>19</v>
      </c>
      <c r="C21" s="1866"/>
      <c r="D21" s="1866"/>
      <c r="E21" s="1866"/>
      <c r="F21" s="1866"/>
      <c r="G21" s="1866"/>
      <c r="H21" s="1866"/>
      <c r="I21" s="1866"/>
      <c r="J21" s="1866"/>
      <c r="K21" s="1866"/>
      <c r="L21" s="1866"/>
      <c r="M21" s="109"/>
      <c r="N21" s="1892">
        <v>1277</v>
      </c>
      <c r="O21" s="1884"/>
      <c r="P21" s="1884"/>
      <c r="Q21" s="1884"/>
      <c r="R21" s="1884"/>
      <c r="S21" s="1884"/>
      <c r="T21" s="1884"/>
      <c r="U21" s="110"/>
      <c r="V21" s="1892">
        <v>1275</v>
      </c>
      <c r="W21" s="1884"/>
      <c r="X21" s="1884"/>
      <c r="Y21" s="1884"/>
      <c r="Z21" s="1884"/>
      <c r="AA21" s="1884"/>
      <c r="AB21" s="1884"/>
      <c r="AC21" s="111"/>
      <c r="AD21" s="1914">
        <f>V21-N21</f>
        <v>-2</v>
      </c>
      <c r="AE21" s="1914"/>
      <c r="AF21" s="1914"/>
      <c r="AG21" s="1914"/>
      <c r="AH21" s="1914"/>
      <c r="AI21" s="1914"/>
      <c r="AJ21" s="1914"/>
      <c r="AK21" s="112"/>
      <c r="AL21" s="1884">
        <f>前年度貼付!$E$11</f>
        <v>1276</v>
      </c>
      <c r="AM21" s="1884"/>
      <c r="AN21" s="1884"/>
      <c r="AO21" s="1884"/>
      <c r="AP21" s="1884"/>
      <c r="AQ21" s="1884"/>
      <c r="AR21" s="1884"/>
      <c r="AS21" s="111"/>
      <c r="AT21" s="1912">
        <f>V21-AL21</f>
        <v>-1</v>
      </c>
      <c r="AU21" s="1912"/>
      <c r="AV21" s="1912"/>
      <c r="AW21" s="1912"/>
      <c r="AX21" s="1912"/>
      <c r="AY21" s="1912"/>
      <c r="AZ21" s="1912"/>
      <c r="BA21" s="114"/>
    </row>
    <row r="22" spans="1:53" ht="25.5" customHeight="1">
      <c r="A22" s="86"/>
      <c r="B22" s="1918" t="s">
        <v>361</v>
      </c>
      <c r="C22" s="1918"/>
      <c r="D22" s="1918"/>
      <c r="E22" s="1918"/>
      <c r="F22" s="1918"/>
      <c r="G22" s="1918"/>
      <c r="H22" s="1918"/>
      <c r="I22" s="1918"/>
      <c r="J22" s="1918"/>
      <c r="K22" s="1918"/>
      <c r="L22" s="1918"/>
      <c r="M22" s="113"/>
      <c r="N22" s="1919">
        <v>27</v>
      </c>
      <c r="O22" s="1920"/>
      <c r="P22" s="1920"/>
      <c r="Q22" s="1920"/>
      <c r="R22" s="1920"/>
      <c r="S22" s="1920"/>
      <c r="T22" s="1920"/>
      <c r="U22" s="110"/>
      <c r="V22" s="1892">
        <v>28</v>
      </c>
      <c r="W22" s="1884"/>
      <c r="X22" s="1884"/>
      <c r="Y22" s="1884"/>
      <c r="Z22" s="1884"/>
      <c r="AA22" s="1884"/>
      <c r="AB22" s="1884"/>
      <c r="AC22" s="111"/>
      <c r="AD22" s="1914">
        <f>V22-N22</f>
        <v>1</v>
      </c>
      <c r="AE22" s="1914"/>
      <c r="AF22" s="1914"/>
      <c r="AG22" s="1914"/>
      <c r="AH22" s="1914"/>
      <c r="AI22" s="1914"/>
      <c r="AJ22" s="1914"/>
      <c r="AK22" s="112"/>
      <c r="AL22" s="1884">
        <f>前年度貼付!$E$12</f>
        <v>26</v>
      </c>
      <c r="AM22" s="1884"/>
      <c r="AN22" s="1884"/>
      <c r="AO22" s="1884"/>
      <c r="AP22" s="1884"/>
      <c r="AQ22" s="1884"/>
      <c r="AR22" s="1884"/>
      <c r="AS22" s="111"/>
      <c r="AT22" s="1914">
        <f>V22-AL22</f>
        <v>2</v>
      </c>
      <c r="AU22" s="1914"/>
      <c r="AV22" s="1914"/>
      <c r="AW22" s="1914"/>
      <c r="AX22" s="1914"/>
      <c r="AY22" s="1914"/>
      <c r="AZ22" s="1914"/>
      <c r="BA22" s="95"/>
    </row>
    <row r="23" spans="1:53" ht="25.5" customHeight="1">
      <c r="A23" s="90"/>
      <c r="B23" s="1866" t="s">
        <v>20</v>
      </c>
      <c r="C23" s="1866"/>
      <c r="D23" s="1866"/>
      <c r="E23" s="1866"/>
      <c r="F23" s="1866"/>
      <c r="G23" s="1866"/>
      <c r="H23" s="1866"/>
      <c r="I23" s="1866"/>
      <c r="J23" s="1866"/>
      <c r="K23" s="1866"/>
      <c r="L23" s="1866"/>
      <c r="M23" s="91"/>
      <c r="N23" s="1894">
        <v>5</v>
      </c>
      <c r="O23" s="1895"/>
      <c r="P23" s="1895"/>
      <c r="Q23" s="1895"/>
      <c r="R23" s="1895"/>
      <c r="S23" s="1895"/>
      <c r="T23" s="1895"/>
      <c r="U23" s="110"/>
      <c r="V23" s="1894">
        <v>3</v>
      </c>
      <c r="W23" s="1895"/>
      <c r="X23" s="1895"/>
      <c r="Y23" s="1895"/>
      <c r="Z23" s="1895"/>
      <c r="AA23" s="1895"/>
      <c r="AB23" s="1895"/>
      <c r="AC23" s="93"/>
      <c r="AD23" s="1914">
        <f>V23-N23</f>
        <v>-2</v>
      </c>
      <c r="AE23" s="1914"/>
      <c r="AF23" s="1914"/>
      <c r="AG23" s="1914"/>
      <c r="AH23" s="1914"/>
      <c r="AI23" s="1914"/>
      <c r="AJ23" s="1914"/>
      <c r="AK23" s="94"/>
      <c r="AL23" s="1895">
        <f>前年度貼付!$E$13</f>
        <v>5</v>
      </c>
      <c r="AM23" s="1895"/>
      <c r="AN23" s="1895"/>
      <c r="AO23" s="1895"/>
      <c r="AP23" s="1895"/>
      <c r="AQ23" s="1895"/>
      <c r="AR23" s="1895"/>
      <c r="AS23" s="93"/>
      <c r="AT23" s="1914">
        <f>V23-AL23</f>
        <v>-2</v>
      </c>
      <c r="AU23" s="1914"/>
      <c r="AV23" s="1914"/>
      <c r="AW23" s="1914"/>
      <c r="AX23" s="1914"/>
      <c r="AY23" s="1914"/>
      <c r="AZ23" s="1914"/>
      <c r="BA23" s="115"/>
    </row>
    <row r="24" spans="1:53" ht="25.5" customHeight="1">
      <c r="A24" s="96"/>
      <c r="B24" s="1866"/>
      <c r="C24" s="1866"/>
      <c r="D24" s="1866"/>
      <c r="E24" s="1866"/>
      <c r="F24" s="1866"/>
      <c r="G24" s="1866"/>
      <c r="H24" s="1866"/>
      <c r="I24" s="1866"/>
      <c r="J24" s="1866"/>
      <c r="K24" s="1866"/>
      <c r="L24" s="1866"/>
      <c r="M24" s="97"/>
      <c r="N24" s="116"/>
      <c r="O24" s="117"/>
      <c r="P24" s="83" t="s">
        <v>21</v>
      </c>
      <c r="Q24" s="1915">
        <v>5</v>
      </c>
      <c r="R24" s="1916"/>
      <c r="S24" s="1916"/>
      <c r="T24" s="1916"/>
      <c r="U24" s="119" t="s">
        <v>362</v>
      </c>
      <c r="V24" s="116"/>
      <c r="W24" s="117"/>
      <c r="X24" s="83" t="s">
        <v>21</v>
      </c>
      <c r="Y24" s="1915">
        <v>3</v>
      </c>
      <c r="Z24" s="1916"/>
      <c r="AA24" s="1916"/>
      <c r="AB24" s="1916"/>
      <c r="AC24" s="120" t="s">
        <v>362</v>
      </c>
      <c r="AD24" s="121"/>
      <c r="AE24" s="122"/>
      <c r="AF24" s="103" t="s">
        <v>21</v>
      </c>
      <c r="AG24" s="1917">
        <f>Y24-Q24</f>
        <v>-2</v>
      </c>
      <c r="AH24" s="1917"/>
      <c r="AI24" s="1917"/>
      <c r="AJ24" s="1917"/>
      <c r="AK24" s="123" t="s">
        <v>362</v>
      </c>
      <c r="AL24" s="116"/>
      <c r="AM24" s="124"/>
      <c r="AN24" s="106" t="s">
        <v>21</v>
      </c>
      <c r="AO24" s="1916">
        <f>前年度貼付!$E$16</f>
        <v>5</v>
      </c>
      <c r="AP24" s="1916"/>
      <c r="AQ24" s="1916"/>
      <c r="AR24" s="1916"/>
      <c r="AS24" s="120" t="s">
        <v>362</v>
      </c>
      <c r="AT24" s="121"/>
      <c r="AU24" s="122"/>
      <c r="AV24" s="103" t="s">
        <v>21</v>
      </c>
      <c r="AW24" s="1917">
        <f>Y24-AO24</f>
        <v>-2</v>
      </c>
      <c r="AX24" s="1917"/>
      <c r="AY24" s="1917"/>
      <c r="AZ24" s="1917"/>
      <c r="BA24" s="125" t="s">
        <v>362</v>
      </c>
    </row>
    <row r="25" spans="1:53" ht="25.5" customHeight="1">
      <c r="A25" s="86"/>
      <c r="B25" s="1913" t="s">
        <v>363</v>
      </c>
      <c r="C25" s="1913"/>
      <c r="D25" s="1913"/>
      <c r="E25" s="1913"/>
      <c r="F25" s="1913"/>
      <c r="G25" s="1913"/>
      <c r="H25" s="1913"/>
      <c r="I25" s="1913"/>
      <c r="J25" s="1913"/>
      <c r="K25" s="1913"/>
      <c r="L25" s="1913"/>
      <c r="M25" s="113"/>
      <c r="N25" s="1889">
        <f>SUM(N17,N19,N20:T21,N22,N23)</f>
        <v>19025</v>
      </c>
      <c r="O25" s="1889"/>
      <c r="P25" s="1889"/>
      <c r="Q25" s="1889"/>
      <c r="R25" s="1889"/>
      <c r="S25" s="1889"/>
      <c r="T25" s="1889"/>
      <c r="U25" s="127"/>
      <c r="V25" s="1889">
        <f>SUM(V17,V19,V20:AB21,V22,V23)</f>
        <v>18973</v>
      </c>
      <c r="W25" s="1889"/>
      <c r="X25" s="1889"/>
      <c r="Y25" s="1889"/>
      <c r="Z25" s="1889"/>
      <c r="AA25" s="1889"/>
      <c r="AB25" s="1889"/>
      <c r="AC25" s="127"/>
      <c r="AD25" s="1912">
        <f>V25-N25</f>
        <v>-52</v>
      </c>
      <c r="AE25" s="1912"/>
      <c r="AF25" s="1912"/>
      <c r="AG25" s="1912"/>
      <c r="AH25" s="1912"/>
      <c r="AI25" s="1912"/>
      <c r="AJ25" s="1912"/>
      <c r="AK25" s="127"/>
      <c r="AL25" s="1889">
        <f>SUM(AL17,AL19,AL20:AR21,AL22,AL23)</f>
        <v>18832</v>
      </c>
      <c r="AM25" s="1889"/>
      <c r="AN25" s="1889"/>
      <c r="AO25" s="1889"/>
      <c r="AP25" s="1889"/>
      <c r="AQ25" s="1889"/>
      <c r="AR25" s="1889"/>
      <c r="AS25" s="127"/>
      <c r="AT25" s="1912">
        <f>SUM(AT17,AT19,AT20:AZ21,AT22,AT23)</f>
        <v>141</v>
      </c>
      <c r="AU25" s="1912"/>
      <c r="AV25" s="1912"/>
      <c r="AW25" s="1912"/>
      <c r="AX25" s="1912"/>
      <c r="AY25" s="1912"/>
      <c r="AZ25" s="1912"/>
      <c r="BA25" s="128"/>
    </row>
    <row r="26" spans="1:53" ht="25.5" customHeight="1">
      <c r="A26" s="108"/>
      <c r="B26" s="1866" t="s">
        <v>22</v>
      </c>
      <c r="C26" s="1866"/>
      <c r="D26" s="1866"/>
      <c r="E26" s="1866"/>
      <c r="F26" s="1866"/>
      <c r="G26" s="1866"/>
      <c r="H26" s="1866"/>
      <c r="I26" s="1866"/>
      <c r="J26" s="1866"/>
      <c r="K26" s="1866"/>
      <c r="L26" s="1866"/>
      <c r="M26" s="109"/>
      <c r="N26" s="1892">
        <v>453</v>
      </c>
      <c r="O26" s="1884"/>
      <c r="P26" s="1884"/>
      <c r="Q26" s="1884"/>
      <c r="R26" s="1884"/>
      <c r="S26" s="1884"/>
      <c r="T26" s="1884"/>
      <c r="U26" s="129"/>
      <c r="V26" s="1892">
        <v>328</v>
      </c>
      <c r="W26" s="1884"/>
      <c r="X26" s="1884"/>
      <c r="Y26" s="1884"/>
      <c r="Z26" s="1884"/>
      <c r="AA26" s="1884"/>
      <c r="AB26" s="1884"/>
      <c r="AC26" s="130"/>
      <c r="AD26" s="1914">
        <f>V26-N26</f>
        <v>-125</v>
      </c>
      <c r="AE26" s="1914"/>
      <c r="AF26" s="1914"/>
      <c r="AG26" s="1914"/>
      <c r="AH26" s="1914"/>
      <c r="AI26" s="1914"/>
      <c r="AJ26" s="1914"/>
      <c r="AK26" s="112"/>
      <c r="AL26" s="1884">
        <f>前年度貼付!$E$14</f>
        <v>310</v>
      </c>
      <c r="AM26" s="1884"/>
      <c r="AN26" s="1884"/>
      <c r="AO26" s="1884"/>
      <c r="AP26" s="1884"/>
      <c r="AQ26" s="1884"/>
      <c r="AR26" s="1884"/>
      <c r="AS26" s="130"/>
      <c r="AT26" s="1912">
        <f>V26-AL26</f>
        <v>18</v>
      </c>
      <c r="AU26" s="1912"/>
      <c r="AV26" s="1912"/>
      <c r="AW26" s="1912"/>
      <c r="AX26" s="1912"/>
      <c r="AY26" s="1912"/>
      <c r="AZ26" s="1912"/>
      <c r="BA26" s="95"/>
    </row>
    <row r="27" spans="1:53" ht="25.5" customHeight="1">
      <c r="A27" s="108"/>
      <c r="B27" s="1871" t="s">
        <v>364</v>
      </c>
      <c r="C27" s="1871"/>
      <c r="D27" s="1871"/>
      <c r="E27" s="1871"/>
      <c r="F27" s="1871"/>
      <c r="G27" s="1871"/>
      <c r="H27" s="1871"/>
      <c r="I27" s="1871"/>
      <c r="J27" s="1871"/>
      <c r="K27" s="1871"/>
      <c r="L27" s="1871"/>
      <c r="M27" s="109"/>
      <c r="N27" s="1889">
        <f>SUM(N25:T26)</f>
        <v>19478</v>
      </c>
      <c r="O27" s="1889"/>
      <c r="P27" s="1889"/>
      <c r="Q27" s="1889"/>
      <c r="R27" s="1889"/>
      <c r="S27" s="1889"/>
      <c r="T27" s="1889"/>
      <c r="U27" s="127"/>
      <c r="V27" s="1889">
        <f>SUM(V25:AB26)</f>
        <v>19301</v>
      </c>
      <c r="W27" s="1889"/>
      <c r="X27" s="1889"/>
      <c r="Y27" s="1889"/>
      <c r="Z27" s="1889"/>
      <c r="AA27" s="1889"/>
      <c r="AB27" s="1889"/>
      <c r="AC27" s="127"/>
      <c r="AD27" s="1912">
        <f>V27-N27</f>
        <v>-177</v>
      </c>
      <c r="AE27" s="1912"/>
      <c r="AF27" s="1912"/>
      <c r="AG27" s="1912"/>
      <c r="AH27" s="1912"/>
      <c r="AI27" s="1912"/>
      <c r="AJ27" s="1912"/>
      <c r="AK27" s="131"/>
      <c r="AL27" s="1889">
        <f>SUM(AL25:AR26)</f>
        <v>19142</v>
      </c>
      <c r="AM27" s="1889"/>
      <c r="AN27" s="1889"/>
      <c r="AO27" s="1889"/>
      <c r="AP27" s="1889"/>
      <c r="AQ27" s="1889"/>
      <c r="AR27" s="1889"/>
      <c r="AS27" s="127"/>
      <c r="AT27" s="1912">
        <f>SUM(AT25:AZ26)</f>
        <v>159</v>
      </c>
      <c r="AU27" s="1912"/>
      <c r="AV27" s="1912"/>
      <c r="AW27" s="1912"/>
      <c r="AX27" s="1912"/>
      <c r="AY27" s="1912"/>
      <c r="AZ27" s="1912"/>
      <c r="BA27" s="128"/>
    </row>
    <row r="28" spans="1:53" ht="25.5" customHeight="1">
      <c r="A28" s="108"/>
      <c r="B28" s="1866" t="s">
        <v>365</v>
      </c>
      <c r="C28" s="1866"/>
      <c r="D28" s="1866"/>
      <c r="E28" s="1866"/>
      <c r="F28" s="1866"/>
      <c r="G28" s="1866"/>
      <c r="H28" s="1866"/>
      <c r="I28" s="1866"/>
      <c r="J28" s="1866"/>
      <c r="K28" s="1866"/>
      <c r="L28" s="1866"/>
      <c r="M28" s="109"/>
      <c r="N28" s="1889">
        <f>N25-N19-N22-2</f>
        <v>12868</v>
      </c>
      <c r="O28" s="1889"/>
      <c r="P28" s="1889"/>
      <c r="Q28" s="1889"/>
      <c r="R28" s="1889"/>
      <c r="S28" s="1889"/>
      <c r="T28" s="1889"/>
      <c r="U28" s="132"/>
      <c r="V28" s="1884">
        <f>V25-V19-V22-1</f>
        <v>12925</v>
      </c>
      <c r="W28" s="1884"/>
      <c r="X28" s="1884"/>
      <c r="Y28" s="1884"/>
      <c r="Z28" s="1884"/>
      <c r="AA28" s="1884"/>
      <c r="AB28" s="1884"/>
      <c r="AC28" s="133"/>
      <c r="AD28" s="1912">
        <f>V28-N28</f>
        <v>57</v>
      </c>
      <c r="AE28" s="1912"/>
      <c r="AF28" s="1912"/>
      <c r="AG28" s="1912"/>
      <c r="AH28" s="1912"/>
      <c r="AI28" s="1912"/>
      <c r="AJ28" s="1912"/>
      <c r="AK28" s="112"/>
      <c r="AL28" s="1884">
        <f>AL25-AL19-AL22-2</f>
        <v>12861</v>
      </c>
      <c r="AM28" s="1884"/>
      <c r="AN28" s="1884"/>
      <c r="AO28" s="1884"/>
      <c r="AP28" s="1884"/>
      <c r="AQ28" s="1884"/>
      <c r="AR28" s="1884"/>
      <c r="AS28" s="134"/>
      <c r="AT28" s="1912">
        <f>V28-AL28</f>
        <v>64</v>
      </c>
      <c r="AU28" s="1912"/>
      <c r="AV28" s="1912"/>
      <c r="AW28" s="1912"/>
      <c r="AX28" s="1912"/>
      <c r="AY28" s="1912"/>
      <c r="AZ28" s="1912"/>
      <c r="BA28" s="135"/>
    </row>
    <row r="29" spans="1:53" ht="18" customHeight="1">
      <c r="A29" s="136" t="s">
        <v>366</v>
      </c>
      <c r="B29" s="137"/>
      <c r="C29" s="137"/>
      <c r="D29" s="136" t="s">
        <v>367</v>
      </c>
      <c r="E29" s="138"/>
      <c r="F29" s="137"/>
      <c r="G29" s="137"/>
      <c r="H29" s="137"/>
      <c r="I29" s="137"/>
      <c r="J29" s="137"/>
      <c r="K29" s="137"/>
      <c r="L29" s="137"/>
      <c r="M29" s="137"/>
      <c r="N29" s="137"/>
      <c r="O29" s="137"/>
      <c r="P29" s="137"/>
      <c r="Q29" s="137"/>
      <c r="R29" s="137"/>
      <c r="S29" s="137"/>
      <c r="T29" s="137"/>
      <c r="U29" s="137"/>
      <c r="V29" s="137"/>
      <c r="W29" s="137"/>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row>
    <row r="30" spans="1:53" ht="18" customHeight="1">
      <c r="B30" s="139"/>
      <c r="C30" s="139"/>
      <c r="D30" s="140" t="s">
        <v>368</v>
      </c>
      <c r="E30" s="141"/>
      <c r="F30" s="139"/>
      <c r="G30" s="139"/>
      <c r="H30" s="139"/>
      <c r="I30" s="139"/>
      <c r="J30" s="139"/>
      <c r="K30" s="139"/>
      <c r="L30" s="139"/>
      <c r="M30" s="139"/>
      <c r="N30" s="139"/>
      <c r="O30" s="139"/>
      <c r="P30" s="139"/>
      <c r="Q30" s="139"/>
      <c r="R30" s="139"/>
      <c r="S30" s="139"/>
      <c r="T30" s="139"/>
      <c r="U30" s="139"/>
      <c r="V30" s="139"/>
      <c r="W30" s="139"/>
      <c r="X30" s="139"/>
      <c r="Y30" s="139"/>
      <c r="Z30" s="139"/>
      <c r="AA30" s="139"/>
      <c r="AB30" s="139"/>
      <c r="AC30" s="139"/>
      <c r="AD30" s="139"/>
      <c r="AE30" s="139"/>
      <c r="AF30" s="139"/>
      <c r="AG30" s="139"/>
      <c r="AH30" s="139"/>
      <c r="AI30" s="139"/>
      <c r="AJ30" s="139"/>
      <c r="AK30" s="139"/>
      <c r="AL30" s="139"/>
      <c r="AM30" s="139"/>
      <c r="AN30" s="139"/>
      <c r="AO30" s="139"/>
      <c r="AP30" s="139"/>
      <c r="AQ30" s="139"/>
      <c r="AR30" s="139"/>
      <c r="AS30" s="139"/>
      <c r="AT30" s="139"/>
      <c r="AU30" s="139"/>
      <c r="AV30" s="139"/>
      <c r="AW30" s="139"/>
      <c r="AX30" s="139"/>
      <c r="AY30" s="139"/>
      <c r="AZ30" s="139"/>
    </row>
    <row r="31" spans="1:53" ht="18" customHeight="1">
      <c r="A31" s="89"/>
      <c r="B31" s="89"/>
      <c r="C31" s="89"/>
      <c r="D31" s="142" t="s">
        <v>369</v>
      </c>
      <c r="E31" s="89"/>
      <c r="F31" s="89"/>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row>
    <row r="32" spans="1:53" ht="18" customHeight="1">
      <c r="A32" s="89"/>
      <c r="B32" s="89"/>
      <c r="C32" s="89"/>
      <c r="D32" s="142" t="s">
        <v>370</v>
      </c>
      <c r="E32" s="89"/>
      <c r="F32" s="89"/>
      <c r="G32" s="89"/>
      <c r="H32" s="89"/>
      <c r="I32" s="89"/>
      <c r="J32" s="89"/>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row>
    <row r="33" spans="1:53" ht="21.75" customHeight="1">
      <c r="A33" s="1910" t="s">
        <v>371</v>
      </c>
      <c r="B33" s="1910"/>
      <c r="C33" s="1910"/>
      <c r="D33" s="1910"/>
      <c r="E33" s="1910"/>
      <c r="F33" s="1910"/>
      <c r="G33" s="1910"/>
      <c r="H33" s="1910"/>
      <c r="I33" s="1910"/>
      <c r="J33" s="1910"/>
      <c r="K33" s="1910"/>
      <c r="L33" s="1910"/>
      <c r="M33" s="1910"/>
      <c r="N33" s="1910"/>
      <c r="O33" s="1910"/>
      <c r="P33" s="1910"/>
      <c r="Q33" s="1910"/>
      <c r="R33" s="1910"/>
      <c r="S33" s="1910"/>
      <c r="T33" s="1910"/>
      <c r="U33" s="1910"/>
      <c r="V33" s="1910"/>
    </row>
    <row r="34" spans="1:53" ht="15" customHeight="1">
      <c r="AR34" s="1888" t="s">
        <v>372</v>
      </c>
      <c r="AS34" s="1888"/>
      <c r="AT34" s="1888"/>
      <c r="AU34" s="1888"/>
      <c r="AV34" s="1888"/>
      <c r="AW34" s="1888"/>
      <c r="AX34" s="1888"/>
      <c r="AY34" s="1888"/>
      <c r="AZ34" s="1888"/>
      <c r="BA34" s="1888"/>
    </row>
    <row r="35" spans="1:53" ht="21" customHeight="1">
      <c r="A35" s="1879" t="s">
        <v>349</v>
      </c>
      <c r="B35" s="1879"/>
      <c r="C35" s="1879"/>
      <c r="D35" s="1879"/>
      <c r="E35" s="1879"/>
      <c r="F35" s="1879"/>
      <c r="G35" s="1879"/>
      <c r="H35" s="1879"/>
      <c r="I35" s="1879"/>
      <c r="J35" s="1879"/>
      <c r="K35" s="1879"/>
      <c r="L35" s="1879"/>
      <c r="M35" s="1845" t="s">
        <v>373</v>
      </c>
      <c r="N35" s="1845"/>
      <c r="O35" s="1845"/>
      <c r="P35" s="1845"/>
      <c r="Q35" s="1845"/>
      <c r="R35" s="1845"/>
      <c r="S35" s="1845"/>
      <c r="T35" s="1845" t="s">
        <v>374</v>
      </c>
      <c r="U35" s="1845"/>
      <c r="V35" s="1845"/>
      <c r="W35" s="1845"/>
      <c r="X35" s="1845"/>
      <c r="Y35" s="1845"/>
      <c r="Z35" s="1845"/>
      <c r="AA35" s="1837" t="s">
        <v>375</v>
      </c>
      <c r="AB35" s="1837"/>
      <c r="AC35" s="1837"/>
      <c r="AD35" s="1837"/>
      <c r="AE35" s="1837"/>
      <c r="AF35" s="1845" t="s">
        <v>376</v>
      </c>
      <c r="AG35" s="1845"/>
      <c r="AH35" s="1845"/>
      <c r="AI35" s="1845"/>
      <c r="AJ35" s="1845"/>
      <c r="AK35" s="1845"/>
      <c r="AL35" s="1845"/>
      <c r="AM35" s="1845"/>
      <c r="AN35" s="1911" t="s">
        <v>377</v>
      </c>
      <c r="AO35" s="1911"/>
      <c r="AP35" s="1911"/>
      <c r="AQ35" s="1911"/>
      <c r="AR35" s="1911"/>
      <c r="AS35" s="1911"/>
      <c r="AT35" s="1911"/>
      <c r="AU35" s="1911"/>
      <c r="AV35" s="1911"/>
      <c r="AW35" s="1911"/>
      <c r="AX35" s="1911"/>
      <c r="AY35" s="1911"/>
      <c r="AZ35" s="1911"/>
      <c r="BA35" s="1911"/>
    </row>
    <row r="36" spans="1:53" ht="21" customHeight="1">
      <c r="A36" s="1851" t="s">
        <v>358</v>
      </c>
      <c r="B36" s="1851"/>
      <c r="C36" s="1851"/>
      <c r="D36" s="1851"/>
      <c r="E36" s="1851"/>
      <c r="F36" s="1851"/>
      <c r="G36" s="1851"/>
      <c r="H36" s="1851"/>
      <c r="I36" s="1851"/>
      <c r="J36" s="1851"/>
      <c r="K36" s="1851"/>
      <c r="L36" s="1851"/>
      <c r="M36" s="1845"/>
      <c r="N36" s="1845"/>
      <c r="O36" s="1845"/>
      <c r="P36" s="1845"/>
      <c r="Q36" s="1845"/>
      <c r="R36" s="1845"/>
      <c r="S36" s="1845"/>
      <c r="T36" s="1845"/>
      <c r="U36" s="1845"/>
      <c r="V36" s="1845"/>
      <c r="W36" s="1845"/>
      <c r="X36" s="1845"/>
      <c r="Y36" s="1845"/>
      <c r="Z36" s="1845"/>
      <c r="AA36" s="1837"/>
      <c r="AB36" s="1837"/>
      <c r="AC36" s="1837"/>
      <c r="AD36" s="1837"/>
      <c r="AE36" s="1837"/>
      <c r="AF36" s="1845"/>
      <c r="AG36" s="1845"/>
      <c r="AH36" s="1845"/>
      <c r="AI36" s="1845"/>
      <c r="AJ36" s="1845"/>
      <c r="AK36" s="1845"/>
      <c r="AL36" s="1845"/>
      <c r="AM36" s="1845"/>
      <c r="AN36" s="1839" t="s">
        <v>378</v>
      </c>
      <c r="AO36" s="1839"/>
      <c r="AP36" s="1839"/>
      <c r="AQ36" s="1839"/>
      <c r="AR36" s="1839"/>
      <c r="AS36" s="1839"/>
      <c r="AT36" s="1839"/>
      <c r="AU36" s="1845" t="s">
        <v>376</v>
      </c>
      <c r="AV36" s="1845"/>
      <c r="AW36" s="1845"/>
      <c r="AX36" s="1845"/>
      <c r="AY36" s="1845"/>
      <c r="AZ36" s="1845"/>
      <c r="BA36" s="1845"/>
    </row>
    <row r="37" spans="1:53" ht="30" customHeight="1">
      <c r="A37" s="90"/>
      <c r="B37" s="1866" t="s">
        <v>379</v>
      </c>
      <c r="C37" s="1866"/>
      <c r="D37" s="1866"/>
      <c r="E37" s="1866"/>
      <c r="F37" s="1866"/>
      <c r="G37" s="1866"/>
      <c r="H37" s="1866"/>
      <c r="I37" s="144"/>
      <c r="J37" s="1845" t="s">
        <v>23</v>
      </c>
      <c r="K37" s="1845"/>
      <c r="L37" s="1845"/>
      <c r="M37" s="1896">
        <v>4830508</v>
      </c>
      <c r="N37" s="1897"/>
      <c r="O37" s="1897"/>
      <c r="P37" s="1897"/>
      <c r="Q37" s="1897"/>
      <c r="R37" s="1897"/>
      <c r="S37" s="1897"/>
      <c r="T37" s="1896">
        <v>5026190</v>
      </c>
      <c r="U37" s="1897"/>
      <c r="V37" s="1897"/>
      <c r="W37" s="1897"/>
      <c r="X37" s="1897"/>
      <c r="Y37" s="1897"/>
      <c r="Z37" s="1897"/>
      <c r="AA37" s="1905">
        <f>ROUND(T37/V17,4)*1000</f>
        <v>431543.7</v>
      </c>
      <c r="AB37" s="1905"/>
      <c r="AC37" s="1905"/>
      <c r="AD37" s="1905"/>
      <c r="AE37" s="1905"/>
      <c r="AF37" s="1891">
        <f t="shared" ref="AF37:AF53" si="0">T37-M37</f>
        <v>195682</v>
      </c>
      <c r="AG37" s="1891"/>
      <c r="AH37" s="1891"/>
      <c r="AI37" s="1891"/>
      <c r="AJ37" s="1891"/>
      <c r="AK37" s="1891"/>
      <c r="AL37" s="1891"/>
      <c r="AM37" s="1891"/>
      <c r="AN37" s="1897">
        <f>前年度貼付!$E$17</f>
        <v>4868580</v>
      </c>
      <c r="AO37" s="1897"/>
      <c r="AP37" s="1897"/>
      <c r="AQ37" s="1897"/>
      <c r="AR37" s="1897"/>
      <c r="AS37" s="1897"/>
      <c r="AT37" s="1897"/>
      <c r="AU37" s="1891">
        <f t="shared" ref="AU37:AU48" si="1">T37-AN37</f>
        <v>157610</v>
      </c>
      <c r="AV37" s="1891"/>
      <c r="AW37" s="1891"/>
      <c r="AX37" s="1891"/>
      <c r="AY37" s="1891"/>
      <c r="AZ37" s="1891"/>
      <c r="BA37" s="1891"/>
    </row>
    <row r="38" spans="1:53" ht="30" customHeight="1">
      <c r="A38" s="86"/>
      <c r="B38" s="1866"/>
      <c r="C38" s="1866"/>
      <c r="D38" s="1866"/>
      <c r="E38" s="1866"/>
      <c r="F38" s="1866"/>
      <c r="G38" s="1866"/>
      <c r="H38" s="1866"/>
      <c r="I38" s="145"/>
      <c r="J38" s="1845"/>
      <c r="K38" s="1845"/>
      <c r="L38" s="1845"/>
      <c r="M38" s="1901">
        <v>4550</v>
      </c>
      <c r="N38" s="1902"/>
      <c r="O38" s="1902"/>
      <c r="P38" s="1902"/>
      <c r="Q38" s="1902"/>
      <c r="R38" s="1902"/>
      <c r="S38" s="1902"/>
      <c r="T38" s="1901">
        <v>4520</v>
      </c>
      <c r="U38" s="1902"/>
      <c r="V38" s="1902"/>
      <c r="W38" s="1902"/>
      <c r="X38" s="1902"/>
      <c r="Y38" s="1902"/>
      <c r="Z38" s="1902"/>
      <c r="AA38" s="1903">
        <f>ROUND(T38/Y18,4)*1000</f>
        <v>645714.29999999993</v>
      </c>
      <c r="AB38" s="1903"/>
      <c r="AC38" s="1903"/>
      <c r="AD38" s="1903"/>
      <c r="AE38" s="1903"/>
      <c r="AF38" s="1903">
        <f t="shared" si="0"/>
        <v>-30</v>
      </c>
      <c r="AG38" s="1903"/>
      <c r="AH38" s="1903"/>
      <c r="AI38" s="1903"/>
      <c r="AJ38" s="1903"/>
      <c r="AK38" s="1903"/>
      <c r="AL38" s="1903"/>
      <c r="AM38" s="1903"/>
      <c r="AN38" s="1902">
        <f>前年度貼付!$E$18</f>
        <v>4550</v>
      </c>
      <c r="AO38" s="1902"/>
      <c r="AP38" s="1902"/>
      <c r="AQ38" s="1902"/>
      <c r="AR38" s="1902"/>
      <c r="AS38" s="1902"/>
      <c r="AT38" s="1902"/>
      <c r="AU38" s="1903">
        <f t="shared" si="1"/>
        <v>-30</v>
      </c>
      <c r="AV38" s="1903"/>
      <c r="AW38" s="1903"/>
      <c r="AX38" s="1903"/>
      <c r="AY38" s="1903"/>
      <c r="AZ38" s="1903"/>
      <c r="BA38" s="1903"/>
    </row>
    <row r="39" spans="1:53" ht="30" customHeight="1">
      <c r="A39" s="86"/>
      <c r="B39" s="1866"/>
      <c r="C39" s="1866"/>
      <c r="D39" s="1866"/>
      <c r="E39" s="1866"/>
      <c r="F39" s="1866"/>
      <c r="G39" s="1866"/>
      <c r="H39" s="1866"/>
      <c r="I39" s="145"/>
      <c r="J39" s="1845" t="s">
        <v>24</v>
      </c>
      <c r="K39" s="1845"/>
      <c r="L39" s="1845"/>
      <c r="M39" s="1896">
        <v>4988188</v>
      </c>
      <c r="N39" s="1897"/>
      <c r="O39" s="1897"/>
      <c r="P39" s="1897"/>
      <c r="Q39" s="1897"/>
      <c r="R39" s="1897"/>
      <c r="S39" s="1897"/>
      <c r="T39" s="1896">
        <v>5267530</v>
      </c>
      <c r="U39" s="1897"/>
      <c r="V39" s="1897"/>
      <c r="W39" s="1897"/>
      <c r="X39" s="1897"/>
      <c r="Y39" s="1897"/>
      <c r="Z39" s="1897"/>
      <c r="AA39" s="1905">
        <f>ROUND(T39/V17,4)*1000</f>
        <v>452265</v>
      </c>
      <c r="AB39" s="1905"/>
      <c r="AC39" s="1905"/>
      <c r="AD39" s="1905"/>
      <c r="AE39" s="1905"/>
      <c r="AF39" s="1891">
        <f t="shared" si="0"/>
        <v>279342</v>
      </c>
      <c r="AG39" s="1891"/>
      <c r="AH39" s="1891"/>
      <c r="AI39" s="1891"/>
      <c r="AJ39" s="1891"/>
      <c r="AK39" s="1891"/>
      <c r="AL39" s="1891"/>
      <c r="AM39" s="1891"/>
      <c r="AN39" s="1897">
        <f>前年度貼付!$E$19</f>
        <v>5107020</v>
      </c>
      <c r="AO39" s="1897"/>
      <c r="AP39" s="1897"/>
      <c r="AQ39" s="1897"/>
      <c r="AR39" s="1897"/>
      <c r="AS39" s="1897"/>
      <c r="AT39" s="1897"/>
      <c r="AU39" s="1891">
        <f t="shared" si="1"/>
        <v>160510</v>
      </c>
      <c r="AV39" s="1891"/>
      <c r="AW39" s="1891"/>
      <c r="AX39" s="1891"/>
      <c r="AY39" s="1891"/>
      <c r="AZ39" s="1891"/>
      <c r="BA39" s="1891"/>
    </row>
    <row r="40" spans="1:53" ht="30" customHeight="1">
      <c r="A40" s="96"/>
      <c r="B40" s="1866"/>
      <c r="C40" s="1866"/>
      <c r="D40" s="1866"/>
      <c r="E40" s="1866"/>
      <c r="F40" s="1866"/>
      <c r="G40" s="1866"/>
      <c r="H40" s="1866"/>
      <c r="I40" s="146"/>
      <c r="J40" s="1845"/>
      <c r="K40" s="1845"/>
      <c r="L40" s="1845"/>
      <c r="M40" s="1901">
        <v>6390</v>
      </c>
      <c r="N40" s="1902"/>
      <c r="O40" s="1902"/>
      <c r="P40" s="1902"/>
      <c r="Q40" s="1902"/>
      <c r="R40" s="1902"/>
      <c r="S40" s="1902"/>
      <c r="T40" s="1901">
        <v>6260</v>
      </c>
      <c r="U40" s="1902"/>
      <c r="V40" s="1902"/>
      <c r="W40" s="1902"/>
      <c r="X40" s="1902"/>
      <c r="Y40" s="1902"/>
      <c r="Z40" s="1902"/>
      <c r="AA40" s="1903">
        <f>ROUND(T40/Y18,4)*1000</f>
        <v>894285.70000000007</v>
      </c>
      <c r="AB40" s="1903"/>
      <c r="AC40" s="1903"/>
      <c r="AD40" s="1903"/>
      <c r="AE40" s="1903"/>
      <c r="AF40" s="1909">
        <f t="shared" si="0"/>
        <v>-130</v>
      </c>
      <c r="AG40" s="1909"/>
      <c r="AH40" s="1909"/>
      <c r="AI40" s="1909"/>
      <c r="AJ40" s="1909"/>
      <c r="AK40" s="1909"/>
      <c r="AL40" s="1909"/>
      <c r="AM40" s="1909"/>
      <c r="AN40" s="1902">
        <f>前年度貼付!$E$20</f>
        <v>6390</v>
      </c>
      <c r="AO40" s="1902"/>
      <c r="AP40" s="1902"/>
      <c r="AQ40" s="1902"/>
      <c r="AR40" s="1902"/>
      <c r="AS40" s="1902"/>
      <c r="AT40" s="1902"/>
      <c r="AU40" s="1903">
        <f t="shared" si="1"/>
        <v>-130</v>
      </c>
      <c r="AV40" s="1903"/>
      <c r="AW40" s="1903"/>
      <c r="AX40" s="1903"/>
      <c r="AY40" s="1903"/>
      <c r="AZ40" s="1903"/>
      <c r="BA40" s="1903"/>
    </row>
    <row r="41" spans="1:53" ht="30" customHeight="1">
      <c r="A41" s="108"/>
      <c r="B41" s="1866" t="s">
        <v>17</v>
      </c>
      <c r="C41" s="1866"/>
      <c r="D41" s="1866"/>
      <c r="E41" s="1866"/>
      <c r="F41" s="1866"/>
      <c r="G41" s="1866"/>
      <c r="H41" s="1866"/>
      <c r="I41" s="147"/>
      <c r="J41" s="1845" t="s">
        <v>24</v>
      </c>
      <c r="K41" s="1845"/>
      <c r="L41" s="1845"/>
      <c r="M41" s="1896">
        <v>1096666</v>
      </c>
      <c r="N41" s="1897"/>
      <c r="O41" s="1897"/>
      <c r="P41" s="1897"/>
      <c r="Q41" s="1897"/>
      <c r="R41" s="1897"/>
      <c r="S41" s="1897"/>
      <c r="T41" s="1896">
        <v>1148376</v>
      </c>
      <c r="U41" s="1897"/>
      <c r="V41" s="1897"/>
      <c r="W41" s="1897"/>
      <c r="X41" s="1897"/>
      <c r="Y41" s="1897"/>
      <c r="Z41" s="1897"/>
      <c r="AA41" s="1905">
        <f>ROUND(T41/V19,4)*1000</f>
        <v>190791.8</v>
      </c>
      <c r="AB41" s="1905"/>
      <c r="AC41" s="1905"/>
      <c r="AD41" s="1905"/>
      <c r="AE41" s="1905"/>
      <c r="AF41" s="1886">
        <f t="shared" si="0"/>
        <v>51710</v>
      </c>
      <c r="AG41" s="1886"/>
      <c r="AH41" s="1886"/>
      <c r="AI41" s="1886"/>
      <c r="AJ41" s="1886"/>
      <c r="AK41" s="1886"/>
      <c r="AL41" s="1886"/>
      <c r="AM41" s="1886"/>
      <c r="AN41" s="1897">
        <f>前年度貼付!$E$21</f>
        <v>1042860</v>
      </c>
      <c r="AO41" s="1897"/>
      <c r="AP41" s="1897"/>
      <c r="AQ41" s="1897"/>
      <c r="AR41" s="1897"/>
      <c r="AS41" s="1897"/>
      <c r="AT41" s="1897"/>
      <c r="AU41" s="1891">
        <f t="shared" si="1"/>
        <v>105516</v>
      </c>
      <c r="AV41" s="1891"/>
      <c r="AW41" s="1891"/>
      <c r="AX41" s="1891"/>
      <c r="AY41" s="1891"/>
      <c r="AZ41" s="1891"/>
      <c r="BA41" s="1891"/>
    </row>
    <row r="42" spans="1:53" ht="30" customHeight="1">
      <c r="A42" s="90"/>
      <c r="B42" s="1866" t="s">
        <v>18</v>
      </c>
      <c r="C42" s="1866"/>
      <c r="D42" s="1866"/>
      <c r="E42" s="1866"/>
      <c r="F42" s="1866"/>
      <c r="G42" s="1866"/>
      <c r="H42" s="1866"/>
      <c r="I42" s="144"/>
      <c r="J42" s="1845" t="s">
        <v>23</v>
      </c>
      <c r="K42" s="1845"/>
      <c r="L42" s="1845"/>
      <c r="M42" s="1896">
        <v>650</v>
      </c>
      <c r="N42" s="1897"/>
      <c r="O42" s="1897"/>
      <c r="P42" s="1897"/>
      <c r="Q42" s="1897"/>
      <c r="R42" s="1897"/>
      <c r="S42" s="1897"/>
      <c r="T42" s="1896">
        <v>650</v>
      </c>
      <c r="U42" s="1897"/>
      <c r="V42" s="1897"/>
      <c r="W42" s="1897"/>
      <c r="X42" s="1897"/>
      <c r="Y42" s="1897"/>
      <c r="Z42" s="1897"/>
      <c r="AA42" s="1905">
        <f>ROUND(T42/V20,4)*1000</f>
        <v>650000</v>
      </c>
      <c r="AB42" s="1905"/>
      <c r="AC42" s="1905"/>
      <c r="AD42" s="1905"/>
      <c r="AE42" s="1905"/>
      <c r="AF42" s="1886">
        <f t="shared" si="0"/>
        <v>0</v>
      </c>
      <c r="AG42" s="1886"/>
      <c r="AH42" s="1886"/>
      <c r="AI42" s="1886"/>
      <c r="AJ42" s="1886"/>
      <c r="AK42" s="1886"/>
      <c r="AL42" s="1886"/>
      <c r="AM42" s="1886"/>
      <c r="AN42" s="1897">
        <f>前年度貼付!$E$22</f>
        <v>650</v>
      </c>
      <c r="AO42" s="1897"/>
      <c r="AP42" s="1897"/>
      <c r="AQ42" s="1897"/>
      <c r="AR42" s="1897"/>
      <c r="AS42" s="1897"/>
      <c r="AT42" s="1897"/>
      <c r="AU42" s="1891">
        <f t="shared" si="1"/>
        <v>0</v>
      </c>
      <c r="AV42" s="1891"/>
      <c r="AW42" s="1891"/>
      <c r="AX42" s="1891"/>
      <c r="AY42" s="1891"/>
      <c r="AZ42" s="1891"/>
      <c r="BA42" s="1891"/>
    </row>
    <row r="43" spans="1:53" ht="30" customHeight="1">
      <c r="A43" s="96"/>
      <c r="B43" s="1866"/>
      <c r="C43" s="1866"/>
      <c r="D43" s="1866"/>
      <c r="E43" s="1866"/>
      <c r="F43" s="1866"/>
      <c r="G43" s="1866"/>
      <c r="H43" s="1866"/>
      <c r="I43" s="146"/>
      <c r="J43" s="1845" t="s">
        <v>24</v>
      </c>
      <c r="K43" s="1845"/>
      <c r="L43" s="1845"/>
      <c r="M43" s="1893">
        <v>1330</v>
      </c>
      <c r="N43" s="1885"/>
      <c r="O43" s="1885"/>
      <c r="P43" s="1885"/>
      <c r="Q43" s="1885"/>
      <c r="R43" s="1885"/>
      <c r="S43" s="1885"/>
      <c r="T43" s="1893">
        <v>1330</v>
      </c>
      <c r="U43" s="1885"/>
      <c r="V43" s="1885"/>
      <c r="W43" s="1885"/>
      <c r="X43" s="1885"/>
      <c r="Y43" s="1885"/>
      <c r="Z43" s="1885"/>
      <c r="AA43" s="1905">
        <f>ROUND(T43/V20,4)*1000</f>
        <v>1330000</v>
      </c>
      <c r="AB43" s="1905"/>
      <c r="AC43" s="1905"/>
      <c r="AD43" s="1905"/>
      <c r="AE43" s="1905"/>
      <c r="AF43" s="1886">
        <f t="shared" si="0"/>
        <v>0</v>
      </c>
      <c r="AG43" s="1886"/>
      <c r="AH43" s="1886"/>
      <c r="AI43" s="1886"/>
      <c r="AJ43" s="1886"/>
      <c r="AK43" s="1886"/>
      <c r="AL43" s="1886"/>
      <c r="AM43" s="1886"/>
      <c r="AN43" s="1885">
        <f>前年度貼付!$E$23</f>
        <v>1330</v>
      </c>
      <c r="AO43" s="1885"/>
      <c r="AP43" s="1885"/>
      <c r="AQ43" s="1885"/>
      <c r="AR43" s="1885"/>
      <c r="AS43" s="1885"/>
      <c r="AT43" s="1885"/>
      <c r="AU43" s="1891">
        <f t="shared" si="1"/>
        <v>0</v>
      </c>
      <c r="AV43" s="1891"/>
      <c r="AW43" s="1891"/>
      <c r="AX43" s="1891"/>
      <c r="AY43" s="1891"/>
      <c r="AZ43" s="1891"/>
      <c r="BA43" s="1891"/>
    </row>
    <row r="44" spans="1:53" ht="30" customHeight="1">
      <c r="A44" s="86"/>
      <c r="B44" s="1866" t="s">
        <v>19</v>
      </c>
      <c r="C44" s="1866"/>
      <c r="D44" s="1866"/>
      <c r="E44" s="1866"/>
      <c r="F44" s="1866"/>
      <c r="G44" s="1866"/>
      <c r="H44" s="1866"/>
      <c r="I44" s="144"/>
      <c r="J44" s="1845" t="s">
        <v>23</v>
      </c>
      <c r="K44" s="1845"/>
      <c r="L44" s="1845"/>
      <c r="M44" s="1896">
        <v>509020</v>
      </c>
      <c r="N44" s="1897"/>
      <c r="O44" s="1897"/>
      <c r="P44" s="1897"/>
      <c r="Q44" s="1897"/>
      <c r="R44" s="1897"/>
      <c r="S44" s="1897"/>
      <c r="T44" s="1896">
        <v>565600</v>
      </c>
      <c r="U44" s="1897"/>
      <c r="V44" s="1897"/>
      <c r="W44" s="1897"/>
      <c r="X44" s="1897"/>
      <c r="Y44" s="1897"/>
      <c r="Z44" s="1897"/>
      <c r="AA44" s="1905">
        <f>ROUND(T44/V21,4)*1000</f>
        <v>443607.8</v>
      </c>
      <c r="AB44" s="1905"/>
      <c r="AC44" s="1905"/>
      <c r="AD44" s="1905"/>
      <c r="AE44" s="1905"/>
      <c r="AF44" s="1886">
        <f t="shared" si="0"/>
        <v>56580</v>
      </c>
      <c r="AG44" s="1886"/>
      <c r="AH44" s="1886"/>
      <c r="AI44" s="1886"/>
      <c r="AJ44" s="1886"/>
      <c r="AK44" s="1886"/>
      <c r="AL44" s="1886"/>
      <c r="AM44" s="1886"/>
      <c r="AN44" s="1897">
        <f>前年度貼付!$E$24</f>
        <v>548680</v>
      </c>
      <c r="AO44" s="1897"/>
      <c r="AP44" s="1897"/>
      <c r="AQ44" s="1897"/>
      <c r="AR44" s="1897"/>
      <c r="AS44" s="1897"/>
      <c r="AT44" s="1897"/>
      <c r="AU44" s="1891">
        <f t="shared" si="1"/>
        <v>16920</v>
      </c>
      <c r="AV44" s="1891"/>
      <c r="AW44" s="1891"/>
      <c r="AX44" s="1891"/>
      <c r="AY44" s="1891"/>
      <c r="AZ44" s="1891"/>
      <c r="BA44" s="1891"/>
    </row>
    <row r="45" spans="1:53" ht="30" customHeight="1">
      <c r="A45" s="86"/>
      <c r="B45" s="1866"/>
      <c r="C45" s="1866"/>
      <c r="D45" s="1866"/>
      <c r="E45" s="1866"/>
      <c r="F45" s="1866"/>
      <c r="G45" s="1866"/>
      <c r="H45" s="1866"/>
      <c r="I45" s="146"/>
      <c r="J45" s="1845" t="s">
        <v>24</v>
      </c>
      <c r="K45" s="1845"/>
      <c r="L45" s="1845"/>
      <c r="M45" s="1896">
        <v>509550</v>
      </c>
      <c r="N45" s="1897"/>
      <c r="O45" s="1897"/>
      <c r="P45" s="1897"/>
      <c r="Q45" s="1897"/>
      <c r="R45" s="1897"/>
      <c r="S45" s="1897"/>
      <c r="T45" s="1893">
        <v>566180</v>
      </c>
      <c r="U45" s="1885"/>
      <c r="V45" s="1885"/>
      <c r="W45" s="1885"/>
      <c r="X45" s="1885"/>
      <c r="Y45" s="1885"/>
      <c r="Z45" s="1885"/>
      <c r="AA45" s="1905">
        <f>ROUND(T45/V21,4)*1000</f>
        <v>444062.7</v>
      </c>
      <c r="AB45" s="1905"/>
      <c r="AC45" s="1905"/>
      <c r="AD45" s="1905"/>
      <c r="AE45" s="1905"/>
      <c r="AF45" s="1886">
        <f t="shared" si="0"/>
        <v>56630</v>
      </c>
      <c r="AG45" s="1886"/>
      <c r="AH45" s="1886"/>
      <c r="AI45" s="1886"/>
      <c r="AJ45" s="1886"/>
      <c r="AK45" s="1886"/>
      <c r="AL45" s="1886"/>
      <c r="AM45" s="1886"/>
      <c r="AN45" s="1885">
        <f>前年度貼付!$E$25</f>
        <v>549030</v>
      </c>
      <c r="AO45" s="1885"/>
      <c r="AP45" s="1885"/>
      <c r="AQ45" s="1885"/>
      <c r="AR45" s="1885"/>
      <c r="AS45" s="1885"/>
      <c r="AT45" s="1885"/>
      <c r="AU45" s="1891">
        <f t="shared" si="1"/>
        <v>17150</v>
      </c>
      <c r="AV45" s="1891"/>
      <c r="AW45" s="1891"/>
      <c r="AX45" s="1891"/>
      <c r="AY45" s="1891"/>
      <c r="AZ45" s="1891"/>
      <c r="BA45" s="1891"/>
    </row>
    <row r="46" spans="1:53" ht="30" customHeight="1">
      <c r="A46" s="108"/>
      <c r="B46" s="1873" t="s">
        <v>361</v>
      </c>
      <c r="C46" s="1873"/>
      <c r="D46" s="1873"/>
      <c r="E46" s="1873"/>
      <c r="F46" s="1873"/>
      <c r="G46" s="1873"/>
      <c r="H46" s="1873"/>
      <c r="I46" s="147"/>
      <c r="J46" s="1845" t="s">
        <v>24</v>
      </c>
      <c r="K46" s="1845"/>
      <c r="L46" s="1845"/>
      <c r="M46" s="1896">
        <v>4132</v>
      </c>
      <c r="N46" s="1897"/>
      <c r="O46" s="1897"/>
      <c r="P46" s="1897"/>
      <c r="Q46" s="1897"/>
      <c r="R46" s="1897"/>
      <c r="S46" s="1897"/>
      <c r="T46" s="1896">
        <v>4660</v>
      </c>
      <c r="U46" s="1897"/>
      <c r="V46" s="1897"/>
      <c r="W46" s="1897"/>
      <c r="X46" s="1897"/>
      <c r="Y46" s="1897"/>
      <c r="Z46" s="1897"/>
      <c r="AA46" s="1905">
        <f>ROUND(T46/V22,4)*1000</f>
        <v>166428.59999999998</v>
      </c>
      <c r="AB46" s="1905"/>
      <c r="AC46" s="1905"/>
      <c r="AD46" s="1905"/>
      <c r="AE46" s="1905"/>
      <c r="AF46" s="1886">
        <f t="shared" si="0"/>
        <v>528</v>
      </c>
      <c r="AG46" s="1886"/>
      <c r="AH46" s="1886"/>
      <c r="AI46" s="1886"/>
      <c r="AJ46" s="1886"/>
      <c r="AK46" s="1886"/>
      <c r="AL46" s="1886"/>
      <c r="AM46" s="1886"/>
      <c r="AN46" s="1897">
        <f>前年度貼付!$E$26</f>
        <v>4108</v>
      </c>
      <c r="AO46" s="1897"/>
      <c r="AP46" s="1897"/>
      <c r="AQ46" s="1897"/>
      <c r="AR46" s="1897"/>
      <c r="AS46" s="1897"/>
      <c r="AT46" s="1897"/>
      <c r="AU46" s="1891">
        <f t="shared" si="1"/>
        <v>552</v>
      </c>
      <c r="AV46" s="1891"/>
      <c r="AW46" s="1891"/>
      <c r="AX46" s="1891"/>
      <c r="AY46" s="1891"/>
      <c r="AZ46" s="1891"/>
      <c r="BA46" s="1891"/>
    </row>
    <row r="47" spans="1:53" ht="30" customHeight="1">
      <c r="A47" s="90"/>
      <c r="B47" s="1866" t="s">
        <v>20</v>
      </c>
      <c r="C47" s="1866"/>
      <c r="D47" s="1866"/>
      <c r="E47" s="1866"/>
      <c r="F47" s="1866"/>
      <c r="G47" s="1866"/>
      <c r="H47" s="1866"/>
      <c r="I47" s="148"/>
      <c r="J47" s="1845" t="s">
        <v>23</v>
      </c>
      <c r="K47" s="1845"/>
      <c r="L47" s="1845"/>
      <c r="M47" s="1896">
        <v>2800</v>
      </c>
      <c r="N47" s="1897"/>
      <c r="O47" s="1897"/>
      <c r="P47" s="1897"/>
      <c r="Q47" s="1897"/>
      <c r="R47" s="1897"/>
      <c r="S47" s="1897"/>
      <c r="T47" s="1896">
        <v>1680</v>
      </c>
      <c r="U47" s="1897"/>
      <c r="V47" s="1897"/>
      <c r="W47" s="1897"/>
      <c r="X47" s="1897"/>
      <c r="Y47" s="1897"/>
      <c r="Z47" s="1897"/>
      <c r="AA47" s="1905">
        <f>ROUND(T47/V23,4)*1000</f>
        <v>560000</v>
      </c>
      <c r="AB47" s="1905"/>
      <c r="AC47" s="1905"/>
      <c r="AD47" s="1905"/>
      <c r="AE47" s="1905"/>
      <c r="AF47" s="1891">
        <f t="shared" si="0"/>
        <v>-1120</v>
      </c>
      <c r="AG47" s="1891"/>
      <c r="AH47" s="1891"/>
      <c r="AI47" s="1891"/>
      <c r="AJ47" s="1891"/>
      <c r="AK47" s="1891"/>
      <c r="AL47" s="1891"/>
      <c r="AM47" s="1891"/>
      <c r="AN47" s="1897">
        <f>前年度貼付!$E$27</f>
        <v>2680</v>
      </c>
      <c r="AO47" s="1897"/>
      <c r="AP47" s="1897"/>
      <c r="AQ47" s="1897"/>
      <c r="AR47" s="1897"/>
      <c r="AS47" s="1897"/>
      <c r="AT47" s="1897"/>
      <c r="AU47" s="1891">
        <f t="shared" si="1"/>
        <v>-1000</v>
      </c>
      <c r="AV47" s="1891"/>
      <c r="AW47" s="1891"/>
      <c r="AX47" s="1891"/>
      <c r="AY47" s="1891"/>
      <c r="AZ47" s="1891"/>
      <c r="BA47" s="1891"/>
    </row>
    <row r="48" spans="1:53" ht="30" customHeight="1">
      <c r="A48" s="149"/>
      <c r="B48" s="1866"/>
      <c r="C48" s="1866"/>
      <c r="D48" s="1866"/>
      <c r="E48" s="1866"/>
      <c r="F48" s="1866"/>
      <c r="G48" s="1866"/>
      <c r="H48" s="1866"/>
      <c r="I48" s="150"/>
      <c r="J48" s="1845"/>
      <c r="K48" s="1845"/>
      <c r="L48" s="1845"/>
      <c r="M48" s="1907">
        <f>M47</f>
        <v>2800</v>
      </c>
      <c r="N48" s="1907"/>
      <c r="O48" s="1907"/>
      <c r="P48" s="1907"/>
      <c r="Q48" s="1907"/>
      <c r="R48" s="1907"/>
      <c r="S48" s="1907"/>
      <c r="T48" s="1907">
        <f>T47</f>
        <v>1680</v>
      </c>
      <c r="U48" s="1907"/>
      <c r="V48" s="1907"/>
      <c r="W48" s="1907"/>
      <c r="X48" s="1907"/>
      <c r="Y48" s="1907"/>
      <c r="Z48" s="1907"/>
      <c r="AA48" s="1908">
        <f>AA47</f>
        <v>560000</v>
      </c>
      <c r="AB48" s="1908"/>
      <c r="AC48" s="1908"/>
      <c r="AD48" s="1908"/>
      <c r="AE48" s="1908"/>
      <c r="AF48" s="1900">
        <f t="shared" si="0"/>
        <v>-1120</v>
      </c>
      <c r="AG48" s="1900"/>
      <c r="AH48" s="1900"/>
      <c r="AI48" s="1900"/>
      <c r="AJ48" s="1900"/>
      <c r="AK48" s="1900"/>
      <c r="AL48" s="1900"/>
      <c r="AM48" s="1900"/>
      <c r="AN48" s="1907">
        <f>AN47</f>
        <v>2680</v>
      </c>
      <c r="AO48" s="1907"/>
      <c r="AP48" s="1907"/>
      <c r="AQ48" s="1907"/>
      <c r="AR48" s="1907"/>
      <c r="AS48" s="1907"/>
      <c r="AT48" s="1907"/>
      <c r="AU48" s="1900">
        <f t="shared" si="1"/>
        <v>-1000</v>
      </c>
      <c r="AV48" s="1900"/>
      <c r="AW48" s="1900"/>
      <c r="AX48" s="1900"/>
      <c r="AY48" s="1900"/>
      <c r="AZ48" s="1900"/>
      <c r="BA48" s="1900"/>
    </row>
    <row r="49" spans="1:53" ht="30" customHeight="1">
      <c r="A49" s="1845" t="s">
        <v>380</v>
      </c>
      <c r="B49" s="1845"/>
      <c r="C49" s="1845"/>
      <c r="D49" s="1845"/>
      <c r="E49" s="1845"/>
      <c r="F49" s="1845"/>
      <c r="G49" s="1845"/>
      <c r="H49" s="1845"/>
      <c r="I49" s="1845"/>
      <c r="J49" s="1845" t="s">
        <v>23</v>
      </c>
      <c r="K49" s="1845"/>
      <c r="L49" s="1845"/>
      <c r="M49" s="1905">
        <f>SUM(M37,M42,M44,M47)</f>
        <v>5342978</v>
      </c>
      <c r="N49" s="1905"/>
      <c r="O49" s="1905"/>
      <c r="P49" s="1905"/>
      <c r="Q49" s="1905"/>
      <c r="R49" s="1905"/>
      <c r="S49" s="1905"/>
      <c r="T49" s="1905">
        <f>SUM(T37,T42,T44,T47)</f>
        <v>5594120</v>
      </c>
      <c r="U49" s="1905"/>
      <c r="V49" s="1905"/>
      <c r="W49" s="1905"/>
      <c r="X49" s="1905"/>
      <c r="Y49" s="1905"/>
      <c r="Z49" s="1905"/>
      <c r="AA49" s="1905">
        <f>ROUND(T49/(V25-V19-V22),4)*1000</f>
        <v>432780.39999999997</v>
      </c>
      <c r="AB49" s="1905"/>
      <c r="AC49" s="1905"/>
      <c r="AD49" s="1905"/>
      <c r="AE49" s="1905"/>
      <c r="AF49" s="1886">
        <f t="shared" si="0"/>
        <v>251142</v>
      </c>
      <c r="AG49" s="1886"/>
      <c r="AH49" s="1886"/>
      <c r="AI49" s="1886"/>
      <c r="AJ49" s="1886"/>
      <c r="AK49" s="1886"/>
      <c r="AL49" s="1886"/>
      <c r="AM49" s="1886"/>
      <c r="AN49" s="1905">
        <f>SUM(AN37,AN42,AN44,AN47)</f>
        <v>5420590</v>
      </c>
      <c r="AO49" s="1905"/>
      <c r="AP49" s="1905"/>
      <c r="AQ49" s="1905"/>
      <c r="AR49" s="1905"/>
      <c r="AS49" s="1905"/>
      <c r="AT49" s="1905"/>
      <c r="AU49" s="1891">
        <f>SUM(AU37,AU42,AU44,AU47)</f>
        <v>173530</v>
      </c>
      <c r="AV49" s="1891"/>
      <c r="AW49" s="1891"/>
      <c r="AX49" s="1891"/>
      <c r="AY49" s="1891"/>
      <c r="AZ49" s="1891"/>
      <c r="BA49" s="1891"/>
    </row>
    <row r="50" spans="1:53" ht="30" customHeight="1">
      <c r="A50" s="1845"/>
      <c r="B50" s="1845"/>
      <c r="C50" s="1845"/>
      <c r="D50" s="1845"/>
      <c r="E50" s="1845"/>
      <c r="F50" s="1845"/>
      <c r="G50" s="1845"/>
      <c r="H50" s="1845"/>
      <c r="I50" s="1845"/>
      <c r="J50" s="1845" t="s">
        <v>24</v>
      </c>
      <c r="K50" s="1845"/>
      <c r="L50" s="1845"/>
      <c r="M50" s="1905">
        <f>SUM(M39,M41,M43,M45,M46)</f>
        <v>6599866</v>
      </c>
      <c r="N50" s="1905"/>
      <c r="O50" s="1905"/>
      <c r="P50" s="1905"/>
      <c r="Q50" s="1905"/>
      <c r="R50" s="1905"/>
      <c r="S50" s="1905"/>
      <c r="T50" s="1905">
        <f>SUM(T39,T41,T43,T45,T46)</f>
        <v>6988076</v>
      </c>
      <c r="U50" s="1905"/>
      <c r="V50" s="1905"/>
      <c r="W50" s="1905"/>
      <c r="X50" s="1905"/>
      <c r="Y50" s="1905"/>
      <c r="Z50" s="1905"/>
      <c r="AA50" s="1905">
        <f>ROUND(T50/(V25-V23),4)*1000</f>
        <v>368375.1</v>
      </c>
      <c r="AB50" s="1905"/>
      <c r="AC50" s="1905"/>
      <c r="AD50" s="1905"/>
      <c r="AE50" s="1905"/>
      <c r="AF50" s="1886">
        <f t="shared" si="0"/>
        <v>388210</v>
      </c>
      <c r="AG50" s="1886"/>
      <c r="AH50" s="1886"/>
      <c r="AI50" s="1886"/>
      <c r="AJ50" s="1886"/>
      <c r="AK50" s="1886"/>
      <c r="AL50" s="1886"/>
      <c r="AM50" s="1886"/>
      <c r="AN50" s="1905">
        <f>SUM(AN39,AN41,AN43,AN45,AN46)</f>
        <v>6704348</v>
      </c>
      <c r="AO50" s="1905"/>
      <c r="AP50" s="1905"/>
      <c r="AQ50" s="1905"/>
      <c r="AR50" s="1905"/>
      <c r="AS50" s="1905"/>
      <c r="AT50" s="1905"/>
      <c r="AU50" s="1891">
        <f>SUM(AU39,AU41,AU43,AU45,AU46)</f>
        <v>283728</v>
      </c>
      <c r="AV50" s="1891"/>
      <c r="AW50" s="1891"/>
      <c r="AX50" s="1891"/>
      <c r="AY50" s="1891"/>
      <c r="AZ50" s="1891"/>
      <c r="BA50" s="1891"/>
    </row>
    <row r="51" spans="1:53" ht="30" customHeight="1">
      <c r="A51" s="108"/>
      <c r="B51" s="1866" t="s">
        <v>22</v>
      </c>
      <c r="C51" s="1866"/>
      <c r="D51" s="1866"/>
      <c r="E51" s="1866"/>
      <c r="F51" s="1866"/>
      <c r="G51" s="1866"/>
      <c r="H51" s="1866"/>
      <c r="I51" s="147"/>
      <c r="J51" s="1845" t="s">
        <v>24</v>
      </c>
      <c r="K51" s="1845"/>
      <c r="L51" s="1845"/>
      <c r="M51" s="1896">
        <v>74028</v>
      </c>
      <c r="N51" s="1897"/>
      <c r="O51" s="1897"/>
      <c r="P51" s="1897"/>
      <c r="Q51" s="1897"/>
      <c r="R51" s="1897"/>
      <c r="S51" s="1897"/>
      <c r="T51" s="1896">
        <v>75830</v>
      </c>
      <c r="U51" s="1897"/>
      <c r="V51" s="1897"/>
      <c r="W51" s="1897"/>
      <c r="X51" s="1897"/>
      <c r="Y51" s="1897"/>
      <c r="Z51" s="1897"/>
      <c r="AA51" s="1905">
        <f>ROUND(T51/V26,4)*1000</f>
        <v>231189</v>
      </c>
      <c r="AB51" s="1905"/>
      <c r="AC51" s="1905"/>
      <c r="AD51" s="1905"/>
      <c r="AE51" s="1905"/>
      <c r="AF51" s="1886">
        <f t="shared" si="0"/>
        <v>1802</v>
      </c>
      <c r="AG51" s="1886"/>
      <c r="AH51" s="1886"/>
      <c r="AI51" s="1886"/>
      <c r="AJ51" s="1886"/>
      <c r="AK51" s="1886"/>
      <c r="AL51" s="1886"/>
      <c r="AM51" s="1886"/>
      <c r="AN51" s="1897">
        <f>前年度貼付!$E$28</f>
        <v>73642</v>
      </c>
      <c r="AO51" s="1897"/>
      <c r="AP51" s="1897"/>
      <c r="AQ51" s="1897"/>
      <c r="AR51" s="1897"/>
      <c r="AS51" s="1897"/>
      <c r="AT51" s="1897"/>
      <c r="AU51" s="1891">
        <f>T51-AN51</f>
        <v>2188</v>
      </c>
      <c r="AV51" s="1891"/>
      <c r="AW51" s="1891"/>
      <c r="AX51" s="1891"/>
      <c r="AY51" s="1891"/>
      <c r="AZ51" s="1891"/>
      <c r="BA51" s="1891"/>
    </row>
    <row r="52" spans="1:53" ht="30" customHeight="1">
      <c r="A52" s="1845" t="s">
        <v>381</v>
      </c>
      <c r="B52" s="1845"/>
      <c r="C52" s="1845"/>
      <c r="D52" s="1845"/>
      <c r="E52" s="1845"/>
      <c r="F52" s="1845"/>
      <c r="G52" s="1845"/>
      <c r="H52" s="1845"/>
      <c r="I52" s="1845"/>
      <c r="J52" s="1845" t="s">
        <v>23</v>
      </c>
      <c r="K52" s="1845"/>
      <c r="L52" s="1845"/>
      <c r="M52" s="1905">
        <f>SUM(M49)</f>
        <v>5342978</v>
      </c>
      <c r="N52" s="1905"/>
      <c r="O52" s="1905"/>
      <c r="P52" s="1905"/>
      <c r="Q52" s="1905"/>
      <c r="R52" s="1905"/>
      <c r="S52" s="1905"/>
      <c r="T52" s="1905">
        <f>SUM(T49)</f>
        <v>5594120</v>
      </c>
      <c r="U52" s="1905"/>
      <c r="V52" s="1905"/>
      <c r="W52" s="1905"/>
      <c r="X52" s="1905"/>
      <c r="Y52" s="1905"/>
      <c r="Z52" s="1905"/>
      <c r="AA52" s="1905">
        <f>AA49</f>
        <v>432780.39999999997</v>
      </c>
      <c r="AB52" s="1905"/>
      <c r="AC52" s="1905"/>
      <c r="AD52" s="1905"/>
      <c r="AE52" s="1905"/>
      <c r="AF52" s="1886">
        <f t="shared" si="0"/>
        <v>251142</v>
      </c>
      <c r="AG52" s="1886"/>
      <c r="AH52" s="1886"/>
      <c r="AI52" s="1886"/>
      <c r="AJ52" s="1886"/>
      <c r="AK52" s="1886"/>
      <c r="AL52" s="1886"/>
      <c r="AM52" s="1886"/>
      <c r="AN52" s="1905">
        <f>SUM(AN49)</f>
        <v>5420590</v>
      </c>
      <c r="AO52" s="1905"/>
      <c r="AP52" s="1905"/>
      <c r="AQ52" s="1905"/>
      <c r="AR52" s="1905"/>
      <c r="AS52" s="1905"/>
      <c r="AT52" s="1905"/>
      <c r="AU52" s="1891">
        <f>SUM(AU49)</f>
        <v>173530</v>
      </c>
      <c r="AV52" s="1891"/>
      <c r="AW52" s="1891"/>
      <c r="AX52" s="1891"/>
      <c r="AY52" s="1891"/>
      <c r="AZ52" s="1891"/>
      <c r="BA52" s="1891"/>
    </row>
    <row r="53" spans="1:53" ht="30" customHeight="1">
      <c r="A53" s="1845"/>
      <c r="B53" s="1845"/>
      <c r="C53" s="1845"/>
      <c r="D53" s="1845"/>
      <c r="E53" s="1845"/>
      <c r="F53" s="1845"/>
      <c r="G53" s="1845"/>
      <c r="H53" s="1845"/>
      <c r="I53" s="1845"/>
      <c r="J53" s="1845" t="s">
        <v>24</v>
      </c>
      <c r="K53" s="1845"/>
      <c r="L53" s="1845"/>
      <c r="M53" s="1890">
        <f>SUM(M50:S51)</f>
        <v>6673894</v>
      </c>
      <c r="N53" s="1890"/>
      <c r="O53" s="1890"/>
      <c r="P53" s="1890"/>
      <c r="Q53" s="1890"/>
      <c r="R53" s="1890"/>
      <c r="S53" s="1890"/>
      <c r="T53" s="1890">
        <f>SUM(T50:Z51)</f>
        <v>7063906</v>
      </c>
      <c r="U53" s="1890"/>
      <c r="V53" s="1890"/>
      <c r="W53" s="1890"/>
      <c r="X53" s="1890"/>
      <c r="Y53" s="1890"/>
      <c r="Z53" s="1890"/>
      <c r="AA53" s="1890">
        <f>ROUND(T53/(V27-V23),4)*1000</f>
        <v>366043.4</v>
      </c>
      <c r="AB53" s="1890"/>
      <c r="AC53" s="1890"/>
      <c r="AD53" s="1890"/>
      <c r="AE53" s="1890"/>
      <c r="AF53" s="1886">
        <f t="shared" si="0"/>
        <v>390012</v>
      </c>
      <c r="AG53" s="1886"/>
      <c r="AH53" s="1886"/>
      <c r="AI53" s="1886"/>
      <c r="AJ53" s="1886"/>
      <c r="AK53" s="1886"/>
      <c r="AL53" s="1886"/>
      <c r="AM53" s="1886"/>
      <c r="AN53" s="1890">
        <f>SUM(AN50:AT51)</f>
        <v>6777990</v>
      </c>
      <c r="AO53" s="1890"/>
      <c r="AP53" s="1890"/>
      <c r="AQ53" s="1890"/>
      <c r="AR53" s="1890"/>
      <c r="AS53" s="1890"/>
      <c r="AT53" s="1890"/>
      <c r="AU53" s="1886">
        <f>SUM(AU50:BA51)</f>
        <v>285916</v>
      </c>
      <c r="AV53" s="1886"/>
      <c r="AW53" s="1886"/>
      <c r="AX53" s="1886"/>
      <c r="AY53" s="1886"/>
      <c r="AZ53" s="1886"/>
      <c r="BA53" s="1886"/>
    </row>
    <row r="54" spans="1:53" ht="30" customHeight="1">
      <c r="A54" s="108"/>
      <c r="B54" s="1873" t="s">
        <v>382</v>
      </c>
      <c r="C54" s="1873"/>
      <c r="D54" s="1873"/>
      <c r="E54" s="1873"/>
      <c r="F54" s="1873"/>
      <c r="G54" s="1873"/>
      <c r="H54" s="1873"/>
      <c r="I54" s="147"/>
      <c r="J54" s="1883"/>
      <c r="K54" s="1883"/>
      <c r="L54" s="1883"/>
      <c r="M54" s="1905">
        <f>M52-650*2</f>
        <v>5341678</v>
      </c>
      <c r="N54" s="1905"/>
      <c r="O54" s="1905"/>
      <c r="P54" s="1905"/>
      <c r="Q54" s="1905"/>
      <c r="R54" s="1905"/>
      <c r="S54" s="1905"/>
      <c r="T54" s="1885">
        <f>T52-650</f>
        <v>5593470</v>
      </c>
      <c r="U54" s="1885"/>
      <c r="V54" s="1885"/>
      <c r="W54" s="1885"/>
      <c r="X54" s="1885"/>
      <c r="Y54" s="1885"/>
      <c r="Z54" s="1885"/>
      <c r="AA54" s="1890">
        <f>ROUND(T54/V28,4)*1000</f>
        <v>432763.6</v>
      </c>
      <c r="AB54" s="1890"/>
      <c r="AC54" s="1890"/>
      <c r="AD54" s="1890"/>
      <c r="AE54" s="1890"/>
      <c r="AF54" s="1886">
        <f>AF52</f>
        <v>251142</v>
      </c>
      <c r="AG54" s="1886"/>
      <c r="AH54" s="1886"/>
      <c r="AI54" s="1886"/>
      <c r="AJ54" s="1886"/>
      <c r="AK54" s="1886"/>
      <c r="AL54" s="1886"/>
      <c r="AM54" s="1886"/>
      <c r="AN54" s="1885">
        <f>AN52-650*2</f>
        <v>5419290</v>
      </c>
      <c r="AO54" s="1885"/>
      <c r="AP54" s="1885"/>
      <c r="AQ54" s="1885"/>
      <c r="AR54" s="1885"/>
      <c r="AS54" s="1885"/>
      <c r="AT54" s="1885"/>
      <c r="AU54" s="1886">
        <f>T54-AN54</f>
        <v>174180</v>
      </c>
      <c r="AV54" s="1886"/>
      <c r="AW54" s="1886"/>
      <c r="AX54" s="1886"/>
      <c r="AY54" s="1886"/>
      <c r="AZ54" s="1886"/>
      <c r="BA54" s="1886"/>
    </row>
    <row r="55" spans="1:53" ht="18" customHeight="1">
      <c r="A55" s="136" t="s">
        <v>366</v>
      </c>
      <c r="B55" s="137"/>
      <c r="C55" s="137"/>
      <c r="D55" s="136" t="s">
        <v>367</v>
      </c>
      <c r="E55" s="138"/>
      <c r="F55" s="137"/>
      <c r="G55" s="137"/>
      <c r="H55" s="137"/>
      <c r="I55" s="137"/>
      <c r="J55" s="137"/>
      <c r="K55" s="137"/>
      <c r="L55" s="137"/>
      <c r="M55" s="137"/>
      <c r="N55" s="137"/>
      <c r="O55" s="137"/>
      <c r="P55" s="137"/>
      <c r="Q55" s="137"/>
      <c r="R55" s="137"/>
      <c r="S55" s="137"/>
      <c r="T55" s="151"/>
      <c r="U55" s="151"/>
      <c r="V55" s="151"/>
      <c r="W55" s="151"/>
      <c r="X55" s="89"/>
      <c r="Y55" s="89"/>
      <c r="Z55" s="89"/>
      <c r="AA55" s="89"/>
      <c r="AB55" s="89"/>
      <c r="AC55" s="89"/>
      <c r="AD55" s="89"/>
      <c r="AE55" s="89"/>
      <c r="AF55" s="89"/>
      <c r="AG55" s="89"/>
      <c r="AH55" s="89"/>
      <c r="AI55" s="89"/>
      <c r="AJ55" s="89"/>
      <c r="AK55" s="89"/>
      <c r="AL55" s="89"/>
      <c r="AM55" s="89"/>
      <c r="AN55" s="89"/>
      <c r="AO55" s="89"/>
      <c r="AP55" s="89"/>
      <c r="AQ55" s="89"/>
      <c r="AR55" s="89"/>
      <c r="AS55" s="89"/>
      <c r="AT55" s="89"/>
      <c r="AU55" s="89"/>
      <c r="AV55" s="89"/>
      <c r="AW55" s="89"/>
      <c r="AX55" s="89"/>
      <c r="AY55" s="89"/>
      <c r="AZ55" s="89"/>
    </row>
    <row r="56" spans="1:53" ht="18" customHeight="1">
      <c r="B56" s="139"/>
      <c r="C56" s="139"/>
      <c r="D56" s="140" t="s">
        <v>368</v>
      </c>
      <c r="E56" s="141"/>
      <c r="F56" s="139"/>
      <c r="G56" s="139"/>
      <c r="H56" s="139"/>
      <c r="I56" s="139"/>
      <c r="J56" s="139"/>
      <c r="K56" s="139"/>
      <c r="L56" s="139"/>
      <c r="M56" s="139"/>
      <c r="N56" s="139"/>
      <c r="O56" s="139"/>
      <c r="P56" s="139"/>
      <c r="Q56" s="139"/>
      <c r="R56" s="139"/>
      <c r="S56" s="139"/>
      <c r="T56" s="139"/>
      <c r="U56" s="139"/>
      <c r="V56" s="139"/>
      <c r="W56" s="139"/>
      <c r="X56" s="139"/>
      <c r="Y56" s="139"/>
      <c r="Z56" s="139"/>
      <c r="AA56" s="139"/>
      <c r="AB56" s="139"/>
      <c r="AC56" s="139"/>
      <c r="AD56" s="139"/>
      <c r="AE56" s="139"/>
      <c r="AF56" s="139"/>
      <c r="AG56" s="139"/>
      <c r="AH56" s="139"/>
      <c r="AI56" s="139"/>
      <c r="AJ56" s="139"/>
      <c r="AK56" s="139"/>
      <c r="AL56" s="139"/>
      <c r="AM56" s="139"/>
      <c r="AN56" s="139"/>
      <c r="AO56" s="139"/>
      <c r="AP56" s="139"/>
      <c r="AQ56" s="139"/>
      <c r="AR56" s="139"/>
      <c r="AS56" s="139"/>
      <c r="AT56" s="139"/>
      <c r="AU56" s="139"/>
      <c r="AV56" s="139"/>
      <c r="AW56" s="139"/>
      <c r="AX56" s="139"/>
      <c r="AY56" s="139"/>
      <c r="AZ56" s="139"/>
    </row>
    <row r="57" spans="1:53" ht="18" customHeight="1">
      <c r="A57" s="89"/>
      <c r="B57" s="89"/>
      <c r="C57" s="89"/>
      <c r="D57" s="142" t="s">
        <v>369</v>
      </c>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row>
    <row r="58" spans="1:53" ht="18" customHeight="1">
      <c r="A58" s="89"/>
      <c r="B58" s="89"/>
      <c r="C58" s="89"/>
      <c r="D58" s="142" t="s">
        <v>383</v>
      </c>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89"/>
      <c r="AE58" s="89"/>
      <c r="AF58" s="89"/>
      <c r="AG58" s="89"/>
      <c r="AH58" s="89"/>
      <c r="AI58" s="89"/>
      <c r="AJ58" s="89"/>
      <c r="AK58" s="89"/>
      <c r="AL58" s="89"/>
      <c r="AM58" s="89"/>
      <c r="AN58" s="89"/>
      <c r="AO58" s="89"/>
      <c r="AP58" s="89"/>
      <c r="AQ58" s="89"/>
      <c r="AR58" s="89"/>
      <c r="AS58" s="89"/>
      <c r="AT58" s="89"/>
      <c r="AU58" s="89"/>
      <c r="AV58" s="89"/>
      <c r="AW58" s="89"/>
      <c r="AX58" s="89"/>
      <c r="AY58" s="89"/>
    </row>
    <row r="59" spans="1:53" ht="18" customHeight="1">
      <c r="A59" s="89"/>
      <c r="B59" s="89"/>
      <c r="C59" s="89"/>
      <c r="D59" s="142" t="s">
        <v>384</v>
      </c>
      <c r="E59" s="89"/>
      <c r="F59" s="89"/>
      <c r="G59" s="89"/>
      <c r="H59" s="89"/>
      <c r="I59" s="89"/>
      <c r="J59" s="89"/>
      <c r="K59" s="89"/>
      <c r="L59" s="89"/>
      <c r="M59" s="89"/>
      <c r="N59" s="89"/>
      <c r="O59" s="89"/>
      <c r="P59" s="89"/>
      <c r="Q59" s="89"/>
      <c r="R59" s="89"/>
      <c r="S59" s="89"/>
      <c r="T59" s="89"/>
      <c r="U59" s="89"/>
      <c r="V59" s="89"/>
      <c r="W59" s="89"/>
      <c r="X59" s="89"/>
      <c r="Y59" s="89"/>
      <c r="Z59" s="89"/>
      <c r="AA59" s="89"/>
      <c r="AB59" s="89"/>
      <c r="AC59" s="89"/>
      <c r="AD59" s="89"/>
      <c r="AE59" s="89"/>
      <c r="AF59" s="89"/>
      <c r="AG59" s="89"/>
      <c r="AH59" s="89"/>
      <c r="AI59" s="89"/>
      <c r="AJ59" s="89"/>
      <c r="AK59" s="89"/>
      <c r="AL59" s="89"/>
      <c r="AM59" s="89"/>
      <c r="AN59" s="89"/>
      <c r="AO59" s="89"/>
      <c r="AP59" s="89"/>
      <c r="AQ59" s="89"/>
      <c r="AR59" s="89"/>
      <c r="AS59" s="89"/>
      <c r="AT59" s="89"/>
      <c r="AU59" s="89"/>
      <c r="AV59" s="89"/>
      <c r="AW59" s="89"/>
      <c r="AX59" s="89"/>
      <c r="AY59" s="89"/>
    </row>
    <row r="60" spans="1:53" ht="18" customHeight="1">
      <c r="A60" s="89"/>
      <c r="B60" s="89"/>
      <c r="C60" s="89"/>
      <c r="D60" s="142"/>
      <c r="E60" s="89"/>
      <c r="F60" s="89"/>
      <c r="G60" s="89"/>
      <c r="H60" s="89"/>
      <c r="I60" s="89"/>
      <c r="J60" s="89"/>
      <c r="K60" s="89"/>
      <c r="L60" s="89"/>
      <c r="M60" s="89"/>
      <c r="N60" s="89"/>
      <c r="O60" s="89"/>
      <c r="P60" s="89"/>
      <c r="Q60" s="89"/>
      <c r="R60" s="89"/>
      <c r="S60" s="89"/>
      <c r="T60" s="89"/>
      <c r="U60" s="89"/>
      <c r="V60" s="89"/>
      <c r="W60" s="89"/>
      <c r="X60" s="89"/>
      <c r="Y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row>
    <row r="61" spans="1:53" ht="21" customHeight="1">
      <c r="A61" s="1906" t="s">
        <v>385</v>
      </c>
      <c r="B61" s="1906"/>
      <c r="C61" s="1906"/>
      <c r="D61" s="1906"/>
      <c r="E61" s="1906"/>
      <c r="F61" s="1906"/>
      <c r="G61" s="1906"/>
      <c r="H61" s="1906"/>
      <c r="I61" s="1906"/>
      <c r="J61" s="1906"/>
      <c r="K61" s="1906"/>
      <c r="L61" s="1906"/>
      <c r="M61" s="1906"/>
      <c r="N61" s="1906"/>
      <c r="O61" s="1906"/>
      <c r="P61" s="1906"/>
      <c r="Q61" s="1906"/>
      <c r="R61" s="1906"/>
      <c r="S61" s="1906"/>
      <c r="T61" s="1906"/>
      <c r="U61" s="1906"/>
      <c r="V61" s="1906"/>
      <c r="W61" s="1906"/>
      <c r="X61" s="1906"/>
      <c r="Y61" s="1906"/>
      <c r="Z61" s="1906"/>
      <c r="AA61" s="1906"/>
      <c r="AB61" s="1906"/>
    </row>
    <row r="62" spans="1:53" ht="15" customHeight="1">
      <c r="AR62" s="1888" t="s">
        <v>372</v>
      </c>
      <c r="AS62" s="1888"/>
      <c r="AT62" s="1888"/>
      <c r="AU62" s="1888"/>
      <c r="AV62" s="1888"/>
      <c r="AW62" s="1888"/>
      <c r="AX62" s="1888"/>
      <c r="AY62" s="1888"/>
      <c r="AZ62" s="1888"/>
      <c r="BA62" s="1888"/>
    </row>
    <row r="63" spans="1:53" ht="21" customHeight="1">
      <c r="A63" s="1879" t="s">
        <v>349</v>
      </c>
      <c r="B63" s="1879"/>
      <c r="C63" s="1879"/>
      <c r="D63" s="1879"/>
      <c r="E63" s="1879"/>
      <c r="F63" s="1879"/>
      <c r="G63" s="1879"/>
      <c r="H63" s="1879"/>
      <c r="I63" s="1879"/>
      <c r="J63" s="1879"/>
      <c r="K63" s="1879"/>
      <c r="L63" s="1879"/>
      <c r="M63" s="1845" t="s">
        <v>373</v>
      </c>
      <c r="N63" s="1845"/>
      <c r="O63" s="1845"/>
      <c r="P63" s="1845"/>
      <c r="Q63" s="1845"/>
      <c r="R63" s="1845"/>
      <c r="S63" s="1845"/>
      <c r="T63" s="1845"/>
      <c r="U63" s="1845" t="s">
        <v>374</v>
      </c>
      <c r="V63" s="1845"/>
      <c r="W63" s="1845"/>
      <c r="X63" s="1845"/>
      <c r="Y63" s="1845"/>
      <c r="Z63" s="1845"/>
      <c r="AA63" s="1845"/>
      <c r="AB63" s="1845"/>
      <c r="AC63" s="1880" t="s">
        <v>376</v>
      </c>
      <c r="AD63" s="1880"/>
      <c r="AE63" s="1880"/>
      <c r="AF63" s="1880"/>
      <c r="AG63" s="1880"/>
      <c r="AH63" s="1880"/>
      <c r="AI63" s="1880"/>
      <c r="AJ63" s="1880"/>
      <c r="AK63" s="1880"/>
      <c r="AL63" s="1845" t="s">
        <v>386</v>
      </c>
      <c r="AM63" s="1845"/>
      <c r="AN63" s="1845"/>
      <c r="AO63" s="1845"/>
      <c r="AP63" s="1845"/>
      <c r="AQ63" s="1845"/>
      <c r="AR63" s="1845"/>
      <c r="AS63" s="1845"/>
      <c r="AT63" s="1845"/>
      <c r="AU63" s="1845"/>
      <c r="AV63" s="1845"/>
      <c r="AW63" s="1845"/>
      <c r="AX63" s="1845"/>
      <c r="AY63" s="1845"/>
      <c r="AZ63" s="1845"/>
      <c r="BA63" s="1845"/>
    </row>
    <row r="64" spans="1:53" ht="21" customHeight="1">
      <c r="A64" s="1851" t="s">
        <v>358</v>
      </c>
      <c r="B64" s="1851"/>
      <c r="C64" s="1851"/>
      <c r="D64" s="1851"/>
      <c r="E64" s="1851"/>
      <c r="F64" s="1851"/>
      <c r="G64" s="1851"/>
      <c r="H64" s="1851"/>
      <c r="I64" s="1851"/>
      <c r="J64" s="1851"/>
      <c r="K64" s="1851"/>
      <c r="L64" s="1851"/>
      <c r="M64" s="1845"/>
      <c r="N64" s="1845"/>
      <c r="O64" s="1845"/>
      <c r="P64" s="1845"/>
      <c r="Q64" s="1845"/>
      <c r="R64" s="1845"/>
      <c r="S64" s="1845"/>
      <c r="T64" s="1845"/>
      <c r="U64" s="1845"/>
      <c r="V64" s="1845"/>
      <c r="W64" s="1845"/>
      <c r="X64" s="1845"/>
      <c r="Y64" s="1845"/>
      <c r="Z64" s="1845"/>
      <c r="AA64" s="1845"/>
      <c r="AB64" s="1845"/>
      <c r="AC64" s="1880"/>
      <c r="AD64" s="1880"/>
      <c r="AE64" s="1880"/>
      <c r="AF64" s="1880"/>
      <c r="AG64" s="1880"/>
      <c r="AH64" s="1880"/>
      <c r="AI64" s="1880"/>
      <c r="AJ64" s="1880"/>
      <c r="AK64" s="1880"/>
      <c r="AL64" s="1839" t="s">
        <v>387</v>
      </c>
      <c r="AM64" s="1839"/>
      <c r="AN64" s="1839"/>
      <c r="AO64" s="1839"/>
      <c r="AP64" s="1839"/>
      <c r="AQ64" s="1839"/>
      <c r="AR64" s="1839"/>
      <c r="AS64" s="1839"/>
      <c r="AT64" s="1904" t="s">
        <v>376</v>
      </c>
      <c r="AU64" s="1904"/>
      <c r="AV64" s="1904"/>
      <c r="AW64" s="1904"/>
      <c r="AX64" s="1904"/>
      <c r="AY64" s="1904"/>
      <c r="AZ64" s="1904"/>
      <c r="BA64" s="1904"/>
    </row>
    <row r="65" spans="1:53" ht="24" customHeight="1">
      <c r="A65" s="90"/>
      <c r="B65" s="1866" t="s">
        <v>379</v>
      </c>
      <c r="C65" s="1866"/>
      <c r="D65" s="1866"/>
      <c r="E65" s="1866"/>
      <c r="F65" s="1866"/>
      <c r="G65" s="1866"/>
      <c r="H65" s="1866"/>
      <c r="I65" s="144"/>
      <c r="J65" s="1845" t="s">
        <v>23</v>
      </c>
      <c r="K65" s="1845"/>
      <c r="L65" s="1845"/>
      <c r="M65" s="1894">
        <v>18383873</v>
      </c>
      <c r="N65" s="1895"/>
      <c r="O65" s="1895"/>
      <c r="P65" s="1895"/>
      <c r="Q65" s="1895"/>
      <c r="R65" s="1895"/>
      <c r="S65" s="1895"/>
      <c r="T65" s="1895"/>
      <c r="U65" s="1894">
        <v>19591421</v>
      </c>
      <c r="V65" s="1895"/>
      <c r="W65" s="1895"/>
      <c r="X65" s="1895"/>
      <c r="Y65" s="1895"/>
      <c r="Z65" s="1895"/>
      <c r="AA65" s="1895"/>
      <c r="AB65" s="1895"/>
      <c r="AC65" s="1891">
        <f t="shared" ref="AC65:AC79" si="2">U65-M65</f>
        <v>1207548</v>
      </c>
      <c r="AD65" s="1891"/>
      <c r="AE65" s="1891"/>
      <c r="AF65" s="1891"/>
      <c r="AG65" s="1891"/>
      <c r="AH65" s="1891"/>
      <c r="AI65" s="1891"/>
      <c r="AJ65" s="1891"/>
      <c r="AK65" s="1891"/>
      <c r="AL65" s="1895">
        <f>前年度貼付!$E$29</f>
        <v>18754006</v>
      </c>
      <c r="AM65" s="1895"/>
      <c r="AN65" s="1895"/>
      <c r="AO65" s="1895"/>
      <c r="AP65" s="1895"/>
      <c r="AQ65" s="1895"/>
      <c r="AR65" s="1895"/>
      <c r="AS65" s="1895"/>
      <c r="AT65" s="1891">
        <f t="shared" ref="AT65:AT76" si="3">U65-AL65</f>
        <v>837415</v>
      </c>
      <c r="AU65" s="1891"/>
      <c r="AV65" s="1891"/>
      <c r="AW65" s="1891"/>
      <c r="AX65" s="1891"/>
      <c r="AY65" s="1891"/>
      <c r="AZ65" s="1891"/>
      <c r="BA65" s="1891"/>
    </row>
    <row r="66" spans="1:53" ht="24" customHeight="1">
      <c r="A66" s="86"/>
      <c r="B66" s="1866"/>
      <c r="C66" s="1866"/>
      <c r="D66" s="1866"/>
      <c r="E66" s="1866"/>
      <c r="F66" s="1866"/>
      <c r="G66" s="1866"/>
      <c r="H66" s="1866"/>
      <c r="I66" s="145"/>
      <c r="J66" s="1845"/>
      <c r="K66" s="1845"/>
      <c r="L66" s="1845"/>
      <c r="M66" s="1901">
        <v>22670</v>
      </c>
      <c r="N66" s="1902"/>
      <c r="O66" s="1902"/>
      <c r="P66" s="1902"/>
      <c r="Q66" s="1902"/>
      <c r="R66" s="1902"/>
      <c r="S66" s="1902"/>
      <c r="T66" s="1902"/>
      <c r="U66" s="1901">
        <v>22831</v>
      </c>
      <c r="V66" s="1902"/>
      <c r="W66" s="1902"/>
      <c r="X66" s="1902"/>
      <c r="Y66" s="1902"/>
      <c r="Z66" s="1902"/>
      <c r="AA66" s="1902"/>
      <c r="AB66" s="1902"/>
      <c r="AC66" s="1903">
        <f t="shared" si="2"/>
        <v>161</v>
      </c>
      <c r="AD66" s="1903"/>
      <c r="AE66" s="1903"/>
      <c r="AF66" s="1903"/>
      <c r="AG66" s="1903"/>
      <c r="AH66" s="1903"/>
      <c r="AI66" s="1903"/>
      <c r="AJ66" s="1903"/>
      <c r="AK66" s="1903"/>
      <c r="AL66" s="1902">
        <f>前年度貼付!$E$30</f>
        <v>23271</v>
      </c>
      <c r="AM66" s="1902"/>
      <c r="AN66" s="1902"/>
      <c r="AO66" s="1902"/>
      <c r="AP66" s="1902"/>
      <c r="AQ66" s="1902"/>
      <c r="AR66" s="1902"/>
      <c r="AS66" s="1902"/>
      <c r="AT66" s="1903">
        <f t="shared" si="3"/>
        <v>-440</v>
      </c>
      <c r="AU66" s="1903"/>
      <c r="AV66" s="1903"/>
      <c r="AW66" s="1903"/>
      <c r="AX66" s="1903"/>
      <c r="AY66" s="1903"/>
      <c r="AZ66" s="1903"/>
      <c r="BA66" s="1903"/>
    </row>
    <row r="67" spans="1:53" ht="24" customHeight="1">
      <c r="A67" s="86"/>
      <c r="B67" s="1866"/>
      <c r="C67" s="1866"/>
      <c r="D67" s="1866"/>
      <c r="E67" s="1866"/>
      <c r="F67" s="1866"/>
      <c r="G67" s="1866"/>
      <c r="H67" s="1866"/>
      <c r="I67" s="145"/>
      <c r="J67" s="1845" t="s">
        <v>24</v>
      </c>
      <c r="K67" s="1845"/>
      <c r="L67" s="1845"/>
      <c r="M67" s="1896">
        <v>19899534</v>
      </c>
      <c r="N67" s="1897"/>
      <c r="O67" s="1897"/>
      <c r="P67" s="1897"/>
      <c r="Q67" s="1897"/>
      <c r="R67" s="1897"/>
      <c r="S67" s="1897"/>
      <c r="T67" s="1897"/>
      <c r="U67" s="1896">
        <v>19673117</v>
      </c>
      <c r="V67" s="1897"/>
      <c r="W67" s="1897"/>
      <c r="X67" s="1897"/>
      <c r="Y67" s="1897"/>
      <c r="Z67" s="1897"/>
      <c r="AA67" s="1897"/>
      <c r="AB67" s="1897"/>
      <c r="AC67" s="1891">
        <f t="shared" si="2"/>
        <v>-226417</v>
      </c>
      <c r="AD67" s="1891"/>
      <c r="AE67" s="1891"/>
      <c r="AF67" s="1891"/>
      <c r="AG67" s="1891"/>
      <c r="AH67" s="1891"/>
      <c r="AI67" s="1891"/>
      <c r="AJ67" s="1891"/>
      <c r="AK67" s="1891"/>
      <c r="AL67" s="1897">
        <f>前年度貼付!$E$31</f>
        <v>18803852</v>
      </c>
      <c r="AM67" s="1897"/>
      <c r="AN67" s="1897"/>
      <c r="AO67" s="1897"/>
      <c r="AP67" s="1897"/>
      <c r="AQ67" s="1897"/>
      <c r="AR67" s="1897"/>
      <c r="AS67" s="1897"/>
      <c r="AT67" s="1891">
        <f t="shared" si="3"/>
        <v>869265</v>
      </c>
      <c r="AU67" s="1891"/>
      <c r="AV67" s="1891"/>
      <c r="AW67" s="1891"/>
      <c r="AX67" s="1891"/>
      <c r="AY67" s="1891"/>
      <c r="AZ67" s="1891"/>
      <c r="BA67" s="1891"/>
    </row>
    <row r="68" spans="1:53" ht="24" customHeight="1">
      <c r="A68" s="86"/>
      <c r="B68" s="1866"/>
      <c r="C68" s="1866"/>
      <c r="D68" s="1866"/>
      <c r="E68" s="1866"/>
      <c r="F68" s="1866"/>
      <c r="G68" s="1866"/>
      <c r="H68" s="1866"/>
      <c r="I68" s="146"/>
      <c r="J68" s="1845"/>
      <c r="K68" s="1845"/>
      <c r="L68" s="1845"/>
      <c r="M68" s="1901">
        <v>34571</v>
      </c>
      <c r="N68" s="1902"/>
      <c r="O68" s="1902"/>
      <c r="P68" s="1902"/>
      <c r="Q68" s="1902"/>
      <c r="R68" s="1902"/>
      <c r="S68" s="1902"/>
      <c r="T68" s="1902"/>
      <c r="U68" s="1901">
        <v>30569</v>
      </c>
      <c r="V68" s="1902"/>
      <c r="W68" s="1902"/>
      <c r="X68" s="1902"/>
      <c r="Y68" s="1902"/>
      <c r="Z68" s="1902"/>
      <c r="AA68" s="1902"/>
      <c r="AB68" s="1902"/>
      <c r="AC68" s="1903">
        <f t="shared" si="2"/>
        <v>-4002</v>
      </c>
      <c r="AD68" s="1903"/>
      <c r="AE68" s="1903"/>
      <c r="AF68" s="1903"/>
      <c r="AG68" s="1903"/>
      <c r="AH68" s="1903"/>
      <c r="AI68" s="1903"/>
      <c r="AJ68" s="1903"/>
      <c r="AK68" s="1903"/>
      <c r="AL68" s="1902">
        <f>前年度貼付!$E$32</f>
        <v>31625</v>
      </c>
      <c r="AM68" s="1902"/>
      <c r="AN68" s="1902"/>
      <c r="AO68" s="1902"/>
      <c r="AP68" s="1902"/>
      <c r="AQ68" s="1902"/>
      <c r="AR68" s="1902"/>
      <c r="AS68" s="1902"/>
      <c r="AT68" s="1903">
        <f t="shared" si="3"/>
        <v>-1056</v>
      </c>
      <c r="AU68" s="1903"/>
      <c r="AV68" s="1903"/>
      <c r="AW68" s="1903"/>
      <c r="AX68" s="1903"/>
      <c r="AY68" s="1903"/>
      <c r="AZ68" s="1903"/>
      <c r="BA68" s="1903"/>
    </row>
    <row r="69" spans="1:53" ht="24" customHeight="1">
      <c r="A69" s="153"/>
      <c r="B69" s="1873" t="s">
        <v>17</v>
      </c>
      <c r="C69" s="1873"/>
      <c r="D69" s="1873"/>
      <c r="E69" s="1873"/>
      <c r="F69" s="1873"/>
      <c r="G69" s="1873"/>
      <c r="H69" s="1873"/>
      <c r="I69" s="151"/>
      <c r="J69" s="1845" t="s">
        <v>24</v>
      </c>
      <c r="K69" s="1845"/>
      <c r="L69" s="1845"/>
      <c r="M69" s="1892">
        <v>2594977</v>
      </c>
      <c r="N69" s="1884"/>
      <c r="O69" s="1884"/>
      <c r="P69" s="1884"/>
      <c r="Q69" s="1884"/>
      <c r="R69" s="1884"/>
      <c r="S69" s="1884"/>
      <c r="T69" s="1884"/>
      <c r="U69" s="1893">
        <v>4067808</v>
      </c>
      <c r="V69" s="1885"/>
      <c r="W69" s="1885"/>
      <c r="X69" s="1885"/>
      <c r="Y69" s="1885"/>
      <c r="Z69" s="1885"/>
      <c r="AA69" s="1885"/>
      <c r="AB69" s="1885"/>
      <c r="AC69" s="1886">
        <f t="shared" si="2"/>
        <v>1472831</v>
      </c>
      <c r="AD69" s="1886"/>
      <c r="AE69" s="1886"/>
      <c r="AF69" s="1886"/>
      <c r="AG69" s="1886"/>
      <c r="AH69" s="1886"/>
      <c r="AI69" s="1886"/>
      <c r="AJ69" s="1886"/>
      <c r="AK69" s="1886"/>
      <c r="AL69" s="1885">
        <f>前年度貼付!$E$33</f>
        <v>3677284</v>
      </c>
      <c r="AM69" s="1885"/>
      <c r="AN69" s="1885"/>
      <c r="AO69" s="1885"/>
      <c r="AP69" s="1885"/>
      <c r="AQ69" s="1885"/>
      <c r="AR69" s="1885"/>
      <c r="AS69" s="1885"/>
      <c r="AT69" s="1891">
        <f t="shared" si="3"/>
        <v>390524</v>
      </c>
      <c r="AU69" s="1891"/>
      <c r="AV69" s="1891"/>
      <c r="AW69" s="1891"/>
      <c r="AX69" s="1891"/>
      <c r="AY69" s="1891"/>
      <c r="AZ69" s="1891"/>
      <c r="BA69" s="1891"/>
    </row>
    <row r="70" spans="1:53" ht="27" customHeight="1">
      <c r="A70" s="90"/>
      <c r="B70" s="1866" t="s">
        <v>18</v>
      </c>
      <c r="C70" s="1866"/>
      <c r="D70" s="1866"/>
      <c r="E70" s="1866"/>
      <c r="F70" s="1866"/>
      <c r="G70" s="1866"/>
      <c r="H70" s="1866"/>
      <c r="I70" s="144"/>
      <c r="J70" s="1845" t="s">
        <v>23</v>
      </c>
      <c r="K70" s="1845"/>
      <c r="L70" s="1845"/>
      <c r="M70" s="1893">
        <v>3647</v>
      </c>
      <c r="N70" s="1885"/>
      <c r="O70" s="1885"/>
      <c r="P70" s="1885"/>
      <c r="Q70" s="1885"/>
      <c r="R70" s="1885"/>
      <c r="S70" s="1885"/>
      <c r="T70" s="1885"/>
      <c r="U70" s="1893">
        <v>3728</v>
      </c>
      <c r="V70" s="1885"/>
      <c r="W70" s="1885"/>
      <c r="X70" s="1885"/>
      <c r="Y70" s="1885"/>
      <c r="Z70" s="1885"/>
      <c r="AA70" s="1885"/>
      <c r="AB70" s="1885"/>
      <c r="AC70" s="1886">
        <f t="shared" si="2"/>
        <v>81</v>
      </c>
      <c r="AD70" s="1886"/>
      <c r="AE70" s="1886"/>
      <c r="AF70" s="1886"/>
      <c r="AG70" s="1886"/>
      <c r="AH70" s="1886"/>
      <c r="AI70" s="1886"/>
      <c r="AJ70" s="1886"/>
      <c r="AK70" s="1886"/>
      <c r="AL70" s="1885">
        <f>前年度貼付!$E$34</f>
        <v>3809</v>
      </c>
      <c r="AM70" s="1885"/>
      <c r="AN70" s="1885"/>
      <c r="AO70" s="1885"/>
      <c r="AP70" s="1885"/>
      <c r="AQ70" s="1885"/>
      <c r="AR70" s="1885"/>
      <c r="AS70" s="1885"/>
      <c r="AT70" s="1886">
        <f t="shared" si="3"/>
        <v>-81</v>
      </c>
      <c r="AU70" s="1886"/>
      <c r="AV70" s="1886"/>
      <c r="AW70" s="1886"/>
      <c r="AX70" s="1886"/>
      <c r="AY70" s="1886"/>
      <c r="AZ70" s="1886"/>
      <c r="BA70" s="1886"/>
    </row>
    <row r="71" spans="1:53" ht="27" customHeight="1">
      <c r="A71" s="96"/>
      <c r="B71" s="1866"/>
      <c r="C71" s="1866"/>
      <c r="D71" s="1866"/>
      <c r="E71" s="1866"/>
      <c r="F71" s="1866"/>
      <c r="G71" s="1866"/>
      <c r="H71" s="1866"/>
      <c r="I71" s="146"/>
      <c r="J71" s="1845" t="s">
        <v>24</v>
      </c>
      <c r="K71" s="1845"/>
      <c r="L71" s="1845"/>
      <c r="M71" s="1892">
        <v>5730</v>
      </c>
      <c r="N71" s="1884"/>
      <c r="O71" s="1884"/>
      <c r="P71" s="1884"/>
      <c r="Q71" s="1884"/>
      <c r="R71" s="1884"/>
      <c r="S71" s="1884"/>
      <c r="T71" s="1884"/>
      <c r="U71" s="1893">
        <v>5730</v>
      </c>
      <c r="V71" s="1885"/>
      <c r="W71" s="1885"/>
      <c r="X71" s="1885"/>
      <c r="Y71" s="1885"/>
      <c r="Z71" s="1885"/>
      <c r="AA71" s="1885"/>
      <c r="AB71" s="1885"/>
      <c r="AC71" s="1886">
        <f t="shared" si="2"/>
        <v>0</v>
      </c>
      <c r="AD71" s="1886"/>
      <c r="AE71" s="1886"/>
      <c r="AF71" s="1886"/>
      <c r="AG71" s="1886"/>
      <c r="AH71" s="1886"/>
      <c r="AI71" s="1886"/>
      <c r="AJ71" s="1886"/>
      <c r="AK71" s="1886"/>
      <c r="AL71" s="1885">
        <f>前年度貼付!$E$35</f>
        <v>5730</v>
      </c>
      <c r="AM71" s="1885"/>
      <c r="AN71" s="1885"/>
      <c r="AO71" s="1885"/>
      <c r="AP71" s="1885"/>
      <c r="AQ71" s="1885"/>
      <c r="AR71" s="1885"/>
      <c r="AS71" s="1885"/>
      <c r="AT71" s="1891">
        <f t="shared" si="3"/>
        <v>0</v>
      </c>
      <c r="AU71" s="1891"/>
      <c r="AV71" s="1891"/>
      <c r="AW71" s="1891"/>
      <c r="AX71" s="1891"/>
      <c r="AY71" s="1891"/>
      <c r="AZ71" s="1891"/>
      <c r="BA71" s="1891"/>
    </row>
    <row r="72" spans="1:53" ht="27" customHeight="1">
      <c r="A72" s="86"/>
      <c r="B72" s="1866" t="s">
        <v>19</v>
      </c>
      <c r="C72" s="1866"/>
      <c r="D72" s="1866"/>
      <c r="E72" s="1866"/>
      <c r="F72" s="1866"/>
      <c r="G72" s="1866"/>
      <c r="H72" s="1866"/>
      <c r="I72" s="144"/>
      <c r="J72" s="1845" t="s">
        <v>23</v>
      </c>
      <c r="K72" s="1845"/>
      <c r="L72" s="1845"/>
      <c r="M72" s="1892">
        <v>1986451</v>
      </c>
      <c r="N72" s="1884"/>
      <c r="O72" s="1884"/>
      <c r="P72" s="1884"/>
      <c r="Q72" s="1884"/>
      <c r="R72" s="1884"/>
      <c r="S72" s="1884"/>
      <c r="T72" s="1884"/>
      <c r="U72" s="1893">
        <v>2118061</v>
      </c>
      <c r="V72" s="1885"/>
      <c r="W72" s="1885"/>
      <c r="X72" s="1885"/>
      <c r="Y72" s="1885"/>
      <c r="Z72" s="1885"/>
      <c r="AA72" s="1885"/>
      <c r="AB72" s="1885"/>
      <c r="AC72" s="1886">
        <f t="shared" si="2"/>
        <v>131610</v>
      </c>
      <c r="AD72" s="1886"/>
      <c r="AE72" s="1886"/>
      <c r="AF72" s="1886"/>
      <c r="AG72" s="1886"/>
      <c r="AH72" s="1886"/>
      <c r="AI72" s="1886"/>
      <c r="AJ72" s="1886"/>
      <c r="AK72" s="1886"/>
      <c r="AL72" s="1885">
        <f>前年度貼付!$E$36</f>
        <v>2016178</v>
      </c>
      <c r="AM72" s="1885"/>
      <c r="AN72" s="1885"/>
      <c r="AO72" s="1885"/>
      <c r="AP72" s="1885"/>
      <c r="AQ72" s="1885"/>
      <c r="AR72" s="1885"/>
      <c r="AS72" s="1885"/>
      <c r="AT72" s="1891">
        <f t="shared" si="3"/>
        <v>101883</v>
      </c>
      <c r="AU72" s="1891"/>
      <c r="AV72" s="1891"/>
      <c r="AW72" s="1891"/>
      <c r="AX72" s="1891"/>
      <c r="AY72" s="1891"/>
      <c r="AZ72" s="1891"/>
      <c r="BA72" s="1891"/>
    </row>
    <row r="73" spans="1:53" ht="27" customHeight="1">
      <c r="A73" s="86"/>
      <c r="B73" s="1866"/>
      <c r="C73" s="1866"/>
      <c r="D73" s="1866"/>
      <c r="E73" s="1866"/>
      <c r="F73" s="1866"/>
      <c r="G73" s="1866"/>
      <c r="H73" s="1866"/>
      <c r="I73" s="146"/>
      <c r="J73" s="1845" t="s">
        <v>24</v>
      </c>
      <c r="K73" s="1845"/>
      <c r="L73" s="1845"/>
      <c r="M73" s="1892">
        <v>2013601</v>
      </c>
      <c r="N73" s="1884"/>
      <c r="O73" s="1884"/>
      <c r="P73" s="1884"/>
      <c r="Q73" s="1884"/>
      <c r="R73" s="1884"/>
      <c r="S73" s="1884"/>
      <c r="T73" s="1884"/>
      <c r="U73" s="1893">
        <v>2118061</v>
      </c>
      <c r="V73" s="1885"/>
      <c r="W73" s="1885"/>
      <c r="X73" s="1885"/>
      <c r="Y73" s="1885"/>
      <c r="Z73" s="1885"/>
      <c r="AA73" s="1885"/>
      <c r="AB73" s="1885"/>
      <c r="AC73" s="1886">
        <f t="shared" si="2"/>
        <v>104460</v>
      </c>
      <c r="AD73" s="1886"/>
      <c r="AE73" s="1886"/>
      <c r="AF73" s="1886"/>
      <c r="AG73" s="1886"/>
      <c r="AH73" s="1886"/>
      <c r="AI73" s="1886"/>
      <c r="AJ73" s="1886"/>
      <c r="AK73" s="1886"/>
      <c r="AL73" s="1885">
        <f>前年度貼付!$E$37</f>
        <v>2016178</v>
      </c>
      <c r="AM73" s="1885"/>
      <c r="AN73" s="1885"/>
      <c r="AO73" s="1885"/>
      <c r="AP73" s="1885"/>
      <c r="AQ73" s="1885"/>
      <c r="AR73" s="1885"/>
      <c r="AS73" s="1885"/>
      <c r="AT73" s="1891">
        <f t="shared" si="3"/>
        <v>101883</v>
      </c>
      <c r="AU73" s="1891"/>
      <c r="AV73" s="1891"/>
      <c r="AW73" s="1891"/>
      <c r="AX73" s="1891"/>
      <c r="AY73" s="1891"/>
      <c r="AZ73" s="1891"/>
      <c r="BA73" s="1891"/>
    </row>
    <row r="74" spans="1:53" ht="24" customHeight="1">
      <c r="A74" s="153"/>
      <c r="B74" s="1873" t="s">
        <v>361</v>
      </c>
      <c r="C74" s="1873"/>
      <c r="D74" s="1873"/>
      <c r="E74" s="1873"/>
      <c r="F74" s="1873"/>
      <c r="G74" s="1873"/>
      <c r="H74" s="1873"/>
      <c r="I74" s="151"/>
      <c r="J74" s="1845" t="s">
        <v>24</v>
      </c>
      <c r="K74" s="1845"/>
      <c r="L74" s="1845"/>
      <c r="M74" s="1892">
        <v>12995</v>
      </c>
      <c r="N74" s="1884"/>
      <c r="O74" s="1884"/>
      <c r="P74" s="1884"/>
      <c r="Q74" s="1884"/>
      <c r="R74" s="1884"/>
      <c r="S74" s="1884"/>
      <c r="T74" s="1884"/>
      <c r="U74" s="1893">
        <v>19504</v>
      </c>
      <c r="V74" s="1885"/>
      <c r="W74" s="1885"/>
      <c r="X74" s="1885"/>
      <c r="Y74" s="1885"/>
      <c r="Z74" s="1885"/>
      <c r="AA74" s="1885"/>
      <c r="AB74" s="1885"/>
      <c r="AC74" s="1886">
        <f t="shared" si="2"/>
        <v>6509</v>
      </c>
      <c r="AD74" s="1886"/>
      <c r="AE74" s="1886"/>
      <c r="AF74" s="1886"/>
      <c r="AG74" s="1886"/>
      <c r="AH74" s="1886"/>
      <c r="AI74" s="1886"/>
      <c r="AJ74" s="1886"/>
      <c r="AK74" s="1886"/>
      <c r="AL74" s="1885">
        <f>前年度貼付!$E$38</f>
        <v>16296</v>
      </c>
      <c r="AM74" s="1885"/>
      <c r="AN74" s="1885"/>
      <c r="AO74" s="1885"/>
      <c r="AP74" s="1885"/>
      <c r="AQ74" s="1885"/>
      <c r="AR74" s="1885"/>
      <c r="AS74" s="1885"/>
      <c r="AT74" s="1891">
        <f t="shared" si="3"/>
        <v>3208</v>
      </c>
      <c r="AU74" s="1891"/>
      <c r="AV74" s="1891"/>
      <c r="AW74" s="1891"/>
      <c r="AX74" s="1891"/>
      <c r="AY74" s="1891"/>
      <c r="AZ74" s="1891"/>
      <c r="BA74" s="1891"/>
    </row>
    <row r="75" spans="1:53" ht="24" customHeight="1">
      <c r="A75" s="90"/>
      <c r="B75" s="1866" t="s">
        <v>20</v>
      </c>
      <c r="C75" s="1866"/>
      <c r="D75" s="1866"/>
      <c r="E75" s="1866"/>
      <c r="F75" s="1866"/>
      <c r="G75" s="1866"/>
      <c r="H75" s="1866"/>
      <c r="I75" s="148"/>
      <c r="J75" s="1845" t="s">
        <v>23</v>
      </c>
      <c r="K75" s="1845"/>
      <c r="L75" s="1845"/>
      <c r="M75" s="1894">
        <v>12707</v>
      </c>
      <c r="N75" s="1895"/>
      <c r="O75" s="1895"/>
      <c r="P75" s="1895"/>
      <c r="Q75" s="1895"/>
      <c r="R75" s="1895"/>
      <c r="S75" s="1895"/>
      <c r="T75" s="1895"/>
      <c r="U75" s="1896">
        <v>7871</v>
      </c>
      <c r="V75" s="1897"/>
      <c r="W75" s="1897"/>
      <c r="X75" s="1897"/>
      <c r="Y75" s="1897"/>
      <c r="Z75" s="1897"/>
      <c r="AA75" s="1897"/>
      <c r="AB75" s="1897"/>
      <c r="AC75" s="1891">
        <f t="shared" si="2"/>
        <v>-4836</v>
      </c>
      <c r="AD75" s="1891"/>
      <c r="AE75" s="1891"/>
      <c r="AF75" s="1891"/>
      <c r="AG75" s="1891"/>
      <c r="AH75" s="1891"/>
      <c r="AI75" s="1891"/>
      <c r="AJ75" s="1891"/>
      <c r="AK75" s="1891"/>
      <c r="AL75" s="1897">
        <f>前年度貼付!$E$39</f>
        <v>12863</v>
      </c>
      <c r="AM75" s="1897"/>
      <c r="AN75" s="1897"/>
      <c r="AO75" s="1897"/>
      <c r="AP75" s="1897"/>
      <c r="AQ75" s="1897"/>
      <c r="AR75" s="1897"/>
      <c r="AS75" s="1897"/>
      <c r="AT75" s="1891">
        <f t="shared" si="3"/>
        <v>-4992</v>
      </c>
      <c r="AU75" s="1891"/>
      <c r="AV75" s="1891"/>
      <c r="AW75" s="1891"/>
      <c r="AX75" s="1891"/>
      <c r="AY75" s="1891"/>
      <c r="AZ75" s="1891"/>
      <c r="BA75" s="1891"/>
    </row>
    <row r="76" spans="1:53" ht="24" customHeight="1">
      <c r="A76" s="149"/>
      <c r="B76" s="1866"/>
      <c r="C76" s="1866"/>
      <c r="D76" s="1866"/>
      <c r="E76" s="1866"/>
      <c r="F76" s="1866"/>
      <c r="G76" s="1866"/>
      <c r="H76" s="1866"/>
      <c r="I76" s="150"/>
      <c r="J76" s="1845"/>
      <c r="K76" s="1845"/>
      <c r="L76" s="1845"/>
      <c r="M76" s="1898">
        <f>M75</f>
        <v>12707</v>
      </c>
      <c r="N76" s="1898"/>
      <c r="O76" s="1898"/>
      <c r="P76" s="1898"/>
      <c r="Q76" s="1898"/>
      <c r="R76" s="1898"/>
      <c r="S76" s="1898"/>
      <c r="T76" s="1898"/>
      <c r="U76" s="1899">
        <f>U75</f>
        <v>7871</v>
      </c>
      <c r="V76" s="1899"/>
      <c r="W76" s="1899"/>
      <c r="X76" s="1899"/>
      <c r="Y76" s="1899"/>
      <c r="Z76" s="1899"/>
      <c r="AA76" s="1899"/>
      <c r="AB76" s="1899"/>
      <c r="AC76" s="1900">
        <f t="shared" si="2"/>
        <v>-4836</v>
      </c>
      <c r="AD76" s="1900"/>
      <c r="AE76" s="1900"/>
      <c r="AF76" s="1900"/>
      <c r="AG76" s="1900"/>
      <c r="AH76" s="1900"/>
      <c r="AI76" s="1900"/>
      <c r="AJ76" s="1900"/>
      <c r="AK76" s="1900"/>
      <c r="AL76" s="1899">
        <f>AL75</f>
        <v>12863</v>
      </c>
      <c r="AM76" s="1899"/>
      <c r="AN76" s="1899"/>
      <c r="AO76" s="1899"/>
      <c r="AP76" s="1899"/>
      <c r="AQ76" s="1899"/>
      <c r="AR76" s="1899"/>
      <c r="AS76" s="1899"/>
      <c r="AT76" s="1900">
        <f t="shared" si="3"/>
        <v>-4992</v>
      </c>
      <c r="AU76" s="1900"/>
      <c r="AV76" s="1900"/>
      <c r="AW76" s="1900"/>
      <c r="AX76" s="1900"/>
      <c r="AY76" s="1900"/>
      <c r="AZ76" s="1900"/>
      <c r="BA76" s="1900"/>
    </row>
    <row r="77" spans="1:53" ht="27" customHeight="1">
      <c r="A77" s="1845" t="s">
        <v>381</v>
      </c>
      <c r="B77" s="1845"/>
      <c r="C77" s="1845"/>
      <c r="D77" s="1845"/>
      <c r="E77" s="1845"/>
      <c r="F77" s="1845"/>
      <c r="G77" s="1845"/>
      <c r="H77" s="1845"/>
      <c r="I77" s="1845"/>
      <c r="J77" s="1845" t="s">
        <v>23</v>
      </c>
      <c r="K77" s="1845"/>
      <c r="L77" s="1845"/>
      <c r="M77" s="1889">
        <f>SUM(M65,M70,M72,M75)</f>
        <v>20386678</v>
      </c>
      <c r="N77" s="1889"/>
      <c r="O77" s="1889"/>
      <c r="P77" s="1889"/>
      <c r="Q77" s="1889"/>
      <c r="R77" s="1889"/>
      <c r="S77" s="1889"/>
      <c r="T77" s="1889"/>
      <c r="U77" s="1890">
        <f>SUM(U65,U70,U72,U75)</f>
        <v>21721081</v>
      </c>
      <c r="V77" s="1890"/>
      <c r="W77" s="1890"/>
      <c r="X77" s="1890"/>
      <c r="Y77" s="1890"/>
      <c r="Z77" s="1890"/>
      <c r="AA77" s="1890"/>
      <c r="AB77" s="1890"/>
      <c r="AC77" s="1886">
        <f t="shared" si="2"/>
        <v>1334403</v>
      </c>
      <c r="AD77" s="1886"/>
      <c r="AE77" s="1886"/>
      <c r="AF77" s="1886"/>
      <c r="AG77" s="1886"/>
      <c r="AH77" s="1886"/>
      <c r="AI77" s="1886"/>
      <c r="AJ77" s="1886"/>
      <c r="AK77" s="1886"/>
      <c r="AL77" s="1890">
        <f>SUM(AL65,AL70,AL72,AL75)</f>
        <v>20786856</v>
      </c>
      <c r="AM77" s="1890"/>
      <c r="AN77" s="1890"/>
      <c r="AO77" s="1890"/>
      <c r="AP77" s="1890"/>
      <c r="AQ77" s="1890"/>
      <c r="AR77" s="1890"/>
      <c r="AS77" s="1890"/>
      <c r="AT77" s="1891">
        <f>SUM(AT65,AT70,AT72,AT75)</f>
        <v>934225</v>
      </c>
      <c r="AU77" s="1891"/>
      <c r="AV77" s="1891"/>
      <c r="AW77" s="1891"/>
      <c r="AX77" s="1891"/>
      <c r="AY77" s="1891"/>
      <c r="AZ77" s="1891"/>
      <c r="BA77" s="1891"/>
    </row>
    <row r="78" spans="1:53" ht="27" customHeight="1">
      <c r="A78" s="1845"/>
      <c r="B78" s="1845"/>
      <c r="C78" s="1845"/>
      <c r="D78" s="1845"/>
      <c r="E78" s="1845"/>
      <c r="F78" s="1845"/>
      <c r="G78" s="1845"/>
      <c r="H78" s="1845"/>
      <c r="I78" s="1845"/>
      <c r="J78" s="1845" t="s">
        <v>24</v>
      </c>
      <c r="K78" s="1845"/>
      <c r="L78" s="1845"/>
      <c r="M78" s="1889">
        <f>SUM(M67,M69,M71,M73,M74)</f>
        <v>24526837</v>
      </c>
      <c r="N78" s="1889"/>
      <c r="O78" s="1889"/>
      <c r="P78" s="1889"/>
      <c r="Q78" s="1889"/>
      <c r="R78" s="1889"/>
      <c r="S78" s="1889"/>
      <c r="T78" s="1889"/>
      <c r="U78" s="1890">
        <f>SUM(U67,U69,U71,U73,U74)</f>
        <v>25884220</v>
      </c>
      <c r="V78" s="1890"/>
      <c r="W78" s="1890"/>
      <c r="X78" s="1890"/>
      <c r="Y78" s="1890"/>
      <c r="Z78" s="1890"/>
      <c r="AA78" s="1890"/>
      <c r="AB78" s="1890"/>
      <c r="AC78" s="1886">
        <f t="shared" si="2"/>
        <v>1357383</v>
      </c>
      <c r="AD78" s="1886"/>
      <c r="AE78" s="1886"/>
      <c r="AF78" s="1886"/>
      <c r="AG78" s="1886"/>
      <c r="AH78" s="1886"/>
      <c r="AI78" s="1886"/>
      <c r="AJ78" s="1886"/>
      <c r="AK78" s="1886"/>
      <c r="AL78" s="1889">
        <f>SUM(AL67,AL69,AL71,AL73,AL74)</f>
        <v>24519340</v>
      </c>
      <c r="AM78" s="1889"/>
      <c r="AN78" s="1889"/>
      <c r="AO78" s="1889"/>
      <c r="AP78" s="1889"/>
      <c r="AQ78" s="1889"/>
      <c r="AR78" s="1889"/>
      <c r="AS78" s="1889"/>
      <c r="AT78" s="1886">
        <f>SUM(AT67,AT69,AT71,AT73,AT74)</f>
        <v>1364880</v>
      </c>
      <c r="AU78" s="1886"/>
      <c r="AV78" s="1886"/>
      <c r="AW78" s="1886"/>
      <c r="AX78" s="1886"/>
      <c r="AY78" s="1886"/>
      <c r="AZ78" s="1886"/>
      <c r="BA78" s="1886"/>
    </row>
    <row r="79" spans="1:53" ht="27" customHeight="1">
      <c r="A79" s="153"/>
      <c r="B79" s="1873" t="s">
        <v>382</v>
      </c>
      <c r="C79" s="1873"/>
      <c r="D79" s="1873"/>
      <c r="E79" s="1873"/>
      <c r="F79" s="1873"/>
      <c r="G79" s="1873"/>
      <c r="H79" s="1873"/>
      <c r="I79" s="151"/>
      <c r="J79" s="1883"/>
      <c r="K79" s="1883"/>
      <c r="L79" s="1883"/>
      <c r="M79" s="1884">
        <f>M77-7289</f>
        <v>20379389</v>
      </c>
      <c r="N79" s="1884"/>
      <c r="O79" s="1884"/>
      <c r="P79" s="1884"/>
      <c r="Q79" s="1884"/>
      <c r="R79" s="1884"/>
      <c r="S79" s="1884"/>
      <c r="T79" s="1884"/>
      <c r="U79" s="1885">
        <f>U77-3728</f>
        <v>21717353</v>
      </c>
      <c r="V79" s="1885"/>
      <c r="W79" s="1885"/>
      <c r="X79" s="1885"/>
      <c r="Y79" s="1885"/>
      <c r="Z79" s="1885"/>
      <c r="AA79" s="1885"/>
      <c r="AB79" s="1885"/>
      <c r="AC79" s="1886">
        <f t="shared" si="2"/>
        <v>1337964</v>
      </c>
      <c r="AD79" s="1886"/>
      <c r="AE79" s="1886"/>
      <c r="AF79" s="1886"/>
      <c r="AG79" s="1886"/>
      <c r="AH79" s="1886"/>
      <c r="AI79" s="1886"/>
      <c r="AJ79" s="1886"/>
      <c r="AK79" s="1886"/>
      <c r="AL79" s="1885">
        <f>AL77-7451</f>
        <v>20779405</v>
      </c>
      <c r="AM79" s="1885"/>
      <c r="AN79" s="1885"/>
      <c r="AO79" s="1885"/>
      <c r="AP79" s="1885"/>
      <c r="AQ79" s="1885"/>
      <c r="AR79" s="1885"/>
      <c r="AS79" s="1885"/>
      <c r="AT79" s="1886">
        <f>U79-AL79</f>
        <v>937948</v>
      </c>
      <c r="AU79" s="1886"/>
      <c r="AV79" s="1886"/>
      <c r="AW79" s="1886"/>
      <c r="AX79" s="1886"/>
      <c r="AY79" s="1886"/>
      <c r="AZ79" s="1886"/>
      <c r="BA79" s="1886"/>
    </row>
    <row r="80" spans="1:53" ht="18" customHeight="1">
      <c r="A80" s="136" t="s">
        <v>366</v>
      </c>
      <c r="B80" s="137"/>
      <c r="C80" s="137"/>
      <c r="D80" s="136" t="s">
        <v>367</v>
      </c>
      <c r="E80" s="138"/>
      <c r="F80" s="137"/>
      <c r="G80" s="137"/>
      <c r="H80" s="137"/>
      <c r="I80" s="137"/>
      <c r="J80" s="137"/>
      <c r="K80" s="137"/>
      <c r="L80" s="137"/>
      <c r="M80" s="137"/>
      <c r="N80" s="137"/>
      <c r="O80" s="137"/>
      <c r="P80" s="137"/>
      <c r="Q80" s="137"/>
      <c r="R80" s="137"/>
      <c r="S80" s="137"/>
      <c r="T80" s="137"/>
      <c r="U80" s="137"/>
      <c r="V80" s="137"/>
      <c r="W80" s="137"/>
      <c r="X80" s="89"/>
      <c r="Y80" s="89"/>
      <c r="Z80" s="89"/>
      <c r="AA80" s="89"/>
      <c r="AB80" s="89"/>
      <c r="AC80" s="89"/>
      <c r="AD80" s="89"/>
      <c r="AE80" s="89"/>
      <c r="AF80" s="89"/>
      <c r="AG80" s="89"/>
      <c r="AH80" s="89"/>
      <c r="AI80" s="89"/>
      <c r="AJ80" s="89"/>
      <c r="AK80" s="89"/>
      <c r="AL80" s="89"/>
      <c r="AM80" s="89"/>
      <c r="AN80" s="89"/>
      <c r="AO80" s="89"/>
      <c r="AP80" s="89"/>
      <c r="AQ80" s="89"/>
      <c r="AR80" s="89"/>
      <c r="AS80" s="89"/>
      <c r="AT80" s="89"/>
      <c r="AU80" s="89"/>
      <c r="AV80" s="89"/>
      <c r="AW80" s="89"/>
      <c r="AX80" s="89"/>
      <c r="AY80" s="89"/>
      <c r="AZ80" s="89"/>
    </row>
    <row r="81" spans="1:53" s="154" customFormat="1" ht="18" customHeight="1">
      <c r="C81" s="141"/>
      <c r="D81" s="140" t="s">
        <v>368</v>
      </c>
      <c r="E81" s="141"/>
      <c r="F81" s="139"/>
      <c r="G81" s="139"/>
      <c r="H81" s="139"/>
      <c r="I81" s="139"/>
      <c r="J81" s="139"/>
      <c r="K81" s="139"/>
      <c r="L81" s="139"/>
      <c r="M81" s="139"/>
      <c r="N81" s="139"/>
      <c r="O81" s="139"/>
      <c r="P81" s="139"/>
      <c r="Q81" s="139"/>
      <c r="R81" s="139"/>
      <c r="S81" s="139"/>
      <c r="T81" s="139"/>
      <c r="U81" s="139"/>
      <c r="V81" s="139"/>
      <c r="W81" s="139"/>
      <c r="X81" s="139"/>
      <c r="Y81" s="139"/>
      <c r="Z81" s="139"/>
      <c r="AA81" s="139"/>
      <c r="AB81" s="139"/>
      <c r="AC81" s="139"/>
      <c r="AD81" s="139"/>
      <c r="AE81" s="139"/>
      <c r="AF81" s="139"/>
      <c r="AG81" s="139"/>
      <c r="AH81" s="139"/>
      <c r="AI81" s="139"/>
      <c r="AJ81" s="139"/>
      <c r="AK81" s="139"/>
      <c r="AL81" s="139"/>
      <c r="AM81" s="139"/>
      <c r="AN81" s="139"/>
      <c r="AO81" s="139"/>
      <c r="AP81" s="139"/>
      <c r="AQ81" s="139"/>
      <c r="AR81" s="139"/>
      <c r="AS81" s="139"/>
      <c r="AT81" s="139"/>
      <c r="AU81" s="139"/>
      <c r="AV81" s="139"/>
      <c r="AW81" s="139"/>
      <c r="AX81" s="139"/>
      <c r="AY81" s="139"/>
      <c r="AZ81" s="139"/>
    </row>
    <row r="82" spans="1:53" s="154" customFormat="1" ht="18" customHeight="1">
      <c r="C82" s="141"/>
      <c r="D82" s="142" t="s">
        <v>369</v>
      </c>
      <c r="E82" s="89"/>
      <c r="F82" s="89"/>
      <c r="G82" s="89"/>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89"/>
      <c r="AH82" s="89"/>
      <c r="AI82" s="89"/>
      <c r="AJ82" s="89"/>
      <c r="AK82" s="89"/>
      <c r="AL82" s="89"/>
      <c r="AM82" s="89"/>
      <c r="AN82" s="89"/>
      <c r="AO82" s="89"/>
      <c r="AP82" s="89"/>
      <c r="AQ82" s="89"/>
      <c r="AR82" s="89"/>
      <c r="AS82" s="89"/>
      <c r="AT82" s="89"/>
      <c r="AU82" s="89"/>
      <c r="AV82" s="89"/>
      <c r="AW82" s="89"/>
      <c r="AX82" s="89"/>
      <c r="AY82" s="89"/>
      <c r="AZ82" s="81"/>
    </row>
    <row r="83" spans="1:53" ht="18" customHeight="1">
      <c r="B83" s="139"/>
      <c r="C83" s="139"/>
      <c r="D83" s="142" t="s">
        <v>388</v>
      </c>
      <c r="E83" s="141"/>
      <c r="F83" s="139"/>
      <c r="G83" s="139"/>
      <c r="H83" s="139"/>
      <c r="I83" s="139"/>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39"/>
      <c r="AH83" s="139"/>
      <c r="AI83" s="139"/>
      <c r="AJ83" s="139"/>
      <c r="AK83" s="139"/>
      <c r="AL83" s="139"/>
      <c r="AM83" s="139"/>
      <c r="AN83" s="139"/>
      <c r="AO83" s="139"/>
      <c r="AP83" s="139"/>
      <c r="AQ83" s="139"/>
      <c r="AR83" s="139"/>
      <c r="AS83" s="139"/>
      <c r="AT83" s="139"/>
      <c r="AU83" s="139"/>
      <c r="AV83" s="139"/>
      <c r="AW83" s="139"/>
      <c r="AX83" s="139"/>
      <c r="AY83" s="139"/>
      <c r="AZ83" s="139"/>
    </row>
    <row r="84" spans="1:53" ht="21" customHeight="1">
      <c r="A84" s="1887" t="s">
        <v>389</v>
      </c>
      <c r="B84" s="1887"/>
      <c r="C84" s="1887"/>
      <c r="D84" s="1887"/>
      <c r="E84" s="1887"/>
      <c r="F84" s="1887"/>
      <c r="G84" s="1887"/>
      <c r="H84" s="1887"/>
      <c r="I84" s="1887"/>
      <c r="J84" s="1887"/>
      <c r="K84" s="1887"/>
      <c r="L84" s="1887"/>
      <c r="M84" s="1887"/>
      <c r="N84" s="1887"/>
    </row>
    <row r="85" spans="1:53" ht="15" customHeight="1">
      <c r="AR85" s="1888" t="s">
        <v>325</v>
      </c>
      <c r="AS85" s="1888"/>
      <c r="AT85" s="1888"/>
      <c r="AU85" s="1888"/>
      <c r="AV85" s="1888"/>
      <c r="AW85" s="1888"/>
      <c r="AX85" s="1888"/>
      <c r="AY85" s="1888"/>
      <c r="AZ85" s="1888"/>
      <c r="BA85" s="1888"/>
    </row>
    <row r="86" spans="1:53" ht="21.75" customHeight="1">
      <c r="A86" s="1879" t="s">
        <v>390</v>
      </c>
      <c r="B86" s="1879"/>
      <c r="C86" s="1879"/>
      <c r="D86" s="1879"/>
      <c r="E86" s="1879"/>
      <c r="F86" s="1879"/>
      <c r="G86" s="1879"/>
      <c r="H86" s="1879"/>
      <c r="I86" s="1879"/>
      <c r="J86" s="1879"/>
      <c r="K86" s="1879"/>
      <c r="L86" s="1879"/>
      <c r="M86" s="1839" t="s">
        <v>354</v>
      </c>
      <c r="N86" s="1839"/>
      <c r="O86" s="1839"/>
      <c r="P86" s="1839"/>
      <c r="Q86" s="1839"/>
      <c r="R86" s="1839"/>
      <c r="S86" s="1839"/>
      <c r="T86" s="1845" t="s">
        <v>391</v>
      </c>
      <c r="U86" s="1845"/>
      <c r="V86" s="1845"/>
      <c r="W86" s="1845"/>
      <c r="X86" s="1845"/>
      <c r="Y86" s="1845"/>
      <c r="Z86" s="1845"/>
      <c r="AA86" s="1845" t="s">
        <v>376</v>
      </c>
      <c r="AB86" s="1845"/>
      <c r="AC86" s="1845"/>
      <c r="AD86" s="1845"/>
      <c r="AE86" s="1845"/>
      <c r="AF86" s="1845"/>
      <c r="AG86" s="1845"/>
      <c r="AH86" s="1880" t="s">
        <v>357</v>
      </c>
      <c r="AI86" s="1880"/>
      <c r="AJ86" s="1880"/>
      <c r="AK86" s="1880"/>
      <c r="AL86" s="1880"/>
      <c r="AM86" s="1880"/>
      <c r="AN86" s="1880"/>
      <c r="AO86" s="1880"/>
      <c r="AP86" s="1880"/>
      <c r="AQ86" s="1880"/>
      <c r="AR86" s="1880"/>
      <c r="AS86" s="1880"/>
      <c r="AT86" s="1880"/>
      <c r="AU86" s="1880"/>
      <c r="AV86" s="1881" t="s">
        <v>392</v>
      </c>
      <c r="AW86" s="1881"/>
      <c r="AX86" s="1881"/>
      <c r="AY86" s="1881"/>
      <c r="AZ86" s="1881"/>
      <c r="BA86" s="1881"/>
    </row>
    <row r="87" spans="1:53" ht="21" customHeight="1">
      <c r="A87" s="1851" t="s">
        <v>393</v>
      </c>
      <c r="B87" s="1851"/>
      <c r="C87" s="1851"/>
      <c r="D87" s="1851"/>
      <c r="E87" s="1851"/>
      <c r="F87" s="1851"/>
      <c r="G87" s="1851"/>
      <c r="H87" s="1851"/>
      <c r="I87" s="1851"/>
      <c r="J87" s="1851"/>
      <c r="K87" s="1851"/>
      <c r="L87" s="1851"/>
      <c r="M87" s="1839"/>
      <c r="N87" s="1839"/>
      <c r="O87" s="1839"/>
      <c r="P87" s="1839"/>
      <c r="Q87" s="1839"/>
      <c r="R87" s="1839"/>
      <c r="S87" s="1839"/>
      <c r="T87" s="1845"/>
      <c r="U87" s="1845"/>
      <c r="V87" s="1845"/>
      <c r="W87" s="1845"/>
      <c r="X87" s="1845"/>
      <c r="Y87" s="1845"/>
      <c r="Z87" s="1845"/>
      <c r="AA87" s="1845"/>
      <c r="AB87" s="1845"/>
      <c r="AC87" s="1845"/>
      <c r="AD87" s="1845"/>
      <c r="AE87" s="1845"/>
      <c r="AF87" s="1845"/>
      <c r="AG87" s="1845"/>
      <c r="AH87" s="1882" t="s">
        <v>359</v>
      </c>
      <c r="AI87" s="1882"/>
      <c r="AJ87" s="1882"/>
      <c r="AK87" s="1882"/>
      <c r="AL87" s="1882"/>
      <c r="AM87" s="1882"/>
      <c r="AN87" s="1882"/>
      <c r="AO87" s="1882" t="s">
        <v>376</v>
      </c>
      <c r="AP87" s="1882"/>
      <c r="AQ87" s="1882"/>
      <c r="AR87" s="1882"/>
      <c r="AS87" s="1882"/>
      <c r="AT87" s="1882"/>
      <c r="AU87" s="1882"/>
      <c r="AV87" s="1881"/>
      <c r="AW87" s="1881"/>
      <c r="AX87" s="1881"/>
      <c r="AY87" s="1881"/>
      <c r="AZ87" s="1881"/>
      <c r="BA87" s="1881"/>
    </row>
    <row r="88" spans="1:53" ht="24" customHeight="1">
      <c r="A88" s="108"/>
      <c r="B88" s="1866" t="s">
        <v>15</v>
      </c>
      <c r="C88" s="1866"/>
      <c r="D88" s="1866"/>
      <c r="E88" s="1866"/>
      <c r="F88" s="1866"/>
      <c r="G88" s="1866"/>
      <c r="H88" s="1866"/>
      <c r="I88" s="1866"/>
      <c r="J88" s="1866"/>
      <c r="K88" s="1866"/>
      <c r="L88" s="155"/>
      <c r="M88" s="1867">
        <v>7837</v>
      </c>
      <c r="N88" s="1868"/>
      <c r="O88" s="1868"/>
      <c r="P88" s="1868"/>
      <c r="Q88" s="1868"/>
      <c r="R88" s="1868"/>
      <c r="S88" s="156"/>
      <c r="T88" s="1867">
        <v>7623</v>
      </c>
      <c r="U88" s="1868"/>
      <c r="V88" s="1868"/>
      <c r="W88" s="1868"/>
      <c r="X88" s="1868"/>
      <c r="Y88" s="1868"/>
      <c r="Z88" s="134"/>
      <c r="AA88" s="1869">
        <f t="shared" ref="AA88:AA95" si="4">T88-M88</f>
        <v>-214</v>
      </c>
      <c r="AB88" s="1869"/>
      <c r="AC88" s="1869"/>
      <c r="AD88" s="1869"/>
      <c r="AE88" s="1869"/>
      <c r="AF88" s="1869"/>
      <c r="AG88" s="157"/>
      <c r="AH88" s="1868">
        <f>前年度貼付!$E$40</f>
        <v>7755</v>
      </c>
      <c r="AI88" s="1868"/>
      <c r="AJ88" s="1868"/>
      <c r="AK88" s="1868"/>
      <c r="AL88" s="1868"/>
      <c r="AM88" s="1868"/>
      <c r="AN88" s="134"/>
      <c r="AO88" s="1869">
        <f t="shared" ref="AO88:AO95" si="5">T88-AH88</f>
        <v>-132</v>
      </c>
      <c r="AP88" s="1869"/>
      <c r="AQ88" s="1869"/>
      <c r="AR88" s="1869"/>
      <c r="AS88" s="1869"/>
      <c r="AT88" s="1869"/>
      <c r="AU88" s="158"/>
      <c r="AV88" s="1870">
        <f>ROUND(T88/V17,2)</f>
        <v>0.65</v>
      </c>
      <c r="AW88" s="1870"/>
      <c r="AX88" s="1870"/>
      <c r="AY88" s="1870"/>
      <c r="AZ88" s="1870"/>
      <c r="BA88" s="159"/>
    </row>
    <row r="89" spans="1:53" ht="24" customHeight="1">
      <c r="A89" s="86"/>
      <c r="B89" s="1864" t="s">
        <v>17</v>
      </c>
      <c r="C89" s="1864"/>
      <c r="D89" s="1864"/>
      <c r="E89" s="1864"/>
      <c r="F89" s="1864"/>
      <c r="G89" s="1864"/>
      <c r="H89" s="1864"/>
      <c r="I89" s="1864"/>
      <c r="J89" s="1864"/>
      <c r="K89" s="1864"/>
      <c r="L89" s="87"/>
      <c r="M89" s="1877">
        <v>1014</v>
      </c>
      <c r="N89" s="1878"/>
      <c r="O89" s="1878"/>
      <c r="P89" s="1878"/>
      <c r="Q89" s="1878"/>
      <c r="R89" s="1878"/>
      <c r="S89" s="160"/>
      <c r="T89" s="1877">
        <v>965</v>
      </c>
      <c r="U89" s="1878"/>
      <c r="V89" s="1878"/>
      <c r="W89" s="1878"/>
      <c r="X89" s="1878"/>
      <c r="Y89" s="1878"/>
      <c r="Z89" s="161"/>
      <c r="AA89" s="1875">
        <f t="shared" si="4"/>
        <v>-49</v>
      </c>
      <c r="AB89" s="1875"/>
      <c r="AC89" s="1875"/>
      <c r="AD89" s="1875"/>
      <c r="AE89" s="1875"/>
      <c r="AF89" s="1875"/>
      <c r="AG89" s="162"/>
      <c r="AH89" s="1878">
        <f>前年度貼付!$E$41</f>
        <v>1007</v>
      </c>
      <c r="AI89" s="1878"/>
      <c r="AJ89" s="1878"/>
      <c r="AK89" s="1878"/>
      <c r="AL89" s="1878"/>
      <c r="AM89" s="1878"/>
      <c r="AN89" s="161"/>
      <c r="AO89" s="1875">
        <f t="shared" si="5"/>
        <v>-42</v>
      </c>
      <c r="AP89" s="1875"/>
      <c r="AQ89" s="1875"/>
      <c r="AR89" s="1875"/>
      <c r="AS89" s="1875"/>
      <c r="AT89" s="1875"/>
      <c r="AU89" s="163"/>
      <c r="AV89" s="1870">
        <f>ROUND(T89/V19,2)</f>
        <v>0.16</v>
      </c>
      <c r="AW89" s="1870"/>
      <c r="AX89" s="1870"/>
      <c r="AY89" s="1870"/>
      <c r="AZ89" s="1870"/>
      <c r="BA89" s="164"/>
    </row>
    <row r="90" spans="1:53" ht="24" customHeight="1">
      <c r="A90" s="108"/>
      <c r="B90" s="1866" t="s">
        <v>18</v>
      </c>
      <c r="C90" s="1866"/>
      <c r="D90" s="1866"/>
      <c r="E90" s="1866"/>
      <c r="F90" s="1866"/>
      <c r="G90" s="1866"/>
      <c r="H90" s="1866"/>
      <c r="I90" s="1866"/>
      <c r="J90" s="1866"/>
      <c r="K90" s="1866"/>
      <c r="L90" s="155"/>
      <c r="M90" s="1867">
        <v>1</v>
      </c>
      <c r="N90" s="1868"/>
      <c r="O90" s="1868"/>
      <c r="P90" s="1868"/>
      <c r="Q90" s="1868"/>
      <c r="R90" s="1868"/>
      <c r="S90" s="156"/>
      <c r="T90" s="1867">
        <v>1</v>
      </c>
      <c r="U90" s="1868"/>
      <c r="V90" s="1868"/>
      <c r="W90" s="1868"/>
      <c r="X90" s="1868"/>
      <c r="Y90" s="1868"/>
      <c r="Z90" s="134"/>
      <c r="AA90" s="1869">
        <f t="shared" si="4"/>
        <v>0</v>
      </c>
      <c r="AB90" s="1869"/>
      <c r="AC90" s="1869"/>
      <c r="AD90" s="1869"/>
      <c r="AE90" s="1869"/>
      <c r="AF90" s="1869"/>
      <c r="AG90" s="157"/>
      <c r="AH90" s="1868">
        <f>前年度貼付!$E$42</f>
        <v>1</v>
      </c>
      <c r="AI90" s="1868"/>
      <c r="AJ90" s="1868"/>
      <c r="AK90" s="1868"/>
      <c r="AL90" s="1868"/>
      <c r="AM90" s="1868"/>
      <c r="AN90" s="134"/>
      <c r="AO90" s="1869">
        <f t="shared" si="5"/>
        <v>0</v>
      </c>
      <c r="AP90" s="1869"/>
      <c r="AQ90" s="1869"/>
      <c r="AR90" s="1869"/>
      <c r="AS90" s="1869"/>
      <c r="AT90" s="1869"/>
      <c r="AU90" s="158"/>
      <c r="AV90" s="1870">
        <f>ROUND(T90/V20,2)</f>
        <v>1</v>
      </c>
      <c r="AW90" s="1870"/>
      <c r="AX90" s="1870"/>
      <c r="AY90" s="1870"/>
      <c r="AZ90" s="1870"/>
      <c r="BA90" s="159"/>
    </row>
    <row r="91" spans="1:53" ht="24" customHeight="1">
      <c r="A91" s="108"/>
      <c r="B91" s="1866" t="s">
        <v>19</v>
      </c>
      <c r="C91" s="1866"/>
      <c r="D91" s="1866"/>
      <c r="E91" s="1866"/>
      <c r="F91" s="1866"/>
      <c r="G91" s="1866"/>
      <c r="H91" s="1866"/>
      <c r="I91" s="1866"/>
      <c r="J91" s="1866"/>
      <c r="K91" s="1866"/>
      <c r="L91" s="155"/>
      <c r="M91" s="1867">
        <v>1945</v>
      </c>
      <c r="N91" s="1868"/>
      <c r="O91" s="1868"/>
      <c r="P91" s="1868"/>
      <c r="Q91" s="1868"/>
      <c r="R91" s="1868"/>
      <c r="S91" s="156"/>
      <c r="T91" s="1867">
        <v>1961</v>
      </c>
      <c r="U91" s="1868"/>
      <c r="V91" s="1868"/>
      <c r="W91" s="1868"/>
      <c r="X91" s="1868"/>
      <c r="Y91" s="1868"/>
      <c r="Z91" s="134"/>
      <c r="AA91" s="1869">
        <f t="shared" si="4"/>
        <v>16</v>
      </c>
      <c r="AB91" s="1869"/>
      <c r="AC91" s="1869"/>
      <c r="AD91" s="1869"/>
      <c r="AE91" s="1869"/>
      <c r="AF91" s="1869"/>
      <c r="AG91" s="157"/>
      <c r="AH91" s="1868">
        <f>前年度貼付!$E$43</f>
        <v>1942</v>
      </c>
      <c r="AI91" s="1868"/>
      <c r="AJ91" s="1868"/>
      <c r="AK91" s="1868"/>
      <c r="AL91" s="1868"/>
      <c r="AM91" s="1868"/>
      <c r="AN91" s="134"/>
      <c r="AO91" s="1869">
        <f t="shared" si="5"/>
        <v>19</v>
      </c>
      <c r="AP91" s="1869"/>
      <c r="AQ91" s="1869"/>
      <c r="AR91" s="1869"/>
      <c r="AS91" s="1869"/>
      <c r="AT91" s="1869"/>
      <c r="AU91" s="158"/>
      <c r="AV91" s="1870">
        <f>ROUND(T91/V21,2)</f>
        <v>1.54</v>
      </c>
      <c r="AW91" s="1870"/>
      <c r="AX91" s="1870"/>
      <c r="AY91" s="1870"/>
      <c r="AZ91" s="1870"/>
      <c r="BA91" s="159"/>
    </row>
    <row r="92" spans="1:53" ht="24" customHeight="1">
      <c r="A92" s="108"/>
      <c r="B92" s="1873" t="s">
        <v>361</v>
      </c>
      <c r="C92" s="1873"/>
      <c r="D92" s="1873"/>
      <c r="E92" s="1873"/>
      <c r="F92" s="1873"/>
      <c r="G92" s="1873"/>
      <c r="H92" s="1873"/>
      <c r="I92" s="1873"/>
      <c r="J92" s="1873"/>
      <c r="K92" s="1873"/>
      <c r="L92" s="155"/>
      <c r="M92" s="1867">
        <v>0</v>
      </c>
      <c r="N92" s="1868"/>
      <c r="O92" s="1868"/>
      <c r="P92" s="1868"/>
      <c r="Q92" s="1868"/>
      <c r="R92" s="1868"/>
      <c r="S92" s="156"/>
      <c r="T92" s="1867">
        <v>0</v>
      </c>
      <c r="U92" s="1868"/>
      <c r="V92" s="1868"/>
      <c r="W92" s="1868"/>
      <c r="X92" s="1868"/>
      <c r="Y92" s="1868"/>
      <c r="Z92" s="134"/>
      <c r="AA92" s="1869">
        <f t="shared" si="4"/>
        <v>0</v>
      </c>
      <c r="AB92" s="1869"/>
      <c r="AC92" s="1869"/>
      <c r="AD92" s="1869"/>
      <c r="AE92" s="1869"/>
      <c r="AF92" s="1869"/>
      <c r="AG92" s="157"/>
      <c r="AH92" s="1868">
        <f>前年度貼付!$E$44</f>
        <v>0</v>
      </c>
      <c r="AI92" s="1868"/>
      <c r="AJ92" s="1868"/>
      <c r="AK92" s="1868"/>
      <c r="AL92" s="1868"/>
      <c r="AM92" s="1868"/>
      <c r="AN92" s="134"/>
      <c r="AO92" s="1869">
        <f t="shared" si="5"/>
        <v>0</v>
      </c>
      <c r="AP92" s="1869"/>
      <c r="AQ92" s="1869"/>
      <c r="AR92" s="1869"/>
      <c r="AS92" s="1869"/>
      <c r="AT92" s="1869"/>
      <c r="AU92" s="158"/>
      <c r="AV92" s="1870">
        <f>ROUND(T92/V22,2)</f>
        <v>0</v>
      </c>
      <c r="AW92" s="1870"/>
      <c r="AX92" s="1870"/>
      <c r="AY92" s="1870"/>
      <c r="AZ92" s="1870"/>
      <c r="BA92" s="159"/>
    </row>
    <row r="93" spans="1:53" ht="24" customHeight="1">
      <c r="A93" s="86"/>
      <c r="B93" s="1833" t="s">
        <v>394</v>
      </c>
      <c r="C93" s="1833"/>
      <c r="D93" s="1833"/>
      <c r="E93" s="1833"/>
      <c r="F93" s="1833"/>
      <c r="G93" s="1833"/>
      <c r="H93" s="1833"/>
      <c r="I93" s="1833"/>
      <c r="J93" s="1833"/>
      <c r="K93" s="1833"/>
      <c r="L93" s="87"/>
      <c r="M93" s="1874">
        <f>SUM(M88:R91)</f>
        <v>10797</v>
      </c>
      <c r="N93" s="1874"/>
      <c r="O93" s="1874"/>
      <c r="P93" s="1874"/>
      <c r="Q93" s="1874"/>
      <c r="R93" s="1874"/>
      <c r="S93" s="162"/>
      <c r="T93" s="1874">
        <f>SUM(T88:Y91)</f>
        <v>10550</v>
      </c>
      <c r="U93" s="1874"/>
      <c r="V93" s="1874"/>
      <c r="W93" s="1874"/>
      <c r="X93" s="1874"/>
      <c r="Y93" s="1874"/>
      <c r="Z93" s="162"/>
      <c r="AA93" s="1875">
        <f t="shared" si="4"/>
        <v>-247</v>
      </c>
      <c r="AB93" s="1875"/>
      <c r="AC93" s="1875"/>
      <c r="AD93" s="1875"/>
      <c r="AE93" s="1875"/>
      <c r="AF93" s="1875"/>
      <c r="AG93" s="162"/>
      <c r="AH93" s="1874">
        <f>SUM(AH88:AM91)</f>
        <v>10705</v>
      </c>
      <c r="AI93" s="1874"/>
      <c r="AJ93" s="1874"/>
      <c r="AK93" s="1874"/>
      <c r="AL93" s="1874"/>
      <c r="AM93" s="1874"/>
      <c r="AN93" s="162"/>
      <c r="AO93" s="1875">
        <f t="shared" si="5"/>
        <v>-155</v>
      </c>
      <c r="AP93" s="1875"/>
      <c r="AQ93" s="1875"/>
      <c r="AR93" s="1875"/>
      <c r="AS93" s="1875"/>
      <c r="AT93" s="1875"/>
      <c r="AU93" s="163"/>
      <c r="AV93" s="1876">
        <f>ROUND(T93/(V25-V23),2)</f>
        <v>0.56000000000000005</v>
      </c>
      <c r="AW93" s="1876"/>
      <c r="AX93" s="1876"/>
      <c r="AY93" s="1876"/>
      <c r="AZ93" s="1876"/>
      <c r="BA93" s="164"/>
    </row>
    <row r="94" spans="1:53" ht="24" customHeight="1">
      <c r="A94" s="108"/>
      <c r="B94" s="1866" t="s">
        <v>22</v>
      </c>
      <c r="C94" s="1866"/>
      <c r="D94" s="1866"/>
      <c r="E94" s="1866"/>
      <c r="F94" s="1866"/>
      <c r="G94" s="1866"/>
      <c r="H94" s="1866"/>
      <c r="I94" s="1866"/>
      <c r="J94" s="1866"/>
      <c r="K94" s="1866"/>
      <c r="L94" s="155"/>
      <c r="M94" s="1867">
        <v>163</v>
      </c>
      <c r="N94" s="1868"/>
      <c r="O94" s="1868"/>
      <c r="P94" s="1868"/>
      <c r="Q94" s="1868"/>
      <c r="R94" s="1868"/>
      <c r="S94" s="134"/>
      <c r="T94" s="1867">
        <v>133</v>
      </c>
      <c r="U94" s="1868"/>
      <c r="V94" s="1868"/>
      <c r="W94" s="1868"/>
      <c r="X94" s="1868"/>
      <c r="Y94" s="1868"/>
      <c r="Z94" s="134"/>
      <c r="AA94" s="1869">
        <f t="shared" si="4"/>
        <v>-30</v>
      </c>
      <c r="AB94" s="1869"/>
      <c r="AC94" s="1869"/>
      <c r="AD94" s="1869"/>
      <c r="AE94" s="1869"/>
      <c r="AF94" s="1869"/>
      <c r="AG94" s="157"/>
      <c r="AH94" s="1868">
        <f>前年度貼付!$E$45</f>
        <v>155</v>
      </c>
      <c r="AI94" s="1868"/>
      <c r="AJ94" s="1868"/>
      <c r="AK94" s="1868"/>
      <c r="AL94" s="1868"/>
      <c r="AM94" s="1868"/>
      <c r="AN94" s="134"/>
      <c r="AO94" s="1869">
        <f t="shared" si="5"/>
        <v>-22</v>
      </c>
      <c r="AP94" s="1869"/>
      <c r="AQ94" s="1869"/>
      <c r="AR94" s="1869"/>
      <c r="AS94" s="1869"/>
      <c r="AT94" s="1869"/>
      <c r="AU94" s="158"/>
      <c r="AV94" s="1870">
        <f>ROUND(T94/V26,2)</f>
        <v>0.41</v>
      </c>
      <c r="AW94" s="1870"/>
      <c r="AX94" s="1870"/>
      <c r="AY94" s="1870"/>
      <c r="AZ94" s="1870"/>
      <c r="BA94" s="159"/>
    </row>
    <row r="95" spans="1:53" ht="24" customHeight="1">
      <c r="A95" s="108"/>
      <c r="B95" s="1871" t="s">
        <v>395</v>
      </c>
      <c r="C95" s="1871"/>
      <c r="D95" s="1871"/>
      <c r="E95" s="1871"/>
      <c r="F95" s="1871"/>
      <c r="G95" s="1871"/>
      <c r="H95" s="1871"/>
      <c r="I95" s="1871"/>
      <c r="J95" s="1871"/>
      <c r="K95" s="1871"/>
      <c r="L95" s="155"/>
      <c r="M95" s="1872">
        <f>SUM(M93,M94)</f>
        <v>10960</v>
      </c>
      <c r="N95" s="1872"/>
      <c r="O95" s="1872"/>
      <c r="P95" s="1872"/>
      <c r="Q95" s="1872"/>
      <c r="R95" s="1872"/>
      <c r="S95" s="157"/>
      <c r="T95" s="1872">
        <f>SUM(T93,T94)</f>
        <v>10683</v>
      </c>
      <c r="U95" s="1872"/>
      <c r="V95" s="1872"/>
      <c r="W95" s="1872"/>
      <c r="X95" s="1872"/>
      <c r="Y95" s="1872"/>
      <c r="Z95" s="157"/>
      <c r="AA95" s="1869">
        <f t="shared" si="4"/>
        <v>-277</v>
      </c>
      <c r="AB95" s="1869"/>
      <c r="AC95" s="1869"/>
      <c r="AD95" s="1869"/>
      <c r="AE95" s="1869"/>
      <c r="AF95" s="1869"/>
      <c r="AG95" s="157"/>
      <c r="AH95" s="1872">
        <f>SUM(AH93,AH94)</f>
        <v>10860</v>
      </c>
      <c r="AI95" s="1872"/>
      <c r="AJ95" s="1872"/>
      <c r="AK95" s="1872"/>
      <c r="AL95" s="1872"/>
      <c r="AM95" s="1872"/>
      <c r="AN95" s="157"/>
      <c r="AO95" s="1869">
        <f t="shared" si="5"/>
        <v>-177</v>
      </c>
      <c r="AP95" s="1869"/>
      <c r="AQ95" s="1869"/>
      <c r="AR95" s="1869"/>
      <c r="AS95" s="1869"/>
      <c r="AT95" s="1869"/>
      <c r="AU95" s="158"/>
      <c r="AV95" s="1870">
        <f>ROUND(T95/(V27-V23),2)</f>
        <v>0.55000000000000004</v>
      </c>
      <c r="AW95" s="1870"/>
      <c r="AX95" s="1870"/>
      <c r="AY95" s="1870"/>
      <c r="AZ95" s="1870"/>
      <c r="BA95" s="159"/>
    </row>
    <row r="97" spans="59:65" ht="20.100000000000001" customHeight="1"/>
    <row r="98" spans="59:65" ht="17.100000000000001" customHeight="1"/>
    <row r="99" spans="59:65" ht="20.100000000000001" customHeight="1"/>
    <row r="100" spans="59:65" ht="20.100000000000001" customHeight="1"/>
    <row r="101" spans="59:65" ht="20.100000000000001" customHeight="1"/>
    <row r="102" spans="59:65" ht="20.100000000000001" customHeight="1"/>
    <row r="103" spans="59:65" ht="20.100000000000001" customHeight="1"/>
    <row r="104" spans="59:65" ht="20.100000000000001" customHeight="1"/>
    <row r="105" spans="59:65" ht="20.100000000000001" customHeight="1"/>
    <row r="106" spans="59:65" ht="20.100000000000001" customHeight="1"/>
    <row r="107" spans="59:65" ht="20.100000000000001" customHeight="1"/>
    <row r="108" spans="59:65" ht="20.100000000000001" customHeight="1"/>
    <row r="109" spans="59:65" ht="18" customHeight="1"/>
    <row r="110" spans="59:65" ht="20.100000000000001" customHeight="1"/>
    <row r="111" spans="59:65" ht="17.100000000000001" customHeight="1">
      <c r="BG111" s="165"/>
      <c r="BH111" s="165"/>
      <c r="BI111" s="165"/>
      <c r="BJ111" s="165"/>
      <c r="BK111" s="165"/>
      <c r="BL111" s="165"/>
      <c r="BM111" s="151"/>
    </row>
    <row r="112" spans="59:65" ht="20.100000000000001" customHeight="1"/>
    <row r="113" ht="20.100000000000001" customHeight="1"/>
    <row r="114" ht="20.100000000000001" customHeight="1"/>
    <row r="115" ht="20.100000000000001" customHeight="1"/>
    <row r="116" ht="20.100000000000001" customHeight="1"/>
    <row r="117" ht="20.100000000000001" customHeight="1"/>
    <row r="118" ht="20.100000000000001" customHeight="1"/>
    <row r="119" ht="20.100000000000001" customHeight="1"/>
    <row r="120" ht="20.100000000000001" customHeight="1"/>
    <row r="121" ht="18" customHeight="1"/>
    <row r="122" ht="20.100000000000001" customHeight="1"/>
    <row r="123" ht="17.100000000000001" customHeight="1"/>
    <row r="124" ht="20.100000000000001" customHeight="1"/>
    <row r="125" ht="20.100000000000001" customHeight="1"/>
    <row r="126" ht="20.100000000000001" customHeight="1"/>
    <row r="127" ht="20.100000000000001" customHeight="1"/>
    <row r="128" ht="20.100000000000001" customHeight="1"/>
    <row r="129" ht="20.100000000000001" customHeight="1"/>
    <row r="130" ht="20.100000000000001" customHeight="1"/>
    <row r="131" ht="20.100000000000001" customHeight="1"/>
    <row r="132" ht="18" customHeight="1"/>
    <row r="133" ht="20.100000000000001" customHeight="1"/>
    <row r="134" ht="17.100000000000001" customHeight="1"/>
    <row r="135" ht="20.100000000000001" customHeight="1"/>
    <row r="136" ht="20.100000000000001" customHeight="1"/>
    <row r="137" ht="20.100000000000001" customHeight="1"/>
    <row r="138" ht="20.100000000000001" customHeight="1"/>
    <row r="139" ht="20.100000000000001" customHeight="1"/>
    <row r="140" ht="20.100000000000001" customHeight="1"/>
    <row r="141" ht="20.100000000000001" customHeight="1"/>
  </sheetData>
  <sheetProtection formatCells="0" formatColumns="0" formatRows="0" insertColumns="0" insertRows="0" insertHyperlinks="0" deleteColumns="0" deleteRows="0" selectLockedCells="1"/>
  <mergeCells count="408">
    <mergeCell ref="A2:BA2"/>
    <mergeCell ref="AJ4:BA4"/>
    <mergeCell ref="A6:P6"/>
    <mergeCell ref="A7:BA7"/>
    <mergeCell ref="A8:L8"/>
    <mergeCell ref="M8:T9"/>
    <mergeCell ref="U8:AB9"/>
    <mergeCell ref="A9:L9"/>
    <mergeCell ref="A10:L10"/>
    <mergeCell ref="M10:T10"/>
    <mergeCell ref="U10:AB10"/>
    <mergeCell ref="A12:BA12"/>
    <mergeCell ref="A13:M13"/>
    <mergeCell ref="AR14:BA14"/>
    <mergeCell ref="A15:M15"/>
    <mergeCell ref="N15:U16"/>
    <mergeCell ref="V15:AC16"/>
    <mergeCell ref="AD15:AK16"/>
    <mergeCell ref="AL15:BA15"/>
    <mergeCell ref="A16:M16"/>
    <mergeCell ref="AL16:AS16"/>
    <mergeCell ref="AT16:BA16"/>
    <mergeCell ref="B17:L18"/>
    <mergeCell ref="N17:T17"/>
    <mergeCell ref="V17:AB17"/>
    <mergeCell ref="AD17:AJ17"/>
    <mergeCell ref="AL17:AR17"/>
    <mergeCell ref="AT17:AZ17"/>
    <mergeCell ref="Q18:T18"/>
    <mergeCell ref="Y18:AB18"/>
    <mergeCell ref="AG18:AJ18"/>
    <mergeCell ref="AO18:AR18"/>
    <mergeCell ref="AW18:AZ18"/>
    <mergeCell ref="B19:L19"/>
    <mergeCell ref="N19:T19"/>
    <mergeCell ref="V19:AB19"/>
    <mergeCell ref="AD19:AJ19"/>
    <mergeCell ref="AL19:AR19"/>
    <mergeCell ref="AT19:AZ19"/>
    <mergeCell ref="B20:L20"/>
    <mergeCell ref="N20:T20"/>
    <mergeCell ref="V20:AB20"/>
    <mergeCell ref="AD20:AJ20"/>
    <mergeCell ref="AL20:AR20"/>
    <mergeCell ref="AT20:AZ20"/>
    <mergeCell ref="B21:L21"/>
    <mergeCell ref="N21:T21"/>
    <mergeCell ref="V21:AB21"/>
    <mergeCell ref="AD21:AJ21"/>
    <mergeCell ref="AL21:AR21"/>
    <mergeCell ref="AT21:AZ21"/>
    <mergeCell ref="B22:L22"/>
    <mergeCell ref="N22:T22"/>
    <mergeCell ref="V22:AB22"/>
    <mergeCell ref="AD22:AJ22"/>
    <mergeCell ref="AL22:AR22"/>
    <mergeCell ref="AT22:AZ22"/>
    <mergeCell ref="B23:L24"/>
    <mergeCell ref="N23:T23"/>
    <mergeCell ref="V23:AB23"/>
    <mergeCell ref="AD23:AJ23"/>
    <mergeCell ref="AL23:AR23"/>
    <mergeCell ref="AT23:AZ23"/>
    <mergeCell ref="Q24:T24"/>
    <mergeCell ref="Y24:AB24"/>
    <mergeCell ref="AG24:AJ24"/>
    <mergeCell ref="AO24:AR24"/>
    <mergeCell ref="AW24:AZ24"/>
    <mergeCell ref="B25:L25"/>
    <mergeCell ref="N25:T25"/>
    <mergeCell ref="V25:AB25"/>
    <mergeCell ref="AD25:AJ25"/>
    <mergeCell ref="AL25:AR25"/>
    <mergeCell ref="AT25:AZ25"/>
    <mergeCell ref="B26:L26"/>
    <mergeCell ref="N26:T26"/>
    <mergeCell ref="V26:AB26"/>
    <mergeCell ref="AD26:AJ26"/>
    <mergeCell ref="AL26:AR26"/>
    <mergeCell ref="AT26:AZ26"/>
    <mergeCell ref="B27:L27"/>
    <mergeCell ref="N27:T27"/>
    <mergeCell ref="V27:AB27"/>
    <mergeCell ref="AD27:AJ27"/>
    <mergeCell ref="AL27:AR27"/>
    <mergeCell ref="AT27:AZ27"/>
    <mergeCell ref="B28:L28"/>
    <mergeCell ref="N28:T28"/>
    <mergeCell ref="V28:AB28"/>
    <mergeCell ref="AD28:AJ28"/>
    <mergeCell ref="AL28:AR28"/>
    <mergeCell ref="AT28:AZ28"/>
    <mergeCell ref="A33:V33"/>
    <mergeCell ref="AR34:BA34"/>
    <mergeCell ref="A35:L35"/>
    <mergeCell ref="M35:S36"/>
    <mergeCell ref="T35:Z36"/>
    <mergeCell ref="AA35:AE36"/>
    <mergeCell ref="AF35:AM36"/>
    <mergeCell ref="AN35:BA35"/>
    <mergeCell ref="A36:L36"/>
    <mergeCell ref="AN36:AT36"/>
    <mergeCell ref="AU36:BA36"/>
    <mergeCell ref="AU38:BA38"/>
    <mergeCell ref="J39:L40"/>
    <mergeCell ref="M39:S39"/>
    <mergeCell ref="T39:Z39"/>
    <mergeCell ref="AA39:AE39"/>
    <mergeCell ref="AF39:AM39"/>
    <mergeCell ref="AN39:AT39"/>
    <mergeCell ref="AU39:BA39"/>
    <mergeCell ref="M40:S40"/>
    <mergeCell ref="T40:Z40"/>
    <mergeCell ref="AA40:AE40"/>
    <mergeCell ref="AF40:AM40"/>
    <mergeCell ref="AN40:AT40"/>
    <mergeCell ref="AU40:BA40"/>
    <mergeCell ref="B41:H41"/>
    <mergeCell ref="J41:L41"/>
    <mergeCell ref="M41:S41"/>
    <mergeCell ref="T41:Z41"/>
    <mergeCell ref="AA41:AE41"/>
    <mergeCell ref="AF41:AM41"/>
    <mergeCell ref="AN41:AT41"/>
    <mergeCell ref="AU41:BA41"/>
    <mergeCell ref="B37:H40"/>
    <mergeCell ref="J37:L38"/>
    <mergeCell ref="M37:S37"/>
    <mergeCell ref="T37:Z37"/>
    <mergeCell ref="AA37:AE37"/>
    <mergeCell ref="AF37:AM37"/>
    <mergeCell ref="AN37:AT37"/>
    <mergeCell ref="AU37:BA37"/>
    <mergeCell ref="M38:S38"/>
    <mergeCell ref="T38:Z38"/>
    <mergeCell ref="AA38:AE38"/>
    <mergeCell ref="AF38:AM38"/>
    <mergeCell ref="AN38:AT38"/>
    <mergeCell ref="B42:H43"/>
    <mergeCell ref="J42:L42"/>
    <mergeCell ref="M42:S42"/>
    <mergeCell ref="T42:Z42"/>
    <mergeCell ref="AA42:AE42"/>
    <mergeCell ref="AF42:AM42"/>
    <mergeCell ref="AN42:AT42"/>
    <mergeCell ref="AU42:BA42"/>
    <mergeCell ref="J43:L43"/>
    <mergeCell ref="M43:S43"/>
    <mergeCell ref="T43:Z43"/>
    <mergeCell ref="AA43:AE43"/>
    <mergeCell ref="AF43:AM43"/>
    <mergeCell ref="AN43:AT43"/>
    <mergeCell ref="AU43:BA43"/>
    <mergeCell ref="B44:H45"/>
    <mergeCell ref="J44:L44"/>
    <mergeCell ref="M44:S44"/>
    <mergeCell ref="T44:Z44"/>
    <mergeCell ref="AA44:AE44"/>
    <mergeCell ref="AF44:AM44"/>
    <mergeCell ref="AN44:AT44"/>
    <mergeCell ref="AU44:BA44"/>
    <mergeCell ref="J45:L45"/>
    <mergeCell ref="M45:S45"/>
    <mergeCell ref="T45:Z45"/>
    <mergeCell ref="AA45:AE45"/>
    <mergeCell ref="AF45:AM45"/>
    <mergeCell ref="AN45:AT45"/>
    <mergeCell ref="AU45:BA45"/>
    <mergeCell ref="B46:H46"/>
    <mergeCell ref="J46:L46"/>
    <mergeCell ref="M46:S46"/>
    <mergeCell ref="T46:Z46"/>
    <mergeCell ref="AA46:AE46"/>
    <mergeCell ref="AF46:AM46"/>
    <mergeCell ref="AN46:AT46"/>
    <mergeCell ref="AU46:BA46"/>
    <mergeCell ref="B47:H48"/>
    <mergeCell ref="J47:L48"/>
    <mergeCell ref="M47:S47"/>
    <mergeCell ref="T47:Z47"/>
    <mergeCell ref="AA47:AE47"/>
    <mergeCell ref="AF47:AM47"/>
    <mergeCell ref="AN47:AT47"/>
    <mergeCell ref="AU47:BA47"/>
    <mergeCell ref="M48:S48"/>
    <mergeCell ref="T48:Z48"/>
    <mergeCell ref="AA48:AE48"/>
    <mergeCell ref="AF48:AM48"/>
    <mergeCell ref="AN48:AT48"/>
    <mergeCell ref="AU48:BA48"/>
    <mergeCell ref="A49:I50"/>
    <mergeCell ref="J49:L49"/>
    <mergeCell ref="M49:S49"/>
    <mergeCell ref="T49:Z49"/>
    <mergeCell ref="AA49:AE49"/>
    <mergeCell ref="AF49:AM49"/>
    <mergeCell ref="AN49:AT49"/>
    <mergeCell ref="AU49:BA49"/>
    <mergeCell ref="J50:L50"/>
    <mergeCell ref="M50:S50"/>
    <mergeCell ref="T50:Z50"/>
    <mergeCell ref="AA50:AE50"/>
    <mergeCell ref="AF50:AM50"/>
    <mergeCell ref="AN50:AT50"/>
    <mergeCell ref="AU50:BA50"/>
    <mergeCell ref="B51:H51"/>
    <mergeCell ref="J51:L51"/>
    <mergeCell ref="M51:S51"/>
    <mergeCell ref="T51:Z51"/>
    <mergeCell ref="AA51:AE51"/>
    <mergeCell ref="AF51:AM51"/>
    <mergeCell ref="AN51:AT51"/>
    <mergeCell ref="AU51:BA51"/>
    <mergeCell ref="A52:I53"/>
    <mergeCell ref="J52:L52"/>
    <mergeCell ref="M52:S52"/>
    <mergeCell ref="T52:Z52"/>
    <mergeCell ref="AA52:AE52"/>
    <mergeCell ref="AF52:AM52"/>
    <mergeCell ref="AN52:AT52"/>
    <mergeCell ref="AU52:BA52"/>
    <mergeCell ref="J53:L53"/>
    <mergeCell ref="M53:S53"/>
    <mergeCell ref="T53:Z53"/>
    <mergeCell ref="AA53:AE53"/>
    <mergeCell ref="AF53:AM53"/>
    <mergeCell ref="AN53:AT53"/>
    <mergeCell ref="AU53:BA53"/>
    <mergeCell ref="B54:H54"/>
    <mergeCell ref="J54:L54"/>
    <mergeCell ref="M54:S54"/>
    <mergeCell ref="T54:Z54"/>
    <mergeCell ref="AA54:AE54"/>
    <mergeCell ref="AF54:AM54"/>
    <mergeCell ref="AN54:AT54"/>
    <mergeCell ref="AU54:BA54"/>
    <mergeCell ref="A61:AB61"/>
    <mergeCell ref="AR62:BA62"/>
    <mergeCell ref="A63:L63"/>
    <mergeCell ref="M63:T64"/>
    <mergeCell ref="U63:AB64"/>
    <mergeCell ref="AC63:AK64"/>
    <mergeCell ref="AL63:BA63"/>
    <mergeCell ref="A64:L64"/>
    <mergeCell ref="AL64:AS64"/>
    <mergeCell ref="AT64:BA64"/>
    <mergeCell ref="B65:H68"/>
    <mergeCell ref="J65:L66"/>
    <mergeCell ref="M65:T65"/>
    <mergeCell ref="U65:AB65"/>
    <mergeCell ref="AC65:AK65"/>
    <mergeCell ref="AL65:AS65"/>
    <mergeCell ref="AT65:BA65"/>
    <mergeCell ref="M66:T66"/>
    <mergeCell ref="U66:AB66"/>
    <mergeCell ref="AC66:AK66"/>
    <mergeCell ref="AL66:AS66"/>
    <mergeCell ref="AT66:BA66"/>
    <mergeCell ref="J67:L68"/>
    <mergeCell ref="M67:T67"/>
    <mergeCell ref="U67:AB67"/>
    <mergeCell ref="AC67:AK67"/>
    <mergeCell ref="AL67:AS67"/>
    <mergeCell ref="AT67:BA67"/>
    <mergeCell ref="M68:T68"/>
    <mergeCell ref="U68:AB68"/>
    <mergeCell ref="AC68:AK68"/>
    <mergeCell ref="AL68:AS68"/>
    <mergeCell ref="AT68:BA68"/>
    <mergeCell ref="B69:H69"/>
    <mergeCell ref="J69:L69"/>
    <mergeCell ref="M69:T69"/>
    <mergeCell ref="U69:AB69"/>
    <mergeCell ref="AC69:AK69"/>
    <mergeCell ref="AL69:AS69"/>
    <mergeCell ref="AT69:BA69"/>
    <mergeCell ref="B70:H71"/>
    <mergeCell ref="J70:L70"/>
    <mergeCell ref="M70:T70"/>
    <mergeCell ref="U70:AB70"/>
    <mergeCell ref="AC70:AK70"/>
    <mergeCell ref="AL70:AS70"/>
    <mergeCell ref="AT70:BA70"/>
    <mergeCell ref="J71:L71"/>
    <mergeCell ref="M71:T71"/>
    <mergeCell ref="U71:AB71"/>
    <mergeCell ref="AC71:AK71"/>
    <mergeCell ref="AL71:AS71"/>
    <mergeCell ref="AT71:BA71"/>
    <mergeCell ref="B72:H73"/>
    <mergeCell ref="J72:L72"/>
    <mergeCell ref="M72:T72"/>
    <mergeCell ref="U72:AB72"/>
    <mergeCell ref="AC72:AK72"/>
    <mergeCell ref="AL72:AS72"/>
    <mergeCell ref="AT72:BA72"/>
    <mergeCell ref="J73:L73"/>
    <mergeCell ref="M73:T73"/>
    <mergeCell ref="U73:AB73"/>
    <mergeCell ref="AC73:AK73"/>
    <mergeCell ref="AL73:AS73"/>
    <mergeCell ref="AT73:BA73"/>
    <mergeCell ref="B74:H74"/>
    <mergeCell ref="J74:L74"/>
    <mergeCell ref="M74:T74"/>
    <mergeCell ref="U74:AB74"/>
    <mergeCell ref="AC74:AK74"/>
    <mergeCell ref="AL74:AS74"/>
    <mergeCell ref="AT74:BA74"/>
    <mergeCell ref="B75:H76"/>
    <mergeCell ref="J75:L76"/>
    <mergeCell ref="M75:T75"/>
    <mergeCell ref="U75:AB75"/>
    <mergeCell ref="AC75:AK75"/>
    <mergeCell ref="AL75:AS75"/>
    <mergeCell ref="AT75:BA75"/>
    <mergeCell ref="M76:T76"/>
    <mergeCell ref="U76:AB76"/>
    <mergeCell ref="AC76:AK76"/>
    <mergeCell ref="AL76:AS76"/>
    <mergeCell ref="AT76:BA76"/>
    <mergeCell ref="A77:I78"/>
    <mergeCell ref="J77:L77"/>
    <mergeCell ref="M77:T77"/>
    <mergeCell ref="U77:AB77"/>
    <mergeCell ref="AC77:AK77"/>
    <mergeCell ref="AL77:AS77"/>
    <mergeCell ref="AT77:BA77"/>
    <mergeCell ref="J78:L78"/>
    <mergeCell ref="M78:T78"/>
    <mergeCell ref="U78:AB78"/>
    <mergeCell ref="AC78:AK78"/>
    <mergeCell ref="AL78:AS78"/>
    <mergeCell ref="AT78:BA78"/>
    <mergeCell ref="B79:H79"/>
    <mergeCell ref="J79:L79"/>
    <mergeCell ref="M79:T79"/>
    <mergeCell ref="U79:AB79"/>
    <mergeCell ref="AC79:AK79"/>
    <mergeCell ref="AL79:AS79"/>
    <mergeCell ref="AT79:BA79"/>
    <mergeCell ref="A84:N84"/>
    <mergeCell ref="AR85:BA85"/>
    <mergeCell ref="A86:L86"/>
    <mergeCell ref="M86:S87"/>
    <mergeCell ref="T86:Z87"/>
    <mergeCell ref="AA86:AG87"/>
    <mergeCell ref="AH86:AU86"/>
    <mergeCell ref="AV86:BA87"/>
    <mergeCell ref="A87:L87"/>
    <mergeCell ref="AH87:AN87"/>
    <mergeCell ref="AO87:AU87"/>
    <mergeCell ref="B88:K88"/>
    <mergeCell ref="M88:R88"/>
    <mergeCell ref="T88:Y88"/>
    <mergeCell ref="AA88:AF88"/>
    <mergeCell ref="AH88:AM88"/>
    <mergeCell ref="AO88:AT88"/>
    <mergeCell ref="AV88:AZ88"/>
    <mergeCell ref="B89:K89"/>
    <mergeCell ref="M89:R89"/>
    <mergeCell ref="T89:Y89"/>
    <mergeCell ref="AA89:AF89"/>
    <mergeCell ref="AH89:AM89"/>
    <mergeCell ref="AO89:AT89"/>
    <mergeCell ref="AV89:AZ89"/>
    <mergeCell ref="B90:K90"/>
    <mergeCell ref="M90:R90"/>
    <mergeCell ref="T90:Y90"/>
    <mergeCell ref="AA90:AF90"/>
    <mergeCell ref="AH90:AM90"/>
    <mergeCell ref="AO90:AT90"/>
    <mergeCell ref="AV90:AZ90"/>
    <mergeCell ref="B91:K91"/>
    <mergeCell ref="M91:R91"/>
    <mergeCell ref="T91:Y91"/>
    <mergeCell ref="AA91:AF91"/>
    <mergeCell ref="AH91:AM91"/>
    <mergeCell ref="AO91:AT91"/>
    <mergeCell ref="AV91:AZ91"/>
    <mergeCell ref="B92:K92"/>
    <mergeCell ref="M92:R92"/>
    <mergeCell ref="T92:Y92"/>
    <mergeCell ref="AA92:AF92"/>
    <mergeCell ref="AH92:AM92"/>
    <mergeCell ref="AO92:AT92"/>
    <mergeCell ref="AV92:AZ92"/>
    <mergeCell ref="B93:K93"/>
    <mergeCell ref="M93:R93"/>
    <mergeCell ref="T93:Y93"/>
    <mergeCell ref="AA93:AF93"/>
    <mergeCell ref="AH93:AM93"/>
    <mergeCell ref="AO93:AT93"/>
    <mergeCell ref="AV93:AZ93"/>
    <mergeCell ref="B94:K94"/>
    <mergeCell ref="M94:R94"/>
    <mergeCell ref="T94:Y94"/>
    <mergeCell ref="AA94:AF94"/>
    <mergeCell ref="AH94:AM94"/>
    <mergeCell ref="AO94:AT94"/>
    <mergeCell ref="AV94:AZ94"/>
    <mergeCell ref="B95:K95"/>
    <mergeCell ref="M95:R95"/>
    <mergeCell ref="T95:Y95"/>
    <mergeCell ref="AA95:AF95"/>
    <mergeCell ref="AH95:AM95"/>
    <mergeCell ref="AO95:AT95"/>
    <mergeCell ref="AV95:AZ95"/>
  </mergeCells>
  <phoneticPr fontId="155"/>
  <conditionalFormatting sqref="M10 M37 M38 M39 M40 M41 M42 M43 M44 M45 M46 M47 M51 M65 M66 M67 M68 M69 M70 M71 M72 M73 M74 M75 M88 M89 M90 M91 M92 M94 N17 N19 N20 N21 N22 N23 N26 Q18 Q24 T37 T38 T39 T40 T41 T42 T43 T44 T45 T46 T47 T51 T88 T89 T90 T91 T92 T94 U65 U66 U67 U68 U69 U70 U71 U72 U73 U74 U75 V17 V19 V20 V21 V22 V23 V26 Y18 Y24">
    <cfRule type="expression" dxfId="6" priority="1">
      <formula>AND(入力色表示=1,NOT(_xlfn.ISFORMULA(M10)))</formula>
    </cfRule>
  </conditionalFormatting>
  <dataValidations count="77">
    <dataValidation allowBlank="1" showInputMessage="1" promptTitle="手入力セル" prompt="反映先：報告_総括P3-5 U10&#10;他の帳票：なし" sqref="M10"/>
    <dataValidation allowBlank="1" showInputMessage="1" promptTitle="手入力セル" prompt="反映先：報告_総括P3-5 M49,AF37&#10;他の帳票：なし" sqref="M37"/>
    <dataValidation allowBlank="1" showInputMessage="1" promptTitle="手入力セル" prompt="反映先：報告_総括P3-5 AF38&#10;他の帳票：なし" sqref="M38"/>
    <dataValidation allowBlank="1" showInputMessage="1" promptTitle="手入力セル" prompt="反映先：報告_総括P3-5 M50,AF39&#10;他の帳票：なし" sqref="M39"/>
    <dataValidation allowBlank="1" showInputMessage="1" promptTitle="手入力セル" prompt="反映先：報告_総括P3-5 AF40&#10;他の帳票：なし" sqref="M40"/>
    <dataValidation allowBlank="1" showInputMessage="1" promptTitle="手入力セル" prompt="反映先：報告_総括P3-5 M50,AF41&#10;他の帳票：なし" sqref="M41"/>
    <dataValidation allowBlank="1" showInputMessage="1" promptTitle="手入力セル" prompt="反映先：報告_総括P3-5 M49,AF42&#10;他の帳票：なし" sqref="M42"/>
    <dataValidation allowBlank="1" showInputMessage="1" promptTitle="手入力セル" prompt="反映先：報告_総括P3-5 M50,AF43&#10;他の帳票：なし" sqref="M43"/>
    <dataValidation allowBlank="1" showInputMessage="1" promptTitle="手入力セル" prompt="反映先：報告_総括P3-5 M49,AF44&#10;他の帳票：なし" sqref="M44"/>
    <dataValidation allowBlank="1" showInputMessage="1" promptTitle="手入力セル" prompt="反映先：報告_総括P3-5 M50,AF45&#10;他の帳票：なし" sqref="M45"/>
    <dataValidation allowBlank="1" showInputMessage="1" promptTitle="手入力セル" prompt="反映先：報告_総括P3-5 M50,AF46&#10;他の帳票：なし" sqref="M46"/>
    <dataValidation allowBlank="1" showInputMessage="1" promptTitle="手入力セル" prompt="反映先：報告_総括P3-5 M48,M49,AF47&#10;他の帳票：なし" sqref="M47"/>
    <dataValidation allowBlank="1" showInputMessage="1" promptTitle="手入力セル" prompt="反映先：報告_総括P3-5 M53,AF51&#10;他の帳票：なし" sqref="M51"/>
    <dataValidation allowBlank="1" showInputMessage="1" promptTitle="手入力セル" prompt="反映先：報告_総括P3-5 M77,AC65&#10;他の帳票：なし" sqref="M65"/>
    <dataValidation allowBlank="1" showInputMessage="1" promptTitle="手入力セル" prompt="反映先：報告_総括P3-5 AC66&#10;他の帳票：なし" sqref="M66"/>
    <dataValidation allowBlank="1" showInputMessage="1" promptTitle="手入力セル" prompt="反映先：報告_総括P3-5 M78,AC67&#10;他の帳票：なし" sqref="M67"/>
    <dataValidation allowBlank="1" showInputMessage="1" promptTitle="手入力セル" prompt="反映先：報告_総括P3-5 AC68&#10;他の帳票：なし" sqref="M68"/>
    <dataValidation allowBlank="1" showInputMessage="1" promptTitle="手入力セル" prompt="反映先：報告_総括P3-5 M78,AC69&#10;他の帳票：なし" sqref="M69"/>
    <dataValidation allowBlank="1" showInputMessage="1" promptTitle="手入力セル" prompt="反映先：報告_総括P3-5 M77,AC70&#10;他の帳票：なし" sqref="M70"/>
    <dataValidation allowBlank="1" showInputMessage="1" promptTitle="手入力セル" prompt="反映先：報告_総括P3-5 M78,AC71&#10;他の帳票：なし" sqref="M71"/>
    <dataValidation allowBlank="1" showInputMessage="1" promptTitle="手入力セル" prompt="反映先：報告_総括P3-5 M77,AC72&#10;他の帳票：なし" sqref="M72"/>
    <dataValidation allowBlank="1" showInputMessage="1" promptTitle="手入力セル" prompt="反映先：報告_総括P3-5 M78,AC73&#10;他の帳票：なし" sqref="M73"/>
    <dataValidation allowBlank="1" showInputMessage="1" promptTitle="手入力セル" prompt="反映先：報告_総括P3-5 M78,AC74&#10;他の帳票：なし" sqref="M74"/>
    <dataValidation allowBlank="1" showInputMessage="1" promptTitle="手入力セル" prompt="反映先：報告_総括P3-5 M76,M77,AC75&#10;他の帳票：なし" sqref="M75"/>
    <dataValidation allowBlank="1" showInputMessage="1" promptTitle="手入力セル" prompt="反映先：報告_総括P3-5 M93,AA88&#10;他の帳票：なし" sqref="M88"/>
    <dataValidation allowBlank="1" showInputMessage="1" promptTitle="手入力セル" prompt="反映先：報告_総括P3-5 M93,AA89&#10;他の帳票：なし" sqref="M89"/>
    <dataValidation allowBlank="1" showInputMessage="1" promptTitle="手入力セル" prompt="反映先：報告_総括P3-5 M93,AA90&#10;他の帳票：なし" sqref="M90"/>
    <dataValidation allowBlank="1" showInputMessage="1" promptTitle="手入力セル" prompt="反映先：報告_総括P3-5 M93,AA91&#10;他の帳票：なし" sqref="M91"/>
    <dataValidation allowBlank="1" showInputMessage="1" promptTitle="手入力セル" prompt="反映先：報告_総括P3-5 AA92&#10;他の帳票：なし" sqref="M92"/>
    <dataValidation allowBlank="1" showInputMessage="1" promptTitle="手入力セル" prompt="反映先：報告_総括P3-5 M95,AA94&#10;他の帳票：なし" sqref="M94"/>
    <dataValidation allowBlank="1" showInputMessage="1" promptTitle="手入力セル" prompt="反映先：報告_総括P3-5 N25,AD17&#10;他の帳票：なし" sqref="N17"/>
    <dataValidation allowBlank="1" showInputMessage="1" promptTitle="手入力セル" prompt="反映先：報告_総括P3-5 N25,N28,AD19&#10;他の帳票：なし" sqref="N19"/>
    <dataValidation allowBlank="1" showInputMessage="1" promptTitle="手入力セル" prompt="反映先：報告_総括P3-5 N25,AD20&#10;他の帳票：なし" sqref="N20"/>
    <dataValidation allowBlank="1" showInputMessage="1" promptTitle="手入力セル" prompt="反映先：報告_総括P3-5 N25,AD21&#10;他の帳票：なし" sqref="N21"/>
    <dataValidation allowBlank="1" showInputMessage="1" promptTitle="手入力セル" prompt="反映先：報告_総括P3-5 N25,N28,AD22&#10;他の帳票：なし" sqref="N22"/>
    <dataValidation allowBlank="1" showInputMessage="1" promptTitle="手入力セル" prompt="反映先：報告_総括P3-5 N25,AD23&#10;他の帳票：なし" sqref="N23"/>
    <dataValidation allowBlank="1" showInputMessage="1" promptTitle="手入力セル" prompt="反映先：報告_総括P3-5 N27,AD26&#10;他の帳票：なし" sqref="N26"/>
    <dataValidation allowBlank="1" showInputMessage="1" promptTitle="手入力セル" prompt="反映先：報告_総括P3-5 AG18&#10;他の帳票：なし" sqref="Q18"/>
    <dataValidation allowBlank="1" showInputMessage="1" promptTitle="手入力セル" prompt="反映先：報告_総括P3-5 AG24&#10;他の帳票：なし" sqref="Q24"/>
    <dataValidation allowBlank="1" showInputMessage="1" promptTitle="手入力セル" prompt="反映先：報告_総括P3-5 T49,AA37,AF37…&#10;他の帳票：なし" sqref="T37"/>
    <dataValidation allowBlank="1" showInputMessage="1" promptTitle="手入力セル" prompt="反映先：報告_総括P3-5 AA38,AF38,AU38&#10;他の帳票：なし" sqref="T38"/>
    <dataValidation allowBlank="1" showInputMessage="1" promptTitle="手入力セル" prompt="反映先：報告_総括P3-5 T50,AA39,AF39…&#10;他の帳票：なし" sqref="T39"/>
    <dataValidation allowBlank="1" showInputMessage="1" promptTitle="手入力セル" prompt="反映先：報告_総括P3-5 AA40,AF40,AU40&#10;他の帳票：なし" sqref="T40"/>
    <dataValidation allowBlank="1" showInputMessage="1" promptTitle="手入力セル" prompt="反映先：報告_総括P3-5 T50,AA41,AF41…&#10;他の帳票：なし" sqref="T41"/>
    <dataValidation allowBlank="1" showInputMessage="1" promptTitle="手入力セル" prompt="反映先：報告_総括P3-5 T49,AA42,AF42…&#10;他の帳票：なし" sqref="T42"/>
    <dataValidation allowBlank="1" showInputMessage="1" promptTitle="手入力セル" prompt="反映先：報告_総括P3-5 T50,AA43,AF43…&#10;他の帳票：なし" sqref="T43"/>
    <dataValidation allowBlank="1" showInputMessage="1" promptTitle="手入力セル" prompt="反映先：報告_総括P3-5 T49,AA44,AF44…&#10;他の帳票：なし" sqref="T44"/>
    <dataValidation allowBlank="1" showInputMessage="1" promptTitle="手入力セル" prompt="反映先：報告_総括P3-5 T50,AA45,AF45…&#10;他の帳票：なし" sqref="T45"/>
    <dataValidation allowBlank="1" showInputMessage="1" promptTitle="手入力セル" prompt="反映先：報告_総括P3-5 T50,AA46,AF46…&#10;他の帳票：なし" sqref="T46"/>
    <dataValidation allowBlank="1" showInputMessage="1" promptTitle="手入力セル" prompt="反映先：報告_総括P3-5 T48,T49,AA47…&#10;他の帳票：なし" sqref="T47"/>
    <dataValidation allowBlank="1" showInputMessage="1" promptTitle="手入力セル" prompt="反映先：報告_総括P3-5 T53,AA51,AF51…&#10;他の帳票：なし" sqref="T51"/>
    <dataValidation allowBlank="1" showInputMessage="1" promptTitle="手入力セル" prompt="反映先：報告_総括P3-5 T93,AA88,AO88…&#10;他の帳票：なし" sqref="T88"/>
    <dataValidation allowBlank="1" showInputMessage="1" promptTitle="手入力セル" prompt="反映先：報告_総括P3-5 T93,AA89,AO89…&#10;他の帳票：なし" sqref="T89"/>
    <dataValidation allowBlank="1" showInputMessage="1" promptTitle="手入力セル" prompt="反映先：報告_総括P3-5 T93,AA90,AO90…&#10;他の帳票：なし" sqref="T90"/>
    <dataValidation allowBlank="1" showInputMessage="1" promptTitle="手入力セル" prompt="反映先：報告_総括P3-5 T93,AA91,AO91…&#10;他の帳票：なし" sqref="T91"/>
    <dataValidation allowBlank="1" showInputMessage="1" promptTitle="手入力セル" prompt="反映先：報告_総括P3-5 AA92,AO92,AV92&#10;他の帳票：なし" sqref="T92"/>
    <dataValidation allowBlank="1" showInputMessage="1" promptTitle="手入力セル" prompt="反映先：報告_総括P3-5 T95,AA94,AO94…&#10;他の帳票：なし" sqref="T94"/>
    <dataValidation allowBlank="1" showInputMessage="1" promptTitle="手入力セル" prompt="反映先：報告_総括P3-5 U77,AC65,AT65&#10;他の帳票：なし" sqref="U65"/>
    <dataValidation allowBlank="1" showInputMessage="1" promptTitle="手入力セル" prompt="反映先：報告_総括P3-5 AC66,AT66&#10;他の帳票：なし" sqref="U66"/>
    <dataValidation allowBlank="1" showInputMessage="1" promptTitle="手入力セル" prompt="反映先：報告_総括P3-5 U78,AC67,AT67&#10;他の帳票：なし" sqref="U67"/>
    <dataValidation allowBlank="1" showInputMessage="1" promptTitle="手入力セル" prompt="反映先：報告_総括P3-5 AC68,AT68&#10;他の帳票：なし" sqref="U68"/>
    <dataValidation allowBlank="1" showInputMessage="1" promptTitle="手入力セル" prompt="反映先：報告_総括P3-5 U78,AC69,AT69&#10;他の帳票：なし" sqref="U69"/>
    <dataValidation allowBlank="1" showInputMessage="1" promptTitle="手入力セル" prompt="反映先：報告_総括P3-5 U77,AC70,AT70&#10;他の帳票：なし" sqref="U70"/>
    <dataValidation allowBlank="1" showInputMessage="1" promptTitle="手入力セル" prompt="反映先：報告_総括P3-5 U78,AC71,AT71&#10;他の帳票：なし" sqref="U71"/>
    <dataValidation allowBlank="1" showInputMessage="1" promptTitle="手入力セル" prompt="反映先：報告_総括P3-5 U77,AC72,AT72&#10;他の帳票：なし" sqref="U72"/>
    <dataValidation allowBlank="1" showInputMessage="1" promptTitle="手入力セル" prompt="反映先：報告_総括P3-5 U78,AC73,AT73&#10;他の帳票：なし" sqref="U73"/>
    <dataValidation allowBlank="1" showInputMessage="1" promptTitle="手入力セル" prompt="反映先：報告_総括P3-5 U78,AC74,AT74&#10;他の帳票：なし" sqref="U74"/>
    <dataValidation allowBlank="1" showInputMessage="1" promptTitle="手入力セル" prompt="反映先：報告_総括P3-5 U76,U77,AC75…&#10;他の帳票：なし" sqref="U75"/>
    <dataValidation allowBlank="1" showInputMessage="1" promptTitle="手入力セル" prompt="反映先：報告_総括P3-5 V25,AA37,AA39…&#10;他の帳票：なし" sqref="V17"/>
    <dataValidation allowBlank="1" showInputMessage="1" promptTitle="手入力セル" prompt="反映先：報告_総括P3-5 V25,V28,AA41…&#10;他の帳票：なし" sqref="V19"/>
    <dataValidation allowBlank="1" showInputMessage="1" promptTitle="手入力セル" prompt="反映先：報告_総括P3-5 V25,AA42,AA43…&#10;他の帳票：なし" sqref="V20"/>
    <dataValidation allowBlank="1" showInputMessage="1" promptTitle="手入力セル" prompt="反映先：報告_総括P3-5 V25,AA44,AA45…&#10;他の帳票：なし" sqref="V21"/>
    <dataValidation allowBlank="1" showInputMessage="1" promptTitle="手入力セル" prompt="反映先：報告_総括P3-5 V25,V28,AA46…&#10;他の帳票：なし" sqref="V22"/>
    <dataValidation allowBlank="1" showInputMessage="1" promptTitle="手入力セル" prompt="反映先：報告_総括P3-5 V25,AA47,AA50…&#10;他の帳票：なし" sqref="V23"/>
    <dataValidation allowBlank="1" showInputMessage="1" promptTitle="手入力セル" prompt="反映先：報告_総括P3-5 V27,AA51,AD26…&#10;他の帳票：なし" sqref="V26"/>
    <dataValidation allowBlank="1" showInputMessage="1" promptTitle="手入力セル" prompt="反映先：報告_総括P3-5 AA38,AA40,AG18…&#10;他の帳票：なし" sqref="Y18"/>
    <dataValidation allowBlank="1" showInputMessage="1" promptTitle="手入力セル" prompt="反映先：報告_総括P3-5 AG24,AW24&#10;他の帳票：なし" sqref="Y24"/>
  </dataValidations>
  <printOptions horizontalCentered="1"/>
  <pageMargins left="0.66944444444444495" right="0.57986111111111105" top="0.78749999999999998" bottom="0.59027777777777801" header="0.511811023622047" footer="0.39374999999999999"/>
  <pageSetup paperSize="9" scale="90" firstPageNumber="3" orientation="portrait" useFirstPageNumber="1" horizontalDpi="300" verticalDpi="300"/>
  <headerFooter>
    <oddFooter>&amp;C&amp;"ＭＳ 明朝,Regular"&amp;12－ &amp;P －</oddFooter>
  </headerFooter>
  <rowBreaks count="2" manualBreakCount="2">
    <brk id="32" max="16383" man="1"/>
    <brk id="60" max="16383" man="1"/>
  </rowBreaks>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5F8AF-4A6F-4B1F-B3CF-F63541C62CEF}">
  <sheetPr codeName="Sheet7">
    <pageSetUpPr fitToPage="1"/>
  </sheetPr>
  <dimension ref="A1:IW31"/>
  <sheetViews>
    <sheetView zoomScaleNormal="100" zoomScalePageLayoutView="60" workbookViewId="0">
      <selection activeCell="X29" sqref="X29:AD29"/>
    </sheetView>
  </sheetViews>
  <sheetFormatPr defaultColWidth="1.77734375" defaultRowHeight="13.2"/>
  <cols>
    <col min="1" max="1" width="1.6640625" style="166" customWidth="1"/>
    <col min="2" max="3" width="2" style="166" customWidth="1"/>
    <col min="4" max="5" width="2.109375" style="166" customWidth="1"/>
    <col min="6" max="7" width="2" style="166" customWidth="1"/>
    <col min="8" max="9" width="1.6640625" style="166" customWidth="1"/>
    <col min="10" max="11" width="1.77734375" style="166"/>
    <col min="12" max="13" width="1.6640625" style="166" customWidth="1"/>
    <col min="14" max="14" width="1.88671875" style="166" customWidth="1"/>
    <col min="15" max="15" width="1.6640625" style="166" customWidth="1"/>
    <col min="16" max="49" width="1.77734375" style="166"/>
    <col min="50" max="51" width="1.88671875" style="166" customWidth="1"/>
    <col min="52" max="52" width="2.33203125" style="166" customWidth="1"/>
    <col min="53" max="53" width="1.6640625" style="166" customWidth="1"/>
    <col min="54" max="257" width="1.77734375" style="166"/>
  </cols>
  <sheetData>
    <row r="1" spans="1:55" ht="24.9" customHeight="1">
      <c r="A1" s="1947" t="s">
        <v>396</v>
      </c>
      <c r="B1" s="1947"/>
      <c r="C1" s="1947"/>
      <c r="D1" s="1947"/>
      <c r="E1" s="1947"/>
      <c r="F1" s="1947"/>
      <c r="G1" s="1947"/>
      <c r="H1" s="1947"/>
      <c r="I1" s="1947"/>
      <c r="J1" s="1947"/>
      <c r="K1" s="1947"/>
      <c r="L1" s="1947"/>
      <c r="M1" s="1947"/>
      <c r="N1" s="1947"/>
      <c r="O1" s="1947"/>
    </row>
    <row r="2" spans="1:55" ht="17.25" customHeight="1">
      <c r="A2" s="167"/>
      <c r="B2" s="168"/>
      <c r="C2" s="168"/>
      <c r="D2" s="168"/>
      <c r="E2" s="168"/>
      <c r="F2" s="168"/>
      <c r="G2" s="168"/>
      <c r="H2" s="168"/>
      <c r="I2" s="168"/>
      <c r="J2" s="168"/>
      <c r="K2" s="168"/>
      <c r="L2" s="168"/>
      <c r="M2" s="167"/>
      <c r="N2" s="169"/>
      <c r="O2" s="169"/>
      <c r="P2" s="169"/>
      <c r="Q2" s="169"/>
      <c r="R2" s="169"/>
      <c r="S2" s="169"/>
      <c r="T2" s="169"/>
      <c r="U2" s="169"/>
      <c r="V2" s="170"/>
      <c r="W2" s="170"/>
      <c r="X2" s="170"/>
      <c r="Y2" s="170"/>
      <c r="Z2" s="170"/>
      <c r="AA2" s="170"/>
      <c r="AB2" s="170"/>
      <c r="AC2" s="170"/>
      <c r="AD2" s="169"/>
      <c r="AE2" s="169"/>
      <c r="AF2" s="169"/>
      <c r="AG2" s="169"/>
      <c r="AH2" s="169"/>
      <c r="AI2" s="169"/>
      <c r="AJ2" s="169"/>
      <c r="AK2" s="169"/>
      <c r="AL2" s="171"/>
      <c r="AM2" s="169"/>
      <c r="AN2" s="169"/>
      <c r="AO2" s="169"/>
      <c r="AP2" s="169"/>
      <c r="AQ2" s="169"/>
      <c r="AR2" s="169"/>
      <c r="AS2" s="171"/>
      <c r="AT2" s="171"/>
      <c r="AU2" s="169"/>
      <c r="AV2" s="169"/>
      <c r="AW2" s="169"/>
      <c r="AX2" s="169"/>
      <c r="AY2" s="169"/>
      <c r="AZ2" s="169"/>
      <c r="BA2" s="172"/>
    </row>
    <row r="3" spans="1:55" ht="17.25" customHeight="1">
      <c r="A3" s="173" t="s">
        <v>397</v>
      </c>
      <c r="B3" s="168"/>
      <c r="C3" s="168"/>
      <c r="D3" s="168"/>
      <c r="E3" s="168"/>
      <c r="F3" s="168"/>
      <c r="G3" s="168"/>
      <c r="H3" s="168"/>
      <c r="I3" s="168"/>
      <c r="J3" s="168"/>
      <c r="K3" s="168"/>
      <c r="L3" s="168"/>
      <c r="M3" s="167"/>
      <c r="N3" s="169"/>
      <c r="O3" s="169"/>
      <c r="P3" s="169"/>
      <c r="Q3" s="169"/>
      <c r="R3" s="169"/>
      <c r="S3" s="169"/>
      <c r="T3" s="169"/>
      <c r="U3" s="169"/>
      <c r="V3" s="170"/>
      <c r="W3" s="170"/>
      <c r="X3" s="170"/>
      <c r="Y3" s="170"/>
      <c r="Z3" s="170"/>
      <c r="AA3" s="170"/>
      <c r="AB3" s="170"/>
      <c r="AC3" s="170"/>
      <c r="AD3" s="169"/>
      <c r="AE3" s="169"/>
      <c r="AF3" s="169"/>
      <c r="AG3" s="169"/>
      <c r="AH3" s="169"/>
      <c r="AI3" s="169"/>
      <c r="AJ3" s="169"/>
      <c r="AK3" s="169"/>
      <c r="AL3" s="171"/>
      <c r="AM3" s="169"/>
      <c r="AN3" s="169"/>
      <c r="AO3" s="169"/>
      <c r="AP3" s="169"/>
      <c r="AQ3" s="169"/>
      <c r="AR3" s="169"/>
      <c r="AS3" s="171"/>
      <c r="AT3" s="171"/>
      <c r="AU3" s="169"/>
      <c r="AV3" s="169"/>
      <c r="AW3" s="169"/>
      <c r="AX3" s="169"/>
      <c r="AY3" s="169"/>
      <c r="AZ3" s="169"/>
      <c r="BA3" s="172"/>
    </row>
    <row r="4" spans="1:55" ht="17.25" customHeight="1">
      <c r="A4" s="1935"/>
      <c r="B4" s="1935"/>
      <c r="C4" s="1935"/>
      <c r="D4" s="1935"/>
      <c r="E4" s="1935"/>
      <c r="F4" s="1935"/>
      <c r="G4" s="1935"/>
      <c r="H4" s="1935"/>
      <c r="I4" s="1935"/>
      <c r="J4" s="1935"/>
      <c r="K4" s="1935"/>
      <c r="L4" s="1935"/>
      <c r="M4" s="1935"/>
      <c r="AM4" s="175" t="s">
        <v>398</v>
      </c>
      <c r="AN4" s="172"/>
      <c r="AO4" s="172"/>
      <c r="AP4" s="172"/>
      <c r="AQ4" s="172"/>
      <c r="AR4" s="172"/>
      <c r="AS4" s="175"/>
      <c r="AT4" s="175"/>
      <c r="AU4" s="175"/>
      <c r="AV4" s="175"/>
      <c r="AW4" s="175"/>
      <c r="AX4" s="175"/>
      <c r="AY4" s="175"/>
      <c r="AZ4" s="175"/>
      <c r="BA4" s="175"/>
      <c r="BB4" s="175"/>
      <c r="BC4" s="176"/>
    </row>
    <row r="5" spans="1:55" ht="17.25" customHeight="1">
      <c r="A5" s="1942" t="s">
        <v>399</v>
      </c>
      <c r="B5" s="1942"/>
      <c r="C5" s="1942"/>
      <c r="D5" s="1942"/>
      <c r="E5" s="1942"/>
      <c r="F5" s="1942"/>
      <c r="G5" s="1942"/>
      <c r="H5" s="1942"/>
      <c r="I5" s="1942"/>
      <c r="J5" s="1942"/>
      <c r="K5" s="1942"/>
      <c r="L5" s="1942"/>
      <c r="M5" s="1942"/>
      <c r="N5" s="1942"/>
      <c r="O5" s="1942"/>
      <c r="P5" s="1943" t="s">
        <v>400</v>
      </c>
      <c r="Q5" s="1943"/>
      <c r="R5" s="1943"/>
      <c r="S5" s="1943"/>
      <c r="T5" s="1943"/>
      <c r="U5" s="1943"/>
      <c r="V5" s="1943"/>
      <c r="W5" s="1943"/>
      <c r="X5" s="1943" t="s">
        <v>401</v>
      </c>
      <c r="Y5" s="1943"/>
      <c r="Z5" s="1943"/>
      <c r="AA5" s="1943"/>
      <c r="AB5" s="1943"/>
      <c r="AC5" s="1943"/>
      <c r="AD5" s="1943"/>
      <c r="AE5" s="1943"/>
      <c r="AF5" s="1943" t="s">
        <v>402</v>
      </c>
      <c r="AG5" s="1943"/>
      <c r="AH5" s="1943"/>
      <c r="AI5" s="1943"/>
      <c r="AJ5" s="1943"/>
      <c r="AK5" s="1943"/>
      <c r="AL5" s="1943"/>
      <c r="AM5" s="1943"/>
      <c r="AN5" s="177"/>
      <c r="AO5" s="178"/>
      <c r="AP5" s="178"/>
      <c r="AQ5" s="178"/>
      <c r="AR5" s="178"/>
      <c r="AS5" s="178"/>
      <c r="AT5" s="178"/>
      <c r="AU5" s="178"/>
      <c r="AV5" s="178"/>
      <c r="AW5" s="178"/>
      <c r="AX5" s="178"/>
      <c r="AY5" s="178"/>
      <c r="AZ5" s="178"/>
      <c r="BA5" s="178"/>
      <c r="BB5" s="178"/>
      <c r="BC5" s="178"/>
    </row>
    <row r="6" spans="1:55" ht="17.25" customHeight="1">
      <c r="A6" s="179" t="s">
        <v>358</v>
      </c>
      <c r="B6" s="180"/>
      <c r="C6" s="180"/>
      <c r="D6" s="180"/>
      <c r="E6" s="180"/>
      <c r="F6" s="180"/>
      <c r="G6" s="180"/>
      <c r="H6" s="180"/>
      <c r="I6" s="180"/>
      <c r="J6" s="180"/>
      <c r="K6" s="180"/>
      <c r="L6" s="180"/>
      <c r="M6" s="180"/>
      <c r="N6" s="180"/>
      <c r="O6" s="181"/>
      <c r="P6" s="1943"/>
      <c r="Q6" s="1943"/>
      <c r="R6" s="1943"/>
      <c r="S6" s="1943"/>
      <c r="T6" s="1943"/>
      <c r="U6" s="1943"/>
      <c r="V6" s="1943"/>
      <c r="W6" s="1943"/>
      <c r="X6" s="1943"/>
      <c r="Y6" s="1943"/>
      <c r="Z6" s="1943"/>
      <c r="AA6" s="1943"/>
      <c r="AB6" s="1943"/>
      <c r="AC6" s="1943"/>
      <c r="AD6" s="1943"/>
      <c r="AE6" s="1943"/>
      <c r="AF6" s="1943"/>
      <c r="AG6" s="1943"/>
      <c r="AH6" s="1943"/>
      <c r="AI6" s="1943"/>
      <c r="AJ6" s="1943"/>
      <c r="AK6" s="1943"/>
      <c r="AL6" s="1943"/>
      <c r="AM6" s="1943"/>
      <c r="AN6" s="177"/>
      <c r="AO6" s="177"/>
      <c r="AP6" s="177"/>
      <c r="AQ6" s="177"/>
      <c r="AR6" s="177"/>
      <c r="AS6" s="177"/>
      <c r="AT6" s="177"/>
      <c r="AU6" s="177"/>
      <c r="AV6" s="177"/>
      <c r="AW6" s="177"/>
      <c r="AX6" s="177"/>
      <c r="AY6" s="177"/>
      <c r="AZ6" s="177"/>
      <c r="BA6" s="177"/>
      <c r="BB6" s="177"/>
      <c r="BC6" s="177"/>
    </row>
    <row r="7" spans="1:55" ht="17.25" customHeight="1">
      <c r="A7" s="182"/>
      <c r="B7" s="1932" t="s">
        <v>15</v>
      </c>
      <c r="C7" s="1932"/>
      <c r="D7" s="1932"/>
      <c r="E7" s="1932"/>
      <c r="F7" s="1932"/>
      <c r="G7" s="1932"/>
      <c r="H7" s="1932"/>
      <c r="I7" s="1932"/>
      <c r="J7" s="1932"/>
      <c r="K7" s="1932"/>
      <c r="L7" s="1932"/>
      <c r="M7" s="1932"/>
      <c r="N7" s="1932"/>
      <c r="O7" s="183"/>
      <c r="P7" s="3046">
        <v>52.91</v>
      </c>
      <c r="Q7" s="3047"/>
      <c r="R7" s="3047"/>
      <c r="S7" s="3047"/>
      <c r="T7" s="3047"/>
      <c r="U7" s="3047"/>
      <c r="V7" s="3047"/>
      <c r="W7" s="184"/>
      <c r="X7" s="3046">
        <v>52.91</v>
      </c>
      <c r="Y7" s="3047"/>
      <c r="Z7" s="3047"/>
      <c r="AA7" s="3047"/>
      <c r="AB7" s="3047"/>
      <c r="AC7" s="3047"/>
      <c r="AD7" s="3047"/>
      <c r="AE7" s="185"/>
      <c r="AF7" s="1946">
        <f t="shared" ref="AF7:AF12" si="0">P7+X7</f>
        <v>105.82</v>
      </c>
      <c r="AG7" s="1946"/>
      <c r="AH7" s="1946"/>
      <c r="AI7" s="1946"/>
      <c r="AJ7" s="1946"/>
      <c r="AK7" s="1946"/>
      <c r="AL7" s="1946"/>
      <c r="AM7" s="186"/>
      <c r="AN7" s="171"/>
      <c r="AO7" s="169"/>
      <c r="AP7" s="169"/>
      <c r="AQ7" s="169"/>
      <c r="AR7" s="169"/>
      <c r="AS7" s="169"/>
      <c r="AT7" s="169"/>
      <c r="AU7" s="171"/>
      <c r="AV7" s="171"/>
      <c r="AW7" s="169"/>
      <c r="AX7" s="169"/>
      <c r="AY7" s="169"/>
      <c r="AZ7" s="169"/>
      <c r="BA7" s="169"/>
      <c r="BB7" s="169"/>
      <c r="BC7" s="172"/>
    </row>
    <row r="8" spans="1:55" ht="17.25" customHeight="1">
      <c r="A8" s="182"/>
      <c r="B8" s="1932" t="s">
        <v>17</v>
      </c>
      <c r="C8" s="1932"/>
      <c r="D8" s="1932"/>
      <c r="E8" s="1932"/>
      <c r="F8" s="1932"/>
      <c r="G8" s="1932"/>
      <c r="H8" s="1932"/>
      <c r="I8" s="1932"/>
      <c r="J8" s="1932"/>
      <c r="K8" s="1932"/>
      <c r="L8" s="1932"/>
      <c r="M8" s="1932"/>
      <c r="N8" s="1932"/>
      <c r="O8" s="183"/>
      <c r="P8" s="3046">
        <v>52.91</v>
      </c>
      <c r="Q8" s="3047"/>
      <c r="R8" s="3047"/>
      <c r="S8" s="3047"/>
      <c r="T8" s="3047"/>
      <c r="U8" s="3047"/>
      <c r="V8" s="3047"/>
      <c r="W8" s="184"/>
      <c r="X8" s="3046">
        <v>52.91</v>
      </c>
      <c r="Y8" s="3047"/>
      <c r="Z8" s="3047"/>
      <c r="AA8" s="3047"/>
      <c r="AB8" s="3047"/>
      <c r="AC8" s="3047"/>
      <c r="AD8" s="3047"/>
      <c r="AE8" s="185"/>
      <c r="AF8" s="1946">
        <f t="shared" si="0"/>
        <v>105.82</v>
      </c>
      <c r="AG8" s="1946"/>
      <c r="AH8" s="1946"/>
      <c r="AI8" s="1946"/>
      <c r="AJ8" s="1946"/>
      <c r="AK8" s="1946"/>
      <c r="AL8" s="1946"/>
      <c r="AM8" s="186"/>
      <c r="AN8" s="171"/>
      <c r="AO8" s="169"/>
      <c r="AP8" s="169"/>
      <c r="AQ8" s="169"/>
      <c r="AR8" s="169"/>
      <c r="AS8" s="169"/>
      <c r="AT8" s="169"/>
      <c r="AU8" s="171"/>
      <c r="AV8" s="171"/>
      <c r="AW8" s="169"/>
      <c r="AX8" s="169"/>
      <c r="AY8" s="169"/>
      <c r="AZ8" s="169"/>
      <c r="BA8" s="169"/>
      <c r="BB8" s="169"/>
      <c r="BC8" s="172"/>
    </row>
    <row r="9" spans="1:55" ht="17.25" customHeight="1">
      <c r="A9" s="187"/>
      <c r="B9" s="1932" t="s">
        <v>18</v>
      </c>
      <c r="C9" s="1932"/>
      <c r="D9" s="1932"/>
      <c r="E9" s="1932"/>
      <c r="F9" s="1932"/>
      <c r="G9" s="1932"/>
      <c r="H9" s="1932"/>
      <c r="I9" s="1932"/>
      <c r="J9" s="1932"/>
      <c r="K9" s="1932"/>
      <c r="L9" s="1932"/>
      <c r="M9" s="1932"/>
      <c r="N9" s="1932"/>
      <c r="O9" s="167"/>
      <c r="P9" s="3046">
        <v>52.91</v>
      </c>
      <c r="Q9" s="3047"/>
      <c r="R9" s="3047"/>
      <c r="S9" s="3047"/>
      <c r="T9" s="3047"/>
      <c r="U9" s="3047"/>
      <c r="V9" s="3047"/>
      <c r="W9" s="184"/>
      <c r="X9" s="3046">
        <v>52.91</v>
      </c>
      <c r="Y9" s="3047"/>
      <c r="Z9" s="3047"/>
      <c r="AA9" s="3047"/>
      <c r="AB9" s="3047"/>
      <c r="AC9" s="3047"/>
      <c r="AD9" s="3047"/>
      <c r="AE9" s="185"/>
      <c r="AF9" s="1946">
        <f t="shared" si="0"/>
        <v>105.82</v>
      </c>
      <c r="AG9" s="1946"/>
      <c r="AH9" s="1946"/>
      <c r="AI9" s="1946"/>
      <c r="AJ9" s="1946"/>
      <c r="AK9" s="1946"/>
      <c r="AL9" s="1946"/>
      <c r="AM9" s="186"/>
      <c r="AN9" s="171"/>
      <c r="AO9" s="169"/>
      <c r="AP9" s="169"/>
      <c r="AQ9" s="169"/>
      <c r="AR9" s="169"/>
      <c r="AS9" s="169"/>
      <c r="AT9" s="169"/>
      <c r="AU9" s="171"/>
      <c r="AV9" s="171"/>
      <c r="AW9" s="169"/>
      <c r="AX9" s="169"/>
      <c r="AY9" s="169"/>
      <c r="AZ9" s="169"/>
      <c r="BA9" s="169"/>
      <c r="BB9" s="169"/>
      <c r="BC9" s="172"/>
    </row>
    <row r="10" spans="1:55" ht="17.25" customHeight="1">
      <c r="A10" s="188"/>
      <c r="B10" s="1932" t="s">
        <v>19</v>
      </c>
      <c r="C10" s="1932"/>
      <c r="D10" s="1932"/>
      <c r="E10" s="1932"/>
      <c r="F10" s="1932"/>
      <c r="G10" s="1932"/>
      <c r="H10" s="1932"/>
      <c r="I10" s="1932"/>
      <c r="J10" s="1932"/>
      <c r="K10" s="1932"/>
      <c r="L10" s="1932"/>
      <c r="M10" s="1932"/>
      <c r="N10" s="1932"/>
      <c r="O10" s="189"/>
      <c r="P10" s="3046">
        <v>52.91</v>
      </c>
      <c r="Q10" s="3047"/>
      <c r="R10" s="3047"/>
      <c r="S10" s="3047"/>
      <c r="T10" s="3047"/>
      <c r="U10" s="3047"/>
      <c r="V10" s="3047"/>
      <c r="W10" s="184"/>
      <c r="X10" s="3046">
        <v>52.91</v>
      </c>
      <c r="Y10" s="3047"/>
      <c r="Z10" s="3047"/>
      <c r="AA10" s="3047"/>
      <c r="AB10" s="3047"/>
      <c r="AC10" s="3047"/>
      <c r="AD10" s="3047"/>
      <c r="AE10" s="185"/>
      <c r="AF10" s="1946">
        <f t="shared" si="0"/>
        <v>105.82</v>
      </c>
      <c r="AG10" s="1946"/>
      <c r="AH10" s="1946"/>
      <c r="AI10" s="1946"/>
      <c r="AJ10" s="1946"/>
      <c r="AK10" s="1946"/>
      <c r="AL10" s="1946"/>
      <c r="AM10" s="186"/>
      <c r="AN10" s="171"/>
      <c r="AO10" s="169"/>
      <c r="AP10" s="169"/>
      <c r="AQ10" s="169"/>
      <c r="AR10" s="169"/>
      <c r="AS10" s="169"/>
      <c r="AT10" s="169"/>
      <c r="AU10" s="171"/>
      <c r="AV10" s="171"/>
      <c r="AW10" s="169"/>
      <c r="AX10" s="169"/>
      <c r="AY10" s="169"/>
      <c r="AZ10" s="169"/>
      <c r="BA10" s="169"/>
      <c r="BB10" s="169"/>
      <c r="BC10" s="172"/>
    </row>
    <row r="11" spans="1:55" ht="17.25" customHeight="1">
      <c r="A11" s="188"/>
      <c r="B11" s="1932" t="s">
        <v>25</v>
      </c>
      <c r="C11" s="1932"/>
      <c r="D11" s="1932"/>
      <c r="E11" s="1932"/>
      <c r="F11" s="1932"/>
      <c r="G11" s="1932"/>
      <c r="H11" s="1932"/>
      <c r="I11" s="1932"/>
      <c r="J11" s="1932"/>
      <c r="K11" s="1932"/>
      <c r="L11" s="1932"/>
      <c r="M11" s="1932"/>
      <c r="N11" s="1932"/>
      <c r="O11" s="189"/>
      <c r="P11" s="3046">
        <v>2.52</v>
      </c>
      <c r="Q11" s="3047"/>
      <c r="R11" s="3047"/>
      <c r="S11" s="3047"/>
      <c r="T11" s="3047"/>
      <c r="U11" s="3047"/>
      <c r="V11" s="3047"/>
      <c r="W11" s="184"/>
      <c r="X11" s="3046">
        <v>2.52</v>
      </c>
      <c r="Y11" s="3047"/>
      <c r="Z11" s="3047"/>
      <c r="AA11" s="3047"/>
      <c r="AB11" s="3047"/>
      <c r="AC11" s="3047"/>
      <c r="AD11" s="3047"/>
      <c r="AE11" s="185"/>
      <c r="AF11" s="1946">
        <f t="shared" si="0"/>
        <v>5.04</v>
      </c>
      <c r="AG11" s="1946"/>
      <c r="AH11" s="1946"/>
      <c r="AI11" s="1946"/>
      <c r="AJ11" s="1946"/>
      <c r="AK11" s="1946"/>
      <c r="AL11" s="1946"/>
      <c r="AM11" s="186"/>
      <c r="AN11" s="171"/>
      <c r="AO11" s="169"/>
      <c r="AP11" s="169"/>
      <c r="AQ11" s="169"/>
      <c r="AR11" s="169"/>
      <c r="AS11" s="169"/>
      <c r="AT11" s="169"/>
      <c r="AU11" s="171"/>
      <c r="AV11" s="171"/>
      <c r="AW11" s="169"/>
      <c r="AX11" s="169"/>
      <c r="AY11" s="169"/>
      <c r="AZ11" s="169"/>
      <c r="BA11" s="169"/>
      <c r="BB11" s="169"/>
      <c r="BC11" s="172"/>
    </row>
    <row r="12" spans="1:55" ht="17.25" customHeight="1">
      <c r="A12" s="190"/>
      <c r="B12" s="1932" t="s">
        <v>22</v>
      </c>
      <c r="C12" s="1932"/>
      <c r="D12" s="1932"/>
      <c r="E12" s="1932"/>
      <c r="F12" s="1932"/>
      <c r="G12" s="1932"/>
      <c r="H12" s="1932"/>
      <c r="I12" s="1932"/>
      <c r="J12" s="1932"/>
      <c r="K12" s="1932"/>
      <c r="L12" s="1932"/>
      <c r="M12" s="1932"/>
      <c r="N12" s="1932"/>
      <c r="O12" s="191"/>
      <c r="P12" s="3046">
        <v>105.82</v>
      </c>
      <c r="Q12" s="3047"/>
      <c r="R12" s="3047"/>
      <c r="S12" s="3047"/>
      <c r="T12" s="3047"/>
      <c r="U12" s="3047"/>
      <c r="V12" s="3047"/>
      <c r="W12" s="186"/>
      <c r="X12" s="1941"/>
      <c r="Y12" s="1941"/>
      <c r="Z12" s="1941"/>
      <c r="AA12" s="1941"/>
      <c r="AB12" s="1941"/>
      <c r="AC12" s="1941"/>
      <c r="AD12" s="1941"/>
      <c r="AE12" s="1941"/>
      <c r="AF12" s="1946">
        <f t="shared" si="0"/>
        <v>105.82</v>
      </c>
      <c r="AG12" s="1946"/>
      <c r="AH12" s="1946"/>
      <c r="AI12" s="1946"/>
      <c r="AJ12" s="1946"/>
      <c r="AK12" s="1946"/>
      <c r="AL12" s="1946"/>
      <c r="AM12" s="186"/>
      <c r="AN12" s="171"/>
      <c r="AO12" s="169"/>
      <c r="AP12" s="169"/>
      <c r="AQ12" s="169"/>
      <c r="AR12" s="169"/>
      <c r="AS12" s="169"/>
      <c r="AT12" s="169"/>
      <c r="AU12" s="171"/>
      <c r="AV12" s="171"/>
      <c r="AW12" s="192"/>
      <c r="AX12" s="192"/>
      <c r="AY12" s="192"/>
      <c r="AZ12" s="192"/>
      <c r="BA12" s="192"/>
      <c r="BB12" s="192"/>
      <c r="BC12" s="172"/>
    </row>
    <row r="13" spans="1:55" ht="17.25" customHeight="1">
      <c r="A13" s="167"/>
      <c r="B13" s="168"/>
      <c r="C13" s="168"/>
      <c r="D13" s="168"/>
      <c r="E13" s="168"/>
      <c r="F13" s="168"/>
      <c r="G13" s="168"/>
      <c r="H13" s="168"/>
      <c r="I13" s="168"/>
      <c r="J13" s="168"/>
      <c r="K13" s="168"/>
      <c r="L13" s="168"/>
      <c r="M13" s="167"/>
      <c r="N13" s="193"/>
      <c r="O13" s="193"/>
      <c r="P13" s="193"/>
      <c r="Q13" s="193"/>
      <c r="R13" s="193"/>
      <c r="S13" s="193"/>
      <c r="T13" s="193"/>
      <c r="U13" s="193"/>
      <c r="V13" s="194"/>
      <c r="W13" s="194"/>
      <c r="X13" s="194"/>
      <c r="Y13" s="194"/>
      <c r="Z13" s="194"/>
      <c r="AA13" s="194"/>
      <c r="AB13" s="194"/>
      <c r="AC13" s="194"/>
      <c r="AD13" s="193"/>
      <c r="AE13" s="193"/>
      <c r="AF13" s="193"/>
      <c r="AG13" s="193"/>
      <c r="AH13" s="193"/>
      <c r="AI13" s="193"/>
      <c r="AJ13" s="193"/>
      <c r="AK13" s="193"/>
      <c r="AL13" s="171"/>
      <c r="AM13" s="169"/>
      <c r="AN13" s="169"/>
      <c r="AO13" s="169"/>
      <c r="AP13" s="169"/>
      <c r="AQ13" s="169"/>
      <c r="AR13" s="169"/>
      <c r="AS13" s="171"/>
      <c r="AT13" s="171"/>
      <c r="AU13" s="192"/>
      <c r="AV13" s="192"/>
      <c r="AW13" s="192"/>
      <c r="AX13" s="192"/>
      <c r="AY13" s="192"/>
      <c r="AZ13" s="192"/>
      <c r="BA13" s="172"/>
    </row>
    <row r="14" spans="1:55" ht="17.25" customHeight="1"/>
    <row r="15" spans="1:55" ht="17.25" customHeight="1">
      <c r="A15" s="173" t="s">
        <v>403</v>
      </c>
      <c r="B15" s="168"/>
      <c r="C15" s="168"/>
      <c r="D15" s="168"/>
      <c r="E15" s="168"/>
      <c r="F15" s="168"/>
      <c r="G15" s="168"/>
      <c r="H15" s="168"/>
      <c r="I15" s="168"/>
      <c r="J15" s="168"/>
      <c r="K15" s="168"/>
      <c r="L15" s="168"/>
      <c r="M15" s="167"/>
      <c r="N15" s="169"/>
      <c r="O15" s="169"/>
      <c r="P15" s="169"/>
      <c r="Q15" s="169"/>
      <c r="R15" s="169"/>
      <c r="S15" s="169"/>
      <c r="T15" s="169"/>
      <c r="U15" s="169"/>
      <c r="V15" s="170"/>
      <c r="W15" s="170"/>
      <c r="X15" s="170"/>
      <c r="Y15" s="170"/>
      <c r="Z15" s="170"/>
      <c r="AA15" s="170"/>
      <c r="AB15" s="170"/>
      <c r="AC15" s="170"/>
      <c r="AD15" s="169"/>
      <c r="AE15" s="169"/>
      <c r="AF15" s="169"/>
      <c r="AG15" s="169"/>
      <c r="AH15" s="169"/>
      <c r="AI15" s="169"/>
      <c r="AJ15" s="169"/>
      <c r="AK15" s="169"/>
      <c r="AL15" s="171"/>
      <c r="AM15" s="169"/>
      <c r="AN15" s="169"/>
      <c r="AO15" s="169"/>
      <c r="AP15" s="169"/>
      <c r="AQ15" s="169"/>
      <c r="AR15" s="169"/>
      <c r="AS15" s="171"/>
      <c r="AT15" s="171"/>
      <c r="AU15" s="192"/>
      <c r="AV15" s="192"/>
      <c r="AW15" s="192"/>
      <c r="AX15" s="192"/>
      <c r="AY15" s="192"/>
      <c r="AZ15" s="192"/>
      <c r="BA15" s="172"/>
    </row>
    <row r="16" spans="1:55" ht="17.25" customHeight="1">
      <c r="A16" s="1935"/>
      <c r="B16" s="1935"/>
      <c r="C16" s="1935"/>
      <c r="D16" s="1935"/>
      <c r="E16" s="1935"/>
      <c r="F16" s="1935"/>
      <c r="G16" s="1935"/>
      <c r="H16" s="1935"/>
      <c r="I16" s="1935"/>
      <c r="J16" s="1935"/>
      <c r="K16" s="1935"/>
      <c r="L16" s="1935"/>
      <c r="M16" s="1935"/>
      <c r="AM16" s="175" t="s">
        <v>398</v>
      </c>
      <c r="AN16" s="171"/>
      <c r="AO16" s="169"/>
      <c r="AP16" s="169"/>
      <c r="AQ16" s="169"/>
      <c r="AR16" s="169"/>
      <c r="AS16" s="169"/>
      <c r="AT16" s="169"/>
      <c r="AU16" s="171"/>
      <c r="AV16" s="171"/>
      <c r="AW16" s="192"/>
      <c r="AX16" s="192"/>
      <c r="AY16" s="192"/>
      <c r="AZ16" s="192"/>
      <c r="BA16" s="192"/>
      <c r="BB16" s="192"/>
      <c r="BC16" s="172"/>
    </row>
    <row r="17" spans="1:55" ht="17.25" customHeight="1">
      <c r="A17" s="1942" t="s">
        <v>399</v>
      </c>
      <c r="B17" s="1942"/>
      <c r="C17" s="1942"/>
      <c r="D17" s="1942"/>
      <c r="E17" s="1942"/>
      <c r="F17" s="1942"/>
      <c r="G17" s="1942"/>
      <c r="H17" s="1942"/>
      <c r="I17" s="1942"/>
      <c r="J17" s="1942"/>
      <c r="K17" s="1942"/>
      <c r="L17" s="1942"/>
      <c r="M17" s="1942"/>
      <c r="N17" s="1942"/>
      <c r="O17" s="1942"/>
      <c r="P17" s="1943" t="s">
        <v>400</v>
      </c>
      <c r="Q17" s="1943"/>
      <c r="R17" s="1943"/>
      <c r="S17" s="1943"/>
      <c r="T17" s="1943"/>
      <c r="U17" s="1943"/>
      <c r="V17" s="1943"/>
      <c r="W17" s="1943"/>
      <c r="X17" s="1943" t="s">
        <v>401</v>
      </c>
      <c r="Y17" s="1943"/>
      <c r="Z17" s="1943"/>
      <c r="AA17" s="1943"/>
      <c r="AB17" s="1943"/>
      <c r="AC17" s="1943"/>
      <c r="AD17" s="1943"/>
      <c r="AE17" s="1943"/>
      <c r="AF17" s="1943" t="s">
        <v>402</v>
      </c>
      <c r="AG17" s="1943"/>
      <c r="AH17" s="1943"/>
      <c r="AI17" s="1943"/>
      <c r="AJ17" s="1943"/>
      <c r="AK17" s="1943"/>
      <c r="AL17" s="1943"/>
      <c r="AM17" s="1943"/>
      <c r="AN17" s="171"/>
      <c r="AO17" s="169"/>
      <c r="AP17" s="169"/>
      <c r="AQ17" s="169"/>
      <c r="AR17" s="169"/>
      <c r="AS17" s="169"/>
      <c r="AT17" s="169"/>
      <c r="AU17" s="171"/>
      <c r="AV17" s="171"/>
      <c r="AW17" s="192"/>
      <c r="AX17" s="192"/>
      <c r="AY17" s="192"/>
      <c r="AZ17" s="192"/>
      <c r="BA17" s="192"/>
      <c r="BB17" s="192"/>
      <c r="BC17" s="172"/>
    </row>
    <row r="18" spans="1:55" ht="17.25" customHeight="1">
      <c r="A18" s="179" t="s">
        <v>358</v>
      </c>
      <c r="B18" s="180"/>
      <c r="C18" s="180"/>
      <c r="D18" s="180"/>
      <c r="E18" s="180"/>
      <c r="F18" s="180"/>
      <c r="G18" s="180"/>
      <c r="H18" s="180"/>
      <c r="I18" s="180"/>
      <c r="J18" s="180"/>
      <c r="K18" s="180"/>
      <c r="L18" s="180"/>
      <c r="M18" s="180"/>
      <c r="N18" s="180"/>
      <c r="O18" s="181"/>
      <c r="P18" s="1943"/>
      <c r="Q18" s="1943"/>
      <c r="R18" s="1943"/>
      <c r="S18" s="1943"/>
      <c r="T18" s="1943"/>
      <c r="U18" s="1943"/>
      <c r="V18" s="1943"/>
      <c r="W18" s="1943"/>
      <c r="X18" s="1943"/>
      <c r="Y18" s="1943"/>
      <c r="Z18" s="1943"/>
      <c r="AA18" s="1943"/>
      <c r="AB18" s="1943"/>
      <c r="AC18" s="1943"/>
      <c r="AD18" s="1943"/>
      <c r="AE18" s="1943"/>
      <c r="AF18" s="1943"/>
      <c r="AG18" s="1943"/>
      <c r="AH18" s="1943"/>
      <c r="AI18" s="1943"/>
      <c r="AJ18" s="1943"/>
      <c r="AK18" s="1943"/>
      <c r="AL18" s="1943"/>
      <c r="AM18" s="1943"/>
      <c r="AN18" s="171"/>
      <c r="AO18" s="169"/>
      <c r="AP18" s="169"/>
      <c r="AQ18" s="169"/>
      <c r="AR18" s="169"/>
      <c r="AS18" s="169"/>
      <c r="AT18" s="169"/>
      <c r="AU18" s="171"/>
      <c r="AV18" s="171"/>
      <c r="AW18" s="192"/>
      <c r="AX18" s="192"/>
      <c r="AY18" s="192"/>
      <c r="AZ18" s="192"/>
      <c r="BA18" s="192"/>
      <c r="BB18" s="192"/>
      <c r="BC18" s="172"/>
    </row>
    <row r="19" spans="1:55" ht="17.25" customHeight="1">
      <c r="A19" s="182"/>
      <c r="B19" s="1932" t="s">
        <v>379</v>
      </c>
      <c r="C19" s="1932"/>
      <c r="D19" s="1932"/>
      <c r="E19" s="1932"/>
      <c r="F19" s="1932"/>
      <c r="G19" s="1932"/>
      <c r="H19" s="1932"/>
      <c r="I19" s="1932" t="s">
        <v>26</v>
      </c>
      <c r="J19" s="1932"/>
      <c r="K19" s="1932"/>
      <c r="L19" s="1932"/>
      <c r="M19" s="1932"/>
      <c r="N19" s="1932"/>
      <c r="O19" s="183"/>
      <c r="P19" s="3048">
        <v>7.9</v>
      </c>
      <c r="Q19" s="3049"/>
      <c r="R19" s="3049"/>
      <c r="S19" s="3049"/>
      <c r="T19" s="3049"/>
      <c r="U19" s="3049"/>
      <c r="V19" s="3049"/>
      <c r="W19" s="195"/>
      <c r="X19" s="3048">
        <v>7.9</v>
      </c>
      <c r="Y19" s="3049"/>
      <c r="Z19" s="3049"/>
      <c r="AA19" s="3049"/>
      <c r="AB19" s="3049"/>
      <c r="AC19" s="3049"/>
      <c r="AD19" s="3049"/>
      <c r="AE19" s="196"/>
      <c r="AF19" s="1940">
        <f>P19+X19</f>
        <v>15.8</v>
      </c>
      <c r="AG19" s="1940"/>
      <c r="AH19" s="1940"/>
      <c r="AI19" s="1940"/>
      <c r="AJ19" s="1940"/>
      <c r="AK19" s="1940"/>
      <c r="AL19" s="1940"/>
      <c r="AM19" s="195"/>
      <c r="AN19" s="171"/>
      <c r="AO19" s="169"/>
      <c r="AP19" s="169"/>
      <c r="AQ19" s="169"/>
      <c r="AR19" s="169"/>
      <c r="AS19" s="169"/>
      <c r="AT19" s="169"/>
      <c r="AU19" s="171"/>
      <c r="AV19" s="171"/>
      <c r="AW19" s="192"/>
      <c r="AX19" s="192"/>
      <c r="AY19" s="192"/>
      <c r="AZ19" s="192"/>
      <c r="BA19" s="192"/>
      <c r="BB19" s="192"/>
      <c r="BC19" s="172"/>
    </row>
    <row r="20" spans="1:55" ht="17.25" customHeight="1">
      <c r="A20" s="182"/>
      <c r="B20" s="1932" t="s">
        <v>17</v>
      </c>
      <c r="C20" s="1932"/>
      <c r="D20" s="1932"/>
      <c r="E20" s="1932"/>
      <c r="F20" s="1932"/>
      <c r="G20" s="1932"/>
      <c r="H20" s="1932"/>
      <c r="I20" s="1932"/>
      <c r="J20" s="1932"/>
      <c r="K20" s="1932"/>
      <c r="L20" s="1932"/>
      <c r="M20" s="1932"/>
      <c r="N20" s="1932"/>
      <c r="O20" s="183"/>
      <c r="P20" s="3048">
        <v>7.9</v>
      </c>
      <c r="Q20" s="3049"/>
      <c r="R20" s="3049"/>
      <c r="S20" s="3049"/>
      <c r="T20" s="3049"/>
      <c r="U20" s="3049"/>
      <c r="V20" s="3049"/>
      <c r="W20" s="195"/>
      <c r="X20" s="3048">
        <v>7.9</v>
      </c>
      <c r="Y20" s="3049"/>
      <c r="Z20" s="3049"/>
      <c r="AA20" s="3049"/>
      <c r="AB20" s="3049"/>
      <c r="AC20" s="3049"/>
      <c r="AD20" s="3049"/>
      <c r="AE20" s="196"/>
      <c r="AF20" s="1940">
        <f>P20+X20</f>
        <v>15.8</v>
      </c>
      <c r="AG20" s="1940"/>
      <c r="AH20" s="1940"/>
      <c r="AI20" s="1940"/>
      <c r="AJ20" s="1940"/>
      <c r="AK20" s="1940"/>
      <c r="AL20" s="1940"/>
      <c r="AM20" s="195"/>
      <c r="AN20" s="171"/>
      <c r="AO20" s="169"/>
      <c r="AP20" s="169"/>
      <c r="AQ20" s="169"/>
      <c r="AR20" s="169"/>
      <c r="AS20" s="169"/>
      <c r="AT20" s="169"/>
      <c r="AU20" s="171"/>
      <c r="AV20" s="171"/>
      <c r="AW20" s="192"/>
      <c r="AX20" s="192"/>
      <c r="AY20" s="192"/>
      <c r="AZ20" s="192"/>
      <c r="BA20" s="192"/>
      <c r="BB20" s="192"/>
      <c r="BC20" s="172"/>
    </row>
    <row r="21" spans="1:55" ht="17.25" customHeight="1">
      <c r="A21" s="187"/>
      <c r="B21" s="1932" t="s">
        <v>18</v>
      </c>
      <c r="C21" s="1932"/>
      <c r="D21" s="1932"/>
      <c r="E21" s="1932"/>
      <c r="F21" s="1932"/>
      <c r="G21" s="1932"/>
      <c r="H21" s="1932"/>
      <c r="I21" s="1932"/>
      <c r="J21" s="1932"/>
      <c r="K21" s="1932"/>
      <c r="L21" s="1932"/>
      <c r="M21" s="1932"/>
      <c r="N21" s="1932"/>
      <c r="O21" s="167"/>
      <c r="P21" s="3048">
        <v>7.9</v>
      </c>
      <c r="Q21" s="3049"/>
      <c r="R21" s="3049"/>
      <c r="S21" s="3049"/>
      <c r="T21" s="3049"/>
      <c r="U21" s="3049"/>
      <c r="V21" s="3049"/>
      <c r="W21" s="195"/>
      <c r="X21" s="3048">
        <v>7.9</v>
      </c>
      <c r="Y21" s="3049"/>
      <c r="Z21" s="3049"/>
      <c r="AA21" s="3049"/>
      <c r="AB21" s="3049"/>
      <c r="AC21" s="3049"/>
      <c r="AD21" s="3049"/>
      <c r="AE21" s="196"/>
      <c r="AF21" s="1940">
        <f>P21+X21</f>
        <v>15.8</v>
      </c>
      <c r="AG21" s="1940"/>
      <c r="AH21" s="1940"/>
      <c r="AI21" s="1940"/>
      <c r="AJ21" s="1940"/>
      <c r="AK21" s="1940"/>
      <c r="AL21" s="1940"/>
      <c r="AM21" s="195"/>
      <c r="AN21" s="171"/>
      <c r="AO21" s="169"/>
      <c r="AP21" s="169"/>
      <c r="AQ21" s="169"/>
      <c r="AR21" s="169"/>
      <c r="AS21" s="169"/>
      <c r="AT21" s="169"/>
      <c r="AU21" s="171"/>
      <c r="AV21" s="171"/>
      <c r="AW21" s="192"/>
      <c r="AX21" s="192"/>
      <c r="AY21" s="192"/>
      <c r="AZ21" s="192"/>
      <c r="BA21" s="192"/>
      <c r="BB21" s="192"/>
      <c r="BC21" s="172"/>
    </row>
    <row r="22" spans="1:55" ht="17.25" customHeight="1">
      <c r="A22" s="188"/>
      <c r="B22" s="1932" t="s">
        <v>19</v>
      </c>
      <c r="C22" s="1932"/>
      <c r="D22" s="1932"/>
      <c r="E22" s="1932"/>
      <c r="F22" s="1932"/>
      <c r="G22" s="1932"/>
      <c r="H22" s="1932"/>
      <c r="I22" s="1932"/>
      <c r="J22" s="1932"/>
      <c r="K22" s="1932"/>
      <c r="L22" s="1932"/>
      <c r="M22" s="1932"/>
      <c r="N22" s="1932"/>
      <c r="O22" s="189"/>
      <c r="P22" s="3048">
        <v>7.9</v>
      </c>
      <c r="Q22" s="3049"/>
      <c r="R22" s="3049"/>
      <c r="S22" s="3049"/>
      <c r="T22" s="3049"/>
      <c r="U22" s="3049"/>
      <c r="V22" s="3049"/>
      <c r="W22" s="195"/>
      <c r="X22" s="3048">
        <v>7.9</v>
      </c>
      <c r="Y22" s="3049"/>
      <c r="Z22" s="3049"/>
      <c r="AA22" s="3049"/>
      <c r="AB22" s="3049"/>
      <c r="AC22" s="3049"/>
      <c r="AD22" s="3049"/>
      <c r="AE22" s="196"/>
      <c r="AF22" s="1940">
        <f>P22+X22</f>
        <v>15.8</v>
      </c>
      <c r="AG22" s="1940"/>
      <c r="AH22" s="1940"/>
      <c r="AI22" s="1940"/>
      <c r="AJ22" s="1940"/>
      <c r="AK22" s="1940"/>
      <c r="AL22" s="1940"/>
      <c r="AM22" s="195"/>
      <c r="AN22" s="171"/>
      <c r="AO22" s="169"/>
      <c r="AP22" s="169"/>
      <c r="AQ22" s="169"/>
      <c r="AR22" s="169"/>
      <c r="AS22" s="169"/>
      <c r="AT22" s="169"/>
      <c r="AU22" s="171"/>
      <c r="AV22" s="171"/>
      <c r="AW22" s="192"/>
      <c r="AX22" s="192"/>
      <c r="AY22" s="192"/>
      <c r="AZ22" s="192"/>
      <c r="BA22" s="192"/>
      <c r="BB22" s="192"/>
      <c r="BC22" s="172"/>
    </row>
    <row r="23" spans="1:55" ht="17.25" customHeight="1">
      <c r="A23" s="190"/>
      <c r="B23" s="1932" t="s">
        <v>22</v>
      </c>
      <c r="C23" s="1932"/>
      <c r="D23" s="1932"/>
      <c r="E23" s="1932"/>
      <c r="F23" s="1932"/>
      <c r="G23" s="1932"/>
      <c r="H23" s="1932"/>
      <c r="I23" s="1932"/>
      <c r="J23" s="1932"/>
      <c r="K23" s="1932"/>
      <c r="L23" s="1932"/>
      <c r="M23" s="1932"/>
      <c r="N23" s="1932"/>
      <c r="O23" s="191"/>
      <c r="P23" s="3048">
        <v>15.8</v>
      </c>
      <c r="Q23" s="3049"/>
      <c r="R23" s="3049"/>
      <c r="S23" s="3049"/>
      <c r="T23" s="3049"/>
      <c r="U23" s="3049"/>
      <c r="V23" s="3049"/>
      <c r="W23" s="186"/>
      <c r="X23" s="1941"/>
      <c r="Y23" s="1941"/>
      <c r="Z23" s="1941"/>
      <c r="AA23" s="1941"/>
      <c r="AB23" s="1941"/>
      <c r="AC23" s="1941"/>
      <c r="AD23" s="1941"/>
      <c r="AE23" s="1941"/>
      <c r="AF23" s="1940">
        <f>P23+X23</f>
        <v>15.8</v>
      </c>
      <c r="AG23" s="1940"/>
      <c r="AH23" s="1940"/>
      <c r="AI23" s="1940"/>
      <c r="AJ23" s="1940"/>
      <c r="AK23" s="1940"/>
      <c r="AL23" s="1940"/>
      <c r="AM23" s="186"/>
    </row>
    <row r="24" spans="1:55" ht="17.25" customHeight="1"/>
    <row r="25" spans="1:55" ht="17.25" customHeight="1">
      <c r="A25" s="173" t="s">
        <v>404</v>
      </c>
      <c r="B25" s="168"/>
      <c r="C25" s="168"/>
      <c r="D25" s="168"/>
      <c r="E25" s="168"/>
      <c r="F25" s="168"/>
      <c r="G25" s="168"/>
      <c r="H25" s="168"/>
      <c r="I25" s="168"/>
      <c r="J25" s="168"/>
      <c r="K25" s="168"/>
      <c r="L25" s="168"/>
      <c r="M25" s="167"/>
      <c r="N25" s="169"/>
      <c r="O25" s="169"/>
      <c r="P25" s="169"/>
      <c r="Q25" s="169"/>
      <c r="R25" s="169"/>
      <c r="S25" s="169"/>
      <c r="T25" s="169"/>
      <c r="U25" s="169"/>
      <c r="V25" s="170"/>
      <c r="W25" s="170"/>
      <c r="X25" s="170"/>
      <c r="Y25" s="170"/>
      <c r="Z25" s="170"/>
      <c r="AA25" s="170"/>
      <c r="AB25" s="170"/>
      <c r="AC25" s="170"/>
      <c r="AD25" s="169"/>
      <c r="AE25" s="169"/>
      <c r="AF25" s="169"/>
      <c r="AG25" s="169"/>
      <c r="AH25" s="169"/>
      <c r="AI25" s="169"/>
      <c r="AJ25" s="169"/>
      <c r="AK25" s="169"/>
      <c r="AL25" s="171"/>
      <c r="AM25" s="169"/>
      <c r="AN25" s="169"/>
      <c r="AO25" s="169"/>
      <c r="AP25" s="169"/>
      <c r="AQ25" s="169"/>
      <c r="AR25" s="169"/>
      <c r="AS25" s="171"/>
      <c r="AT25" s="171"/>
      <c r="AU25" s="192"/>
      <c r="AV25" s="192"/>
      <c r="AW25" s="192"/>
      <c r="AX25" s="192"/>
      <c r="AY25" s="192"/>
      <c r="AZ25" s="192"/>
      <c r="BA25" s="172"/>
    </row>
    <row r="26" spans="1:55" ht="17.25" customHeight="1">
      <c r="A26" s="1935"/>
      <c r="B26" s="1935"/>
      <c r="C26" s="1935"/>
      <c r="D26" s="1935"/>
      <c r="E26" s="1935"/>
      <c r="F26" s="1935"/>
      <c r="G26" s="1935"/>
      <c r="H26" s="1935"/>
      <c r="I26" s="1935"/>
      <c r="J26" s="1935"/>
      <c r="K26" s="1935"/>
      <c r="L26" s="1935"/>
      <c r="M26" s="1935"/>
      <c r="AM26" s="175" t="s">
        <v>398</v>
      </c>
      <c r="AN26" s="171"/>
      <c r="AO26" s="169"/>
      <c r="AP26" s="169"/>
      <c r="AQ26" s="169"/>
      <c r="AR26" s="169"/>
      <c r="AS26" s="169"/>
      <c r="AT26" s="169"/>
      <c r="AU26" s="171"/>
      <c r="AV26" s="171"/>
      <c r="AW26" s="192"/>
      <c r="AX26" s="192"/>
      <c r="AY26" s="192"/>
      <c r="AZ26" s="192"/>
      <c r="BA26" s="192"/>
      <c r="BB26" s="192"/>
      <c r="BC26" s="172"/>
    </row>
    <row r="27" spans="1:55" ht="17.25" customHeight="1">
      <c r="A27" s="1936" t="s">
        <v>405</v>
      </c>
      <c r="B27" s="1936"/>
      <c r="C27" s="1936"/>
      <c r="D27" s="1936"/>
      <c r="E27" s="1936"/>
      <c r="F27" s="1936"/>
      <c r="G27" s="1936"/>
      <c r="H27" s="1936"/>
      <c r="I27" s="1936"/>
      <c r="J27" s="1936"/>
      <c r="K27" s="1936"/>
      <c r="L27" s="1936"/>
      <c r="M27" s="1936"/>
      <c r="N27" s="1936"/>
      <c r="O27" s="1936"/>
      <c r="P27" s="3050" t="str">
        <f>"令和"&amp;IF((入力ガイド!$C$6-2)&gt;=10,MID("０１２３４５６７８９",INT((入力ガイド!$C$6-2)/10)+1,1),"")&amp;MID("０１２３４５６７８９",MOD((入力ガイド!$C$6-2),10)+1,1)&amp;"年度"</f>
        <v>令和５年度</v>
      </c>
      <c r="Q27" s="3050"/>
      <c r="R27" s="3050"/>
      <c r="S27" s="3050"/>
      <c r="T27" s="3050"/>
      <c r="U27" s="3050"/>
      <c r="V27" s="3050"/>
      <c r="W27" s="3050"/>
      <c r="X27" s="3050" t="str">
        <f>"令和"&amp;IF((入力ガイド!$C$6-1)&gt;=10,MID("０１２３４５６７８９",INT((入力ガイド!$C$6-1)/10)+1,1),"")&amp;MID("０１２３４５６７８９",MOD((入力ガイド!$C$6-1),10)+1,1)&amp;"年度"</f>
        <v>令和６年度</v>
      </c>
      <c r="Y27" s="3050"/>
      <c r="Z27" s="3050"/>
      <c r="AA27" s="3050"/>
      <c r="AB27" s="3050"/>
      <c r="AC27" s="3050"/>
      <c r="AD27" s="3050"/>
      <c r="AE27" s="3050"/>
      <c r="AF27" s="3050" t="str">
        <f>"令和"&amp;IF((入力ガイド!$C$6)&gt;=10,MID("０１２３４５６７８９",INT((入力ガイド!$C$6)/10)+1,1),"")&amp;MID("０１２３４５６７８９",MOD((入力ガイド!$C$6),10)+1,1)&amp;"年度"</f>
        <v>令和７年度</v>
      </c>
      <c r="AG27" s="3050"/>
      <c r="AH27" s="3050"/>
      <c r="AI27" s="3050"/>
      <c r="AJ27" s="3050"/>
      <c r="AK27" s="3050"/>
      <c r="AL27" s="3050"/>
      <c r="AM27" s="3050"/>
      <c r="AN27" s="171"/>
      <c r="AO27" s="169"/>
      <c r="AP27" s="169"/>
      <c r="AQ27" s="169"/>
      <c r="AR27" s="169"/>
      <c r="AS27" s="169"/>
      <c r="AT27" s="169"/>
      <c r="AU27" s="171"/>
      <c r="AV27" s="171"/>
      <c r="AW27" s="192"/>
      <c r="AX27" s="192"/>
      <c r="AY27" s="192"/>
      <c r="AZ27" s="192"/>
      <c r="BA27" s="192"/>
      <c r="BB27" s="192"/>
      <c r="BC27" s="172"/>
    </row>
    <row r="28" spans="1:55" ht="17.25" customHeight="1">
      <c r="A28" s="1936"/>
      <c r="B28" s="1936"/>
      <c r="C28" s="1936"/>
      <c r="D28" s="1936"/>
      <c r="E28" s="1936"/>
      <c r="F28" s="1936"/>
      <c r="G28" s="1936"/>
      <c r="H28" s="1936"/>
      <c r="I28" s="1936"/>
      <c r="J28" s="1936"/>
      <c r="K28" s="1936"/>
      <c r="L28" s="1936"/>
      <c r="M28" s="1936"/>
      <c r="N28" s="1936"/>
      <c r="O28" s="1936"/>
      <c r="P28" s="3050"/>
      <c r="Q28" s="3050"/>
      <c r="R28" s="3050"/>
      <c r="S28" s="3050"/>
      <c r="T28" s="3050"/>
      <c r="U28" s="3050"/>
      <c r="V28" s="3050"/>
      <c r="W28" s="3050"/>
      <c r="X28" s="3050"/>
      <c r="Y28" s="3050"/>
      <c r="Z28" s="3050"/>
      <c r="AA28" s="3050"/>
      <c r="AB28" s="3050"/>
      <c r="AC28" s="3050"/>
      <c r="AD28" s="3050"/>
      <c r="AE28" s="3050"/>
      <c r="AF28" s="3050"/>
      <c r="AG28" s="3050"/>
      <c r="AH28" s="3050"/>
      <c r="AI28" s="3050"/>
      <c r="AJ28" s="3050"/>
      <c r="AK28" s="3050"/>
      <c r="AL28" s="3050"/>
      <c r="AM28" s="3050"/>
      <c r="AN28" s="171"/>
      <c r="AO28" s="169"/>
      <c r="AP28" s="169"/>
      <c r="AQ28" s="169"/>
      <c r="AR28" s="169"/>
      <c r="AS28" s="169"/>
      <c r="AT28" s="169"/>
      <c r="AU28" s="171"/>
      <c r="AV28" s="171"/>
      <c r="AW28" s="192"/>
      <c r="AX28" s="192"/>
      <c r="AY28" s="192"/>
      <c r="AZ28" s="192"/>
      <c r="BA28" s="192"/>
      <c r="BB28" s="192"/>
      <c r="BC28" s="172"/>
    </row>
    <row r="29" spans="1:55" ht="17.25" customHeight="1">
      <c r="A29" s="182"/>
      <c r="B29" s="1932" t="s">
        <v>27</v>
      </c>
      <c r="C29" s="1932"/>
      <c r="D29" s="1932"/>
      <c r="E29" s="1932"/>
      <c r="F29" s="1932"/>
      <c r="G29" s="1932"/>
      <c r="H29" s="1932"/>
      <c r="I29" s="1932"/>
      <c r="J29" s="1932"/>
      <c r="K29" s="1932"/>
      <c r="L29" s="1932"/>
      <c r="M29" s="1932"/>
      <c r="N29" s="1932"/>
      <c r="O29" s="183"/>
      <c r="P29" s="3051">
        <f>前年度貼付!$E$54</f>
        <v>0.1</v>
      </c>
      <c r="Q29" s="3051"/>
      <c r="R29" s="3051"/>
      <c r="S29" s="3051"/>
      <c r="T29" s="3051"/>
      <c r="U29" s="3051"/>
      <c r="V29" s="3051"/>
      <c r="W29" s="195"/>
      <c r="X29" s="3051">
        <f>前年度貼付!$E$55</f>
        <v>0.1</v>
      </c>
      <c r="Y29" s="3051"/>
      <c r="Z29" s="3051"/>
      <c r="AA29" s="3051"/>
      <c r="AB29" s="3051"/>
      <c r="AC29" s="3051"/>
      <c r="AD29" s="3051"/>
      <c r="AE29" s="195"/>
      <c r="AF29" s="3052">
        <v>0.1</v>
      </c>
      <c r="AG29" s="3051"/>
      <c r="AH29" s="3051"/>
      <c r="AI29" s="3051"/>
      <c r="AJ29" s="3051"/>
      <c r="AK29" s="3051"/>
      <c r="AL29" s="3051"/>
      <c r="AM29" s="195"/>
      <c r="AN29" s="171"/>
      <c r="AO29" s="169"/>
      <c r="AP29" s="169"/>
      <c r="AQ29" s="169"/>
      <c r="AR29" s="169"/>
      <c r="AS29" s="169"/>
      <c r="AT29" s="169"/>
      <c r="AU29" s="171"/>
      <c r="AV29" s="171"/>
      <c r="AW29" s="192"/>
      <c r="AX29" s="192"/>
      <c r="AY29" s="192"/>
      <c r="AZ29" s="192"/>
      <c r="BA29" s="192"/>
      <c r="BB29" s="192"/>
      <c r="BC29" s="172"/>
    </row>
    <row r="30" spans="1:55" ht="17.25" customHeight="1">
      <c r="A30" s="188"/>
      <c r="B30" s="1932" t="s">
        <v>28</v>
      </c>
      <c r="C30" s="1932"/>
      <c r="D30" s="1932"/>
      <c r="E30" s="1932"/>
      <c r="F30" s="1932"/>
      <c r="G30" s="1932"/>
      <c r="H30" s="1932"/>
      <c r="I30" s="1932"/>
      <c r="J30" s="1932"/>
      <c r="K30" s="1932"/>
      <c r="L30" s="1932"/>
      <c r="M30" s="1932"/>
      <c r="N30" s="1932"/>
      <c r="O30" s="197"/>
      <c r="P30" s="3051">
        <f>前年度貼付!$E$56</f>
        <v>0.08</v>
      </c>
      <c r="Q30" s="3051"/>
      <c r="R30" s="3051"/>
      <c r="S30" s="3051"/>
      <c r="T30" s="3051"/>
      <c r="U30" s="3051"/>
      <c r="V30" s="3051"/>
      <c r="W30" s="195"/>
      <c r="X30" s="3051">
        <f>前年度貼付!$E$57</f>
        <v>0.74</v>
      </c>
      <c r="Y30" s="3051"/>
      <c r="Z30" s="3051"/>
      <c r="AA30" s="3051"/>
      <c r="AB30" s="3051"/>
      <c r="AC30" s="3051"/>
      <c r="AD30" s="3051"/>
      <c r="AE30" s="195"/>
      <c r="AF30" s="3052">
        <v>0.87</v>
      </c>
      <c r="AG30" s="3051"/>
      <c r="AH30" s="3051"/>
      <c r="AI30" s="3051"/>
      <c r="AJ30" s="3051"/>
      <c r="AK30" s="3051"/>
      <c r="AL30" s="3051"/>
      <c r="AM30" s="195"/>
      <c r="AN30" s="171"/>
      <c r="AO30" s="169"/>
      <c r="AP30" s="169"/>
      <c r="AQ30" s="169"/>
      <c r="AR30" s="169"/>
      <c r="AS30" s="169"/>
      <c r="AT30" s="169"/>
      <c r="AU30" s="171"/>
      <c r="AV30" s="171"/>
      <c r="AW30" s="192"/>
      <c r="AX30" s="192"/>
      <c r="AY30" s="192"/>
      <c r="AZ30" s="192"/>
      <c r="BA30" s="192"/>
      <c r="BB30" s="192"/>
      <c r="BC30" s="172"/>
    </row>
    <row r="31" spans="1:55" s="198" customFormat="1" ht="24.9" customHeight="1">
      <c r="A31" s="198" t="s">
        <v>406</v>
      </c>
    </row>
  </sheetData>
  <sheetProtection formatCells="0" formatColumns="0" formatRows="0" insertColumns="0" insertRows="0" insertHyperlinks="0" deleteColumns="0" deleteRows="0" selectLockedCells="1"/>
  <mergeCells count="68">
    <mergeCell ref="A1:O1"/>
    <mergeCell ref="A4:M4"/>
    <mergeCell ref="A5:O5"/>
    <mergeCell ref="P5:W6"/>
    <mergeCell ref="X5:AE6"/>
    <mergeCell ref="AF5:AM6"/>
    <mergeCell ref="B7:N7"/>
    <mergeCell ref="P7:V7"/>
    <mergeCell ref="X7:AD7"/>
    <mergeCell ref="AF7:AL7"/>
    <mergeCell ref="B8:N8"/>
    <mergeCell ref="P8:V8"/>
    <mergeCell ref="X8:AD8"/>
    <mergeCell ref="AF8:AL8"/>
    <mergeCell ref="B9:N9"/>
    <mergeCell ref="P9:V9"/>
    <mergeCell ref="X9:AD9"/>
    <mergeCell ref="AF9:AL9"/>
    <mergeCell ref="B10:N10"/>
    <mergeCell ref="P10:V10"/>
    <mergeCell ref="X10:AD10"/>
    <mergeCell ref="AF10:AL10"/>
    <mergeCell ref="B11:N11"/>
    <mergeCell ref="P11:V11"/>
    <mergeCell ref="X11:AD11"/>
    <mergeCell ref="AF11:AL11"/>
    <mergeCell ref="B12:N12"/>
    <mergeCell ref="P12:V12"/>
    <mergeCell ref="X12:AE12"/>
    <mergeCell ref="AF12:AL12"/>
    <mergeCell ref="A16:M16"/>
    <mergeCell ref="A17:O17"/>
    <mergeCell ref="P17:W18"/>
    <mergeCell ref="X17:AE18"/>
    <mergeCell ref="AF17:AM18"/>
    <mergeCell ref="B19:N19"/>
    <mergeCell ref="P19:V19"/>
    <mergeCell ref="X19:AD19"/>
    <mergeCell ref="AF19:AL19"/>
    <mergeCell ref="B20:N20"/>
    <mergeCell ref="P20:V20"/>
    <mergeCell ref="X20:AD20"/>
    <mergeCell ref="AF20:AL20"/>
    <mergeCell ref="B21:N21"/>
    <mergeCell ref="P21:V21"/>
    <mergeCell ref="X21:AD21"/>
    <mergeCell ref="AF21:AL21"/>
    <mergeCell ref="B22:N22"/>
    <mergeCell ref="P22:V22"/>
    <mergeCell ref="X22:AD22"/>
    <mergeCell ref="AF22:AL22"/>
    <mergeCell ref="B23:N23"/>
    <mergeCell ref="P23:V23"/>
    <mergeCell ref="X23:AE23"/>
    <mergeCell ref="AF23:AL23"/>
    <mergeCell ref="A26:M26"/>
    <mergeCell ref="A27:O28"/>
    <mergeCell ref="P27:W28"/>
    <mergeCell ref="X27:AE28"/>
    <mergeCell ref="AF27:AM28"/>
    <mergeCell ref="B29:N29"/>
    <mergeCell ref="P29:V29"/>
    <mergeCell ref="X29:AD29"/>
    <mergeCell ref="AF29:AL29"/>
    <mergeCell ref="B30:N30"/>
    <mergeCell ref="P30:V30"/>
    <mergeCell ref="X30:AD30"/>
    <mergeCell ref="AF30:AL30"/>
  </mergeCells>
  <phoneticPr fontId="155"/>
  <conditionalFormatting sqref="P7 P8 P9 P10 P11 P12 P19 P20 P21 P22 P23 X7 X8 X9 X10 X11 X19 X20 X21 X22 AF29 AF30">
    <cfRule type="expression" dxfId="6" priority="1">
      <formula>AND(入力色表示=1,NOT(_xlfn.ISFORMULA(P7)))</formula>
    </cfRule>
  </conditionalFormatting>
  <dataValidations count="12">
    <dataValidation allowBlank="1" showInputMessage="1" promptTitle="手入力セル" prompt="反映先：報告_短期P6 AF7&#10;他の帳票：なし" sqref="P7 X7"/>
    <dataValidation allowBlank="1" showInputMessage="1" promptTitle="手入力セル" prompt="反映先：報告_短期P6 AF8&#10;他の帳票：なし" sqref="P8 X8"/>
    <dataValidation allowBlank="1" showInputMessage="1" promptTitle="手入力セル" prompt="反映先：報告_短期P6 AF9&#10;他の帳票：なし" sqref="P9 X9"/>
    <dataValidation allowBlank="1" showInputMessage="1" promptTitle="手入力セル" prompt="反映先：報告_短期P6 AF10&#10;他の帳票：なし" sqref="P10 X10"/>
    <dataValidation allowBlank="1" showInputMessage="1" promptTitle="手入力セル" prompt="反映先：報告_短期P6 AF11&#10;他の帳票：なし" sqref="P11 X11"/>
    <dataValidation allowBlank="1" showInputMessage="1" promptTitle="手入力セル" prompt="反映先：報告_短期P6 AF12&#10;他の帳票：なし" sqref="P12"/>
    <dataValidation allowBlank="1" showInputMessage="1" promptTitle="手入力セル" prompt="反映先：報告_短期P6 AF19&#10;他の帳票：なし" sqref="P19 X19"/>
    <dataValidation allowBlank="1" showInputMessage="1" promptTitle="手入力セル" prompt="反映先：報告_短期P6 AF20&#10;他の帳票：なし" sqref="P20 X20"/>
    <dataValidation allowBlank="1" showInputMessage="1" promptTitle="手入力セル" prompt="反映先：報告_短期P6 AF21&#10;他の帳票：なし" sqref="P21 X21"/>
    <dataValidation allowBlank="1" showInputMessage="1" promptTitle="手入力セル" prompt="反映先：報告_短期P6 AF22&#10;他の帳票：なし" sqref="P22 X22"/>
    <dataValidation allowBlank="1" showInputMessage="1" promptTitle="手入力セル" prompt="反映先：報告_短期P6 AF23&#10;他の帳票：なし" sqref="P23"/>
    <dataValidation allowBlank="1" showInputMessage="1" promptTitle="手入力セル" prompt="反映先：なし（このセルのみ）" sqref="AF29 AF30"/>
  </dataValidations>
  <printOptions horizontalCentered="1"/>
  <pageMargins left="0.66944444444444495" right="0.59027777777777801" top="0.78749999999999998" bottom="0.59027777777777801" header="0.511811023622047" footer="0.39374999999999999"/>
  <pageSetup paperSize="9" firstPageNumber="6" fitToHeight="0" orientation="portrait" cellComments="atEnd" useFirstPageNumber="1" horizontalDpi="300" verticalDpi="300"/>
  <headerFooter>
    <oddFooter>&amp;C&amp;"ＭＳ 明朝,Regular"－ &amp;P －</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C39EB-AF57-4B73-BE99-B9FC2DF8FCC4}">
  <sheetPr codeName="Sheet8"/>
  <dimension ref="A1:IW188"/>
  <sheetViews>
    <sheetView zoomScaleNormal="100" zoomScalePageLayoutView="60" workbookViewId="0">
      <selection activeCell="AZ28" sqref="AZ28:CA28"/>
    </sheetView>
  </sheetViews>
  <sheetFormatPr defaultColWidth="0.44140625" defaultRowHeight="13.2" outlineLevelRow="1"/>
  <cols>
    <col min="1" max="257" width="0.44140625" style="199"/>
  </cols>
  <sheetData>
    <row r="1" spans="1:191" s="166" customFormat="1" ht="20.100000000000001" customHeight="1">
      <c r="A1" s="173" t="s">
        <v>407</v>
      </c>
      <c r="B1" s="200"/>
      <c r="C1" s="200"/>
      <c r="D1" s="200"/>
      <c r="E1" s="200"/>
      <c r="F1" s="200"/>
      <c r="G1" s="200"/>
      <c r="H1" s="200"/>
      <c r="I1" s="200"/>
      <c r="J1" s="200"/>
      <c r="K1" s="200"/>
      <c r="L1" s="200"/>
      <c r="AP1" s="201"/>
    </row>
    <row r="2" spans="1:191" s="166" customFormat="1" ht="15" customHeight="1">
      <c r="FL2" s="1983" t="s">
        <v>408</v>
      </c>
      <c r="FM2" s="1983"/>
      <c r="FN2" s="1983"/>
      <c r="FO2" s="1983"/>
      <c r="FP2" s="1983"/>
      <c r="FQ2" s="1983"/>
      <c r="FR2" s="1983"/>
      <c r="FS2" s="1983"/>
      <c r="FT2" s="1983"/>
      <c r="FU2" s="1983"/>
      <c r="FV2" s="1983"/>
      <c r="FW2" s="1983"/>
      <c r="FX2" s="1983"/>
      <c r="FY2" s="1983"/>
      <c r="FZ2" s="1983"/>
      <c r="GA2" s="1983"/>
      <c r="GB2" s="1983"/>
      <c r="GC2" s="1983"/>
      <c r="GD2" s="1983"/>
      <c r="GE2" s="1983"/>
      <c r="GF2" s="1983"/>
      <c r="GG2" s="1983"/>
      <c r="GH2" s="1983"/>
    </row>
    <row r="3" spans="1:191" s="166" customFormat="1" ht="20.25" customHeight="1">
      <c r="A3" s="1942" t="s">
        <v>349</v>
      </c>
      <c r="B3" s="1942"/>
      <c r="C3" s="1942"/>
      <c r="D3" s="1942"/>
      <c r="E3" s="1942"/>
      <c r="F3" s="1942"/>
      <c r="G3" s="1942"/>
      <c r="H3" s="1942"/>
      <c r="I3" s="1942"/>
      <c r="J3" s="1942"/>
      <c r="K3" s="1942"/>
      <c r="L3" s="1942"/>
      <c r="M3" s="1942"/>
      <c r="N3" s="1942"/>
      <c r="O3" s="1942"/>
      <c r="P3" s="1942"/>
      <c r="Q3" s="1942"/>
      <c r="R3" s="1942"/>
      <c r="S3" s="1942"/>
      <c r="T3" s="1942"/>
      <c r="U3" s="1942"/>
      <c r="V3" s="1942"/>
      <c r="W3" s="1942"/>
      <c r="X3" s="1942"/>
      <c r="Y3" s="1942"/>
      <c r="Z3" s="1942"/>
      <c r="AA3" s="1942"/>
      <c r="AB3" s="1942"/>
      <c r="AC3" s="1942"/>
      <c r="AD3" s="1942"/>
      <c r="AE3" s="1942"/>
      <c r="AF3" s="1942"/>
      <c r="AG3" s="1942"/>
      <c r="AH3" s="1942"/>
      <c r="AI3" s="1942"/>
      <c r="AJ3" s="1942"/>
      <c r="AK3" s="1942"/>
      <c r="AL3" s="1942"/>
      <c r="AM3" s="1942"/>
      <c r="AN3" s="1942"/>
      <c r="AO3" s="1942"/>
      <c r="AP3" s="1942"/>
      <c r="AQ3" s="1942"/>
      <c r="AR3" s="1942"/>
      <c r="AS3" s="1942"/>
      <c r="AT3" s="1942"/>
      <c r="AU3" s="1942"/>
      <c r="AV3" s="1942"/>
      <c r="AW3" s="1942"/>
      <c r="AX3" s="1942"/>
      <c r="AY3" s="1942"/>
      <c r="AZ3" s="1943" t="s">
        <v>373</v>
      </c>
      <c r="BA3" s="1943"/>
      <c r="BB3" s="1943"/>
      <c r="BC3" s="1943"/>
      <c r="BD3" s="1943"/>
      <c r="BE3" s="1943"/>
      <c r="BF3" s="1943"/>
      <c r="BG3" s="1943"/>
      <c r="BH3" s="1943"/>
      <c r="BI3" s="1943"/>
      <c r="BJ3" s="1943"/>
      <c r="BK3" s="1943"/>
      <c r="BL3" s="1943"/>
      <c r="BM3" s="1943"/>
      <c r="BN3" s="1943"/>
      <c r="BO3" s="1943"/>
      <c r="BP3" s="1943"/>
      <c r="BQ3" s="1943"/>
      <c r="BR3" s="1943"/>
      <c r="BS3" s="1943"/>
      <c r="BT3" s="1943"/>
      <c r="BU3" s="1943"/>
      <c r="BV3" s="1943"/>
      <c r="BW3" s="1943"/>
      <c r="BX3" s="1943"/>
      <c r="BY3" s="1943"/>
      <c r="BZ3" s="1943"/>
      <c r="CA3" s="1943"/>
      <c r="CB3" s="1943" t="s">
        <v>409</v>
      </c>
      <c r="CC3" s="1943"/>
      <c r="CD3" s="1943"/>
      <c r="CE3" s="1943"/>
      <c r="CF3" s="1943"/>
      <c r="CG3" s="1943"/>
      <c r="CH3" s="1943"/>
      <c r="CI3" s="1943"/>
      <c r="CJ3" s="1943"/>
      <c r="CK3" s="1943"/>
      <c r="CL3" s="1943"/>
      <c r="CM3" s="1943"/>
      <c r="CN3" s="1943"/>
      <c r="CO3" s="1943"/>
      <c r="CP3" s="1943"/>
      <c r="CQ3" s="1943"/>
      <c r="CR3" s="1943"/>
      <c r="CS3" s="1943"/>
      <c r="CT3" s="1943"/>
      <c r="CU3" s="1943"/>
      <c r="CV3" s="1943"/>
      <c r="CW3" s="1943"/>
      <c r="CX3" s="1943"/>
      <c r="CY3" s="1943"/>
      <c r="CZ3" s="1943"/>
      <c r="DA3" s="1943"/>
      <c r="DB3" s="1943"/>
      <c r="DC3" s="1943"/>
      <c r="DD3" s="1943" t="s">
        <v>376</v>
      </c>
      <c r="DE3" s="1943"/>
      <c r="DF3" s="1943"/>
      <c r="DG3" s="1943"/>
      <c r="DH3" s="1943"/>
      <c r="DI3" s="1943"/>
      <c r="DJ3" s="1943"/>
      <c r="DK3" s="1943"/>
      <c r="DL3" s="1943"/>
      <c r="DM3" s="1943"/>
      <c r="DN3" s="1943"/>
      <c r="DO3" s="1943"/>
      <c r="DP3" s="1943"/>
      <c r="DQ3" s="1943"/>
      <c r="DR3" s="1943"/>
      <c r="DS3" s="1943"/>
      <c r="DT3" s="1943"/>
      <c r="DU3" s="1943"/>
      <c r="DV3" s="1943"/>
      <c r="DW3" s="1943"/>
      <c r="DX3" s="1943"/>
      <c r="DY3" s="1943"/>
      <c r="DZ3" s="1943"/>
      <c r="EA3" s="1943"/>
      <c r="EB3" s="1943"/>
      <c r="EC3" s="1943"/>
      <c r="ED3" s="1943"/>
      <c r="EE3" s="1943"/>
      <c r="EF3" s="1943" t="s">
        <v>410</v>
      </c>
      <c r="EG3" s="1943"/>
      <c r="EH3" s="1943"/>
      <c r="EI3" s="1943"/>
      <c r="EJ3" s="1943"/>
      <c r="EK3" s="1943"/>
      <c r="EL3" s="1943"/>
      <c r="EM3" s="1943"/>
      <c r="EN3" s="1943"/>
      <c r="EO3" s="1943"/>
      <c r="EP3" s="1943"/>
      <c r="EQ3" s="1943"/>
      <c r="ER3" s="1943"/>
      <c r="ES3" s="1943"/>
      <c r="ET3" s="1943"/>
      <c r="EU3" s="1943"/>
      <c r="EV3" s="1943"/>
      <c r="EW3" s="1943"/>
      <c r="EX3" s="1943"/>
      <c r="EY3" s="1943"/>
      <c r="EZ3" s="1943"/>
      <c r="FA3" s="1943"/>
      <c r="FB3" s="1943"/>
      <c r="FC3" s="1943"/>
      <c r="FD3" s="1943"/>
      <c r="FE3" s="1943"/>
      <c r="FF3" s="1943"/>
      <c r="FG3" s="1943"/>
      <c r="FH3" s="1943"/>
      <c r="FI3" s="1943"/>
      <c r="FJ3" s="1943"/>
      <c r="FK3" s="1943"/>
      <c r="FL3" s="1943"/>
      <c r="FM3" s="1943"/>
      <c r="FN3" s="1943"/>
      <c r="FO3" s="1943"/>
      <c r="FP3" s="1943"/>
      <c r="FQ3" s="1943"/>
      <c r="FR3" s="1943"/>
      <c r="FS3" s="1943"/>
      <c r="FT3" s="1943"/>
      <c r="FU3" s="1943"/>
      <c r="FV3" s="1943"/>
      <c r="FW3" s="1943"/>
      <c r="FX3" s="1943"/>
      <c r="FY3" s="1943"/>
      <c r="FZ3" s="1943"/>
      <c r="GA3" s="1943"/>
      <c r="GB3" s="1943"/>
      <c r="GC3" s="1943"/>
      <c r="GD3" s="1943"/>
      <c r="GE3" s="1943"/>
      <c r="GF3" s="1943"/>
      <c r="GG3" s="1943"/>
      <c r="GH3" s="1943"/>
      <c r="GI3" s="1943"/>
    </row>
    <row r="4" spans="1:191" s="166" customFormat="1" ht="20.25" customHeight="1">
      <c r="A4" s="2001" t="s">
        <v>411</v>
      </c>
      <c r="B4" s="2001"/>
      <c r="C4" s="2001"/>
      <c r="D4" s="2001"/>
      <c r="E4" s="2001"/>
      <c r="F4" s="2001"/>
      <c r="G4" s="2001"/>
      <c r="H4" s="2001"/>
      <c r="I4" s="2001"/>
      <c r="J4" s="2001"/>
      <c r="K4" s="2001"/>
      <c r="L4" s="2001"/>
      <c r="M4" s="2001"/>
      <c r="N4" s="2001"/>
      <c r="O4" s="2001"/>
      <c r="P4" s="2001"/>
      <c r="Q4" s="2001"/>
      <c r="R4" s="2001"/>
      <c r="S4" s="2001"/>
      <c r="T4" s="2001"/>
      <c r="U4" s="2001"/>
      <c r="V4" s="2001"/>
      <c r="W4" s="2001"/>
      <c r="X4" s="2001"/>
      <c r="Y4" s="2001"/>
      <c r="Z4" s="2001"/>
      <c r="AA4" s="2001"/>
      <c r="AB4" s="2001"/>
      <c r="AC4" s="2001"/>
      <c r="AD4" s="2001"/>
      <c r="AE4" s="2001"/>
      <c r="AF4" s="2001"/>
      <c r="AG4" s="2001"/>
      <c r="AH4" s="2001"/>
      <c r="AI4" s="2001"/>
      <c r="AJ4" s="2001"/>
      <c r="AK4" s="2001"/>
      <c r="AL4" s="2001"/>
      <c r="AM4" s="2001"/>
      <c r="AN4" s="2001"/>
      <c r="AO4" s="2001"/>
      <c r="AP4" s="2001"/>
      <c r="AQ4" s="2001"/>
      <c r="AR4" s="2001"/>
      <c r="AS4" s="2001"/>
      <c r="AT4" s="2001"/>
      <c r="AU4" s="2001"/>
      <c r="AV4" s="2001"/>
      <c r="AW4" s="2001"/>
      <c r="AX4" s="2001"/>
      <c r="AY4" s="2001"/>
      <c r="AZ4" s="1943"/>
      <c r="BA4" s="1943"/>
      <c r="BB4" s="1943"/>
      <c r="BC4" s="1943"/>
      <c r="BD4" s="1943"/>
      <c r="BE4" s="1943"/>
      <c r="BF4" s="1943"/>
      <c r="BG4" s="1943"/>
      <c r="BH4" s="1943"/>
      <c r="BI4" s="1943"/>
      <c r="BJ4" s="1943"/>
      <c r="BK4" s="1943"/>
      <c r="BL4" s="1943"/>
      <c r="BM4" s="1943"/>
      <c r="BN4" s="1943"/>
      <c r="BO4" s="1943"/>
      <c r="BP4" s="1943"/>
      <c r="BQ4" s="1943"/>
      <c r="BR4" s="1943"/>
      <c r="BS4" s="1943"/>
      <c r="BT4" s="1943"/>
      <c r="BU4" s="1943"/>
      <c r="BV4" s="1943"/>
      <c r="BW4" s="1943"/>
      <c r="BX4" s="1943"/>
      <c r="BY4" s="1943"/>
      <c r="BZ4" s="1943"/>
      <c r="CA4" s="1943"/>
      <c r="CB4" s="1943"/>
      <c r="CC4" s="1943"/>
      <c r="CD4" s="1943"/>
      <c r="CE4" s="1943"/>
      <c r="CF4" s="1943"/>
      <c r="CG4" s="1943"/>
      <c r="CH4" s="1943"/>
      <c r="CI4" s="1943"/>
      <c r="CJ4" s="1943"/>
      <c r="CK4" s="1943"/>
      <c r="CL4" s="1943"/>
      <c r="CM4" s="1943"/>
      <c r="CN4" s="1943"/>
      <c r="CO4" s="1943"/>
      <c r="CP4" s="1943"/>
      <c r="CQ4" s="1943"/>
      <c r="CR4" s="1943"/>
      <c r="CS4" s="1943"/>
      <c r="CT4" s="1943"/>
      <c r="CU4" s="1943"/>
      <c r="CV4" s="1943"/>
      <c r="CW4" s="1943"/>
      <c r="CX4" s="1943"/>
      <c r="CY4" s="1943"/>
      <c r="CZ4" s="1943"/>
      <c r="DA4" s="1943"/>
      <c r="DB4" s="1943"/>
      <c r="DC4" s="1943"/>
      <c r="DD4" s="1943"/>
      <c r="DE4" s="1943"/>
      <c r="DF4" s="1943"/>
      <c r="DG4" s="1943"/>
      <c r="DH4" s="1943"/>
      <c r="DI4" s="1943"/>
      <c r="DJ4" s="1943"/>
      <c r="DK4" s="1943"/>
      <c r="DL4" s="1943"/>
      <c r="DM4" s="1943"/>
      <c r="DN4" s="1943"/>
      <c r="DO4" s="1943"/>
      <c r="DP4" s="1943"/>
      <c r="DQ4" s="1943"/>
      <c r="DR4" s="1943"/>
      <c r="DS4" s="1943"/>
      <c r="DT4" s="1943"/>
      <c r="DU4" s="1943"/>
      <c r="DV4" s="1943"/>
      <c r="DW4" s="1943"/>
      <c r="DX4" s="1943"/>
      <c r="DY4" s="1943"/>
      <c r="DZ4" s="1943"/>
      <c r="EA4" s="1943"/>
      <c r="EB4" s="1943"/>
      <c r="EC4" s="1943"/>
      <c r="ED4" s="1943"/>
      <c r="EE4" s="1943"/>
      <c r="EF4" s="1943" t="s">
        <v>378</v>
      </c>
      <c r="EG4" s="1943"/>
      <c r="EH4" s="1943"/>
      <c r="EI4" s="1943"/>
      <c r="EJ4" s="1943"/>
      <c r="EK4" s="1943"/>
      <c r="EL4" s="1943"/>
      <c r="EM4" s="1943"/>
      <c r="EN4" s="1943"/>
      <c r="EO4" s="1943"/>
      <c r="EP4" s="1943"/>
      <c r="EQ4" s="1943"/>
      <c r="ER4" s="1943"/>
      <c r="ES4" s="1943"/>
      <c r="ET4" s="1943"/>
      <c r="EU4" s="1943"/>
      <c r="EV4" s="1943"/>
      <c r="EW4" s="1943"/>
      <c r="EX4" s="1943"/>
      <c r="EY4" s="1943"/>
      <c r="EZ4" s="1943"/>
      <c r="FA4" s="1943"/>
      <c r="FB4" s="1943"/>
      <c r="FC4" s="1943"/>
      <c r="FD4" s="1943"/>
      <c r="FE4" s="1943"/>
      <c r="FF4" s="1943"/>
      <c r="FG4" s="1943"/>
      <c r="FH4" s="1943" t="s">
        <v>376</v>
      </c>
      <c r="FI4" s="1943"/>
      <c r="FJ4" s="1943"/>
      <c r="FK4" s="1943"/>
      <c r="FL4" s="1943"/>
      <c r="FM4" s="1943"/>
      <c r="FN4" s="1943"/>
      <c r="FO4" s="1943"/>
      <c r="FP4" s="1943"/>
      <c r="FQ4" s="1943"/>
      <c r="FR4" s="1943"/>
      <c r="FS4" s="1943"/>
      <c r="FT4" s="1943"/>
      <c r="FU4" s="1943"/>
      <c r="FV4" s="1943"/>
      <c r="FW4" s="1943"/>
      <c r="FX4" s="1943"/>
      <c r="FY4" s="1943"/>
      <c r="FZ4" s="1943"/>
      <c r="GA4" s="1943"/>
      <c r="GB4" s="1943"/>
      <c r="GC4" s="1943"/>
      <c r="GD4" s="1943"/>
      <c r="GE4" s="1943"/>
      <c r="GF4" s="1943"/>
      <c r="GG4" s="1943"/>
      <c r="GH4" s="1943"/>
      <c r="GI4" s="1943"/>
    </row>
    <row r="5" spans="1:191" s="166" customFormat="1" ht="20.25" customHeight="1">
      <c r="A5" s="188"/>
      <c r="B5" s="189"/>
      <c r="C5" s="189"/>
      <c r="D5" s="1932" t="s">
        <v>29</v>
      </c>
      <c r="E5" s="1932"/>
      <c r="F5" s="1932"/>
      <c r="G5" s="1932"/>
      <c r="H5" s="1932"/>
      <c r="I5" s="1932"/>
      <c r="J5" s="1932"/>
      <c r="K5" s="1932"/>
      <c r="L5" s="1932"/>
      <c r="M5" s="1932"/>
      <c r="N5" s="1932"/>
      <c r="O5" s="1932"/>
      <c r="P5" s="1932"/>
      <c r="Q5" s="1932"/>
      <c r="R5" s="1932"/>
      <c r="S5" s="1932"/>
      <c r="T5" s="1932"/>
      <c r="U5" s="1932"/>
      <c r="V5" s="1932"/>
      <c r="W5" s="1932"/>
      <c r="X5" s="1932"/>
      <c r="Y5" s="1932"/>
      <c r="Z5" s="1932"/>
      <c r="AA5" s="1932"/>
      <c r="AB5" s="1932"/>
      <c r="AC5" s="1932"/>
      <c r="AD5" s="1932"/>
      <c r="AE5" s="1932"/>
      <c r="AF5" s="1932"/>
      <c r="AG5" s="1932"/>
      <c r="AH5" s="1932"/>
      <c r="AI5" s="1932"/>
      <c r="AJ5" s="1932"/>
      <c r="AK5" s="1932"/>
      <c r="AL5" s="1932"/>
      <c r="AM5" s="1932"/>
      <c r="AN5" s="1932"/>
      <c r="AO5" s="1932"/>
      <c r="AP5" s="1932"/>
      <c r="AQ5" s="1932"/>
      <c r="AR5" s="1932"/>
      <c r="AS5" s="1932"/>
      <c r="AT5" s="1932"/>
      <c r="AU5" s="1932"/>
      <c r="AV5" s="1932"/>
      <c r="AW5" s="189"/>
      <c r="AX5" s="189"/>
      <c r="AY5" s="197"/>
      <c r="AZ5" s="3053">
        <v>5350860000</v>
      </c>
      <c r="BA5" s="3054"/>
      <c r="BB5" s="3054"/>
      <c r="BC5" s="3054"/>
      <c r="BD5" s="3054"/>
      <c r="BE5" s="3054"/>
      <c r="BF5" s="3054"/>
      <c r="BG5" s="3054"/>
      <c r="BH5" s="3054"/>
      <c r="BI5" s="3054"/>
      <c r="BJ5" s="3054"/>
      <c r="BK5" s="3054"/>
      <c r="BL5" s="3054"/>
      <c r="BM5" s="3054"/>
      <c r="BN5" s="3054"/>
      <c r="BO5" s="3054"/>
      <c r="BP5" s="3054"/>
      <c r="BQ5" s="3054"/>
      <c r="BR5" s="3054"/>
      <c r="BS5" s="3054"/>
      <c r="BT5" s="3054"/>
      <c r="BU5" s="3054"/>
      <c r="BV5" s="3054"/>
      <c r="BW5" s="3054"/>
      <c r="BX5" s="3054"/>
      <c r="BY5" s="3054"/>
      <c r="BZ5" s="3054"/>
      <c r="CA5" s="3054"/>
      <c r="CB5" s="3054">
        <f>短期_財務諸表!F39-CB6</f>
        <v>5553498733</v>
      </c>
      <c r="CC5" s="3054"/>
      <c r="CD5" s="3054"/>
      <c r="CE5" s="3054"/>
      <c r="CF5" s="3054"/>
      <c r="CG5" s="3054"/>
      <c r="CH5" s="3054"/>
      <c r="CI5" s="3054"/>
      <c r="CJ5" s="3054"/>
      <c r="CK5" s="3054"/>
      <c r="CL5" s="3054"/>
      <c r="CM5" s="3054"/>
      <c r="CN5" s="3054"/>
      <c r="CO5" s="3054"/>
      <c r="CP5" s="3054"/>
      <c r="CQ5" s="3054"/>
      <c r="CR5" s="3054"/>
      <c r="CS5" s="3054"/>
      <c r="CT5" s="3054"/>
      <c r="CU5" s="3054"/>
      <c r="CV5" s="3054"/>
      <c r="CW5" s="3054"/>
      <c r="CX5" s="3054"/>
      <c r="CY5" s="3054"/>
      <c r="CZ5" s="3054"/>
      <c r="DA5" s="3054"/>
      <c r="DB5" s="3054"/>
      <c r="DC5" s="3054"/>
      <c r="DD5" s="1988">
        <f t="shared" ref="DD5:DD29" si="0">CB5-AZ5</f>
        <v>202638733</v>
      </c>
      <c r="DE5" s="1988"/>
      <c r="DF5" s="1988"/>
      <c r="DG5" s="1988"/>
      <c r="DH5" s="1988"/>
      <c r="DI5" s="1988"/>
      <c r="DJ5" s="1988"/>
      <c r="DK5" s="1988"/>
      <c r="DL5" s="1988"/>
      <c r="DM5" s="1988"/>
      <c r="DN5" s="1988"/>
      <c r="DO5" s="1988"/>
      <c r="DP5" s="1988"/>
      <c r="DQ5" s="1988"/>
      <c r="DR5" s="1988"/>
      <c r="DS5" s="1988"/>
      <c r="DT5" s="1988"/>
      <c r="DU5" s="1988"/>
      <c r="DV5" s="1988"/>
      <c r="DW5" s="1988"/>
      <c r="DX5" s="1988"/>
      <c r="DY5" s="1988"/>
      <c r="DZ5" s="1988"/>
      <c r="EA5" s="1988"/>
      <c r="EB5" s="1988"/>
      <c r="EC5" s="1988"/>
      <c r="ED5" s="1988"/>
      <c r="EE5" s="1988"/>
      <c r="EF5" s="3054">
        <f>前年度貼付!$E$58</f>
        <v>5337035666</v>
      </c>
      <c r="EG5" s="3054"/>
      <c r="EH5" s="3054"/>
      <c r="EI5" s="3054"/>
      <c r="EJ5" s="3054"/>
      <c r="EK5" s="3054"/>
      <c r="EL5" s="3054"/>
      <c r="EM5" s="3054"/>
      <c r="EN5" s="3054"/>
      <c r="EO5" s="3054"/>
      <c r="EP5" s="3054"/>
      <c r="EQ5" s="3054"/>
      <c r="ER5" s="3054"/>
      <c r="ES5" s="3054"/>
      <c r="ET5" s="3054"/>
      <c r="EU5" s="3054"/>
      <c r="EV5" s="3054"/>
      <c r="EW5" s="3054"/>
      <c r="EX5" s="3054"/>
      <c r="EY5" s="3054"/>
      <c r="EZ5" s="3054"/>
      <c r="FA5" s="3054"/>
      <c r="FB5" s="3054"/>
      <c r="FC5" s="3054"/>
      <c r="FD5" s="3054"/>
      <c r="FE5" s="3054"/>
      <c r="FF5" s="3054"/>
      <c r="FG5" s="3054"/>
      <c r="FH5" s="1988">
        <f t="shared" ref="FH5:FH29" si="1">CB5-EF5</f>
        <v>216463067</v>
      </c>
      <c r="FI5" s="1988"/>
      <c r="FJ5" s="1988"/>
      <c r="FK5" s="1988"/>
      <c r="FL5" s="1988"/>
      <c r="FM5" s="1988"/>
      <c r="FN5" s="1988"/>
      <c r="FO5" s="1988"/>
      <c r="FP5" s="1988"/>
      <c r="FQ5" s="1988"/>
      <c r="FR5" s="1988"/>
      <c r="FS5" s="1988"/>
      <c r="FT5" s="1988"/>
      <c r="FU5" s="1988"/>
      <c r="FV5" s="1988"/>
      <c r="FW5" s="1988"/>
      <c r="FX5" s="1988"/>
      <c r="FY5" s="1988"/>
      <c r="FZ5" s="1988"/>
      <c r="GA5" s="1988"/>
      <c r="GB5" s="1988"/>
      <c r="GC5" s="1988"/>
      <c r="GD5" s="1988"/>
      <c r="GE5" s="1988"/>
      <c r="GF5" s="1988"/>
      <c r="GG5" s="1988"/>
      <c r="GH5" s="1988"/>
      <c r="GI5" s="1988"/>
    </row>
    <row r="6" spans="1:191" s="166" customFormat="1" ht="20.25" customHeight="1">
      <c r="A6" s="188"/>
      <c r="B6" s="189"/>
      <c r="C6" s="189"/>
      <c r="D6" s="1932" t="s">
        <v>30</v>
      </c>
      <c r="E6" s="1932"/>
      <c r="F6" s="1932"/>
      <c r="G6" s="1932"/>
      <c r="H6" s="1932"/>
      <c r="I6" s="1932"/>
      <c r="J6" s="1932"/>
      <c r="K6" s="1932"/>
      <c r="L6" s="1932"/>
      <c r="M6" s="1932"/>
      <c r="N6" s="1932"/>
      <c r="O6" s="1932"/>
      <c r="P6" s="1932"/>
      <c r="Q6" s="1932"/>
      <c r="R6" s="1932"/>
      <c r="S6" s="1932"/>
      <c r="T6" s="1932"/>
      <c r="U6" s="1932"/>
      <c r="V6" s="1932"/>
      <c r="W6" s="1932"/>
      <c r="X6" s="1932"/>
      <c r="Y6" s="1932"/>
      <c r="Z6" s="1932"/>
      <c r="AA6" s="1932"/>
      <c r="AB6" s="1932"/>
      <c r="AC6" s="1932"/>
      <c r="AD6" s="1932"/>
      <c r="AE6" s="1932"/>
      <c r="AF6" s="1932"/>
      <c r="AG6" s="1932"/>
      <c r="AH6" s="1932"/>
      <c r="AI6" s="1932"/>
      <c r="AJ6" s="1932"/>
      <c r="AK6" s="1932"/>
      <c r="AL6" s="1932"/>
      <c r="AM6" s="1932"/>
      <c r="AN6" s="1932"/>
      <c r="AO6" s="1932"/>
      <c r="AP6" s="1932"/>
      <c r="AQ6" s="1932"/>
      <c r="AR6" s="1932"/>
      <c r="AS6" s="1932"/>
      <c r="AT6" s="1932"/>
      <c r="AU6" s="1932"/>
      <c r="AV6" s="1932"/>
      <c r="AW6" s="189"/>
      <c r="AX6" s="189"/>
      <c r="AY6" s="197"/>
      <c r="AZ6" s="3053">
        <v>67236000</v>
      </c>
      <c r="BA6" s="3054"/>
      <c r="BB6" s="3054"/>
      <c r="BC6" s="3054"/>
      <c r="BD6" s="3054"/>
      <c r="BE6" s="3054"/>
      <c r="BF6" s="3054"/>
      <c r="BG6" s="3054"/>
      <c r="BH6" s="3054"/>
      <c r="BI6" s="3054"/>
      <c r="BJ6" s="3054"/>
      <c r="BK6" s="3054"/>
      <c r="BL6" s="3054"/>
      <c r="BM6" s="3054"/>
      <c r="BN6" s="3054"/>
      <c r="BO6" s="3054"/>
      <c r="BP6" s="3054"/>
      <c r="BQ6" s="3054"/>
      <c r="BR6" s="3054"/>
      <c r="BS6" s="3054"/>
      <c r="BT6" s="3054"/>
      <c r="BU6" s="3054"/>
      <c r="BV6" s="3054"/>
      <c r="BW6" s="3054"/>
      <c r="BX6" s="3054"/>
      <c r="BY6" s="3054"/>
      <c r="BZ6" s="3054"/>
      <c r="CA6" s="3054"/>
      <c r="CB6" s="3053">
        <v>68555495</v>
      </c>
      <c r="CC6" s="3054"/>
      <c r="CD6" s="3054"/>
      <c r="CE6" s="3054"/>
      <c r="CF6" s="3054"/>
      <c r="CG6" s="3054"/>
      <c r="CH6" s="3054"/>
      <c r="CI6" s="3054"/>
      <c r="CJ6" s="3054"/>
      <c r="CK6" s="3054"/>
      <c r="CL6" s="3054"/>
      <c r="CM6" s="3054"/>
      <c r="CN6" s="3054"/>
      <c r="CO6" s="3054"/>
      <c r="CP6" s="3054"/>
      <c r="CQ6" s="3054"/>
      <c r="CR6" s="3054"/>
      <c r="CS6" s="3054"/>
      <c r="CT6" s="3054"/>
      <c r="CU6" s="3054"/>
      <c r="CV6" s="3054"/>
      <c r="CW6" s="3054"/>
      <c r="CX6" s="3054"/>
      <c r="CY6" s="3054"/>
      <c r="CZ6" s="3054"/>
      <c r="DA6" s="3054"/>
      <c r="DB6" s="3054"/>
      <c r="DC6" s="3054"/>
      <c r="DD6" s="1988">
        <f t="shared" si="0"/>
        <v>1319495</v>
      </c>
      <c r="DE6" s="1988"/>
      <c r="DF6" s="1988"/>
      <c r="DG6" s="1988"/>
      <c r="DH6" s="1988"/>
      <c r="DI6" s="1988"/>
      <c r="DJ6" s="1988"/>
      <c r="DK6" s="1988"/>
      <c r="DL6" s="1988"/>
      <c r="DM6" s="1988"/>
      <c r="DN6" s="1988"/>
      <c r="DO6" s="1988"/>
      <c r="DP6" s="1988"/>
      <c r="DQ6" s="1988"/>
      <c r="DR6" s="1988"/>
      <c r="DS6" s="1988"/>
      <c r="DT6" s="1988"/>
      <c r="DU6" s="1988"/>
      <c r="DV6" s="1988"/>
      <c r="DW6" s="1988"/>
      <c r="DX6" s="1988"/>
      <c r="DY6" s="1988"/>
      <c r="DZ6" s="1988"/>
      <c r="EA6" s="1988"/>
      <c r="EB6" s="1988"/>
      <c r="EC6" s="1988"/>
      <c r="ED6" s="1988"/>
      <c r="EE6" s="1988"/>
      <c r="EF6" s="3054">
        <f>前年度貼付!$E$59</f>
        <v>55855362</v>
      </c>
      <c r="EG6" s="3054"/>
      <c r="EH6" s="3054"/>
      <c r="EI6" s="3054"/>
      <c r="EJ6" s="3054"/>
      <c r="EK6" s="3054"/>
      <c r="EL6" s="3054"/>
      <c r="EM6" s="3054"/>
      <c r="EN6" s="3054"/>
      <c r="EO6" s="3054"/>
      <c r="EP6" s="3054"/>
      <c r="EQ6" s="3054"/>
      <c r="ER6" s="3054"/>
      <c r="ES6" s="3054"/>
      <c r="ET6" s="3054"/>
      <c r="EU6" s="3054"/>
      <c r="EV6" s="3054"/>
      <c r="EW6" s="3054"/>
      <c r="EX6" s="3054"/>
      <c r="EY6" s="3054"/>
      <c r="EZ6" s="3054"/>
      <c r="FA6" s="3054"/>
      <c r="FB6" s="3054"/>
      <c r="FC6" s="3054"/>
      <c r="FD6" s="3054"/>
      <c r="FE6" s="3054"/>
      <c r="FF6" s="3054"/>
      <c r="FG6" s="3054"/>
      <c r="FH6" s="1988">
        <f t="shared" si="1"/>
        <v>12700133</v>
      </c>
      <c r="FI6" s="1988"/>
      <c r="FJ6" s="1988"/>
      <c r="FK6" s="1988"/>
      <c r="FL6" s="1988"/>
      <c r="FM6" s="1988"/>
      <c r="FN6" s="1988"/>
      <c r="FO6" s="1988"/>
      <c r="FP6" s="1988"/>
      <c r="FQ6" s="1988"/>
      <c r="FR6" s="1988"/>
      <c r="FS6" s="1988"/>
      <c r="FT6" s="1988"/>
      <c r="FU6" s="1988"/>
      <c r="FV6" s="1988"/>
      <c r="FW6" s="1988"/>
      <c r="FX6" s="1988"/>
      <c r="FY6" s="1988"/>
      <c r="FZ6" s="1988"/>
      <c r="GA6" s="1988"/>
      <c r="GB6" s="1988"/>
      <c r="GC6" s="1988"/>
      <c r="GD6" s="1988"/>
      <c r="GE6" s="1988"/>
      <c r="GF6" s="1988"/>
      <c r="GG6" s="1988"/>
      <c r="GH6" s="1988"/>
      <c r="GI6" s="1988"/>
    </row>
    <row r="7" spans="1:191" s="166" customFormat="1" ht="20.25" customHeight="1">
      <c r="A7" s="188"/>
      <c r="B7" s="189"/>
      <c r="C7" s="189"/>
      <c r="D7" s="1932" t="s">
        <v>31</v>
      </c>
      <c r="E7" s="1932"/>
      <c r="F7" s="1932"/>
      <c r="G7" s="1932"/>
      <c r="H7" s="1932"/>
      <c r="I7" s="1932"/>
      <c r="J7" s="1932"/>
      <c r="K7" s="1932"/>
      <c r="L7" s="1932"/>
      <c r="M7" s="1932"/>
      <c r="N7" s="1932"/>
      <c r="O7" s="1932"/>
      <c r="P7" s="1932"/>
      <c r="Q7" s="1932"/>
      <c r="R7" s="1932"/>
      <c r="S7" s="1932"/>
      <c r="T7" s="1932"/>
      <c r="U7" s="1932"/>
      <c r="V7" s="1932"/>
      <c r="W7" s="1932"/>
      <c r="X7" s="1932"/>
      <c r="Y7" s="1932"/>
      <c r="Z7" s="1932"/>
      <c r="AA7" s="1932"/>
      <c r="AB7" s="1932"/>
      <c r="AC7" s="1932"/>
      <c r="AD7" s="1932"/>
      <c r="AE7" s="1932"/>
      <c r="AF7" s="1932"/>
      <c r="AG7" s="1932"/>
      <c r="AH7" s="1932"/>
      <c r="AI7" s="1932"/>
      <c r="AJ7" s="1932"/>
      <c r="AK7" s="1932"/>
      <c r="AL7" s="1932"/>
      <c r="AM7" s="1932"/>
      <c r="AN7" s="1932"/>
      <c r="AO7" s="1932"/>
      <c r="AP7" s="1932"/>
      <c r="AQ7" s="1932"/>
      <c r="AR7" s="1932"/>
      <c r="AS7" s="1932"/>
      <c r="AT7" s="1932"/>
      <c r="AU7" s="1932"/>
      <c r="AV7" s="1932"/>
      <c r="AW7" s="189"/>
      <c r="AX7" s="189"/>
      <c r="AY7" s="197"/>
      <c r="AZ7" s="3053">
        <v>467896000</v>
      </c>
      <c r="BA7" s="3054"/>
      <c r="BB7" s="3054"/>
      <c r="BC7" s="3054"/>
      <c r="BD7" s="3054"/>
      <c r="BE7" s="3054"/>
      <c r="BF7" s="3054"/>
      <c r="BG7" s="3054"/>
      <c r="BH7" s="3054"/>
      <c r="BI7" s="3054"/>
      <c r="BJ7" s="3054"/>
      <c r="BK7" s="3054"/>
      <c r="BL7" s="3054"/>
      <c r="BM7" s="3054"/>
      <c r="BN7" s="3054"/>
      <c r="BO7" s="3054"/>
      <c r="BP7" s="3054"/>
      <c r="BQ7" s="3054"/>
      <c r="BR7" s="3054"/>
      <c r="BS7" s="3054"/>
      <c r="BT7" s="3054"/>
      <c r="BU7" s="3054"/>
      <c r="BV7" s="3054"/>
      <c r="BW7" s="3054"/>
      <c r="BX7" s="3054"/>
      <c r="BY7" s="3054"/>
      <c r="BZ7" s="3054"/>
      <c r="CA7" s="3054"/>
      <c r="CB7" s="3054">
        <f>短期_財務諸表!F40</f>
        <v>496114904</v>
      </c>
      <c r="CC7" s="3054"/>
      <c r="CD7" s="3054"/>
      <c r="CE7" s="3054"/>
      <c r="CF7" s="3054"/>
      <c r="CG7" s="3054"/>
      <c r="CH7" s="3054"/>
      <c r="CI7" s="3054"/>
      <c r="CJ7" s="3054"/>
      <c r="CK7" s="3054"/>
      <c r="CL7" s="3054"/>
      <c r="CM7" s="3054"/>
      <c r="CN7" s="3054"/>
      <c r="CO7" s="3054"/>
      <c r="CP7" s="3054"/>
      <c r="CQ7" s="3054"/>
      <c r="CR7" s="3054"/>
      <c r="CS7" s="3054"/>
      <c r="CT7" s="3054"/>
      <c r="CU7" s="3054"/>
      <c r="CV7" s="3054"/>
      <c r="CW7" s="3054"/>
      <c r="CX7" s="3054"/>
      <c r="CY7" s="3054"/>
      <c r="CZ7" s="3054"/>
      <c r="DA7" s="3054"/>
      <c r="DB7" s="3054"/>
      <c r="DC7" s="3054"/>
      <c r="DD7" s="1988">
        <f t="shared" si="0"/>
        <v>28218904</v>
      </c>
      <c r="DE7" s="1988"/>
      <c r="DF7" s="1988"/>
      <c r="DG7" s="1988"/>
      <c r="DH7" s="1988"/>
      <c r="DI7" s="1988"/>
      <c r="DJ7" s="1988"/>
      <c r="DK7" s="1988"/>
      <c r="DL7" s="1988"/>
      <c r="DM7" s="1988"/>
      <c r="DN7" s="1988"/>
      <c r="DO7" s="1988"/>
      <c r="DP7" s="1988"/>
      <c r="DQ7" s="1988"/>
      <c r="DR7" s="1988"/>
      <c r="DS7" s="1988"/>
      <c r="DT7" s="1988"/>
      <c r="DU7" s="1988"/>
      <c r="DV7" s="1988"/>
      <c r="DW7" s="1988"/>
      <c r="DX7" s="1988"/>
      <c r="DY7" s="1988"/>
      <c r="DZ7" s="1988"/>
      <c r="EA7" s="1988"/>
      <c r="EB7" s="1988"/>
      <c r="EC7" s="1988"/>
      <c r="ED7" s="1988"/>
      <c r="EE7" s="1988"/>
      <c r="EF7" s="3054">
        <f>前年度貼付!$E$60</f>
        <v>507030300</v>
      </c>
      <c r="EG7" s="3054"/>
      <c r="EH7" s="3054"/>
      <c r="EI7" s="3054"/>
      <c r="EJ7" s="3054"/>
      <c r="EK7" s="3054"/>
      <c r="EL7" s="3054"/>
      <c r="EM7" s="3054"/>
      <c r="EN7" s="3054"/>
      <c r="EO7" s="3054"/>
      <c r="EP7" s="3054"/>
      <c r="EQ7" s="3054"/>
      <c r="ER7" s="3054"/>
      <c r="ES7" s="3054"/>
      <c r="ET7" s="3054"/>
      <c r="EU7" s="3054"/>
      <c r="EV7" s="3054"/>
      <c r="EW7" s="3054"/>
      <c r="EX7" s="3054"/>
      <c r="EY7" s="3054"/>
      <c r="EZ7" s="3054"/>
      <c r="FA7" s="3054"/>
      <c r="FB7" s="3054"/>
      <c r="FC7" s="3054"/>
      <c r="FD7" s="3054"/>
      <c r="FE7" s="3054"/>
      <c r="FF7" s="3054"/>
      <c r="FG7" s="3054"/>
      <c r="FH7" s="1988">
        <f t="shared" si="1"/>
        <v>-10915396</v>
      </c>
      <c r="FI7" s="1988"/>
      <c r="FJ7" s="1988"/>
      <c r="FK7" s="1988"/>
      <c r="FL7" s="1988"/>
      <c r="FM7" s="1988"/>
      <c r="FN7" s="1988"/>
      <c r="FO7" s="1988"/>
      <c r="FP7" s="1988"/>
      <c r="FQ7" s="1988"/>
      <c r="FR7" s="1988"/>
      <c r="FS7" s="1988"/>
      <c r="FT7" s="1988"/>
      <c r="FU7" s="1988"/>
      <c r="FV7" s="1988"/>
      <c r="FW7" s="1988"/>
      <c r="FX7" s="1988"/>
      <c r="FY7" s="1988"/>
      <c r="FZ7" s="1988"/>
      <c r="GA7" s="1988"/>
      <c r="GB7" s="1988"/>
      <c r="GC7" s="1988"/>
      <c r="GD7" s="1988"/>
      <c r="GE7" s="1988"/>
      <c r="GF7" s="1988"/>
      <c r="GG7" s="1988"/>
      <c r="GH7" s="1988"/>
      <c r="GI7" s="1988"/>
    </row>
    <row r="8" spans="1:191" s="166" customFormat="1" ht="20.25" customHeight="1">
      <c r="A8" s="188"/>
      <c r="B8" s="189"/>
      <c r="C8" s="189"/>
      <c r="D8" s="1932" t="s">
        <v>32</v>
      </c>
      <c r="E8" s="1932"/>
      <c r="F8" s="1932"/>
      <c r="G8" s="1932"/>
      <c r="H8" s="1932"/>
      <c r="I8" s="1932"/>
      <c r="J8" s="1932"/>
      <c r="K8" s="1932"/>
      <c r="L8" s="1932"/>
      <c r="M8" s="1932"/>
      <c r="N8" s="1932"/>
      <c r="O8" s="1932"/>
      <c r="P8" s="1932"/>
      <c r="Q8" s="1932"/>
      <c r="R8" s="1932"/>
      <c r="S8" s="1932"/>
      <c r="T8" s="1932"/>
      <c r="U8" s="1932"/>
      <c r="V8" s="1932"/>
      <c r="W8" s="1932"/>
      <c r="X8" s="1932"/>
      <c r="Y8" s="1932"/>
      <c r="Z8" s="1932"/>
      <c r="AA8" s="1932"/>
      <c r="AB8" s="1932"/>
      <c r="AC8" s="1932"/>
      <c r="AD8" s="1932"/>
      <c r="AE8" s="1932"/>
      <c r="AF8" s="1932"/>
      <c r="AG8" s="1932"/>
      <c r="AH8" s="1932"/>
      <c r="AI8" s="1932"/>
      <c r="AJ8" s="1932"/>
      <c r="AK8" s="1932"/>
      <c r="AL8" s="1932"/>
      <c r="AM8" s="1932"/>
      <c r="AN8" s="1932"/>
      <c r="AO8" s="1932"/>
      <c r="AP8" s="1932"/>
      <c r="AQ8" s="1932"/>
      <c r="AR8" s="1932"/>
      <c r="AS8" s="1932"/>
      <c r="AT8" s="1932"/>
      <c r="AU8" s="1932"/>
      <c r="AV8" s="1932"/>
      <c r="AW8" s="189"/>
      <c r="AX8" s="189"/>
      <c r="AY8" s="197"/>
      <c r="AZ8" s="3053">
        <v>5350860000</v>
      </c>
      <c r="BA8" s="3054"/>
      <c r="BB8" s="3054"/>
      <c r="BC8" s="3054"/>
      <c r="BD8" s="3054"/>
      <c r="BE8" s="3054"/>
      <c r="BF8" s="3054"/>
      <c r="BG8" s="3054"/>
      <c r="BH8" s="3054"/>
      <c r="BI8" s="3054"/>
      <c r="BJ8" s="3054"/>
      <c r="BK8" s="3054"/>
      <c r="BL8" s="3054"/>
      <c r="BM8" s="3054"/>
      <c r="BN8" s="3054"/>
      <c r="BO8" s="3054"/>
      <c r="BP8" s="3054"/>
      <c r="BQ8" s="3054"/>
      <c r="BR8" s="3054"/>
      <c r="BS8" s="3054"/>
      <c r="BT8" s="3054"/>
      <c r="BU8" s="3054"/>
      <c r="BV8" s="3054"/>
      <c r="BW8" s="3054"/>
      <c r="BX8" s="3054"/>
      <c r="BY8" s="3054"/>
      <c r="BZ8" s="3054"/>
      <c r="CA8" s="3054"/>
      <c r="CB8" s="3054">
        <f>短期_財務諸表!F41</f>
        <v>5551497726</v>
      </c>
      <c r="CC8" s="3054"/>
      <c r="CD8" s="3054"/>
      <c r="CE8" s="3054"/>
      <c r="CF8" s="3054"/>
      <c r="CG8" s="3054"/>
      <c r="CH8" s="3054"/>
      <c r="CI8" s="3054"/>
      <c r="CJ8" s="3054"/>
      <c r="CK8" s="3054"/>
      <c r="CL8" s="3054"/>
      <c r="CM8" s="3054"/>
      <c r="CN8" s="3054"/>
      <c r="CO8" s="3054"/>
      <c r="CP8" s="3054"/>
      <c r="CQ8" s="3054"/>
      <c r="CR8" s="3054"/>
      <c r="CS8" s="3054"/>
      <c r="CT8" s="3054"/>
      <c r="CU8" s="3054"/>
      <c r="CV8" s="3054"/>
      <c r="CW8" s="3054"/>
      <c r="CX8" s="3054"/>
      <c r="CY8" s="3054"/>
      <c r="CZ8" s="3054"/>
      <c r="DA8" s="3054"/>
      <c r="DB8" s="3054"/>
      <c r="DC8" s="3054"/>
      <c r="DD8" s="1988">
        <f t="shared" si="0"/>
        <v>200637726</v>
      </c>
      <c r="DE8" s="1988"/>
      <c r="DF8" s="1988"/>
      <c r="DG8" s="1988"/>
      <c r="DH8" s="1988"/>
      <c r="DI8" s="1988"/>
      <c r="DJ8" s="1988"/>
      <c r="DK8" s="1988"/>
      <c r="DL8" s="1988"/>
      <c r="DM8" s="1988"/>
      <c r="DN8" s="1988"/>
      <c r="DO8" s="1988"/>
      <c r="DP8" s="1988"/>
      <c r="DQ8" s="1988"/>
      <c r="DR8" s="1988"/>
      <c r="DS8" s="1988"/>
      <c r="DT8" s="1988"/>
      <c r="DU8" s="1988"/>
      <c r="DV8" s="1988"/>
      <c r="DW8" s="1988"/>
      <c r="DX8" s="1988"/>
      <c r="DY8" s="1988"/>
      <c r="DZ8" s="1988"/>
      <c r="EA8" s="1988"/>
      <c r="EB8" s="1988"/>
      <c r="EC8" s="1988"/>
      <c r="ED8" s="1988"/>
      <c r="EE8" s="1988"/>
      <c r="EF8" s="3054">
        <f>前年度貼付!$E$61</f>
        <v>5335292349</v>
      </c>
      <c r="EG8" s="3054"/>
      <c r="EH8" s="3054"/>
      <c r="EI8" s="3054"/>
      <c r="EJ8" s="3054"/>
      <c r="EK8" s="3054"/>
      <c r="EL8" s="3054"/>
      <c r="EM8" s="3054"/>
      <c r="EN8" s="3054"/>
      <c r="EO8" s="3054"/>
      <c r="EP8" s="3054"/>
      <c r="EQ8" s="3054"/>
      <c r="ER8" s="3054"/>
      <c r="ES8" s="3054"/>
      <c r="ET8" s="3054"/>
      <c r="EU8" s="3054"/>
      <c r="EV8" s="3054"/>
      <c r="EW8" s="3054"/>
      <c r="EX8" s="3054"/>
      <c r="EY8" s="3054"/>
      <c r="EZ8" s="3054"/>
      <c r="FA8" s="3054"/>
      <c r="FB8" s="3054"/>
      <c r="FC8" s="3054"/>
      <c r="FD8" s="3054"/>
      <c r="FE8" s="3054"/>
      <c r="FF8" s="3054"/>
      <c r="FG8" s="3054"/>
      <c r="FH8" s="1988">
        <f t="shared" si="1"/>
        <v>216205377</v>
      </c>
      <c r="FI8" s="1988"/>
      <c r="FJ8" s="1988"/>
      <c r="FK8" s="1988"/>
      <c r="FL8" s="1988"/>
      <c r="FM8" s="1988"/>
      <c r="FN8" s="1988"/>
      <c r="FO8" s="1988"/>
      <c r="FP8" s="1988"/>
      <c r="FQ8" s="1988"/>
      <c r="FR8" s="1988"/>
      <c r="FS8" s="1988"/>
      <c r="FT8" s="1988"/>
      <c r="FU8" s="1988"/>
      <c r="FV8" s="1988"/>
      <c r="FW8" s="1988"/>
      <c r="FX8" s="1988"/>
      <c r="FY8" s="1988"/>
      <c r="FZ8" s="1988"/>
      <c r="GA8" s="1988"/>
      <c r="GB8" s="1988"/>
      <c r="GC8" s="1988"/>
      <c r="GD8" s="1988"/>
      <c r="GE8" s="1988"/>
      <c r="GF8" s="1988"/>
      <c r="GG8" s="1988"/>
      <c r="GH8" s="1988"/>
      <c r="GI8" s="1988"/>
    </row>
    <row r="9" spans="1:191" s="166" customFormat="1" ht="20.25" customHeight="1">
      <c r="A9" s="188"/>
      <c r="B9" s="189"/>
      <c r="C9" s="189"/>
      <c r="D9" s="1932" t="s">
        <v>33</v>
      </c>
      <c r="E9" s="1932"/>
      <c r="F9" s="1932"/>
      <c r="G9" s="1932"/>
      <c r="H9" s="1932"/>
      <c r="I9" s="1932"/>
      <c r="J9" s="1932"/>
      <c r="K9" s="1932"/>
      <c r="L9" s="1932"/>
      <c r="M9" s="1932"/>
      <c r="N9" s="1932"/>
      <c r="O9" s="1932"/>
      <c r="P9" s="1932"/>
      <c r="Q9" s="1932"/>
      <c r="R9" s="1932"/>
      <c r="S9" s="1932"/>
      <c r="T9" s="1932"/>
      <c r="U9" s="1932"/>
      <c r="V9" s="1932"/>
      <c r="W9" s="1932"/>
      <c r="X9" s="1932"/>
      <c r="Y9" s="1932"/>
      <c r="Z9" s="1932"/>
      <c r="AA9" s="1932"/>
      <c r="AB9" s="1932"/>
      <c r="AC9" s="1932"/>
      <c r="AD9" s="1932"/>
      <c r="AE9" s="1932"/>
      <c r="AF9" s="1932"/>
      <c r="AG9" s="1932"/>
      <c r="AH9" s="1932"/>
      <c r="AI9" s="1932"/>
      <c r="AJ9" s="1932"/>
      <c r="AK9" s="1932"/>
      <c r="AL9" s="1932"/>
      <c r="AM9" s="1932"/>
      <c r="AN9" s="1932"/>
      <c r="AO9" s="1932"/>
      <c r="AP9" s="1932"/>
      <c r="AQ9" s="1932"/>
      <c r="AR9" s="1932"/>
      <c r="AS9" s="1932"/>
      <c r="AT9" s="1932"/>
      <c r="AU9" s="1932"/>
      <c r="AV9" s="1932"/>
      <c r="AW9" s="189"/>
      <c r="AX9" s="189"/>
      <c r="AY9" s="197"/>
      <c r="AZ9" s="3053">
        <v>467896000</v>
      </c>
      <c r="BA9" s="3054"/>
      <c r="BB9" s="3054"/>
      <c r="BC9" s="3054"/>
      <c r="BD9" s="3054"/>
      <c r="BE9" s="3054"/>
      <c r="BF9" s="3054"/>
      <c r="BG9" s="3054"/>
      <c r="BH9" s="3054"/>
      <c r="BI9" s="3054"/>
      <c r="BJ9" s="3054"/>
      <c r="BK9" s="3054"/>
      <c r="BL9" s="3054"/>
      <c r="BM9" s="3054"/>
      <c r="BN9" s="3054"/>
      <c r="BO9" s="3054"/>
      <c r="BP9" s="3054"/>
      <c r="BQ9" s="3054"/>
      <c r="BR9" s="3054"/>
      <c r="BS9" s="3054"/>
      <c r="BT9" s="3054"/>
      <c r="BU9" s="3054"/>
      <c r="BV9" s="3054"/>
      <c r="BW9" s="3054"/>
      <c r="BX9" s="3054"/>
      <c r="BY9" s="3054"/>
      <c r="BZ9" s="3054"/>
      <c r="CA9" s="3054"/>
      <c r="CB9" s="3054">
        <f>短期_財務諸表!F42</f>
        <v>496288832</v>
      </c>
      <c r="CC9" s="3054"/>
      <c r="CD9" s="3054"/>
      <c r="CE9" s="3054"/>
      <c r="CF9" s="3054"/>
      <c r="CG9" s="3054"/>
      <c r="CH9" s="3054"/>
      <c r="CI9" s="3054"/>
      <c r="CJ9" s="3054"/>
      <c r="CK9" s="3054"/>
      <c r="CL9" s="3054"/>
      <c r="CM9" s="3054"/>
      <c r="CN9" s="3054"/>
      <c r="CO9" s="3054"/>
      <c r="CP9" s="3054"/>
      <c r="CQ9" s="3054"/>
      <c r="CR9" s="3054"/>
      <c r="CS9" s="3054"/>
      <c r="CT9" s="3054"/>
      <c r="CU9" s="3054"/>
      <c r="CV9" s="3054"/>
      <c r="CW9" s="3054"/>
      <c r="CX9" s="3054"/>
      <c r="CY9" s="3054"/>
      <c r="CZ9" s="3054"/>
      <c r="DA9" s="3054"/>
      <c r="DB9" s="3054"/>
      <c r="DC9" s="3054"/>
      <c r="DD9" s="1988">
        <f t="shared" si="0"/>
        <v>28392832</v>
      </c>
      <c r="DE9" s="1988"/>
      <c r="DF9" s="1988"/>
      <c r="DG9" s="1988"/>
      <c r="DH9" s="1988"/>
      <c r="DI9" s="1988"/>
      <c r="DJ9" s="1988"/>
      <c r="DK9" s="1988"/>
      <c r="DL9" s="1988"/>
      <c r="DM9" s="1988"/>
      <c r="DN9" s="1988"/>
      <c r="DO9" s="1988"/>
      <c r="DP9" s="1988"/>
      <c r="DQ9" s="1988"/>
      <c r="DR9" s="1988"/>
      <c r="DS9" s="1988"/>
      <c r="DT9" s="1988"/>
      <c r="DU9" s="1988"/>
      <c r="DV9" s="1988"/>
      <c r="DW9" s="1988"/>
      <c r="DX9" s="1988"/>
      <c r="DY9" s="1988"/>
      <c r="DZ9" s="1988"/>
      <c r="EA9" s="1988"/>
      <c r="EB9" s="1988"/>
      <c r="EC9" s="1988"/>
      <c r="ED9" s="1988"/>
      <c r="EE9" s="1988"/>
      <c r="EF9" s="3054">
        <f>前年度貼付!$E$62</f>
        <v>506998331</v>
      </c>
      <c r="EG9" s="3054"/>
      <c r="EH9" s="3054"/>
      <c r="EI9" s="3054"/>
      <c r="EJ9" s="3054"/>
      <c r="EK9" s="3054"/>
      <c r="EL9" s="3054"/>
      <c r="EM9" s="3054"/>
      <c r="EN9" s="3054"/>
      <c r="EO9" s="3054"/>
      <c r="EP9" s="3054"/>
      <c r="EQ9" s="3054"/>
      <c r="ER9" s="3054"/>
      <c r="ES9" s="3054"/>
      <c r="ET9" s="3054"/>
      <c r="EU9" s="3054"/>
      <c r="EV9" s="3054"/>
      <c r="EW9" s="3054"/>
      <c r="EX9" s="3054"/>
      <c r="EY9" s="3054"/>
      <c r="EZ9" s="3054"/>
      <c r="FA9" s="3054"/>
      <c r="FB9" s="3054"/>
      <c r="FC9" s="3054"/>
      <c r="FD9" s="3054"/>
      <c r="FE9" s="3054"/>
      <c r="FF9" s="3054"/>
      <c r="FG9" s="3054"/>
      <c r="FH9" s="1988">
        <f t="shared" si="1"/>
        <v>-10709499</v>
      </c>
      <c r="FI9" s="1988"/>
      <c r="FJ9" s="1988"/>
      <c r="FK9" s="1988"/>
      <c r="FL9" s="1988"/>
      <c r="FM9" s="1988"/>
      <c r="FN9" s="1988"/>
      <c r="FO9" s="1988"/>
      <c r="FP9" s="1988"/>
      <c r="FQ9" s="1988"/>
      <c r="FR9" s="1988"/>
      <c r="FS9" s="1988"/>
      <c r="FT9" s="1988"/>
      <c r="FU9" s="1988"/>
      <c r="FV9" s="1988"/>
      <c r="FW9" s="1988"/>
      <c r="FX9" s="1988"/>
      <c r="FY9" s="1988"/>
      <c r="FZ9" s="1988"/>
      <c r="GA9" s="1988"/>
      <c r="GB9" s="1988"/>
      <c r="GC9" s="1988"/>
      <c r="GD9" s="1988"/>
      <c r="GE9" s="1988"/>
      <c r="GF9" s="1988"/>
      <c r="GG9" s="1988"/>
      <c r="GH9" s="1988"/>
      <c r="GI9" s="1988"/>
    </row>
    <row r="10" spans="1:191" s="166" customFormat="1" ht="20.25" customHeight="1">
      <c r="A10" s="188"/>
      <c r="B10" s="189"/>
      <c r="C10" s="189"/>
      <c r="D10" s="1932" t="s">
        <v>34</v>
      </c>
      <c r="E10" s="1932"/>
      <c r="F10" s="1932"/>
      <c r="G10" s="1932"/>
      <c r="H10" s="1932"/>
      <c r="I10" s="1932"/>
      <c r="J10" s="1932"/>
      <c r="K10" s="1932"/>
      <c r="L10" s="1932"/>
      <c r="M10" s="1932"/>
      <c r="N10" s="1932"/>
      <c r="O10" s="1932"/>
      <c r="P10" s="1932"/>
      <c r="Q10" s="1932"/>
      <c r="R10" s="1932"/>
      <c r="S10" s="1932"/>
      <c r="T10" s="1932"/>
      <c r="U10" s="1932"/>
      <c r="V10" s="1932"/>
      <c r="W10" s="1932"/>
      <c r="X10" s="1932"/>
      <c r="Y10" s="1932"/>
      <c r="Z10" s="1932"/>
      <c r="AA10" s="1932"/>
      <c r="AB10" s="1932"/>
      <c r="AC10" s="1932"/>
      <c r="AD10" s="1932"/>
      <c r="AE10" s="1932"/>
      <c r="AF10" s="1932"/>
      <c r="AG10" s="1932"/>
      <c r="AH10" s="1932"/>
      <c r="AI10" s="1932"/>
      <c r="AJ10" s="1932"/>
      <c r="AK10" s="1932"/>
      <c r="AL10" s="1932"/>
      <c r="AM10" s="1932"/>
      <c r="AN10" s="1932"/>
      <c r="AO10" s="1932"/>
      <c r="AP10" s="1932"/>
      <c r="AQ10" s="1932"/>
      <c r="AR10" s="1932"/>
      <c r="AS10" s="1932"/>
      <c r="AT10" s="1932"/>
      <c r="AU10" s="1932"/>
      <c r="AV10" s="1932"/>
      <c r="AW10" s="189"/>
      <c r="AX10" s="189"/>
      <c r="AY10" s="197"/>
      <c r="AZ10" s="3053">
        <v>92578000</v>
      </c>
      <c r="BA10" s="3054"/>
      <c r="BB10" s="3054"/>
      <c r="BC10" s="3054"/>
      <c r="BD10" s="3054"/>
      <c r="BE10" s="3054"/>
      <c r="BF10" s="3054"/>
      <c r="BG10" s="3054"/>
      <c r="BH10" s="3054"/>
      <c r="BI10" s="3054"/>
      <c r="BJ10" s="3054"/>
      <c r="BK10" s="3054"/>
      <c r="BL10" s="3054"/>
      <c r="BM10" s="3054"/>
      <c r="BN10" s="3054"/>
      <c r="BO10" s="3054"/>
      <c r="BP10" s="3054"/>
      <c r="BQ10" s="3054"/>
      <c r="BR10" s="3054"/>
      <c r="BS10" s="3054"/>
      <c r="BT10" s="3054"/>
      <c r="BU10" s="3054"/>
      <c r="BV10" s="3054"/>
      <c r="BW10" s="3054"/>
      <c r="BX10" s="3054"/>
      <c r="BY10" s="3054"/>
      <c r="BZ10" s="3054"/>
      <c r="CA10" s="3054"/>
      <c r="CB10" s="3054">
        <f>短期_財務諸表!F43</f>
        <v>96062536</v>
      </c>
      <c r="CC10" s="3054"/>
      <c r="CD10" s="3054"/>
      <c r="CE10" s="3054"/>
      <c r="CF10" s="3054"/>
      <c r="CG10" s="3054"/>
      <c r="CH10" s="3054"/>
      <c r="CI10" s="3054"/>
      <c r="CJ10" s="3054"/>
      <c r="CK10" s="3054"/>
      <c r="CL10" s="3054"/>
      <c r="CM10" s="3054"/>
      <c r="CN10" s="3054"/>
      <c r="CO10" s="3054"/>
      <c r="CP10" s="3054"/>
      <c r="CQ10" s="3054"/>
      <c r="CR10" s="3054"/>
      <c r="CS10" s="3054"/>
      <c r="CT10" s="3054"/>
      <c r="CU10" s="3054"/>
      <c r="CV10" s="3054"/>
      <c r="CW10" s="3054"/>
      <c r="CX10" s="3054"/>
      <c r="CY10" s="3054"/>
      <c r="CZ10" s="3054"/>
      <c r="DA10" s="3054"/>
      <c r="DB10" s="3054"/>
      <c r="DC10" s="3054"/>
      <c r="DD10" s="1988">
        <f t="shared" si="0"/>
        <v>3484536</v>
      </c>
      <c r="DE10" s="1988"/>
      <c r="DF10" s="1988"/>
      <c r="DG10" s="1988"/>
      <c r="DH10" s="1988"/>
      <c r="DI10" s="1988"/>
      <c r="DJ10" s="1988"/>
      <c r="DK10" s="1988"/>
      <c r="DL10" s="1988"/>
      <c r="DM10" s="1988"/>
      <c r="DN10" s="1988"/>
      <c r="DO10" s="1988"/>
      <c r="DP10" s="1988"/>
      <c r="DQ10" s="1988"/>
      <c r="DR10" s="1988"/>
      <c r="DS10" s="1988"/>
      <c r="DT10" s="1988"/>
      <c r="DU10" s="1988"/>
      <c r="DV10" s="1988"/>
      <c r="DW10" s="1988"/>
      <c r="DX10" s="1988"/>
      <c r="DY10" s="1988"/>
      <c r="DZ10" s="1988"/>
      <c r="EA10" s="1988"/>
      <c r="EB10" s="1988"/>
      <c r="EC10" s="1988"/>
      <c r="ED10" s="1988"/>
      <c r="EE10" s="1988"/>
      <c r="EF10" s="3054">
        <f>前年度貼付!$E$63</f>
        <v>96171555</v>
      </c>
      <c r="EG10" s="3054"/>
      <c r="EH10" s="3054"/>
      <c r="EI10" s="3054"/>
      <c r="EJ10" s="3054"/>
      <c r="EK10" s="3054"/>
      <c r="EL10" s="3054"/>
      <c r="EM10" s="3054"/>
      <c r="EN10" s="3054"/>
      <c r="EO10" s="3054"/>
      <c r="EP10" s="3054"/>
      <c r="EQ10" s="3054"/>
      <c r="ER10" s="3054"/>
      <c r="ES10" s="3054"/>
      <c r="ET10" s="3054"/>
      <c r="EU10" s="3054"/>
      <c r="EV10" s="3054"/>
      <c r="EW10" s="3054"/>
      <c r="EX10" s="3054"/>
      <c r="EY10" s="3054"/>
      <c r="EZ10" s="3054"/>
      <c r="FA10" s="3054"/>
      <c r="FB10" s="3054"/>
      <c r="FC10" s="3054"/>
      <c r="FD10" s="3054"/>
      <c r="FE10" s="3054"/>
      <c r="FF10" s="3054"/>
      <c r="FG10" s="3054"/>
      <c r="FH10" s="1988">
        <f t="shared" si="1"/>
        <v>-109019</v>
      </c>
      <c r="FI10" s="1988"/>
      <c r="FJ10" s="1988"/>
      <c r="FK10" s="1988"/>
      <c r="FL10" s="1988"/>
      <c r="FM10" s="1988"/>
      <c r="FN10" s="1988"/>
      <c r="FO10" s="1988"/>
      <c r="FP10" s="1988"/>
      <c r="FQ10" s="1988"/>
      <c r="FR10" s="1988"/>
      <c r="FS10" s="1988"/>
      <c r="FT10" s="1988"/>
      <c r="FU10" s="1988"/>
      <c r="FV10" s="1988"/>
      <c r="FW10" s="1988"/>
      <c r="FX10" s="1988"/>
      <c r="FY10" s="1988"/>
      <c r="FZ10" s="1988"/>
      <c r="GA10" s="1988"/>
      <c r="GB10" s="1988"/>
      <c r="GC10" s="1988"/>
      <c r="GD10" s="1988"/>
      <c r="GE10" s="1988"/>
      <c r="GF10" s="1988"/>
      <c r="GG10" s="1988"/>
      <c r="GH10" s="1988"/>
      <c r="GI10" s="1988"/>
    </row>
    <row r="11" spans="1:191" s="166" customFormat="1" ht="20.25" customHeight="1">
      <c r="A11" s="188"/>
      <c r="B11" s="189"/>
      <c r="C11" s="189"/>
      <c r="D11" s="1932" t="s">
        <v>35</v>
      </c>
      <c r="E11" s="1932"/>
      <c r="F11" s="1932"/>
      <c r="G11" s="1932"/>
      <c r="H11" s="1932"/>
      <c r="I11" s="1932"/>
      <c r="J11" s="1932"/>
      <c r="K11" s="1932"/>
      <c r="L11" s="1932"/>
      <c r="M11" s="1932"/>
      <c r="N11" s="1932"/>
      <c r="O11" s="1932"/>
      <c r="P11" s="1932"/>
      <c r="Q11" s="1932"/>
      <c r="R11" s="1932"/>
      <c r="S11" s="1932"/>
      <c r="T11" s="1932"/>
      <c r="U11" s="1932"/>
      <c r="V11" s="1932"/>
      <c r="W11" s="1932"/>
      <c r="X11" s="1932"/>
      <c r="Y11" s="1932"/>
      <c r="Z11" s="1932"/>
      <c r="AA11" s="1932"/>
      <c r="AB11" s="1932"/>
      <c r="AC11" s="1932"/>
      <c r="AD11" s="1932"/>
      <c r="AE11" s="1932"/>
      <c r="AF11" s="1932"/>
      <c r="AG11" s="1932"/>
      <c r="AH11" s="1932"/>
      <c r="AI11" s="1932"/>
      <c r="AJ11" s="1932"/>
      <c r="AK11" s="1932"/>
      <c r="AL11" s="1932"/>
      <c r="AM11" s="1932"/>
      <c r="AN11" s="1932"/>
      <c r="AO11" s="1932"/>
      <c r="AP11" s="1932"/>
      <c r="AQ11" s="1932"/>
      <c r="AR11" s="1932"/>
      <c r="AS11" s="1932"/>
      <c r="AT11" s="1932"/>
      <c r="AU11" s="1932"/>
      <c r="AV11" s="1932"/>
      <c r="AW11" s="189"/>
      <c r="AX11" s="189"/>
      <c r="AY11" s="197"/>
      <c r="AZ11" s="3053">
        <v>4729000</v>
      </c>
      <c r="BA11" s="3054"/>
      <c r="BB11" s="3054"/>
      <c r="BC11" s="3054"/>
      <c r="BD11" s="3054"/>
      <c r="BE11" s="3054"/>
      <c r="BF11" s="3054"/>
      <c r="BG11" s="3054"/>
      <c r="BH11" s="3054"/>
      <c r="BI11" s="3054"/>
      <c r="BJ11" s="3054"/>
      <c r="BK11" s="3054"/>
      <c r="BL11" s="3054"/>
      <c r="BM11" s="3054"/>
      <c r="BN11" s="3054"/>
      <c r="BO11" s="3054"/>
      <c r="BP11" s="3054"/>
      <c r="BQ11" s="3054"/>
      <c r="BR11" s="3054"/>
      <c r="BS11" s="3054"/>
      <c r="BT11" s="3054"/>
      <c r="BU11" s="3054"/>
      <c r="BV11" s="3054"/>
      <c r="BW11" s="3054"/>
      <c r="BX11" s="3054"/>
      <c r="BY11" s="3054"/>
      <c r="BZ11" s="3054"/>
      <c r="CA11" s="3054"/>
      <c r="CB11" s="3054">
        <f>短期_財務諸表!F44</f>
        <v>4793716</v>
      </c>
      <c r="CC11" s="3054"/>
      <c r="CD11" s="3054"/>
      <c r="CE11" s="3054"/>
      <c r="CF11" s="3054"/>
      <c r="CG11" s="3054"/>
      <c r="CH11" s="3054"/>
      <c r="CI11" s="3054"/>
      <c r="CJ11" s="3054"/>
      <c r="CK11" s="3054"/>
      <c r="CL11" s="3054"/>
      <c r="CM11" s="3054"/>
      <c r="CN11" s="3054"/>
      <c r="CO11" s="3054"/>
      <c r="CP11" s="3054"/>
      <c r="CQ11" s="3054"/>
      <c r="CR11" s="3054"/>
      <c r="CS11" s="3054"/>
      <c r="CT11" s="3054"/>
      <c r="CU11" s="3054"/>
      <c r="CV11" s="3054"/>
      <c r="CW11" s="3054"/>
      <c r="CX11" s="3054"/>
      <c r="CY11" s="3054"/>
      <c r="CZ11" s="3054"/>
      <c r="DA11" s="3054"/>
      <c r="DB11" s="3054"/>
      <c r="DC11" s="3054"/>
      <c r="DD11" s="1988">
        <f t="shared" si="0"/>
        <v>64716</v>
      </c>
      <c r="DE11" s="1988"/>
      <c r="DF11" s="1988"/>
      <c r="DG11" s="1988"/>
      <c r="DH11" s="1988"/>
      <c r="DI11" s="1988"/>
      <c r="DJ11" s="1988"/>
      <c r="DK11" s="1988"/>
      <c r="DL11" s="1988"/>
      <c r="DM11" s="1988"/>
      <c r="DN11" s="1988"/>
      <c r="DO11" s="1988"/>
      <c r="DP11" s="1988"/>
      <c r="DQ11" s="1988"/>
      <c r="DR11" s="1988"/>
      <c r="DS11" s="1988"/>
      <c r="DT11" s="1988"/>
      <c r="DU11" s="1988"/>
      <c r="DV11" s="1988"/>
      <c r="DW11" s="1988"/>
      <c r="DX11" s="1988"/>
      <c r="DY11" s="1988"/>
      <c r="DZ11" s="1988"/>
      <c r="EA11" s="1988"/>
      <c r="EB11" s="1988"/>
      <c r="EC11" s="1988"/>
      <c r="ED11" s="1988"/>
      <c r="EE11" s="1988"/>
      <c r="EF11" s="3054">
        <f>前年度貼付!$E$64</f>
        <v>6808280</v>
      </c>
      <c r="EG11" s="3054"/>
      <c r="EH11" s="3054"/>
      <c r="EI11" s="3054"/>
      <c r="EJ11" s="3054"/>
      <c r="EK11" s="3054"/>
      <c r="EL11" s="3054"/>
      <c r="EM11" s="3054"/>
      <c r="EN11" s="3054"/>
      <c r="EO11" s="3054"/>
      <c r="EP11" s="3054"/>
      <c r="EQ11" s="3054"/>
      <c r="ER11" s="3054"/>
      <c r="ES11" s="3054"/>
      <c r="ET11" s="3054"/>
      <c r="EU11" s="3054"/>
      <c r="EV11" s="3054"/>
      <c r="EW11" s="3054"/>
      <c r="EX11" s="3054"/>
      <c r="EY11" s="3054"/>
      <c r="EZ11" s="3054"/>
      <c r="FA11" s="3054"/>
      <c r="FB11" s="3054"/>
      <c r="FC11" s="3054"/>
      <c r="FD11" s="3054"/>
      <c r="FE11" s="3054"/>
      <c r="FF11" s="3054"/>
      <c r="FG11" s="3054"/>
      <c r="FH11" s="1988">
        <f t="shared" si="1"/>
        <v>-2014564</v>
      </c>
      <c r="FI11" s="1988"/>
      <c r="FJ11" s="1988"/>
      <c r="FK11" s="1988"/>
      <c r="FL11" s="1988"/>
      <c r="FM11" s="1988"/>
      <c r="FN11" s="1988"/>
      <c r="FO11" s="1988"/>
      <c r="FP11" s="1988"/>
      <c r="FQ11" s="1988"/>
      <c r="FR11" s="1988"/>
      <c r="FS11" s="1988"/>
      <c r="FT11" s="1988"/>
      <c r="FU11" s="1988"/>
      <c r="FV11" s="1988"/>
      <c r="FW11" s="1988"/>
      <c r="FX11" s="1988"/>
      <c r="FY11" s="1988"/>
      <c r="FZ11" s="1988"/>
      <c r="GA11" s="1988"/>
      <c r="GB11" s="1988"/>
      <c r="GC11" s="1988"/>
      <c r="GD11" s="1988"/>
      <c r="GE11" s="1988"/>
      <c r="GF11" s="1988"/>
      <c r="GG11" s="1988"/>
      <c r="GH11" s="1988"/>
      <c r="GI11" s="1988"/>
    </row>
    <row r="12" spans="1:191" s="166" customFormat="1" ht="20.25" customHeight="1">
      <c r="A12" s="188"/>
      <c r="B12" s="189"/>
      <c r="C12" s="189"/>
      <c r="D12" s="1932" t="s">
        <v>36</v>
      </c>
      <c r="E12" s="1932"/>
      <c r="F12" s="1932"/>
      <c r="G12" s="1932"/>
      <c r="H12" s="1932"/>
      <c r="I12" s="1932"/>
      <c r="J12" s="1932"/>
      <c r="K12" s="1932"/>
      <c r="L12" s="1932"/>
      <c r="M12" s="1932"/>
      <c r="N12" s="1932"/>
      <c r="O12" s="1932"/>
      <c r="P12" s="1932"/>
      <c r="Q12" s="1932"/>
      <c r="R12" s="1932"/>
      <c r="S12" s="1932"/>
      <c r="T12" s="1932"/>
      <c r="U12" s="1932"/>
      <c r="V12" s="1932"/>
      <c r="W12" s="1932"/>
      <c r="X12" s="1932"/>
      <c r="Y12" s="1932"/>
      <c r="Z12" s="1932"/>
      <c r="AA12" s="1932"/>
      <c r="AB12" s="1932"/>
      <c r="AC12" s="1932"/>
      <c r="AD12" s="1932"/>
      <c r="AE12" s="1932"/>
      <c r="AF12" s="1932"/>
      <c r="AG12" s="1932"/>
      <c r="AH12" s="1932"/>
      <c r="AI12" s="1932"/>
      <c r="AJ12" s="1932"/>
      <c r="AK12" s="1932"/>
      <c r="AL12" s="1932"/>
      <c r="AM12" s="1932"/>
      <c r="AN12" s="1932"/>
      <c r="AO12" s="1932"/>
      <c r="AP12" s="1932"/>
      <c r="AQ12" s="1932"/>
      <c r="AR12" s="1932"/>
      <c r="AS12" s="1932"/>
      <c r="AT12" s="1932"/>
      <c r="AU12" s="1932"/>
      <c r="AV12" s="1932"/>
      <c r="AW12" s="189"/>
      <c r="AX12" s="189"/>
      <c r="AY12" s="197"/>
      <c r="AZ12" s="3053">
        <v>7420000</v>
      </c>
      <c r="BA12" s="3054"/>
      <c r="BB12" s="3054"/>
      <c r="BC12" s="3054"/>
      <c r="BD12" s="3054"/>
      <c r="BE12" s="3054"/>
      <c r="BF12" s="3054"/>
      <c r="BG12" s="3054"/>
      <c r="BH12" s="3054"/>
      <c r="BI12" s="3054"/>
      <c r="BJ12" s="3054"/>
      <c r="BK12" s="3054"/>
      <c r="BL12" s="3054"/>
      <c r="BM12" s="3054"/>
      <c r="BN12" s="3054"/>
      <c r="BO12" s="3054"/>
      <c r="BP12" s="3054"/>
      <c r="BQ12" s="3054"/>
      <c r="BR12" s="3054"/>
      <c r="BS12" s="3054"/>
      <c r="BT12" s="3054"/>
      <c r="BU12" s="3054"/>
      <c r="BV12" s="3054"/>
      <c r="BW12" s="3054"/>
      <c r="BX12" s="3054"/>
      <c r="BY12" s="3054"/>
      <c r="BZ12" s="3054"/>
      <c r="CA12" s="3054"/>
      <c r="CB12" s="3054">
        <f>短期_財務諸表!F45</f>
        <v>7419879</v>
      </c>
      <c r="CC12" s="3054"/>
      <c r="CD12" s="3054"/>
      <c r="CE12" s="3054"/>
      <c r="CF12" s="3054"/>
      <c r="CG12" s="3054"/>
      <c r="CH12" s="3054"/>
      <c r="CI12" s="3054"/>
      <c r="CJ12" s="3054"/>
      <c r="CK12" s="3054"/>
      <c r="CL12" s="3054"/>
      <c r="CM12" s="3054"/>
      <c r="CN12" s="3054"/>
      <c r="CO12" s="3054"/>
      <c r="CP12" s="3054"/>
      <c r="CQ12" s="3054"/>
      <c r="CR12" s="3054"/>
      <c r="CS12" s="3054"/>
      <c r="CT12" s="3054"/>
      <c r="CU12" s="3054"/>
      <c r="CV12" s="3054"/>
      <c r="CW12" s="3054"/>
      <c r="CX12" s="3054"/>
      <c r="CY12" s="3054"/>
      <c r="CZ12" s="3054"/>
      <c r="DA12" s="3054"/>
      <c r="DB12" s="3054"/>
      <c r="DC12" s="3054"/>
      <c r="DD12" s="1988">
        <f t="shared" si="0"/>
        <v>-121</v>
      </c>
      <c r="DE12" s="1988"/>
      <c r="DF12" s="1988"/>
      <c r="DG12" s="1988"/>
      <c r="DH12" s="1988"/>
      <c r="DI12" s="1988"/>
      <c r="DJ12" s="1988"/>
      <c r="DK12" s="1988"/>
      <c r="DL12" s="1988"/>
      <c r="DM12" s="1988"/>
      <c r="DN12" s="1988"/>
      <c r="DO12" s="1988"/>
      <c r="DP12" s="1988"/>
      <c r="DQ12" s="1988"/>
      <c r="DR12" s="1988"/>
      <c r="DS12" s="1988"/>
      <c r="DT12" s="1988"/>
      <c r="DU12" s="1988"/>
      <c r="DV12" s="1988"/>
      <c r="DW12" s="1988"/>
      <c r="DX12" s="1988"/>
      <c r="DY12" s="1988"/>
      <c r="DZ12" s="1988"/>
      <c r="EA12" s="1988"/>
      <c r="EB12" s="1988"/>
      <c r="EC12" s="1988"/>
      <c r="ED12" s="1988"/>
      <c r="EE12" s="1988"/>
      <c r="EF12" s="3054">
        <f>前年度貼付!$E$65</f>
        <v>7979689</v>
      </c>
      <c r="EG12" s="3054"/>
      <c r="EH12" s="3054"/>
      <c r="EI12" s="3054"/>
      <c r="EJ12" s="3054"/>
      <c r="EK12" s="3054"/>
      <c r="EL12" s="3054"/>
      <c r="EM12" s="3054"/>
      <c r="EN12" s="3054"/>
      <c r="EO12" s="3054"/>
      <c r="EP12" s="3054"/>
      <c r="EQ12" s="3054"/>
      <c r="ER12" s="3054"/>
      <c r="ES12" s="3054"/>
      <c r="ET12" s="3054"/>
      <c r="EU12" s="3054"/>
      <c r="EV12" s="3054"/>
      <c r="EW12" s="3054"/>
      <c r="EX12" s="3054"/>
      <c r="EY12" s="3054"/>
      <c r="EZ12" s="3054"/>
      <c r="FA12" s="3054"/>
      <c r="FB12" s="3054"/>
      <c r="FC12" s="3054"/>
      <c r="FD12" s="3054"/>
      <c r="FE12" s="3054"/>
      <c r="FF12" s="3054"/>
      <c r="FG12" s="3054"/>
      <c r="FH12" s="1988">
        <f t="shared" si="1"/>
        <v>-559810</v>
      </c>
      <c r="FI12" s="1988"/>
      <c r="FJ12" s="1988"/>
      <c r="FK12" s="1988"/>
      <c r="FL12" s="1988"/>
      <c r="FM12" s="1988"/>
      <c r="FN12" s="1988"/>
      <c r="FO12" s="1988"/>
      <c r="FP12" s="1988"/>
      <c r="FQ12" s="1988"/>
      <c r="FR12" s="1988"/>
      <c r="FS12" s="1988"/>
      <c r="FT12" s="1988"/>
      <c r="FU12" s="1988"/>
      <c r="FV12" s="1988"/>
      <c r="FW12" s="1988"/>
      <c r="FX12" s="1988"/>
      <c r="FY12" s="1988"/>
      <c r="FZ12" s="1988"/>
      <c r="GA12" s="1988"/>
      <c r="GB12" s="1988"/>
      <c r="GC12" s="1988"/>
      <c r="GD12" s="1988"/>
      <c r="GE12" s="1988"/>
      <c r="GF12" s="1988"/>
      <c r="GG12" s="1988"/>
      <c r="GH12" s="1988"/>
      <c r="GI12" s="1988"/>
    </row>
    <row r="13" spans="1:191" s="166" customFormat="1" ht="20.25" customHeight="1">
      <c r="A13" s="188"/>
      <c r="B13" s="189"/>
      <c r="C13" s="189"/>
      <c r="D13" s="1932" t="s">
        <v>37</v>
      </c>
      <c r="E13" s="1932"/>
      <c r="F13" s="1932"/>
      <c r="G13" s="1932"/>
      <c r="H13" s="1932"/>
      <c r="I13" s="1932"/>
      <c r="J13" s="1932"/>
      <c r="K13" s="1932"/>
      <c r="L13" s="1932"/>
      <c r="M13" s="1932"/>
      <c r="N13" s="1932"/>
      <c r="O13" s="1932"/>
      <c r="P13" s="1932"/>
      <c r="Q13" s="1932"/>
      <c r="R13" s="1932"/>
      <c r="S13" s="1932"/>
      <c r="T13" s="1932"/>
      <c r="U13" s="1932"/>
      <c r="V13" s="1932"/>
      <c r="W13" s="1932"/>
      <c r="X13" s="1932"/>
      <c r="Y13" s="1932"/>
      <c r="Z13" s="1932"/>
      <c r="AA13" s="1932"/>
      <c r="AB13" s="1932"/>
      <c r="AC13" s="1932"/>
      <c r="AD13" s="1932"/>
      <c r="AE13" s="1932"/>
      <c r="AF13" s="1932"/>
      <c r="AG13" s="1932"/>
      <c r="AH13" s="1932"/>
      <c r="AI13" s="1932"/>
      <c r="AJ13" s="1932"/>
      <c r="AK13" s="1932"/>
      <c r="AL13" s="1932"/>
      <c r="AM13" s="1932"/>
      <c r="AN13" s="1932"/>
      <c r="AO13" s="1932"/>
      <c r="AP13" s="1932"/>
      <c r="AQ13" s="1932"/>
      <c r="AR13" s="1932"/>
      <c r="AS13" s="1932"/>
      <c r="AT13" s="1932"/>
      <c r="AU13" s="1932"/>
      <c r="AV13" s="1932"/>
      <c r="AW13" s="189"/>
      <c r="AX13" s="189"/>
      <c r="AY13" s="197"/>
      <c r="AZ13" s="3053">
        <v>0</v>
      </c>
      <c r="BA13" s="3054"/>
      <c r="BB13" s="3054"/>
      <c r="BC13" s="3054"/>
      <c r="BD13" s="3054"/>
      <c r="BE13" s="3054"/>
      <c r="BF13" s="3054"/>
      <c r="BG13" s="3054"/>
      <c r="BH13" s="3054"/>
      <c r="BI13" s="3054"/>
      <c r="BJ13" s="3054"/>
      <c r="BK13" s="3054"/>
      <c r="BL13" s="3054"/>
      <c r="BM13" s="3054"/>
      <c r="BN13" s="3054"/>
      <c r="BO13" s="3054"/>
      <c r="BP13" s="3054"/>
      <c r="BQ13" s="3054"/>
      <c r="BR13" s="3054"/>
      <c r="BS13" s="3054"/>
      <c r="BT13" s="3054"/>
      <c r="BU13" s="3054"/>
      <c r="BV13" s="3054"/>
      <c r="BW13" s="3054"/>
      <c r="BX13" s="3054"/>
      <c r="BY13" s="3054"/>
      <c r="BZ13" s="3054"/>
      <c r="CA13" s="3054"/>
      <c r="CB13" s="3054">
        <f>短期_財務諸表!F46</f>
        <v>13759</v>
      </c>
      <c r="CC13" s="3054"/>
      <c r="CD13" s="3054"/>
      <c r="CE13" s="3054"/>
      <c r="CF13" s="3054"/>
      <c r="CG13" s="3054"/>
      <c r="CH13" s="3054"/>
      <c r="CI13" s="3054"/>
      <c r="CJ13" s="3054"/>
      <c r="CK13" s="3054"/>
      <c r="CL13" s="3054"/>
      <c r="CM13" s="3054"/>
      <c r="CN13" s="3054"/>
      <c r="CO13" s="3054"/>
      <c r="CP13" s="3054"/>
      <c r="CQ13" s="3054"/>
      <c r="CR13" s="3054"/>
      <c r="CS13" s="3054"/>
      <c r="CT13" s="3054"/>
      <c r="CU13" s="3054"/>
      <c r="CV13" s="3054"/>
      <c r="CW13" s="3054"/>
      <c r="CX13" s="3054"/>
      <c r="CY13" s="3054"/>
      <c r="CZ13" s="3054"/>
      <c r="DA13" s="3054"/>
      <c r="DB13" s="3054"/>
      <c r="DC13" s="3054"/>
      <c r="DD13" s="1988">
        <f t="shared" si="0"/>
        <v>13759</v>
      </c>
      <c r="DE13" s="1988"/>
      <c r="DF13" s="1988"/>
      <c r="DG13" s="1988"/>
      <c r="DH13" s="1988"/>
      <c r="DI13" s="1988"/>
      <c r="DJ13" s="1988"/>
      <c r="DK13" s="1988"/>
      <c r="DL13" s="1988"/>
      <c r="DM13" s="1988"/>
      <c r="DN13" s="1988"/>
      <c r="DO13" s="1988"/>
      <c r="DP13" s="1988"/>
      <c r="DQ13" s="1988"/>
      <c r="DR13" s="1988"/>
      <c r="DS13" s="1988"/>
      <c r="DT13" s="1988"/>
      <c r="DU13" s="1988"/>
      <c r="DV13" s="1988"/>
      <c r="DW13" s="1988"/>
      <c r="DX13" s="1988"/>
      <c r="DY13" s="1988"/>
      <c r="DZ13" s="1988"/>
      <c r="EA13" s="1988"/>
      <c r="EB13" s="1988"/>
      <c r="EC13" s="1988"/>
      <c r="ED13" s="1988"/>
      <c r="EE13" s="1988"/>
      <c r="EF13" s="3054">
        <f>前年度貼付!$E$66</f>
        <v>211390</v>
      </c>
      <c r="EG13" s="3054"/>
      <c r="EH13" s="3054"/>
      <c r="EI13" s="3054"/>
      <c r="EJ13" s="3054"/>
      <c r="EK13" s="3054"/>
      <c r="EL13" s="3054"/>
      <c r="EM13" s="3054"/>
      <c r="EN13" s="3054"/>
      <c r="EO13" s="3054"/>
      <c r="EP13" s="3054"/>
      <c r="EQ13" s="3054"/>
      <c r="ER13" s="3054"/>
      <c r="ES13" s="3054"/>
      <c r="ET13" s="3054"/>
      <c r="EU13" s="3054"/>
      <c r="EV13" s="3054"/>
      <c r="EW13" s="3054"/>
      <c r="EX13" s="3054"/>
      <c r="EY13" s="3054"/>
      <c r="EZ13" s="3054"/>
      <c r="FA13" s="3054"/>
      <c r="FB13" s="3054"/>
      <c r="FC13" s="3054"/>
      <c r="FD13" s="3054"/>
      <c r="FE13" s="3054"/>
      <c r="FF13" s="3054"/>
      <c r="FG13" s="3054"/>
      <c r="FH13" s="1988">
        <f t="shared" si="1"/>
        <v>-197631</v>
      </c>
      <c r="FI13" s="1988"/>
      <c r="FJ13" s="1988"/>
      <c r="FK13" s="1988"/>
      <c r="FL13" s="1988"/>
      <c r="FM13" s="1988"/>
      <c r="FN13" s="1988"/>
      <c r="FO13" s="1988"/>
      <c r="FP13" s="1988"/>
      <c r="FQ13" s="1988"/>
      <c r="FR13" s="1988"/>
      <c r="FS13" s="1988"/>
      <c r="FT13" s="1988"/>
      <c r="FU13" s="1988"/>
      <c r="FV13" s="1988"/>
      <c r="FW13" s="1988"/>
      <c r="FX13" s="1988"/>
      <c r="FY13" s="1988"/>
      <c r="FZ13" s="1988"/>
      <c r="GA13" s="1988"/>
      <c r="GB13" s="1988"/>
      <c r="GC13" s="1988"/>
      <c r="GD13" s="1988"/>
      <c r="GE13" s="1988"/>
      <c r="GF13" s="1988"/>
      <c r="GG13" s="1988"/>
      <c r="GH13" s="1988"/>
      <c r="GI13" s="1988"/>
    </row>
    <row r="14" spans="1:191" s="166" customFormat="1" ht="20.25" customHeight="1">
      <c r="A14" s="188"/>
      <c r="B14" s="189"/>
      <c r="C14" s="189"/>
      <c r="D14" s="1932" t="s">
        <v>38</v>
      </c>
      <c r="E14" s="1932"/>
      <c r="F14" s="1932"/>
      <c r="G14" s="1932"/>
      <c r="H14" s="1932"/>
      <c r="I14" s="1932"/>
      <c r="J14" s="1932"/>
      <c r="K14" s="1932"/>
      <c r="L14" s="1932"/>
      <c r="M14" s="1932"/>
      <c r="N14" s="1932"/>
      <c r="O14" s="1932"/>
      <c r="P14" s="1932"/>
      <c r="Q14" s="1932"/>
      <c r="R14" s="1932"/>
      <c r="S14" s="1932"/>
      <c r="T14" s="1932"/>
      <c r="U14" s="1932"/>
      <c r="V14" s="1932"/>
      <c r="W14" s="1932"/>
      <c r="X14" s="1932"/>
      <c r="Y14" s="1932"/>
      <c r="Z14" s="1932"/>
      <c r="AA14" s="1932"/>
      <c r="AB14" s="1932"/>
      <c r="AC14" s="1932"/>
      <c r="AD14" s="1932"/>
      <c r="AE14" s="1932"/>
      <c r="AF14" s="1932"/>
      <c r="AG14" s="1932"/>
      <c r="AH14" s="1932"/>
      <c r="AI14" s="1932"/>
      <c r="AJ14" s="1932"/>
      <c r="AK14" s="1932"/>
      <c r="AL14" s="1932"/>
      <c r="AM14" s="1932"/>
      <c r="AN14" s="1932"/>
      <c r="AO14" s="1932"/>
      <c r="AP14" s="1932"/>
      <c r="AQ14" s="1932"/>
      <c r="AR14" s="1932"/>
      <c r="AS14" s="1932"/>
      <c r="AT14" s="1932"/>
      <c r="AU14" s="1932"/>
      <c r="AV14" s="1932"/>
      <c r="AW14" s="189"/>
      <c r="AX14" s="189"/>
      <c r="AY14" s="197"/>
      <c r="AZ14" s="3053">
        <v>0</v>
      </c>
      <c r="BA14" s="3054"/>
      <c r="BB14" s="3054"/>
      <c r="BC14" s="3054"/>
      <c r="BD14" s="3054"/>
      <c r="BE14" s="3054"/>
      <c r="BF14" s="3054"/>
      <c r="BG14" s="3054"/>
      <c r="BH14" s="3054"/>
      <c r="BI14" s="3054"/>
      <c r="BJ14" s="3054"/>
      <c r="BK14" s="3054"/>
      <c r="BL14" s="3054"/>
      <c r="BM14" s="3054"/>
      <c r="BN14" s="3054"/>
      <c r="BO14" s="3054"/>
      <c r="BP14" s="3054"/>
      <c r="BQ14" s="3054"/>
      <c r="BR14" s="3054"/>
      <c r="BS14" s="3054"/>
      <c r="BT14" s="3054"/>
      <c r="BU14" s="3054"/>
      <c r="BV14" s="3054"/>
      <c r="BW14" s="3054"/>
      <c r="BX14" s="3054"/>
      <c r="BY14" s="3054"/>
      <c r="BZ14" s="3054"/>
      <c r="CA14" s="3054"/>
      <c r="CB14" s="3053">
        <v>0</v>
      </c>
      <c r="CC14" s="3054"/>
      <c r="CD14" s="3054"/>
      <c r="CE14" s="3054"/>
      <c r="CF14" s="3054"/>
      <c r="CG14" s="3054"/>
      <c r="CH14" s="3054"/>
      <c r="CI14" s="3054"/>
      <c r="CJ14" s="3054"/>
      <c r="CK14" s="3054"/>
      <c r="CL14" s="3054"/>
      <c r="CM14" s="3054"/>
      <c r="CN14" s="3054"/>
      <c r="CO14" s="3054"/>
      <c r="CP14" s="3054"/>
      <c r="CQ14" s="3054"/>
      <c r="CR14" s="3054"/>
      <c r="CS14" s="3054"/>
      <c r="CT14" s="3054"/>
      <c r="CU14" s="3054"/>
      <c r="CV14" s="3054"/>
      <c r="CW14" s="3054"/>
      <c r="CX14" s="3054"/>
      <c r="CY14" s="3054"/>
      <c r="CZ14" s="3054"/>
      <c r="DA14" s="3054"/>
      <c r="DB14" s="3054"/>
      <c r="DC14" s="3054"/>
      <c r="DD14" s="1988">
        <f t="shared" si="0"/>
        <v>0</v>
      </c>
      <c r="DE14" s="1988"/>
      <c r="DF14" s="1988"/>
      <c r="DG14" s="1988"/>
      <c r="DH14" s="1988"/>
      <c r="DI14" s="1988"/>
      <c r="DJ14" s="1988"/>
      <c r="DK14" s="1988"/>
      <c r="DL14" s="1988"/>
      <c r="DM14" s="1988"/>
      <c r="DN14" s="1988"/>
      <c r="DO14" s="1988"/>
      <c r="DP14" s="1988"/>
      <c r="DQ14" s="1988"/>
      <c r="DR14" s="1988"/>
      <c r="DS14" s="1988"/>
      <c r="DT14" s="1988"/>
      <c r="DU14" s="1988"/>
      <c r="DV14" s="1988"/>
      <c r="DW14" s="1988"/>
      <c r="DX14" s="1988"/>
      <c r="DY14" s="1988"/>
      <c r="DZ14" s="1988"/>
      <c r="EA14" s="1988"/>
      <c r="EB14" s="1988"/>
      <c r="EC14" s="1988"/>
      <c r="ED14" s="1988"/>
      <c r="EE14" s="1988"/>
      <c r="EF14" s="3054">
        <f>前年度貼付!$E$67</f>
        <v>0</v>
      </c>
      <c r="EG14" s="3054"/>
      <c r="EH14" s="3054"/>
      <c r="EI14" s="3054"/>
      <c r="EJ14" s="3054"/>
      <c r="EK14" s="3054"/>
      <c r="EL14" s="3054"/>
      <c r="EM14" s="3054"/>
      <c r="EN14" s="3054"/>
      <c r="EO14" s="3054"/>
      <c r="EP14" s="3054"/>
      <c r="EQ14" s="3054"/>
      <c r="ER14" s="3054"/>
      <c r="ES14" s="3054"/>
      <c r="ET14" s="3054"/>
      <c r="EU14" s="3054"/>
      <c r="EV14" s="3054"/>
      <c r="EW14" s="3054"/>
      <c r="EX14" s="3054"/>
      <c r="EY14" s="3054"/>
      <c r="EZ14" s="3054"/>
      <c r="FA14" s="3054"/>
      <c r="FB14" s="3054"/>
      <c r="FC14" s="3054"/>
      <c r="FD14" s="3054"/>
      <c r="FE14" s="3054"/>
      <c r="FF14" s="3054"/>
      <c r="FG14" s="3054"/>
      <c r="FH14" s="1988">
        <f t="shared" si="1"/>
        <v>0</v>
      </c>
      <c r="FI14" s="1988"/>
      <c r="FJ14" s="1988"/>
      <c r="FK14" s="1988"/>
      <c r="FL14" s="1988"/>
      <c r="FM14" s="1988"/>
      <c r="FN14" s="1988"/>
      <c r="FO14" s="1988"/>
      <c r="FP14" s="1988"/>
      <c r="FQ14" s="1988"/>
      <c r="FR14" s="1988"/>
      <c r="FS14" s="1988"/>
      <c r="FT14" s="1988"/>
      <c r="FU14" s="1988"/>
      <c r="FV14" s="1988"/>
      <c r="FW14" s="1988"/>
      <c r="FX14" s="1988"/>
      <c r="FY14" s="1988"/>
      <c r="FZ14" s="1988"/>
      <c r="GA14" s="1988"/>
      <c r="GB14" s="1988"/>
      <c r="GC14" s="1988"/>
      <c r="GD14" s="1988"/>
      <c r="GE14" s="1988"/>
      <c r="GF14" s="1988"/>
      <c r="GG14" s="1988"/>
      <c r="GH14" s="1988"/>
      <c r="GI14" s="1988"/>
    </row>
    <row r="15" spans="1:191" s="166" customFormat="1" ht="20.25" customHeight="1">
      <c r="A15" s="188"/>
      <c r="B15" s="189"/>
      <c r="C15" s="189"/>
      <c r="D15" s="1932" t="s">
        <v>39</v>
      </c>
      <c r="E15" s="1932"/>
      <c r="F15" s="1932"/>
      <c r="G15" s="1932"/>
      <c r="H15" s="1932"/>
      <c r="I15" s="1932"/>
      <c r="J15" s="1932"/>
      <c r="K15" s="1932"/>
      <c r="L15" s="1932"/>
      <c r="M15" s="1932"/>
      <c r="N15" s="1932"/>
      <c r="O15" s="1932"/>
      <c r="P15" s="1932"/>
      <c r="Q15" s="1932"/>
      <c r="R15" s="1932"/>
      <c r="S15" s="1932"/>
      <c r="T15" s="1932"/>
      <c r="U15" s="1932"/>
      <c r="V15" s="1932"/>
      <c r="W15" s="1932"/>
      <c r="X15" s="1932"/>
      <c r="Y15" s="1932"/>
      <c r="Z15" s="1932"/>
      <c r="AA15" s="1932"/>
      <c r="AB15" s="1932"/>
      <c r="AC15" s="1932"/>
      <c r="AD15" s="1932"/>
      <c r="AE15" s="1932"/>
      <c r="AF15" s="1932"/>
      <c r="AG15" s="1932"/>
      <c r="AH15" s="1932"/>
      <c r="AI15" s="1932"/>
      <c r="AJ15" s="1932"/>
      <c r="AK15" s="1932"/>
      <c r="AL15" s="1932"/>
      <c r="AM15" s="1932"/>
      <c r="AN15" s="1932"/>
      <c r="AO15" s="1932"/>
      <c r="AP15" s="1932"/>
      <c r="AQ15" s="1932"/>
      <c r="AR15" s="1932"/>
      <c r="AS15" s="1932"/>
      <c r="AT15" s="1932"/>
      <c r="AU15" s="1932"/>
      <c r="AV15" s="1932"/>
      <c r="AW15" s="189"/>
      <c r="AX15" s="189"/>
      <c r="AY15" s="197"/>
      <c r="AZ15" s="3053">
        <v>0</v>
      </c>
      <c r="BA15" s="3054"/>
      <c r="BB15" s="3054"/>
      <c r="BC15" s="3054"/>
      <c r="BD15" s="3054"/>
      <c r="BE15" s="3054"/>
      <c r="BF15" s="3054"/>
      <c r="BG15" s="3054"/>
      <c r="BH15" s="3054"/>
      <c r="BI15" s="3054"/>
      <c r="BJ15" s="3054"/>
      <c r="BK15" s="3054"/>
      <c r="BL15" s="3054"/>
      <c r="BM15" s="3054"/>
      <c r="BN15" s="3054"/>
      <c r="BO15" s="3054"/>
      <c r="BP15" s="3054"/>
      <c r="BQ15" s="3054"/>
      <c r="BR15" s="3054"/>
      <c r="BS15" s="3054"/>
      <c r="BT15" s="3054"/>
      <c r="BU15" s="3054"/>
      <c r="BV15" s="3054"/>
      <c r="BW15" s="3054"/>
      <c r="BX15" s="3054"/>
      <c r="BY15" s="3054"/>
      <c r="BZ15" s="3054"/>
      <c r="CA15" s="3054"/>
      <c r="CB15" s="3053">
        <v>0</v>
      </c>
      <c r="CC15" s="3054"/>
      <c r="CD15" s="3054"/>
      <c r="CE15" s="3054"/>
      <c r="CF15" s="3054"/>
      <c r="CG15" s="3054"/>
      <c r="CH15" s="3054"/>
      <c r="CI15" s="3054"/>
      <c r="CJ15" s="3054"/>
      <c r="CK15" s="3054"/>
      <c r="CL15" s="3054"/>
      <c r="CM15" s="3054"/>
      <c r="CN15" s="3054"/>
      <c r="CO15" s="3054"/>
      <c r="CP15" s="3054"/>
      <c r="CQ15" s="3054"/>
      <c r="CR15" s="3054"/>
      <c r="CS15" s="3054"/>
      <c r="CT15" s="3054"/>
      <c r="CU15" s="3054"/>
      <c r="CV15" s="3054"/>
      <c r="CW15" s="3054"/>
      <c r="CX15" s="3054"/>
      <c r="CY15" s="3054"/>
      <c r="CZ15" s="3054"/>
      <c r="DA15" s="3054"/>
      <c r="DB15" s="3054"/>
      <c r="DC15" s="3054"/>
      <c r="DD15" s="1988">
        <f t="shared" si="0"/>
        <v>0</v>
      </c>
      <c r="DE15" s="1988"/>
      <c r="DF15" s="1988"/>
      <c r="DG15" s="1988"/>
      <c r="DH15" s="1988"/>
      <c r="DI15" s="1988"/>
      <c r="DJ15" s="1988"/>
      <c r="DK15" s="1988"/>
      <c r="DL15" s="1988"/>
      <c r="DM15" s="1988"/>
      <c r="DN15" s="1988"/>
      <c r="DO15" s="1988"/>
      <c r="DP15" s="1988"/>
      <c r="DQ15" s="1988"/>
      <c r="DR15" s="1988"/>
      <c r="DS15" s="1988"/>
      <c r="DT15" s="1988"/>
      <c r="DU15" s="1988"/>
      <c r="DV15" s="1988"/>
      <c r="DW15" s="1988"/>
      <c r="DX15" s="1988"/>
      <c r="DY15" s="1988"/>
      <c r="DZ15" s="1988"/>
      <c r="EA15" s="1988"/>
      <c r="EB15" s="1988"/>
      <c r="EC15" s="1988"/>
      <c r="ED15" s="1988"/>
      <c r="EE15" s="1988"/>
      <c r="EF15" s="3054">
        <f>前年度貼付!$E$68</f>
        <v>0</v>
      </c>
      <c r="EG15" s="3054"/>
      <c r="EH15" s="3054"/>
      <c r="EI15" s="3054"/>
      <c r="EJ15" s="3054"/>
      <c r="EK15" s="3054"/>
      <c r="EL15" s="3054"/>
      <c r="EM15" s="3054"/>
      <c r="EN15" s="3054"/>
      <c r="EO15" s="3054"/>
      <c r="EP15" s="3054"/>
      <c r="EQ15" s="3054"/>
      <c r="ER15" s="3054"/>
      <c r="ES15" s="3054"/>
      <c r="ET15" s="3054"/>
      <c r="EU15" s="3054"/>
      <c r="EV15" s="3054"/>
      <c r="EW15" s="3054"/>
      <c r="EX15" s="3054"/>
      <c r="EY15" s="3054"/>
      <c r="EZ15" s="3054"/>
      <c r="FA15" s="3054"/>
      <c r="FB15" s="3054"/>
      <c r="FC15" s="3054"/>
      <c r="FD15" s="3054"/>
      <c r="FE15" s="3054"/>
      <c r="FF15" s="3054"/>
      <c r="FG15" s="3054"/>
      <c r="FH15" s="1988">
        <f t="shared" si="1"/>
        <v>0</v>
      </c>
      <c r="FI15" s="1988"/>
      <c r="FJ15" s="1988"/>
      <c r="FK15" s="1988"/>
      <c r="FL15" s="1988"/>
      <c r="FM15" s="1988"/>
      <c r="FN15" s="1988"/>
      <c r="FO15" s="1988"/>
      <c r="FP15" s="1988"/>
      <c r="FQ15" s="1988"/>
      <c r="FR15" s="1988"/>
      <c r="FS15" s="1988"/>
      <c r="FT15" s="1988"/>
      <c r="FU15" s="1988"/>
      <c r="FV15" s="1988"/>
      <c r="FW15" s="1988"/>
      <c r="FX15" s="1988"/>
      <c r="FY15" s="1988"/>
      <c r="FZ15" s="1988"/>
      <c r="GA15" s="1988"/>
      <c r="GB15" s="1988"/>
      <c r="GC15" s="1988"/>
      <c r="GD15" s="1988"/>
      <c r="GE15" s="1988"/>
      <c r="GF15" s="1988"/>
      <c r="GG15" s="1988"/>
      <c r="GH15" s="1988"/>
      <c r="GI15" s="1988"/>
    </row>
    <row r="16" spans="1:191" s="166" customFormat="1" ht="20.25" customHeight="1">
      <c r="A16" s="188"/>
      <c r="B16" s="189"/>
      <c r="C16" s="189"/>
      <c r="D16" s="1932" t="s">
        <v>40</v>
      </c>
      <c r="E16" s="1932"/>
      <c r="F16" s="1932"/>
      <c r="G16" s="1932"/>
      <c r="H16" s="1932"/>
      <c r="I16" s="1932"/>
      <c r="J16" s="1932"/>
      <c r="K16" s="1932"/>
      <c r="L16" s="1932"/>
      <c r="M16" s="1932"/>
      <c r="N16" s="1932"/>
      <c r="O16" s="1932"/>
      <c r="P16" s="1932"/>
      <c r="Q16" s="1932"/>
      <c r="R16" s="1932"/>
      <c r="S16" s="1932"/>
      <c r="T16" s="1932"/>
      <c r="U16" s="1932"/>
      <c r="V16" s="1932"/>
      <c r="W16" s="1932"/>
      <c r="X16" s="1932"/>
      <c r="Y16" s="1932"/>
      <c r="Z16" s="1932"/>
      <c r="AA16" s="1932"/>
      <c r="AB16" s="1932"/>
      <c r="AC16" s="1932"/>
      <c r="AD16" s="1932"/>
      <c r="AE16" s="1932"/>
      <c r="AF16" s="1932"/>
      <c r="AG16" s="1932"/>
      <c r="AH16" s="1932"/>
      <c r="AI16" s="1932"/>
      <c r="AJ16" s="1932"/>
      <c r="AK16" s="1932"/>
      <c r="AL16" s="1932"/>
      <c r="AM16" s="1932"/>
      <c r="AN16" s="1932"/>
      <c r="AO16" s="1932"/>
      <c r="AP16" s="1932"/>
      <c r="AQ16" s="1932"/>
      <c r="AR16" s="1932"/>
      <c r="AS16" s="1932"/>
      <c r="AT16" s="1932"/>
      <c r="AU16" s="1932"/>
      <c r="AV16" s="1932"/>
      <c r="AW16" s="189"/>
      <c r="AX16" s="189"/>
      <c r="AY16" s="197"/>
      <c r="AZ16" s="3053">
        <v>0</v>
      </c>
      <c r="BA16" s="3054"/>
      <c r="BB16" s="3054"/>
      <c r="BC16" s="3054"/>
      <c r="BD16" s="3054"/>
      <c r="BE16" s="3054"/>
      <c r="BF16" s="3054"/>
      <c r="BG16" s="3054"/>
      <c r="BH16" s="3054"/>
      <c r="BI16" s="3054"/>
      <c r="BJ16" s="3054"/>
      <c r="BK16" s="3054"/>
      <c r="BL16" s="3054"/>
      <c r="BM16" s="3054"/>
      <c r="BN16" s="3054"/>
      <c r="BO16" s="3054"/>
      <c r="BP16" s="3054"/>
      <c r="BQ16" s="3054"/>
      <c r="BR16" s="3054"/>
      <c r="BS16" s="3054"/>
      <c r="BT16" s="3054"/>
      <c r="BU16" s="3054"/>
      <c r="BV16" s="3054"/>
      <c r="BW16" s="3054"/>
      <c r="BX16" s="3054"/>
      <c r="BY16" s="3054"/>
      <c r="BZ16" s="3054"/>
      <c r="CA16" s="3054"/>
      <c r="CB16" s="3053">
        <v>0</v>
      </c>
      <c r="CC16" s="3054"/>
      <c r="CD16" s="3054"/>
      <c r="CE16" s="3054"/>
      <c r="CF16" s="3054"/>
      <c r="CG16" s="3054"/>
      <c r="CH16" s="3054"/>
      <c r="CI16" s="3054"/>
      <c r="CJ16" s="3054"/>
      <c r="CK16" s="3054"/>
      <c r="CL16" s="3054"/>
      <c r="CM16" s="3054"/>
      <c r="CN16" s="3054"/>
      <c r="CO16" s="3054"/>
      <c r="CP16" s="3054"/>
      <c r="CQ16" s="3054"/>
      <c r="CR16" s="3054"/>
      <c r="CS16" s="3054"/>
      <c r="CT16" s="3054"/>
      <c r="CU16" s="3054"/>
      <c r="CV16" s="3054"/>
      <c r="CW16" s="3054"/>
      <c r="CX16" s="3054"/>
      <c r="CY16" s="3054"/>
      <c r="CZ16" s="3054"/>
      <c r="DA16" s="3054"/>
      <c r="DB16" s="3054"/>
      <c r="DC16" s="3054"/>
      <c r="DD16" s="1988">
        <f t="shared" si="0"/>
        <v>0</v>
      </c>
      <c r="DE16" s="1988"/>
      <c r="DF16" s="1988"/>
      <c r="DG16" s="1988"/>
      <c r="DH16" s="1988"/>
      <c r="DI16" s="1988"/>
      <c r="DJ16" s="1988"/>
      <c r="DK16" s="1988"/>
      <c r="DL16" s="1988"/>
      <c r="DM16" s="1988"/>
      <c r="DN16" s="1988"/>
      <c r="DO16" s="1988"/>
      <c r="DP16" s="1988"/>
      <c r="DQ16" s="1988"/>
      <c r="DR16" s="1988"/>
      <c r="DS16" s="1988"/>
      <c r="DT16" s="1988"/>
      <c r="DU16" s="1988"/>
      <c r="DV16" s="1988"/>
      <c r="DW16" s="1988"/>
      <c r="DX16" s="1988"/>
      <c r="DY16" s="1988"/>
      <c r="DZ16" s="1988"/>
      <c r="EA16" s="1988"/>
      <c r="EB16" s="1988"/>
      <c r="EC16" s="1988"/>
      <c r="ED16" s="1988"/>
      <c r="EE16" s="1988"/>
      <c r="EF16" s="3054">
        <f>前年度貼付!$E$69</f>
        <v>0</v>
      </c>
      <c r="EG16" s="3054"/>
      <c r="EH16" s="3054"/>
      <c r="EI16" s="3054"/>
      <c r="EJ16" s="3054"/>
      <c r="EK16" s="3054"/>
      <c r="EL16" s="3054"/>
      <c r="EM16" s="3054"/>
      <c r="EN16" s="3054"/>
      <c r="EO16" s="3054"/>
      <c r="EP16" s="3054"/>
      <c r="EQ16" s="3054"/>
      <c r="ER16" s="3054"/>
      <c r="ES16" s="3054"/>
      <c r="ET16" s="3054"/>
      <c r="EU16" s="3054"/>
      <c r="EV16" s="3054"/>
      <c r="EW16" s="3054"/>
      <c r="EX16" s="3054"/>
      <c r="EY16" s="3054"/>
      <c r="EZ16" s="3054"/>
      <c r="FA16" s="3054"/>
      <c r="FB16" s="3054"/>
      <c r="FC16" s="3054"/>
      <c r="FD16" s="3054"/>
      <c r="FE16" s="3054"/>
      <c r="FF16" s="3054"/>
      <c r="FG16" s="3054"/>
      <c r="FH16" s="1988">
        <f t="shared" si="1"/>
        <v>0</v>
      </c>
      <c r="FI16" s="1988"/>
      <c r="FJ16" s="1988"/>
      <c r="FK16" s="1988"/>
      <c r="FL16" s="1988"/>
      <c r="FM16" s="1988"/>
      <c r="FN16" s="1988"/>
      <c r="FO16" s="1988"/>
      <c r="FP16" s="1988"/>
      <c r="FQ16" s="1988"/>
      <c r="FR16" s="1988"/>
      <c r="FS16" s="1988"/>
      <c r="FT16" s="1988"/>
      <c r="FU16" s="1988"/>
      <c r="FV16" s="1988"/>
      <c r="FW16" s="1988"/>
      <c r="FX16" s="1988"/>
      <c r="FY16" s="1988"/>
      <c r="FZ16" s="1988"/>
      <c r="GA16" s="1988"/>
      <c r="GB16" s="1988"/>
      <c r="GC16" s="1988"/>
      <c r="GD16" s="1988"/>
      <c r="GE16" s="1988"/>
      <c r="GF16" s="1988"/>
      <c r="GG16" s="1988"/>
      <c r="GH16" s="1988"/>
      <c r="GI16" s="1988"/>
    </row>
    <row r="17" spans="1:191" s="166" customFormat="1" ht="20.25" customHeight="1">
      <c r="A17" s="188"/>
      <c r="B17" s="189"/>
      <c r="C17" s="189"/>
      <c r="D17" s="1932" t="s">
        <v>41</v>
      </c>
      <c r="E17" s="1932"/>
      <c r="F17" s="1932"/>
      <c r="G17" s="1932"/>
      <c r="H17" s="1932"/>
      <c r="I17" s="1932"/>
      <c r="J17" s="1932"/>
      <c r="K17" s="1932"/>
      <c r="L17" s="1932"/>
      <c r="M17" s="1932"/>
      <c r="N17" s="1932"/>
      <c r="O17" s="1932"/>
      <c r="P17" s="1932"/>
      <c r="Q17" s="1932"/>
      <c r="R17" s="1932"/>
      <c r="S17" s="1932"/>
      <c r="T17" s="1932"/>
      <c r="U17" s="1932"/>
      <c r="V17" s="1932"/>
      <c r="W17" s="1932"/>
      <c r="X17" s="1932"/>
      <c r="Y17" s="1932"/>
      <c r="Z17" s="1932"/>
      <c r="AA17" s="1932"/>
      <c r="AB17" s="1932"/>
      <c r="AC17" s="1932"/>
      <c r="AD17" s="1932"/>
      <c r="AE17" s="1932"/>
      <c r="AF17" s="1932"/>
      <c r="AG17" s="1932"/>
      <c r="AH17" s="1932"/>
      <c r="AI17" s="1932"/>
      <c r="AJ17" s="1932"/>
      <c r="AK17" s="1932"/>
      <c r="AL17" s="1932"/>
      <c r="AM17" s="1932"/>
      <c r="AN17" s="1932"/>
      <c r="AO17" s="1932"/>
      <c r="AP17" s="1932"/>
      <c r="AQ17" s="1932"/>
      <c r="AR17" s="1932"/>
      <c r="AS17" s="1932"/>
      <c r="AT17" s="1932"/>
      <c r="AU17" s="1932"/>
      <c r="AV17" s="1932"/>
      <c r="AW17" s="189"/>
      <c r="AX17" s="189"/>
      <c r="AY17" s="197"/>
      <c r="AZ17" s="3053">
        <v>100418000</v>
      </c>
      <c r="BA17" s="3054"/>
      <c r="BB17" s="3054"/>
      <c r="BC17" s="3054"/>
      <c r="BD17" s="3054"/>
      <c r="BE17" s="3054"/>
      <c r="BF17" s="3054"/>
      <c r="BG17" s="3054"/>
      <c r="BH17" s="3054"/>
      <c r="BI17" s="3054"/>
      <c r="BJ17" s="3054"/>
      <c r="BK17" s="3054"/>
      <c r="BL17" s="3054"/>
      <c r="BM17" s="3054"/>
      <c r="BN17" s="3054"/>
      <c r="BO17" s="3054"/>
      <c r="BP17" s="3054"/>
      <c r="BQ17" s="3054"/>
      <c r="BR17" s="3054"/>
      <c r="BS17" s="3054"/>
      <c r="BT17" s="3054"/>
      <c r="BU17" s="3054"/>
      <c r="BV17" s="3054"/>
      <c r="BW17" s="3054"/>
      <c r="BX17" s="3054"/>
      <c r="BY17" s="3054"/>
      <c r="BZ17" s="3054"/>
      <c r="CA17" s="3054"/>
      <c r="CB17" s="3054">
        <f>短期_財務諸表!F48</f>
        <v>71223000</v>
      </c>
      <c r="CC17" s="3054"/>
      <c r="CD17" s="3054"/>
      <c r="CE17" s="3054"/>
      <c r="CF17" s="3054"/>
      <c r="CG17" s="3054"/>
      <c r="CH17" s="3054"/>
      <c r="CI17" s="3054"/>
      <c r="CJ17" s="3054"/>
      <c r="CK17" s="3054"/>
      <c r="CL17" s="3054"/>
      <c r="CM17" s="3054"/>
      <c r="CN17" s="3054"/>
      <c r="CO17" s="3054"/>
      <c r="CP17" s="3054"/>
      <c r="CQ17" s="3054"/>
      <c r="CR17" s="3054"/>
      <c r="CS17" s="3054"/>
      <c r="CT17" s="3054"/>
      <c r="CU17" s="3054"/>
      <c r="CV17" s="3054"/>
      <c r="CW17" s="3054"/>
      <c r="CX17" s="3054"/>
      <c r="CY17" s="3054"/>
      <c r="CZ17" s="3054"/>
      <c r="DA17" s="3054"/>
      <c r="DB17" s="3054"/>
      <c r="DC17" s="3054"/>
      <c r="DD17" s="1988">
        <f t="shared" si="0"/>
        <v>-29195000</v>
      </c>
      <c r="DE17" s="1988"/>
      <c r="DF17" s="1988"/>
      <c r="DG17" s="1988"/>
      <c r="DH17" s="1988"/>
      <c r="DI17" s="1988"/>
      <c r="DJ17" s="1988"/>
      <c r="DK17" s="1988"/>
      <c r="DL17" s="1988"/>
      <c r="DM17" s="1988"/>
      <c r="DN17" s="1988"/>
      <c r="DO17" s="1988"/>
      <c r="DP17" s="1988"/>
      <c r="DQ17" s="1988"/>
      <c r="DR17" s="1988"/>
      <c r="DS17" s="1988"/>
      <c r="DT17" s="1988"/>
      <c r="DU17" s="1988"/>
      <c r="DV17" s="1988"/>
      <c r="DW17" s="1988"/>
      <c r="DX17" s="1988"/>
      <c r="DY17" s="1988"/>
      <c r="DZ17" s="1988"/>
      <c r="EA17" s="1988"/>
      <c r="EB17" s="1988"/>
      <c r="EC17" s="1988"/>
      <c r="ED17" s="1988"/>
      <c r="EE17" s="1988"/>
      <c r="EF17" s="3054">
        <f>前年度貼付!$E$70</f>
        <v>98548000</v>
      </c>
      <c r="EG17" s="3054"/>
      <c r="EH17" s="3054"/>
      <c r="EI17" s="3054"/>
      <c r="EJ17" s="3054"/>
      <c r="EK17" s="3054"/>
      <c r="EL17" s="3054"/>
      <c r="EM17" s="3054"/>
      <c r="EN17" s="3054"/>
      <c r="EO17" s="3054"/>
      <c r="EP17" s="3054"/>
      <c r="EQ17" s="3054"/>
      <c r="ER17" s="3054"/>
      <c r="ES17" s="3054"/>
      <c r="ET17" s="3054"/>
      <c r="EU17" s="3054"/>
      <c r="EV17" s="3054"/>
      <c r="EW17" s="3054"/>
      <c r="EX17" s="3054"/>
      <c r="EY17" s="3054"/>
      <c r="EZ17" s="3054"/>
      <c r="FA17" s="3054"/>
      <c r="FB17" s="3054"/>
      <c r="FC17" s="3054"/>
      <c r="FD17" s="3054"/>
      <c r="FE17" s="3054"/>
      <c r="FF17" s="3054"/>
      <c r="FG17" s="3054"/>
      <c r="FH17" s="1988">
        <f t="shared" si="1"/>
        <v>-27325000</v>
      </c>
      <c r="FI17" s="1988"/>
      <c r="FJ17" s="1988"/>
      <c r="FK17" s="1988"/>
      <c r="FL17" s="1988"/>
      <c r="FM17" s="1988"/>
      <c r="FN17" s="1988"/>
      <c r="FO17" s="1988"/>
      <c r="FP17" s="1988"/>
      <c r="FQ17" s="1988"/>
      <c r="FR17" s="1988"/>
      <c r="FS17" s="1988"/>
      <c r="FT17" s="1988"/>
      <c r="FU17" s="1988"/>
      <c r="FV17" s="1988"/>
      <c r="FW17" s="1988"/>
      <c r="FX17" s="1988"/>
      <c r="FY17" s="1988"/>
      <c r="FZ17" s="1988"/>
      <c r="GA17" s="1988"/>
      <c r="GB17" s="1988"/>
      <c r="GC17" s="1988"/>
      <c r="GD17" s="1988"/>
      <c r="GE17" s="1988"/>
      <c r="GF17" s="1988"/>
      <c r="GG17" s="1988"/>
      <c r="GH17" s="1988"/>
      <c r="GI17" s="1988"/>
    </row>
    <row r="18" spans="1:191" s="166" customFormat="1" ht="20.25" customHeight="1">
      <c r="A18" s="188"/>
      <c r="B18" s="189"/>
      <c r="C18" s="189"/>
      <c r="D18" s="1932" t="s">
        <v>42</v>
      </c>
      <c r="E18" s="1932"/>
      <c r="F18" s="1932"/>
      <c r="G18" s="1932"/>
      <c r="H18" s="1932"/>
      <c r="I18" s="1932"/>
      <c r="J18" s="1932"/>
      <c r="K18" s="1932"/>
      <c r="L18" s="1932"/>
      <c r="M18" s="1932"/>
      <c r="N18" s="1932"/>
      <c r="O18" s="1932"/>
      <c r="P18" s="1932"/>
      <c r="Q18" s="1932"/>
      <c r="R18" s="1932"/>
      <c r="S18" s="1932"/>
      <c r="T18" s="1932"/>
      <c r="U18" s="1932"/>
      <c r="V18" s="1932"/>
      <c r="W18" s="1932"/>
      <c r="X18" s="1932"/>
      <c r="Y18" s="1932"/>
      <c r="Z18" s="1932"/>
      <c r="AA18" s="1932"/>
      <c r="AB18" s="1932"/>
      <c r="AC18" s="1932"/>
      <c r="AD18" s="1932"/>
      <c r="AE18" s="1932"/>
      <c r="AF18" s="1932"/>
      <c r="AG18" s="1932"/>
      <c r="AH18" s="1932"/>
      <c r="AI18" s="1932"/>
      <c r="AJ18" s="1932"/>
      <c r="AK18" s="1932"/>
      <c r="AL18" s="1932"/>
      <c r="AM18" s="1932"/>
      <c r="AN18" s="1932"/>
      <c r="AO18" s="1932"/>
      <c r="AP18" s="1932"/>
      <c r="AQ18" s="1932"/>
      <c r="AR18" s="1932"/>
      <c r="AS18" s="1932"/>
      <c r="AT18" s="1932"/>
      <c r="AU18" s="1932"/>
      <c r="AV18" s="1932"/>
      <c r="AW18" s="189"/>
      <c r="AX18" s="189"/>
      <c r="AY18" s="197"/>
      <c r="AZ18" s="3053">
        <v>3000</v>
      </c>
      <c r="BA18" s="3054"/>
      <c r="BB18" s="3054"/>
      <c r="BC18" s="3054"/>
      <c r="BD18" s="3054"/>
      <c r="BE18" s="3054"/>
      <c r="BF18" s="3054"/>
      <c r="BG18" s="3054"/>
      <c r="BH18" s="3054"/>
      <c r="BI18" s="3054"/>
      <c r="BJ18" s="3054"/>
      <c r="BK18" s="3054"/>
      <c r="BL18" s="3054"/>
      <c r="BM18" s="3054"/>
      <c r="BN18" s="3054"/>
      <c r="BO18" s="3054"/>
      <c r="BP18" s="3054"/>
      <c r="BQ18" s="3054"/>
      <c r="BR18" s="3054"/>
      <c r="BS18" s="3054"/>
      <c r="BT18" s="3054"/>
      <c r="BU18" s="3054"/>
      <c r="BV18" s="3054"/>
      <c r="BW18" s="3054"/>
      <c r="BX18" s="3054"/>
      <c r="BY18" s="3054"/>
      <c r="BZ18" s="3054"/>
      <c r="CA18" s="3054"/>
      <c r="CB18" s="3054">
        <f>短期_財務諸表!F49</f>
        <v>0</v>
      </c>
      <c r="CC18" s="3054"/>
      <c r="CD18" s="3054"/>
      <c r="CE18" s="3054"/>
      <c r="CF18" s="3054"/>
      <c r="CG18" s="3054"/>
      <c r="CH18" s="3054"/>
      <c r="CI18" s="3054"/>
      <c r="CJ18" s="3054"/>
      <c r="CK18" s="3054"/>
      <c r="CL18" s="3054"/>
      <c r="CM18" s="3054"/>
      <c r="CN18" s="3054"/>
      <c r="CO18" s="3054"/>
      <c r="CP18" s="3054"/>
      <c r="CQ18" s="3054"/>
      <c r="CR18" s="3054"/>
      <c r="CS18" s="3054"/>
      <c r="CT18" s="3054"/>
      <c r="CU18" s="3054"/>
      <c r="CV18" s="3054"/>
      <c r="CW18" s="3054"/>
      <c r="CX18" s="3054"/>
      <c r="CY18" s="3054"/>
      <c r="CZ18" s="3054"/>
      <c r="DA18" s="3054"/>
      <c r="DB18" s="3054"/>
      <c r="DC18" s="3054"/>
      <c r="DD18" s="1988">
        <f t="shared" si="0"/>
        <v>-3000</v>
      </c>
      <c r="DE18" s="1988"/>
      <c r="DF18" s="1988"/>
      <c r="DG18" s="1988"/>
      <c r="DH18" s="1988"/>
      <c r="DI18" s="1988"/>
      <c r="DJ18" s="1988"/>
      <c r="DK18" s="1988"/>
      <c r="DL18" s="1988"/>
      <c r="DM18" s="1988"/>
      <c r="DN18" s="1988"/>
      <c r="DO18" s="1988"/>
      <c r="DP18" s="1988"/>
      <c r="DQ18" s="1988"/>
      <c r="DR18" s="1988"/>
      <c r="DS18" s="1988"/>
      <c r="DT18" s="1988"/>
      <c r="DU18" s="1988"/>
      <c r="DV18" s="1988"/>
      <c r="DW18" s="1988"/>
      <c r="DX18" s="1988"/>
      <c r="DY18" s="1988"/>
      <c r="DZ18" s="1988"/>
      <c r="EA18" s="1988"/>
      <c r="EB18" s="1988"/>
      <c r="EC18" s="1988"/>
      <c r="ED18" s="1988"/>
      <c r="EE18" s="1988"/>
      <c r="EF18" s="3054">
        <f>前年度貼付!$E$71</f>
        <v>0</v>
      </c>
      <c r="EG18" s="3054"/>
      <c r="EH18" s="3054"/>
      <c r="EI18" s="3054"/>
      <c r="EJ18" s="3054"/>
      <c r="EK18" s="3054"/>
      <c r="EL18" s="3054"/>
      <c r="EM18" s="3054"/>
      <c r="EN18" s="3054"/>
      <c r="EO18" s="3054"/>
      <c r="EP18" s="3054"/>
      <c r="EQ18" s="3054"/>
      <c r="ER18" s="3054"/>
      <c r="ES18" s="3054"/>
      <c r="ET18" s="3054"/>
      <c r="EU18" s="3054"/>
      <c r="EV18" s="3054"/>
      <c r="EW18" s="3054"/>
      <c r="EX18" s="3054"/>
      <c r="EY18" s="3054"/>
      <c r="EZ18" s="3054"/>
      <c r="FA18" s="3054"/>
      <c r="FB18" s="3054"/>
      <c r="FC18" s="3054"/>
      <c r="FD18" s="3054"/>
      <c r="FE18" s="3054"/>
      <c r="FF18" s="3054"/>
      <c r="FG18" s="3054"/>
      <c r="FH18" s="1988">
        <f t="shared" si="1"/>
        <v>0</v>
      </c>
      <c r="FI18" s="1988"/>
      <c r="FJ18" s="1988"/>
      <c r="FK18" s="1988"/>
      <c r="FL18" s="1988"/>
      <c r="FM18" s="1988"/>
      <c r="FN18" s="1988"/>
      <c r="FO18" s="1988"/>
      <c r="FP18" s="1988"/>
      <c r="FQ18" s="1988"/>
      <c r="FR18" s="1988"/>
      <c r="FS18" s="1988"/>
      <c r="FT18" s="1988"/>
      <c r="FU18" s="1988"/>
      <c r="FV18" s="1988"/>
      <c r="FW18" s="1988"/>
      <c r="FX18" s="1988"/>
      <c r="FY18" s="1988"/>
      <c r="FZ18" s="1988"/>
      <c r="GA18" s="1988"/>
      <c r="GB18" s="1988"/>
      <c r="GC18" s="1988"/>
      <c r="GD18" s="1988"/>
      <c r="GE18" s="1988"/>
      <c r="GF18" s="1988"/>
      <c r="GG18" s="1988"/>
      <c r="GH18" s="1988"/>
      <c r="GI18" s="1988"/>
    </row>
    <row r="19" spans="1:191" s="166" customFormat="1" ht="20.25" customHeight="1">
      <c r="A19" s="188"/>
      <c r="B19" s="189"/>
      <c r="C19" s="189"/>
      <c r="D19" s="3055" t="s">
        <v>205</v>
      </c>
      <c r="E19" s="3055"/>
      <c r="F19" s="3055"/>
      <c r="G19" s="3055"/>
      <c r="H19" s="3055"/>
      <c r="I19" s="3055"/>
      <c r="J19" s="3055"/>
      <c r="K19" s="3055"/>
      <c r="L19" s="3055"/>
      <c r="M19" s="3055"/>
      <c r="N19" s="3055"/>
      <c r="O19" s="3055"/>
      <c r="P19" s="3055"/>
      <c r="Q19" s="3055"/>
      <c r="R19" s="3055"/>
      <c r="S19" s="3055"/>
      <c r="T19" s="3055"/>
      <c r="U19" s="3055"/>
      <c r="V19" s="3055"/>
      <c r="W19" s="3055"/>
      <c r="X19" s="3055"/>
      <c r="Y19" s="3055"/>
      <c r="Z19" s="3055"/>
      <c r="AA19" s="3055"/>
      <c r="AB19" s="3055"/>
      <c r="AC19" s="3055"/>
      <c r="AD19" s="3055"/>
      <c r="AE19" s="3055"/>
      <c r="AF19" s="3055"/>
      <c r="AG19" s="3055"/>
      <c r="AH19" s="3055"/>
      <c r="AI19" s="3055"/>
      <c r="AJ19" s="3055"/>
      <c r="AK19" s="3055"/>
      <c r="AL19" s="3055"/>
      <c r="AM19" s="3055"/>
      <c r="AN19" s="3055"/>
      <c r="AO19" s="3055"/>
      <c r="AP19" s="3055"/>
      <c r="AQ19" s="3055"/>
      <c r="AR19" s="3055"/>
      <c r="AS19" s="3055"/>
      <c r="AT19" s="3055"/>
      <c r="AU19" s="3055"/>
      <c r="AV19" s="3055"/>
      <c r="AW19" s="189"/>
      <c r="AX19" s="189"/>
      <c r="AY19" s="197"/>
      <c r="AZ19" s="3054">
        <f>AZ70+AZ71+AZ72+AZ73</f>
        <v>587192000</v>
      </c>
      <c r="BA19" s="3054"/>
      <c r="BB19" s="3054"/>
      <c r="BC19" s="3054"/>
      <c r="BD19" s="3054"/>
      <c r="BE19" s="3054"/>
      <c r="BF19" s="3054"/>
      <c r="BG19" s="3054"/>
      <c r="BH19" s="3054"/>
      <c r="BI19" s="3054"/>
      <c r="BJ19" s="3054"/>
      <c r="BK19" s="3054"/>
      <c r="BL19" s="3054"/>
      <c r="BM19" s="3054"/>
      <c r="BN19" s="3054"/>
      <c r="BO19" s="3054"/>
      <c r="BP19" s="3054"/>
      <c r="BQ19" s="3054"/>
      <c r="BR19" s="3054"/>
      <c r="BS19" s="3054"/>
      <c r="BT19" s="3054"/>
      <c r="BU19" s="3054"/>
      <c r="BV19" s="3054"/>
      <c r="BW19" s="3054"/>
      <c r="BX19" s="3054"/>
      <c r="BY19" s="3054"/>
      <c r="BZ19" s="3054"/>
      <c r="CA19" s="3054"/>
      <c r="CB19" s="3054">
        <f>短期_財務諸表!F50</f>
        <v>587326584</v>
      </c>
      <c r="CC19" s="3054"/>
      <c r="CD19" s="3054"/>
      <c r="CE19" s="3054"/>
      <c r="CF19" s="3054"/>
      <c r="CG19" s="3054"/>
      <c r="CH19" s="3054"/>
      <c r="CI19" s="3054"/>
      <c r="CJ19" s="3054"/>
      <c r="CK19" s="3054"/>
      <c r="CL19" s="3054"/>
      <c r="CM19" s="3054"/>
      <c r="CN19" s="3054"/>
      <c r="CO19" s="3054"/>
      <c r="CP19" s="3054"/>
      <c r="CQ19" s="3054"/>
      <c r="CR19" s="3054"/>
      <c r="CS19" s="3054"/>
      <c r="CT19" s="3054"/>
      <c r="CU19" s="3054"/>
      <c r="CV19" s="3054"/>
      <c r="CW19" s="3054"/>
      <c r="CX19" s="3054"/>
      <c r="CY19" s="3054"/>
      <c r="CZ19" s="3054"/>
      <c r="DA19" s="3054"/>
      <c r="DB19" s="3054"/>
      <c r="DC19" s="3054"/>
      <c r="DD19" s="1988">
        <f t="shared" si="0"/>
        <v>134584</v>
      </c>
      <c r="DE19" s="1988"/>
      <c r="DF19" s="1988"/>
      <c r="DG19" s="1988"/>
      <c r="DH19" s="1988"/>
      <c r="DI19" s="1988"/>
      <c r="DJ19" s="1988"/>
      <c r="DK19" s="1988"/>
      <c r="DL19" s="1988"/>
      <c r="DM19" s="1988"/>
      <c r="DN19" s="1988"/>
      <c r="DO19" s="1988"/>
      <c r="DP19" s="1988"/>
      <c r="DQ19" s="1988"/>
      <c r="DR19" s="1988"/>
      <c r="DS19" s="1988"/>
      <c r="DT19" s="1988"/>
      <c r="DU19" s="1988"/>
      <c r="DV19" s="1988"/>
      <c r="DW19" s="1988"/>
      <c r="DX19" s="1988"/>
      <c r="DY19" s="1988"/>
      <c r="DZ19" s="1988"/>
      <c r="EA19" s="1988"/>
      <c r="EB19" s="1988"/>
      <c r="EC19" s="1988"/>
      <c r="ED19" s="1988"/>
      <c r="EE19" s="1988"/>
      <c r="EF19" s="3054">
        <f>EF70+EF71+EF72+EF73</f>
        <v>512653248</v>
      </c>
      <c r="EG19" s="3054"/>
      <c r="EH19" s="3054"/>
      <c r="EI19" s="3054"/>
      <c r="EJ19" s="3054"/>
      <c r="EK19" s="3054"/>
      <c r="EL19" s="3054"/>
      <c r="EM19" s="3054"/>
      <c r="EN19" s="3054"/>
      <c r="EO19" s="3054"/>
      <c r="EP19" s="3054"/>
      <c r="EQ19" s="3054"/>
      <c r="ER19" s="3054"/>
      <c r="ES19" s="3054"/>
      <c r="ET19" s="3054"/>
      <c r="EU19" s="3054"/>
      <c r="EV19" s="3054"/>
      <c r="EW19" s="3054"/>
      <c r="EX19" s="3054"/>
      <c r="EY19" s="3054"/>
      <c r="EZ19" s="3054"/>
      <c r="FA19" s="3054"/>
      <c r="FB19" s="3054"/>
      <c r="FC19" s="3054"/>
      <c r="FD19" s="3054"/>
      <c r="FE19" s="3054"/>
      <c r="FF19" s="3054"/>
      <c r="FG19" s="3054"/>
      <c r="FH19" s="1988">
        <f t="shared" si="1"/>
        <v>74673336</v>
      </c>
      <c r="FI19" s="1988"/>
      <c r="FJ19" s="1988"/>
      <c r="FK19" s="1988"/>
      <c r="FL19" s="1988"/>
      <c r="FM19" s="1988"/>
      <c r="FN19" s="1988"/>
      <c r="FO19" s="1988"/>
      <c r="FP19" s="1988"/>
      <c r="FQ19" s="1988"/>
      <c r="FR19" s="1988"/>
      <c r="FS19" s="1988"/>
      <c r="FT19" s="1988"/>
      <c r="FU19" s="1988"/>
      <c r="FV19" s="1988"/>
      <c r="FW19" s="1988"/>
      <c r="FX19" s="1988"/>
      <c r="FY19" s="1988"/>
      <c r="FZ19" s="1988"/>
      <c r="GA19" s="1988"/>
      <c r="GB19" s="1988"/>
      <c r="GC19" s="1988"/>
      <c r="GD19" s="1988"/>
      <c r="GE19" s="1988"/>
      <c r="GF19" s="1988"/>
      <c r="GG19" s="1988"/>
      <c r="GH19" s="1988"/>
      <c r="GI19" s="1988"/>
    </row>
    <row r="20" spans="1:191" s="166" customFormat="1" ht="20.25" hidden="1" customHeight="1" outlineLevel="1">
      <c r="A20" s="188"/>
      <c r="B20" s="189"/>
      <c r="C20" s="189"/>
      <c r="D20" s="2025" t="s">
        <v>43</v>
      </c>
      <c r="E20" s="2025"/>
      <c r="F20" s="2025"/>
      <c r="G20" s="2025"/>
      <c r="H20" s="2025"/>
      <c r="I20" s="2025"/>
      <c r="J20" s="2025"/>
      <c r="K20" s="2025"/>
      <c r="L20" s="2025"/>
      <c r="M20" s="2025"/>
      <c r="N20" s="2025"/>
      <c r="O20" s="2025"/>
      <c r="P20" s="2025"/>
      <c r="Q20" s="2025"/>
      <c r="R20" s="2025"/>
      <c r="S20" s="2025"/>
      <c r="T20" s="2025"/>
      <c r="U20" s="2025"/>
      <c r="V20" s="2025"/>
      <c r="W20" s="2025"/>
      <c r="X20" s="2025"/>
      <c r="Y20" s="2025"/>
      <c r="Z20" s="2025"/>
      <c r="AA20" s="2025"/>
      <c r="AB20" s="2025"/>
      <c r="AC20" s="2025"/>
      <c r="AD20" s="2025"/>
      <c r="AE20" s="2025"/>
      <c r="AF20" s="2025"/>
      <c r="AG20" s="2025"/>
      <c r="AH20" s="2025"/>
      <c r="AI20" s="2025"/>
      <c r="AJ20" s="2025"/>
      <c r="AK20" s="2025"/>
      <c r="AL20" s="2025"/>
      <c r="AM20" s="2025"/>
      <c r="AN20" s="2025"/>
      <c r="AO20" s="2025"/>
      <c r="AP20" s="2025"/>
      <c r="AQ20" s="2025"/>
      <c r="AR20" s="2025"/>
      <c r="AS20" s="2025"/>
      <c r="AT20" s="2025"/>
      <c r="AU20" s="2025"/>
      <c r="AV20" s="2025"/>
      <c r="AW20" s="189"/>
      <c r="AX20" s="189"/>
      <c r="AY20" s="197"/>
      <c r="AZ20" s="3056">
        <v>0</v>
      </c>
      <c r="BA20" s="3057"/>
      <c r="BB20" s="3057"/>
      <c r="BC20" s="3057"/>
      <c r="BD20" s="3057"/>
      <c r="BE20" s="3057"/>
      <c r="BF20" s="3057"/>
      <c r="BG20" s="3057"/>
      <c r="BH20" s="3057"/>
      <c r="BI20" s="3057"/>
      <c r="BJ20" s="3057"/>
      <c r="BK20" s="3057"/>
      <c r="BL20" s="3057"/>
      <c r="BM20" s="3057"/>
      <c r="BN20" s="3057"/>
      <c r="BO20" s="3057"/>
      <c r="BP20" s="3057"/>
      <c r="BQ20" s="3057"/>
      <c r="BR20" s="3057"/>
      <c r="BS20" s="3057"/>
      <c r="BT20" s="3057"/>
      <c r="BU20" s="3057"/>
      <c r="BV20" s="3057"/>
      <c r="BW20" s="3057"/>
      <c r="BX20" s="3057"/>
      <c r="BY20" s="3057"/>
      <c r="BZ20" s="3057"/>
      <c r="CA20" s="3057"/>
      <c r="CB20" s="3054"/>
      <c r="CC20" s="3054"/>
      <c r="CD20" s="3054"/>
      <c r="CE20" s="3054"/>
      <c r="CF20" s="3054"/>
      <c r="CG20" s="3054"/>
      <c r="CH20" s="3054"/>
      <c r="CI20" s="3054"/>
      <c r="CJ20" s="3054"/>
      <c r="CK20" s="3054"/>
      <c r="CL20" s="3054"/>
      <c r="CM20" s="3054"/>
      <c r="CN20" s="3054"/>
      <c r="CO20" s="3054"/>
      <c r="CP20" s="3054"/>
      <c r="CQ20" s="3054"/>
      <c r="CR20" s="3054"/>
      <c r="CS20" s="3054"/>
      <c r="CT20" s="3054"/>
      <c r="CU20" s="3054"/>
      <c r="CV20" s="3054"/>
      <c r="CW20" s="3054"/>
      <c r="CX20" s="3054"/>
      <c r="CY20" s="3054"/>
      <c r="CZ20" s="3054"/>
      <c r="DA20" s="3054"/>
      <c r="DB20" s="3054"/>
      <c r="DC20" s="3054"/>
      <c r="DD20" s="1988">
        <f t="shared" si="0"/>
        <v>0</v>
      </c>
      <c r="DE20" s="1988"/>
      <c r="DF20" s="1988"/>
      <c r="DG20" s="1988"/>
      <c r="DH20" s="1988"/>
      <c r="DI20" s="1988"/>
      <c r="DJ20" s="1988"/>
      <c r="DK20" s="1988"/>
      <c r="DL20" s="1988"/>
      <c r="DM20" s="1988"/>
      <c r="DN20" s="1988"/>
      <c r="DO20" s="1988"/>
      <c r="DP20" s="1988"/>
      <c r="DQ20" s="1988"/>
      <c r="DR20" s="1988"/>
      <c r="DS20" s="1988"/>
      <c r="DT20" s="1988"/>
      <c r="DU20" s="1988"/>
      <c r="DV20" s="1988"/>
      <c r="DW20" s="1988"/>
      <c r="DX20" s="1988"/>
      <c r="DY20" s="1988"/>
      <c r="DZ20" s="1988"/>
      <c r="EA20" s="1988"/>
      <c r="EB20" s="1988"/>
      <c r="EC20" s="1988"/>
      <c r="ED20" s="1988"/>
      <c r="EE20" s="1988"/>
      <c r="EF20" s="3054">
        <f>前年度貼付!$E$72</f>
        <v>0</v>
      </c>
      <c r="EG20" s="3054"/>
      <c r="EH20" s="3054"/>
      <c r="EI20" s="3054"/>
      <c r="EJ20" s="3054"/>
      <c r="EK20" s="3054"/>
      <c r="EL20" s="3054"/>
      <c r="EM20" s="3054"/>
      <c r="EN20" s="3054"/>
      <c r="EO20" s="3054"/>
      <c r="EP20" s="3054"/>
      <c r="EQ20" s="3054"/>
      <c r="ER20" s="3054"/>
      <c r="ES20" s="3054"/>
      <c r="ET20" s="3054"/>
      <c r="EU20" s="3054"/>
      <c r="EV20" s="3054"/>
      <c r="EW20" s="3054"/>
      <c r="EX20" s="3054"/>
      <c r="EY20" s="3054"/>
      <c r="EZ20" s="3054"/>
      <c r="FA20" s="3054"/>
      <c r="FB20" s="3054"/>
      <c r="FC20" s="3054"/>
      <c r="FD20" s="3054"/>
      <c r="FE20" s="3054"/>
      <c r="FF20" s="3054"/>
      <c r="FG20" s="3054"/>
      <c r="FH20" s="1988">
        <f t="shared" si="1"/>
        <v>0</v>
      </c>
      <c r="FI20" s="1988"/>
      <c r="FJ20" s="1988"/>
      <c r="FK20" s="1988"/>
      <c r="FL20" s="1988"/>
      <c r="FM20" s="1988"/>
      <c r="FN20" s="1988"/>
      <c r="FO20" s="1988"/>
      <c r="FP20" s="1988"/>
      <c r="FQ20" s="1988"/>
      <c r="FR20" s="1988"/>
      <c r="FS20" s="1988"/>
      <c r="FT20" s="1988"/>
      <c r="FU20" s="1988"/>
      <c r="FV20" s="1988"/>
      <c r="FW20" s="1988"/>
      <c r="FX20" s="1988"/>
      <c r="FY20" s="1988"/>
      <c r="FZ20" s="1988"/>
      <c r="GA20" s="1988"/>
      <c r="GB20" s="1988"/>
      <c r="GC20" s="1988"/>
      <c r="GD20" s="1988"/>
      <c r="GE20" s="1988"/>
      <c r="GF20" s="1988"/>
      <c r="GG20" s="1988"/>
      <c r="GH20" s="1988"/>
      <c r="GI20" s="1988"/>
    </row>
    <row r="21" spans="1:191" s="166" customFormat="1" ht="20.25" hidden="1" customHeight="1" outlineLevel="1">
      <c r="A21" s="188"/>
      <c r="B21" s="189"/>
      <c r="C21" s="189"/>
      <c r="D21" s="2025" t="s">
        <v>412</v>
      </c>
      <c r="E21" s="2025"/>
      <c r="F21" s="2025"/>
      <c r="G21" s="2025"/>
      <c r="H21" s="2025"/>
      <c r="I21" s="2025"/>
      <c r="J21" s="2025"/>
      <c r="K21" s="2025"/>
      <c r="L21" s="2025"/>
      <c r="M21" s="2025"/>
      <c r="N21" s="2025"/>
      <c r="O21" s="2025"/>
      <c r="P21" s="2025"/>
      <c r="Q21" s="2025"/>
      <c r="R21" s="2025"/>
      <c r="S21" s="2025"/>
      <c r="T21" s="2025"/>
      <c r="U21" s="2025"/>
      <c r="V21" s="2025"/>
      <c r="W21" s="2025"/>
      <c r="X21" s="2025"/>
      <c r="Y21" s="2025"/>
      <c r="Z21" s="2025"/>
      <c r="AA21" s="2025"/>
      <c r="AB21" s="2025"/>
      <c r="AC21" s="2025"/>
      <c r="AD21" s="2025"/>
      <c r="AE21" s="2025"/>
      <c r="AF21" s="2025"/>
      <c r="AG21" s="2025"/>
      <c r="AH21" s="2025"/>
      <c r="AI21" s="2025"/>
      <c r="AJ21" s="2025"/>
      <c r="AK21" s="2025"/>
      <c r="AL21" s="2025"/>
      <c r="AM21" s="2025"/>
      <c r="AN21" s="2025"/>
      <c r="AO21" s="2025"/>
      <c r="AP21" s="2025"/>
      <c r="AQ21" s="2025"/>
      <c r="AR21" s="2025"/>
      <c r="AS21" s="2025"/>
      <c r="AT21" s="2025"/>
      <c r="AU21" s="2025"/>
      <c r="AV21" s="2025"/>
      <c r="AW21" s="189"/>
      <c r="AX21" s="189"/>
      <c r="AY21" s="197"/>
      <c r="AZ21" s="3054"/>
      <c r="BA21" s="3054"/>
      <c r="BB21" s="3054"/>
      <c r="BC21" s="3054"/>
      <c r="BD21" s="3054"/>
      <c r="BE21" s="3054"/>
      <c r="BF21" s="3054"/>
      <c r="BG21" s="3054"/>
      <c r="BH21" s="3054"/>
      <c r="BI21" s="3054"/>
      <c r="BJ21" s="3054"/>
      <c r="BK21" s="3054"/>
      <c r="BL21" s="3054"/>
      <c r="BM21" s="3054"/>
      <c r="BN21" s="3054"/>
      <c r="BO21" s="3054"/>
      <c r="BP21" s="3054"/>
      <c r="BQ21" s="3054"/>
      <c r="BR21" s="3054"/>
      <c r="BS21" s="3054"/>
      <c r="BT21" s="3054"/>
      <c r="BU21" s="3054"/>
      <c r="BV21" s="3054"/>
      <c r="BW21" s="3054"/>
      <c r="BX21" s="3054"/>
      <c r="BY21" s="3054"/>
      <c r="BZ21" s="3054"/>
      <c r="CA21" s="3054"/>
      <c r="CB21" s="3054"/>
      <c r="CC21" s="3054"/>
      <c r="CD21" s="3054"/>
      <c r="CE21" s="3054"/>
      <c r="CF21" s="3054"/>
      <c r="CG21" s="3054"/>
      <c r="CH21" s="3054"/>
      <c r="CI21" s="3054"/>
      <c r="CJ21" s="3054"/>
      <c r="CK21" s="3054"/>
      <c r="CL21" s="3054"/>
      <c r="CM21" s="3054"/>
      <c r="CN21" s="3054"/>
      <c r="CO21" s="3054"/>
      <c r="CP21" s="3054"/>
      <c r="CQ21" s="3054"/>
      <c r="CR21" s="3054"/>
      <c r="CS21" s="3054"/>
      <c r="CT21" s="3054"/>
      <c r="CU21" s="3054"/>
      <c r="CV21" s="3054"/>
      <c r="CW21" s="3054"/>
      <c r="CX21" s="3054"/>
      <c r="CY21" s="3054"/>
      <c r="CZ21" s="3054"/>
      <c r="DA21" s="3054"/>
      <c r="DB21" s="3054"/>
      <c r="DC21" s="3054"/>
      <c r="DD21" s="1988">
        <f t="shared" si="0"/>
        <v>0</v>
      </c>
      <c r="DE21" s="1988"/>
      <c r="DF21" s="1988"/>
      <c r="DG21" s="1988"/>
      <c r="DH21" s="1988"/>
      <c r="DI21" s="1988"/>
      <c r="DJ21" s="1988"/>
      <c r="DK21" s="1988"/>
      <c r="DL21" s="1988"/>
      <c r="DM21" s="1988"/>
      <c r="DN21" s="1988"/>
      <c r="DO21" s="1988"/>
      <c r="DP21" s="1988"/>
      <c r="DQ21" s="1988"/>
      <c r="DR21" s="1988"/>
      <c r="DS21" s="1988"/>
      <c r="DT21" s="1988"/>
      <c r="DU21" s="1988"/>
      <c r="DV21" s="1988"/>
      <c r="DW21" s="1988"/>
      <c r="DX21" s="1988"/>
      <c r="DY21" s="1988"/>
      <c r="DZ21" s="1988"/>
      <c r="EA21" s="1988"/>
      <c r="EB21" s="1988"/>
      <c r="EC21" s="1988"/>
      <c r="ED21" s="1988"/>
      <c r="EE21" s="1988"/>
      <c r="EF21" s="3054"/>
      <c r="EG21" s="3054"/>
      <c r="EH21" s="3054"/>
      <c r="EI21" s="3054"/>
      <c r="EJ21" s="3054"/>
      <c r="EK21" s="3054"/>
      <c r="EL21" s="3054"/>
      <c r="EM21" s="3054"/>
      <c r="EN21" s="3054"/>
      <c r="EO21" s="3054"/>
      <c r="EP21" s="3054"/>
      <c r="EQ21" s="3054"/>
      <c r="ER21" s="3054"/>
      <c r="ES21" s="3054"/>
      <c r="ET21" s="3054"/>
      <c r="EU21" s="3054"/>
      <c r="EV21" s="3054"/>
      <c r="EW21" s="3054"/>
      <c r="EX21" s="3054"/>
      <c r="EY21" s="3054"/>
      <c r="EZ21" s="3054"/>
      <c r="FA21" s="3054"/>
      <c r="FB21" s="3054"/>
      <c r="FC21" s="3054"/>
      <c r="FD21" s="3054"/>
      <c r="FE21" s="3054"/>
      <c r="FF21" s="3054"/>
      <c r="FG21" s="3054"/>
      <c r="FH21" s="1988">
        <f t="shared" si="1"/>
        <v>0</v>
      </c>
      <c r="FI21" s="1988"/>
      <c r="FJ21" s="1988"/>
      <c r="FK21" s="1988"/>
      <c r="FL21" s="1988"/>
      <c r="FM21" s="1988"/>
      <c r="FN21" s="1988"/>
      <c r="FO21" s="1988"/>
      <c r="FP21" s="1988"/>
      <c r="FQ21" s="1988"/>
      <c r="FR21" s="1988"/>
      <c r="FS21" s="1988"/>
      <c r="FT21" s="1988"/>
      <c r="FU21" s="1988"/>
      <c r="FV21" s="1988"/>
      <c r="FW21" s="1988"/>
      <c r="FX21" s="1988"/>
      <c r="FY21" s="1988"/>
      <c r="FZ21" s="1988"/>
      <c r="GA21" s="1988"/>
      <c r="GB21" s="1988"/>
      <c r="GC21" s="1988"/>
      <c r="GD21" s="1988"/>
      <c r="GE21" s="1988"/>
      <c r="GF21" s="1988"/>
      <c r="GG21" s="1988"/>
      <c r="GH21" s="1988"/>
      <c r="GI21" s="1988"/>
    </row>
    <row r="22" spans="1:191" s="166" customFormat="1" ht="20.25" hidden="1" customHeight="1" outlineLevel="1">
      <c r="A22" s="188"/>
      <c r="B22" s="189"/>
      <c r="C22" s="189"/>
      <c r="D22" s="2025" t="s">
        <v>44</v>
      </c>
      <c r="E22" s="2025"/>
      <c r="F22" s="2025"/>
      <c r="G22" s="2025"/>
      <c r="H22" s="2025"/>
      <c r="I22" s="2025"/>
      <c r="J22" s="2025"/>
      <c r="K22" s="2025"/>
      <c r="L22" s="2025"/>
      <c r="M22" s="2025"/>
      <c r="N22" s="2025"/>
      <c r="O22" s="2025"/>
      <c r="P22" s="2025"/>
      <c r="Q22" s="2025"/>
      <c r="R22" s="2025"/>
      <c r="S22" s="2025"/>
      <c r="T22" s="2025"/>
      <c r="U22" s="2025"/>
      <c r="V22" s="2025"/>
      <c r="W22" s="2025"/>
      <c r="X22" s="2025"/>
      <c r="Y22" s="2025"/>
      <c r="Z22" s="2025"/>
      <c r="AA22" s="2025"/>
      <c r="AB22" s="2025"/>
      <c r="AC22" s="2025"/>
      <c r="AD22" s="2025"/>
      <c r="AE22" s="2025"/>
      <c r="AF22" s="2025"/>
      <c r="AG22" s="2025"/>
      <c r="AH22" s="2025"/>
      <c r="AI22" s="2025"/>
      <c r="AJ22" s="2025"/>
      <c r="AK22" s="2025"/>
      <c r="AL22" s="2025"/>
      <c r="AM22" s="2025"/>
      <c r="AN22" s="2025"/>
      <c r="AO22" s="2025"/>
      <c r="AP22" s="2025"/>
      <c r="AQ22" s="2025"/>
      <c r="AR22" s="2025"/>
      <c r="AS22" s="2025"/>
      <c r="AT22" s="2025"/>
      <c r="AU22" s="2025"/>
      <c r="AV22" s="2025"/>
      <c r="AW22" s="189"/>
      <c r="AX22" s="189"/>
      <c r="AY22" s="197"/>
      <c r="AZ22" s="3056">
        <v>0</v>
      </c>
      <c r="BA22" s="3057"/>
      <c r="BB22" s="3057"/>
      <c r="BC22" s="3057"/>
      <c r="BD22" s="3057"/>
      <c r="BE22" s="3057"/>
      <c r="BF22" s="3057"/>
      <c r="BG22" s="3057"/>
      <c r="BH22" s="3057"/>
      <c r="BI22" s="3057"/>
      <c r="BJ22" s="3057"/>
      <c r="BK22" s="3057"/>
      <c r="BL22" s="3057"/>
      <c r="BM22" s="3057"/>
      <c r="BN22" s="3057"/>
      <c r="BO22" s="3057"/>
      <c r="BP22" s="3057"/>
      <c r="BQ22" s="3057"/>
      <c r="BR22" s="3057"/>
      <c r="BS22" s="3057"/>
      <c r="BT22" s="3057"/>
      <c r="BU22" s="3057"/>
      <c r="BV22" s="3057"/>
      <c r="BW22" s="3057"/>
      <c r="BX22" s="3057"/>
      <c r="BY22" s="3057"/>
      <c r="BZ22" s="3057"/>
      <c r="CA22" s="3057"/>
      <c r="CB22" s="3054"/>
      <c r="CC22" s="3054"/>
      <c r="CD22" s="3054"/>
      <c r="CE22" s="3054"/>
      <c r="CF22" s="3054"/>
      <c r="CG22" s="3054"/>
      <c r="CH22" s="3054"/>
      <c r="CI22" s="3054"/>
      <c r="CJ22" s="3054"/>
      <c r="CK22" s="3054"/>
      <c r="CL22" s="3054"/>
      <c r="CM22" s="3054"/>
      <c r="CN22" s="3054"/>
      <c r="CO22" s="3054"/>
      <c r="CP22" s="3054"/>
      <c r="CQ22" s="3054"/>
      <c r="CR22" s="3054"/>
      <c r="CS22" s="3054"/>
      <c r="CT22" s="3054"/>
      <c r="CU22" s="3054"/>
      <c r="CV22" s="3054"/>
      <c r="CW22" s="3054"/>
      <c r="CX22" s="3054"/>
      <c r="CY22" s="3054"/>
      <c r="CZ22" s="3054"/>
      <c r="DA22" s="3054"/>
      <c r="DB22" s="3054"/>
      <c r="DC22" s="3054"/>
      <c r="DD22" s="1988">
        <f t="shared" si="0"/>
        <v>0</v>
      </c>
      <c r="DE22" s="1988"/>
      <c r="DF22" s="1988"/>
      <c r="DG22" s="1988"/>
      <c r="DH22" s="1988"/>
      <c r="DI22" s="1988"/>
      <c r="DJ22" s="1988"/>
      <c r="DK22" s="1988"/>
      <c r="DL22" s="1988"/>
      <c r="DM22" s="1988"/>
      <c r="DN22" s="1988"/>
      <c r="DO22" s="1988"/>
      <c r="DP22" s="1988"/>
      <c r="DQ22" s="1988"/>
      <c r="DR22" s="1988"/>
      <c r="DS22" s="1988"/>
      <c r="DT22" s="1988"/>
      <c r="DU22" s="1988"/>
      <c r="DV22" s="1988"/>
      <c r="DW22" s="1988"/>
      <c r="DX22" s="1988"/>
      <c r="DY22" s="1988"/>
      <c r="DZ22" s="1988"/>
      <c r="EA22" s="1988"/>
      <c r="EB22" s="1988"/>
      <c r="EC22" s="1988"/>
      <c r="ED22" s="1988"/>
      <c r="EE22" s="1988"/>
      <c r="EF22" s="3054">
        <f>前年度貼付!$E$73</f>
        <v>0</v>
      </c>
      <c r="EG22" s="3054"/>
      <c r="EH22" s="3054"/>
      <c r="EI22" s="3054"/>
      <c r="EJ22" s="3054"/>
      <c r="EK22" s="3054"/>
      <c r="EL22" s="3054"/>
      <c r="EM22" s="3054"/>
      <c r="EN22" s="3054"/>
      <c r="EO22" s="3054"/>
      <c r="EP22" s="3054"/>
      <c r="EQ22" s="3054"/>
      <c r="ER22" s="3054"/>
      <c r="ES22" s="3054"/>
      <c r="ET22" s="3054"/>
      <c r="EU22" s="3054"/>
      <c r="EV22" s="3054"/>
      <c r="EW22" s="3054"/>
      <c r="EX22" s="3054"/>
      <c r="EY22" s="3054"/>
      <c r="EZ22" s="3054"/>
      <c r="FA22" s="3054"/>
      <c r="FB22" s="3054"/>
      <c r="FC22" s="3054"/>
      <c r="FD22" s="3054"/>
      <c r="FE22" s="3054"/>
      <c r="FF22" s="3054"/>
      <c r="FG22" s="3054"/>
      <c r="FH22" s="1988">
        <f t="shared" si="1"/>
        <v>0</v>
      </c>
      <c r="FI22" s="1988"/>
      <c r="FJ22" s="1988"/>
      <c r="FK22" s="1988"/>
      <c r="FL22" s="1988"/>
      <c r="FM22" s="1988"/>
      <c r="FN22" s="1988"/>
      <c r="FO22" s="1988"/>
      <c r="FP22" s="1988"/>
      <c r="FQ22" s="1988"/>
      <c r="FR22" s="1988"/>
      <c r="FS22" s="1988"/>
      <c r="FT22" s="1988"/>
      <c r="FU22" s="1988"/>
      <c r="FV22" s="1988"/>
      <c r="FW22" s="1988"/>
      <c r="FX22" s="1988"/>
      <c r="FY22" s="1988"/>
      <c r="FZ22" s="1988"/>
      <c r="GA22" s="1988"/>
      <c r="GB22" s="1988"/>
      <c r="GC22" s="1988"/>
      <c r="GD22" s="1988"/>
      <c r="GE22" s="1988"/>
      <c r="GF22" s="1988"/>
      <c r="GG22" s="1988"/>
      <c r="GH22" s="1988"/>
      <c r="GI22" s="1988"/>
    </row>
    <row r="23" spans="1:191" s="166" customFormat="1" ht="20.25" customHeight="1" collapsed="1">
      <c r="A23" s="188"/>
      <c r="B23" s="189"/>
      <c r="C23" s="189"/>
      <c r="D23" s="1932" t="s">
        <v>45</v>
      </c>
      <c r="E23" s="1932"/>
      <c r="F23" s="1932"/>
      <c r="G23" s="1932"/>
      <c r="H23" s="1932"/>
      <c r="I23" s="1932"/>
      <c r="J23" s="1932"/>
      <c r="K23" s="1932"/>
      <c r="L23" s="1932"/>
      <c r="M23" s="1932"/>
      <c r="N23" s="1932"/>
      <c r="O23" s="1932"/>
      <c r="P23" s="1932"/>
      <c r="Q23" s="1932"/>
      <c r="R23" s="1932"/>
      <c r="S23" s="1932"/>
      <c r="T23" s="1932"/>
      <c r="U23" s="1932"/>
      <c r="V23" s="1932"/>
      <c r="W23" s="1932"/>
      <c r="X23" s="1932"/>
      <c r="Y23" s="1932"/>
      <c r="Z23" s="1932"/>
      <c r="AA23" s="1932"/>
      <c r="AB23" s="1932"/>
      <c r="AC23" s="1932"/>
      <c r="AD23" s="1932"/>
      <c r="AE23" s="1932"/>
      <c r="AF23" s="1932"/>
      <c r="AG23" s="1932"/>
      <c r="AH23" s="1932"/>
      <c r="AI23" s="1932"/>
      <c r="AJ23" s="1932"/>
      <c r="AK23" s="1932"/>
      <c r="AL23" s="1932"/>
      <c r="AM23" s="1932"/>
      <c r="AN23" s="1932"/>
      <c r="AO23" s="1932"/>
      <c r="AP23" s="1932"/>
      <c r="AQ23" s="1932"/>
      <c r="AR23" s="1932"/>
      <c r="AS23" s="1932"/>
      <c r="AT23" s="1932"/>
      <c r="AU23" s="1932"/>
      <c r="AV23" s="1932"/>
      <c r="AW23" s="189"/>
      <c r="AX23" s="189"/>
      <c r="AY23" s="197"/>
      <c r="AZ23" s="3053">
        <v>10372000</v>
      </c>
      <c r="BA23" s="3054"/>
      <c r="BB23" s="3054"/>
      <c r="BC23" s="3054"/>
      <c r="BD23" s="3054"/>
      <c r="BE23" s="3054"/>
      <c r="BF23" s="3054"/>
      <c r="BG23" s="3054"/>
      <c r="BH23" s="3054"/>
      <c r="BI23" s="3054"/>
      <c r="BJ23" s="3054"/>
      <c r="BK23" s="3054"/>
      <c r="BL23" s="3054"/>
      <c r="BM23" s="3054"/>
      <c r="BN23" s="3054"/>
      <c r="BO23" s="3054"/>
      <c r="BP23" s="3054"/>
      <c r="BQ23" s="3054"/>
      <c r="BR23" s="3054"/>
      <c r="BS23" s="3054"/>
      <c r="BT23" s="3054"/>
      <c r="BU23" s="3054"/>
      <c r="BV23" s="3054"/>
      <c r="BW23" s="3054"/>
      <c r="BX23" s="3054"/>
      <c r="BY23" s="3054"/>
      <c r="BZ23" s="3054"/>
      <c r="CA23" s="3054"/>
      <c r="CB23" s="3054">
        <f>短期_財務諸表!F51</f>
        <v>10496090</v>
      </c>
      <c r="CC23" s="3054"/>
      <c r="CD23" s="3054"/>
      <c r="CE23" s="3054"/>
      <c r="CF23" s="3054"/>
      <c r="CG23" s="3054"/>
      <c r="CH23" s="3054"/>
      <c r="CI23" s="3054"/>
      <c r="CJ23" s="3054"/>
      <c r="CK23" s="3054"/>
      <c r="CL23" s="3054"/>
      <c r="CM23" s="3054"/>
      <c r="CN23" s="3054"/>
      <c r="CO23" s="3054"/>
      <c r="CP23" s="3054"/>
      <c r="CQ23" s="3054"/>
      <c r="CR23" s="3054"/>
      <c r="CS23" s="3054"/>
      <c r="CT23" s="3054"/>
      <c r="CU23" s="3054"/>
      <c r="CV23" s="3054"/>
      <c r="CW23" s="3054"/>
      <c r="CX23" s="3054"/>
      <c r="CY23" s="3054"/>
      <c r="CZ23" s="3054"/>
      <c r="DA23" s="3054"/>
      <c r="DB23" s="3054"/>
      <c r="DC23" s="3054"/>
      <c r="DD23" s="1988">
        <f t="shared" si="0"/>
        <v>124090</v>
      </c>
      <c r="DE23" s="1988"/>
      <c r="DF23" s="1988"/>
      <c r="DG23" s="1988"/>
      <c r="DH23" s="1988"/>
      <c r="DI23" s="1988"/>
      <c r="DJ23" s="1988"/>
      <c r="DK23" s="1988"/>
      <c r="DL23" s="1988"/>
      <c r="DM23" s="1988"/>
      <c r="DN23" s="1988"/>
      <c r="DO23" s="1988"/>
      <c r="DP23" s="1988"/>
      <c r="DQ23" s="1988"/>
      <c r="DR23" s="1988"/>
      <c r="DS23" s="1988"/>
      <c r="DT23" s="1988"/>
      <c r="DU23" s="1988"/>
      <c r="DV23" s="1988"/>
      <c r="DW23" s="1988"/>
      <c r="DX23" s="1988"/>
      <c r="DY23" s="1988"/>
      <c r="DZ23" s="1988"/>
      <c r="EA23" s="1988"/>
      <c r="EB23" s="1988"/>
      <c r="EC23" s="1988"/>
      <c r="ED23" s="1988"/>
      <c r="EE23" s="1988"/>
      <c r="EF23" s="3054">
        <f>前年度貼付!$E$74</f>
        <v>10086976</v>
      </c>
      <c r="EG23" s="3054"/>
      <c r="EH23" s="3054"/>
      <c r="EI23" s="3054"/>
      <c r="EJ23" s="3054"/>
      <c r="EK23" s="3054"/>
      <c r="EL23" s="3054"/>
      <c r="EM23" s="3054"/>
      <c r="EN23" s="3054"/>
      <c r="EO23" s="3054"/>
      <c r="EP23" s="3054"/>
      <c r="EQ23" s="3054"/>
      <c r="ER23" s="3054"/>
      <c r="ES23" s="3054"/>
      <c r="ET23" s="3054"/>
      <c r="EU23" s="3054"/>
      <c r="EV23" s="3054"/>
      <c r="EW23" s="3054"/>
      <c r="EX23" s="3054"/>
      <c r="EY23" s="3054"/>
      <c r="EZ23" s="3054"/>
      <c r="FA23" s="3054"/>
      <c r="FB23" s="3054"/>
      <c r="FC23" s="3054"/>
      <c r="FD23" s="3054"/>
      <c r="FE23" s="3054"/>
      <c r="FF23" s="3054"/>
      <c r="FG23" s="3054"/>
      <c r="FH23" s="1988">
        <f t="shared" si="1"/>
        <v>409114</v>
      </c>
      <c r="FI23" s="1988"/>
      <c r="FJ23" s="1988"/>
      <c r="FK23" s="1988"/>
      <c r="FL23" s="1988"/>
      <c r="FM23" s="1988"/>
      <c r="FN23" s="1988"/>
      <c r="FO23" s="1988"/>
      <c r="FP23" s="1988"/>
      <c r="FQ23" s="1988"/>
      <c r="FR23" s="1988"/>
      <c r="FS23" s="1988"/>
      <c r="FT23" s="1988"/>
      <c r="FU23" s="1988"/>
      <c r="FV23" s="1988"/>
      <c r="FW23" s="1988"/>
      <c r="FX23" s="1988"/>
      <c r="FY23" s="1988"/>
      <c r="FZ23" s="1988"/>
      <c r="GA23" s="1988"/>
      <c r="GB23" s="1988"/>
      <c r="GC23" s="1988"/>
      <c r="GD23" s="1988"/>
      <c r="GE23" s="1988"/>
      <c r="GF23" s="1988"/>
      <c r="GG23" s="1988"/>
      <c r="GH23" s="1988"/>
      <c r="GI23" s="1988"/>
    </row>
    <row r="24" spans="1:191" s="166" customFormat="1" ht="20.25" customHeight="1">
      <c r="A24" s="188"/>
      <c r="B24" s="189"/>
      <c r="C24" s="189"/>
      <c r="D24" s="1932" t="s">
        <v>46</v>
      </c>
      <c r="E24" s="1932"/>
      <c r="F24" s="1932"/>
      <c r="G24" s="1932"/>
      <c r="H24" s="1932"/>
      <c r="I24" s="1932"/>
      <c r="J24" s="1932"/>
      <c r="K24" s="1932"/>
      <c r="L24" s="1932"/>
      <c r="M24" s="1932"/>
      <c r="N24" s="1932"/>
      <c r="O24" s="1932"/>
      <c r="P24" s="1932"/>
      <c r="Q24" s="1932"/>
      <c r="R24" s="1932"/>
      <c r="S24" s="1932"/>
      <c r="T24" s="1932"/>
      <c r="U24" s="1932"/>
      <c r="V24" s="1932"/>
      <c r="W24" s="1932"/>
      <c r="X24" s="1932"/>
      <c r="Y24" s="1932"/>
      <c r="Z24" s="1932"/>
      <c r="AA24" s="1932"/>
      <c r="AB24" s="1932"/>
      <c r="AC24" s="1932"/>
      <c r="AD24" s="1932"/>
      <c r="AE24" s="1932"/>
      <c r="AF24" s="1932"/>
      <c r="AG24" s="1932"/>
      <c r="AH24" s="1932"/>
      <c r="AI24" s="1932"/>
      <c r="AJ24" s="1932"/>
      <c r="AK24" s="1932"/>
      <c r="AL24" s="1932"/>
      <c r="AM24" s="1932"/>
      <c r="AN24" s="1932"/>
      <c r="AO24" s="1932"/>
      <c r="AP24" s="1932"/>
      <c r="AQ24" s="1932"/>
      <c r="AR24" s="1932"/>
      <c r="AS24" s="1932"/>
      <c r="AT24" s="1932"/>
      <c r="AU24" s="1932"/>
      <c r="AV24" s="1932"/>
      <c r="AW24" s="189"/>
      <c r="AX24" s="189"/>
      <c r="AY24" s="197"/>
      <c r="AZ24" s="3053">
        <v>0</v>
      </c>
      <c r="BA24" s="3054"/>
      <c r="BB24" s="3054"/>
      <c r="BC24" s="3054"/>
      <c r="BD24" s="3054"/>
      <c r="BE24" s="3054"/>
      <c r="BF24" s="3054"/>
      <c r="BG24" s="3054"/>
      <c r="BH24" s="3054"/>
      <c r="BI24" s="3054"/>
      <c r="BJ24" s="3054"/>
      <c r="BK24" s="3054"/>
      <c r="BL24" s="3054"/>
      <c r="BM24" s="3054"/>
      <c r="BN24" s="3054"/>
      <c r="BO24" s="3054"/>
      <c r="BP24" s="3054"/>
      <c r="BQ24" s="3054"/>
      <c r="BR24" s="3054"/>
      <c r="BS24" s="3054"/>
      <c r="BT24" s="3054"/>
      <c r="BU24" s="3054"/>
      <c r="BV24" s="3054"/>
      <c r="BW24" s="3054"/>
      <c r="BX24" s="3054"/>
      <c r="BY24" s="3054"/>
      <c r="BZ24" s="3054"/>
      <c r="CA24" s="3054"/>
      <c r="CB24" s="3054">
        <f>短期_財務諸表!F52</f>
        <v>37196000</v>
      </c>
      <c r="CC24" s="3054"/>
      <c r="CD24" s="3054"/>
      <c r="CE24" s="3054"/>
      <c r="CF24" s="3054"/>
      <c r="CG24" s="3054"/>
      <c r="CH24" s="3054"/>
      <c r="CI24" s="3054"/>
      <c r="CJ24" s="3054"/>
      <c r="CK24" s="3054"/>
      <c r="CL24" s="3054"/>
      <c r="CM24" s="3054"/>
      <c r="CN24" s="3054"/>
      <c r="CO24" s="3054"/>
      <c r="CP24" s="3054"/>
      <c r="CQ24" s="3054"/>
      <c r="CR24" s="3054"/>
      <c r="CS24" s="3054"/>
      <c r="CT24" s="3054"/>
      <c r="CU24" s="3054"/>
      <c r="CV24" s="3054"/>
      <c r="CW24" s="3054"/>
      <c r="CX24" s="3054"/>
      <c r="CY24" s="3054"/>
      <c r="CZ24" s="3054"/>
      <c r="DA24" s="3054"/>
      <c r="DB24" s="3054"/>
      <c r="DC24" s="3054"/>
      <c r="DD24" s="1988">
        <f t="shared" si="0"/>
        <v>37196000</v>
      </c>
      <c r="DE24" s="1988"/>
      <c r="DF24" s="1988"/>
      <c r="DG24" s="1988"/>
      <c r="DH24" s="1988"/>
      <c r="DI24" s="1988"/>
      <c r="DJ24" s="1988"/>
      <c r="DK24" s="1988"/>
      <c r="DL24" s="1988"/>
      <c r="DM24" s="1988"/>
      <c r="DN24" s="1988"/>
      <c r="DO24" s="1988"/>
      <c r="DP24" s="1988"/>
      <c r="DQ24" s="1988"/>
      <c r="DR24" s="1988"/>
      <c r="DS24" s="1988"/>
      <c r="DT24" s="1988"/>
      <c r="DU24" s="1988"/>
      <c r="DV24" s="1988"/>
      <c r="DW24" s="1988"/>
      <c r="DX24" s="1988"/>
      <c r="DY24" s="1988"/>
      <c r="DZ24" s="1988"/>
      <c r="EA24" s="1988"/>
      <c r="EB24" s="1988"/>
      <c r="EC24" s="1988"/>
      <c r="ED24" s="1988"/>
      <c r="EE24" s="1988"/>
      <c r="EF24" s="3054">
        <f>前年度貼付!$E$75</f>
        <v>0</v>
      </c>
      <c r="EG24" s="3054"/>
      <c r="EH24" s="3054"/>
      <c r="EI24" s="3054"/>
      <c r="EJ24" s="3054"/>
      <c r="EK24" s="3054"/>
      <c r="EL24" s="3054"/>
      <c r="EM24" s="3054"/>
      <c r="EN24" s="3054"/>
      <c r="EO24" s="3054"/>
      <c r="EP24" s="3054"/>
      <c r="EQ24" s="3054"/>
      <c r="ER24" s="3054"/>
      <c r="ES24" s="3054"/>
      <c r="ET24" s="3054"/>
      <c r="EU24" s="3054"/>
      <c r="EV24" s="3054"/>
      <c r="EW24" s="3054"/>
      <c r="EX24" s="3054"/>
      <c r="EY24" s="3054"/>
      <c r="EZ24" s="3054"/>
      <c r="FA24" s="3054"/>
      <c r="FB24" s="3054"/>
      <c r="FC24" s="3054"/>
      <c r="FD24" s="3054"/>
      <c r="FE24" s="3054"/>
      <c r="FF24" s="3054"/>
      <c r="FG24" s="3054"/>
      <c r="FH24" s="1988">
        <f t="shared" si="1"/>
        <v>37196000</v>
      </c>
      <c r="FI24" s="1988"/>
      <c r="FJ24" s="1988"/>
      <c r="FK24" s="1988"/>
      <c r="FL24" s="1988"/>
      <c r="FM24" s="1988"/>
      <c r="FN24" s="1988"/>
      <c r="FO24" s="1988"/>
      <c r="FP24" s="1988"/>
      <c r="FQ24" s="1988"/>
      <c r="FR24" s="1988"/>
      <c r="FS24" s="1988"/>
      <c r="FT24" s="1988"/>
      <c r="FU24" s="1988"/>
      <c r="FV24" s="1988"/>
      <c r="FW24" s="1988"/>
      <c r="FX24" s="1988"/>
      <c r="FY24" s="1988"/>
      <c r="FZ24" s="1988"/>
      <c r="GA24" s="1988"/>
      <c r="GB24" s="1988"/>
      <c r="GC24" s="1988"/>
      <c r="GD24" s="1988"/>
      <c r="GE24" s="1988"/>
      <c r="GF24" s="1988"/>
      <c r="GG24" s="1988"/>
      <c r="GH24" s="1988"/>
      <c r="GI24" s="1988"/>
    </row>
    <row r="25" spans="1:191" s="166" customFormat="1" ht="20.25" customHeight="1">
      <c r="A25" s="188"/>
      <c r="B25" s="189"/>
      <c r="C25" s="189"/>
      <c r="D25" s="1932" t="s">
        <v>47</v>
      </c>
      <c r="E25" s="1932"/>
      <c r="F25" s="1932"/>
      <c r="G25" s="1932"/>
      <c r="H25" s="1932"/>
      <c r="I25" s="1932"/>
      <c r="J25" s="1932"/>
      <c r="K25" s="1932"/>
      <c r="L25" s="1932"/>
      <c r="M25" s="1932"/>
      <c r="N25" s="1932"/>
      <c r="O25" s="1932"/>
      <c r="P25" s="1932"/>
      <c r="Q25" s="1932"/>
      <c r="R25" s="1932"/>
      <c r="S25" s="1932"/>
      <c r="T25" s="1932"/>
      <c r="U25" s="1932"/>
      <c r="V25" s="1932"/>
      <c r="W25" s="1932"/>
      <c r="X25" s="1932"/>
      <c r="Y25" s="1932"/>
      <c r="Z25" s="1932"/>
      <c r="AA25" s="1932"/>
      <c r="AB25" s="1932"/>
      <c r="AC25" s="1932"/>
      <c r="AD25" s="1932"/>
      <c r="AE25" s="1932"/>
      <c r="AF25" s="1932"/>
      <c r="AG25" s="1932"/>
      <c r="AH25" s="1932"/>
      <c r="AI25" s="1932"/>
      <c r="AJ25" s="1932"/>
      <c r="AK25" s="1932"/>
      <c r="AL25" s="1932"/>
      <c r="AM25" s="1932"/>
      <c r="AN25" s="1932"/>
      <c r="AO25" s="1932"/>
      <c r="AP25" s="1932"/>
      <c r="AQ25" s="1932"/>
      <c r="AR25" s="1932"/>
      <c r="AS25" s="1932"/>
      <c r="AT25" s="1932"/>
      <c r="AU25" s="1932"/>
      <c r="AV25" s="1932"/>
      <c r="AW25" s="189"/>
      <c r="AX25" s="189"/>
      <c r="AY25" s="197"/>
      <c r="AZ25" s="3053">
        <v>0</v>
      </c>
      <c r="BA25" s="3054"/>
      <c r="BB25" s="3054"/>
      <c r="BC25" s="3054"/>
      <c r="BD25" s="3054"/>
      <c r="BE25" s="3054"/>
      <c r="BF25" s="3054"/>
      <c r="BG25" s="3054"/>
      <c r="BH25" s="3054"/>
      <c r="BI25" s="3054"/>
      <c r="BJ25" s="3054"/>
      <c r="BK25" s="3054"/>
      <c r="BL25" s="3054"/>
      <c r="BM25" s="3054"/>
      <c r="BN25" s="3054"/>
      <c r="BO25" s="3054"/>
      <c r="BP25" s="3054"/>
      <c r="BQ25" s="3054"/>
      <c r="BR25" s="3054"/>
      <c r="BS25" s="3054"/>
      <c r="BT25" s="3054"/>
      <c r="BU25" s="3054"/>
      <c r="BV25" s="3054"/>
      <c r="BW25" s="3054"/>
      <c r="BX25" s="3054"/>
      <c r="BY25" s="3054"/>
      <c r="BZ25" s="3054"/>
      <c r="CA25" s="3054"/>
      <c r="CB25" s="3054">
        <f>短期_財務諸表!F54</f>
        <v>0</v>
      </c>
      <c r="CC25" s="3054"/>
      <c r="CD25" s="3054"/>
      <c r="CE25" s="3054"/>
      <c r="CF25" s="3054"/>
      <c r="CG25" s="3054"/>
      <c r="CH25" s="3054"/>
      <c r="CI25" s="3054"/>
      <c r="CJ25" s="3054"/>
      <c r="CK25" s="3054"/>
      <c r="CL25" s="3054"/>
      <c r="CM25" s="3054"/>
      <c r="CN25" s="3054"/>
      <c r="CO25" s="3054"/>
      <c r="CP25" s="3054"/>
      <c r="CQ25" s="3054"/>
      <c r="CR25" s="3054"/>
      <c r="CS25" s="3054"/>
      <c r="CT25" s="3054"/>
      <c r="CU25" s="3054"/>
      <c r="CV25" s="3054"/>
      <c r="CW25" s="3054"/>
      <c r="CX25" s="3054"/>
      <c r="CY25" s="3054"/>
      <c r="CZ25" s="3054"/>
      <c r="DA25" s="3054"/>
      <c r="DB25" s="3054"/>
      <c r="DC25" s="3054"/>
      <c r="DD25" s="1988">
        <f t="shared" si="0"/>
        <v>0</v>
      </c>
      <c r="DE25" s="1988"/>
      <c r="DF25" s="1988"/>
      <c r="DG25" s="1988"/>
      <c r="DH25" s="1988"/>
      <c r="DI25" s="1988"/>
      <c r="DJ25" s="1988"/>
      <c r="DK25" s="1988"/>
      <c r="DL25" s="1988"/>
      <c r="DM25" s="1988"/>
      <c r="DN25" s="1988"/>
      <c r="DO25" s="1988"/>
      <c r="DP25" s="1988"/>
      <c r="DQ25" s="1988"/>
      <c r="DR25" s="1988"/>
      <c r="DS25" s="1988"/>
      <c r="DT25" s="1988"/>
      <c r="DU25" s="1988"/>
      <c r="DV25" s="1988"/>
      <c r="DW25" s="1988"/>
      <c r="DX25" s="1988"/>
      <c r="DY25" s="1988"/>
      <c r="DZ25" s="1988"/>
      <c r="EA25" s="1988"/>
      <c r="EB25" s="1988"/>
      <c r="EC25" s="1988"/>
      <c r="ED25" s="1988"/>
      <c r="EE25" s="1988"/>
      <c r="EF25" s="3054">
        <f>前年度貼付!$E$76</f>
        <v>0</v>
      </c>
      <c r="EG25" s="3054"/>
      <c r="EH25" s="3054"/>
      <c r="EI25" s="3054"/>
      <c r="EJ25" s="3054"/>
      <c r="EK25" s="3054"/>
      <c r="EL25" s="3054"/>
      <c r="EM25" s="3054"/>
      <c r="EN25" s="3054"/>
      <c r="EO25" s="3054"/>
      <c r="EP25" s="3054"/>
      <c r="EQ25" s="3054"/>
      <c r="ER25" s="3054"/>
      <c r="ES25" s="3054"/>
      <c r="ET25" s="3054"/>
      <c r="EU25" s="3054"/>
      <c r="EV25" s="3054"/>
      <c r="EW25" s="3054"/>
      <c r="EX25" s="3054"/>
      <c r="EY25" s="3054"/>
      <c r="EZ25" s="3054"/>
      <c r="FA25" s="3054"/>
      <c r="FB25" s="3054"/>
      <c r="FC25" s="3054"/>
      <c r="FD25" s="3054"/>
      <c r="FE25" s="3054"/>
      <c r="FF25" s="3054"/>
      <c r="FG25" s="3054"/>
      <c r="FH25" s="1988">
        <f t="shared" si="1"/>
        <v>0</v>
      </c>
      <c r="FI25" s="1988"/>
      <c r="FJ25" s="1988"/>
      <c r="FK25" s="1988"/>
      <c r="FL25" s="1988"/>
      <c r="FM25" s="1988"/>
      <c r="FN25" s="1988"/>
      <c r="FO25" s="1988"/>
      <c r="FP25" s="1988"/>
      <c r="FQ25" s="1988"/>
      <c r="FR25" s="1988"/>
      <c r="FS25" s="1988"/>
      <c r="FT25" s="1988"/>
      <c r="FU25" s="1988"/>
      <c r="FV25" s="1988"/>
      <c r="FW25" s="1988"/>
      <c r="FX25" s="1988"/>
      <c r="FY25" s="1988"/>
      <c r="FZ25" s="1988"/>
      <c r="GA25" s="1988"/>
      <c r="GB25" s="1988"/>
      <c r="GC25" s="1988"/>
      <c r="GD25" s="1988"/>
      <c r="GE25" s="1988"/>
      <c r="GF25" s="1988"/>
      <c r="GG25" s="1988"/>
      <c r="GH25" s="1988"/>
      <c r="GI25" s="1988"/>
    </row>
    <row r="26" spans="1:191" s="166" customFormat="1" ht="20.25" customHeight="1">
      <c r="A26" s="188"/>
      <c r="B26" s="189"/>
      <c r="C26" s="189"/>
      <c r="D26" s="1932" t="s">
        <v>48</v>
      </c>
      <c r="E26" s="1932"/>
      <c r="F26" s="1932"/>
      <c r="G26" s="1932"/>
      <c r="H26" s="1932"/>
      <c r="I26" s="1932"/>
      <c r="J26" s="1932"/>
      <c r="K26" s="1932"/>
      <c r="L26" s="1932"/>
      <c r="M26" s="1932"/>
      <c r="N26" s="1932"/>
      <c r="O26" s="1932"/>
      <c r="P26" s="1932"/>
      <c r="Q26" s="1932"/>
      <c r="R26" s="1932"/>
      <c r="S26" s="1932"/>
      <c r="T26" s="1932"/>
      <c r="U26" s="1932"/>
      <c r="V26" s="1932"/>
      <c r="W26" s="1932"/>
      <c r="X26" s="1932"/>
      <c r="Y26" s="1932"/>
      <c r="Z26" s="1932"/>
      <c r="AA26" s="1932"/>
      <c r="AB26" s="1932"/>
      <c r="AC26" s="1932"/>
      <c r="AD26" s="1932"/>
      <c r="AE26" s="1932"/>
      <c r="AF26" s="1932"/>
      <c r="AG26" s="1932"/>
      <c r="AH26" s="1932"/>
      <c r="AI26" s="1932"/>
      <c r="AJ26" s="1932"/>
      <c r="AK26" s="1932"/>
      <c r="AL26" s="1932"/>
      <c r="AM26" s="1932"/>
      <c r="AN26" s="1932"/>
      <c r="AO26" s="1932"/>
      <c r="AP26" s="1932"/>
      <c r="AQ26" s="1932"/>
      <c r="AR26" s="1932"/>
      <c r="AS26" s="1932"/>
      <c r="AT26" s="1932"/>
      <c r="AU26" s="1932"/>
      <c r="AV26" s="1932"/>
      <c r="AW26" s="189"/>
      <c r="AX26" s="189"/>
      <c r="AY26" s="197"/>
      <c r="AZ26" s="3053">
        <v>0</v>
      </c>
      <c r="BA26" s="3054"/>
      <c r="BB26" s="3054"/>
      <c r="BC26" s="3054"/>
      <c r="BD26" s="3054"/>
      <c r="BE26" s="3054"/>
      <c r="BF26" s="3054"/>
      <c r="BG26" s="3054"/>
      <c r="BH26" s="3054"/>
      <c r="BI26" s="3054"/>
      <c r="BJ26" s="3054"/>
      <c r="BK26" s="3054"/>
      <c r="BL26" s="3054"/>
      <c r="BM26" s="3054"/>
      <c r="BN26" s="3054"/>
      <c r="BO26" s="3054"/>
      <c r="BP26" s="3054"/>
      <c r="BQ26" s="3054"/>
      <c r="BR26" s="3054"/>
      <c r="BS26" s="3054"/>
      <c r="BT26" s="3054"/>
      <c r="BU26" s="3054"/>
      <c r="BV26" s="3054"/>
      <c r="BW26" s="3054"/>
      <c r="BX26" s="3054"/>
      <c r="BY26" s="3054"/>
      <c r="BZ26" s="3054"/>
      <c r="CA26" s="3054"/>
      <c r="CB26" s="3053">
        <v>0</v>
      </c>
      <c r="CC26" s="3054"/>
      <c r="CD26" s="3054"/>
      <c r="CE26" s="3054"/>
      <c r="CF26" s="3054"/>
      <c r="CG26" s="3054"/>
      <c r="CH26" s="3054"/>
      <c r="CI26" s="3054"/>
      <c r="CJ26" s="3054"/>
      <c r="CK26" s="3054"/>
      <c r="CL26" s="3054"/>
      <c r="CM26" s="3054"/>
      <c r="CN26" s="3054"/>
      <c r="CO26" s="3054"/>
      <c r="CP26" s="3054"/>
      <c r="CQ26" s="3054"/>
      <c r="CR26" s="3054"/>
      <c r="CS26" s="3054"/>
      <c r="CT26" s="3054"/>
      <c r="CU26" s="3054"/>
      <c r="CV26" s="3054"/>
      <c r="CW26" s="3054"/>
      <c r="CX26" s="3054"/>
      <c r="CY26" s="3054"/>
      <c r="CZ26" s="3054"/>
      <c r="DA26" s="3054"/>
      <c r="DB26" s="3054"/>
      <c r="DC26" s="3054"/>
      <c r="DD26" s="1988">
        <f t="shared" si="0"/>
        <v>0</v>
      </c>
      <c r="DE26" s="1988"/>
      <c r="DF26" s="1988"/>
      <c r="DG26" s="1988"/>
      <c r="DH26" s="1988"/>
      <c r="DI26" s="1988"/>
      <c r="DJ26" s="1988"/>
      <c r="DK26" s="1988"/>
      <c r="DL26" s="1988"/>
      <c r="DM26" s="1988"/>
      <c r="DN26" s="1988"/>
      <c r="DO26" s="1988"/>
      <c r="DP26" s="1988"/>
      <c r="DQ26" s="1988"/>
      <c r="DR26" s="1988"/>
      <c r="DS26" s="1988"/>
      <c r="DT26" s="1988"/>
      <c r="DU26" s="1988"/>
      <c r="DV26" s="1988"/>
      <c r="DW26" s="1988"/>
      <c r="DX26" s="1988"/>
      <c r="DY26" s="1988"/>
      <c r="DZ26" s="1988"/>
      <c r="EA26" s="1988"/>
      <c r="EB26" s="1988"/>
      <c r="EC26" s="1988"/>
      <c r="ED26" s="1988"/>
      <c r="EE26" s="1988"/>
      <c r="EF26" s="3054">
        <f>前年度貼付!$E$77</f>
        <v>0</v>
      </c>
      <c r="EG26" s="3054"/>
      <c r="EH26" s="3054"/>
      <c r="EI26" s="3054"/>
      <c r="EJ26" s="3054"/>
      <c r="EK26" s="3054"/>
      <c r="EL26" s="3054"/>
      <c r="EM26" s="3054"/>
      <c r="EN26" s="3054"/>
      <c r="EO26" s="3054"/>
      <c r="EP26" s="3054"/>
      <c r="EQ26" s="3054"/>
      <c r="ER26" s="3054"/>
      <c r="ES26" s="3054"/>
      <c r="ET26" s="3054"/>
      <c r="EU26" s="3054"/>
      <c r="EV26" s="3054"/>
      <c r="EW26" s="3054"/>
      <c r="EX26" s="3054"/>
      <c r="EY26" s="3054"/>
      <c r="EZ26" s="3054"/>
      <c r="FA26" s="3054"/>
      <c r="FB26" s="3054"/>
      <c r="FC26" s="3054"/>
      <c r="FD26" s="3054"/>
      <c r="FE26" s="3054"/>
      <c r="FF26" s="3054"/>
      <c r="FG26" s="3054"/>
      <c r="FH26" s="1988">
        <f t="shared" si="1"/>
        <v>0</v>
      </c>
      <c r="FI26" s="1988"/>
      <c r="FJ26" s="1988"/>
      <c r="FK26" s="1988"/>
      <c r="FL26" s="1988"/>
      <c r="FM26" s="1988"/>
      <c r="FN26" s="1988"/>
      <c r="FO26" s="1988"/>
      <c r="FP26" s="1988"/>
      <c r="FQ26" s="1988"/>
      <c r="FR26" s="1988"/>
      <c r="FS26" s="1988"/>
      <c r="FT26" s="1988"/>
      <c r="FU26" s="1988"/>
      <c r="FV26" s="1988"/>
      <c r="FW26" s="1988"/>
      <c r="FX26" s="1988"/>
      <c r="FY26" s="1988"/>
      <c r="FZ26" s="1988"/>
      <c r="GA26" s="1988"/>
      <c r="GB26" s="1988"/>
      <c r="GC26" s="1988"/>
      <c r="GD26" s="1988"/>
      <c r="GE26" s="1988"/>
      <c r="GF26" s="1988"/>
      <c r="GG26" s="1988"/>
      <c r="GH26" s="1988"/>
      <c r="GI26" s="1988"/>
    </row>
    <row r="27" spans="1:191" s="166" customFormat="1" ht="20.25" customHeight="1">
      <c r="A27" s="188"/>
      <c r="B27" s="189"/>
      <c r="C27" s="189"/>
      <c r="D27" s="1932" t="s">
        <v>49</v>
      </c>
      <c r="E27" s="1932"/>
      <c r="F27" s="1932"/>
      <c r="G27" s="1932"/>
      <c r="H27" s="1932"/>
      <c r="I27" s="1932"/>
      <c r="J27" s="1932"/>
      <c r="K27" s="1932"/>
      <c r="L27" s="1932"/>
      <c r="M27" s="1932"/>
      <c r="N27" s="1932"/>
      <c r="O27" s="1932"/>
      <c r="P27" s="1932"/>
      <c r="Q27" s="1932"/>
      <c r="R27" s="1932"/>
      <c r="S27" s="1932"/>
      <c r="T27" s="1932"/>
      <c r="U27" s="1932"/>
      <c r="V27" s="1932"/>
      <c r="W27" s="1932"/>
      <c r="X27" s="1932"/>
      <c r="Y27" s="1932"/>
      <c r="Z27" s="1932"/>
      <c r="AA27" s="1932"/>
      <c r="AB27" s="1932"/>
      <c r="AC27" s="1932"/>
      <c r="AD27" s="1932"/>
      <c r="AE27" s="1932"/>
      <c r="AF27" s="1932"/>
      <c r="AG27" s="1932"/>
      <c r="AH27" s="1932"/>
      <c r="AI27" s="1932"/>
      <c r="AJ27" s="1932"/>
      <c r="AK27" s="1932"/>
      <c r="AL27" s="1932"/>
      <c r="AM27" s="1932"/>
      <c r="AN27" s="1932"/>
      <c r="AO27" s="1932"/>
      <c r="AP27" s="1932"/>
      <c r="AQ27" s="1932"/>
      <c r="AR27" s="1932"/>
      <c r="AS27" s="1932"/>
      <c r="AT27" s="1932"/>
      <c r="AU27" s="1932"/>
      <c r="AV27" s="1932"/>
      <c r="AW27" s="189"/>
      <c r="AX27" s="189"/>
      <c r="AY27" s="197"/>
      <c r="AZ27" s="3053">
        <v>1000</v>
      </c>
      <c r="BA27" s="3054"/>
      <c r="BB27" s="3054"/>
      <c r="BC27" s="3054"/>
      <c r="BD27" s="3054"/>
      <c r="BE27" s="3054"/>
      <c r="BF27" s="3054"/>
      <c r="BG27" s="3054"/>
      <c r="BH27" s="3054"/>
      <c r="BI27" s="3054"/>
      <c r="BJ27" s="3054"/>
      <c r="BK27" s="3054"/>
      <c r="BL27" s="3054"/>
      <c r="BM27" s="3054"/>
      <c r="BN27" s="3054"/>
      <c r="BO27" s="3054"/>
      <c r="BP27" s="3054"/>
      <c r="BQ27" s="3054"/>
      <c r="BR27" s="3054"/>
      <c r="BS27" s="3054"/>
      <c r="BT27" s="3054"/>
      <c r="BU27" s="3054"/>
      <c r="BV27" s="3054"/>
      <c r="BW27" s="3054"/>
      <c r="BX27" s="3054"/>
      <c r="BY27" s="3054"/>
      <c r="BZ27" s="3054"/>
      <c r="CA27" s="3054"/>
      <c r="CB27" s="3054">
        <f>短期_財務諸表!F55</f>
        <v>1422838</v>
      </c>
      <c r="CC27" s="3054"/>
      <c r="CD27" s="3054"/>
      <c r="CE27" s="3054"/>
      <c r="CF27" s="3054"/>
      <c r="CG27" s="3054"/>
      <c r="CH27" s="3054"/>
      <c r="CI27" s="3054"/>
      <c r="CJ27" s="3054"/>
      <c r="CK27" s="3054"/>
      <c r="CL27" s="3054"/>
      <c r="CM27" s="3054"/>
      <c r="CN27" s="3054"/>
      <c r="CO27" s="3054"/>
      <c r="CP27" s="3054"/>
      <c r="CQ27" s="3054"/>
      <c r="CR27" s="3054"/>
      <c r="CS27" s="3054"/>
      <c r="CT27" s="3054"/>
      <c r="CU27" s="3054"/>
      <c r="CV27" s="3054"/>
      <c r="CW27" s="3054"/>
      <c r="CX27" s="3054"/>
      <c r="CY27" s="3054"/>
      <c r="CZ27" s="3054"/>
      <c r="DA27" s="3054"/>
      <c r="DB27" s="3054"/>
      <c r="DC27" s="3054"/>
      <c r="DD27" s="1988">
        <f t="shared" si="0"/>
        <v>1421838</v>
      </c>
      <c r="DE27" s="1988"/>
      <c r="DF27" s="1988"/>
      <c r="DG27" s="1988"/>
      <c r="DH27" s="1988"/>
      <c r="DI27" s="1988"/>
      <c r="DJ27" s="1988"/>
      <c r="DK27" s="1988"/>
      <c r="DL27" s="1988"/>
      <c r="DM27" s="1988"/>
      <c r="DN27" s="1988"/>
      <c r="DO27" s="1988"/>
      <c r="DP27" s="1988"/>
      <c r="DQ27" s="1988"/>
      <c r="DR27" s="1988"/>
      <c r="DS27" s="1988"/>
      <c r="DT27" s="1988"/>
      <c r="DU27" s="1988"/>
      <c r="DV27" s="1988"/>
      <c r="DW27" s="1988"/>
      <c r="DX27" s="1988"/>
      <c r="DY27" s="1988"/>
      <c r="DZ27" s="1988"/>
      <c r="EA27" s="1988"/>
      <c r="EB27" s="1988"/>
      <c r="EC27" s="1988"/>
      <c r="ED27" s="1988"/>
      <c r="EE27" s="1988"/>
      <c r="EF27" s="3054">
        <f>前年度貼付!$E$78</f>
        <v>2621295</v>
      </c>
      <c r="EG27" s="3054"/>
      <c r="EH27" s="3054"/>
      <c r="EI27" s="3054"/>
      <c r="EJ27" s="3054"/>
      <c r="EK27" s="3054"/>
      <c r="EL27" s="3054"/>
      <c r="EM27" s="3054"/>
      <c r="EN27" s="3054"/>
      <c r="EO27" s="3054"/>
      <c r="EP27" s="3054"/>
      <c r="EQ27" s="3054"/>
      <c r="ER27" s="3054"/>
      <c r="ES27" s="3054"/>
      <c r="ET27" s="3054"/>
      <c r="EU27" s="3054"/>
      <c r="EV27" s="3054"/>
      <c r="EW27" s="3054"/>
      <c r="EX27" s="3054"/>
      <c r="EY27" s="3054"/>
      <c r="EZ27" s="3054"/>
      <c r="FA27" s="3054"/>
      <c r="FB27" s="3054"/>
      <c r="FC27" s="3054"/>
      <c r="FD27" s="3054"/>
      <c r="FE27" s="3054"/>
      <c r="FF27" s="3054"/>
      <c r="FG27" s="3054"/>
      <c r="FH27" s="1988">
        <f t="shared" si="1"/>
        <v>-1198457</v>
      </c>
      <c r="FI27" s="1988"/>
      <c r="FJ27" s="1988"/>
      <c r="FK27" s="1988"/>
      <c r="FL27" s="1988"/>
      <c r="FM27" s="1988"/>
      <c r="FN27" s="1988"/>
      <c r="FO27" s="1988"/>
      <c r="FP27" s="1988"/>
      <c r="FQ27" s="1988"/>
      <c r="FR27" s="1988"/>
      <c r="FS27" s="1988"/>
      <c r="FT27" s="1988"/>
      <c r="FU27" s="1988"/>
      <c r="FV27" s="1988"/>
      <c r="FW27" s="1988"/>
      <c r="FX27" s="1988"/>
      <c r="FY27" s="1988"/>
      <c r="FZ27" s="1988"/>
      <c r="GA27" s="1988"/>
      <c r="GB27" s="1988"/>
      <c r="GC27" s="1988"/>
      <c r="GD27" s="1988"/>
      <c r="GE27" s="1988"/>
      <c r="GF27" s="1988"/>
      <c r="GG27" s="1988"/>
      <c r="GH27" s="1988"/>
      <c r="GI27" s="1988"/>
    </row>
    <row r="28" spans="1:191" s="166" customFormat="1" ht="20.25" customHeight="1">
      <c r="A28" s="188"/>
      <c r="B28" s="189"/>
      <c r="C28" s="189"/>
      <c r="D28" s="1932" t="s">
        <v>50</v>
      </c>
      <c r="E28" s="1932"/>
      <c r="F28" s="1932"/>
      <c r="G28" s="1932"/>
      <c r="H28" s="1932"/>
      <c r="I28" s="1932"/>
      <c r="J28" s="1932"/>
      <c r="K28" s="1932"/>
      <c r="L28" s="1932"/>
      <c r="M28" s="1932"/>
      <c r="N28" s="1932"/>
      <c r="O28" s="1932"/>
      <c r="P28" s="1932"/>
      <c r="Q28" s="1932"/>
      <c r="R28" s="1932"/>
      <c r="S28" s="1932"/>
      <c r="T28" s="1932"/>
      <c r="U28" s="1932"/>
      <c r="V28" s="1932"/>
      <c r="W28" s="1932"/>
      <c r="X28" s="1932"/>
      <c r="Y28" s="1932"/>
      <c r="Z28" s="1932"/>
      <c r="AA28" s="1932"/>
      <c r="AB28" s="1932"/>
      <c r="AC28" s="1932"/>
      <c r="AD28" s="1932"/>
      <c r="AE28" s="1932"/>
      <c r="AF28" s="1932"/>
      <c r="AG28" s="1932"/>
      <c r="AH28" s="1932"/>
      <c r="AI28" s="1932"/>
      <c r="AJ28" s="1932"/>
      <c r="AK28" s="1932"/>
      <c r="AL28" s="1932"/>
      <c r="AM28" s="1932"/>
      <c r="AN28" s="1932"/>
      <c r="AO28" s="1932"/>
      <c r="AP28" s="1932"/>
      <c r="AQ28" s="1932"/>
      <c r="AR28" s="1932"/>
      <c r="AS28" s="1932"/>
      <c r="AT28" s="1932"/>
      <c r="AU28" s="1932"/>
      <c r="AV28" s="1932"/>
      <c r="AW28" s="189"/>
      <c r="AX28" s="189"/>
      <c r="AY28" s="197"/>
      <c r="AZ28" s="3053">
        <v>902582000</v>
      </c>
      <c r="BA28" s="3054"/>
      <c r="BB28" s="3054"/>
      <c r="BC28" s="3054"/>
      <c r="BD28" s="3054"/>
      <c r="BE28" s="3054"/>
      <c r="BF28" s="3054"/>
      <c r="BG28" s="3054"/>
      <c r="BH28" s="3054"/>
      <c r="BI28" s="3054"/>
      <c r="BJ28" s="3054"/>
      <c r="BK28" s="3054"/>
      <c r="BL28" s="3054"/>
      <c r="BM28" s="3054"/>
      <c r="BN28" s="3054"/>
      <c r="BO28" s="3054"/>
      <c r="BP28" s="3054"/>
      <c r="BQ28" s="3054"/>
      <c r="BR28" s="3054"/>
      <c r="BS28" s="3054"/>
      <c r="BT28" s="3054"/>
      <c r="BU28" s="3054"/>
      <c r="BV28" s="3054"/>
      <c r="BW28" s="3054"/>
      <c r="BX28" s="3054"/>
      <c r="BY28" s="3054"/>
      <c r="BZ28" s="3054"/>
      <c r="CA28" s="3054"/>
      <c r="CB28" s="3054">
        <f>短期_財務諸表!H56</f>
        <v>876229790</v>
      </c>
      <c r="CC28" s="3054"/>
      <c r="CD28" s="3054"/>
      <c r="CE28" s="3054"/>
      <c r="CF28" s="3054"/>
      <c r="CG28" s="3054"/>
      <c r="CH28" s="3054"/>
      <c r="CI28" s="3054"/>
      <c r="CJ28" s="3054"/>
      <c r="CK28" s="3054"/>
      <c r="CL28" s="3054"/>
      <c r="CM28" s="3054"/>
      <c r="CN28" s="3054"/>
      <c r="CO28" s="3054"/>
      <c r="CP28" s="3054"/>
      <c r="CQ28" s="3054"/>
      <c r="CR28" s="3054"/>
      <c r="CS28" s="3054"/>
      <c r="CT28" s="3054"/>
      <c r="CU28" s="3054"/>
      <c r="CV28" s="3054"/>
      <c r="CW28" s="3054"/>
      <c r="CX28" s="3054"/>
      <c r="CY28" s="3054"/>
      <c r="CZ28" s="3054"/>
      <c r="DA28" s="3054"/>
      <c r="DB28" s="3054"/>
      <c r="DC28" s="3054"/>
      <c r="DD28" s="1988">
        <f t="shared" si="0"/>
        <v>-26352210</v>
      </c>
      <c r="DE28" s="1988"/>
      <c r="DF28" s="1988"/>
      <c r="DG28" s="1988"/>
      <c r="DH28" s="1988"/>
      <c r="DI28" s="1988"/>
      <c r="DJ28" s="1988"/>
      <c r="DK28" s="1988"/>
      <c r="DL28" s="1988"/>
      <c r="DM28" s="1988"/>
      <c r="DN28" s="1988"/>
      <c r="DO28" s="1988"/>
      <c r="DP28" s="1988"/>
      <c r="DQ28" s="1988"/>
      <c r="DR28" s="1988"/>
      <c r="DS28" s="1988"/>
      <c r="DT28" s="1988"/>
      <c r="DU28" s="1988"/>
      <c r="DV28" s="1988"/>
      <c r="DW28" s="1988"/>
      <c r="DX28" s="1988"/>
      <c r="DY28" s="1988"/>
      <c r="DZ28" s="1988"/>
      <c r="EA28" s="1988"/>
      <c r="EB28" s="1988"/>
      <c r="EC28" s="1988"/>
      <c r="ED28" s="1988"/>
      <c r="EE28" s="1988"/>
      <c r="EF28" s="3054">
        <f>前年度貼付!$E$79</f>
        <v>883951850</v>
      </c>
      <c r="EG28" s="3054"/>
      <c r="EH28" s="3054"/>
      <c r="EI28" s="3054"/>
      <c r="EJ28" s="3054"/>
      <c r="EK28" s="3054"/>
      <c r="EL28" s="3054"/>
      <c r="EM28" s="3054"/>
      <c r="EN28" s="3054"/>
      <c r="EO28" s="3054"/>
      <c r="EP28" s="3054"/>
      <c r="EQ28" s="3054"/>
      <c r="ER28" s="3054"/>
      <c r="ES28" s="3054"/>
      <c r="ET28" s="3054"/>
      <c r="EU28" s="3054"/>
      <c r="EV28" s="3054"/>
      <c r="EW28" s="3054"/>
      <c r="EX28" s="3054"/>
      <c r="EY28" s="3054"/>
      <c r="EZ28" s="3054"/>
      <c r="FA28" s="3054"/>
      <c r="FB28" s="3054"/>
      <c r="FC28" s="3054"/>
      <c r="FD28" s="3054"/>
      <c r="FE28" s="3054"/>
      <c r="FF28" s="3054"/>
      <c r="FG28" s="3054"/>
      <c r="FH28" s="1988">
        <f t="shared" si="1"/>
        <v>-7722060</v>
      </c>
      <c r="FI28" s="1988"/>
      <c r="FJ28" s="1988"/>
      <c r="FK28" s="1988"/>
      <c r="FL28" s="1988"/>
      <c r="FM28" s="1988"/>
      <c r="FN28" s="1988"/>
      <c r="FO28" s="1988"/>
      <c r="FP28" s="1988"/>
      <c r="FQ28" s="1988"/>
      <c r="FR28" s="1988"/>
      <c r="FS28" s="1988"/>
      <c r="FT28" s="1988"/>
      <c r="FU28" s="1988"/>
      <c r="FV28" s="1988"/>
      <c r="FW28" s="1988"/>
      <c r="FX28" s="1988"/>
      <c r="FY28" s="1988"/>
      <c r="FZ28" s="1988"/>
      <c r="GA28" s="1988"/>
      <c r="GB28" s="1988"/>
      <c r="GC28" s="1988"/>
      <c r="GD28" s="1988"/>
      <c r="GE28" s="1988"/>
      <c r="GF28" s="1988"/>
      <c r="GG28" s="1988"/>
      <c r="GH28" s="1988"/>
      <c r="GI28" s="1988"/>
    </row>
    <row r="29" spans="1:191" s="166" customFormat="1" ht="20.25" customHeight="1">
      <c r="A29" s="188"/>
      <c r="B29" s="189"/>
      <c r="C29" s="189"/>
      <c r="D29" s="1932" t="s">
        <v>51</v>
      </c>
      <c r="E29" s="1932"/>
      <c r="F29" s="1932"/>
      <c r="G29" s="1932"/>
      <c r="H29" s="1932"/>
      <c r="I29" s="1932"/>
      <c r="J29" s="1932"/>
      <c r="K29" s="1932"/>
      <c r="L29" s="1932"/>
      <c r="M29" s="1932"/>
      <c r="N29" s="1932"/>
      <c r="O29" s="1932"/>
      <c r="P29" s="1932"/>
      <c r="Q29" s="1932"/>
      <c r="R29" s="1932"/>
      <c r="S29" s="1932"/>
      <c r="T29" s="1932"/>
      <c r="U29" s="1932"/>
      <c r="V29" s="1932"/>
      <c r="W29" s="1932"/>
      <c r="X29" s="1932"/>
      <c r="Y29" s="1932"/>
      <c r="Z29" s="1932"/>
      <c r="AA29" s="1932"/>
      <c r="AB29" s="1932"/>
      <c r="AC29" s="1932"/>
      <c r="AD29" s="1932"/>
      <c r="AE29" s="1932"/>
      <c r="AF29" s="1932"/>
      <c r="AG29" s="1932"/>
      <c r="AH29" s="1932"/>
      <c r="AI29" s="1932"/>
      <c r="AJ29" s="1932"/>
      <c r="AK29" s="1932"/>
      <c r="AL29" s="1932"/>
      <c r="AM29" s="1932"/>
      <c r="AN29" s="1932"/>
      <c r="AO29" s="1932"/>
      <c r="AP29" s="1932"/>
      <c r="AQ29" s="1932"/>
      <c r="AR29" s="1932"/>
      <c r="AS29" s="1932"/>
      <c r="AT29" s="1932"/>
      <c r="AU29" s="1932"/>
      <c r="AV29" s="1932"/>
      <c r="AW29" s="189"/>
      <c r="AX29" s="189"/>
      <c r="AY29" s="197"/>
      <c r="AZ29" s="3053">
        <v>3326000</v>
      </c>
      <c r="BA29" s="3054"/>
      <c r="BB29" s="3054"/>
      <c r="BC29" s="3054"/>
      <c r="BD29" s="3054"/>
      <c r="BE29" s="3054"/>
      <c r="BF29" s="3054"/>
      <c r="BG29" s="3054"/>
      <c r="BH29" s="3054"/>
      <c r="BI29" s="3054"/>
      <c r="BJ29" s="3054"/>
      <c r="BK29" s="3054"/>
      <c r="BL29" s="3054"/>
      <c r="BM29" s="3054"/>
      <c r="BN29" s="3054"/>
      <c r="BO29" s="3054"/>
      <c r="BP29" s="3054"/>
      <c r="BQ29" s="3054"/>
      <c r="BR29" s="3054"/>
      <c r="BS29" s="3054"/>
      <c r="BT29" s="3054"/>
      <c r="BU29" s="3054"/>
      <c r="BV29" s="3054"/>
      <c r="BW29" s="3054"/>
      <c r="BX29" s="3054"/>
      <c r="BY29" s="3054"/>
      <c r="BZ29" s="3054"/>
      <c r="CA29" s="3054"/>
      <c r="CB29" s="3054">
        <f>短期_財務諸表!G59</f>
        <v>10567708</v>
      </c>
      <c r="CC29" s="3054"/>
      <c r="CD29" s="3054"/>
      <c r="CE29" s="3054"/>
      <c r="CF29" s="3054"/>
      <c r="CG29" s="3054"/>
      <c r="CH29" s="3054"/>
      <c r="CI29" s="3054"/>
      <c r="CJ29" s="3054"/>
      <c r="CK29" s="3054"/>
      <c r="CL29" s="3054"/>
      <c r="CM29" s="3054"/>
      <c r="CN29" s="3054"/>
      <c r="CO29" s="3054"/>
      <c r="CP29" s="3054"/>
      <c r="CQ29" s="3054"/>
      <c r="CR29" s="3054"/>
      <c r="CS29" s="3054"/>
      <c r="CT29" s="3054"/>
      <c r="CU29" s="3054"/>
      <c r="CV29" s="3054"/>
      <c r="CW29" s="3054"/>
      <c r="CX29" s="3054"/>
      <c r="CY29" s="3054"/>
      <c r="CZ29" s="3054"/>
      <c r="DA29" s="3054"/>
      <c r="DB29" s="3054"/>
      <c r="DC29" s="3054"/>
      <c r="DD29" s="1988">
        <f t="shared" si="0"/>
        <v>7241708</v>
      </c>
      <c r="DE29" s="1988"/>
      <c r="DF29" s="1988"/>
      <c r="DG29" s="1988"/>
      <c r="DH29" s="1988"/>
      <c r="DI29" s="1988"/>
      <c r="DJ29" s="1988"/>
      <c r="DK29" s="1988"/>
      <c r="DL29" s="1988"/>
      <c r="DM29" s="1988"/>
      <c r="DN29" s="1988"/>
      <c r="DO29" s="1988"/>
      <c r="DP29" s="1988"/>
      <c r="DQ29" s="1988"/>
      <c r="DR29" s="1988"/>
      <c r="DS29" s="1988"/>
      <c r="DT29" s="1988"/>
      <c r="DU29" s="1988"/>
      <c r="DV29" s="1988"/>
      <c r="DW29" s="1988"/>
      <c r="DX29" s="1988"/>
      <c r="DY29" s="1988"/>
      <c r="DZ29" s="1988"/>
      <c r="EA29" s="1988"/>
      <c r="EB29" s="1988"/>
      <c r="EC29" s="1988"/>
      <c r="ED29" s="1988"/>
      <c r="EE29" s="1988"/>
      <c r="EF29" s="3054">
        <f>前年度貼付!$E$80</f>
        <v>2100931</v>
      </c>
      <c r="EG29" s="3054"/>
      <c r="EH29" s="3054"/>
      <c r="EI29" s="3054"/>
      <c r="EJ29" s="3054"/>
      <c r="EK29" s="3054"/>
      <c r="EL29" s="3054"/>
      <c r="EM29" s="3054"/>
      <c r="EN29" s="3054"/>
      <c r="EO29" s="3054"/>
      <c r="EP29" s="3054"/>
      <c r="EQ29" s="3054"/>
      <c r="ER29" s="3054"/>
      <c r="ES29" s="3054"/>
      <c r="ET29" s="3054"/>
      <c r="EU29" s="3054"/>
      <c r="EV29" s="3054"/>
      <c r="EW29" s="3054"/>
      <c r="EX29" s="3054"/>
      <c r="EY29" s="3054"/>
      <c r="EZ29" s="3054"/>
      <c r="FA29" s="3054"/>
      <c r="FB29" s="3054"/>
      <c r="FC29" s="3054"/>
      <c r="FD29" s="3054"/>
      <c r="FE29" s="3054"/>
      <c r="FF29" s="3054"/>
      <c r="FG29" s="3054"/>
      <c r="FH29" s="1988">
        <f t="shared" si="1"/>
        <v>8466777</v>
      </c>
      <c r="FI29" s="1988"/>
      <c r="FJ29" s="1988"/>
      <c r="FK29" s="1988"/>
      <c r="FL29" s="1988"/>
      <c r="FM29" s="1988"/>
      <c r="FN29" s="1988"/>
      <c r="FO29" s="1988"/>
      <c r="FP29" s="1988"/>
      <c r="FQ29" s="1988"/>
      <c r="FR29" s="1988"/>
      <c r="FS29" s="1988"/>
      <c r="FT29" s="1988"/>
      <c r="FU29" s="1988"/>
      <c r="FV29" s="1988"/>
      <c r="FW29" s="1988"/>
      <c r="FX29" s="1988"/>
      <c r="FY29" s="1988"/>
      <c r="FZ29" s="1988"/>
      <c r="GA29" s="1988"/>
      <c r="GB29" s="1988"/>
      <c r="GC29" s="1988"/>
      <c r="GD29" s="1988"/>
      <c r="GE29" s="1988"/>
      <c r="GF29" s="1988"/>
      <c r="GG29" s="1988"/>
      <c r="GH29" s="1988"/>
      <c r="GI29" s="1988"/>
    </row>
    <row r="30" spans="1:191" s="166" customFormat="1" ht="20.25" customHeight="1">
      <c r="A30" s="188"/>
      <c r="B30" s="189"/>
      <c r="C30" s="189"/>
      <c r="D30" s="183"/>
      <c r="E30" s="1932" t="s">
        <v>413</v>
      </c>
      <c r="F30" s="1932"/>
      <c r="G30" s="1932"/>
      <c r="H30" s="1932"/>
      <c r="I30" s="1932"/>
      <c r="J30" s="1932"/>
      <c r="K30" s="1932"/>
      <c r="L30" s="1932"/>
      <c r="M30" s="1932"/>
      <c r="N30" s="1932"/>
      <c r="O30" s="1932"/>
      <c r="P30" s="1932"/>
      <c r="Q30" s="1932"/>
      <c r="R30" s="1932"/>
      <c r="S30" s="1932"/>
      <c r="T30" s="1932"/>
      <c r="U30" s="1932"/>
      <c r="V30" s="1932"/>
      <c r="W30" s="1932"/>
      <c r="X30" s="1932"/>
      <c r="Y30" s="1932"/>
      <c r="Z30" s="1932"/>
      <c r="AA30" s="1932"/>
      <c r="AB30" s="1932"/>
      <c r="AC30" s="1932"/>
      <c r="AD30" s="1932"/>
      <c r="AE30" s="1932"/>
      <c r="AF30" s="1932"/>
      <c r="AG30" s="1932"/>
      <c r="AH30" s="1932"/>
      <c r="AI30" s="1932"/>
      <c r="AJ30" s="1932"/>
      <c r="AK30" s="1932"/>
      <c r="AL30" s="1932"/>
      <c r="AM30" s="1932"/>
      <c r="AN30" s="1932"/>
      <c r="AO30" s="1932"/>
      <c r="AP30" s="1932"/>
      <c r="AQ30" s="1932"/>
      <c r="AR30" s="1932"/>
      <c r="AS30" s="1932"/>
      <c r="AT30" s="1932"/>
      <c r="AU30" s="1932"/>
      <c r="AV30" s="189"/>
      <c r="AW30" s="189"/>
      <c r="AX30" s="189"/>
      <c r="AY30" s="197"/>
      <c r="AZ30" s="2006">
        <f>SUM(AZ5:CA29)</f>
        <v>13413369000</v>
      </c>
      <c r="BA30" s="2006"/>
      <c r="BB30" s="2006"/>
      <c r="BC30" s="2006"/>
      <c r="BD30" s="2006"/>
      <c r="BE30" s="2006"/>
      <c r="BF30" s="2006"/>
      <c r="BG30" s="2006"/>
      <c r="BH30" s="2006"/>
      <c r="BI30" s="2006"/>
      <c r="BJ30" s="2006"/>
      <c r="BK30" s="2006"/>
      <c r="BL30" s="2006"/>
      <c r="BM30" s="2006"/>
      <c r="BN30" s="2006"/>
      <c r="BO30" s="2006"/>
      <c r="BP30" s="2006"/>
      <c r="BQ30" s="2006"/>
      <c r="BR30" s="2006"/>
      <c r="BS30" s="2006"/>
      <c r="BT30" s="2006"/>
      <c r="BU30" s="2006"/>
      <c r="BV30" s="2006"/>
      <c r="BW30" s="2006"/>
      <c r="BX30" s="2006"/>
      <c r="BY30" s="2006"/>
      <c r="BZ30" s="2006"/>
      <c r="CA30" s="2006"/>
      <c r="CB30" s="2006">
        <f>SUM(CB5:DC29)</f>
        <v>13868707590</v>
      </c>
      <c r="CC30" s="2006"/>
      <c r="CD30" s="2006"/>
      <c r="CE30" s="2006"/>
      <c r="CF30" s="2006"/>
      <c r="CG30" s="2006"/>
      <c r="CH30" s="2006"/>
      <c r="CI30" s="2006"/>
      <c r="CJ30" s="2006"/>
      <c r="CK30" s="2006"/>
      <c r="CL30" s="2006"/>
      <c r="CM30" s="2006"/>
      <c r="CN30" s="2006"/>
      <c r="CO30" s="2006"/>
      <c r="CP30" s="2006"/>
      <c r="CQ30" s="2006"/>
      <c r="CR30" s="2006"/>
      <c r="CS30" s="2006"/>
      <c r="CT30" s="2006"/>
      <c r="CU30" s="2006"/>
      <c r="CV30" s="2006"/>
      <c r="CW30" s="2006"/>
      <c r="CX30" s="2006"/>
      <c r="CY30" s="2006"/>
      <c r="CZ30" s="2006"/>
      <c r="DA30" s="2006"/>
      <c r="DB30" s="2006"/>
      <c r="DC30" s="2006"/>
      <c r="DD30" s="1988">
        <f>SUM(DD5:EE29)</f>
        <v>455338590</v>
      </c>
      <c r="DE30" s="1988"/>
      <c r="DF30" s="1988"/>
      <c r="DG30" s="1988"/>
      <c r="DH30" s="1988"/>
      <c r="DI30" s="1988"/>
      <c r="DJ30" s="1988"/>
      <c r="DK30" s="1988"/>
      <c r="DL30" s="1988"/>
      <c r="DM30" s="1988"/>
      <c r="DN30" s="1988"/>
      <c r="DO30" s="1988"/>
      <c r="DP30" s="1988"/>
      <c r="DQ30" s="1988"/>
      <c r="DR30" s="1988"/>
      <c r="DS30" s="1988"/>
      <c r="DT30" s="1988"/>
      <c r="DU30" s="1988"/>
      <c r="DV30" s="1988"/>
      <c r="DW30" s="1988"/>
      <c r="DX30" s="1988"/>
      <c r="DY30" s="1988"/>
      <c r="DZ30" s="1988"/>
      <c r="EA30" s="1988"/>
      <c r="EB30" s="1988"/>
      <c r="EC30" s="1988"/>
      <c r="ED30" s="1988"/>
      <c r="EE30" s="1988"/>
      <c r="EF30" s="1987">
        <f>SUM(EF5:FG29)</f>
        <v>13363345222</v>
      </c>
      <c r="EG30" s="1987"/>
      <c r="EH30" s="1987"/>
      <c r="EI30" s="1987"/>
      <c r="EJ30" s="1987"/>
      <c r="EK30" s="1987"/>
      <c r="EL30" s="1987"/>
      <c r="EM30" s="1987"/>
      <c r="EN30" s="1987"/>
      <c r="EO30" s="1987"/>
      <c r="EP30" s="1987"/>
      <c r="EQ30" s="1987"/>
      <c r="ER30" s="1987"/>
      <c r="ES30" s="1987"/>
      <c r="ET30" s="1987"/>
      <c r="EU30" s="1987"/>
      <c r="EV30" s="1987"/>
      <c r="EW30" s="1987"/>
      <c r="EX30" s="1987"/>
      <c r="EY30" s="1987"/>
      <c r="EZ30" s="1987"/>
      <c r="FA30" s="1987"/>
      <c r="FB30" s="1987"/>
      <c r="FC30" s="1987"/>
      <c r="FD30" s="1987"/>
      <c r="FE30" s="1987"/>
      <c r="FF30" s="1987"/>
      <c r="FG30" s="1987"/>
      <c r="FH30" s="1988">
        <f>SUM(FH5:GI29)</f>
        <v>505362368</v>
      </c>
      <c r="FI30" s="1988"/>
      <c r="FJ30" s="1988"/>
      <c r="FK30" s="1988"/>
      <c r="FL30" s="1988"/>
      <c r="FM30" s="1988"/>
      <c r="FN30" s="1988"/>
      <c r="FO30" s="1988"/>
      <c r="FP30" s="1988"/>
      <c r="FQ30" s="1988"/>
      <c r="FR30" s="1988"/>
      <c r="FS30" s="1988"/>
      <c r="FT30" s="1988"/>
      <c r="FU30" s="1988"/>
      <c r="FV30" s="1988"/>
      <c r="FW30" s="1988"/>
      <c r="FX30" s="1988"/>
      <c r="FY30" s="1988"/>
      <c r="FZ30" s="1988"/>
      <c r="GA30" s="1988"/>
      <c r="GB30" s="1988"/>
      <c r="GC30" s="1988"/>
      <c r="GD30" s="1988"/>
      <c r="GE30" s="1988"/>
      <c r="GF30" s="1988"/>
      <c r="GG30" s="1988"/>
      <c r="GH30" s="1988"/>
      <c r="GI30" s="1988"/>
    </row>
    <row r="31" spans="1:191" s="166" customFormat="1" ht="17.25" customHeight="1">
      <c r="A31" s="167"/>
      <c r="B31" s="168"/>
      <c r="C31" s="168"/>
      <c r="D31" s="168"/>
      <c r="E31" s="168"/>
      <c r="F31" s="168"/>
      <c r="G31" s="168"/>
      <c r="H31" s="168"/>
      <c r="I31" s="168"/>
      <c r="J31" s="168"/>
      <c r="K31" s="168"/>
      <c r="L31" s="168"/>
      <c r="M31" s="167"/>
      <c r="N31" s="202"/>
      <c r="O31" s="203"/>
      <c r="P31" s="203"/>
      <c r="Q31" s="203"/>
      <c r="R31" s="203"/>
      <c r="S31" s="203"/>
      <c r="T31" s="203"/>
      <c r="U31" s="176"/>
      <c r="V31" s="202"/>
      <c r="W31" s="203"/>
      <c r="X31" s="203"/>
      <c r="Y31" s="203"/>
      <c r="Z31" s="203"/>
      <c r="AA31" s="203"/>
      <c r="AB31" s="203"/>
      <c r="AC31" s="176"/>
      <c r="AD31" s="204"/>
      <c r="AE31" s="205"/>
      <c r="AF31" s="205"/>
      <c r="AG31" s="205"/>
      <c r="AH31" s="205"/>
      <c r="AI31" s="205"/>
      <c r="AJ31" s="205"/>
      <c r="AK31" s="205"/>
      <c r="AL31" s="202"/>
      <c r="AM31" s="203"/>
      <c r="AN31" s="203"/>
      <c r="AO31" s="203"/>
      <c r="AP31" s="203"/>
      <c r="AQ31" s="203"/>
      <c r="AR31" s="203"/>
      <c r="AS31" s="176"/>
      <c r="AT31" s="204"/>
      <c r="AU31" s="205"/>
      <c r="AV31" s="205"/>
      <c r="AW31" s="205"/>
      <c r="AX31" s="205"/>
      <c r="AY31" s="205"/>
      <c r="AZ31" s="205"/>
      <c r="BA31" s="205"/>
      <c r="CB31" s="206"/>
      <c r="CC31" s="206"/>
      <c r="CD31" s="206"/>
      <c r="CE31" s="206"/>
      <c r="CF31" s="206"/>
      <c r="CG31" s="206"/>
      <c r="CH31" s="206"/>
      <c r="CI31" s="206"/>
      <c r="CJ31" s="206"/>
      <c r="CK31" s="206"/>
      <c r="CL31" s="206"/>
      <c r="CM31" s="206"/>
      <c r="CN31" s="206"/>
      <c r="CO31" s="206"/>
      <c r="CP31" s="206"/>
      <c r="CQ31" s="206"/>
      <c r="CR31" s="206"/>
      <c r="CS31" s="206"/>
      <c r="CT31" s="206"/>
      <c r="CU31" s="206"/>
      <c r="CV31" s="206"/>
      <c r="CW31" s="206"/>
      <c r="CX31" s="206"/>
      <c r="CY31" s="206"/>
      <c r="CZ31" s="206"/>
      <c r="DA31" s="206"/>
      <c r="DB31" s="206"/>
      <c r="DC31" s="206"/>
    </row>
    <row r="32" spans="1:191" s="166" customFormat="1" ht="19.5" customHeight="1">
      <c r="A32" s="173" t="s">
        <v>414</v>
      </c>
      <c r="B32" s="200"/>
      <c r="C32" s="200"/>
      <c r="D32" s="200"/>
      <c r="E32" s="200"/>
      <c r="F32" s="200"/>
      <c r="G32" s="200"/>
      <c r="H32" s="200"/>
      <c r="I32" s="200"/>
      <c r="J32" s="200"/>
      <c r="K32" s="200"/>
      <c r="L32" s="200"/>
      <c r="M32" s="200"/>
      <c r="N32" s="200"/>
      <c r="O32" s="200"/>
      <c r="P32" s="200"/>
      <c r="Q32" s="200"/>
      <c r="R32" s="200"/>
      <c r="CB32" s="207"/>
      <c r="CC32" s="208"/>
      <c r="CD32" s="208"/>
      <c r="CE32" s="208"/>
      <c r="CF32" s="208"/>
      <c r="CG32" s="208"/>
      <c r="CH32" s="208"/>
      <c r="CI32" s="208"/>
      <c r="CJ32" s="208"/>
      <c r="CK32" s="208"/>
      <c r="CL32" s="208"/>
      <c r="CM32" s="208"/>
      <c r="CN32" s="208"/>
      <c r="CO32" s="208"/>
      <c r="CP32" s="208"/>
      <c r="CQ32" s="208"/>
      <c r="CR32" s="208"/>
      <c r="CS32" s="208"/>
      <c r="CT32" s="208"/>
      <c r="CU32" s="208"/>
      <c r="CV32" s="208"/>
      <c r="CW32" s="208"/>
      <c r="CX32" s="208"/>
      <c r="CY32" s="208"/>
      <c r="CZ32" s="208"/>
      <c r="DA32" s="208"/>
      <c r="DB32" s="208"/>
      <c r="DC32" s="208"/>
    </row>
    <row r="33" spans="1:253" s="166" customFormat="1" ht="19.5" customHeight="1">
      <c r="EH33" s="166" t="s">
        <v>415</v>
      </c>
      <c r="EM33" s="209"/>
      <c r="EN33" s="209"/>
      <c r="EO33" s="209"/>
      <c r="EP33" s="209"/>
      <c r="EQ33" s="209"/>
      <c r="ER33" s="209"/>
      <c r="ES33" s="209"/>
      <c r="ET33" s="209"/>
      <c r="EU33" s="209"/>
      <c r="FG33" s="2022" t="s">
        <v>416</v>
      </c>
      <c r="FH33" s="2022"/>
      <c r="FI33" s="2022"/>
      <c r="FJ33" s="2022"/>
      <c r="FK33" s="2022"/>
      <c r="FL33" s="2022"/>
      <c r="FM33" s="2022"/>
      <c r="FN33" s="2022"/>
      <c r="FO33" s="2022"/>
      <c r="FP33" s="2022"/>
      <c r="FQ33" s="2022"/>
      <c r="FR33" s="2022"/>
      <c r="FS33" s="2022"/>
      <c r="FT33" s="2022"/>
      <c r="FU33" s="2022"/>
      <c r="FV33" s="2022"/>
      <c r="FW33" s="2022"/>
      <c r="FX33" s="2022"/>
      <c r="FY33" s="2022"/>
      <c r="FZ33" s="2022"/>
      <c r="GA33" s="2022"/>
      <c r="GB33" s="2022"/>
      <c r="GC33" s="2022"/>
      <c r="GD33" s="2022"/>
      <c r="GE33" s="2022"/>
      <c r="GF33" s="2022"/>
      <c r="GG33" s="2022"/>
      <c r="GH33" s="2022"/>
    </row>
    <row r="34" spans="1:253" s="166" customFormat="1" ht="20.25" customHeight="1">
      <c r="A34" s="2012" t="s">
        <v>349</v>
      </c>
      <c r="B34" s="2012"/>
      <c r="C34" s="2012"/>
      <c r="D34" s="2012"/>
      <c r="E34" s="2012"/>
      <c r="F34" s="2012"/>
      <c r="G34" s="2012"/>
      <c r="H34" s="2012"/>
      <c r="I34" s="2012"/>
      <c r="J34" s="2012"/>
      <c r="K34" s="2012"/>
      <c r="L34" s="2012"/>
      <c r="M34" s="2012"/>
      <c r="N34" s="2012"/>
      <c r="O34" s="2012"/>
      <c r="P34" s="2012"/>
      <c r="Q34" s="2012"/>
      <c r="R34" s="2012"/>
      <c r="S34" s="2012"/>
      <c r="T34" s="2012"/>
      <c r="U34" s="2012"/>
      <c r="V34" s="2012"/>
      <c r="W34" s="2012"/>
      <c r="X34" s="2012"/>
      <c r="Y34" s="2012"/>
      <c r="Z34" s="2012"/>
      <c r="AA34" s="2012"/>
      <c r="AB34" s="2012"/>
      <c r="AC34" s="2012"/>
      <c r="AD34" s="2012"/>
      <c r="AE34" s="2012"/>
      <c r="AF34" s="2012"/>
      <c r="AG34" s="2012"/>
      <c r="AH34" s="2012"/>
      <c r="AI34" s="2012"/>
      <c r="AJ34" s="2012"/>
      <c r="AK34" s="2012"/>
      <c r="AL34" s="2012"/>
      <c r="AM34" s="2012"/>
      <c r="AN34" s="2012"/>
      <c r="AO34" s="2012"/>
      <c r="AP34" s="2012"/>
      <c r="AQ34" s="2012"/>
      <c r="AR34" s="2012"/>
      <c r="AS34" s="2012"/>
      <c r="AT34" s="2012"/>
      <c r="AU34" s="2012"/>
      <c r="AV34" s="2012"/>
      <c r="AW34" s="2012"/>
      <c r="AX34" s="2012"/>
      <c r="AY34" s="2012"/>
      <c r="AZ34" s="2000" t="s">
        <v>417</v>
      </c>
      <c r="BA34" s="2000"/>
      <c r="BB34" s="2000"/>
      <c r="BC34" s="2000"/>
      <c r="BD34" s="2000"/>
      <c r="BE34" s="2000"/>
      <c r="BF34" s="2000"/>
      <c r="BG34" s="2000"/>
      <c r="BH34" s="2000"/>
      <c r="BI34" s="2000"/>
      <c r="BJ34" s="2000"/>
      <c r="BK34" s="2000"/>
      <c r="BL34" s="2000"/>
      <c r="BM34" s="2000"/>
      <c r="BN34" s="2000"/>
      <c r="BO34" s="2000"/>
      <c r="BP34" s="2000"/>
      <c r="BQ34" s="2000"/>
      <c r="BR34" s="2000"/>
      <c r="BS34" s="2000"/>
      <c r="BT34" s="2000"/>
      <c r="BU34" s="2000"/>
      <c r="BV34" s="2000"/>
      <c r="BW34" s="2000"/>
      <c r="BX34" s="2000"/>
      <c r="BY34" s="2000"/>
      <c r="BZ34" s="2000"/>
      <c r="CA34" s="2000"/>
      <c r="CB34" s="2000" t="s">
        <v>418</v>
      </c>
      <c r="CC34" s="2000"/>
      <c r="CD34" s="2000"/>
      <c r="CE34" s="2000"/>
      <c r="CF34" s="2000"/>
      <c r="CG34" s="2000"/>
      <c r="CH34" s="2000"/>
      <c r="CI34" s="2000"/>
      <c r="CJ34" s="2000"/>
      <c r="CK34" s="2000"/>
      <c r="CL34" s="2000"/>
      <c r="CM34" s="2000"/>
      <c r="CN34" s="2000"/>
      <c r="CO34" s="2000"/>
      <c r="CP34" s="2000"/>
      <c r="CQ34" s="2000"/>
      <c r="CR34" s="2000"/>
      <c r="CS34" s="2000"/>
      <c r="CT34" s="2000"/>
      <c r="CU34" s="2000"/>
      <c r="CV34" s="2000"/>
      <c r="CW34" s="2000"/>
      <c r="CX34" s="2000"/>
      <c r="CY34" s="2000"/>
      <c r="CZ34" s="2000"/>
      <c r="DA34" s="2000"/>
      <c r="DB34" s="2000"/>
      <c r="DC34" s="2000"/>
      <c r="DD34" s="2000" t="s">
        <v>419</v>
      </c>
      <c r="DE34" s="2000"/>
      <c r="DF34" s="2000"/>
      <c r="DG34" s="2000"/>
      <c r="DH34" s="2000"/>
      <c r="DI34" s="2000"/>
      <c r="DJ34" s="2000"/>
      <c r="DK34" s="2000"/>
      <c r="DL34" s="2000"/>
      <c r="DM34" s="2000"/>
      <c r="DN34" s="2000"/>
      <c r="DO34" s="2000"/>
      <c r="DP34" s="2000"/>
      <c r="DQ34" s="2000"/>
      <c r="DR34" s="2000"/>
      <c r="DS34" s="2000"/>
      <c r="DT34" s="2000"/>
      <c r="DU34" s="2000"/>
      <c r="DV34" s="2000"/>
      <c r="DW34" s="2000"/>
      <c r="DX34" s="2000"/>
      <c r="DY34" s="2000"/>
      <c r="DZ34" s="2000"/>
      <c r="EA34" s="2000"/>
      <c r="EB34" s="2000"/>
      <c r="EC34" s="2000"/>
      <c r="ED34" s="2000"/>
      <c r="EE34" s="2000"/>
      <c r="EF34" s="1943" t="s">
        <v>420</v>
      </c>
      <c r="EG34" s="1943"/>
      <c r="EH34" s="1943"/>
      <c r="EI34" s="1943"/>
      <c r="EJ34" s="1943"/>
      <c r="EK34" s="1943"/>
      <c r="EL34" s="1943"/>
      <c r="EM34" s="1943"/>
      <c r="EN34" s="1943"/>
      <c r="EO34" s="1943"/>
      <c r="EP34" s="1943"/>
      <c r="EQ34" s="1943"/>
      <c r="ER34" s="1943"/>
      <c r="ES34" s="1943"/>
      <c r="ET34" s="1943"/>
      <c r="EU34" s="1943"/>
      <c r="EV34" s="1943"/>
      <c r="EW34" s="1943"/>
      <c r="EX34" s="1943"/>
      <c r="EY34" s="1943"/>
      <c r="EZ34" s="1943"/>
      <c r="FA34" s="1943"/>
      <c r="FB34" s="1943"/>
      <c r="FC34" s="1943"/>
      <c r="FD34" s="1943"/>
      <c r="FE34" s="1943"/>
      <c r="FF34" s="1943"/>
      <c r="FG34" s="1943"/>
      <c r="FH34" s="1943"/>
      <c r="FI34" s="1943"/>
      <c r="FJ34" s="1943"/>
      <c r="FK34" s="1943"/>
      <c r="FL34" s="1943"/>
      <c r="FM34" s="1943"/>
      <c r="FN34" s="1943"/>
      <c r="FO34" s="1943"/>
      <c r="FP34" s="1943"/>
      <c r="FQ34" s="1943"/>
      <c r="FR34" s="1943"/>
      <c r="FS34" s="1943"/>
      <c r="FT34" s="1943"/>
      <c r="FU34" s="1943"/>
      <c r="FV34" s="1943"/>
      <c r="FW34" s="1943"/>
      <c r="FX34" s="1943"/>
      <c r="FY34" s="1943"/>
      <c r="FZ34" s="1943"/>
      <c r="GA34" s="1943"/>
      <c r="GB34" s="1943"/>
      <c r="GC34" s="1943"/>
      <c r="GD34" s="1943"/>
      <c r="GE34" s="1943"/>
      <c r="GF34" s="1943"/>
      <c r="GG34" s="1943"/>
      <c r="GH34" s="1943"/>
      <c r="GI34" s="1943"/>
    </row>
    <row r="35" spans="1:253" s="166" customFormat="1" ht="20.25" customHeight="1">
      <c r="A35" s="2023" t="s">
        <v>411</v>
      </c>
      <c r="B35" s="2023"/>
      <c r="C35" s="2023"/>
      <c r="D35" s="2023"/>
      <c r="E35" s="2023"/>
      <c r="F35" s="2023"/>
      <c r="G35" s="2023"/>
      <c r="H35" s="2023"/>
      <c r="I35" s="2023"/>
      <c r="J35" s="2023"/>
      <c r="K35" s="2023"/>
      <c r="L35" s="2023"/>
      <c r="M35" s="2023"/>
      <c r="N35" s="2023"/>
      <c r="O35" s="2023"/>
      <c r="P35" s="2023"/>
      <c r="Q35" s="2023"/>
      <c r="R35" s="2023"/>
      <c r="S35" s="2023"/>
      <c r="T35" s="2023"/>
      <c r="U35" s="2023"/>
      <c r="V35" s="2023"/>
      <c r="W35" s="2023"/>
      <c r="X35" s="2023"/>
      <c r="Y35" s="2023"/>
      <c r="Z35" s="2023"/>
      <c r="AA35" s="2023"/>
      <c r="AB35" s="2023"/>
      <c r="AC35" s="2023"/>
      <c r="AD35" s="2023"/>
      <c r="AE35" s="2023"/>
      <c r="AF35" s="2023"/>
      <c r="AG35" s="2023"/>
      <c r="AH35" s="2023"/>
      <c r="AI35" s="2023"/>
      <c r="AJ35" s="2023"/>
      <c r="AK35" s="2023"/>
      <c r="AL35" s="2023"/>
      <c r="AM35" s="2023"/>
      <c r="AN35" s="2023"/>
      <c r="AO35" s="2023"/>
      <c r="AP35" s="2023"/>
      <c r="AQ35" s="2023"/>
      <c r="AR35" s="2023"/>
      <c r="AS35" s="2023"/>
      <c r="AT35" s="2023"/>
      <c r="AU35" s="2023"/>
      <c r="AV35" s="2023"/>
      <c r="AW35" s="2023"/>
      <c r="AX35" s="2023"/>
      <c r="AY35" s="2023"/>
      <c r="AZ35" s="2024" t="s">
        <v>421</v>
      </c>
      <c r="BA35" s="2024"/>
      <c r="BB35" s="2024"/>
      <c r="BC35" s="2024"/>
      <c r="BD35" s="2024"/>
      <c r="BE35" s="2024"/>
      <c r="BF35" s="2024"/>
      <c r="BG35" s="2024"/>
      <c r="BH35" s="2024"/>
      <c r="BI35" s="2024"/>
      <c r="BJ35" s="2024"/>
      <c r="BK35" s="2024"/>
      <c r="BL35" s="2024"/>
      <c r="BM35" s="2024"/>
      <c r="BN35" s="2024"/>
      <c r="BO35" s="2024"/>
      <c r="BP35" s="2024"/>
      <c r="BQ35" s="2024"/>
      <c r="BR35" s="2024"/>
      <c r="BS35" s="2024"/>
      <c r="BT35" s="2024"/>
      <c r="BU35" s="2024"/>
      <c r="BV35" s="2024"/>
      <c r="BW35" s="2024"/>
      <c r="BX35" s="2024"/>
      <c r="BY35" s="2024"/>
      <c r="BZ35" s="2024"/>
      <c r="CA35" s="2024"/>
      <c r="CB35" s="2024" t="s">
        <v>422</v>
      </c>
      <c r="CC35" s="2024"/>
      <c r="CD35" s="2024"/>
      <c r="CE35" s="2024"/>
      <c r="CF35" s="2024"/>
      <c r="CG35" s="2024"/>
      <c r="CH35" s="2024"/>
      <c r="CI35" s="2024"/>
      <c r="CJ35" s="2024"/>
      <c r="CK35" s="2024"/>
      <c r="CL35" s="2024"/>
      <c r="CM35" s="2024"/>
      <c r="CN35" s="2024"/>
      <c r="CO35" s="2024"/>
      <c r="CP35" s="2024"/>
      <c r="CQ35" s="2024"/>
      <c r="CR35" s="2024"/>
      <c r="CS35" s="2024"/>
      <c r="CT35" s="2024"/>
      <c r="CU35" s="2024"/>
      <c r="CV35" s="2024"/>
      <c r="CW35" s="2024"/>
      <c r="CX35" s="2024"/>
      <c r="CY35" s="2024"/>
      <c r="CZ35" s="2024"/>
      <c r="DA35" s="2024"/>
      <c r="DB35" s="2024"/>
      <c r="DC35" s="2024"/>
      <c r="DD35" s="2024" t="s">
        <v>423</v>
      </c>
      <c r="DE35" s="2024"/>
      <c r="DF35" s="2024"/>
      <c r="DG35" s="2024"/>
      <c r="DH35" s="2024"/>
      <c r="DI35" s="2024"/>
      <c r="DJ35" s="2024"/>
      <c r="DK35" s="2024"/>
      <c r="DL35" s="2024"/>
      <c r="DM35" s="2024"/>
      <c r="DN35" s="2024"/>
      <c r="DO35" s="2024"/>
      <c r="DP35" s="2024"/>
      <c r="DQ35" s="2024"/>
      <c r="DR35" s="2024"/>
      <c r="DS35" s="2024"/>
      <c r="DT35" s="2024"/>
      <c r="DU35" s="2024"/>
      <c r="DV35" s="2024"/>
      <c r="DW35" s="2024"/>
      <c r="DX35" s="2024"/>
      <c r="DY35" s="2024"/>
      <c r="DZ35" s="2024"/>
      <c r="EA35" s="2024"/>
      <c r="EB35" s="2024"/>
      <c r="EC35" s="2024"/>
      <c r="ED35" s="2024"/>
      <c r="EE35" s="2024"/>
      <c r="EF35" s="1943" t="s">
        <v>424</v>
      </c>
      <c r="EG35" s="1943"/>
      <c r="EH35" s="1943"/>
      <c r="EI35" s="1943"/>
      <c r="EJ35" s="1943"/>
      <c r="EK35" s="1943"/>
      <c r="EL35" s="1943"/>
      <c r="EM35" s="1943"/>
      <c r="EN35" s="1943"/>
      <c r="EO35" s="1943"/>
      <c r="EP35" s="1943"/>
      <c r="EQ35" s="1943"/>
      <c r="ER35" s="1943"/>
      <c r="ES35" s="1943"/>
      <c r="ET35" s="1943"/>
      <c r="EU35" s="1943"/>
      <c r="EV35" s="1943"/>
      <c r="EW35" s="1943"/>
      <c r="EX35" s="1943"/>
      <c r="EY35" s="1943"/>
      <c r="EZ35" s="1943"/>
      <c r="FA35" s="1943"/>
      <c r="FB35" s="1943"/>
      <c r="FC35" s="1943"/>
      <c r="FD35" s="1943"/>
      <c r="FE35" s="1943"/>
      <c r="FF35" s="1943"/>
      <c r="FG35" s="1943"/>
      <c r="FH35" s="1943" t="s">
        <v>376</v>
      </c>
      <c r="FI35" s="1943"/>
      <c r="FJ35" s="1943"/>
      <c r="FK35" s="1943"/>
      <c r="FL35" s="1943"/>
      <c r="FM35" s="1943"/>
      <c r="FN35" s="1943"/>
      <c r="FO35" s="1943"/>
      <c r="FP35" s="1943"/>
      <c r="FQ35" s="1943"/>
      <c r="FR35" s="1943"/>
      <c r="FS35" s="1943"/>
      <c r="FT35" s="1943"/>
      <c r="FU35" s="1943"/>
      <c r="FV35" s="1943"/>
      <c r="FW35" s="1943"/>
      <c r="FX35" s="1943"/>
      <c r="FY35" s="1943"/>
      <c r="FZ35" s="1943"/>
      <c r="GA35" s="1943"/>
      <c r="GB35" s="1943"/>
      <c r="GC35" s="1943"/>
      <c r="GD35" s="1943"/>
      <c r="GE35" s="1943"/>
      <c r="GF35" s="1943"/>
      <c r="GG35" s="1943"/>
      <c r="GH35" s="1943"/>
      <c r="GI35" s="1943"/>
    </row>
    <row r="36" spans="1:253" s="166" customFormat="1" ht="20.25" customHeight="1">
      <c r="A36" s="1943" t="s">
        <v>125</v>
      </c>
      <c r="B36" s="1943"/>
      <c r="C36" s="1943"/>
      <c r="D36" s="1943"/>
      <c r="E36" s="1943"/>
      <c r="F36" s="1943"/>
      <c r="G36" s="1943"/>
      <c r="H36" s="1943"/>
      <c r="I36" s="1943"/>
      <c r="J36" s="1943"/>
      <c r="K36" s="1943"/>
      <c r="L36" s="1943"/>
      <c r="M36" s="1943"/>
      <c r="N36" s="1943"/>
      <c r="O36" s="1943"/>
      <c r="P36" s="188"/>
      <c r="Q36" s="189"/>
      <c r="R36" s="189"/>
      <c r="S36" s="189"/>
      <c r="T36" s="189"/>
      <c r="U36" s="1951" t="s">
        <v>425</v>
      </c>
      <c r="V36" s="1951"/>
      <c r="W36" s="1951"/>
      <c r="X36" s="1951"/>
      <c r="Y36" s="1951"/>
      <c r="Z36" s="1951"/>
      <c r="AA36" s="1951"/>
      <c r="AB36" s="1951"/>
      <c r="AC36" s="1951"/>
      <c r="AD36" s="1951"/>
      <c r="AE36" s="1951"/>
      <c r="AF36" s="1951"/>
      <c r="AG36" s="1951"/>
      <c r="AH36" s="1951"/>
      <c r="AI36" s="1951"/>
      <c r="AJ36" s="1951"/>
      <c r="AK36" s="1951"/>
      <c r="AL36" s="1951"/>
      <c r="AM36" s="1951"/>
      <c r="AN36" s="1951"/>
      <c r="AO36" s="1951"/>
      <c r="AP36" s="1951"/>
      <c r="AQ36" s="1951"/>
      <c r="AR36" s="1951"/>
      <c r="AS36" s="1951"/>
      <c r="AT36" s="1951"/>
      <c r="AU36" s="189"/>
      <c r="AV36" s="189"/>
      <c r="AW36" s="189"/>
      <c r="AX36" s="189"/>
      <c r="AY36" s="189"/>
      <c r="AZ36" s="1987">
        <f>SUM(CB5,CB6,CB23)</f>
        <v>5632550318</v>
      </c>
      <c r="BA36" s="1987"/>
      <c r="BB36" s="1987"/>
      <c r="BC36" s="1987"/>
      <c r="BD36" s="1987"/>
      <c r="BE36" s="1987"/>
      <c r="BF36" s="1987"/>
      <c r="BG36" s="1987"/>
      <c r="BH36" s="1987"/>
      <c r="BI36" s="1987"/>
      <c r="BJ36" s="1987"/>
      <c r="BK36" s="1987"/>
      <c r="BL36" s="1987"/>
      <c r="BM36" s="1987"/>
      <c r="BN36" s="1987"/>
      <c r="BO36" s="1987"/>
      <c r="BP36" s="1987"/>
      <c r="BQ36" s="1987"/>
      <c r="BR36" s="1987"/>
      <c r="BS36" s="1987"/>
      <c r="BT36" s="1987"/>
      <c r="BU36" s="1987"/>
      <c r="BV36" s="1987"/>
      <c r="BW36" s="1987"/>
      <c r="BX36" s="1987"/>
      <c r="BY36" s="1987"/>
      <c r="BZ36" s="1987"/>
      <c r="CA36" s="1987"/>
      <c r="CB36" s="1987">
        <f>AZ36</f>
        <v>5632550318</v>
      </c>
      <c r="CC36" s="1987"/>
      <c r="CD36" s="1987"/>
      <c r="CE36" s="1987"/>
      <c r="CF36" s="1987"/>
      <c r="CG36" s="1987"/>
      <c r="CH36" s="1987"/>
      <c r="CI36" s="1987"/>
      <c r="CJ36" s="1987"/>
      <c r="CK36" s="1987"/>
      <c r="CL36" s="1987"/>
      <c r="CM36" s="1987"/>
      <c r="CN36" s="1987"/>
      <c r="CO36" s="1987"/>
      <c r="CP36" s="1987"/>
      <c r="CQ36" s="1987"/>
      <c r="CR36" s="1987"/>
      <c r="CS36" s="1987"/>
      <c r="CT36" s="1987"/>
      <c r="CU36" s="1987"/>
      <c r="CV36" s="1987"/>
      <c r="CW36" s="1987"/>
      <c r="CX36" s="1987"/>
      <c r="CY36" s="1987"/>
      <c r="CZ36" s="1987"/>
      <c r="DA36" s="1987"/>
      <c r="DB36" s="1987"/>
      <c r="DC36" s="1987"/>
      <c r="DD36" s="2021">
        <f>CB36/AZ36*100</f>
        <v>100</v>
      </c>
      <c r="DE36" s="2021"/>
      <c r="DF36" s="2021"/>
      <c r="DG36" s="2021"/>
      <c r="DH36" s="2021"/>
      <c r="DI36" s="2021"/>
      <c r="DJ36" s="2021"/>
      <c r="DK36" s="2021"/>
      <c r="DL36" s="2021"/>
      <c r="DM36" s="2021"/>
      <c r="DN36" s="2021"/>
      <c r="DO36" s="2021"/>
      <c r="DP36" s="2021"/>
      <c r="DQ36" s="2021"/>
      <c r="DR36" s="2021"/>
      <c r="DS36" s="2021"/>
      <c r="DT36" s="2021"/>
      <c r="DU36" s="2021"/>
      <c r="DV36" s="2021"/>
      <c r="DW36" s="2021"/>
      <c r="DX36" s="2021"/>
      <c r="DY36" s="2021"/>
      <c r="DZ36" s="2021"/>
      <c r="EA36" s="2021"/>
      <c r="EB36" s="2021"/>
      <c r="EC36" s="2021"/>
      <c r="ED36" s="2021"/>
      <c r="EE36" s="2021"/>
      <c r="EF36" s="3058">
        <f>前年度貼付!$E$81</f>
        <v>100</v>
      </c>
      <c r="EG36" s="3058"/>
      <c r="EH36" s="3058"/>
      <c r="EI36" s="3058"/>
      <c r="EJ36" s="3058"/>
      <c r="EK36" s="3058"/>
      <c r="EL36" s="3058"/>
      <c r="EM36" s="3058"/>
      <c r="EN36" s="3058"/>
      <c r="EO36" s="3058"/>
      <c r="EP36" s="3058"/>
      <c r="EQ36" s="3058"/>
      <c r="ER36" s="3058"/>
      <c r="ES36" s="3058"/>
      <c r="ET36" s="3058"/>
      <c r="EU36" s="3058"/>
      <c r="EV36" s="3058"/>
      <c r="EW36" s="3058"/>
      <c r="EX36" s="3058"/>
      <c r="EY36" s="3058"/>
      <c r="EZ36" s="3058"/>
      <c r="FA36" s="3058"/>
      <c r="FB36" s="3058"/>
      <c r="FC36" s="3058"/>
      <c r="FD36" s="3058"/>
      <c r="FE36" s="3058"/>
      <c r="FF36" s="3058"/>
      <c r="FG36" s="3058"/>
      <c r="FH36" s="2017">
        <f t="shared" ref="FH36:FH41" si="2">DD36-EF36</f>
        <v>0</v>
      </c>
      <c r="FI36" s="2017"/>
      <c r="FJ36" s="2017"/>
      <c r="FK36" s="2017"/>
      <c r="FL36" s="2017"/>
      <c r="FM36" s="2017"/>
      <c r="FN36" s="2017"/>
      <c r="FO36" s="2017"/>
      <c r="FP36" s="2017"/>
      <c r="FQ36" s="2017"/>
      <c r="FR36" s="2017"/>
      <c r="FS36" s="2017"/>
      <c r="FT36" s="2017"/>
      <c r="FU36" s="2017"/>
      <c r="FV36" s="2017"/>
      <c r="FW36" s="2017"/>
      <c r="FX36" s="2017"/>
      <c r="FY36" s="2017"/>
      <c r="FZ36" s="2017"/>
      <c r="GA36" s="2017"/>
      <c r="GB36" s="2017"/>
      <c r="GC36" s="2017"/>
      <c r="GD36" s="2017"/>
      <c r="GE36" s="2017"/>
      <c r="GF36" s="2017"/>
      <c r="GG36" s="2017"/>
      <c r="GH36" s="2017"/>
      <c r="GI36" s="2017"/>
    </row>
    <row r="37" spans="1:253" s="166" customFormat="1" ht="20.25" customHeight="1">
      <c r="A37" s="1943"/>
      <c r="B37" s="1943"/>
      <c r="C37" s="1943"/>
      <c r="D37" s="1943"/>
      <c r="E37" s="1943"/>
      <c r="F37" s="1943"/>
      <c r="G37" s="1943"/>
      <c r="H37" s="1943"/>
      <c r="I37" s="1943"/>
      <c r="J37" s="1943"/>
      <c r="K37" s="1943"/>
      <c r="L37" s="1943"/>
      <c r="M37" s="1943"/>
      <c r="N37" s="1943"/>
      <c r="O37" s="1943"/>
      <c r="P37" s="188"/>
      <c r="Q37" s="189"/>
      <c r="R37" s="189"/>
      <c r="S37" s="189"/>
      <c r="T37" s="189"/>
      <c r="U37" s="1951" t="s">
        <v>426</v>
      </c>
      <c r="V37" s="1951"/>
      <c r="W37" s="1951"/>
      <c r="X37" s="1951"/>
      <c r="Y37" s="1951"/>
      <c r="Z37" s="1951"/>
      <c r="AA37" s="1951"/>
      <c r="AB37" s="1951"/>
      <c r="AC37" s="1951"/>
      <c r="AD37" s="1951"/>
      <c r="AE37" s="1951"/>
      <c r="AF37" s="1951"/>
      <c r="AG37" s="1951"/>
      <c r="AH37" s="1951"/>
      <c r="AI37" s="1951"/>
      <c r="AJ37" s="1951"/>
      <c r="AK37" s="1951"/>
      <c r="AL37" s="1951"/>
      <c r="AM37" s="1951"/>
      <c r="AN37" s="1951"/>
      <c r="AO37" s="1951"/>
      <c r="AP37" s="1951"/>
      <c r="AQ37" s="1951"/>
      <c r="AR37" s="1951"/>
      <c r="AS37" s="1951"/>
      <c r="AT37" s="1951"/>
      <c r="AU37" s="189"/>
      <c r="AV37" s="189"/>
      <c r="AW37" s="189"/>
      <c r="AX37" s="189"/>
      <c r="AY37" s="189"/>
      <c r="AZ37" s="1987">
        <f>CB7</f>
        <v>496114904</v>
      </c>
      <c r="BA37" s="1987"/>
      <c r="BB37" s="1987"/>
      <c r="BC37" s="1987"/>
      <c r="BD37" s="1987"/>
      <c r="BE37" s="1987"/>
      <c r="BF37" s="1987"/>
      <c r="BG37" s="1987"/>
      <c r="BH37" s="1987"/>
      <c r="BI37" s="1987"/>
      <c r="BJ37" s="1987"/>
      <c r="BK37" s="1987"/>
      <c r="BL37" s="1987"/>
      <c r="BM37" s="1987"/>
      <c r="BN37" s="1987"/>
      <c r="BO37" s="1987"/>
      <c r="BP37" s="1987"/>
      <c r="BQ37" s="1987"/>
      <c r="BR37" s="1987"/>
      <c r="BS37" s="1987"/>
      <c r="BT37" s="1987"/>
      <c r="BU37" s="1987"/>
      <c r="BV37" s="1987"/>
      <c r="BW37" s="1987"/>
      <c r="BX37" s="1987"/>
      <c r="BY37" s="1987"/>
      <c r="BZ37" s="1987"/>
      <c r="CA37" s="1987"/>
      <c r="CB37" s="1987">
        <f>AZ37</f>
        <v>496114904</v>
      </c>
      <c r="CC37" s="1987"/>
      <c r="CD37" s="1987"/>
      <c r="CE37" s="1987"/>
      <c r="CF37" s="1987"/>
      <c r="CG37" s="1987"/>
      <c r="CH37" s="1987"/>
      <c r="CI37" s="1987"/>
      <c r="CJ37" s="1987"/>
      <c r="CK37" s="1987"/>
      <c r="CL37" s="1987"/>
      <c r="CM37" s="1987"/>
      <c r="CN37" s="1987"/>
      <c r="CO37" s="1987"/>
      <c r="CP37" s="1987"/>
      <c r="CQ37" s="1987"/>
      <c r="CR37" s="1987"/>
      <c r="CS37" s="1987"/>
      <c r="CT37" s="1987"/>
      <c r="CU37" s="1987"/>
      <c r="CV37" s="1987"/>
      <c r="CW37" s="1987"/>
      <c r="CX37" s="1987"/>
      <c r="CY37" s="1987"/>
      <c r="CZ37" s="1987"/>
      <c r="DA37" s="1987"/>
      <c r="DB37" s="1987"/>
      <c r="DC37" s="1987"/>
      <c r="DD37" s="2021">
        <f>CB37/AZ37*100</f>
        <v>100</v>
      </c>
      <c r="DE37" s="2021"/>
      <c r="DF37" s="2021"/>
      <c r="DG37" s="2021"/>
      <c r="DH37" s="2021"/>
      <c r="DI37" s="2021"/>
      <c r="DJ37" s="2021"/>
      <c r="DK37" s="2021"/>
      <c r="DL37" s="2021"/>
      <c r="DM37" s="2021"/>
      <c r="DN37" s="2021"/>
      <c r="DO37" s="2021"/>
      <c r="DP37" s="2021"/>
      <c r="DQ37" s="2021"/>
      <c r="DR37" s="2021"/>
      <c r="DS37" s="2021"/>
      <c r="DT37" s="2021"/>
      <c r="DU37" s="2021"/>
      <c r="DV37" s="2021"/>
      <c r="DW37" s="2021"/>
      <c r="DX37" s="2021"/>
      <c r="DY37" s="2021"/>
      <c r="DZ37" s="2021"/>
      <c r="EA37" s="2021"/>
      <c r="EB37" s="2021"/>
      <c r="EC37" s="2021"/>
      <c r="ED37" s="2021"/>
      <c r="EE37" s="2021"/>
      <c r="EF37" s="3058">
        <f>前年度貼付!$E$82</f>
        <v>100</v>
      </c>
      <c r="EG37" s="3058"/>
      <c r="EH37" s="3058"/>
      <c r="EI37" s="3058"/>
      <c r="EJ37" s="3058"/>
      <c r="EK37" s="3058"/>
      <c r="EL37" s="3058"/>
      <c r="EM37" s="3058"/>
      <c r="EN37" s="3058"/>
      <c r="EO37" s="3058"/>
      <c r="EP37" s="3058"/>
      <c r="EQ37" s="3058"/>
      <c r="ER37" s="3058"/>
      <c r="ES37" s="3058"/>
      <c r="ET37" s="3058"/>
      <c r="EU37" s="3058"/>
      <c r="EV37" s="3058"/>
      <c r="EW37" s="3058"/>
      <c r="EX37" s="3058"/>
      <c r="EY37" s="3058"/>
      <c r="EZ37" s="3058"/>
      <c r="FA37" s="3058"/>
      <c r="FB37" s="3058"/>
      <c r="FC37" s="3058"/>
      <c r="FD37" s="3058"/>
      <c r="FE37" s="3058"/>
      <c r="FF37" s="3058"/>
      <c r="FG37" s="3058"/>
      <c r="FH37" s="2017">
        <f t="shared" si="2"/>
        <v>0</v>
      </c>
      <c r="FI37" s="2017"/>
      <c r="FJ37" s="2017"/>
      <c r="FK37" s="2017"/>
      <c r="FL37" s="2017"/>
      <c r="FM37" s="2017"/>
      <c r="FN37" s="2017"/>
      <c r="FO37" s="2017"/>
      <c r="FP37" s="2017"/>
      <c r="FQ37" s="2017"/>
      <c r="FR37" s="2017"/>
      <c r="FS37" s="2017"/>
      <c r="FT37" s="2017"/>
      <c r="FU37" s="2017"/>
      <c r="FV37" s="2017"/>
      <c r="FW37" s="2017"/>
      <c r="FX37" s="2017"/>
      <c r="FY37" s="2017"/>
      <c r="FZ37" s="2017"/>
      <c r="GA37" s="2017"/>
      <c r="GB37" s="2017"/>
      <c r="GC37" s="2017"/>
      <c r="GD37" s="2017"/>
      <c r="GE37" s="2017"/>
      <c r="GF37" s="2017"/>
      <c r="GG37" s="2017"/>
      <c r="GH37" s="2017"/>
      <c r="GI37" s="2017"/>
    </row>
    <row r="38" spans="1:253" s="166" customFormat="1" ht="20.25" customHeight="1">
      <c r="A38" s="1943" t="s">
        <v>427</v>
      </c>
      <c r="B38" s="1943"/>
      <c r="C38" s="1943"/>
      <c r="D38" s="1943"/>
      <c r="E38" s="1943"/>
      <c r="F38" s="1943"/>
      <c r="G38" s="1943"/>
      <c r="H38" s="1943"/>
      <c r="I38" s="1943"/>
      <c r="J38" s="1943"/>
      <c r="K38" s="1943"/>
      <c r="L38" s="1943"/>
      <c r="M38" s="1943"/>
      <c r="N38" s="1943"/>
      <c r="O38" s="1943"/>
      <c r="P38" s="188"/>
      <c r="Q38" s="189"/>
      <c r="R38" s="189"/>
      <c r="S38" s="189"/>
      <c r="T38" s="189"/>
      <c r="U38" s="1951" t="s">
        <v>425</v>
      </c>
      <c r="V38" s="1951"/>
      <c r="W38" s="1951"/>
      <c r="X38" s="1951"/>
      <c r="Y38" s="1951"/>
      <c r="Z38" s="1951"/>
      <c r="AA38" s="1951"/>
      <c r="AB38" s="1951"/>
      <c r="AC38" s="1951"/>
      <c r="AD38" s="1951"/>
      <c r="AE38" s="1951"/>
      <c r="AF38" s="1951"/>
      <c r="AG38" s="1951"/>
      <c r="AH38" s="1951"/>
      <c r="AI38" s="1951"/>
      <c r="AJ38" s="1951"/>
      <c r="AK38" s="1951"/>
      <c r="AL38" s="1951"/>
      <c r="AM38" s="1951"/>
      <c r="AN38" s="1951"/>
      <c r="AO38" s="1951"/>
      <c r="AP38" s="1951"/>
      <c r="AQ38" s="1951"/>
      <c r="AR38" s="1951"/>
      <c r="AS38" s="1951"/>
      <c r="AT38" s="1951"/>
      <c r="AU38" s="189"/>
      <c r="AV38" s="189"/>
      <c r="AW38" s="189"/>
      <c r="AX38" s="189"/>
      <c r="AY38" s="189"/>
      <c r="AZ38" s="1987">
        <f>SUM(CB8,CB10)</f>
        <v>5647560262</v>
      </c>
      <c r="BA38" s="1987"/>
      <c r="BB38" s="1987"/>
      <c r="BC38" s="1987"/>
      <c r="BD38" s="1987"/>
      <c r="BE38" s="1987"/>
      <c r="BF38" s="1987"/>
      <c r="BG38" s="1987"/>
      <c r="BH38" s="1987"/>
      <c r="BI38" s="1987"/>
      <c r="BJ38" s="1987"/>
      <c r="BK38" s="1987"/>
      <c r="BL38" s="1987"/>
      <c r="BM38" s="1987"/>
      <c r="BN38" s="1987"/>
      <c r="BO38" s="1987"/>
      <c r="BP38" s="1987"/>
      <c r="BQ38" s="1987"/>
      <c r="BR38" s="1987"/>
      <c r="BS38" s="1987"/>
      <c r="BT38" s="1987"/>
      <c r="BU38" s="1987"/>
      <c r="BV38" s="1987"/>
      <c r="BW38" s="1987"/>
      <c r="BX38" s="1987"/>
      <c r="BY38" s="1987"/>
      <c r="BZ38" s="1987"/>
      <c r="CA38" s="1987"/>
      <c r="CB38" s="3054">
        <f>AZ38-短期_附属明細表!G48</f>
        <v>5647505694</v>
      </c>
      <c r="CC38" s="3054"/>
      <c r="CD38" s="3054"/>
      <c r="CE38" s="3054"/>
      <c r="CF38" s="3054"/>
      <c r="CG38" s="3054"/>
      <c r="CH38" s="3054"/>
      <c r="CI38" s="3054"/>
      <c r="CJ38" s="3054"/>
      <c r="CK38" s="3054"/>
      <c r="CL38" s="3054"/>
      <c r="CM38" s="3054"/>
      <c r="CN38" s="3054"/>
      <c r="CO38" s="3054"/>
      <c r="CP38" s="3054"/>
      <c r="CQ38" s="3054"/>
      <c r="CR38" s="3054"/>
      <c r="CS38" s="3054"/>
      <c r="CT38" s="3054"/>
      <c r="CU38" s="3054"/>
      <c r="CV38" s="3054"/>
      <c r="CW38" s="3054"/>
      <c r="CX38" s="3054"/>
      <c r="CY38" s="3054"/>
      <c r="CZ38" s="3054"/>
      <c r="DA38" s="3054"/>
      <c r="DB38" s="3054"/>
      <c r="DC38" s="3054"/>
      <c r="DD38" s="3058">
        <f>ROUNDDOWN(CB38/AZ38*100,2)</f>
        <v>99.99</v>
      </c>
      <c r="DE38" s="3058"/>
      <c r="DF38" s="3058"/>
      <c r="DG38" s="3058"/>
      <c r="DH38" s="3058"/>
      <c r="DI38" s="3058"/>
      <c r="DJ38" s="3058"/>
      <c r="DK38" s="3058"/>
      <c r="DL38" s="3058"/>
      <c r="DM38" s="3058"/>
      <c r="DN38" s="3058"/>
      <c r="DO38" s="3058"/>
      <c r="DP38" s="3058"/>
      <c r="DQ38" s="3058"/>
      <c r="DR38" s="3058"/>
      <c r="DS38" s="3058"/>
      <c r="DT38" s="3058"/>
      <c r="DU38" s="3058"/>
      <c r="DV38" s="3058"/>
      <c r="DW38" s="3058"/>
      <c r="DX38" s="3058"/>
      <c r="DY38" s="3058"/>
      <c r="DZ38" s="3058"/>
      <c r="EA38" s="3058"/>
      <c r="EB38" s="3058"/>
      <c r="EC38" s="3058"/>
      <c r="ED38" s="3058"/>
      <c r="EE38" s="3058"/>
      <c r="EF38" s="3058">
        <f>前年度貼付!$E$83</f>
        <v>99.99</v>
      </c>
      <c r="EG38" s="3058"/>
      <c r="EH38" s="3058"/>
      <c r="EI38" s="3058"/>
      <c r="EJ38" s="3058"/>
      <c r="EK38" s="3058"/>
      <c r="EL38" s="3058"/>
      <c r="EM38" s="3058"/>
      <c r="EN38" s="3058"/>
      <c r="EO38" s="3058"/>
      <c r="EP38" s="3058"/>
      <c r="EQ38" s="3058"/>
      <c r="ER38" s="3058"/>
      <c r="ES38" s="3058"/>
      <c r="ET38" s="3058"/>
      <c r="EU38" s="3058"/>
      <c r="EV38" s="3058"/>
      <c r="EW38" s="3058"/>
      <c r="EX38" s="3058"/>
      <c r="EY38" s="3058"/>
      <c r="EZ38" s="3058"/>
      <c r="FA38" s="3058"/>
      <c r="FB38" s="3058"/>
      <c r="FC38" s="3058"/>
      <c r="FD38" s="3058"/>
      <c r="FE38" s="3058"/>
      <c r="FF38" s="3058"/>
      <c r="FG38" s="3058"/>
      <c r="FH38" s="2017">
        <f t="shared" si="2"/>
        <v>0</v>
      </c>
      <c r="FI38" s="2017"/>
      <c r="FJ38" s="2017"/>
      <c r="FK38" s="2017"/>
      <c r="FL38" s="2017"/>
      <c r="FM38" s="2017"/>
      <c r="FN38" s="2017"/>
      <c r="FO38" s="2017"/>
      <c r="FP38" s="2017"/>
      <c r="FQ38" s="2017"/>
      <c r="FR38" s="2017"/>
      <c r="FS38" s="2017"/>
      <c r="FT38" s="2017"/>
      <c r="FU38" s="2017"/>
      <c r="FV38" s="2017"/>
      <c r="FW38" s="2017"/>
      <c r="FX38" s="2017"/>
      <c r="FY38" s="2017"/>
      <c r="FZ38" s="2017"/>
      <c r="GA38" s="2017"/>
      <c r="GB38" s="2017"/>
      <c r="GC38" s="2017"/>
      <c r="GD38" s="2017"/>
      <c r="GE38" s="2017"/>
      <c r="GF38" s="2017"/>
      <c r="GG38" s="2017"/>
      <c r="GH38" s="2017"/>
      <c r="GI38" s="2017"/>
      <c r="GJ38" s="2018"/>
      <c r="GK38" s="2018"/>
      <c r="GL38" s="2018"/>
      <c r="GM38" s="2018"/>
      <c r="GN38" s="2018"/>
      <c r="GO38" s="2018"/>
      <c r="GP38" s="2018"/>
      <c r="GQ38" s="2018"/>
      <c r="GR38" s="2018"/>
      <c r="GS38" s="2018"/>
      <c r="GT38" s="2018"/>
      <c r="GU38" s="2018"/>
      <c r="GV38" s="2018"/>
      <c r="GW38" s="2018"/>
      <c r="GX38" s="2018"/>
      <c r="GY38" s="2018"/>
      <c r="GZ38" s="2018"/>
      <c r="HA38" s="2018"/>
      <c r="HB38" s="2018"/>
      <c r="HC38" s="2018"/>
      <c r="HD38" s="2018"/>
      <c r="HE38" s="2018"/>
      <c r="HF38" s="2018"/>
      <c r="HG38" s="2018"/>
      <c r="HH38" s="2018"/>
      <c r="HI38" s="2018"/>
      <c r="HJ38" s="2018"/>
      <c r="HK38" s="2018"/>
      <c r="HL38" s="2018"/>
      <c r="HM38" s="2018"/>
      <c r="HN38" s="2018"/>
      <c r="HO38" s="2019"/>
      <c r="HP38" s="2019"/>
      <c r="HQ38" s="2019"/>
      <c r="HR38" s="2019"/>
      <c r="HS38" s="2019"/>
      <c r="HT38" s="2019"/>
      <c r="HU38" s="2019"/>
      <c r="HV38" s="2019"/>
      <c r="HW38" s="2019"/>
      <c r="HX38" s="2019"/>
      <c r="HY38" s="2019"/>
      <c r="HZ38" s="2019"/>
      <c r="IA38" s="2019"/>
      <c r="IB38" s="2019"/>
      <c r="IC38" s="2019"/>
      <c r="ID38" s="2019"/>
      <c r="IE38" s="2019"/>
      <c r="IF38" s="2019"/>
      <c r="IG38" s="2019"/>
      <c r="IH38" s="2019"/>
      <c r="II38" s="2019"/>
      <c r="IJ38" s="2019"/>
      <c r="IK38" s="2019"/>
      <c r="IL38" s="2019"/>
      <c r="IM38" s="2019"/>
      <c r="IN38" s="2019"/>
      <c r="IO38" s="2019"/>
      <c r="IP38" s="2019"/>
      <c r="IQ38" s="2019"/>
      <c r="IR38" s="2019"/>
      <c r="IS38" s="2019"/>
    </row>
    <row r="39" spans="1:253" s="166" customFormat="1" ht="20.25" customHeight="1">
      <c r="A39" s="1943"/>
      <c r="B39" s="1943"/>
      <c r="C39" s="1943"/>
      <c r="D39" s="1943"/>
      <c r="E39" s="1943"/>
      <c r="F39" s="1943"/>
      <c r="G39" s="1943"/>
      <c r="H39" s="1943"/>
      <c r="I39" s="1943"/>
      <c r="J39" s="1943"/>
      <c r="K39" s="1943"/>
      <c r="L39" s="1943"/>
      <c r="M39" s="1943"/>
      <c r="N39" s="1943"/>
      <c r="O39" s="1943"/>
      <c r="P39" s="188"/>
      <c r="Q39" s="189"/>
      <c r="R39" s="189"/>
      <c r="S39" s="189"/>
      <c r="T39" s="189"/>
      <c r="U39" s="1951" t="s">
        <v>426</v>
      </c>
      <c r="V39" s="1951"/>
      <c r="W39" s="1951"/>
      <c r="X39" s="1951"/>
      <c r="Y39" s="1951"/>
      <c r="Z39" s="1951"/>
      <c r="AA39" s="1951"/>
      <c r="AB39" s="1951"/>
      <c r="AC39" s="1951"/>
      <c r="AD39" s="1951"/>
      <c r="AE39" s="1951"/>
      <c r="AF39" s="1951"/>
      <c r="AG39" s="1951"/>
      <c r="AH39" s="1951"/>
      <c r="AI39" s="1951"/>
      <c r="AJ39" s="1951"/>
      <c r="AK39" s="1951"/>
      <c r="AL39" s="1951"/>
      <c r="AM39" s="1951"/>
      <c r="AN39" s="1951"/>
      <c r="AO39" s="1951"/>
      <c r="AP39" s="1951"/>
      <c r="AQ39" s="1951"/>
      <c r="AR39" s="1951"/>
      <c r="AS39" s="1951"/>
      <c r="AT39" s="1951"/>
      <c r="AU39" s="189"/>
      <c r="AV39" s="189"/>
      <c r="AW39" s="189"/>
      <c r="AX39" s="189"/>
      <c r="AY39" s="189"/>
      <c r="AZ39" s="1987">
        <f>SUM(CB9,CB11)</f>
        <v>501082548</v>
      </c>
      <c r="BA39" s="1987"/>
      <c r="BB39" s="1987"/>
      <c r="BC39" s="1987"/>
      <c r="BD39" s="1987"/>
      <c r="BE39" s="1987"/>
      <c r="BF39" s="1987"/>
      <c r="BG39" s="1987"/>
      <c r="BH39" s="1987"/>
      <c r="BI39" s="1987"/>
      <c r="BJ39" s="1987"/>
      <c r="BK39" s="1987"/>
      <c r="BL39" s="1987"/>
      <c r="BM39" s="1987"/>
      <c r="BN39" s="1987"/>
      <c r="BO39" s="1987"/>
      <c r="BP39" s="1987"/>
      <c r="BQ39" s="1987"/>
      <c r="BR39" s="1987"/>
      <c r="BS39" s="1987"/>
      <c r="BT39" s="1987"/>
      <c r="BU39" s="1987"/>
      <c r="BV39" s="1987"/>
      <c r="BW39" s="1987"/>
      <c r="BX39" s="1987"/>
      <c r="BY39" s="1987"/>
      <c r="BZ39" s="1987"/>
      <c r="CA39" s="1987"/>
      <c r="CB39" s="3054">
        <f>AZ39-0</f>
        <v>501082548</v>
      </c>
      <c r="CC39" s="3054"/>
      <c r="CD39" s="3054"/>
      <c r="CE39" s="3054"/>
      <c r="CF39" s="3054"/>
      <c r="CG39" s="3054"/>
      <c r="CH39" s="3054"/>
      <c r="CI39" s="3054"/>
      <c r="CJ39" s="3054"/>
      <c r="CK39" s="3054"/>
      <c r="CL39" s="3054"/>
      <c r="CM39" s="3054"/>
      <c r="CN39" s="3054"/>
      <c r="CO39" s="3054"/>
      <c r="CP39" s="3054"/>
      <c r="CQ39" s="3054"/>
      <c r="CR39" s="3054"/>
      <c r="CS39" s="3054"/>
      <c r="CT39" s="3054"/>
      <c r="CU39" s="3054"/>
      <c r="CV39" s="3054"/>
      <c r="CW39" s="3054"/>
      <c r="CX39" s="3054"/>
      <c r="CY39" s="3054"/>
      <c r="CZ39" s="3054"/>
      <c r="DA39" s="3054"/>
      <c r="DB39" s="3054"/>
      <c r="DC39" s="3054"/>
      <c r="DD39" s="3058">
        <f>CB39/AZ39*100</f>
        <v>100</v>
      </c>
      <c r="DE39" s="3058"/>
      <c r="DF39" s="3058"/>
      <c r="DG39" s="3058"/>
      <c r="DH39" s="3058"/>
      <c r="DI39" s="3058"/>
      <c r="DJ39" s="3058"/>
      <c r="DK39" s="3058"/>
      <c r="DL39" s="3058"/>
      <c r="DM39" s="3058"/>
      <c r="DN39" s="3058"/>
      <c r="DO39" s="3058"/>
      <c r="DP39" s="3058"/>
      <c r="DQ39" s="3058"/>
      <c r="DR39" s="3058"/>
      <c r="DS39" s="3058"/>
      <c r="DT39" s="3058"/>
      <c r="DU39" s="3058"/>
      <c r="DV39" s="3058"/>
      <c r="DW39" s="3058"/>
      <c r="DX39" s="3058"/>
      <c r="DY39" s="3058"/>
      <c r="DZ39" s="3058"/>
      <c r="EA39" s="3058"/>
      <c r="EB39" s="3058"/>
      <c r="EC39" s="3058"/>
      <c r="ED39" s="3058"/>
      <c r="EE39" s="3058"/>
      <c r="EF39" s="3058">
        <f>前年度貼付!$E$84</f>
        <v>99.99</v>
      </c>
      <c r="EG39" s="3058"/>
      <c r="EH39" s="3058"/>
      <c r="EI39" s="3058"/>
      <c r="EJ39" s="3058"/>
      <c r="EK39" s="3058"/>
      <c r="EL39" s="3058"/>
      <c r="EM39" s="3058"/>
      <c r="EN39" s="3058"/>
      <c r="EO39" s="3058"/>
      <c r="EP39" s="3058"/>
      <c r="EQ39" s="3058"/>
      <c r="ER39" s="3058"/>
      <c r="ES39" s="3058"/>
      <c r="ET39" s="3058"/>
      <c r="EU39" s="3058"/>
      <c r="EV39" s="3058"/>
      <c r="EW39" s="3058"/>
      <c r="EX39" s="3058"/>
      <c r="EY39" s="3058"/>
      <c r="EZ39" s="3058"/>
      <c r="FA39" s="3058"/>
      <c r="FB39" s="3058"/>
      <c r="FC39" s="3058"/>
      <c r="FD39" s="3058"/>
      <c r="FE39" s="3058"/>
      <c r="FF39" s="3058"/>
      <c r="FG39" s="3058"/>
      <c r="FH39" s="2017">
        <f t="shared" si="2"/>
        <v>1.0000000000005116E-2</v>
      </c>
      <c r="FI39" s="2017"/>
      <c r="FJ39" s="2017"/>
      <c r="FK39" s="2017"/>
      <c r="FL39" s="2017"/>
      <c r="FM39" s="2017"/>
      <c r="FN39" s="2017"/>
      <c r="FO39" s="2017"/>
      <c r="FP39" s="2017"/>
      <c r="FQ39" s="2017"/>
      <c r="FR39" s="2017"/>
      <c r="FS39" s="2017"/>
      <c r="FT39" s="2017"/>
      <c r="FU39" s="2017"/>
      <c r="FV39" s="2017"/>
      <c r="FW39" s="2017"/>
      <c r="FX39" s="2017"/>
      <c r="FY39" s="2017"/>
      <c r="FZ39" s="2017"/>
      <c r="GA39" s="2017"/>
      <c r="GB39" s="2017"/>
      <c r="GC39" s="2017"/>
      <c r="GD39" s="2017"/>
      <c r="GE39" s="2017"/>
      <c r="GF39" s="2017"/>
      <c r="GG39" s="2017"/>
      <c r="GH39" s="2017"/>
      <c r="GI39" s="2017"/>
      <c r="GJ39" s="2020"/>
      <c r="GK39" s="2020"/>
      <c r="GL39" s="2020"/>
      <c r="GM39" s="2020"/>
      <c r="GN39" s="2020"/>
      <c r="GO39" s="2020"/>
      <c r="GP39" s="2020"/>
      <c r="GQ39" s="2020"/>
      <c r="GR39" s="2020"/>
      <c r="GS39" s="2020"/>
      <c r="GT39" s="2020"/>
      <c r="GU39" s="2020"/>
      <c r="GV39" s="2020"/>
      <c r="GW39" s="2020"/>
      <c r="GX39" s="2020"/>
      <c r="GY39" s="2020"/>
      <c r="GZ39" s="2020"/>
      <c r="HA39" s="2020"/>
      <c r="HB39" s="2020"/>
      <c r="HC39" s="2020"/>
      <c r="HD39" s="2020"/>
      <c r="HE39" s="2020"/>
      <c r="HF39" s="2020"/>
      <c r="HG39" s="2020"/>
      <c r="HH39" s="2020"/>
      <c r="HI39" s="2020"/>
      <c r="HJ39" s="2020"/>
      <c r="HK39" s="2020"/>
      <c r="HL39" s="2020"/>
      <c r="HM39" s="2020"/>
      <c r="HN39" s="2020"/>
    </row>
    <row r="40" spans="1:253" s="166" customFormat="1" ht="20.25" customHeight="1">
      <c r="A40" s="1943" t="s">
        <v>428</v>
      </c>
      <c r="B40" s="1943"/>
      <c r="C40" s="1943"/>
      <c r="D40" s="1943"/>
      <c r="E40" s="1943"/>
      <c r="F40" s="1943"/>
      <c r="G40" s="1943"/>
      <c r="H40" s="1943"/>
      <c r="I40" s="1943"/>
      <c r="J40" s="1943"/>
      <c r="K40" s="1943"/>
      <c r="L40" s="1943"/>
      <c r="M40" s="1943"/>
      <c r="N40" s="1943"/>
      <c r="O40" s="1943"/>
      <c r="P40" s="188"/>
      <c r="Q40" s="189"/>
      <c r="R40" s="189"/>
      <c r="S40" s="189"/>
      <c r="T40" s="189"/>
      <c r="U40" s="1951" t="s">
        <v>425</v>
      </c>
      <c r="V40" s="1951"/>
      <c r="W40" s="1951"/>
      <c r="X40" s="1951"/>
      <c r="Y40" s="1951"/>
      <c r="Z40" s="1951"/>
      <c r="AA40" s="1951"/>
      <c r="AB40" s="1951"/>
      <c r="AC40" s="1951"/>
      <c r="AD40" s="1951"/>
      <c r="AE40" s="1951"/>
      <c r="AF40" s="1951"/>
      <c r="AG40" s="1951"/>
      <c r="AH40" s="1951"/>
      <c r="AI40" s="1951"/>
      <c r="AJ40" s="1951"/>
      <c r="AK40" s="1951"/>
      <c r="AL40" s="1951"/>
      <c r="AM40" s="1951"/>
      <c r="AN40" s="1951"/>
      <c r="AO40" s="1951"/>
      <c r="AP40" s="1951"/>
      <c r="AQ40" s="1951"/>
      <c r="AR40" s="1951"/>
      <c r="AS40" s="1951"/>
      <c r="AT40" s="1951"/>
      <c r="AU40" s="189"/>
      <c r="AV40" s="189"/>
      <c r="AW40" s="189"/>
      <c r="AX40" s="189"/>
      <c r="AY40" s="189"/>
      <c r="AZ40" s="2014">
        <f>AZ36+AZ38</f>
        <v>11280110580</v>
      </c>
      <c r="BA40" s="2014"/>
      <c r="BB40" s="2014"/>
      <c r="BC40" s="2014"/>
      <c r="BD40" s="2014"/>
      <c r="BE40" s="2014"/>
      <c r="BF40" s="2014"/>
      <c r="BG40" s="2014"/>
      <c r="BH40" s="2014"/>
      <c r="BI40" s="2014"/>
      <c r="BJ40" s="2014"/>
      <c r="BK40" s="2014"/>
      <c r="BL40" s="2014"/>
      <c r="BM40" s="2014"/>
      <c r="BN40" s="2014"/>
      <c r="BO40" s="2014"/>
      <c r="BP40" s="2014"/>
      <c r="BQ40" s="2014"/>
      <c r="BR40" s="2014"/>
      <c r="BS40" s="2014"/>
      <c r="BT40" s="2014"/>
      <c r="BU40" s="2014"/>
      <c r="BV40" s="2014"/>
      <c r="BW40" s="2014"/>
      <c r="BX40" s="2014"/>
      <c r="BY40" s="2014"/>
      <c r="BZ40" s="2014"/>
      <c r="CA40" s="2014"/>
      <c r="CB40" s="1987">
        <f>CB36+CB38</f>
        <v>11280056012</v>
      </c>
      <c r="CC40" s="1987"/>
      <c r="CD40" s="1987"/>
      <c r="CE40" s="1987"/>
      <c r="CF40" s="1987"/>
      <c r="CG40" s="1987"/>
      <c r="CH40" s="1987"/>
      <c r="CI40" s="1987"/>
      <c r="CJ40" s="1987"/>
      <c r="CK40" s="1987"/>
      <c r="CL40" s="1987"/>
      <c r="CM40" s="1987"/>
      <c r="CN40" s="1987"/>
      <c r="CO40" s="1987"/>
      <c r="CP40" s="1987"/>
      <c r="CQ40" s="1987"/>
      <c r="CR40" s="1987"/>
      <c r="CS40" s="1987"/>
      <c r="CT40" s="1987"/>
      <c r="CU40" s="1987"/>
      <c r="CV40" s="1987"/>
      <c r="CW40" s="1987"/>
      <c r="CX40" s="1987"/>
      <c r="CY40" s="1987"/>
      <c r="CZ40" s="1987"/>
      <c r="DA40" s="1987"/>
      <c r="DB40" s="1987"/>
      <c r="DC40" s="1987"/>
      <c r="DD40" s="3058">
        <f>ROUNDDOWN(CB40/AZ40*100,2)</f>
        <v>99.99</v>
      </c>
      <c r="DE40" s="3058"/>
      <c r="DF40" s="3058"/>
      <c r="DG40" s="3058"/>
      <c r="DH40" s="3058"/>
      <c r="DI40" s="3058"/>
      <c r="DJ40" s="3058"/>
      <c r="DK40" s="3058"/>
      <c r="DL40" s="3058"/>
      <c r="DM40" s="3058"/>
      <c r="DN40" s="3058"/>
      <c r="DO40" s="3058"/>
      <c r="DP40" s="3058"/>
      <c r="DQ40" s="3058"/>
      <c r="DR40" s="3058"/>
      <c r="DS40" s="3058"/>
      <c r="DT40" s="3058"/>
      <c r="DU40" s="3058"/>
      <c r="DV40" s="3058"/>
      <c r="DW40" s="3058"/>
      <c r="DX40" s="3058"/>
      <c r="DY40" s="3058"/>
      <c r="DZ40" s="3058"/>
      <c r="EA40" s="3058"/>
      <c r="EB40" s="3058"/>
      <c r="EC40" s="3058"/>
      <c r="ED40" s="3058"/>
      <c r="EE40" s="3058"/>
      <c r="EF40" s="3059">
        <f>前年度貼付!$E$85</f>
        <v>99.99</v>
      </c>
      <c r="EG40" s="3059"/>
      <c r="EH40" s="3059"/>
      <c r="EI40" s="3059"/>
      <c r="EJ40" s="3059"/>
      <c r="EK40" s="3059"/>
      <c r="EL40" s="3059"/>
      <c r="EM40" s="3059"/>
      <c r="EN40" s="3059"/>
      <c r="EO40" s="3059"/>
      <c r="EP40" s="3059"/>
      <c r="EQ40" s="3059"/>
      <c r="ER40" s="3059"/>
      <c r="ES40" s="3059"/>
      <c r="ET40" s="3059"/>
      <c r="EU40" s="3059"/>
      <c r="EV40" s="3059"/>
      <c r="EW40" s="3059"/>
      <c r="EX40" s="3059"/>
      <c r="EY40" s="3059"/>
      <c r="EZ40" s="3059"/>
      <c r="FA40" s="3059"/>
      <c r="FB40" s="3059"/>
      <c r="FC40" s="3059"/>
      <c r="FD40" s="3059"/>
      <c r="FE40" s="3059"/>
      <c r="FF40" s="3059"/>
      <c r="FG40" s="3059"/>
      <c r="FH40" s="2017">
        <f t="shared" si="2"/>
        <v>0</v>
      </c>
      <c r="FI40" s="2017"/>
      <c r="FJ40" s="2017"/>
      <c r="FK40" s="2017"/>
      <c r="FL40" s="2017"/>
      <c r="FM40" s="2017"/>
      <c r="FN40" s="2017"/>
      <c r="FO40" s="2017"/>
      <c r="FP40" s="2017"/>
      <c r="FQ40" s="2017"/>
      <c r="FR40" s="2017"/>
      <c r="FS40" s="2017"/>
      <c r="FT40" s="2017"/>
      <c r="FU40" s="2017"/>
      <c r="FV40" s="2017"/>
      <c r="FW40" s="2017"/>
      <c r="FX40" s="2017"/>
      <c r="FY40" s="2017"/>
      <c r="FZ40" s="2017"/>
      <c r="GA40" s="2017"/>
      <c r="GB40" s="2017"/>
      <c r="GC40" s="2017"/>
      <c r="GD40" s="2017"/>
      <c r="GE40" s="2017"/>
      <c r="GF40" s="2017"/>
      <c r="GG40" s="2017"/>
      <c r="GH40" s="2017"/>
      <c r="GI40" s="2017"/>
    </row>
    <row r="41" spans="1:253" s="166" customFormat="1" ht="20.25" customHeight="1">
      <c r="A41" s="1943"/>
      <c r="B41" s="1943"/>
      <c r="C41" s="1943"/>
      <c r="D41" s="1943"/>
      <c r="E41" s="1943"/>
      <c r="F41" s="1943"/>
      <c r="G41" s="1943"/>
      <c r="H41" s="1943"/>
      <c r="I41" s="1943"/>
      <c r="J41" s="1943"/>
      <c r="K41" s="1943"/>
      <c r="L41" s="1943"/>
      <c r="M41" s="1943"/>
      <c r="N41" s="1943"/>
      <c r="O41" s="1943"/>
      <c r="P41" s="188"/>
      <c r="Q41" s="189"/>
      <c r="R41" s="189"/>
      <c r="S41" s="189"/>
      <c r="T41" s="189"/>
      <c r="U41" s="1951" t="s">
        <v>426</v>
      </c>
      <c r="V41" s="1951"/>
      <c r="W41" s="1951"/>
      <c r="X41" s="1951"/>
      <c r="Y41" s="1951"/>
      <c r="Z41" s="1951"/>
      <c r="AA41" s="1951"/>
      <c r="AB41" s="1951"/>
      <c r="AC41" s="1951"/>
      <c r="AD41" s="1951"/>
      <c r="AE41" s="1951"/>
      <c r="AF41" s="1951"/>
      <c r="AG41" s="1951"/>
      <c r="AH41" s="1951"/>
      <c r="AI41" s="1951"/>
      <c r="AJ41" s="1951"/>
      <c r="AK41" s="1951"/>
      <c r="AL41" s="1951"/>
      <c r="AM41" s="1951"/>
      <c r="AN41" s="1951"/>
      <c r="AO41" s="1951"/>
      <c r="AP41" s="1951"/>
      <c r="AQ41" s="1951"/>
      <c r="AR41" s="1951"/>
      <c r="AS41" s="1951"/>
      <c r="AT41" s="1951"/>
      <c r="AU41" s="189"/>
      <c r="AV41" s="189"/>
      <c r="AW41" s="189"/>
      <c r="AX41" s="189"/>
      <c r="AY41" s="189"/>
      <c r="AZ41" s="2014">
        <f>AZ37+AZ39</f>
        <v>997197452</v>
      </c>
      <c r="BA41" s="2014"/>
      <c r="BB41" s="2014"/>
      <c r="BC41" s="2014"/>
      <c r="BD41" s="2014"/>
      <c r="BE41" s="2014"/>
      <c r="BF41" s="2014"/>
      <c r="BG41" s="2014"/>
      <c r="BH41" s="2014"/>
      <c r="BI41" s="2014"/>
      <c r="BJ41" s="2014"/>
      <c r="BK41" s="2014"/>
      <c r="BL41" s="2014"/>
      <c r="BM41" s="2014"/>
      <c r="BN41" s="2014"/>
      <c r="BO41" s="2014"/>
      <c r="BP41" s="2014"/>
      <c r="BQ41" s="2014"/>
      <c r="BR41" s="2014"/>
      <c r="BS41" s="2014"/>
      <c r="BT41" s="2014"/>
      <c r="BU41" s="2014"/>
      <c r="BV41" s="2014"/>
      <c r="BW41" s="2014"/>
      <c r="BX41" s="2014"/>
      <c r="BY41" s="2014"/>
      <c r="BZ41" s="2014"/>
      <c r="CA41" s="2014"/>
      <c r="CB41" s="1987">
        <f>CB37+CB39</f>
        <v>997197452</v>
      </c>
      <c r="CC41" s="1987"/>
      <c r="CD41" s="1987"/>
      <c r="CE41" s="1987"/>
      <c r="CF41" s="1987"/>
      <c r="CG41" s="1987"/>
      <c r="CH41" s="1987"/>
      <c r="CI41" s="1987"/>
      <c r="CJ41" s="1987"/>
      <c r="CK41" s="1987"/>
      <c r="CL41" s="1987"/>
      <c r="CM41" s="1987"/>
      <c r="CN41" s="1987"/>
      <c r="CO41" s="1987"/>
      <c r="CP41" s="1987"/>
      <c r="CQ41" s="1987"/>
      <c r="CR41" s="1987"/>
      <c r="CS41" s="1987"/>
      <c r="CT41" s="1987"/>
      <c r="CU41" s="1987"/>
      <c r="CV41" s="1987"/>
      <c r="CW41" s="1987"/>
      <c r="CX41" s="1987"/>
      <c r="CY41" s="1987"/>
      <c r="CZ41" s="1987"/>
      <c r="DA41" s="1987"/>
      <c r="DB41" s="1987"/>
      <c r="DC41" s="1987"/>
      <c r="DD41" s="3058">
        <f>ROUNDDOWN(CB41/AZ41*100,2)</f>
        <v>100</v>
      </c>
      <c r="DE41" s="3058"/>
      <c r="DF41" s="3058"/>
      <c r="DG41" s="3058"/>
      <c r="DH41" s="3058"/>
      <c r="DI41" s="3058"/>
      <c r="DJ41" s="3058"/>
      <c r="DK41" s="3058"/>
      <c r="DL41" s="3058"/>
      <c r="DM41" s="3058"/>
      <c r="DN41" s="3058"/>
      <c r="DO41" s="3058"/>
      <c r="DP41" s="3058"/>
      <c r="DQ41" s="3058"/>
      <c r="DR41" s="3058"/>
      <c r="DS41" s="3058"/>
      <c r="DT41" s="3058"/>
      <c r="DU41" s="3058"/>
      <c r="DV41" s="3058"/>
      <c r="DW41" s="3058"/>
      <c r="DX41" s="3058"/>
      <c r="DY41" s="3058"/>
      <c r="DZ41" s="3058"/>
      <c r="EA41" s="3058"/>
      <c r="EB41" s="3058"/>
      <c r="EC41" s="3058"/>
      <c r="ED41" s="3058"/>
      <c r="EE41" s="3058"/>
      <c r="EF41" s="3059">
        <f>前年度貼付!$E$86</f>
        <v>99.99</v>
      </c>
      <c r="EG41" s="3059"/>
      <c r="EH41" s="3059"/>
      <c r="EI41" s="3059"/>
      <c r="EJ41" s="3059"/>
      <c r="EK41" s="3059"/>
      <c r="EL41" s="3059"/>
      <c r="EM41" s="3059"/>
      <c r="EN41" s="3059"/>
      <c r="EO41" s="3059"/>
      <c r="EP41" s="3059"/>
      <c r="EQ41" s="3059"/>
      <c r="ER41" s="3059"/>
      <c r="ES41" s="3059"/>
      <c r="ET41" s="3059"/>
      <c r="EU41" s="3059"/>
      <c r="EV41" s="3059"/>
      <c r="EW41" s="3059"/>
      <c r="EX41" s="3059"/>
      <c r="EY41" s="3059"/>
      <c r="EZ41" s="3059"/>
      <c r="FA41" s="3059"/>
      <c r="FB41" s="3059"/>
      <c r="FC41" s="3059"/>
      <c r="FD41" s="3059"/>
      <c r="FE41" s="3059"/>
      <c r="FF41" s="3059"/>
      <c r="FG41" s="3059"/>
      <c r="FH41" s="2017">
        <f t="shared" si="2"/>
        <v>1.0000000000005116E-2</v>
      </c>
      <c r="FI41" s="2017"/>
      <c r="FJ41" s="2017"/>
      <c r="FK41" s="2017"/>
      <c r="FL41" s="2017"/>
      <c r="FM41" s="2017"/>
      <c r="FN41" s="2017"/>
      <c r="FO41" s="2017"/>
      <c r="FP41" s="2017"/>
      <c r="FQ41" s="2017"/>
      <c r="FR41" s="2017"/>
      <c r="FS41" s="2017"/>
      <c r="FT41" s="2017"/>
      <c r="FU41" s="2017"/>
      <c r="FV41" s="2017"/>
      <c r="FW41" s="2017"/>
      <c r="FX41" s="2017"/>
      <c r="FY41" s="2017"/>
      <c r="FZ41" s="2017"/>
      <c r="GA41" s="2017"/>
      <c r="GB41" s="2017"/>
      <c r="GC41" s="2017"/>
      <c r="GD41" s="2017"/>
      <c r="GE41" s="2017"/>
      <c r="GF41" s="2017"/>
      <c r="GG41" s="2017"/>
      <c r="GH41" s="2017"/>
      <c r="GI41" s="2017"/>
    </row>
    <row r="42" spans="1:253" s="166" customFormat="1" ht="18" customHeight="1">
      <c r="A42" s="210" t="s">
        <v>366</v>
      </c>
      <c r="B42" s="176"/>
      <c r="C42" s="176"/>
      <c r="E42" s="176"/>
      <c r="F42" s="176"/>
      <c r="G42" s="176"/>
      <c r="H42" s="176"/>
      <c r="I42" s="176"/>
      <c r="J42" s="176"/>
      <c r="K42" s="176"/>
      <c r="L42" s="176"/>
      <c r="M42" s="210" t="s">
        <v>429</v>
      </c>
      <c r="N42" s="176"/>
      <c r="O42" s="176"/>
      <c r="P42" s="176"/>
      <c r="Q42" s="176"/>
      <c r="R42" s="176"/>
      <c r="S42" s="176"/>
      <c r="T42" s="176"/>
      <c r="U42" s="176"/>
      <c r="V42" s="176"/>
      <c r="W42" s="176"/>
      <c r="X42" s="176"/>
      <c r="Y42" s="176"/>
      <c r="Z42" s="176"/>
      <c r="AA42" s="176"/>
      <c r="AB42" s="176"/>
      <c r="AC42" s="176"/>
      <c r="AD42" s="176"/>
      <c r="AE42" s="176"/>
      <c r="AF42" s="176"/>
      <c r="AG42" s="176"/>
      <c r="AH42" s="176"/>
      <c r="AI42" s="176"/>
      <c r="AJ42" s="176"/>
      <c r="AK42" s="176"/>
      <c r="AL42" s="176"/>
      <c r="AM42" s="176"/>
      <c r="AN42" s="176"/>
      <c r="AO42" s="176"/>
      <c r="AP42" s="176"/>
      <c r="AQ42" s="176"/>
      <c r="AR42" s="176"/>
      <c r="AS42" s="176"/>
      <c r="AT42" s="176"/>
      <c r="AU42" s="176"/>
      <c r="AV42" s="176"/>
      <c r="AW42" s="176"/>
      <c r="AX42" s="176"/>
      <c r="AY42" s="176"/>
      <c r="AZ42" s="176"/>
    </row>
    <row r="43" spans="1:253" s="166" customFormat="1" ht="18" customHeight="1">
      <c r="B43" s="176"/>
      <c r="C43" s="176"/>
      <c r="F43" s="176"/>
      <c r="G43" s="176"/>
      <c r="H43" s="176"/>
      <c r="I43" s="176"/>
      <c r="J43" s="176"/>
      <c r="K43" s="176"/>
      <c r="L43" s="176"/>
      <c r="M43" s="210" t="s">
        <v>430</v>
      </c>
      <c r="N43" s="176"/>
      <c r="O43" s="176"/>
      <c r="P43" s="176"/>
      <c r="Q43" s="176"/>
      <c r="R43" s="176"/>
      <c r="S43" s="176"/>
      <c r="T43" s="176"/>
      <c r="U43" s="176"/>
      <c r="V43" s="176"/>
      <c r="W43" s="176"/>
      <c r="X43" s="176"/>
      <c r="Y43" s="176"/>
      <c r="Z43" s="176"/>
      <c r="AA43" s="176"/>
      <c r="AB43" s="176"/>
      <c r="AC43" s="176"/>
      <c r="AD43" s="176"/>
      <c r="AE43" s="176"/>
      <c r="AF43" s="176"/>
      <c r="AG43" s="176"/>
      <c r="AH43" s="176"/>
      <c r="AI43" s="176"/>
      <c r="AJ43" s="176"/>
      <c r="AK43" s="176"/>
      <c r="AL43" s="176"/>
      <c r="AM43" s="176"/>
      <c r="AN43" s="176"/>
      <c r="AO43" s="176"/>
      <c r="AP43" s="176"/>
      <c r="AQ43" s="176"/>
      <c r="AR43" s="176"/>
      <c r="AS43" s="176"/>
      <c r="AT43" s="176"/>
      <c r="AU43" s="176"/>
      <c r="AV43" s="176"/>
      <c r="AW43" s="176"/>
      <c r="AX43" s="176"/>
      <c r="AY43" s="176"/>
      <c r="AZ43" s="176"/>
      <c r="BA43" s="176"/>
    </row>
    <row r="44" spans="1:253" ht="4.5" customHeight="1"/>
    <row r="45" spans="1:253" s="166" customFormat="1" ht="21" customHeight="1">
      <c r="A45" s="173" t="s">
        <v>431</v>
      </c>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253" s="166" customFormat="1" ht="18" customHeight="1">
      <c r="FP46" s="1983" t="s">
        <v>408</v>
      </c>
      <c r="FQ46" s="1983"/>
      <c r="FR46" s="1983"/>
      <c r="FS46" s="1983"/>
      <c r="FT46" s="1983"/>
      <c r="FU46" s="1983"/>
      <c r="FV46" s="1983"/>
      <c r="FW46" s="1983"/>
      <c r="FX46" s="1983"/>
      <c r="FY46" s="1983"/>
      <c r="FZ46" s="1983"/>
      <c r="GA46" s="1983"/>
      <c r="GB46" s="1983"/>
      <c r="GC46" s="1983"/>
      <c r="GD46" s="1983"/>
      <c r="GE46" s="1983"/>
      <c r="GF46" s="1983"/>
      <c r="GG46" s="1983"/>
      <c r="GH46" s="1983"/>
      <c r="GI46" s="174"/>
    </row>
    <row r="47" spans="1:253" s="166" customFormat="1" ht="19.5" customHeight="1">
      <c r="A47" s="2012" t="s">
        <v>349</v>
      </c>
      <c r="B47" s="2012"/>
      <c r="C47" s="2012"/>
      <c r="D47" s="2012"/>
      <c r="E47" s="2012"/>
      <c r="F47" s="2012"/>
      <c r="G47" s="2012"/>
      <c r="H47" s="2012"/>
      <c r="I47" s="2012"/>
      <c r="J47" s="2012"/>
      <c r="K47" s="2012"/>
      <c r="L47" s="2012"/>
      <c r="M47" s="2012"/>
      <c r="N47" s="2012"/>
      <c r="O47" s="2012"/>
      <c r="P47" s="2012"/>
      <c r="Q47" s="2012"/>
      <c r="R47" s="2012"/>
      <c r="S47" s="2012"/>
      <c r="T47" s="2012"/>
      <c r="U47" s="2012"/>
      <c r="V47" s="2012"/>
      <c r="W47" s="2012"/>
      <c r="X47" s="2012"/>
      <c r="Y47" s="2012"/>
      <c r="Z47" s="2012"/>
      <c r="AA47" s="2012"/>
      <c r="AB47" s="2012"/>
      <c r="AC47" s="2012"/>
      <c r="AD47" s="2012"/>
      <c r="AE47" s="2012"/>
      <c r="AF47" s="2012"/>
      <c r="AG47" s="2012"/>
      <c r="AH47" s="2012"/>
      <c r="AI47" s="2012"/>
      <c r="AJ47" s="2012"/>
      <c r="AK47" s="2012"/>
      <c r="AL47" s="2012"/>
      <c r="AM47" s="2012"/>
      <c r="AN47" s="2012"/>
      <c r="AO47" s="2012"/>
      <c r="AP47" s="2012"/>
      <c r="AQ47" s="2012"/>
      <c r="AR47" s="2012"/>
      <c r="AS47" s="2012"/>
      <c r="AT47" s="2012"/>
      <c r="AU47" s="2012"/>
      <c r="AV47" s="2012"/>
      <c r="AW47" s="2012"/>
      <c r="AX47" s="2012"/>
      <c r="AY47" s="2012"/>
      <c r="AZ47" s="1943" t="s">
        <v>373</v>
      </c>
      <c r="BA47" s="1943"/>
      <c r="BB47" s="1943"/>
      <c r="BC47" s="1943"/>
      <c r="BD47" s="1943"/>
      <c r="BE47" s="1943"/>
      <c r="BF47" s="1943"/>
      <c r="BG47" s="1943"/>
      <c r="BH47" s="1943"/>
      <c r="BI47" s="1943"/>
      <c r="BJ47" s="1943"/>
      <c r="BK47" s="1943"/>
      <c r="BL47" s="1943"/>
      <c r="BM47" s="1943"/>
      <c r="BN47" s="1943"/>
      <c r="BO47" s="1943"/>
      <c r="BP47" s="1943"/>
      <c r="BQ47" s="1943"/>
      <c r="BR47" s="1943"/>
      <c r="BS47" s="1943"/>
      <c r="BT47" s="1943"/>
      <c r="BU47" s="1943"/>
      <c r="BV47" s="1943"/>
      <c r="BW47" s="1943"/>
      <c r="BX47" s="1943"/>
      <c r="BY47" s="1943"/>
      <c r="BZ47" s="1943"/>
      <c r="CA47" s="1943"/>
      <c r="CB47" s="1943" t="s">
        <v>409</v>
      </c>
      <c r="CC47" s="1943"/>
      <c r="CD47" s="1943"/>
      <c r="CE47" s="1943"/>
      <c r="CF47" s="1943"/>
      <c r="CG47" s="1943"/>
      <c r="CH47" s="1943"/>
      <c r="CI47" s="1943"/>
      <c r="CJ47" s="1943"/>
      <c r="CK47" s="1943"/>
      <c r="CL47" s="1943"/>
      <c r="CM47" s="1943"/>
      <c r="CN47" s="1943"/>
      <c r="CO47" s="1943"/>
      <c r="CP47" s="1943"/>
      <c r="CQ47" s="1943"/>
      <c r="CR47" s="1943"/>
      <c r="CS47" s="1943"/>
      <c r="CT47" s="1943"/>
      <c r="CU47" s="1943"/>
      <c r="CV47" s="1943"/>
      <c r="CW47" s="1943"/>
      <c r="CX47" s="1943"/>
      <c r="CY47" s="1943"/>
      <c r="CZ47" s="1943"/>
      <c r="DA47" s="1943"/>
      <c r="DB47" s="1943"/>
      <c r="DC47" s="1943"/>
      <c r="DD47" s="1943" t="s">
        <v>376</v>
      </c>
      <c r="DE47" s="1943"/>
      <c r="DF47" s="1943"/>
      <c r="DG47" s="1943"/>
      <c r="DH47" s="1943"/>
      <c r="DI47" s="1943"/>
      <c r="DJ47" s="1943"/>
      <c r="DK47" s="1943"/>
      <c r="DL47" s="1943"/>
      <c r="DM47" s="1943"/>
      <c r="DN47" s="1943"/>
      <c r="DO47" s="1943"/>
      <c r="DP47" s="1943"/>
      <c r="DQ47" s="1943"/>
      <c r="DR47" s="1943"/>
      <c r="DS47" s="1943"/>
      <c r="DT47" s="1943"/>
      <c r="DU47" s="1943"/>
      <c r="DV47" s="1943"/>
      <c r="DW47" s="1943"/>
      <c r="DX47" s="1943"/>
      <c r="DY47" s="1943"/>
      <c r="DZ47" s="1943"/>
      <c r="EA47" s="1943"/>
      <c r="EB47" s="1943"/>
      <c r="EC47" s="1943"/>
      <c r="ED47" s="1943"/>
      <c r="EE47" s="1943"/>
      <c r="EF47" s="1943" t="s">
        <v>410</v>
      </c>
      <c r="EG47" s="1943"/>
      <c r="EH47" s="1943"/>
      <c r="EI47" s="1943"/>
      <c r="EJ47" s="1943"/>
      <c r="EK47" s="1943"/>
      <c r="EL47" s="1943"/>
      <c r="EM47" s="1943"/>
      <c r="EN47" s="1943"/>
      <c r="EO47" s="1943"/>
      <c r="EP47" s="1943"/>
      <c r="EQ47" s="1943"/>
      <c r="ER47" s="1943"/>
      <c r="ES47" s="1943"/>
      <c r="ET47" s="1943"/>
      <c r="EU47" s="1943"/>
      <c r="EV47" s="1943"/>
      <c r="EW47" s="1943"/>
      <c r="EX47" s="1943"/>
      <c r="EY47" s="1943"/>
      <c r="EZ47" s="1943"/>
      <c r="FA47" s="1943"/>
      <c r="FB47" s="1943"/>
      <c r="FC47" s="1943"/>
      <c r="FD47" s="1943"/>
      <c r="FE47" s="1943"/>
      <c r="FF47" s="1943"/>
      <c r="FG47" s="1943"/>
      <c r="FH47" s="1943"/>
      <c r="FI47" s="1943"/>
      <c r="FJ47" s="1943"/>
      <c r="FK47" s="1943"/>
      <c r="FL47" s="1943"/>
      <c r="FM47" s="1943"/>
      <c r="FN47" s="1943"/>
      <c r="FO47" s="1943"/>
      <c r="FP47" s="1943"/>
      <c r="FQ47" s="1943"/>
      <c r="FR47" s="1943"/>
      <c r="FS47" s="1943"/>
      <c r="FT47" s="1943"/>
      <c r="FU47" s="1943"/>
      <c r="FV47" s="1943"/>
      <c r="FW47" s="1943"/>
      <c r="FX47" s="1943"/>
      <c r="FY47" s="1943"/>
      <c r="FZ47" s="1943"/>
      <c r="GA47" s="1943"/>
      <c r="GB47" s="1943"/>
      <c r="GC47" s="1943"/>
      <c r="GD47" s="1943"/>
      <c r="GE47" s="1943"/>
      <c r="GF47" s="1943"/>
      <c r="GG47" s="1943"/>
      <c r="GH47" s="1943"/>
      <c r="GI47" s="1943"/>
    </row>
    <row r="48" spans="1:253" s="166" customFormat="1" ht="19.5" customHeight="1">
      <c r="A48" s="2013" t="s">
        <v>411</v>
      </c>
      <c r="B48" s="2013"/>
      <c r="C48" s="2013"/>
      <c r="D48" s="2013"/>
      <c r="E48" s="2013"/>
      <c r="F48" s="2013"/>
      <c r="G48" s="2013"/>
      <c r="H48" s="2013"/>
      <c r="I48" s="2013"/>
      <c r="J48" s="2013"/>
      <c r="K48" s="2013"/>
      <c r="L48" s="2013"/>
      <c r="M48" s="2013"/>
      <c r="N48" s="2013"/>
      <c r="O48" s="2013"/>
      <c r="P48" s="2013"/>
      <c r="Q48" s="2013"/>
      <c r="R48" s="2013"/>
      <c r="S48" s="2013"/>
      <c r="T48" s="2013"/>
      <c r="U48" s="2013"/>
      <c r="V48" s="2013"/>
      <c r="W48" s="2013"/>
      <c r="X48" s="2013"/>
      <c r="Y48" s="2013"/>
      <c r="Z48" s="2013"/>
      <c r="AA48" s="2013"/>
      <c r="AB48" s="2013"/>
      <c r="AC48" s="2013"/>
      <c r="AD48" s="2013"/>
      <c r="AE48" s="2013"/>
      <c r="AF48" s="2013"/>
      <c r="AG48" s="2013"/>
      <c r="AH48" s="2013"/>
      <c r="AI48" s="2013"/>
      <c r="AJ48" s="2013"/>
      <c r="AK48" s="2013"/>
      <c r="AL48" s="2013"/>
      <c r="AM48" s="2013"/>
      <c r="AN48" s="2013"/>
      <c r="AO48" s="2013"/>
      <c r="AP48" s="2013"/>
      <c r="AQ48" s="2013"/>
      <c r="AR48" s="2013"/>
      <c r="AS48" s="2013"/>
      <c r="AT48" s="2013"/>
      <c r="AU48" s="2013"/>
      <c r="AV48" s="2013"/>
      <c r="AW48" s="2013"/>
      <c r="AX48" s="2013"/>
      <c r="AY48" s="2013"/>
      <c r="AZ48" s="1943"/>
      <c r="BA48" s="1943"/>
      <c r="BB48" s="1943"/>
      <c r="BC48" s="1943"/>
      <c r="BD48" s="1943"/>
      <c r="BE48" s="1943"/>
      <c r="BF48" s="1943"/>
      <c r="BG48" s="1943"/>
      <c r="BH48" s="1943"/>
      <c r="BI48" s="1943"/>
      <c r="BJ48" s="1943"/>
      <c r="BK48" s="1943"/>
      <c r="BL48" s="1943"/>
      <c r="BM48" s="1943"/>
      <c r="BN48" s="1943"/>
      <c r="BO48" s="1943"/>
      <c r="BP48" s="1943"/>
      <c r="BQ48" s="1943"/>
      <c r="BR48" s="1943"/>
      <c r="BS48" s="1943"/>
      <c r="BT48" s="1943"/>
      <c r="BU48" s="1943"/>
      <c r="BV48" s="1943"/>
      <c r="BW48" s="1943"/>
      <c r="BX48" s="1943"/>
      <c r="BY48" s="1943"/>
      <c r="BZ48" s="1943"/>
      <c r="CA48" s="1943"/>
      <c r="CB48" s="1943"/>
      <c r="CC48" s="1943"/>
      <c r="CD48" s="1943"/>
      <c r="CE48" s="1943"/>
      <c r="CF48" s="1943"/>
      <c r="CG48" s="1943"/>
      <c r="CH48" s="1943"/>
      <c r="CI48" s="1943"/>
      <c r="CJ48" s="1943"/>
      <c r="CK48" s="1943"/>
      <c r="CL48" s="1943"/>
      <c r="CM48" s="1943"/>
      <c r="CN48" s="1943"/>
      <c r="CO48" s="1943"/>
      <c r="CP48" s="1943"/>
      <c r="CQ48" s="1943"/>
      <c r="CR48" s="1943"/>
      <c r="CS48" s="1943"/>
      <c r="CT48" s="1943"/>
      <c r="CU48" s="1943"/>
      <c r="CV48" s="1943"/>
      <c r="CW48" s="1943"/>
      <c r="CX48" s="1943"/>
      <c r="CY48" s="1943"/>
      <c r="CZ48" s="1943"/>
      <c r="DA48" s="1943"/>
      <c r="DB48" s="1943"/>
      <c r="DC48" s="1943"/>
      <c r="DD48" s="1943"/>
      <c r="DE48" s="1943"/>
      <c r="DF48" s="1943"/>
      <c r="DG48" s="1943"/>
      <c r="DH48" s="1943"/>
      <c r="DI48" s="1943"/>
      <c r="DJ48" s="1943"/>
      <c r="DK48" s="1943"/>
      <c r="DL48" s="1943"/>
      <c r="DM48" s="1943"/>
      <c r="DN48" s="1943"/>
      <c r="DO48" s="1943"/>
      <c r="DP48" s="1943"/>
      <c r="DQ48" s="1943"/>
      <c r="DR48" s="1943"/>
      <c r="DS48" s="1943"/>
      <c r="DT48" s="1943"/>
      <c r="DU48" s="1943"/>
      <c r="DV48" s="1943"/>
      <c r="DW48" s="1943"/>
      <c r="DX48" s="1943"/>
      <c r="DY48" s="1943"/>
      <c r="DZ48" s="1943"/>
      <c r="EA48" s="1943"/>
      <c r="EB48" s="1943"/>
      <c r="EC48" s="1943"/>
      <c r="ED48" s="1943"/>
      <c r="EE48" s="1943"/>
      <c r="EF48" s="1943" t="s">
        <v>378</v>
      </c>
      <c r="EG48" s="1943"/>
      <c r="EH48" s="1943"/>
      <c r="EI48" s="1943"/>
      <c r="EJ48" s="1943"/>
      <c r="EK48" s="1943"/>
      <c r="EL48" s="1943"/>
      <c r="EM48" s="1943"/>
      <c r="EN48" s="1943"/>
      <c r="EO48" s="1943"/>
      <c r="EP48" s="1943"/>
      <c r="EQ48" s="1943"/>
      <c r="ER48" s="1943"/>
      <c r="ES48" s="1943"/>
      <c r="ET48" s="1943"/>
      <c r="EU48" s="1943"/>
      <c r="EV48" s="1943"/>
      <c r="EW48" s="1943"/>
      <c r="EX48" s="1943"/>
      <c r="EY48" s="1943"/>
      <c r="EZ48" s="1943"/>
      <c r="FA48" s="1943"/>
      <c r="FB48" s="1943"/>
      <c r="FC48" s="1943"/>
      <c r="FD48" s="1943"/>
      <c r="FE48" s="1943"/>
      <c r="FF48" s="1943"/>
      <c r="FG48" s="1943"/>
      <c r="FH48" s="1943" t="s">
        <v>376</v>
      </c>
      <c r="FI48" s="1943"/>
      <c r="FJ48" s="1943"/>
      <c r="FK48" s="1943"/>
      <c r="FL48" s="1943"/>
      <c r="FM48" s="1943"/>
      <c r="FN48" s="1943"/>
      <c r="FO48" s="1943"/>
      <c r="FP48" s="1943"/>
      <c r="FQ48" s="1943"/>
      <c r="FR48" s="1943"/>
      <c r="FS48" s="1943"/>
      <c r="FT48" s="1943"/>
      <c r="FU48" s="1943"/>
      <c r="FV48" s="1943"/>
      <c r="FW48" s="1943"/>
      <c r="FX48" s="1943"/>
      <c r="FY48" s="1943"/>
      <c r="FZ48" s="1943"/>
      <c r="GA48" s="1943"/>
      <c r="GB48" s="1943"/>
      <c r="GC48" s="1943"/>
      <c r="GD48" s="1943"/>
      <c r="GE48" s="1943"/>
      <c r="GF48" s="1943"/>
      <c r="GG48" s="1943"/>
      <c r="GH48" s="1943"/>
      <c r="GI48" s="1943"/>
    </row>
    <row r="49" spans="1:191" s="166" customFormat="1" ht="24" customHeight="1">
      <c r="A49" s="2002" t="s">
        <v>432</v>
      </c>
      <c r="B49" s="2002"/>
      <c r="C49" s="2002"/>
      <c r="D49" s="2002"/>
      <c r="E49" s="2002"/>
      <c r="F49" s="2002" t="s">
        <v>433</v>
      </c>
      <c r="G49" s="2002"/>
      <c r="H49" s="2002"/>
      <c r="I49" s="2002"/>
      <c r="J49" s="2002"/>
      <c r="K49" s="188"/>
      <c r="L49" s="189"/>
      <c r="M49" s="1932" t="s">
        <v>52</v>
      </c>
      <c r="N49" s="1932"/>
      <c r="O49" s="1932"/>
      <c r="P49" s="1932"/>
      <c r="Q49" s="1932"/>
      <c r="R49" s="1932"/>
      <c r="S49" s="1932"/>
      <c r="T49" s="1932"/>
      <c r="U49" s="1932"/>
      <c r="V49" s="1932"/>
      <c r="W49" s="1932"/>
      <c r="X49" s="1932"/>
      <c r="Y49" s="1932"/>
      <c r="Z49" s="1932"/>
      <c r="AA49" s="1932"/>
      <c r="AB49" s="1932"/>
      <c r="AC49" s="1932"/>
      <c r="AD49" s="1932"/>
      <c r="AE49" s="1932"/>
      <c r="AF49" s="1932"/>
      <c r="AG49" s="1932"/>
      <c r="AH49" s="1932"/>
      <c r="AI49" s="1932"/>
      <c r="AJ49" s="1932"/>
      <c r="AK49" s="1932"/>
      <c r="AL49" s="1932"/>
      <c r="AM49" s="1932"/>
      <c r="AN49" s="1932"/>
      <c r="AO49" s="1932"/>
      <c r="AP49" s="1932"/>
      <c r="AQ49" s="1932"/>
      <c r="AR49" s="1932"/>
      <c r="AS49" s="1932"/>
      <c r="AT49" s="1932"/>
      <c r="AU49" s="1932"/>
      <c r="AV49" s="1932"/>
      <c r="AW49" s="1932"/>
      <c r="AX49" s="189"/>
      <c r="AY49" s="197"/>
      <c r="AZ49" s="3053">
        <v>2312372000</v>
      </c>
      <c r="BA49" s="3054"/>
      <c r="BB49" s="3054"/>
      <c r="BC49" s="3054"/>
      <c r="BD49" s="3054"/>
      <c r="BE49" s="3054"/>
      <c r="BF49" s="3054"/>
      <c r="BG49" s="3054"/>
      <c r="BH49" s="3054"/>
      <c r="BI49" s="3054"/>
      <c r="BJ49" s="3054"/>
      <c r="BK49" s="3054"/>
      <c r="BL49" s="3054"/>
      <c r="BM49" s="3054"/>
      <c r="BN49" s="3054"/>
      <c r="BO49" s="3054"/>
      <c r="BP49" s="3054"/>
      <c r="BQ49" s="3054"/>
      <c r="BR49" s="3054"/>
      <c r="BS49" s="3054"/>
      <c r="BT49" s="3054"/>
      <c r="BU49" s="3054"/>
      <c r="BV49" s="3054"/>
      <c r="BW49" s="3054"/>
      <c r="BX49" s="3054"/>
      <c r="BY49" s="3054"/>
      <c r="BZ49" s="3054"/>
      <c r="CA49" s="3054"/>
      <c r="CB49" s="3053">
        <v>2267481074</v>
      </c>
      <c r="CC49" s="3054"/>
      <c r="CD49" s="3054"/>
      <c r="CE49" s="3054"/>
      <c r="CF49" s="3054"/>
      <c r="CG49" s="3054"/>
      <c r="CH49" s="3054"/>
      <c r="CI49" s="3054"/>
      <c r="CJ49" s="3054"/>
      <c r="CK49" s="3054"/>
      <c r="CL49" s="3054"/>
      <c r="CM49" s="3054"/>
      <c r="CN49" s="3054"/>
      <c r="CO49" s="3054"/>
      <c r="CP49" s="3054"/>
      <c r="CQ49" s="3054"/>
      <c r="CR49" s="3054"/>
      <c r="CS49" s="3054"/>
      <c r="CT49" s="3054"/>
      <c r="CU49" s="3054"/>
      <c r="CV49" s="3054"/>
      <c r="CW49" s="3054"/>
      <c r="CX49" s="3054"/>
      <c r="CY49" s="3054"/>
      <c r="CZ49" s="3054"/>
      <c r="DA49" s="3054"/>
      <c r="DB49" s="3054"/>
      <c r="DC49" s="3054"/>
      <c r="DD49" s="1988">
        <f t="shared" ref="DD49:DD79" si="3">CB49-AZ49</f>
        <v>-44890926</v>
      </c>
      <c r="DE49" s="1988"/>
      <c r="DF49" s="1988"/>
      <c r="DG49" s="1988"/>
      <c r="DH49" s="1988"/>
      <c r="DI49" s="1988"/>
      <c r="DJ49" s="1988"/>
      <c r="DK49" s="1988"/>
      <c r="DL49" s="1988"/>
      <c r="DM49" s="1988"/>
      <c r="DN49" s="1988"/>
      <c r="DO49" s="1988"/>
      <c r="DP49" s="1988"/>
      <c r="DQ49" s="1988"/>
      <c r="DR49" s="1988"/>
      <c r="DS49" s="1988"/>
      <c r="DT49" s="1988"/>
      <c r="DU49" s="1988"/>
      <c r="DV49" s="1988"/>
      <c r="DW49" s="1988"/>
      <c r="DX49" s="1988"/>
      <c r="DY49" s="1988"/>
      <c r="DZ49" s="1988"/>
      <c r="EA49" s="1988"/>
      <c r="EB49" s="1988"/>
      <c r="EC49" s="1988"/>
      <c r="ED49" s="1988"/>
      <c r="EE49" s="1988"/>
      <c r="EF49" s="3054">
        <f>前年度貼付!$E$87</f>
        <v>2203762570</v>
      </c>
      <c r="EG49" s="3054"/>
      <c r="EH49" s="3054"/>
      <c r="EI49" s="3054"/>
      <c r="EJ49" s="3054"/>
      <c r="EK49" s="3054"/>
      <c r="EL49" s="3054"/>
      <c r="EM49" s="3054"/>
      <c r="EN49" s="3054"/>
      <c r="EO49" s="3054"/>
      <c r="EP49" s="3054"/>
      <c r="EQ49" s="3054"/>
      <c r="ER49" s="3054"/>
      <c r="ES49" s="3054"/>
      <c r="ET49" s="3054"/>
      <c r="EU49" s="3054"/>
      <c r="EV49" s="3054"/>
      <c r="EW49" s="3054"/>
      <c r="EX49" s="3054"/>
      <c r="EY49" s="3054"/>
      <c r="EZ49" s="3054"/>
      <c r="FA49" s="3054"/>
      <c r="FB49" s="3054"/>
      <c r="FC49" s="3054"/>
      <c r="FD49" s="3054"/>
      <c r="FE49" s="3054"/>
      <c r="FF49" s="3054"/>
      <c r="FG49" s="3054"/>
      <c r="FH49" s="1988">
        <f t="shared" ref="FH49:FH57" si="4">CB49-EF49</f>
        <v>63718504</v>
      </c>
      <c r="FI49" s="1988"/>
      <c r="FJ49" s="1988"/>
      <c r="FK49" s="1988"/>
      <c r="FL49" s="1988"/>
      <c r="FM49" s="1988"/>
      <c r="FN49" s="1988"/>
      <c r="FO49" s="1988"/>
      <c r="FP49" s="1988"/>
      <c r="FQ49" s="1988"/>
      <c r="FR49" s="1988"/>
      <c r="FS49" s="1988"/>
      <c r="FT49" s="1988"/>
      <c r="FU49" s="1988"/>
      <c r="FV49" s="1988"/>
      <c r="FW49" s="1988"/>
      <c r="FX49" s="1988"/>
      <c r="FY49" s="1988"/>
      <c r="FZ49" s="1988"/>
      <c r="GA49" s="1988"/>
      <c r="GB49" s="1988"/>
      <c r="GC49" s="1988"/>
      <c r="GD49" s="1988"/>
      <c r="GE49" s="1988"/>
      <c r="GF49" s="1988"/>
      <c r="GG49" s="1988"/>
      <c r="GH49" s="1988"/>
      <c r="GI49" s="1988"/>
    </row>
    <row r="50" spans="1:191" s="166" customFormat="1" ht="26.25" customHeight="1">
      <c r="A50" s="2002"/>
      <c r="B50" s="2002"/>
      <c r="C50" s="2002"/>
      <c r="D50" s="2002"/>
      <c r="E50" s="2002"/>
      <c r="F50" s="2002"/>
      <c r="G50" s="2002"/>
      <c r="H50" s="2002"/>
      <c r="I50" s="2002"/>
      <c r="J50" s="2002"/>
      <c r="K50" s="188"/>
      <c r="L50" s="189"/>
      <c r="M50" s="1995" t="s">
        <v>434</v>
      </c>
      <c r="N50" s="1995"/>
      <c r="O50" s="1995"/>
      <c r="P50" s="1995"/>
      <c r="Q50" s="1995"/>
      <c r="R50" s="1995"/>
      <c r="S50" s="1995"/>
      <c r="T50" s="1995"/>
      <c r="U50" s="1995"/>
      <c r="V50" s="1995"/>
      <c r="W50" s="1995"/>
      <c r="X50" s="1995"/>
      <c r="Y50" s="1995"/>
      <c r="Z50" s="1995"/>
      <c r="AA50" s="1995"/>
      <c r="AB50" s="1995"/>
      <c r="AC50" s="1995"/>
      <c r="AD50" s="1995"/>
      <c r="AE50" s="1995"/>
      <c r="AF50" s="1995"/>
      <c r="AG50" s="1995"/>
      <c r="AH50" s="1995"/>
      <c r="AI50" s="1995"/>
      <c r="AJ50" s="1995"/>
      <c r="AK50" s="1995"/>
      <c r="AL50" s="1995"/>
      <c r="AM50" s="1995"/>
      <c r="AN50" s="1995"/>
      <c r="AO50" s="1995"/>
      <c r="AP50" s="1995"/>
      <c r="AQ50" s="1995"/>
      <c r="AR50" s="1995"/>
      <c r="AS50" s="1995"/>
      <c r="AT50" s="1995"/>
      <c r="AU50" s="1995"/>
      <c r="AV50" s="1995"/>
      <c r="AW50" s="1995"/>
      <c r="AX50" s="189"/>
      <c r="AY50" s="197"/>
      <c r="AZ50" s="3053">
        <v>9957000</v>
      </c>
      <c r="BA50" s="3054"/>
      <c r="BB50" s="3054"/>
      <c r="BC50" s="3054"/>
      <c r="BD50" s="3054"/>
      <c r="BE50" s="3054"/>
      <c r="BF50" s="3054"/>
      <c r="BG50" s="3054"/>
      <c r="BH50" s="3054"/>
      <c r="BI50" s="3054"/>
      <c r="BJ50" s="3054"/>
      <c r="BK50" s="3054"/>
      <c r="BL50" s="3054"/>
      <c r="BM50" s="3054"/>
      <c r="BN50" s="3054"/>
      <c r="BO50" s="3054"/>
      <c r="BP50" s="3054"/>
      <c r="BQ50" s="3054"/>
      <c r="BR50" s="3054"/>
      <c r="BS50" s="3054"/>
      <c r="BT50" s="3054"/>
      <c r="BU50" s="3054"/>
      <c r="BV50" s="3054"/>
      <c r="BW50" s="3054"/>
      <c r="BX50" s="3054"/>
      <c r="BY50" s="3054"/>
      <c r="BZ50" s="3054"/>
      <c r="CA50" s="3054"/>
      <c r="CB50" s="3053">
        <v>9189131</v>
      </c>
      <c r="CC50" s="3054"/>
      <c r="CD50" s="3054"/>
      <c r="CE50" s="3054"/>
      <c r="CF50" s="3054"/>
      <c r="CG50" s="3054"/>
      <c r="CH50" s="3054"/>
      <c r="CI50" s="3054"/>
      <c r="CJ50" s="3054"/>
      <c r="CK50" s="3054"/>
      <c r="CL50" s="3054"/>
      <c r="CM50" s="3054"/>
      <c r="CN50" s="3054"/>
      <c r="CO50" s="3054"/>
      <c r="CP50" s="3054"/>
      <c r="CQ50" s="3054"/>
      <c r="CR50" s="3054"/>
      <c r="CS50" s="3054"/>
      <c r="CT50" s="3054"/>
      <c r="CU50" s="3054"/>
      <c r="CV50" s="3054"/>
      <c r="CW50" s="3054"/>
      <c r="CX50" s="3054"/>
      <c r="CY50" s="3054"/>
      <c r="CZ50" s="3054"/>
      <c r="DA50" s="3054"/>
      <c r="DB50" s="3054"/>
      <c r="DC50" s="3054"/>
      <c r="DD50" s="1988">
        <f t="shared" si="3"/>
        <v>-767869</v>
      </c>
      <c r="DE50" s="1988"/>
      <c r="DF50" s="1988"/>
      <c r="DG50" s="1988"/>
      <c r="DH50" s="1988"/>
      <c r="DI50" s="1988"/>
      <c r="DJ50" s="1988"/>
      <c r="DK50" s="1988"/>
      <c r="DL50" s="1988"/>
      <c r="DM50" s="1988"/>
      <c r="DN50" s="1988"/>
      <c r="DO50" s="1988"/>
      <c r="DP50" s="1988"/>
      <c r="DQ50" s="1988"/>
      <c r="DR50" s="1988"/>
      <c r="DS50" s="1988"/>
      <c r="DT50" s="1988"/>
      <c r="DU50" s="1988"/>
      <c r="DV50" s="1988"/>
      <c r="DW50" s="1988"/>
      <c r="DX50" s="1988"/>
      <c r="DY50" s="1988"/>
      <c r="DZ50" s="1988"/>
      <c r="EA50" s="1988"/>
      <c r="EB50" s="1988"/>
      <c r="EC50" s="1988"/>
      <c r="ED50" s="1988"/>
      <c r="EE50" s="1988"/>
      <c r="EF50" s="3054">
        <f>前年度貼付!$E$88</f>
        <v>9157342</v>
      </c>
      <c r="EG50" s="3054"/>
      <c r="EH50" s="3054"/>
      <c r="EI50" s="3054"/>
      <c r="EJ50" s="3054"/>
      <c r="EK50" s="3054"/>
      <c r="EL50" s="3054"/>
      <c r="EM50" s="3054"/>
      <c r="EN50" s="3054"/>
      <c r="EO50" s="3054"/>
      <c r="EP50" s="3054"/>
      <c r="EQ50" s="3054"/>
      <c r="ER50" s="3054"/>
      <c r="ES50" s="3054"/>
      <c r="ET50" s="3054"/>
      <c r="EU50" s="3054"/>
      <c r="EV50" s="3054"/>
      <c r="EW50" s="3054"/>
      <c r="EX50" s="3054"/>
      <c r="EY50" s="3054"/>
      <c r="EZ50" s="3054"/>
      <c r="FA50" s="3054"/>
      <c r="FB50" s="3054"/>
      <c r="FC50" s="3054"/>
      <c r="FD50" s="3054"/>
      <c r="FE50" s="3054"/>
      <c r="FF50" s="3054"/>
      <c r="FG50" s="3054"/>
      <c r="FH50" s="1988">
        <f t="shared" si="4"/>
        <v>31789</v>
      </c>
      <c r="FI50" s="1988"/>
      <c r="FJ50" s="1988"/>
      <c r="FK50" s="1988"/>
      <c r="FL50" s="1988"/>
      <c r="FM50" s="1988"/>
      <c r="FN50" s="1988"/>
      <c r="FO50" s="1988"/>
      <c r="FP50" s="1988"/>
      <c r="FQ50" s="1988"/>
      <c r="FR50" s="1988"/>
      <c r="FS50" s="1988"/>
      <c r="FT50" s="1988"/>
      <c r="FU50" s="1988"/>
      <c r="FV50" s="1988"/>
      <c r="FW50" s="1988"/>
      <c r="FX50" s="1988"/>
      <c r="FY50" s="1988"/>
      <c r="FZ50" s="1988"/>
      <c r="GA50" s="1988"/>
      <c r="GB50" s="1988"/>
      <c r="GC50" s="1988"/>
      <c r="GD50" s="1988"/>
      <c r="GE50" s="1988"/>
      <c r="GF50" s="1988"/>
      <c r="GG50" s="1988"/>
      <c r="GH50" s="1988"/>
      <c r="GI50" s="1988"/>
    </row>
    <row r="51" spans="1:191" s="166" customFormat="1" ht="24" customHeight="1">
      <c r="A51" s="2002"/>
      <c r="B51" s="2002"/>
      <c r="C51" s="2002"/>
      <c r="D51" s="2002"/>
      <c r="E51" s="2002"/>
      <c r="F51" s="2002"/>
      <c r="G51" s="2002"/>
      <c r="H51" s="2002"/>
      <c r="I51" s="2002"/>
      <c r="J51" s="2002"/>
      <c r="K51" s="188"/>
      <c r="L51" s="189"/>
      <c r="M51" s="1932" t="s">
        <v>53</v>
      </c>
      <c r="N51" s="1932"/>
      <c r="O51" s="1932"/>
      <c r="P51" s="1932"/>
      <c r="Q51" s="1932"/>
      <c r="R51" s="1932"/>
      <c r="S51" s="1932"/>
      <c r="T51" s="1932"/>
      <c r="U51" s="1932"/>
      <c r="V51" s="1932"/>
      <c r="W51" s="1932"/>
      <c r="X51" s="1932"/>
      <c r="Y51" s="1932"/>
      <c r="Z51" s="1932"/>
      <c r="AA51" s="1932"/>
      <c r="AB51" s="1932"/>
      <c r="AC51" s="1932"/>
      <c r="AD51" s="1932"/>
      <c r="AE51" s="1932"/>
      <c r="AF51" s="1932"/>
      <c r="AG51" s="1932"/>
      <c r="AH51" s="1932"/>
      <c r="AI51" s="1932"/>
      <c r="AJ51" s="1932"/>
      <c r="AK51" s="1932"/>
      <c r="AL51" s="1932"/>
      <c r="AM51" s="1932"/>
      <c r="AN51" s="1932"/>
      <c r="AO51" s="1932"/>
      <c r="AP51" s="1932"/>
      <c r="AQ51" s="1932"/>
      <c r="AR51" s="1932"/>
      <c r="AS51" s="1932"/>
      <c r="AT51" s="1932"/>
      <c r="AU51" s="1932"/>
      <c r="AV51" s="1932"/>
      <c r="AW51" s="1932"/>
      <c r="AX51" s="189"/>
      <c r="AY51" s="197"/>
      <c r="AZ51" s="3053">
        <v>15549000</v>
      </c>
      <c r="BA51" s="3054"/>
      <c r="BB51" s="3054"/>
      <c r="BC51" s="3054"/>
      <c r="BD51" s="3054"/>
      <c r="BE51" s="3054"/>
      <c r="BF51" s="3054"/>
      <c r="BG51" s="3054"/>
      <c r="BH51" s="3054"/>
      <c r="BI51" s="3054"/>
      <c r="BJ51" s="3054"/>
      <c r="BK51" s="3054"/>
      <c r="BL51" s="3054"/>
      <c r="BM51" s="3054"/>
      <c r="BN51" s="3054"/>
      <c r="BO51" s="3054"/>
      <c r="BP51" s="3054"/>
      <c r="BQ51" s="3054"/>
      <c r="BR51" s="3054"/>
      <c r="BS51" s="3054"/>
      <c r="BT51" s="3054"/>
      <c r="BU51" s="3054"/>
      <c r="BV51" s="3054"/>
      <c r="BW51" s="3054"/>
      <c r="BX51" s="3054"/>
      <c r="BY51" s="3054"/>
      <c r="BZ51" s="3054"/>
      <c r="CA51" s="3054"/>
      <c r="CB51" s="3053">
        <v>10108630</v>
      </c>
      <c r="CC51" s="3054"/>
      <c r="CD51" s="3054"/>
      <c r="CE51" s="3054"/>
      <c r="CF51" s="3054"/>
      <c r="CG51" s="3054"/>
      <c r="CH51" s="3054"/>
      <c r="CI51" s="3054"/>
      <c r="CJ51" s="3054"/>
      <c r="CK51" s="3054"/>
      <c r="CL51" s="3054"/>
      <c r="CM51" s="3054"/>
      <c r="CN51" s="3054"/>
      <c r="CO51" s="3054"/>
      <c r="CP51" s="3054"/>
      <c r="CQ51" s="3054"/>
      <c r="CR51" s="3054"/>
      <c r="CS51" s="3054"/>
      <c r="CT51" s="3054"/>
      <c r="CU51" s="3054"/>
      <c r="CV51" s="3054"/>
      <c r="CW51" s="3054"/>
      <c r="CX51" s="3054"/>
      <c r="CY51" s="3054"/>
      <c r="CZ51" s="3054"/>
      <c r="DA51" s="3054"/>
      <c r="DB51" s="3054"/>
      <c r="DC51" s="3054"/>
      <c r="DD51" s="1988">
        <f t="shared" si="3"/>
        <v>-5440370</v>
      </c>
      <c r="DE51" s="1988"/>
      <c r="DF51" s="1988"/>
      <c r="DG51" s="1988"/>
      <c r="DH51" s="1988"/>
      <c r="DI51" s="1988"/>
      <c r="DJ51" s="1988"/>
      <c r="DK51" s="1988"/>
      <c r="DL51" s="1988"/>
      <c r="DM51" s="1988"/>
      <c r="DN51" s="1988"/>
      <c r="DO51" s="1988"/>
      <c r="DP51" s="1988"/>
      <c r="DQ51" s="1988"/>
      <c r="DR51" s="1988"/>
      <c r="DS51" s="1988"/>
      <c r="DT51" s="1988"/>
      <c r="DU51" s="1988"/>
      <c r="DV51" s="1988"/>
      <c r="DW51" s="1988"/>
      <c r="DX51" s="1988"/>
      <c r="DY51" s="1988"/>
      <c r="DZ51" s="1988"/>
      <c r="EA51" s="1988"/>
      <c r="EB51" s="1988"/>
      <c r="EC51" s="1988"/>
      <c r="ED51" s="1988"/>
      <c r="EE51" s="1988"/>
      <c r="EF51" s="3054">
        <f>前年度貼付!$E$89</f>
        <v>14713620</v>
      </c>
      <c r="EG51" s="3054"/>
      <c r="EH51" s="3054"/>
      <c r="EI51" s="3054"/>
      <c r="EJ51" s="3054"/>
      <c r="EK51" s="3054"/>
      <c r="EL51" s="3054"/>
      <c r="EM51" s="3054"/>
      <c r="EN51" s="3054"/>
      <c r="EO51" s="3054"/>
      <c r="EP51" s="3054"/>
      <c r="EQ51" s="3054"/>
      <c r="ER51" s="3054"/>
      <c r="ES51" s="3054"/>
      <c r="ET51" s="3054"/>
      <c r="EU51" s="3054"/>
      <c r="EV51" s="3054"/>
      <c r="EW51" s="3054"/>
      <c r="EX51" s="3054"/>
      <c r="EY51" s="3054"/>
      <c r="EZ51" s="3054"/>
      <c r="FA51" s="3054"/>
      <c r="FB51" s="3054"/>
      <c r="FC51" s="3054"/>
      <c r="FD51" s="3054"/>
      <c r="FE51" s="3054"/>
      <c r="FF51" s="3054"/>
      <c r="FG51" s="3054"/>
      <c r="FH51" s="1988">
        <f t="shared" si="4"/>
        <v>-4604990</v>
      </c>
      <c r="FI51" s="1988"/>
      <c r="FJ51" s="1988"/>
      <c r="FK51" s="1988"/>
      <c r="FL51" s="1988"/>
      <c r="FM51" s="1988"/>
      <c r="FN51" s="1988"/>
      <c r="FO51" s="1988"/>
      <c r="FP51" s="1988"/>
      <c r="FQ51" s="1988"/>
      <c r="FR51" s="1988"/>
      <c r="FS51" s="1988"/>
      <c r="FT51" s="1988"/>
      <c r="FU51" s="1988"/>
      <c r="FV51" s="1988"/>
      <c r="FW51" s="1988"/>
      <c r="FX51" s="1988"/>
      <c r="FY51" s="1988"/>
      <c r="FZ51" s="1988"/>
      <c r="GA51" s="1988"/>
      <c r="GB51" s="1988"/>
      <c r="GC51" s="1988"/>
      <c r="GD51" s="1988"/>
      <c r="GE51" s="1988"/>
      <c r="GF51" s="1988"/>
      <c r="GG51" s="1988"/>
      <c r="GH51" s="1988"/>
      <c r="GI51" s="1988"/>
    </row>
    <row r="52" spans="1:191" s="166" customFormat="1" ht="24" customHeight="1">
      <c r="A52" s="2002"/>
      <c r="B52" s="2002"/>
      <c r="C52" s="2002"/>
      <c r="D52" s="2002"/>
      <c r="E52" s="2002"/>
      <c r="F52" s="2002"/>
      <c r="G52" s="2002"/>
      <c r="H52" s="2002"/>
      <c r="I52" s="2002"/>
      <c r="J52" s="2002"/>
      <c r="K52" s="188"/>
      <c r="L52" s="189"/>
      <c r="M52" s="1932" t="s">
        <v>54</v>
      </c>
      <c r="N52" s="1932"/>
      <c r="O52" s="1932"/>
      <c r="P52" s="1932"/>
      <c r="Q52" s="1932"/>
      <c r="R52" s="1932"/>
      <c r="S52" s="1932"/>
      <c r="T52" s="1932"/>
      <c r="U52" s="1932"/>
      <c r="V52" s="1932"/>
      <c r="W52" s="1932"/>
      <c r="X52" s="1932"/>
      <c r="Y52" s="1932"/>
      <c r="Z52" s="1932"/>
      <c r="AA52" s="1932"/>
      <c r="AB52" s="1932"/>
      <c r="AC52" s="1932"/>
      <c r="AD52" s="1932"/>
      <c r="AE52" s="1932"/>
      <c r="AF52" s="1932"/>
      <c r="AG52" s="1932"/>
      <c r="AH52" s="1932"/>
      <c r="AI52" s="1932"/>
      <c r="AJ52" s="1932"/>
      <c r="AK52" s="1932"/>
      <c r="AL52" s="1932"/>
      <c r="AM52" s="1932"/>
      <c r="AN52" s="1932"/>
      <c r="AO52" s="1932"/>
      <c r="AP52" s="1932"/>
      <c r="AQ52" s="1932"/>
      <c r="AR52" s="1932"/>
      <c r="AS52" s="1932"/>
      <c r="AT52" s="1932"/>
      <c r="AU52" s="1932"/>
      <c r="AV52" s="1932"/>
      <c r="AW52" s="1932"/>
      <c r="AX52" s="189"/>
      <c r="AY52" s="197"/>
      <c r="AZ52" s="3053">
        <v>1296961000</v>
      </c>
      <c r="BA52" s="3054"/>
      <c r="BB52" s="3054"/>
      <c r="BC52" s="3054"/>
      <c r="BD52" s="3054"/>
      <c r="BE52" s="3054"/>
      <c r="BF52" s="3054"/>
      <c r="BG52" s="3054"/>
      <c r="BH52" s="3054"/>
      <c r="BI52" s="3054"/>
      <c r="BJ52" s="3054"/>
      <c r="BK52" s="3054"/>
      <c r="BL52" s="3054"/>
      <c r="BM52" s="3054"/>
      <c r="BN52" s="3054"/>
      <c r="BO52" s="3054"/>
      <c r="BP52" s="3054"/>
      <c r="BQ52" s="3054"/>
      <c r="BR52" s="3054"/>
      <c r="BS52" s="3054"/>
      <c r="BT52" s="3054"/>
      <c r="BU52" s="3054"/>
      <c r="BV52" s="3054"/>
      <c r="BW52" s="3054"/>
      <c r="BX52" s="3054"/>
      <c r="BY52" s="3054"/>
      <c r="BZ52" s="3054"/>
      <c r="CA52" s="3054"/>
      <c r="CB52" s="3053">
        <v>1228428283</v>
      </c>
      <c r="CC52" s="3054"/>
      <c r="CD52" s="3054"/>
      <c r="CE52" s="3054"/>
      <c r="CF52" s="3054"/>
      <c r="CG52" s="3054"/>
      <c r="CH52" s="3054"/>
      <c r="CI52" s="3054"/>
      <c r="CJ52" s="3054"/>
      <c r="CK52" s="3054"/>
      <c r="CL52" s="3054"/>
      <c r="CM52" s="3054"/>
      <c r="CN52" s="3054"/>
      <c r="CO52" s="3054"/>
      <c r="CP52" s="3054"/>
      <c r="CQ52" s="3054"/>
      <c r="CR52" s="3054"/>
      <c r="CS52" s="3054"/>
      <c r="CT52" s="3054"/>
      <c r="CU52" s="3054"/>
      <c r="CV52" s="3054"/>
      <c r="CW52" s="3054"/>
      <c r="CX52" s="3054"/>
      <c r="CY52" s="3054"/>
      <c r="CZ52" s="3054"/>
      <c r="DA52" s="3054"/>
      <c r="DB52" s="3054"/>
      <c r="DC52" s="3054"/>
      <c r="DD52" s="1988">
        <f t="shared" si="3"/>
        <v>-68532717</v>
      </c>
      <c r="DE52" s="1988"/>
      <c r="DF52" s="1988"/>
      <c r="DG52" s="1988"/>
      <c r="DH52" s="1988"/>
      <c r="DI52" s="1988"/>
      <c r="DJ52" s="1988"/>
      <c r="DK52" s="1988"/>
      <c r="DL52" s="1988"/>
      <c r="DM52" s="1988"/>
      <c r="DN52" s="1988"/>
      <c r="DO52" s="1988"/>
      <c r="DP52" s="1988"/>
      <c r="DQ52" s="1988"/>
      <c r="DR52" s="1988"/>
      <c r="DS52" s="1988"/>
      <c r="DT52" s="1988"/>
      <c r="DU52" s="1988"/>
      <c r="DV52" s="1988"/>
      <c r="DW52" s="1988"/>
      <c r="DX52" s="1988"/>
      <c r="DY52" s="1988"/>
      <c r="DZ52" s="1988"/>
      <c r="EA52" s="1988"/>
      <c r="EB52" s="1988"/>
      <c r="EC52" s="1988"/>
      <c r="ED52" s="1988"/>
      <c r="EE52" s="1988"/>
      <c r="EF52" s="3054">
        <f>前年度貼付!$E$90</f>
        <v>1206371250</v>
      </c>
      <c r="EG52" s="3054"/>
      <c r="EH52" s="3054"/>
      <c r="EI52" s="3054"/>
      <c r="EJ52" s="3054"/>
      <c r="EK52" s="3054"/>
      <c r="EL52" s="3054"/>
      <c r="EM52" s="3054"/>
      <c r="EN52" s="3054"/>
      <c r="EO52" s="3054"/>
      <c r="EP52" s="3054"/>
      <c r="EQ52" s="3054"/>
      <c r="ER52" s="3054"/>
      <c r="ES52" s="3054"/>
      <c r="ET52" s="3054"/>
      <c r="EU52" s="3054"/>
      <c r="EV52" s="3054"/>
      <c r="EW52" s="3054"/>
      <c r="EX52" s="3054"/>
      <c r="EY52" s="3054"/>
      <c r="EZ52" s="3054"/>
      <c r="FA52" s="3054"/>
      <c r="FB52" s="3054"/>
      <c r="FC52" s="3054"/>
      <c r="FD52" s="3054"/>
      <c r="FE52" s="3054"/>
      <c r="FF52" s="3054"/>
      <c r="FG52" s="3054"/>
      <c r="FH52" s="1988">
        <f t="shared" si="4"/>
        <v>22057033</v>
      </c>
      <c r="FI52" s="1988"/>
      <c r="FJ52" s="1988"/>
      <c r="FK52" s="1988"/>
      <c r="FL52" s="1988"/>
      <c r="FM52" s="1988"/>
      <c r="FN52" s="1988"/>
      <c r="FO52" s="1988"/>
      <c r="FP52" s="1988"/>
      <c r="FQ52" s="1988"/>
      <c r="FR52" s="1988"/>
      <c r="FS52" s="1988"/>
      <c r="FT52" s="1988"/>
      <c r="FU52" s="1988"/>
      <c r="FV52" s="1988"/>
      <c r="FW52" s="1988"/>
      <c r="FX52" s="1988"/>
      <c r="FY52" s="1988"/>
      <c r="FZ52" s="1988"/>
      <c r="GA52" s="1988"/>
      <c r="GB52" s="1988"/>
      <c r="GC52" s="1988"/>
      <c r="GD52" s="1988"/>
      <c r="GE52" s="1988"/>
      <c r="GF52" s="1988"/>
      <c r="GG52" s="1988"/>
      <c r="GH52" s="1988"/>
      <c r="GI52" s="1988"/>
    </row>
    <row r="53" spans="1:191" s="166" customFormat="1" ht="24" customHeight="1">
      <c r="A53" s="2002"/>
      <c r="B53" s="2002"/>
      <c r="C53" s="2002"/>
      <c r="D53" s="2002"/>
      <c r="E53" s="2002"/>
      <c r="F53" s="2002"/>
      <c r="G53" s="2002"/>
      <c r="H53" s="2002"/>
      <c r="I53" s="2002"/>
      <c r="J53" s="2002"/>
      <c r="K53" s="188"/>
      <c r="L53" s="189"/>
      <c r="M53" s="2011" t="s">
        <v>55</v>
      </c>
      <c r="N53" s="2011"/>
      <c r="O53" s="2011"/>
      <c r="P53" s="2011"/>
      <c r="Q53" s="2011"/>
      <c r="R53" s="2011"/>
      <c r="S53" s="2011"/>
      <c r="T53" s="2011"/>
      <c r="U53" s="2011"/>
      <c r="V53" s="2011"/>
      <c r="W53" s="2011"/>
      <c r="X53" s="2011"/>
      <c r="Y53" s="2011"/>
      <c r="Z53" s="2011"/>
      <c r="AA53" s="2011"/>
      <c r="AB53" s="2011"/>
      <c r="AC53" s="2011"/>
      <c r="AD53" s="2011"/>
      <c r="AE53" s="2011"/>
      <c r="AF53" s="2011"/>
      <c r="AG53" s="2011"/>
      <c r="AH53" s="2011"/>
      <c r="AI53" s="2011"/>
      <c r="AJ53" s="2011"/>
      <c r="AK53" s="2011"/>
      <c r="AL53" s="2011"/>
      <c r="AM53" s="2011"/>
      <c r="AN53" s="2011"/>
      <c r="AO53" s="2011"/>
      <c r="AP53" s="2011"/>
      <c r="AQ53" s="2011"/>
      <c r="AR53" s="2011"/>
      <c r="AS53" s="2011"/>
      <c r="AT53" s="2011"/>
      <c r="AU53" s="2011"/>
      <c r="AV53" s="2011"/>
      <c r="AW53" s="2011"/>
      <c r="AX53" s="189"/>
      <c r="AY53" s="197"/>
      <c r="AZ53" s="3053">
        <v>26966000</v>
      </c>
      <c r="BA53" s="3054"/>
      <c r="BB53" s="3054"/>
      <c r="BC53" s="3054"/>
      <c r="BD53" s="3054"/>
      <c r="BE53" s="3054"/>
      <c r="BF53" s="3054"/>
      <c r="BG53" s="3054"/>
      <c r="BH53" s="3054"/>
      <c r="BI53" s="3054"/>
      <c r="BJ53" s="3054"/>
      <c r="BK53" s="3054"/>
      <c r="BL53" s="3054"/>
      <c r="BM53" s="3054"/>
      <c r="BN53" s="3054"/>
      <c r="BO53" s="3054"/>
      <c r="BP53" s="3054"/>
      <c r="BQ53" s="3054"/>
      <c r="BR53" s="3054"/>
      <c r="BS53" s="3054"/>
      <c r="BT53" s="3054"/>
      <c r="BU53" s="3054"/>
      <c r="BV53" s="3054"/>
      <c r="BW53" s="3054"/>
      <c r="BX53" s="3054"/>
      <c r="BY53" s="3054"/>
      <c r="BZ53" s="3054"/>
      <c r="CA53" s="3054"/>
      <c r="CB53" s="3053">
        <v>39360367</v>
      </c>
      <c r="CC53" s="3054"/>
      <c r="CD53" s="3054"/>
      <c r="CE53" s="3054"/>
      <c r="CF53" s="3054"/>
      <c r="CG53" s="3054"/>
      <c r="CH53" s="3054"/>
      <c r="CI53" s="3054"/>
      <c r="CJ53" s="3054"/>
      <c r="CK53" s="3054"/>
      <c r="CL53" s="3054"/>
      <c r="CM53" s="3054"/>
      <c r="CN53" s="3054"/>
      <c r="CO53" s="3054"/>
      <c r="CP53" s="3054"/>
      <c r="CQ53" s="3054"/>
      <c r="CR53" s="3054"/>
      <c r="CS53" s="3054"/>
      <c r="CT53" s="3054"/>
      <c r="CU53" s="3054"/>
      <c r="CV53" s="3054"/>
      <c r="CW53" s="3054"/>
      <c r="CX53" s="3054"/>
      <c r="CY53" s="3054"/>
      <c r="CZ53" s="3054"/>
      <c r="DA53" s="3054"/>
      <c r="DB53" s="3054"/>
      <c r="DC53" s="3054"/>
      <c r="DD53" s="1988">
        <f t="shared" si="3"/>
        <v>12394367</v>
      </c>
      <c r="DE53" s="1988"/>
      <c r="DF53" s="1988"/>
      <c r="DG53" s="1988"/>
      <c r="DH53" s="1988"/>
      <c r="DI53" s="1988"/>
      <c r="DJ53" s="1988"/>
      <c r="DK53" s="1988"/>
      <c r="DL53" s="1988"/>
      <c r="DM53" s="1988"/>
      <c r="DN53" s="1988"/>
      <c r="DO53" s="1988"/>
      <c r="DP53" s="1988"/>
      <c r="DQ53" s="1988"/>
      <c r="DR53" s="1988"/>
      <c r="DS53" s="1988"/>
      <c r="DT53" s="1988"/>
      <c r="DU53" s="1988"/>
      <c r="DV53" s="1988"/>
      <c r="DW53" s="1988"/>
      <c r="DX53" s="1988"/>
      <c r="DY53" s="1988"/>
      <c r="DZ53" s="1988"/>
      <c r="EA53" s="1988"/>
      <c r="EB53" s="1988"/>
      <c r="EC53" s="1988"/>
      <c r="ED53" s="1988"/>
      <c r="EE53" s="1988"/>
      <c r="EF53" s="3054">
        <f>前年度貼付!$E$91</f>
        <v>27470107</v>
      </c>
      <c r="EG53" s="3054"/>
      <c r="EH53" s="3054"/>
      <c r="EI53" s="3054"/>
      <c r="EJ53" s="3054"/>
      <c r="EK53" s="3054"/>
      <c r="EL53" s="3054"/>
      <c r="EM53" s="3054"/>
      <c r="EN53" s="3054"/>
      <c r="EO53" s="3054"/>
      <c r="EP53" s="3054"/>
      <c r="EQ53" s="3054"/>
      <c r="ER53" s="3054"/>
      <c r="ES53" s="3054"/>
      <c r="ET53" s="3054"/>
      <c r="EU53" s="3054"/>
      <c r="EV53" s="3054"/>
      <c r="EW53" s="3054"/>
      <c r="EX53" s="3054"/>
      <c r="EY53" s="3054"/>
      <c r="EZ53" s="3054"/>
      <c r="FA53" s="3054"/>
      <c r="FB53" s="3054"/>
      <c r="FC53" s="3054"/>
      <c r="FD53" s="3054"/>
      <c r="FE53" s="3054"/>
      <c r="FF53" s="3054"/>
      <c r="FG53" s="3054"/>
      <c r="FH53" s="1988">
        <f t="shared" si="4"/>
        <v>11890260</v>
      </c>
      <c r="FI53" s="1988"/>
      <c r="FJ53" s="1988"/>
      <c r="FK53" s="1988"/>
      <c r="FL53" s="1988"/>
      <c r="FM53" s="1988"/>
      <c r="FN53" s="1988"/>
      <c r="FO53" s="1988"/>
      <c r="FP53" s="1988"/>
      <c r="FQ53" s="1988"/>
      <c r="FR53" s="1988"/>
      <c r="FS53" s="1988"/>
      <c r="FT53" s="1988"/>
      <c r="FU53" s="1988"/>
      <c r="FV53" s="1988"/>
      <c r="FW53" s="1988"/>
      <c r="FX53" s="1988"/>
      <c r="FY53" s="1988"/>
      <c r="FZ53" s="1988"/>
      <c r="GA53" s="1988"/>
      <c r="GB53" s="1988"/>
      <c r="GC53" s="1988"/>
      <c r="GD53" s="1988"/>
      <c r="GE53" s="1988"/>
      <c r="GF53" s="1988"/>
      <c r="GG53" s="1988"/>
      <c r="GH53" s="1988"/>
      <c r="GI53" s="1988"/>
    </row>
    <row r="54" spans="1:191" s="166" customFormat="1" ht="24" customHeight="1">
      <c r="A54" s="2002"/>
      <c r="B54" s="2002"/>
      <c r="C54" s="2002"/>
      <c r="D54" s="2002"/>
      <c r="E54" s="2002"/>
      <c r="F54" s="2002"/>
      <c r="G54" s="2002"/>
      <c r="H54" s="2002"/>
      <c r="I54" s="2002"/>
      <c r="J54" s="2002"/>
      <c r="K54" s="188"/>
      <c r="L54" s="189"/>
      <c r="M54" s="1932" t="s">
        <v>56</v>
      </c>
      <c r="N54" s="1932"/>
      <c r="O54" s="1932"/>
      <c r="P54" s="1932"/>
      <c r="Q54" s="1932"/>
      <c r="R54" s="1932"/>
      <c r="S54" s="1932"/>
      <c r="T54" s="1932"/>
      <c r="U54" s="1932"/>
      <c r="V54" s="1932"/>
      <c r="W54" s="1932"/>
      <c r="X54" s="1932"/>
      <c r="Y54" s="1932"/>
      <c r="Z54" s="1932"/>
      <c r="AA54" s="1932"/>
      <c r="AB54" s="1932"/>
      <c r="AC54" s="1932"/>
      <c r="AD54" s="1932"/>
      <c r="AE54" s="1932"/>
      <c r="AF54" s="1932"/>
      <c r="AG54" s="1932"/>
      <c r="AH54" s="1932"/>
      <c r="AI54" s="1932"/>
      <c r="AJ54" s="1932"/>
      <c r="AK54" s="1932"/>
      <c r="AL54" s="1932"/>
      <c r="AM54" s="1932"/>
      <c r="AN54" s="1932"/>
      <c r="AO54" s="1932"/>
      <c r="AP54" s="1932"/>
      <c r="AQ54" s="1932"/>
      <c r="AR54" s="1932"/>
      <c r="AS54" s="1932"/>
      <c r="AT54" s="1932"/>
      <c r="AU54" s="1932"/>
      <c r="AV54" s="1932"/>
      <c r="AW54" s="1932"/>
      <c r="AX54" s="189"/>
      <c r="AY54" s="197"/>
      <c r="AZ54" s="3053">
        <v>392687000</v>
      </c>
      <c r="BA54" s="3054"/>
      <c r="BB54" s="3054"/>
      <c r="BC54" s="3054"/>
      <c r="BD54" s="3054"/>
      <c r="BE54" s="3054"/>
      <c r="BF54" s="3054"/>
      <c r="BG54" s="3054"/>
      <c r="BH54" s="3054"/>
      <c r="BI54" s="3054"/>
      <c r="BJ54" s="3054"/>
      <c r="BK54" s="3054"/>
      <c r="BL54" s="3054"/>
      <c r="BM54" s="3054"/>
      <c r="BN54" s="3054"/>
      <c r="BO54" s="3054"/>
      <c r="BP54" s="3054"/>
      <c r="BQ54" s="3054"/>
      <c r="BR54" s="3054"/>
      <c r="BS54" s="3054"/>
      <c r="BT54" s="3054"/>
      <c r="BU54" s="3054"/>
      <c r="BV54" s="3054"/>
      <c r="BW54" s="3054"/>
      <c r="BX54" s="3054"/>
      <c r="BY54" s="3054"/>
      <c r="BZ54" s="3054"/>
      <c r="CA54" s="3054"/>
      <c r="CB54" s="3053">
        <v>381627185</v>
      </c>
      <c r="CC54" s="3054"/>
      <c r="CD54" s="3054"/>
      <c r="CE54" s="3054"/>
      <c r="CF54" s="3054"/>
      <c r="CG54" s="3054"/>
      <c r="CH54" s="3054"/>
      <c r="CI54" s="3054"/>
      <c r="CJ54" s="3054"/>
      <c r="CK54" s="3054"/>
      <c r="CL54" s="3054"/>
      <c r="CM54" s="3054"/>
      <c r="CN54" s="3054"/>
      <c r="CO54" s="3054"/>
      <c r="CP54" s="3054"/>
      <c r="CQ54" s="3054"/>
      <c r="CR54" s="3054"/>
      <c r="CS54" s="3054"/>
      <c r="CT54" s="3054"/>
      <c r="CU54" s="3054"/>
      <c r="CV54" s="3054"/>
      <c r="CW54" s="3054"/>
      <c r="CX54" s="3054"/>
      <c r="CY54" s="3054"/>
      <c r="CZ54" s="3054"/>
      <c r="DA54" s="3054"/>
      <c r="DB54" s="3054"/>
      <c r="DC54" s="3054"/>
      <c r="DD54" s="1988">
        <f t="shared" si="3"/>
        <v>-11059815</v>
      </c>
      <c r="DE54" s="1988"/>
      <c r="DF54" s="1988"/>
      <c r="DG54" s="1988"/>
      <c r="DH54" s="1988"/>
      <c r="DI54" s="1988"/>
      <c r="DJ54" s="1988"/>
      <c r="DK54" s="1988"/>
      <c r="DL54" s="1988"/>
      <c r="DM54" s="1988"/>
      <c r="DN54" s="1988"/>
      <c r="DO54" s="1988"/>
      <c r="DP54" s="1988"/>
      <c r="DQ54" s="1988"/>
      <c r="DR54" s="1988"/>
      <c r="DS54" s="1988"/>
      <c r="DT54" s="1988"/>
      <c r="DU54" s="1988"/>
      <c r="DV54" s="1988"/>
      <c r="DW54" s="1988"/>
      <c r="DX54" s="1988"/>
      <c r="DY54" s="1988"/>
      <c r="DZ54" s="1988"/>
      <c r="EA54" s="1988"/>
      <c r="EB54" s="1988"/>
      <c r="EC54" s="1988"/>
      <c r="ED54" s="1988"/>
      <c r="EE54" s="1988"/>
      <c r="EF54" s="3054">
        <f>前年度貼付!$E$92</f>
        <v>359559292</v>
      </c>
      <c r="EG54" s="3054"/>
      <c r="EH54" s="3054"/>
      <c r="EI54" s="3054"/>
      <c r="EJ54" s="3054"/>
      <c r="EK54" s="3054"/>
      <c r="EL54" s="3054"/>
      <c r="EM54" s="3054"/>
      <c r="EN54" s="3054"/>
      <c r="EO54" s="3054"/>
      <c r="EP54" s="3054"/>
      <c r="EQ54" s="3054"/>
      <c r="ER54" s="3054"/>
      <c r="ES54" s="3054"/>
      <c r="ET54" s="3054"/>
      <c r="EU54" s="3054"/>
      <c r="EV54" s="3054"/>
      <c r="EW54" s="3054"/>
      <c r="EX54" s="3054"/>
      <c r="EY54" s="3054"/>
      <c r="EZ54" s="3054"/>
      <c r="FA54" s="3054"/>
      <c r="FB54" s="3054"/>
      <c r="FC54" s="3054"/>
      <c r="FD54" s="3054"/>
      <c r="FE54" s="3054"/>
      <c r="FF54" s="3054"/>
      <c r="FG54" s="3054"/>
      <c r="FH54" s="1988">
        <f t="shared" si="4"/>
        <v>22067893</v>
      </c>
      <c r="FI54" s="1988"/>
      <c r="FJ54" s="1988"/>
      <c r="FK54" s="1988"/>
      <c r="FL54" s="1988"/>
      <c r="FM54" s="1988"/>
      <c r="FN54" s="1988"/>
      <c r="FO54" s="1988"/>
      <c r="FP54" s="1988"/>
      <c r="FQ54" s="1988"/>
      <c r="FR54" s="1988"/>
      <c r="FS54" s="1988"/>
      <c r="FT54" s="1988"/>
      <c r="FU54" s="1988"/>
      <c r="FV54" s="1988"/>
      <c r="FW54" s="1988"/>
      <c r="FX54" s="1988"/>
      <c r="FY54" s="1988"/>
      <c r="FZ54" s="1988"/>
      <c r="GA54" s="1988"/>
      <c r="GB54" s="1988"/>
      <c r="GC54" s="1988"/>
      <c r="GD54" s="1988"/>
      <c r="GE54" s="1988"/>
      <c r="GF54" s="1988"/>
      <c r="GG54" s="1988"/>
      <c r="GH54" s="1988"/>
      <c r="GI54" s="1988"/>
    </row>
    <row r="55" spans="1:191" s="166" customFormat="1" ht="24" customHeight="1">
      <c r="A55" s="2002"/>
      <c r="B55" s="2002"/>
      <c r="C55" s="2002"/>
      <c r="D55" s="2002"/>
      <c r="E55" s="2002"/>
      <c r="F55" s="2002"/>
      <c r="G55" s="2002"/>
      <c r="H55" s="2002"/>
      <c r="I55" s="2002"/>
      <c r="J55" s="2002"/>
      <c r="K55" s="188"/>
      <c r="L55" s="189"/>
      <c r="M55" s="1932" t="s">
        <v>57</v>
      </c>
      <c r="N55" s="1932"/>
      <c r="O55" s="1932"/>
      <c r="P55" s="1932"/>
      <c r="Q55" s="1932"/>
      <c r="R55" s="1932"/>
      <c r="S55" s="1932"/>
      <c r="T55" s="1932"/>
      <c r="U55" s="1932"/>
      <c r="V55" s="1932"/>
      <c r="W55" s="1932"/>
      <c r="X55" s="1932"/>
      <c r="Y55" s="1932"/>
      <c r="Z55" s="1932"/>
      <c r="AA55" s="1932"/>
      <c r="AB55" s="1932"/>
      <c r="AC55" s="1932"/>
      <c r="AD55" s="1932"/>
      <c r="AE55" s="1932"/>
      <c r="AF55" s="1932"/>
      <c r="AG55" s="1932"/>
      <c r="AH55" s="1932"/>
      <c r="AI55" s="1932"/>
      <c r="AJ55" s="1932"/>
      <c r="AK55" s="1932"/>
      <c r="AL55" s="1932"/>
      <c r="AM55" s="1932"/>
      <c r="AN55" s="1932"/>
      <c r="AO55" s="1932"/>
      <c r="AP55" s="1932"/>
      <c r="AQ55" s="1932"/>
      <c r="AR55" s="1932"/>
      <c r="AS55" s="1932"/>
      <c r="AT55" s="1932"/>
      <c r="AU55" s="1932"/>
      <c r="AV55" s="1932"/>
      <c r="AW55" s="1932"/>
      <c r="AX55" s="189"/>
      <c r="AY55" s="197"/>
      <c r="AZ55" s="3053">
        <v>23978000</v>
      </c>
      <c r="BA55" s="3054"/>
      <c r="BB55" s="3054"/>
      <c r="BC55" s="3054"/>
      <c r="BD55" s="3054"/>
      <c r="BE55" s="3054"/>
      <c r="BF55" s="3054"/>
      <c r="BG55" s="3054"/>
      <c r="BH55" s="3054"/>
      <c r="BI55" s="3054"/>
      <c r="BJ55" s="3054"/>
      <c r="BK55" s="3054"/>
      <c r="BL55" s="3054"/>
      <c r="BM55" s="3054"/>
      <c r="BN55" s="3054"/>
      <c r="BO55" s="3054"/>
      <c r="BP55" s="3054"/>
      <c r="BQ55" s="3054"/>
      <c r="BR55" s="3054"/>
      <c r="BS55" s="3054"/>
      <c r="BT55" s="3054"/>
      <c r="BU55" s="3054"/>
      <c r="BV55" s="3054"/>
      <c r="BW55" s="3054"/>
      <c r="BX55" s="3054"/>
      <c r="BY55" s="3054"/>
      <c r="BZ55" s="3054"/>
      <c r="CA55" s="3054"/>
      <c r="CB55" s="3053">
        <v>23086688</v>
      </c>
      <c r="CC55" s="3054"/>
      <c r="CD55" s="3054"/>
      <c r="CE55" s="3054"/>
      <c r="CF55" s="3054"/>
      <c r="CG55" s="3054"/>
      <c r="CH55" s="3054"/>
      <c r="CI55" s="3054"/>
      <c r="CJ55" s="3054"/>
      <c r="CK55" s="3054"/>
      <c r="CL55" s="3054"/>
      <c r="CM55" s="3054"/>
      <c r="CN55" s="3054"/>
      <c r="CO55" s="3054"/>
      <c r="CP55" s="3054"/>
      <c r="CQ55" s="3054"/>
      <c r="CR55" s="3054"/>
      <c r="CS55" s="3054"/>
      <c r="CT55" s="3054"/>
      <c r="CU55" s="3054"/>
      <c r="CV55" s="3054"/>
      <c r="CW55" s="3054"/>
      <c r="CX55" s="3054"/>
      <c r="CY55" s="3054"/>
      <c r="CZ55" s="3054"/>
      <c r="DA55" s="3054"/>
      <c r="DB55" s="3054"/>
      <c r="DC55" s="3054"/>
      <c r="DD55" s="1988">
        <f t="shared" si="3"/>
        <v>-891312</v>
      </c>
      <c r="DE55" s="1988"/>
      <c r="DF55" s="1988"/>
      <c r="DG55" s="1988"/>
      <c r="DH55" s="1988"/>
      <c r="DI55" s="1988"/>
      <c r="DJ55" s="1988"/>
      <c r="DK55" s="1988"/>
      <c r="DL55" s="1988"/>
      <c r="DM55" s="1988"/>
      <c r="DN55" s="1988"/>
      <c r="DO55" s="1988"/>
      <c r="DP55" s="1988"/>
      <c r="DQ55" s="1988"/>
      <c r="DR55" s="1988"/>
      <c r="DS55" s="1988"/>
      <c r="DT55" s="1988"/>
      <c r="DU55" s="1988"/>
      <c r="DV55" s="1988"/>
      <c r="DW55" s="1988"/>
      <c r="DX55" s="1988"/>
      <c r="DY55" s="1988"/>
      <c r="DZ55" s="1988"/>
      <c r="EA55" s="1988"/>
      <c r="EB55" s="1988"/>
      <c r="EC55" s="1988"/>
      <c r="ED55" s="1988"/>
      <c r="EE55" s="1988"/>
      <c r="EF55" s="3054">
        <f>前年度貼付!$E$93</f>
        <v>23010577</v>
      </c>
      <c r="EG55" s="3054"/>
      <c r="EH55" s="3054"/>
      <c r="EI55" s="3054"/>
      <c r="EJ55" s="3054"/>
      <c r="EK55" s="3054"/>
      <c r="EL55" s="3054"/>
      <c r="EM55" s="3054"/>
      <c r="EN55" s="3054"/>
      <c r="EO55" s="3054"/>
      <c r="EP55" s="3054"/>
      <c r="EQ55" s="3054"/>
      <c r="ER55" s="3054"/>
      <c r="ES55" s="3054"/>
      <c r="ET55" s="3054"/>
      <c r="EU55" s="3054"/>
      <c r="EV55" s="3054"/>
      <c r="EW55" s="3054"/>
      <c r="EX55" s="3054"/>
      <c r="EY55" s="3054"/>
      <c r="EZ55" s="3054"/>
      <c r="FA55" s="3054"/>
      <c r="FB55" s="3054"/>
      <c r="FC55" s="3054"/>
      <c r="FD55" s="3054"/>
      <c r="FE55" s="3054"/>
      <c r="FF55" s="3054"/>
      <c r="FG55" s="3054"/>
      <c r="FH55" s="1988">
        <f t="shared" si="4"/>
        <v>76111</v>
      </c>
      <c r="FI55" s="1988"/>
      <c r="FJ55" s="1988"/>
      <c r="FK55" s="1988"/>
      <c r="FL55" s="1988"/>
      <c r="FM55" s="1988"/>
      <c r="FN55" s="1988"/>
      <c r="FO55" s="1988"/>
      <c r="FP55" s="1988"/>
      <c r="FQ55" s="1988"/>
      <c r="FR55" s="1988"/>
      <c r="FS55" s="1988"/>
      <c r="FT55" s="1988"/>
      <c r="FU55" s="1988"/>
      <c r="FV55" s="1988"/>
      <c r="FW55" s="1988"/>
      <c r="FX55" s="1988"/>
      <c r="FY55" s="1988"/>
      <c r="FZ55" s="1988"/>
      <c r="GA55" s="1988"/>
      <c r="GB55" s="1988"/>
      <c r="GC55" s="1988"/>
      <c r="GD55" s="1988"/>
      <c r="GE55" s="1988"/>
      <c r="GF55" s="1988"/>
      <c r="GG55" s="1988"/>
      <c r="GH55" s="1988"/>
      <c r="GI55" s="1988"/>
    </row>
    <row r="56" spans="1:191" s="166" customFormat="1" ht="24" customHeight="1">
      <c r="A56" s="2002"/>
      <c r="B56" s="2002"/>
      <c r="C56" s="2002"/>
      <c r="D56" s="2002"/>
      <c r="E56" s="2002"/>
      <c r="F56" s="2002"/>
      <c r="G56" s="2002"/>
      <c r="H56" s="2002"/>
      <c r="I56" s="2002"/>
      <c r="J56" s="2002"/>
      <c r="K56" s="188"/>
      <c r="L56" s="189"/>
      <c r="M56" s="1932" t="s">
        <v>58</v>
      </c>
      <c r="N56" s="1932"/>
      <c r="O56" s="1932"/>
      <c r="P56" s="1932"/>
      <c r="Q56" s="1932"/>
      <c r="R56" s="1932"/>
      <c r="S56" s="1932"/>
      <c r="T56" s="1932"/>
      <c r="U56" s="1932"/>
      <c r="V56" s="1932"/>
      <c r="W56" s="1932"/>
      <c r="X56" s="1932"/>
      <c r="Y56" s="1932"/>
      <c r="Z56" s="1932"/>
      <c r="AA56" s="1932"/>
      <c r="AB56" s="1932"/>
      <c r="AC56" s="1932"/>
      <c r="AD56" s="1932"/>
      <c r="AE56" s="1932"/>
      <c r="AF56" s="1932"/>
      <c r="AG56" s="1932"/>
      <c r="AH56" s="1932"/>
      <c r="AI56" s="1932"/>
      <c r="AJ56" s="1932"/>
      <c r="AK56" s="1932"/>
      <c r="AL56" s="1932"/>
      <c r="AM56" s="1932"/>
      <c r="AN56" s="1932"/>
      <c r="AO56" s="1932"/>
      <c r="AP56" s="1932"/>
      <c r="AQ56" s="1932"/>
      <c r="AR56" s="1932"/>
      <c r="AS56" s="1932"/>
      <c r="AT56" s="1932"/>
      <c r="AU56" s="1932"/>
      <c r="AV56" s="1932"/>
      <c r="AW56" s="1932"/>
      <c r="AX56" s="189"/>
      <c r="AY56" s="197"/>
      <c r="AZ56" s="3053">
        <v>9287000</v>
      </c>
      <c r="BA56" s="3054"/>
      <c r="BB56" s="3054"/>
      <c r="BC56" s="3054"/>
      <c r="BD56" s="3054"/>
      <c r="BE56" s="3054"/>
      <c r="BF56" s="3054"/>
      <c r="BG56" s="3054"/>
      <c r="BH56" s="3054"/>
      <c r="BI56" s="3054"/>
      <c r="BJ56" s="3054"/>
      <c r="BK56" s="3054"/>
      <c r="BL56" s="3054"/>
      <c r="BM56" s="3054"/>
      <c r="BN56" s="3054"/>
      <c r="BO56" s="3054"/>
      <c r="BP56" s="3054"/>
      <c r="BQ56" s="3054"/>
      <c r="BR56" s="3054"/>
      <c r="BS56" s="3054"/>
      <c r="BT56" s="3054"/>
      <c r="BU56" s="3054"/>
      <c r="BV56" s="3054"/>
      <c r="BW56" s="3054"/>
      <c r="BX56" s="3054"/>
      <c r="BY56" s="3054"/>
      <c r="BZ56" s="3054"/>
      <c r="CA56" s="3054"/>
      <c r="CB56" s="3053">
        <v>8090156</v>
      </c>
      <c r="CC56" s="3054"/>
      <c r="CD56" s="3054"/>
      <c r="CE56" s="3054"/>
      <c r="CF56" s="3054"/>
      <c r="CG56" s="3054"/>
      <c r="CH56" s="3054"/>
      <c r="CI56" s="3054"/>
      <c r="CJ56" s="3054"/>
      <c r="CK56" s="3054"/>
      <c r="CL56" s="3054"/>
      <c r="CM56" s="3054"/>
      <c r="CN56" s="3054"/>
      <c r="CO56" s="3054"/>
      <c r="CP56" s="3054"/>
      <c r="CQ56" s="3054"/>
      <c r="CR56" s="3054"/>
      <c r="CS56" s="3054"/>
      <c r="CT56" s="3054"/>
      <c r="CU56" s="3054"/>
      <c r="CV56" s="3054"/>
      <c r="CW56" s="3054"/>
      <c r="CX56" s="3054"/>
      <c r="CY56" s="3054"/>
      <c r="CZ56" s="3054"/>
      <c r="DA56" s="3054"/>
      <c r="DB56" s="3054"/>
      <c r="DC56" s="3054"/>
      <c r="DD56" s="1988">
        <f t="shared" si="3"/>
        <v>-1196844</v>
      </c>
      <c r="DE56" s="1988"/>
      <c r="DF56" s="1988"/>
      <c r="DG56" s="1988"/>
      <c r="DH56" s="1988"/>
      <c r="DI56" s="1988"/>
      <c r="DJ56" s="1988"/>
      <c r="DK56" s="1988"/>
      <c r="DL56" s="1988"/>
      <c r="DM56" s="1988"/>
      <c r="DN56" s="1988"/>
      <c r="DO56" s="1988"/>
      <c r="DP56" s="1988"/>
      <c r="DQ56" s="1988"/>
      <c r="DR56" s="1988"/>
      <c r="DS56" s="1988"/>
      <c r="DT56" s="1988"/>
      <c r="DU56" s="1988"/>
      <c r="DV56" s="1988"/>
      <c r="DW56" s="1988"/>
      <c r="DX56" s="1988"/>
      <c r="DY56" s="1988"/>
      <c r="DZ56" s="1988"/>
      <c r="EA56" s="1988"/>
      <c r="EB56" s="1988"/>
      <c r="EC56" s="1988"/>
      <c r="ED56" s="1988"/>
      <c r="EE56" s="1988"/>
      <c r="EF56" s="3054">
        <f>前年度貼付!$E$94</f>
        <v>8410255</v>
      </c>
      <c r="EG56" s="3054"/>
      <c r="EH56" s="3054"/>
      <c r="EI56" s="3054"/>
      <c r="EJ56" s="3054"/>
      <c r="EK56" s="3054"/>
      <c r="EL56" s="3054"/>
      <c r="EM56" s="3054"/>
      <c r="EN56" s="3054"/>
      <c r="EO56" s="3054"/>
      <c r="EP56" s="3054"/>
      <c r="EQ56" s="3054"/>
      <c r="ER56" s="3054"/>
      <c r="ES56" s="3054"/>
      <c r="ET56" s="3054"/>
      <c r="EU56" s="3054"/>
      <c r="EV56" s="3054"/>
      <c r="EW56" s="3054"/>
      <c r="EX56" s="3054"/>
      <c r="EY56" s="3054"/>
      <c r="EZ56" s="3054"/>
      <c r="FA56" s="3054"/>
      <c r="FB56" s="3054"/>
      <c r="FC56" s="3054"/>
      <c r="FD56" s="3054"/>
      <c r="FE56" s="3054"/>
      <c r="FF56" s="3054"/>
      <c r="FG56" s="3054"/>
      <c r="FH56" s="1988">
        <f t="shared" si="4"/>
        <v>-320099</v>
      </c>
      <c r="FI56" s="1988"/>
      <c r="FJ56" s="1988"/>
      <c r="FK56" s="1988"/>
      <c r="FL56" s="1988"/>
      <c r="FM56" s="1988"/>
      <c r="FN56" s="1988"/>
      <c r="FO56" s="1988"/>
      <c r="FP56" s="1988"/>
      <c r="FQ56" s="1988"/>
      <c r="FR56" s="1988"/>
      <c r="FS56" s="1988"/>
      <c r="FT56" s="1988"/>
      <c r="FU56" s="1988"/>
      <c r="FV56" s="1988"/>
      <c r="FW56" s="1988"/>
      <c r="FX56" s="1988"/>
      <c r="FY56" s="1988"/>
      <c r="FZ56" s="1988"/>
      <c r="GA56" s="1988"/>
      <c r="GB56" s="1988"/>
      <c r="GC56" s="1988"/>
      <c r="GD56" s="1988"/>
      <c r="GE56" s="1988"/>
      <c r="GF56" s="1988"/>
      <c r="GG56" s="1988"/>
      <c r="GH56" s="1988"/>
      <c r="GI56" s="1988"/>
    </row>
    <row r="57" spans="1:191" s="166" customFormat="1" ht="24" customHeight="1">
      <c r="A57" s="2002"/>
      <c r="B57" s="2002"/>
      <c r="C57" s="2002"/>
      <c r="D57" s="2002"/>
      <c r="E57" s="2002"/>
      <c r="F57" s="2002"/>
      <c r="G57" s="2002"/>
      <c r="H57" s="2002"/>
      <c r="I57" s="2002"/>
      <c r="J57" s="2002"/>
      <c r="K57" s="188"/>
      <c r="L57" s="189"/>
      <c r="M57" s="1932" t="s">
        <v>59</v>
      </c>
      <c r="N57" s="1932"/>
      <c r="O57" s="1932"/>
      <c r="P57" s="1932"/>
      <c r="Q57" s="1932"/>
      <c r="R57" s="1932"/>
      <c r="S57" s="1932"/>
      <c r="T57" s="1932"/>
      <c r="U57" s="1932"/>
      <c r="V57" s="1932"/>
      <c r="W57" s="1932"/>
      <c r="X57" s="1932"/>
      <c r="Y57" s="1932"/>
      <c r="Z57" s="1932"/>
      <c r="AA57" s="1932"/>
      <c r="AB57" s="1932"/>
      <c r="AC57" s="1932"/>
      <c r="AD57" s="1932"/>
      <c r="AE57" s="1932"/>
      <c r="AF57" s="1932"/>
      <c r="AG57" s="1932"/>
      <c r="AH57" s="1932"/>
      <c r="AI57" s="1932"/>
      <c r="AJ57" s="1932"/>
      <c r="AK57" s="1932"/>
      <c r="AL57" s="1932"/>
      <c r="AM57" s="1932"/>
      <c r="AN57" s="1932"/>
      <c r="AO57" s="1932"/>
      <c r="AP57" s="1932"/>
      <c r="AQ57" s="1932"/>
      <c r="AR57" s="1932"/>
      <c r="AS57" s="1932"/>
      <c r="AT57" s="1932"/>
      <c r="AU57" s="1932"/>
      <c r="AV57" s="1932"/>
      <c r="AW57" s="1932"/>
      <c r="AX57" s="189"/>
      <c r="AY57" s="197"/>
      <c r="AZ57" s="3053">
        <v>27129000</v>
      </c>
      <c r="BA57" s="3054"/>
      <c r="BB57" s="3054"/>
      <c r="BC57" s="3054"/>
      <c r="BD57" s="3054"/>
      <c r="BE57" s="3054"/>
      <c r="BF57" s="3054"/>
      <c r="BG57" s="3054"/>
      <c r="BH57" s="3054"/>
      <c r="BI57" s="3054"/>
      <c r="BJ57" s="3054"/>
      <c r="BK57" s="3054"/>
      <c r="BL57" s="3054"/>
      <c r="BM57" s="3054"/>
      <c r="BN57" s="3054"/>
      <c r="BO57" s="3054"/>
      <c r="BP57" s="3054"/>
      <c r="BQ57" s="3054"/>
      <c r="BR57" s="3054"/>
      <c r="BS57" s="3054"/>
      <c r="BT57" s="3054"/>
      <c r="BU57" s="3054"/>
      <c r="BV57" s="3054"/>
      <c r="BW57" s="3054"/>
      <c r="BX57" s="3054"/>
      <c r="BY57" s="3054"/>
      <c r="BZ57" s="3054"/>
      <c r="CA57" s="3054"/>
      <c r="CB57" s="3053">
        <v>21842018</v>
      </c>
      <c r="CC57" s="3054"/>
      <c r="CD57" s="3054"/>
      <c r="CE57" s="3054"/>
      <c r="CF57" s="3054"/>
      <c r="CG57" s="3054"/>
      <c r="CH57" s="3054"/>
      <c r="CI57" s="3054"/>
      <c r="CJ57" s="3054"/>
      <c r="CK57" s="3054"/>
      <c r="CL57" s="3054"/>
      <c r="CM57" s="3054"/>
      <c r="CN57" s="3054"/>
      <c r="CO57" s="3054"/>
      <c r="CP57" s="3054"/>
      <c r="CQ57" s="3054"/>
      <c r="CR57" s="3054"/>
      <c r="CS57" s="3054"/>
      <c r="CT57" s="3054"/>
      <c r="CU57" s="3054"/>
      <c r="CV57" s="3054"/>
      <c r="CW57" s="3054"/>
      <c r="CX57" s="3054"/>
      <c r="CY57" s="3054"/>
      <c r="CZ57" s="3054"/>
      <c r="DA57" s="3054"/>
      <c r="DB57" s="3054"/>
      <c r="DC57" s="3054"/>
      <c r="DD57" s="1988">
        <f t="shared" si="3"/>
        <v>-5286982</v>
      </c>
      <c r="DE57" s="1988"/>
      <c r="DF57" s="1988"/>
      <c r="DG57" s="1988"/>
      <c r="DH57" s="1988"/>
      <c r="DI57" s="1988"/>
      <c r="DJ57" s="1988"/>
      <c r="DK57" s="1988"/>
      <c r="DL57" s="1988"/>
      <c r="DM57" s="1988"/>
      <c r="DN57" s="1988"/>
      <c r="DO57" s="1988"/>
      <c r="DP57" s="1988"/>
      <c r="DQ57" s="1988"/>
      <c r="DR57" s="1988"/>
      <c r="DS57" s="1988"/>
      <c r="DT57" s="1988"/>
      <c r="DU57" s="1988"/>
      <c r="DV57" s="1988"/>
      <c r="DW57" s="1988"/>
      <c r="DX57" s="1988"/>
      <c r="DY57" s="1988"/>
      <c r="DZ57" s="1988"/>
      <c r="EA57" s="1988"/>
      <c r="EB57" s="1988"/>
      <c r="EC57" s="1988"/>
      <c r="ED57" s="1988"/>
      <c r="EE57" s="1988"/>
      <c r="EF57" s="3054">
        <f>前年度貼付!$E$95</f>
        <v>23111980</v>
      </c>
      <c r="EG57" s="3054"/>
      <c r="EH57" s="3054"/>
      <c r="EI57" s="3054"/>
      <c r="EJ57" s="3054"/>
      <c r="EK57" s="3054"/>
      <c r="EL57" s="3054"/>
      <c r="EM57" s="3054"/>
      <c r="EN57" s="3054"/>
      <c r="EO57" s="3054"/>
      <c r="EP57" s="3054"/>
      <c r="EQ57" s="3054"/>
      <c r="ER57" s="3054"/>
      <c r="ES57" s="3054"/>
      <c r="ET57" s="3054"/>
      <c r="EU57" s="3054"/>
      <c r="EV57" s="3054"/>
      <c r="EW57" s="3054"/>
      <c r="EX57" s="3054"/>
      <c r="EY57" s="3054"/>
      <c r="EZ57" s="3054"/>
      <c r="FA57" s="3054"/>
      <c r="FB57" s="3054"/>
      <c r="FC57" s="3054"/>
      <c r="FD57" s="3054"/>
      <c r="FE57" s="3054"/>
      <c r="FF57" s="3054"/>
      <c r="FG57" s="3054"/>
      <c r="FH57" s="1988">
        <f t="shared" si="4"/>
        <v>-1269962</v>
      </c>
      <c r="FI57" s="1988"/>
      <c r="FJ57" s="1988"/>
      <c r="FK57" s="1988"/>
      <c r="FL57" s="1988"/>
      <c r="FM57" s="1988"/>
      <c r="FN57" s="1988"/>
      <c r="FO57" s="1988"/>
      <c r="FP57" s="1988"/>
      <c r="FQ57" s="1988"/>
      <c r="FR57" s="1988"/>
      <c r="FS57" s="1988"/>
      <c r="FT57" s="1988"/>
      <c r="FU57" s="1988"/>
      <c r="FV57" s="1988"/>
      <c r="FW57" s="1988"/>
      <c r="FX57" s="1988"/>
      <c r="FY57" s="1988"/>
      <c r="FZ57" s="1988"/>
      <c r="GA57" s="1988"/>
      <c r="GB57" s="1988"/>
      <c r="GC57" s="1988"/>
      <c r="GD57" s="1988"/>
      <c r="GE57" s="1988"/>
      <c r="GF57" s="1988"/>
      <c r="GG57" s="1988"/>
      <c r="GH57" s="1988"/>
      <c r="GI57" s="1988"/>
    </row>
    <row r="58" spans="1:191" s="166" customFormat="1" ht="24" customHeight="1">
      <c r="A58" s="2002"/>
      <c r="B58" s="2002"/>
      <c r="C58" s="2002"/>
      <c r="D58" s="2002"/>
      <c r="E58" s="2002"/>
      <c r="F58" s="2002"/>
      <c r="G58" s="2002"/>
      <c r="H58" s="2002"/>
      <c r="I58" s="2002"/>
      <c r="J58" s="2002"/>
      <c r="K58" s="188"/>
      <c r="L58" s="189"/>
      <c r="M58" s="1932" t="s">
        <v>60</v>
      </c>
      <c r="N58" s="1932"/>
      <c r="O58" s="1932"/>
      <c r="P58" s="1932"/>
      <c r="Q58" s="1932"/>
      <c r="R58" s="1932"/>
      <c r="S58" s="1932"/>
      <c r="T58" s="1932"/>
      <c r="U58" s="1932"/>
      <c r="V58" s="1932"/>
      <c r="W58" s="1932"/>
      <c r="X58" s="1932"/>
      <c r="Y58" s="1932"/>
      <c r="Z58" s="1932"/>
      <c r="AA58" s="1932"/>
      <c r="AB58" s="1932"/>
      <c r="AC58" s="1932"/>
      <c r="AD58" s="1932"/>
      <c r="AE58" s="1932"/>
      <c r="AF58" s="1932"/>
      <c r="AG58" s="1932"/>
      <c r="AH58" s="1932"/>
      <c r="AI58" s="1932"/>
      <c r="AJ58" s="1932"/>
      <c r="AK58" s="1932"/>
      <c r="AL58" s="1932"/>
      <c r="AM58" s="1932"/>
      <c r="AN58" s="1932"/>
      <c r="AO58" s="1932"/>
      <c r="AP58" s="1932"/>
      <c r="AQ58" s="1932"/>
      <c r="AR58" s="1932"/>
      <c r="AS58" s="1932"/>
      <c r="AT58" s="1932"/>
      <c r="AU58" s="1932"/>
      <c r="AV58" s="1932"/>
      <c r="AW58" s="1932"/>
      <c r="AX58" s="189"/>
      <c r="AY58" s="197"/>
      <c r="AZ58" s="3053">
        <v>0</v>
      </c>
      <c r="BA58" s="3054"/>
      <c r="BB58" s="3054"/>
      <c r="BC58" s="3054"/>
      <c r="BD58" s="3054"/>
      <c r="BE58" s="3054"/>
      <c r="BF58" s="3054"/>
      <c r="BG58" s="3054"/>
      <c r="BH58" s="3054"/>
      <c r="BI58" s="3054"/>
      <c r="BJ58" s="3054"/>
      <c r="BK58" s="3054"/>
      <c r="BL58" s="3054"/>
      <c r="BM58" s="3054"/>
      <c r="BN58" s="3054"/>
      <c r="BO58" s="3054"/>
      <c r="BP58" s="3054"/>
      <c r="BQ58" s="3054"/>
      <c r="BR58" s="3054"/>
      <c r="BS58" s="3054"/>
      <c r="BT58" s="3054"/>
      <c r="BU58" s="3054"/>
      <c r="BV58" s="3054"/>
      <c r="BW58" s="3054"/>
      <c r="BX58" s="3054"/>
      <c r="BY58" s="3054"/>
      <c r="BZ58" s="3054"/>
      <c r="CA58" s="3054"/>
      <c r="CB58" s="3053">
        <v>0</v>
      </c>
      <c r="CC58" s="3054"/>
      <c r="CD58" s="3054"/>
      <c r="CE58" s="3054"/>
      <c r="CF58" s="3054"/>
      <c r="CG58" s="3054"/>
      <c r="CH58" s="3054"/>
      <c r="CI58" s="3054"/>
      <c r="CJ58" s="3054"/>
      <c r="CK58" s="3054"/>
      <c r="CL58" s="3054"/>
      <c r="CM58" s="3054"/>
      <c r="CN58" s="3054"/>
      <c r="CO58" s="3054"/>
      <c r="CP58" s="3054"/>
      <c r="CQ58" s="3054"/>
      <c r="CR58" s="3054"/>
      <c r="CS58" s="3054"/>
      <c r="CT58" s="3054"/>
      <c r="CU58" s="3054"/>
      <c r="CV58" s="3054"/>
      <c r="CW58" s="3054"/>
      <c r="CX58" s="3054"/>
      <c r="CY58" s="3054"/>
      <c r="CZ58" s="3054"/>
      <c r="DA58" s="3054"/>
      <c r="DB58" s="3054"/>
      <c r="DC58" s="3054"/>
      <c r="DD58" s="1988">
        <f t="shared" si="3"/>
        <v>0</v>
      </c>
      <c r="DE58" s="1988"/>
      <c r="DF58" s="1988"/>
      <c r="DG58" s="1988"/>
      <c r="DH58" s="1988"/>
      <c r="DI58" s="1988"/>
      <c r="DJ58" s="1988"/>
      <c r="DK58" s="1988"/>
      <c r="DL58" s="1988"/>
      <c r="DM58" s="1988"/>
      <c r="DN58" s="1988"/>
      <c r="DO58" s="1988"/>
      <c r="DP58" s="1988"/>
      <c r="DQ58" s="1988"/>
      <c r="DR58" s="1988"/>
      <c r="DS58" s="1988"/>
      <c r="DT58" s="1988"/>
      <c r="DU58" s="1988"/>
      <c r="DV58" s="1988"/>
      <c r="DW58" s="1988"/>
      <c r="DX58" s="1988"/>
      <c r="DY58" s="1988"/>
      <c r="DZ58" s="1988"/>
      <c r="EA58" s="1988"/>
      <c r="EB58" s="1988"/>
      <c r="EC58" s="1988"/>
      <c r="ED58" s="1988"/>
      <c r="EE58" s="1988"/>
      <c r="EF58" s="3054">
        <f>前年度貼付!$E$96</f>
        <v>0</v>
      </c>
      <c r="EG58" s="3054"/>
      <c r="EH58" s="3054"/>
      <c r="EI58" s="3054"/>
      <c r="EJ58" s="3054"/>
      <c r="EK58" s="3054"/>
      <c r="EL58" s="3054"/>
      <c r="EM58" s="3054"/>
      <c r="EN58" s="3054"/>
      <c r="EO58" s="3054"/>
      <c r="EP58" s="3054"/>
      <c r="EQ58" s="3054"/>
      <c r="ER58" s="3054"/>
      <c r="ES58" s="3054"/>
      <c r="ET58" s="3054"/>
      <c r="EU58" s="3054"/>
      <c r="EV58" s="3054"/>
      <c r="EW58" s="3054"/>
      <c r="EX58" s="3054"/>
      <c r="EY58" s="3054"/>
      <c r="EZ58" s="3054"/>
      <c r="FA58" s="3054"/>
      <c r="FB58" s="3054"/>
      <c r="FC58" s="3054"/>
      <c r="FD58" s="3054"/>
      <c r="FE58" s="3054"/>
      <c r="FF58" s="3054"/>
      <c r="FG58" s="3054"/>
      <c r="FH58" s="1988">
        <f>CB58-EF58</f>
        <v>0</v>
      </c>
      <c r="FI58" s="1988"/>
      <c r="FJ58" s="1988"/>
      <c r="FK58" s="1988"/>
      <c r="FL58" s="1988"/>
      <c r="FM58" s="1988"/>
      <c r="FN58" s="1988"/>
      <c r="FO58" s="1988"/>
      <c r="FP58" s="1988"/>
      <c r="FQ58" s="1988"/>
      <c r="FR58" s="1988"/>
      <c r="FS58" s="1988"/>
      <c r="FT58" s="1988"/>
      <c r="FU58" s="1988"/>
      <c r="FV58" s="1988"/>
      <c r="FW58" s="1988"/>
      <c r="FX58" s="1988"/>
      <c r="FY58" s="1988"/>
      <c r="FZ58" s="1988"/>
      <c r="GA58" s="1988"/>
      <c r="GB58" s="1988"/>
      <c r="GC58" s="1988"/>
      <c r="GD58" s="1988"/>
      <c r="GE58" s="1988"/>
      <c r="GF58" s="1988"/>
      <c r="GG58" s="1988"/>
      <c r="GH58" s="1988"/>
      <c r="GI58" s="1988"/>
    </row>
    <row r="59" spans="1:191" s="166" customFormat="1" ht="24" customHeight="1">
      <c r="A59" s="2002"/>
      <c r="B59" s="2002"/>
      <c r="C59" s="2002"/>
      <c r="D59" s="2002"/>
      <c r="E59" s="2002"/>
      <c r="F59" s="2002"/>
      <c r="G59" s="2002"/>
      <c r="H59" s="2002"/>
      <c r="I59" s="2002"/>
      <c r="J59" s="2002"/>
      <c r="K59" s="188"/>
      <c r="L59" s="189"/>
      <c r="M59" s="1932" t="s">
        <v>61</v>
      </c>
      <c r="N59" s="1932"/>
      <c r="O59" s="1932"/>
      <c r="P59" s="1932"/>
      <c r="Q59" s="1932"/>
      <c r="R59" s="1932"/>
      <c r="S59" s="1932"/>
      <c r="T59" s="1932"/>
      <c r="U59" s="1932"/>
      <c r="V59" s="1932"/>
      <c r="W59" s="1932"/>
      <c r="X59" s="1932"/>
      <c r="Y59" s="1932"/>
      <c r="Z59" s="1932"/>
      <c r="AA59" s="1932"/>
      <c r="AB59" s="1932"/>
      <c r="AC59" s="1932"/>
      <c r="AD59" s="1932"/>
      <c r="AE59" s="1932"/>
      <c r="AF59" s="1932"/>
      <c r="AG59" s="1932"/>
      <c r="AH59" s="1932"/>
      <c r="AI59" s="1932"/>
      <c r="AJ59" s="1932"/>
      <c r="AK59" s="1932"/>
      <c r="AL59" s="1932"/>
      <c r="AM59" s="1932"/>
      <c r="AN59" s="1932"/>
      <c r="AO59" s="1932"/>
      <c r="AP59" s="1932"/>
      <c r="AQ59" s="1932"/>
      <c r="AR59" s="1932"/>
      <c r="AS59" s="1932"/>
      <c r="AT59" s="1932"/>
      <c r="AU59" s="1932"/>
      <c r="AV59" s="1932"/>
      <c r="AW59" s="1932"/>
      <c r="AX59" s="189"/>
      <c r="AY59" s="197"/>
      <c r="AZ59" s="3053">
        <v>979197000</v>
      </c>
      <c r="BA59" s="3054"/>
      <c r="BB59" s="3054"/>
      <c r="BC59" s="3054"/>
      <c r="BD59" s="3054"/>
      <c r="BE59" s="3054"/>
      <c r="BF59" s="3054"/>
      <c r="BG59" s="3054"/>
      <c r="BH59" s="3054"/>
      <c r="BI59" s="3054"/>
      <c r="BJ59" s="3054"/>
      <c r="BK59" s="3054"/>
      <c r="BL59" s="3054"/>
      <c r="BM59" s="3054"/>
      <c r="BN59" s="3054"/>
      <c r="BO59" s="3054"/>
      <c r="BP59" s="3054"/>
      <c r="BQ59" s="3054"/>
      <c r="BR59" s="3054"/>
      <c r="BS59" s="3054"/>
      <c r="BT59" s="3054"/>
      <c r="BU59" s="3054"/>
      <c r="BV59" s="3054"/>
      <c r="BW59" s="3054"/>
      <c r="BX59" s="3054"/>
      <c r="BY59" s="3054"/>
      <c r="BZ59" s="3054"/>
      <c r="CA59" s="3054"/>
      <c r="CB59" s="3053">
        <v>1057716295</v>
      </c>
      <c r="CC59" s="3054"/>
      <c r="CD59" s="3054"/>
      <c r="CE59" s="3054"/>
      <c r="CF59" s="3054"/>
      <c r="CG59" s="3054"/>
      <c r="CH59" s="3054"/>
      <c r="CI59" s="3054"/>
      <c r="CJ59" s="3054"/>
      <c r="CK59" s="3054"/>
      <c r="CL59" s="3054"/>
      <c r="CM59" s="3054"/>
      <c r="CN59" s="3054"/>
      <c r="CO59" s="3054"/>
      <c r="CP59" s="3054"/>
      <c r="CQ59" s="3054"/>
      <c r="CR59" s="3054"/>
      <c r="CS59" s="3054"/>
      <c r="CT59" s="3054"/>
      <c r="CU59" s="3054"/>
      <c r="CV59" s="3054"/>
      <c r="CW59" s="3054"/>
      <c r="CX59" s="3054"/>
      <c r="CY59" s="3054"/>
      <c r="CZ59" s="3054"/>
      <c r="DA59" s="3054"/>
      <c r="DB59" s="3054"/>
      <c r="DC59" s="3054"/>
      <c r="DD59" s="1988">
        <f t="shared" si="3"/>
        <v>78519295</v>
      </c>
      <c r="DE59" s="1988"/>
      <c r="DF59" s="1988"/>
      <c r="DG59" s="1988"/>
      <c r="DH59" s="1988"/>
      <c r="DI59" s="1988"/>
      <c r="DJ59" s="1988"/>
      <c r="DK59" s="1988"/>
      <c r="DL59" s="1988"/>
      <c r="DM59" s="1988"/>
      <c r="DN59" s="1988"/>
      <c r="DO59" s="1988"/>
      <c r="DP59" s="1988"/>
      <c r="DQ59" s="1988"/>
      <c r="DR59" s="1988"/>
      <c r="DS59" s="1988"/>
      <c r="DT59" s="1988"/>
      <c r="DU59" s="1988"/>
      <c r="DV59" s="1988"/>
      <c r="DW59" s="1988"/>
      <c r="DX59" s="1988"/>
      <c r="DY59" s="1988"/>
      <c r="DZ59" s="1988"/>
      <c r="EA59" s="1988"/>
      <c r="EB59" s="1988"/>
      <c r="EC59" s="1988"/>
      <c r="ED59" s="1988"/>
      <c r="EE59" s="1988"/>
      <c r="EF59" s="3054">
        <f>前年度貼付!$E$97</f>
        <v>963329625</v>
      </c>
      <c r="EG59" s="3054"/>
      <c r="EH59" s="3054"/>
      <c r="EI59" s="3054"/>
      <c r="EJ59" s="3054"/>
      <c r="EK59" s="3054"/>
      <c r="EL59" s="3054"/>
      <c r="EM59" s="3054"/>
      <c r="EN59" s="3054"/>
      <c r="EO59" s="3054"/>
      <c r="EP59" s="3054"/>
      <c r="EQ59" s="3054"/>
      <c r="ER59" s="3054"/>
      <c r="ES59" s="3054"/>
      <c r="ET59" s="3054"/>
      <c r="EU59" s="3054"/>
      <c r="EV59" s="3054"/>
      <c r="EW59" s="3054"/>
      <c r="EX59" s="3054"/>
      <c r="EY59" s="3054"/>
      <c r="EZ59" s="3054"/>
      <c r="FA59" s="3054"/>
      <c r="FB59" s="3054"/>
      <c r="FC59" s="3054"/>
      <c r="FD59" s="3054"/>
      <c r="FE59" s="3054"/>
      <c r="FF59" s="3054"/>
      <c r="FG59" s="3054"/>
      <c r="FH59" s="1988">
        <f t="shared" ref="FH59:FH65" si="5">CB59-EF59</f>
        <v>94386670</v>
      </c>
      <c r="FI59" s="1988"/>
      <c r="FJ59" s="1988"/>
      <c r="FK59" s="1988"/>
      <c r="FL59" s="1988"/>
      <c r="FM59" s="1988"/>
      <c r="FN59" s="1988"/>
      <c r="FO59" s="1988"/>
      <c r="FP59" s="1988"/>
      <c r="FQ59" s="1988"/>
      <c r="FR59" s="1988"/>
      <c r="FS59" s="1988"/>
      <c r="FT59" s="1988"/>
      <c r="FU59" s="1988"/>
      <c r="FV59" s="1988"/>
      <c r="FW59" s="1988"/>
      <c r="FX59" s="1988"/>
      <c r="FY59" s="1988"/>
      <c r="FZ59" s="1988"/>
      <c r="GA59" s="1988"/>
      <c r="GB59" s="1988"/>
      <c r="GC59" s="1988"/>
      <c r="GD59" s="1988"/>
      <c r="GE59" s="1988"/>
      <c r="GF59" s="1988"/>
      <c r="GG59" s="1988"/>
      <c r="GH59" s="1988"/>
      <c r="GI59" s="1988"/>
    </row>
    <row r="60" spans="1:191" s="166" customFormat="1" ht="24" customHeight="1">
      <c r="A60" s="2002"/>
      <c r="B60" s="2002"/>
      <c r="C60" s="2002"/>
      <c r="D60" s="2002"/>
      <c r="E60" s="2002"/>
      <c r="F60" s="2002"/>
      <c r="G60" s="2002"/>
      <c r="H60" s="2002"/>
      <c r="I60" s="2002"/>
      <c r="J60" s="2002"/>
      <c r="K60" s="188"/>
      <c r="L60" s="189"/>
      <c r="M60" s="1932" t="s">
        <v>62</v>
      </c>
      <c r="N60" s="1932"/>
      <c r="O60" s="1932"/>
      <c r="P60" s="1932"/>
      <c r="Q60" s="1932"/>
      <c r="R60" s="1932"/>
      <c r="S60" s="1932"/>
      <c r="T60" s="1932"/>
      <c r="U60" s="1932"/>
      <c r="V60" s="1932"/>
      <c r="W60" s="1932"/>
      <c r="X60" s="1932"/>
      <c r="Y60" s="1932"/>
      <c r="Z60" s="1932"/>
      <c r="AA60" s="1932"/>
      <c r="AB60" s="1932"/>
      <c r="AC60" s="1932"/>
      <c r="AD60" s="1932"/>
      <c r="AE60" s="1932"/>
      <c r="AF60" s="1932"/>
      <c r="AG60" s="1932"/>
      <c r="AH60" s="1932"/>
      <c r="AI60" s="1932"/>
      <c r="AJ60" s="1932"/>
      <c r="AK60" s="1932"/>
      <c r="AL60" s="1932"/>
      <c r="AM60" s="1932"/>
      <c r="AN60" s="1932"/>
      <c r="AO60" s="1932"/>
      <c r="AP60" s="1932"/>
      <c r="AQ60" s="1932"/>
      <c r="AR60" s="1932"/>
      <c r="AS60" s="1932"/>
      <c r="AT60" s="1932"/>
      <c r="AU60" s="1932"/>
      <c r="AV60" s="1932"/>
      <c r="AW60" s="1932"/>
      <c r="AX60" s="189"/>
      <c r="AY60" s="197"/>
      <c r="AZ60" s="3053">
        <v>1000</v>
      </c>
      <c r="BA60" s="3054"/>
      <c r="BB60" s="3054"/>
      <c r="BC60" s="3054"/>
      <c r="BD60" s="3054"/>
      <c r="BE60" s="3054"/>
      <c r="BF60" s="3054"/>
      <c r="BG60" s="3054"/>
      <c r="BH60" s="3054"/>
      <c r="BI60" s="3054"/>
      <c r="BJ60" s="3054"/>
      <c r="BK60" s="3054"/>
      <c r="BL60" s="3054"/>
      <c r="BM60" s="3054"/>
      <c r="BN60" s="3054"/>
      <c r="BO60" s="3054"/>
      <c r="BP60" s="3054"/>
      <c r="BQ60" s="3054"/>
      <c r="BR60" s="3054"/>
      <c r="BS60" s="3054"/>
      <c r="BT60" s="3054"/>
      <c r="BU60" s="3054"/>
      <c r="BV60" s="3054"/>
      <c r="BW60" s="3054"/>
      <c r="BX60" s="3054"/>
      <c r="BY60" s="3054"/>
      <c r="BZ60" s="3054"/>
      <c r="CA60" s="3054"/>
      <c r="CB60" s="3053">
        <v>0</v>
      </c>
      <c r="CC60" s="3054"/>
      <c r="CD60" s="3054"/>
      <c r="CE60" s="3054"/>
      <c r="CF60" s="3054"/>
      <c r="CG60" s="3054"/>
      <c r="CH60" s="3054"/>
      <c r="CI60" s="3054"/>
      <c r="CJ60" s="3054"/>
      <c r="CK60" s="3054"/>
      <c r="CL60" s="3054"/>
      <c r="CM60" s="3054"/>
      <c r="CN60" s="3054"/>
      <c r="CO60" s="3054"/>
      <c r="CP60" s="3054"/>
      <c r="CQ60" s="3054"/>
      <c r="CR60" s="3054"/>
      <c r="CS60" s="3054"/>
      <c r="CT60" s="3054"/>
      <c r="CU60" s="3054"/>
      <c r="CV60" s="3054"/>
      <c r="CW60" s="3054"/>
      <c r="CX60" s="3054"/>
      <c r="CY60" s="3054"/>
      <c r="CZ60" s="3054"/>
      <c r="DA60" s="3054"/>
      <c r="DB60" s="3054"/>
      <c r="DC60" s="3054"/>
      <c r="DD60" s="1988">
        <f t="shared" si="3"/>
        <v>-1000</v>
      </c>
      <c r="DE60" s="1988"/>
      <c r="DF60" s="1988"/>
      <c r="DG60" s="1988"/>
      <c r="DH60" s="1988"/>
      <c r="DI60" s="1988"/>
      <c r="DJ60" s="1988"/>
      <c r="DK60" s="1988"/>
      <c r="DL60" s="1988"/>
      <c r="DM60" s="1988"/>
      <c r="DN60" s="1988"/>
      <c r="DO60" s="1988"/>
      <c r="DP60" s="1988"/>
      <c r="DQ60" s="1988"/>
      <c r="DR60" s="1988"/>
      <c r="DS60" s="1988"/>
      <c r="DT60" s="1988"/>
      <c r="DU60" s="1988"/>
      <c r="DV60" s="1988"/>
      <c r="DW60" s="1988"/>
      <c r="DX60" s="1988"/>
      <c r="DY60" s="1988"/>
      <c r="DZ60" s="1988"/>
      <c r="EA60" s="1988"/>
      <c r="EB60" s="1988"/>
      <c r="EC60" s="1988"/>
      <c r="ED60" s="1988"/>
      <c r="EE60" s="1988"/>
      <c r="EF60" s="3054">
        <f>前年度貼付!$E$98</f>
        <v>0</v>
      </c>
      <c r="EG60" s="3054"/>
      <c r="EH60" s="3054"/>
      <c r="EI60" s="3054"/>
      <c r="EJ60" s="3054"/>
      <c r="EK60" s="3054"/>
      <c r="EL60" s="3054"/>
      <c r="EM60" s="3054"/>
      <c r="EN60" s="3054"/>
      <c r="EO60" s="3054"/>
      <c r="EP60" s="3054"/>
      <c r="EQ60" s="3054"/>
      <c r="ER60" s="3054"/>
      <c r="ES60" s="3054"/>
      <c r="ET60" s="3054"/>
      <c r="EU60" s="3054"/>
      <c r="EV60" s="3054"/>
      <c r="EW60" s="3054"/>
      <c r="EX60" s="3054"/>
      <c r="EY60" s="3054"/>
      <c r="EZ60" s="3054"/>
      <c r="FA60" s="3054"/>
      <c r="FB60" s="3054"/>
      <c r="FC60" s="3054"/>
      <c r="FD60" s="3054"/>
      <c r="FE60" s="3054"/>
      <c r="FF60" s="3054"/>
      <c r="FG60" s="3054"/>
      <c r="FH60" s="1988">
        <f t="shared" si="5"/>
        <v>0</v>
      </c>
      <c r="FI60" s="1988"/>
      <c r="FJ60" s="1988"/>
      <c r="FK60" s="1988"/>
      <c r="FL60" s="1988"/>
      <c r="FM60" s="1988"/>
      <c r="FN60" s="1988"/>
      <c r="FO60" s="1988"/>
      <c r="FP60" s="1988"/>
      <c r="FQ60" s="1988"/>
      <c r="FR60" s="1988"/>
      <c r="FS60" s="1988"/>
      <c r="FT60" s="1988"/>
      <c r="FU60" s="1988"/>
      <c r="FV60" s="1988"/>
      <c r="FW60" s="1988"/>
      <c r="FX60" s="1988"/>
      <c r="FY60" s="1988"/>
      <c r="FZ60" s="1988"/>
      <c r="GA60" s="1988"/>
      <c r="GB60" s="1988"/>
      <c r="GC60" s="1988"/>
      <c r="GD60" s="1988"/>
      <c r="GE60" s="1988"/>
      <c r="GF60" s="1988"/>
      <c r="GG60" s="1988"/>
      <c r="GH60" s="1988"/>
      <c r="GI60" s="1988"/>
    </row>
    <row r="61" spans="1:191" s="166" customFormat="1" ht="24" customHeight="1">
      <c r="A61" s="2002"/>
      <c r="B61" s="2002"/>
      <c r="C61" s="2002"/>
      <c r="D61" s="2002"/>
      <c r="E61" s="2002"/>
      <c r="F61" s="2002"/>
      <c r="G61" s="2002"/>
      <c r="H61" s="2002"/>
      <c r="I61" s="2002"/>
      <c r="J61" s="2002"/>
      <c r="K61" s="188"/>
      <c r="L61" s="189"/>
      <c r="M61" s="1932" t="s">
        <v>63</v>
      </c>
      <c r="N61" s="1932"/>
      <c r="O61" s="1932"/>
      <c r="P61" s="1932"/>
      <c r="Q61" s="1932"/>
      <c r="R61" s="1932"/>
      <c r="S61" s="1932"/>
      <c r="T61" s="1932"/>
      <c r="U61" s="1932"/>
      <c r="V61" s="1932"/>
      <c r="W61" s="1932"/>
      <c r="X61" s="1932"/>
      <c r="Y61" s="1932"/>
      <c r="Z61" s="1932"/>
      <c r="AA61" s="1932"/>
      <c r="AB61" s="1932"/>
      <c r="AC61" s="1932"/>
      <c r="AD61" s="1932"/>
      <c r="AE61" s="1932"/>
      <c r="AF61" s="1932"/>
      <c r="AG61" s="1932"/>
      <c r="AH61" s="1932"/>
      <c r="AI61" s="1932"/>
      <c r="AJ61" s="1932"/>
      <c r="AK61" s="1932"/>
      <c r="AL61" s="1932"/>
      <c r="AM61" s="1932"/>
      <c r="AN61" s="1932"/>
      <c r="AO61" s="1932"/>
      <c r="AP61" s="1932"/>
      <c r="AQ61" s="1932"/>
      <c r="AR61" s="1932"/>
      <c r="AS61" s="1932"/>
      <c r="AT61" s="1932"/>
      <c r="AU61" s="1932"/>
      <c r="AV61" s="1932"/>
      <c r="AW61" s="1932"/>
      <c r="AX61" s="189"/>
      <c r="AY61" s="197"/>
      <c r="AZ61" s="3053">
        <v>1000</v>
      </c>
      <c r="BA61" s="3054"/>
      <c r="BB61" s="3054"/>
      <c r="BC61" s="3054"/>
      <c r="BD61" s="3054"/>
      <c r="BE61" s="3054"/>
      <c r="BF61" s="3054"/>
      <c r="BG61" s="3054"/>
      <c r="BH61" s="3054"/>
      <c r="BI61" s="3054"/>
      <c r="BJ61" s="3054"/>
      <c r="BK61" s="3054"/>
      <c r="BL61" s="3054"/>
      <c r="BM61" s="3054"/>
      <c r="BN61" s="3054"/>
      <c r="BO61" s="3054"/>
      <c r="BP61" s="3054"/>
      <c r="BQ61" s="3054"/>
      <c r="BR61" s="3054"/>
      <c r="BS61" s="3054"/>
      <c r="BT61" s="3054"/>
      <c r="BU61" s="3054"/>
      <c r="BV61" s="3054"/>
      <c r="BW61" s="3054"/>
      <c r="BX61" s="3054"/>
      <c r="BY61" s="3054"/>
      <c r="BZ61" s="3054"/>
      <c r="CA61" s="3054"/>
      <c r="CB61" s="3053">
        <v>0</v>
      </c>
      <c r="CC61" s="3054"/>
      <c r="CD61" s="3054"/>
      <c r="CE61" s="3054"/>
      <c r="CF61" s="3054"/>
      <c r="CG61" s="3054"/>
      <c r="CH61" s="3054"/>
      <c r="CI61" s="3054"/>
      <c r="CJ61" s="3054"/>
      <c r="CK61" s="3054"/>
      <c r="CL61" s="3054"/>
      <c r="CM61" s="3054"/>
      <c r="CN61" s="3054"/>
      <c r="CO61" s="3054"/>
      <c r="CP61" s="3054"/>
      <c r="CQ61" s="3054"/>
      <c r="CR61" s="3054"/>
      <c r="CS61" s="3054"/>
      <c r="CT61" s="3054"/>
      <c r="CU61" s="3054"/>
      <c r="CV61" s="3054"/>
      <c r="CW61" s="3054"/>
      <c r="CX61" s="3054"/>
      <c r="CY61" s="3054"/>
      <c r="CZ61" s="3054"/>
      <c r="DA61" s="3054"/>
      <c r="DB61" s="3054"/>
      <c r="DC61" s="3054"/>
      <c r="DD61" s="1988">
        <f t="shared" si="3"/>
        <v>-1000</v>
      </c>
      <c r="DE61" s="1988"/>
      <c r="DF61" s="1988"/>
      <c r="DG61" s="1988"/>
      <c r="DH61" s="1988"/>
      <c r="DI61" s="1988"/>
      <c r="DJ61" s="1988"/>
      <c r="DK61" s="1988"/>
      <c r="DL61" s="1988"/>
      <c r="DM61" s="1988"/>
      <c r="DN61" s="1988"/>
      <c r="DO61" s="1988"/>
      <c r="DP61" s="1988"/>
      <c r="DQ61" s="1988"/>
      <c r="DR61" s="1988"/>
      <c r="DS61" s="1988"/>
      <c r="DT61" s="1988"/>
      <c r="DU61" s="1988"/>
      <c r="DV61" s="1988"/>
      <c r="DW61" s="1988"/>
      <c r="DX61" s="1988"/>
      <c r="DY61" s="1988"/>
      <c r="DZ61" s="1988"/>
      <c r="EA61" s="1988"/>
      <c r="EB61" s="1988"/>
      <c r="EC61" s="1988"/>
      <c r="ED61" s="1988"/>
      <c r="EE61" s="1988"/>
      <c r="EF61" s="3054">
        <f>前年度貼付!$E$99</f>
        <v>70824</v>
      </c>
      <c r="EG61" s="3054"/>
      <c r="EH61" s="3054"/>
      <c r="EI61" s="3054"/>
      <c r="EJ61" s="3054"/>
      <c r="EK61" s="3054"/>
      <c r="EL61" s="3054"/>
      <c r="EM61" s="3054"/>
      <c r="EN61" s="3054"/>
      <c r="EO61" s="3054"/>
      <c r="EP61" s="3054"/>
      <c r="EQ61" s="3054"/>
      <c r="ER61" s="3054"/>
      <c r="ES61" s="3054"/>
      <c r="ET61" s="3054"/>
      <c r="EU61" s="3054"/>
      <c r="EV61" s="3054"/>
      <c r="EW61" s="3054"/>
      <c r="EX61" s="3054"/>
      <c r="EY61" s="3054"/>
      <c r="EZ61" s="3054"/>
      <c r="FA61" s="3054"/>
      <c r="FB61" s="3054"/>
      <c r="FC61" s="3054"/>
      <c r="FD61" s="3054"/>
      <c r="FE61" s="3054"/>
      <c r="FF61" s="3054"/>
      <c r="FG61" s="3054"/>
      <c r="FH61" s="1988">
        <f t="shared" si="5"/>
        <v>-70824</v>
      </c>
      <c r="FI61" s="1988"/>
      <c r="FJ61" s="1988"/>
      <c r="FK61" s="1988"/>
      <c r="FL61" s="1988"/>
      <c r="FM61" s="1988"/>
      <c r="FN61" s="1988"/>
      <c r="FO61" s="1988"/>
      <c r="FP61" s="1988"/>
      <c r="FQ61" s="1988"/>
      <c r="FR61" s="1988"/>
      <c r="FS61" s="1988"/>
      <c r="FT61" s="1988"/>
      <c r="FU61" s="1988"/>
      <c r="FV61" s="1988"/>
      <c r="FW61" s="1988"/>
      <c r="FX61" s="1988"/>
      <c r="FY61" s="1988"/>
      <c r="FZ61" s="1988"/>
      <c r="GA61" s="1988"/>
      <c r="GB61" s="1988"/>
      <c r="GC61" s="1988"/>
      <c r="GD61" s="1988"/>
      <c r="GE61" s="1988"/>
      <c r="GF61" s="1988"/>
      <c r="GG61" s="1988"/>
      <c r="GH61" s="1988"/>
      <c r="GI61" s="1988"/>
    </row>
    <row r="62" spans="1:191" s="166" customFormat="1" ht="24" customHeight="1">
      <c r="A62" s="2002"/>
      <c r="B62" s="2002"/>
      <c r="C62" s="2002"/>
      <c r="D62" s="2002"/>
      <c r="E62" s="2002"/>
      <c r="F62" s="2002"/>
      <c r="G62" s="2002"/>
      <c r="H62" s="2002"/>
      <c r="I62" s="2002"/>
      <c r="J62" s="2002"/>
      <c r="K62" s="188"/>
      <c r="L62" s="189"/>
      <c r="M62" s="1932" t="s">
        <v>64</v>
      </c>
      <c r="N62" s="1932"/>
      <c r="O62" s="1932"/>
      <c r="P62" s="1932"/>
      <c r="Q62" s="1932"/>
      <c r="R62" s="1932"/>
      <c r="S62" s="1932"/>
      <c r="T62" s="1932"/>
      <c r="U62" s="1932"/>
      <c r="V62" s="1932"/>
      <c r="W62" s="1932"/>
      <c r="X62" s="1932"/>
      <c r="Y62" s="1932"/>
      <c r="Z62" s="1932"/>
      <c r="AA62" s="1932"/>
      <c r="AB62" s="1932"/>
      <c r="AC62" s="1932"/>
      <c r="AD62" s="1932"/>
      <c r="AE62" s="1932"/>
      <c r="AF62" s="1932"/>
      <c r="AG62" s="1932"/>
      <c r="AH62" s="1932"/>
      <c r="AI62" s="1932"/>
      <c r="AJ62" s="1932"/>
      <c r="AK62" s="1932"/>
      <c r="AL62" s="1932"/>
      <c r="AM62" s="1932"/>
      <c r="AN62" s="1932"/>
      <c r="AO62" s="1932"/>
      <c r="AP62" s="1932"/>
      <c r="AQ62" s="1932"/>
      <c r="AR62" s="1932"/>
      <c r="AS62" s="1932"/>
      <c r="AT62" s="1932"/>
      <c r="AU62" s="1932"/>
      <c r="AV62" s="1932"/>
      <c r="AW62" s="1932"/>
      <c r="AX62" s="189"/>
      <c r="AY62" s="197"/>
      <c r="AZ62" s="3053">
        <v>184469000</v>
      </c>
      <c r="BA62" s="3054"/>
      <c r="BB62" s="3054"/>
      <c r="BC62" s="3054"/>
      <c r="BD62" s="3054"/>
      <c r="BE62" s="3054"/>
      <c r="BF62" s="3054"/>
      <c r="BG62" s="3054"/>
      <c r="BH62" s="3054"/>
      <c r="BI62" s="3054"/>
      <c r="BJ62" s="3054"/>
      <c r="BK62" s="3054"/>
      <c r="BL62" s="3054"/>
      <c r="BM62" s="3054"/>
      <c r="BN62" s="3054"/>
      <c r="BO62" s="3054"/>
      <c r="BP62" s="3054"/>
      <c r="BQ62" s="3054"/>
      <c r="BR62" s="3054"/>
      <c r="BS62" s="3054"/>
      <c r="BT62" s="3054"/>
      <c r="BU62" s="3054"/>
      <c r="BV62" s="3054"/>
      <c r="BW62" s="3054"/>
      <c r="BX62" s="3054"/>
      <c r="BY62" s="3054"/>
      <c r="BZ62" s="3054"/>
      <c r="CA62" s="3054"/>
      <c r="CB62" s="3053">
        <v>187759301</v>
      </c>
      <c r="CC62" s="3054"/>
      <c r="CD62" s="3054"/>
      <c r="CE62" s="3054"/>
      <c r="CF62" s="3054"/>
      <c r="CG62" s="3054"/>
      <c r="CH62" s="3054"/>
      <c r="CI62" s="3054"/>
      <c r="CJ62" s="3054"/>
      <c r="CK62" s="3054"/>
      <c r="CL62" s="3054"/>
      <c r="CM62" s="3054"/>
      <c r="CN62" s="3054"/>
      <c r="CO62" s="3054"/>
      <c r="CP62" s="3054"/>
      <c r="CQ62" s="3054"/>
      <c r="CR62" s="3054"/>
      <c r="CS62" s="3054"/>
      <c r="CT62" s="3054"/>
      <c r="CU62" s="3054"/>
      <c r="CV62" s="3054"/>
      <c r="CW62" s="3054"/>
      <c r="CX62" s="3054"/>
      <c r="CY62" s="3054"/>
      <c r="CZ62" s="3054"/>
      <c r="DA62" s="3054"/>
      <c r="DB62" s="3054"/>
      <c r="DC62" s="3054"/>
      <c r="DD62" s="1988">
        <f t="shared" si="3"/>
        <v>3290301</v>
      </c>
      <c r="DE62" s="1988"/>
      <c r="DF62" s="1988"/>
      <c r="DG62" s="1988"/>
      <c r="DH62" s="1988"/>
      <c r="DI62" s="1988"/>
      <c r="DJ62" s="1988"/>
      <c r="DK62" s="1988"/>
      <c r="DL62" s="1988"/>
      <c r="DM62" s="1988"/>
      <c r="DN62" s="1988"/>
      <c r="DO62" s="1988"/>
      <c r="DP62" s="1988"/>
      <c r="DQ62" s="1988"/>
      <c r="DR62" s="1988"/>
      <c r="DS62" s="1988"/>
      <c r="DT62" s="1988"/>
      <c r="DU62" s="1988"/>
      <c r="DV62" s="1988"/>
      <c r="DW62" s="1988"/>
      <c r="DX62" s="1988"/>
      <c r="DY62" s="1988"/>
      <c r="DZ62" s="1988"/>
      <c r="EA62" s="1988"/>
      <c r="EB62" s="1988"/>
      <c r="EC62" s="1988"/>
      <c r="ED62" s="1988"/>
      <c r="EE62" s="1988"/>
      <c r="EF62" s="3054">
        <f>前年度貼付!$E$100</f>
        <v>181939816</v>
      </c>
      <c r="EG62" s="3054"/>
      <c r="EH62" s="3054"/>
      <c r="EI62" s="3054"/>
      <c r="EJ62" s="3054"/>
      <c r="EK62" s="3054"/>
      <c r="EL62" s="3054"/>
      <c r="EM62" s="3054"/>
      <c r="EN62" s="3054"/>
      <c r="EO62" s="3054"/>
      <c r="EP62" s="3054"/>
      <c r="EQ62" s="3054"/>
      <c r="ER62" s="3054"/>
      <c r="ES62" s="3054"/>
      <c r="ET62" s="3054"/>
      <c r="EU62" s="3054"/>
      <c r="EV62" s="3054"/>
      <c r="EW62" s="3054"/>
      <c r="EX62" s="3054"/>
      <c r="EY62" s="3054"/>
      <c r="EZ62" s="3054"/>
      <c r="FA62" s="3054"/>
      <c r="FB62" s="3054"/>
      <c r="FC62" s="3054"/>
      <c r="FD62" s="3054"/>
      <c r="FE62" s="3054"/>
      <c r="FF62" s="3054"/>
      <c r="FG62" s="3054"/>
      <c r="FH62" s="1988">
        <f t="shared" si="5"/>
        <v>5819485</v>
      </c>
      <c r="FI62" s="1988"/>
      <c r="FJ62" s="1988"/>
      <c r="FK62" s="1988"/>
      <c r="FL62" s="1988"/>
      <c r="FM62" s="1988"/>
      <c r="FN62" s="1988"/>
      <c r="FO62" s="1988"/>
      <c r="FP62" s="1988"/>
      <c r="FQ62" s="1988"/>
      <c r="FR62" s="1988"/>
      <c r="FS62" s="1988"/>
      <c r="FT62" s="1988"/>
      <c r="FU62" s="1988"/>
      <c r="FV62" s="1988"/>
      <c r="FW62" s="1988"/>
      <c r="FX62" s="1988"/>
      <c r="FY62" s="1988"/>
      <c r="FZ62" s="1988"/>
      <c r="GA62" s="1988"/>
      <c r="GB62" s="1988"/>
      <c r="GC62" s="1988"/>
      <c r="GD62" s="1988"/>
      <c r="GE62" s="1988"/>
      <c r="GF62" s="1988"/>
      <c r="GG62" s="1988"/>
      <c r="GH62" s="1988"/>
      <c r="GI62" s="1988"/>
    </row>
    <row r="63" spans="1:191" s="166" customFormat="1" ht="24" customHeight="1">
      <c r="A63" s="2002"/>
      <c r="B63" s="2002"/>
      <c r="C63" s="2002"/>
      <c r="D63" s="2002"/>
      <c r="E63" s="2002"/>
      <c r="F63" s="2002"/>
      <c r="G63" s="2002"/>
      <c r="H63" s="2002"/>
      <c r="I63" s="2002"/>
      <c r="J63" s="2002"/>
      <c r="K63" s="188"/>
      <c r="L63" s="189"/>
      <c r="M63" s="1932" t="s">
        <v>65</v>
      </c>
      <c r="N63" s="1932"/>
      <c r="O63" s="1932"/>
      <c r="P63" s="1932"/>
      <c r="Q63" s="1932"/>
      <c r="R63" s="1932"/>
      <c r="S63" s="1932"/>
      <c r="T63" s="1932"/>
      <c r="U63" s="1932"/>
      <c r="V63" s="1932"/>
      <c r="W63" s="1932"/>
      <c r="X63" s="1932"/>
      <c r="Y63" s="1932"/>
      <c r="Z63" s="1932"/>
      <c r="AA63" s="1932"/>
      <c r="AB63" s="1932"/>
      <c r="AC63" s="1932"/>
      <c r="AD63" s="1932"/>
      <c r="AE63" s="1932"/>
      <c r="AF63" s="1932"/>
      <c r="AG63" s="1932"/>
      <c r="AH63" s="1932"/>
      <c r="AI63" s="1932"/>
      <c r="AJ63" s="1932"/>
      <c r="AK63" s="1932"/>
      <c r="AL63" s="1932"/>
      <c r="AM63" s="1932"/>
      <c r="AN63" s="1932"/>
      <c r="AO63" s="1932"/>
      <c r="AP63" s="1932"/>
      <c r="AQ63" s="1932"/>
      <c r="AR63" s="1932"/>
      <c r="AS63" s="1932"/>
      <c r="AT63" s="1932"/>
      <c r="AU63" s="1932"/>
      <c r="AV63" s="1932"/>
      <c r="AW63" s="1932"/>
      <c r="AX63" s="189"/>
      <c r="AY63" s="197"/>
      <c r="AZ63" s="3053">
        <v>40581000</v>
      </c>
      <c r="BA63" s="3054"/>
      <c r="BB63" s="3054"/>
      <c r="BC63" s="3054"/>
      <c r="BD63" s="3054"/>
      <c r="BE63" s="3054"/>
      <c r="BF63" s="3054"/>
      <c r="BG63" s="3054"/>
      <c r="BH63" s="3054"/>
      <c r="BI63" s="3054"/>
      <c r="BJ63" s="3054"/>
      <c r="BK63" s="3054"/>
      <c r="BL63" s="3054"/>
      <c r="BM63" s="3054"/>
      <c r="BN63" s="3054"/>
      <c r="BO63" s="3054"/>
      <c r="BP63" s="3054"/>
      <c r="BQ63" s="3054"/>
      <c r="BR63" s="3054"/>
      <c r="BS63" s="3054"/>
      <c r="BT63" s="3054"/>
      <c r="BU63" s="3054"/>
      <c r="BV63" s="3054"/>
      <c r="BW63" s="3054"/>
      <c r="BX63" s="3054"/>
      <c r="BY63" s="3054"/>
      <c r="BZ63" s="3054"/>
      <c r="CA63" s="3054"/>
      <c r="CB63" s="3053">
        <v>28863369</v>
      </c>
      <c r="CC63" s="3054"/>
      <c r="CD63" s="3054"/>
      <c r="CE63" s="3054"/>
      <c r="CF63" s="3054"/>
      <c r="CG63" s="3054"/>
      <c r="CH63" s="3054"/>
      <c r="CI63" s="3054"/>
      <c r="CJ63" s="3054"/>
      <c r="CK63" s="3054"/>
      <c r="CL63" s="3054"/>
      <c r="CM63" s="3054"/>
      <c r="CN63" s="3054"/>
      <c r="CO63" s="3054"/>
      <c r="CP63" s="3054"/>
      <c r="CQ63" s="3054"/>
      <c r="CR63" s="3054"/>
      <c r="CS63" s="3054"/>
      <c r="CT63" s="3054"/>
      <c r="CU63" s="3054"/>
      <c r="CV63" s="3054"/>
      <c r="CW63" s="3054"/>
      <c r="CX63" s="3054"/>
      <c r="CY63" s="3054"/>
      <c r="CZ63" s="3054"/>
      <c r="DA63" s="3054"/>
      <c r="DB63" s="3054"/>
      <c r="DC63" s="3054"/>
      <c r="DD63" s="1988">
        <f t="shared" si="3"/>
        <v>-11717631</v>
      </c>
      <c r="DE63" s="1988"/>
      <c r="DF63" s="1988"/>
      <c r="DG63" s="1988"/>
      <c r="DH63" s="1988"/>
      <c r="DI63" s="1988"/>
      <c r="DJ63" s="1988"/>
      <c r="DK63" s="1988"/>
      <c r="DL63" s="1988"/>
      <c r="DM63" s="1988"/>
      <c r="DN63" s="1988"/>
      <c r="DO63" s="1988"/>
      <c r="DP63" s="1988"/>
      <c r="DQ63" s="1988"/>
      <c r="DR63" s="1988"/>
      <c r="DS63" s="1988"/>
      <c r="DT63" s="1988"/>
      <c r="DU63" s="1988"/>
      <c r="DV63" s="1988"/>
      <c r="DW63" s="1988"/>
      <c r="DX63" s="1988"/>
      <c r="DY63" s="1988"/>
      <c r="DZ63" s="1988"/>
      <c r="EA63" s="1988"/>
      <c r="EB63" s="1988"/>
      <c r="EC63" s="1988"/>
      <c r="ED63" s="1988"/>
      <c r="EE63" s="1988"/>
      <c r="EF63" s="3054">
        <f>前年度貼付!$E$101</f>
        <v>41150522</v>
      </c>
      <c r="EG63" s="3054"/>
      <c r="EH63" s="3054"/>
      <c r="EI63" s="3054"/>
      <c r="EJ63" s="3054"/>
      <c r="EK63" s="3054"/>
      <c r="EL63" s="3054"/>
      <c r="EM63" s="3054"/>
      <c r="EN63" s="3054"/>
      <c r="EO63" s="3054"/>
      <c r="EP63" s="3054"/>
      <c r="EQ63" s="3054"/>
      <c r="ER63" s="3054"/>
      <c r="ES63" s="3054"/>
      <c r="ET63" s="3054"/>
      <c r="EU63" s="3054"/>
      <c r="EV63" s="3054"/>
      <c r="EW63" s="3054"/>
      <c r="EX63" s="3054"/>
      <c r="EY63" s="3054"/>
      <c r="EZ63" s="3054"/>
      <c r="FA63" s="3054"/>
      <c r="FB63" s="3054"/>
      <c r="FC63" s="3054"/>
      <c r="FD63" s="3054"/>
      <c r="FE63" s="3054"/>
      <c r="FF63" s="3054"/>
      <c r="FG63" s="3054"/>
      <c r="FH63" s="1988">
        <f t="shared" si="5"/>
        <v>-12287153</v>
      </c>
      <c r="FI63" s="1988"/>
      <c r="FJ63" s="1988"/>
      <c r="FK63" s="1988"/>
      <c r="FL63" s="1988"/>
      <c r="FM63" s="1988"/>
      <c r="FN63" s="1988"/>
      <c r="FO63" s="1988"/>
      <c r="FP63" s="1988"/>
      <c r="FQ63" s="1988"/>
      <c r="FR63" s="1988"/>
      <c r="FS63" s="1988"/>
      <c r="FT63" s="1988"/>
      <c r="FU63" s="1988"/>
      <c r="FV63" s="1988"/>
      <c r="FW63" s="1988"/>
      <c r="FX63" s="1988"/>
      <c r="FY63" s="1988"/>
      <c r="FZ63" s="1988"/>
      <c r="GA63" s="1988"/>
      <c r="GB63" s="1988"/>
      <c r="GC63" s="1988"/>
      <c r="GD63" s="1988"/>
      <c r="GE63" s="1988"/>
      <c r="GF63" s="1988"/>
      <c r="GG63" s="1988"/>
      <c r="GH63" s="1988"/>
      <c r="GI63" s="1988"/>
    </row>
    <row r="64" spans="1:191" s="166" customFormat="1" ht="24" customHeight="1">
      <c r="A64" s="2002"/>
      <c r="B64" s="2002"/>
      <c r="C64" s="2002"/>
      <c r="D64" s="2002"/>
      <c r="E64" s="2002"/>
      <c r="F64" s="2002"/>
      <c r="G64" s="2002"/>
      <c r="H64" s="2002"/>
      <c r="I64" s="2002"/>
      <c r="J64" s="2002"/>
      <c r="K64" s="188"/>
      <c r="L64" s="189"/>
      <c r="M64" s="1932" t="s">
        <v>66</v>
      </c>
      <c r="N64" s="1932"/>
      <c r="O64" s="1932"/>
      <c r="P64" s="1932"/>
      <c r="Q64" s="1932"/>
      <c r="R64" s="1932"/>
      <c r="S64" s="1932"/>
      <c r="T64" s="1932"/>
      <c r="U64" s="1932"/>
      <c r="V64" s="1932"/>
      <c r="W64" s="1932"/>
      <c r="X64" s="1932"/>
      <c r="Y64" s="1932"/>
      <c r="Z64" s="1932"/>
      <c r="AA64" s="1932"/>
      <c r="AB64" s="1932"/>
      <c r="AC64" s="1932"/>
      <c r="AD64" s="1932"/>
      <c r="AE64" s="1932"/>
      <c r="AF64" s="1932"/>
      <c r="AG64" s="1932"/>
      <c r="AH64" s="1932"/>
      <c r="AI64" s="1932"/>
      <c r="AJ64" s="1932"/>
      <c r="AK64" s="1932"/>
      <c r="AL64" s="1932"/>
      <c r="AM64" s="1932"/>
      <c r="AN64" s="1932"/>
      <c r="AO64" s="1932"/>
      <c r="AP64" s="1932"/>
      <c r="AQ64" s="1932"/>
      <c r="AR64" s="1932"/>
      <c r="AS64" s="1932"/>
      <c r="AT64" s="1932"/>
      <c r="AU64" s="1932"/>
      <c r="AV64" s="1932"/>
      <c r="AW64" s="1932"/>
      <c r="AX64" s="189"/>
      <c r="AY64" s="197"/>
      <c r="AZ64" s="3053">
        <v>750000</v>
      </c>
      <c r="BA64" s="3054"/>
      <c r="BB64" s="3054"/>
      <c r="BC64" s="3054"/>
      <c r="BD64" s="3054"/>
      <c r="BE64" s="3054"/>
      <c r="BF64" s="3054"/>
      <c r="BG64" s="3054"/>
      <c r="BH64" s="3054"/>
      <c r="BI64" s="3054"/>
      <c r="BJ64" s="3054"/>
      <c r="BK64" s="3054"/>
      <c r="BL64" s="3054"/>
      <c r="BM64" s="3054"/>
      <c r="BN64" s="3054"/>
      <c r="BO64" s="3054"/>
      <c r="BP64" s="3054"/>
      <c r="BQ64" s="3054"/>
      <c r="BR64" s="3054"/>
      <c r="BS64" s="3054"/>
      <c r="BT64" s="3054"/>
      <c r="BU64" s="3054"/>
      <c r="BV64" s="3054"/>
      <c r="BW64" s="3054"/>
      <c r="BX64" s="3054"/>
      <c r="BY64" s="3054"/>
      <c r="BZ64" s="3054"/>
      <c r="CA64" s="3054"/>
      <c r="CB64" s="3053">
        <v>100000</v>
      </c>
      <c r="CC64" s="3054"/>
      <c r="CD64" s="3054"/>
      <c r="CE64" s="3054"/>
      <c r="CF64" s="3054"/>
      <c r="CG64" s="3054"/>
      <c r="CH64" s="3054"/>
      <c r="CI64" s="3054"/>
      <c r="CJ64" s="3054"/>
      <c r="CK64" s="3054"/>
      <c r="CL64" s="3054"/>
      <c r="CM64" s="3054"/>
      <c r="CN64" s="3054"/>
      <c r="CO64" s="3054"/>
      <c r="CP64" s="3054"/>
      <c r="CQ64" s="3054"/>
      <c r="CR64" s="3054"/>
      <c r="CS64" s="3054"/>
      <c r="CT64" s="3054"/>
      <c r="CU64" s="3054"/>
      <c r="CV64" s="3054"/>
      <c r="CW64" s="3054"/>
      <c r="CX64" s="3054"/>
      <c r="CY64" s="3054"/>
      <c r="CZ64" s="3054"/>
      <c r="DA64" s="3054"/>
      <c r="DB64" s="3054"/>
      <c r="DC64" s="3054"/>
      <c r="DD64" s="1988">
        <f t="shared" si="3"/>
        <v>-650000</v>
      </c>
      <c r="DE64" s="1988"/>
      <c r="DF64" s="1988"/>
      <c r="DG64" s="1988"/>
      <c r="DH64" s="1988"/>
      <c r="DI64" s="1988"/>
      <c r="DJ64" s="1988"/>
      <c r="DK64" s="1988"/>
      <c r="DL64" s="1988"/>
      <c r="DM64" s="1988"/>
      <c r="DN64" s="1988"/>
      <c r="DO64" s="1988"/>
      <c r="DP64" s="1988"/>
      <c r="DQ64" s="1988"/>
      <c r="DR64" s="1988"/>
      <c r="DS64" s="1988"/>
      <c r="DT64" s="1988"/>
      <c r="DU64" s="1988"/>
      <c r="DV64" s="1988"/>
      <c r="DW64" s="1988"/>
      <c r="DX64" s="1988"/>
      <c r="DY64" s="1988"/>
      <c r="DZ64" s="1988"/>
      <c r="EA64" s="1988"/>
      <c r="EB64" s="1988"/>
      <c r="EC64" s="1988"/>
      <c r="ED64" s="1988"/>
      <c r="EE64" s="1988"/>
      <c r="EF64" s="3054">
        <f>前年度貼付!$E$102</f>
        <v>650000</v>
      </c>
      <c r="EG64" s="3054"/>
      <c r="EH64" s="3054"/>
      <c r="EI64" s="3054"/>
      <c r="EJ64" s="3054"/>
      <c r="EK64" s="3054"/>
      <c r="EL64" s="3054"/>
      <c r="EM64" s="3054"/>
      <c r="EN64" s="3054"/>
      <c r="EO64" s="3054"/>
      <c r="EP64" s="3054"/>
      <c r="EQ64" s="3054"/>
      <c r="ER64" s="3054"/>
      <c r="ES64" s="3054"/>
      <c r="ET64" s="3054"/>
      <c r="EU64" s="3054"/>
      <c r="EV64" s="3054"/>
      <c r="EW64" s="3054"/>
      <c r="EX64" s="3054"/>
      <c r="EY64" s="3054"/>
      <c r="EZ64" s="3054"/>
      <c r="FA64" s="3054"/>
      <c r="FB64" s="3054"/>
      <c r="FC64" s="3054"/>
      <c r="FD64" s="3054"/>
      <c r="FE64" s="3054"/>
      <c r="FF64" s="3054"/>
      <c r="FG64" s="3054"/>
      <c r="FH64" s="1988">
        <f t="shared" si="5"/>
        <v>-550000</v>
      </c>
      <c r="FI64" s="1988"/>
      <c r="FJ64" s="1988"/>
      <c r="FK64" s="1988"/>
      <c r="FL64" s="1988"/>
      <c r="FM64" s="1988"/>
      <c r="FN64" s="1988"/>
      <c r="FO64" s="1988"/>
      <c r="FP64" s="1988"/>
      <c r="FQ64" s="1988"/>
      <c r="FR64" s="1988"/>
      <c r="FS64" s="1988"/>
      <c r="FT64" s="1988"/>
      <c r="FU64" s="1988"/>
      <c r="FV64" s="1988"/>
      <c r="FW64" s="1988"/>
      <c r="FX64" s="1988"/>
      <c r="FY64" s="1988"/>
      <c r="FZ64" s="1988"/>
      <c r="GA64" s="1988"/>
      <c r="GB64" s="1988"/>
      <c r="GC64" s="1988"/>
      <c r="GD64" s="1988"/>
      <c r="GE64" s="1988"/>
      <c r="GF64" s="1988"/>
      <c r="GG64" s="1988"/>
      <c r="GH64" s="1988"/>
      <c r="GI64" s="1988"/>
    </row>
    <row r="65" spans="1:191" s="166" customFormat="1" ht="24" customHeight="1">
      <c r="A65" s="2002"/>
      <c r="B65" s="2002"/>
      <c r="C65" s="2002"/>
      <c r="D65" s="2002"/>
      <c r="E65" s="2002"/>
      <c r="F65" s="2002"/>
      <c r="G65" s="2002"/>
      <c r="H65" s="2002"/>
      <c r="I65" s="2002"/>
      <c r="J65" s="2002"/>
      <c r="K65" s="188"/>
      <c r="L65" s="189"/>
      <c r="M65" s="1932" t="s">
        <v>67</v>
      </c>
      <c r="N65" s="1932"/>
      <c r="O65" s="1932"/>
      <c r="P65" s="1932"/>
      <c r="Q65" s="1932"/>
      <c r="R65" s="1932"/>
      <c r="S65" s="1932"/>
      <c r="T65" s="1932"/>
      <c r="U65" s="1932"/>
      <c r="V65" s="1932"/>
      <c r="W65" s="1932"/>
      <c r="X65" s="1932"/>
      <c r="Y65" s="1932"/>
      <c r="Z65" s="1932"/>
      <c r="AA65" s="1932"/>
      <c r="AB65" s="1932"/>
      <c r="AC65" s="1932"/>
      <c r="AD65" s="1932"/>
      <c r="AE65" s="1932"/>
      <c r="AF65" s="1932"/>
      <c r="AG65" s="1932"/>
      <c r="AH65" s="1932"/>
      <c r="AI65" s="1932"/>
      <c r="AJ65" s="1932"/>
      <c r="AK65" s="1932"/>
      <c r="AL65" s="1932"/>
      <c r="AM65" s="1932"/>
      <c r="AN65" s="1932"/>
      <c r="AO65" s="1932"/>
      <c r="AP65" s="1932"/>
      <c r="AQ65" s="1932"/>
      <c r="AR65" s="1932"/>
      <c r="AS65" s="1932"/>
      <c r="AT65" s="1932"/>
      <c r="AU65" s="1932"/>
      <c r="AV65" s="1932"/>
      <c r="AW65" s="1932"/>
      <c r="AX65" s="189"/>
      <c r="AY65" s="197"/>
      <c r="AZ65" s="3053">
        <v>350000</v>
      </c>
      <c r="BA65" s="3054"/>
      <c r="BB65" s="3054"/>
      <c r="BC65" s="3054"/>
      <c r="BD65" s="3054"/>
      <c r="BE65" s="3054"/>
      <c r="BF65" s="3054"/>
      <c r="BG65" s="3054"/>
      <c r="BH65" s="3054"/>
      <c r="BI65" s="3054"/>
      <c r="BJ65" s="3054"/>
      <c r="BK65" s="3054"/>
      <c r="BL65" s="3054"/>
      <c r="BM65" s="3054"/>
      <c r="BN65" s="3054"/>
      <c r="BO65" s="3054"/>
      <c r="BP65" s="3054"/>
      <c r="BQ65" s="3054"/>
      <c r="BR65" s="3054"/>
      <c r="BS65" s="3054"/>
      <c r="BT65" s="3054"/>
      <c r="BU65" s="3054"/>
      <c r="BV65" s="3054"/>
      <c r="BW65" s="3054"/>
      <c r="BX65" s="3054"/>
      <c r="BY65" s="3054"/>
      <c r="BZ65" s="3054"/>
      <c r="CA65" s="3054"/>
      <c r="CB65" s="3053">
        <v>350000</v>
      </c>
      <c r="CC65" s="3054"/>
      <c r="CD65" s="3054"/>
      <c r="CE65" s="3054"/>
      <c r="CF65" s="3054"/>
      <c r="CG65" s="3054"/>
      <c r="CH65" s="3054"/>
      <c r="CI65" s="3054"/>
      <c r="CJ65" s="3054"/>
      <c r="CK65" s="3054"/>
      <c r="CL65" s="3054"/>
      <c r="CM65" s="3054"/>
      <c r="CN65" s="3054"/>
      <c r="CO65" s="3054"/>
      <c r="CP65" s="3054"/>
      <c r="CQ65" s="3054"/>
      <c r="CR65" s="3054"/>
      <c r="CS65" s="3054"/>
      <c r="CT65" s="3054"/>
      <c r="CU65" s="3054"/>
      <c r="CV65" s="3054"/>
      <c r="CW65" s="3054"/>
      <c r="CX65" s="3054"/>
      <c r="CY65" s="3054"/>
      <c r="CZ65" s="3054"/>
      <c r="DA65" s="3054"/>
      <c r="DB65" s="3054"/>
      <c r="DC65" s="3054"/>
      <c r="DD65" s="1988">
        <f t="shared" si="3"/>
        <v>0</v>
      </c>
      <c r="DE65" s="1988"/>
      <c r="DF65" s="1988"/>
      <c r="DG65" s="1988"/>
      <c r="DH65" s="1988"/>
      <c r="DI65" s="1988"/>
      <c r="DJ65" s="1988"/>
      <c r="DK65" s="1988"/>
      <c r="DL65" s="1988"/>
      <c r="DM65" s="1988"/>
      <c r="DN65" s="1988"/>
      <c r="DO65" s="1988"/>
      <c r="DP65" s="1988"/>
      <c r="DQ65" s="1988"/>
      <c r="DR65" s="1988"/>
      <c r="DS65" s="1988"/>
      <c r="DT65" s="1988"/>
      <c r="DU65" s="1988"/>
      <c r="DV65" s="1988"/>
      <c r="DW65" s="1988"/>
      <c r="DX65" s="1988"/>
      <c r="DY65" s="1988"/>
      <c r="DZ65" s="1988"/>
      <c r="EA65" s="1988"/>
      <c r="EB65" s="1988"/>
      <c r="EC65" s="1988"/>
      <c r="ED65" s="1988"/>
      <c r="EE65" s="1988"/>
      <c r="EF65" s="3054">
        <f>前年度貼付!$E$103</f>
        <v>250000</v>
      </c>
      <c r="EG65" s="3054"/>
      <c r="EH65" s="3054"/>
      <c r="EI65" s="3054"/>
      <c r="EJ65" s="3054"/>
      <c r="EK65" s="3054"/>
      <c r="EL65" s="3054"/>
      <c r="EM65" s="3054"/>
      <c r="EN65" s="3054"/>
      <c r="EO65" s="3054"/>
      <c r="EP65" s="3054"/>
      <c r="EQ65" s="3054"/>
      <c r="ER65" s="3054"/>
      <c r="ES65" s="3054"/>
      <c r="ET65" s="3054"/>
      <c r="EU65" s="3054"/>
      <c r="EV65" s="3054"/>
      <c r="EW65" s="3054"/>
      <c r="EX65" s="3054"/>
      <c r="EY65" s="3054"/>
      <c r="EZ65" s="3054"/>
      <c r="FA65" s="3054"/>
      <c r="FB65" s="3054"/>
      <c r="FC65" s="3054"/>
      <c r="FD65" s="3054"/>
      <c r="FE65" s="3054"/>
      <c r="FF65" s="3054"/>
      <c r="FG65" s="3054"/>
      <c r="FH65" s="1988">
        <f t="shared" si="5"/>
        <v>100000</v>
      </c>
      <c r="FI65" s="1988"/>
      <c r="FJ65" s="1988"/>
      <c r="FK65" s="1988"/>
      <c r="FL65" s="1988"/>
      <c r="FM65" s="1988"/>
      <c r="FN65" s="1988"/>
      <c r="FO65" s="1988"/>
      <c r="FP65" s="1988"/>
      <c r="FQ65" s="1988"/>
      <c r="FR65" s="1988"/>
      <c r="FS65" s="1988"/>
      <c r="FT65" s="1988"/>
      <c r="FU65" s="1988"/>
      <c r="FV65" s="1988"/>
      <c r="FW65" s="1988"/>
      <c r="FX65" s="1988"/>
      <c r="FY65" s="1988"/>
      <c r="FZ65" s="1988"/>
      <c r="GA65" s="1988"/>
      <c r="GB65" s="1988"/>
      <c r="GC65" s="1988"/>
      <c r="GD65" s="1988"/>
      <c r="GE65" s="1988"/>
      <c r="GF65" s="1988"/>
      <c r="GG65" s="1988"/>
      <c r="GH65" s="1988"/>
      <c r="GI65" s="1988"/>
    </row>
    <row r="66" spans="1:191" s="166" customFormat="1" ht="24" customHeight="1">
      <c r="A66" s="2002"/>
      <c r="B66" s="2002"/>
      <c r="C66" s="2002"/>
      <c r="D66" s="2002"/>
      <c r="E66" s="2002"/>
      <c r="F66" s="2002"/>
      <c r="G66" s="2002"/>
      <c r="H66" s="2002"/>
      <c r="I66" s="2002"/>
      <c r="J66" s="2002"/>
      <c r="K66" s="211"/>
      <c r="M66" s="2010" t="s">
        <v>435</v>
      </c>
      <c r="N66" s="2010"/>
      <c r="O66" s="2010"/>
      <c r="P66" s="2010"/>
      <c r="Q66" s="2010"/>
      <c r="R66" s="2010"/>
      <c r="S66" s="2010"/>
      <c r="T66" s="2010"/>
      <c r="U66" s="2010"/>
      <c r="V66" s="2010"/>
      <c r="W66" s="2010"/>
      <c r="X66" s="2010"/>
      <c r="Y66" s="2010"/>
      <c r="Z66" s="2010"/>
      <c r="AA66" s="2010"/>
      <c r="AB66" s="2010"/>
      <c r="AC66" s="2010"/>
      <c r="AD66" s="2010"/>
      <c r="AE66" s="2010"/>
      <c r="AF66" s="2010"/>
      <c r="AG66" s="2010"/>
      <c r="AH66" s="2010"/>
      <c r="AI66" s="2010"/>
      <c r="AJ66" s="2010"/>
      <c r="AK66" s="2010"/>
      <c r="AL66" s="2010"/>
      <c r="AM66" s="2010"/>
      <c r="AN66" s="2010"/>
      <c r="AO66" s="2010"/>
      <c r="AP66" s="2010"/>
      <c r="AQ66" s="2010"/>
      <c r="AR66" s="2010"/>
      <c r="AS66" s="2010"/>
      <c r="AT66" s="2010"/>
      <c r="AU66" s="2010"/>
      <c r="AV66" s="2010"/>
      <c r="AW66" s="2010"/>
      <c r="AX66" s="211"/>
      <c r="AY66" s="211"/>
      <c r="AZ66" s="2006">
        <f>SUM(AZ49:CA65)</f>
        <v>5320235000</v>
      </c>
      <c r="BA66" s="2006"/>
      <c r="BB66" s="2006"/>
      <c r="BC66" s="2006"/>
      <c r="BD66" s="2006"/>
      <c r="BE66" s="2006"/>
      <c r="BF66" s="2006"/>
      <c r="BG66" s="2006"/>
      <c r="BH66" s="2006"/>
      <c r="BI66" s="2006"/>
      <c r="BJ66" s="2006"/>
      <c r="BK66" s="2006"/>
      <c r="BL66" s="2006"/>
      <c r="BM66" s="2006"/>
      <c r="BN66" s="2006"/>
      <c r="BO66" s="2006"/>
      <c r="BP66" s="2006"/>
      <c r="BQ66" s="2006"/>
      <c r="BR66" s="2006"/>
      <c r="BS66" s="2006"/>
      <c r="BT66" s="2006"/>
      <c r="BU66" s="2006"/>
      <c r="BV66" s="2006"/>
      <c r="BW66" s="2006"/>
      <c r="BX66" s="2006"/>
      <c r="BY66" s="2006"/>
      <c r="BZ66" s="2006"/>
      <c r="CA66" s="2006"/>
      <c r="CB66" s="2006">
        <f>SUM(CB49:DC65)</f>
        <v>5264002497</v>
      </c>
      <c r="CC66" s="2006"/>
      <c r="CD66" s="2006"/>
      <c r="CE66" s="2006"/>
      <c r="CF66" s="2006"/>
      <c r="CG66" s="2006"/>
      <c r="CH66" s="2006"/>
      <c r="CI66" s="2006"/>
      <c r="CJ66" s="2006"/>
      <c r="CK66" s="2006"/>
      <c r="CL66" s="2006"/>
      <c r="CM66" s="2006"/>
      <c r="CN66" s="2006"/>
      <c r="CO66" s="2006"/>
      <c r="CP66" s="2006"/>
      <c r="CQ66" s="2006"/>
      <c r="CR66" s="2006"/>
      <c r="CS66" s="2006"/>
      <c r="CT66" s="2006"/>
      <c r="CU66" s="2006"/>
      <c r="CV66" s="2006"/>
      <c r="CW66" s="2006"/>
      <c r="CX66" s="2006"/>
      <c r="CY66" s="2006"/>
      <c r="CZ66" s="2006"/>
      <c r="DA66" s="2006"/>
      <c r="DB66" s="2006"/>
      <c r="DC66" s="2006"/>
      <c r="DD66" s="1988">
        <f t="shared" si="3"/>
        <v>-56232503</v>
      </c>
      <c r="DE66" s="1988"/>
      <c r="DF66" s="1988"/>
      <c r="DG66" s="1988"/>
      <c r="DH66" s="1988"/>
      <c r="DI66" s="1988"/>
      <c r="DJ66" s="1988"/>
      <c r="DK66" s="1988"/>
      <c r="DL66" s="1988"/>
      <c r="DM66" s="1988"/>
      <c r="DN66" s="1988"/>
      <c r="DO66" s="1988"/>
      <c r="DP66" s="1988"/>
      <c r="DQ66" s="1988"/>
      <c r="DR66" s="1988"/>
      <c r="DS66" s="1988"/>
      <c r="DT66" s="1988"/>
      <c r="DU66" s="1988"/>
      <c r="DV66" s="1988"/>
      <c r="DW66" s="1988"/>
      <c r="DX66" s="1988"/>
      <c r="DY66" s="1988"/>
      <c r="DZ66" s="1988"/>
      <c r="EA66" s="1988"/>
      <c r="EB66" s="1988"/>
      <c r="EC66" s="1988"/>
      <c r="ED66" s="1988"/>
      <c r="EE66" s="1988"/>
      <c r="EF66" s="1987">
        <f>SUM(EF49:FG65)</f>
        <v>5062957780</v>
      </c>
      <c r="EG66" s="1987"/>
      <c r="EH66" s="1987"/>
      <c r="EI66" s="1987"/>
      <c r="EJ66" s="1987"/>
      <c r="EK66" s="1987"/>
      <c r="EL66" s="1987"/>
      <c r="EM66" s="1987"/>
      <c r="EN66" s="1987"/>
      <c r="EO66" s="1987"/>
      <c r="EP66" s="1987"/>
      <c r="EQ66" s="1987"/>
      <c r="ER66" s="1987"/>
      <c r="ES66" s="1987"/>
      <c r="ET66" s="1987"/>
      <c r="EU66" s="1987"/>
      <c r="EV66" s="1987"/>
      <c r="EW66" s="1987"/>
      <c r="EX66" s="1987"/>
      <c r="EY66" s="1987"/>
      <c r="EZ66" s="1987"/>
      <c r="FA66" s="1987"/>
      <c r="FB66" s="1987"/>
      <c r="FC66" s="1987"/>
      <c r="FD66" s="1987"/>
      <c r="FE66" s="1987"/>
      <c r="FF66" s="1987"/>
      <c r="FG66" s="1987"/>
      <c r="FH66" s="1988">
        <f>SUM(FH49:GI65)</f>
        <v>201044717</v>
      </c>
      <c r="FI66" s="1988"/>
      <c r="FJ66" s="1988"/>
      <c r="FK66" s="1988"/>
      <c r="FL66" s="1988"/>
      <c r="FM66" s="1988"/>
      <c r="FN66" s="1988"/>
      <c r="FO66" s="1988"/>
      <c r="FP66" s="1988"/>
      <c r="FQ66" s="1988"/>
      <c r="FR66" s="1988"/>
      <c r="FS66" s="1988"/>
      <c r="FT66" s="1988"/>
      <c r="FU66" s="1988"/>
      <c r="FV66" s="1988"/>
      <c r="FW66" s="1988"/>
      <c r="FX66" s="1988"/>
      <c r="FY66" s="1988"/>
      <c r="FZ66" s="1988"/>
      <c r="GA66" s="1988"/>
      <c r="GB66" s="1988"/>
      <c r="GC66" s="1988"/>
      <c r="GD66" s="1988"/>
      <c r="GE66" s="1988"/>
      <c r="GF66" s="1988"/>
      <c r="GG66" s="1988"/>
      <c r="GH66" s="1988"/>
      <c r="GI66" s="1988"/>
    </row>
    <row r="67" spans="1:191" s="166" customFormat="1" ht="24" customHeight="1">
      <c r="A67" s="2002"/>
      <c r="B67" s="2002"/>
      <c r="C67" s="2002"/>
      <c r="D67" s="2002"/>
      <c r="E67" s="2002"/>
      <c r="F67" s="2002" t="s">
        <v>436</v>
      </c>
      <c r="G67" s="2002"/>
      <c r="H67" s="2002"/>
      <c r="I67" s="2002"/>
      <c r="J67" s="2002"/>
      <c r="K67" s="188"/>
      <c r="L67" s="189"/>
      <c r="M67" s="1932" t="s">
        <v>68</v>
      </c>
      <c r="N67" s="1932"/>
      <c r="O67" s="1932"/>
      <c r="P67" s="1932"/>
      <c r="Q67" s="1932"/>
      <c r="R67" s="1932"/>
      <c r="S67" s="1932"/>
      <c r="T67" s="1932"/>
      <c r="U67" s="1932"/>
      <c r="V67" s="1932"/>
      <c r="W67" s="1932"/>
      <c r="X67" s="1932"/>
      <c r="Y67" s="1932"/>
      <c r="Z67" s="1932"/>
      <c r="AA67" s="1932"/>
      <c r="AB67" s="1932"/>
      <c r="AC67" s="1932"/>
      <c r="AD67" s="1932"/>
      <c r="AE67" s="1932"/>
      <c r="AF67" s="1932"/>
      <c r="AG67" s="1932"/>
      <c r="AH67" s="1932"/>
      <c r="AI67" s="1932"/>
      <c r="AJ67" s="1932"/>
      <c r="AK67" s="1932"/>
      <c r="AL67" s="1932"/>
      <c r="AM67" s="1932"/>
      <c r="AN67" s="1932"/>
      <c r="AO67" s="1932"/>
      <c r="AP67" s="1932"/>
      <c r="AQ67" s="1932"/>
      <c r="AR67" s="1932"/>
      <c r="AS67" s="1932"/>
      <c r="AT67" s="1932"/>
      <c r="AU67" s="1932"/>
      <c r="AV67" s="1932"/>
      <c r="AW67" s="1932"/>
      <c r="AX67" s="189"/>
      <c r="AY67" s="189"/>
      <c r="AZ67" s="3053">
        <v>88208000</v>
      </c>
      <c r="BA67" s="3054"/>
      <c r="BB67" s="3054"/>
      <c r="BC67" s="3054"/>
      <c r="BD67" s="3054"/>
      <c r="BE67" s="3054"/>
      <c r="BF67" s="3054"/>
      <c r="BG67" s="3054"/>
      <c r="BH67" s="3054"/>
      <c r="BI67" s="3054"/>
      <c r="BJ67" s="3054"/>
      <c r="BK67" s="3054"/>
      <c r="BL67" s="3054"/>
      <c r="BM67" s="3054"/>
      <c r="BN67" s="3054"/>
      <c r="BO67" s="3054"/>
      <c r="BP67" s="3054"/>
      <c r="BQ67" s="3054"/>
      <c r="BR67" s="3054"/>
      <c r="BS67" s="3054"/>
      <c r="BT67" s="3054"/>
      <c r="BU67" s="3054"/>
      <c r="BV67" s="3054"/>
      <c r="BW67" s="3054"/>
      <c r="BX67" s="3054"/>
      <c r="BY67" s="3054"/>
      <c r="BZ67" s="3054"/>
      <c r="CA67" s="3054"/>
      <c r="CB67" s="3053">
        <v>62042212</v>
      </c>
      <c r="CC67" s="3054"/>
      <c r="CD67" s="3054"/>
      <c r="CE67" s="3054"/>
      <c r="CF67" s="3054"/>
      <c r="CG67" s="3054"/>
      <c r="CH67" s="3054"/>
      <c r="CI67" s="3054"/>
      <c r="CJ67" s="3054"/>
      <c r="CK67" s="3054"/>
      <c r="CL67" s="3054"/>
      <c r="CM67" s="3054"/>
      <c r="CN67" s="3054"/>
      <c r="CO67" s="3054"/>
      <c r="CP67" s="3054"/>
      <c r="CQ67" s="3054"/>
      <c r="CR67" s="3054"/>
      <c r="CS67" s="3054"/>
      <c r="CT67" s="3054"/>
      <c r="CU67" s="3054"/>
      <c r="CV67" s="3054"/>
      <c r="CW67" s="3054"/>
      <c r="CX67" s="3054"/>
      <c r="CY67" s="3054"/>
      <c r="CZ67" s="3054"/>
      <c r="DA67" s="3054"/>
      <c r="DB67" s="3054"/>
      <c r="DC67" s="3054"/>
      <c r="DD67" s="1988">
        <f t="shared" si="3"/>
        <v>-26165788</v>
      </c>
      <c r="DE67" s="1988"/>
      <c r="DF67" s="1988"/>
      <c r="DG67" s="1988"/>
      <c r="DH67" s="1988"/>
      <c r="DI67" s="1988"/>
      <c r="DJ67" s="1988"/>
      <c r="DK67" s="1988"/>
      <c r="DL67" s="1988"/>
      <c r="DM67" s="1988"/>
      <c r="DN67" s="1988"/>
      <c r="DO67" s="1988"/>
      <c r="DP67" s="1988"/>
      <c r="DQ67" s="1988"/>
      <c r="DR67" s="1988"/>
      <c r="DS67" s="1988"/>
      <c r="DT67" s="1988"/>
      <c r="DU67" s="1988"/>
      <c r="DV67" s="1988"/>
      <c r="DW67" s="1988"/>
      <c r="DX67" s="1988"/>
      <c r="DY67" s="1988"/>
      <c r="DZ67" s="1988"/>
      <c r="EA67" s="1988"/>
      <c r="EB67" s="1988"/>
      <c r="EC67" s="1988"/>
      <c r="ED67" s="1988"/>
      <c r="EE67" s="1988"/>
      <c r="EF67" s="3054">
        <f>前年度貼付!$E$104</f>
        <v>83681239</v>
      </c>
      <c r="EG67" s="3054"/>
      <c r="EH67" s="3054"/>
      <c r="EI67" s="3054"/>
      <c r="EJ67" s="3054"/>
      <c r="EK67" s="3054"/>
      <c r="EL67" s="3054"/>
      <c r="EM67" s="3054"/>
      <c r="EN67" s="3054"/>
      <c r="EO67" s="3054"/>
      <c r="EP67" s="3054"/>
      <c r="EQ67" s="3054"/>
      <c r="ER67" s="3054"/>
      <c r="ES67" s="3054"/>
      <c r="ET67" s="3054"/>
      <c r="EU67" s="3054"/>
      <c r="EV67" s="3054"/>
      <c r="EW67" s="3054"/>
      <c r="EX67" s="3054"/>
      <c r="EY67" s="3054"/>
      <c r="EZ67" s="3054"/>
      <c r="FA67" s="3054"/>
      <c r="FB67" s="3054"/>
      <c r="FC67" s="3054"/>
      <c r="FD67" s="3054"/>
      <c r="FE67" s="3054"/>
      <c r="FF67" s="3054"/>
      <c r="FG67" s="3054"/>
      <c r="FH67" s="1988">
        <f t="shared" ref="FH67:FH73" si="6">CB67-EF67</f>
        <v>-21639027</v>
      </c>
      <c r="FI67" s="1988"/>
      <c r="FJ67" s="1988"/>
      <c r="FK67" s="1988"/>
      <c r="FL67" s="1988"/>
      <c r="FM67" s="1988"/>
      <c r="FN67" s="1988"/>
      <c r="FO67" s="1988"/>
      <c r="FP67" s="1988"/>
      <c r="FQ67" s="1988"/>
      <c r="FR67" s="1988"/>
      <c r="FS67" s="1988"/>
      <c r="FT67" s="1988"/>
      <c r="FU67" s="1988"/>
      <c r="FV67" s="1988"/>
      <c r="FW67" s="1988"/>
      <c r="FX67" s="1988"/>
      <c r="FY67" s="1988"/>
      <c r="FZ67" s="1988"/>
      <c r="GA67" s="1988"/>
      <c r="GB67" s="1988"/>
      <c r="GC67" s="1988"/>
      <c r="GD67" s="1988"/>
      <c r="GE67" s="1988"/>
      <c r="GF67" s="1988"/>
      <c r="GG67" s="1988"/>
      <c r="GH67" s="1988"/>
      <c r="GI67" s="1988"/>
    </row>
    <row r="68" spans="1:191" s="166" customFormat="1" ht="24" customHeight="1">
      <c r="A68" s="2002"/>
      <c r="B68" s="2002"/>
      <c r="C68" s="2002"/>
      <c r="D68" s="2002"/>
      <c r="E68" s="2002"/>
      <c r="F68" s="2002"/>
      <c r="G68" s="2002"/>
      <c r="H68" s="2002"/>
      <c r="I68" s="2002"/>
      <c r="J68" s="2002"/>
      <c r="K68" s="188"/>
      <c r="L68" s="189"/>
      <c r="M68" s="1932" t="s">
        <v>69</v>
      </c>
      <c r="N68" s="1932"/>
      <c r="O68" s="1932"/>
      <c r="P68" s="1932"/>
      <c r="Q68" s="1932"/>
      <c r="R68" s="1932"/>
      <c r="S68" s="1932"/>
      <c r="T68" s="1932"/>
      <c r="U68" s="1932"/>
      <c r="V68" s="1932"/>
      <c r="W68" s="1932"/>
      <c r="X68" s="1932"/>
      <c r="Y68" s="1932"/>
      <c r="Z68" s="1932"/>
      <c r="AA68" s="1932"/>
      <c r="AB68" s="1932"/>
      <c r="AC68" s="1932"/>
      <c r="AD68" s="1932"/>
      <c r="AE68" s="1932"/>
      <c r="AF68" s="1932"/>
      <c r="AG68" s="1932"/>
      <c r="AH68" s="1932"/>
      <c r="AI68" s="1932"/>
      <c r="AJ68" s="1932"/>
      <c r="AK68" s="1932"/>
      <c r="AL68" s="1932"/>
      <c r="AM68" s="1932"/>
      <c r="AN68" s="1932"/>
      <c r="AO68" s="1932"/>
      <c r="AP68" s="1932"/>
      <c r="AQ68" s="1932"/>
      <c r="AR68" s="1932"/>
      <c r="AS68" s="1932"/>
      <c r="AT68" s="1932"/>
      <c r="AU68" s="1932"/>
      <c r="AV68" s="1932"/>
      <c r="AW68" s="1932"/>
      <c r="AX68" s="174"/>
      <c r="AY68" s="191"/>
      <c r="AZ68" s="3053">
        <v>1071000</v>
      </c>
      <c r="BA68" s="3054"/>
      <c r="BB68" s="3054"/>
      <c r="BC68" s="3054"/>
      <c r="BD68" s="3054"/>
      <c r="BE68" s="3054"/>
      <c r="BF68" s="3054"/>
      <c r="BG68" s="3054"/>
      <c r="BH68" s="3054"/>
      <c r="BI68" s="3054"/>
      <c r="BJ68" s="3054"/>
      <c r="BK68" s="3054"/>
      <c r="BL68" s="3054"/>
      <c r="BM68" s="3054"/>
      <c r="BN68" s="3054"/>
      <c r="BO68" s="3054"/>
      <c r="BP68" s="3054"/>
      <c r="BQ68" s="3054"/>
      <c r="BR68" s="3054"/>
      <c r="BS68" s="3054"/>
      <c r="BT68" s="3054"/>
      <c r="BU68" s="3054"/>
      <c r="BV68" s="3054"/>
      <c r="BW68" s="3054"/>
      <c r="BX68" s="3054"/>
      <c r="BY68" s="3054"/>
      <c r="BZ68" s="3054"/>
      <c r="CA68" s="3054"/>
      <c r="CB68" s="3053">
        <v>965439</v>
      </c>
      <c r="CC68" s="3054"/>
      <c r="CD68" s="3054"/>
      <c r="CE68" s="3054"/>
      <c r="CF68" s="3054"/>
      <c r="CG68" s="3054"/>
      <c r="CH68" s="3054"/>
      <c r="CI68" s="3054"/>
      <c r="CJ68" s="3054"/>
      <c r="CK68" s="3054"/>
      <c r="CL68" s="3054"/>
      <c r="CM68" s="3054"/>
      <c r="CN68" s="3054"/>
      <c r="CO68" s="3054"/>
      <c r="CP68" s="3054"/>
      <c r="CQ68" s="3054"/>
      <c r="CR68" s="3054"/>
      <c r="CS68" s="3054"/>
      <c r="CT68" s="3054"/>
      <c r="CU68" s="3054"/>
      <c r="CV68" s="3054"/>
      <c r="CW68" s="3054"/>
      <c r="CX68" s="3054"/>
      <c r="CY68" s="3054"/>
      <c r="CZ68" s="3054"/>
      <c r="DA68" s="3054"/>
      <c r="DB68" s="3054"/>
      <c r="DC68" s="3054"/>
      <c r="DD68" s="1988">
        <f t="shared" si="3"/>
        <v>-105561</v>
      </c>
      <c r="DE68" s="1988"/>
      <c r="DF68" s="1988"/>
      <c r="DG68" s="1988"/>
      <c r="DH68" s="1988"/>
      <c r="DI68" s="1988"/>
      <c r="DJ68" s="1988"/>
      <c r="DK68" s="1988"/>
      <c r="DL68" s="1988"/>
      <c r="DM68" s="1988"/>
      <c r="DN68" s="1988"/>
      <c r="DO68" s="1988"/>
      <c r="DP68" s="1988"/>
      <c r="DQ68" s="1988"/>
      <c r="DR68" s="1988"/>
      <c r="DS68" s="1988"/>
      <c r="DT68" s="1988"/>
      <c r="DU68" s="1988"/>
      <c r="DV68" s="1988"/>
      <c r="DW68" s="1988"/>
      <c r="DX68" s="1988"/>
      <c r="DY68" s="1988"/>
      <c r="DZ68" s="1988"/>
      <c r="EA68" s="1988"/>
      <c r="EB68" s="1988"/>
      <c r="EC68" s="1988"/>
      <c r="ED68" s="1988"/>
      <c r="EE68" s="1988"/>
      <c r="EF68" s="3054">
        <f>前年度貼付!$E$105</f>
        <v>575890</v>
      </c>
      <c r="EG68" s="3054"/>
      <c r="EH68" s="3054"/>
      <c r="EI68" s="3054"/>
      <c r="EJ68" s="3054"/>
      <c r="EK68" s="3054"/>
      <c r="EL68" s="3054"/>
      <c r="EM68" s="3054"/>
      <c r="EN68" s="3054"/>
      <c r="EO68" s="3054"/>
      <c r="EP68" s="3054"/>
      <c r="EQ68" s="3054"/>
      <c r="ER68" s="3054"/>
      <c r="ES68" s="3054"/>
      <c r="ET68" s="3054"/>
      <c r="EU68" s="3054"/>
      <c r="EV68" s="3054"/>
      <c r="EW68" s="3054"/>
      <c r="EX68" s="3054"/>
      <c r="EY68" s="3054"/>
      <c r="EZ68" s="3054"/>
      <c r="FA68" s="3054"/>
      <c r="FB68" s="3054"/>
      <c r="FC68" s="3054"/>
      <c r="FD68" s="3054"/>
      <c r="FE68" s="3054"/>
      <c r="FF68" s="3054"/>
      <c r="FG68" s="3054"/>
      <c r="FH68" s="1988">
        <f t="shared" si="6"/>
        <v>389549</v>
      </c>
      <c r="FI68" s="1988"/>
      <c r="FJ68" s="1988"/>
      <c r="FK68" s="1988"/>
      <c r="FL68" s="1988"/>
      <c r="FM68" s="1988"/>
      <c r="FN68" s="1988"/>
      <c r="FO68" s="1988"/>
      <c r="FP68" s="1988"/>
      <c r="FQ68" s="1988"/>
      <c r="FR68" s="1988"/>
      <c r="FS68" s="1988"/>
      <c r="FT68" s="1988"/>
      <c r="FU68" s="1988"/>
      <c r="FV68" s="1988"/>
      <c r="FW68" s="1988"/>
      <c r="FX68" s="1988"/>
      <c r="FY68" s="1988"/>
      <c r="FZ68" s="1988"/>
      <c r="GA68" s="1988"/>
      <c r="GB68" s="1988"/>
      <c r="GC68" s="1988"/>
      <c r="GD68" s="1988"/>
      <c r="GE68" s="1988"/>
      <c r="GF68" s="1988"/>
      <c r="GG68" s="1988"/>
      <c r="GH68" s="1988"/>
      <c r="GI68" s="1988"/>
    </row>
    <row r="69" spans="1:191" s="166" customFormat="1" ht="24" customHeight="1">
      <c r="A69" s="2002"/>
      <c r="B69" s="2002"/>
      <c r="C69" s="2002"/>
      <c r="D69" s="2002"/>
      <c r="E69" s="2002"/>
      <c r="F69" s="2002"/>
      <c r="G69" s="2002"/>
      <c r="H69" s="2002"/>
      <c r="I69" s="2002"/>
      <c r="J69" s="2002"/>
      <c r="K69" s="188"/>
      <c r="L69" s="189"/>
      <c r="M69" s="1932" t="s">
        <v>70</v>
      </c>
      <c r="N69" s="1932"/>
      <c r="O69" s="1932"/>
      <c r="P69" s="1932"/>
      <c r="Q69" s="1932"/>
      <c r="R69" s="1932"/>
      <c r="S69" s="1932"/>
      <c r="T69" s="1932"/>
      <c r="U69" s="1932"/>
      <c r="V69" s="1932"/>
      <c r="W69" s="1932"/>
      <c r="X69" s="1932"/>
      <c r="Y69" s="1932"/>
      <c r="Z69" s="1932"/>
      <c r="AA69" s="1932"/>
      <c r="AB69" s="1932"/>
      <c r="AC69" s="1932"/>
      <c r="AD69" s="1932"/>
      <c r="AE69" s="1932"/>
      <c r="AF69" s="1932"/>
      <c r="AG69" s="1932"/>
      <c r="AH69" s="1932"/>
      <c r="AI69" s="1932"/>
      <c r="AJ69" s="1932"/>
      <c r="AK69" s="1932"/>
      <c r="AL69" s="1932"/>
      <c r="AM69" s="1932"/>
      <c r="AN69" s="1932"/>
      <c r="AO69" s="1932"/>
      <c r="AP69" s="1932"/>
      <c r="AQ69" s="1932"/>
      <c r="AR69" s="1932"/>
      <c r="AS69" s="1932"/>
      <c r="AT69" s="1932"/>
      <c r="AU69" s="1932"/>
      <c r="AV69" s="1932"/>
      <c r="AW69" s="1932"/>
      <c r="AX69" s="189"/>
      <c r="AY69" s="189"/>
      <c r="AZ69" s="3053">
        <v>1000</v>
      </c>
      <c r="BA69" s="3054"/>
      <c r="BB69" s="3054"/>
      <c r="BC69" s="3054"/>
      <c r="BD69" s="3054"/>
      <c r="BE69" s="3054"/>
      <c r="BF69" s="3054"/>
      <c r="BG69" s="3054"/>
      <c r="BH69" s="3054"/>
      <c r="BI69" s="3054"/>
      <c r="BJ69" s="3054"/>
      <c r="BK69" s="3054"/>
      <c r="BL69" s="3054"/>
      <c r="BM69" s="3054"/>
      <c r="BN69" s="3054"/>
      <c r="BO69" s="3054"/>
      <c r="BP69" s="3054"/>
      <c r="BQ69" s="3054"/>
      <c r="BR69" s="3054"/>
      <c r="BS69" s="3054"/>
      <c r="BT69" s="3054"/>
      <c r="BU69" s="3054"/>
      <c r="BV69" s="3054"/>
      <c r="BW69" s="3054"/>
      <c r="BX69" s="3054"/>
      <c r="BY69" s="3054"/>
      <c r="BZ69" s="3054"/>
      <c r="CA69" s="3054"/>
      <c r="CB69" s="3053">
        <v>0</v>
      </c>
      <c r="CC69" s="3054"/>
      <c r="CD69" s="3054"/>
      <c r="CE69" s="3054"/>
      <c r="CF69" s="3054"/>
      <c r="CG69" s="3054"/>
      <c r="CH69" s="3054"/>
      <c r="CI69" s="3054"/>
      <c r="CJ69" s="3054"/>
      <c r="CK69" s="3054"/>
      <c r="CL69" s="3054"/>
      <c r="CM69" s="3054"/>
      <c r="CN69" s="3054"/>
      <c r="CO69" s="3054"/>
      <c r="CP69" s="3054"/>
      <c r="CQ69" s="3054"/>
      <c r="CR69" s="3054"/>
      <c r="CS69" s="3054"/>
      <c r="CT69" s="3054"/>
      <c r="CU69" s="3054"/>
      <c r="CV69" s="3054"/>
      <c r="CW69" s="3054"/>
      <c r="CX69" s="3054"/>
      <c r="CY69" s="3054"/>
      <c r="CZ69" s="3054"/>
      <c r="DA69" s="3054"/>
      <c r="DB69" s="3054"/>
      <c r="DC69" s="3054"/>
      <c r="DD69" s="1988">
        <f t="shared" si="3"/>
        <v>-1000</v>
      </c>
      <c r="DE69" s="1988"/>
      <c r="DF69" s="1988"/>
      <c r="DG69" s="1988"/>
      <c r="DH69" s="1988"/>
      <c r="DI69" s="1988"/>
      <c r="DJ69" s="1988"/>
      <c r="DK69" s="1988"/>
      <c r="DL69" s="1988"/>
      <c r="DM69" s="1988"/>
      <c r="DN69" s="1988"/>
      <c r="DO69" s="1988"/>
      <c r="DP69" s="1988"/>
      <c r="DQ69" s="1988"/>
      <c r="DR69" s="1988"/>
      <c r="DS69" s="1988"/>
      <c r="DT69" s="1988"/>
      <c r="DU69" s="1988"/>
      <c r="DV69" s="1988"/>
      <c r="DW69" s="1988"/>
      <c r="DX69" s="1988"/>
      <c r="DY69" s="1988"/>
      <c r="DZ69" s="1988"/>
      <c r="EA69" s="1988"/>
      <c r="EB69" s="1988"/>
      <c r="EC69" s="1988"/>
      <c r="ED69" s="1988"/>
      <c r="EE69" s="1988"/>
      <c r="EF69" s="3054">
        <f>前年度貼付!$E$106</f>
        <v>0</v>
      </c>
      <c r="EG69" s="3054"/>
      <c r="EH69" s="3054"/>
      <c r="EI69" s="3054"/>
      <c r="EJ69" s="3054"/>
      <c r="EK69" s="3054"/>
      <c r="EL69" s="3054"/>
      <c r="EM69" s="3054"/>
      <c r="EN69" s="3054"/>
      <c r="EO69" s="3054"/>
      <c r="EP69" s="3054"/>
      <c r="EQ69" s="3054"/>
      <c r="ER69" s="3054"/>
      <c r="ES69" s="3054"/>
      <c r="ET69" s="3054"/>
      <c r="EU69" s="3054"/>
      <c r="EV69" s="3054"/>
      <c r="EW69" s="3054"/>
      <c r="EX69" s="3054"/>
      <c r="EY69" s="3054"/>
      <c r="EZ69" s="3054"/>
      <c r="FA69" s="3054"/>
      <c r="FB69" s="3054"/>
      <c r="FC69" s="3054"/>
      <c r="FD69" s="3054"/>
      <c r="FE69" s="3054"/>
      <c r="FF69" s="3054"/>
      <c r="FG69" s="3054"/>
      <c r="FH69" s="1988">
        <f t="shared" si="6"/>
        <v>0</v>
      </c>
      <c r="FI69" s="1988"/>
      <c r="FJ69" s="1988"/>
      <c r="FK69" s="1988"/>
      <c r="FL69" s="1988"/>
      <c r="FM69" s="1988"/>
      <c r="FN69" s="1988"/>
      <c r="FO69" s="1988"/>
      <c r="FP69" s="1988"/>
      <c r="FQ69" s="1988"/>
      <c r="FR69" s="1988"/>
      <c r="FS69" s="1988"/>
      <c r="FT69" s="1988"/>
      <c r="FU69" s="1988"/>
      <c r="FV69" s="1988"/>
      <c r="FW69" s="1988"/>
      <c r="FX69" s="1988"/>
      <c r="FY69" s="1988"/>
      <c r="FZ69" s="1988"/>
      <c r="GA69" s="1988"/>
      <c r="GB69" s="1988"/>
      <c r="GC69" s="1988"/>
      <c r="GD69" s="1988"/>
      <c r="GE69" s="1988"/>
      <c r="GF69" s="1988"/>
      <c r="GG69" s="1988"/>
      <c r="GH69" s="1988"/>
      <c r="GI69" s="1988"/>
    </row>
    <row r="70" spans="1:191" s="166" customFormat="1" ht="24" customHeight="1">
      <c r="A70" s="2002"/>
      <c r="B70" s="2002"/>
      <c r="C70" s="2002"/>
      <c r="D70" s="2002"/>
      <c r="E70" s="2002"/>
      <c r="F70" s="2002"/>
      <c r="G70" s="2002"/>
      <c r="H70" s="2002"/>
      <c r="I70" s="2002"/>
      <c r="J70" s="2002"/>
      <c r="K70" s="188"/>
      <c r="L70" s="189"/>
      <c r="M70" s="1932" t="s">
        <v>71</v>
      </c>
      <c r="N70" s="1932"/>
      <c r="O70" s="1932"/>
      <c r="P70" s="1932"/>
      <c r="Q70" s="1932"/>
      <c r="R70" s="1932"/>
      <c r="S70" s="1932"/>
      <c r="T70" s="1932"/>
      <c r="U70" s="1932"/>
      <c r="V70" s="1932"/>
      <c r="W70" s="1932"/>
      <c r="X70" s="1932"/>
      <c r="Y70" s="1932"/>
      <c r="Z70" s="1932"/>
      <c r="AA70" s="1932"/>
      <c r="AB70" s="1932"/>
      <c r="AC70" s="1932"/>
      <c r="AD70" s="1932"/>
      <c r="AE70" s="1932"/>
      <c r="AF70" s="1932"/>
      <c r="AG70" s="1932"/>
      <c r="AH70" s="1932"/>
      <c r="AI70" s="1932"/>
      <c r="AJ70" s="1932"/>
      <c r="AK70" s="1932"/>
      <c r="AL70" s="1932"/>
      <c r="AM70" s="1932"/>
      <c r="AN70" s="1932"/>
      <c r="AO70" s="1932"/>
      <c r="AP70" s="1932"/>
      <c r="AQ70" s="1932"/>
      <c r="AR70" s="1932"/>
      <c r="AS70" s="1932"/>
      <c r="AT70" s="1932"/>
      <c r="AU70" s="1932"/>
      <c r="AV70" s="1932"/>
      <c r="AW70" s="1932"/>
      <c r="AX70" s="189"/>
      <c r="AY70" s="189"/>
      <c r="AZ70" s="3053">
        <v>569000000</v>
      </c>
      <c r="BA70" s="3054"/>
      <c r="BB70" s="3054"/>
      <c r="BC70" s="3054"/>
      <c r="BD70" s="3054"/>
      <c r="BE70" s="3054"/>
      <c r="BF70" s="3054"/>
      <c r="BG70" s="3054"/>
      <c r="BH70" s="3054"/>
      <c r="BI70" s="3054"/>
      <c r="BJ70" s="3054"/>
      <c r="BK70" s="3054"/>
      <c r="BL70" s="3054"/>
      <c r="BM70" s="3054"/>
      <c r="BN70" s="3054"/>
      <c r="BO70" s="3054"/>
      <c r="BP70" s="3054"/>
      <c r="BQ70" s="3054"/>
      <c r="BR70" s="3054"/>
      <c r="BS70" s="3054"/>
      <c r="BT70" s="3054"/>
      <c r="BU70" s="3054"/>
      <c r="BV70" s="3054"/>
      <c r="BW70" s="3054"/>
      <c r="BX70" s="3054"/>
      <c r="BY70" s="3054"/>
      <c r="BZ70" s="3054"/>
      <c r="CA70" s="3054"/>
      <c r="CB70" s="3053">
        <v>568913474</v>
      </c>
      <c r="CC70" s="3054"/>
      <c r="CD70" s="3054"/>
      <c r="CE70" s="3054"/>
      <c r="CF70" s="3054"/>
      <c r="CG70" s="3054"/>
      <c r="CH70" s="3054"/>
      <c r="CI70" s="3054"/>
      <c r="CJ70" s="3054"/>
      <c r="CK70" s="3054"/>
      <c r="CL70" s="3054"/>
      <c r="CM70" s="3054"/>
      <c r="CN70" s="3054"/>
      <c r="CO70" s="3054"/>
      <c r="CP70" s="3054"/>
      <c r="CQ70" s="3054"/>
      <c r="CR70" s="3054"/>
      <c r="CS70" s="3054"/>
      <c r="CT70" s="3054"/>
      <c r="CU70" s="3054"/>
      <c r="CV70" s="3054"/>
      <c r="CW70" s="3054"/>
      <c r="CX70" s="3054"/>
      <c r="CY70" s="3054"/>
      <c r="CZ70" s="3054"/>
      <c r="DA70" s="3054"/>
      <c r="DB70" s="3054"/>
      <c r="DC70" s="3054"/>
      <c r="DD70" s="1988">
        <f t="shared" si="3"/>
        <v>-86526</v>
      </c>
      <c r="DE70" s="1988"/>
      <c r="DF70" s="1988"/>
      <c r="DG70" s="1988"/>
      <c r="DH70" s="1988"/>
      <c r="DI70" s="1988"/>
      <c r="DJ70" s="1988"/>
      <c r="DK70" s="1988"/>
      <c r="DL70" s="1988"/>
      <c r="DM70" s="1988"/>
      <c r="DN70" s="1988"/>
      <c r="DO70" s="1988"/>
      <c r="DP70" s="1988"/>
      <c r="DQ70" s="1988"/>
      <c r="DR70" s="1988"/>
      <c r="DS70" s="1988"/>
      <c r="DT70" s="1988"/>
      <c r="DU70" s="1988"/>
      <c r="DV70" s="1988"/>
      <c r="DW70" s="1988"/>
      <c r="DX70" s="1988"/>
      <c r="DY70" s="1988"/>
      <c r="DZ70" s="1988"/>
      <c r="EA70" s="1988"/>
      <c r="EB70" s="1988"/>
      <c r="EC70" s="1988"/>
      <c r="ED70" s="1988"/>
      <c r="EE70" s="1988"/>
      <c r="EF70" s="3054">
        <f>前年度貼付!$E$107</f>
        <v>510785757</v>
      </c>
      <c r="EG70" s="3054"/>
      <c r="EH70" s="3054"/>
      <c r="EI70" s="3054"/>
      <c r="EJ70" s="3054"/>
      <c r="EK70" s="3054"/>
      <c r="EL70" s="3054"/>
      <c r="EM70" s="3054"/>
      <c r="EN70" s="3054"/>
      <c r="EO70" s="3054"/>
      <c r="EP70" s="3054"/>
      <c r="EQ70" s="3054"/>
      <c r="ER70" s="3054"/>
      <c r="ES70" s="3054"/>
      <c r="ET70" s="3054"/>
      <c r="EU70" s="3054"/>
      <c r="EV70" s="3054"/>
      <c r="EW70" s="3054"/>
      <c r="EX70" s="3054"/>
      <c r="EY70" s="3054"/>
      <c r="EZ70" s="3054"/>
      <c r="FA70" s="3054"/>
      <c r="FB70" s="3054"/>
      <c r="FC70" s="3054"/>
      <c r="FD70" s="3054"/>
      <c r="FE70" s="3054"/>
      <c r="FF70" s="3054"/>
      <c r="FG70" s="3054"/>
      <c r="FH70" s="1988">
        <f t="shared" si="6"/>
        <v>58127717</v>
      </c>
      <c r="FI70" s="1988"/>
      <c r="FJ70" s="1988"/>
      <c r="FK70" s="1988"/>
      <c r="FL70" s="1988"/>
      <c r="FM70" s="1988"/>
      <c r="FN70" s="1988"/>
      <c r="FO70" s="1988"/>
      <c r="FP70" s="1988"/>
      <c r="FQ70" s="1988"/>
      <c r="FR70" s="1988"/>
      <c r="FS70" s="1988"/>
      <c r="FT70" s="1988"/>
      <c r="FU70" s="1988"/>
      <c r="FV70" s="1988"/>
      <c r="FW70" s="1988"/>
      <c r="FX70" s="1988"/>
      <c r="FY70" s="1988"/>
      <c r="FZ70" s="1988"/>
      <c r="GA70" s="1988"/>
      <c r="GB70" s="1988"/>
      <c r="GC70" s="1988"/>
      <c r="GD70" s="1988"/>
      <c r="GE70" s="1988"/>
      <c r="GF70" s="1988"/>
      <c r="GG70" s="1988"/>
      <c r="GH70" s="1988"/>
      <c r="GI70" s="1988"/>
    </row>
    <row r="71" spans="1:191" s="166" customFormat="1" ht="24" customHeight="1">
      <c r="A71" s="2002"/>
      <c r="B71" s="2002"/>
      <c r="C71" s="2002"/>
      <c r="D71" s="2002"/>
      <c r="E71" s="2002"/>
      <c r="F71" s="2002"/>
      <c r="G71" s="2002"/>
      <c r="H71" s="2002"/>
      <c r="I71" s="2002"/>
      <c r="J71" s="2002"/>
      <c r="K71" s="188"/>
      <c r="L71" s="189"/>
      <c r="M71" s="3055" t="s">
        <v>72</v>
      </c>
      <c r="N71" s="3055"/>
      <c r="O71" s="3055"/>
      <c r="P71" s="3055"/>
      <c r="Q71" s="3055"/>
      <c r="R71" s="3055"/>
      <c r="S71" s="3055"/>
      <c r="T71" s="3055"/>
      <c r="U71" s="3055"/>
      <c r="V71" s="3055"/>
      <c r="W71" s="3055"/>
      <c r="X71" s="3055"/>
      <c r="Y71" s="3055"/>
      <c r="Z71" s="3055"/>
      <c r="AA71" s="3055"/>
      <c r="AB71" s="3055"/>
      <c r="AC71" s="3055"/>
      <c r="AD71" s="3055"/>
      <c r="AE71" s="3055"/>
      <c r="AF71" s="3055"/>
      <c r="AG71" s="3055"/>
      <c r="AH71" s="3055"/>
      <c r="AI71" s="3055"/>
      <c r="AJ71" s="3055"/>
      <c r="AK71" s="3055"/>
      <c r="AL71" s="3055"/>
      <c r="AM71" s="3055"/>
      <c r="AN71" s="3055"/>
      <c r="AO71" s="3055"/>
      <c r="AP71" s="3055"/>
      <c r="AQ71" s="3055"/>
      <c r="AR71" s="3055"/>
      <c r="AS71" s="3055"/>
      <c r="AT71" s="3055"/>
      <c r="AU71" s="3055"/>
      <c r="AV71" s="3055"/>
      <c r="AW71" s="3055"/>
      <c r="AX71" s="189"/>
      <c r="AY71" s="189"/>
      <c r="AZ71" s="3053">
        <v>9725000</v>
      </c>
      <c r="BA71" s="3054"/>
      <c r="BB71" s="3054"/>
      <c r="BC71" s="3054"/>
      <c r="BD71" s="3054"/>
      <c r="BE71" s="3054"/>
      <c r="BF71" s="3054"/>
      <c r="BG71" s="3054"/>
      <c r="BH71" s="3054"/>
      <c r="BI71" s="3054"/>
      <c r="BJ71" s="3054"/>
      <c r="BK71" s="3054"/>
      <c r="BL71" s="3054"/>
      <c r="BM71" s="3054"/>
      <c r="BN71" s="3054"/>
      <c r="BO71" s="3054"/>
      <c r="BP71" s="3054"/>
      <c r="BQ71" s="3054"/>
      <c r="BR71" s="3054"/>
      <c r="BS71" s="3054"/>
      <c r="BT71" s="3054"/>
      <c r="BU71" s="3054"/>
      <c r="BV71" s="3054"/>
      <c r="BW71" s="3054"/>
      <c r="BX71" s="3054"/>
      <c r="BY71" s="3054"/>
      <c r="BZ71" s="3054"/>
      <c r="CA71" s="3054"/>
      <c r="CB71" s="3053">
        <v>9328251</v>
      </c>
      <c r="CC71" s="3054"/>
      <c r="CD71" s="3054"/>
      <c r="CE71" s="3054"/>
      <c r="CF71" s="3054"/>
      <c r="CG71" s="3054"/>
      <c r="CH71" s="3054"/>
      <c r="CI71" s="3054"/>
      <c r="CJ71" s="3054"/>
      <c r="CK71" s="3054"/>
      <c r="CL71" s="3054"/>
      <c r="CM71" s="3054"/>
      <c r="CN71" s="3054"/>
      <c r="CO71" s="3054"/>
      <c r="CP71" s="3054"/>
      <c r="CQ71" s="3054"/>
      <c r="CR71" s="3054"/>
      <c r="CS71" s="3054"/>
      <c r="CT71" s="3054"/>
      <c r="CU71" s="3054"/>
      <c r="CV71" s="3054"/>
      <c r="CW71" s="3054"/>
      <c r="CX71" s="3054"/>
      <c r="CY71" s="3054"/>
      <c r="CZ71" s="3054"/>
      <c r="DA71" s="3054"/>
      <c r="DB71" s="3054"/>
      <c r="DC71" s="3054"/>
      <c r="DD71" s="1988">
        <f t="shared" si="3"/>
        <v>-396749</v>
      </c>
      <c r="DE71" s="1988"/>
      <c r="DF71" s="1988"/>
      <c r="DG71" s="1988"/>
      <c r="DH71" s="1988"/>
      <c r="DI71" s="1988"/>
      <c r="DJ71" s="1988"/>
      <c r="DK71" s="1988"/>
      <c r="DL71" s="1988"/>
      <c r="DM71" s="1988"/>
      <c r="DN71" s="1988"/>
      <c r="DO71" s="1988"/>
      <c r="DP71" s="1988"/>
      <c r="DQ71" s="1988"/>
      <c r="DR71" s="1988"/>
      <c r="DS71" s="1988"/>
      <c r="DT71" s="1988"/>
      <c r="DU71" s="1988"/>
      <c r="DV71" s="1988"/>
      <c r="DW71" s="1988"/>
      <c r="DX71" s="1988"/>
      <c r="DY71" s="1988"/>
      <c r="DZ71" s="1988"/>
      <c r="EA71" s="1988"/>
      <c r="EB71" s="1988"/>
      <c r="EC71" s="1988"/>
      <c r="ED71" s="1988"/>
      <c r="EE71" s="1988"/>
      <c r="EF71" s="3054">
        <f>前年度貼付!$E$108</f>
        <v>0</v>
      </c>
      <c r="EG71" s="3054"/>
      <c r="EH71" s="3054"/>
      <c r="EI71" s="3054"/>
      <c r="EJ71" s="3054"/>
      <c r="EK71" s="3054"/>
      <c r="EL71" s="3054"/>
      <c r="EM71" s="3054"/>
      <c r="EN71" s="3054"/>
      <c r="EO71" s="3054"/>
      <c r="EP71" s="3054"/>
      <c r="EQ71" s="3054"/>
      <c r="ER71" s="3054"/>
      <c r="ES71" s="3054"/>
      <c r="ET71" s="3054"/>
      <c r="EU71" s="3054"/>
      <c r="EV71" s="3054"/>
      <c r="EW71" s="3054"/>
      <c r="EX71" s="3054"/>
      <c r="EY71" s="3054"/>
      <c r="EZ71" s="3054"/>
      <c r="FA71" s="3054"/>
      <c r="FB71" s="3054"/>
      <c r="FC71" s="3054"/>
      <c r="FD71" s="3054"/>
      <c r="FE71" s="3054"/>
      <c r="FF71" s="3054"/>
      <c r="FG71" s="3054"/>
      <c r="FH71" s="1988">
        <f t="shared" si="6"/>
        <v>9328251</v>
      </c>
      <c r="FI71" s="1988"/>
      <c r="FJ71" s="1988"/>
      <c r="FK71" s="1988"/>
      <c r="FL71" s="1988"/>
      <c r="FM71" s="1988"/>
      <c r="FN71" s="1988"/>
      <c r="FO71" s="1988"/>
      <c r="FP71" s="1988"/>
      <c r="FQ71" s="1988"/>
      <c r="FR71" s="1988"/>
      <c r="FS71" s="1988"/>
      <c r="FT71" s="1988"/>
      <c r="FU71" s="1988"/>
      <c r="FV71" s="1988"/>
      <c r="FW71" s="1988"/>
      <c r="FX71" s="1988"/>
      <c r="FY71" s="1988"/>
      <c r="FZ71" s="1988"/>
      <c r="GA71" s="1988"/>
      <c r="GB71" s="1988"/>
      <c r="GC71" s="1988"/>
      <c r="GD71" s="1988"/>
      <c r="GE71" s="1988"/>
      <c r="GF71" s="1988"/>
      <c r="GG71" s="1988"/>
      <c r="GH71" s="1988"/>
      <c r="GI71" s="1988"/>
    </row>
    <row r="72" spans="1:191" s="166" customFormat="1" ht="24" customHeight="1">
      <c r="A72" s="2002"/>
      <c r="B72" s="2002"/>
      <c r="C72" s="2002"/>
      <c r="D72" s="2002"/>
      <c r="E72" s="2002"/>
      <c r="F72" s="2002"/>
      <c r="G72" s="2002"/>
      <c r="H72" s="2002"/>
      <c r="I72" s="2002"/>
      <c r="J72" s="2002"/>
      <c r="K72" s="188"/>
      <c r="L72" s="189"/>
      <c r="M72" s="1932" t="s">
        <v>73</v>
      </c>
      <c r="N72" s="1932"/>
      <c r="O72" s="1932"/>
      <c r="P72" s="1932"/>
      <c r="Q72" s="1932"/>
      <c r="R72" s="1932"/>
      <c r="S72" s="1932"/>
      <c r="T72" s="1932"/>
      <c r="U72" s="1932"/>
      <c r="V72" s="1932"/>
      <c r="W72" s="1932"/>
      <c r="X72" s="1932"/>
      <c r="Y72" s="1932"/>
      <c r="Z72" s="1932"/>
      <c r="AA72" s="1932"/>
      <c r="AB72" s="1932"/>
      <c r="AC72" s="1932"/>
      <c r="AD72" s="1932"/>
      <c r="AE72" s="1932"/>
      <c r="AF72" s="1932"/>
      <c r="AG72" s="1932"/>
      <c r="AH72" s="1932"/>
      <c r="AI72" s="1932"/>
      <c r="AJ72" s="1932"/>
      <c r="AK72" s="1932"/>
      <c r="AL72" s="1932"/>
      <c r="AM72" s="1932"/>
      <c r="AN72" s="1932"/>
      <c r="AO72" s="1932"/>
      <c r="AP72" s="1932"/>
      <c r="AQ72" s="1932"/>
      <c r="AR72" s="1932"/>
      <c r="AS72" s="1932"/>
      <c r="AT72" s="1932"/>
      <c r="AU72" s="1932"/>
      <c r="AV72" s="1932"/>
      <c r="AW72" s="1932"/>
      <c r="AX72" s="211"/>
      <c r="AY72" s="211"/>
      <c r="AZ72" s="3053">
        <v>4215000</v>
      </c>
      <c r="BA72" s="3054"/>
      <c r="BB72" s="3054"/>
      <c r="BC72" s="3054"/>
      <c r="BD72" s="3054"/>
      <c r="BE72" s="3054"/>
      <c r="BF72" s="3054"/>
      <c r="BG72" s="3054"/>
      <c r="BH72" s="3054"/>
      <c r="BI72" s="3054"/>
      <c r="BJ72" s="3054"/>
      <c r="BK72" s="3054"/>
      <c r="BL72" s="3054"/>
      <c r="BM72" s="3054"/>
      <c r="BN72" s="3054"/>
      <c r="BO72" s="3054"/>
      <c r="BP72" s="3054"/>
      <c r="BQ72" s="3054"/>
      <c r="BR72" s="3054"/>
      <c r="BS72" s="3054"/>
      <c r="BT72" s="3054"/>
      <c r="BU72" s="3054"/>
      <c r="BV72" s="3054"/>
      <c r="BW72" s="3054"/>
      <c r="BX72" s="3054"/>
      <c r="BY72" s="3054"/>
      <c r="BZ72" s="3054"/>
      <c r="CA72" s="3054"/>
      <c r="CB72" s="3053">
        <v>3608457</v>
      </c>
      <c r="CC72" s="3054"/>
      <c r="CD72" s="3054"/>
      <c r="CE72" s="3054"/>
      <c r="CF72" s="3054"/>
      <c r="CG72" s="3054"/>
      <c r="CH72" s="3054"/>
      <c r="CI72" s="3054"/>
      <c r="CJ72" s="3054"/>
      <c r="CK72" s="3054"/>
      <c r="CL72" s="3054"/>
      <c r="CM72" s="3054"/>
      <c r="CN72" s="3054"/>
      <c r="CO72" s="3054"/>
      <c r="CP72" s="3054"/>
      <c r="CQ72" s="3054"/>
      <c r="CR72" s="3054"/>
      <c r="CS72" s="3054"/>
      <c r="CT72" s="3054"/>
      <c r="CU72" s="3054"/>
      <c r="CV72" s="3054"/>
      <c r="CW72" s="3054"/>
      <c r="CX72" s="3054"/>
      <c r="CY72" s="3054"/>
      <c r="CZ72" s="3054"/>
      <c r="DA72" s="3054"/>
      <c r="DB72" s="3054"/>
      <c r="DC72" s="3054"/>
      <c r="DD72" s="1988">
        <f t="shared" si="3"/>
        <v>-606543</v>
      </c>
      <c r="DE72" s="1988"/>
      <c r="DF72" s="1988"/>
      <c r="DG72" s="1988"/>
      <c r="DH72" s="1988"/>
      <c r="DI72" s="1988"/>
      <c r="DJ72" s="1988"/>
      <c r="DK72" s="1988"/>
      <c r="DL72" s="1988"/>
      <c r="DM72" s="1988"/>
      <c r="DN72" s="1988"/>
      <c r="DO72" s="1988"/>
      <c r="DP72" s="1988"/>
      <c r="DQ72" s="1988"/>
      <c r="DR72" s="1988"/>
      <c r="DS72" s="1988"/>
      <c r="DT72" s="1988"/>
      <c r="DU72" s="1988"/>
      <c r="DV72" s="1988"/>
      <c r="DW72" s="1988"/>
      <c r="DX72" s="1988"/>
      <c r="DY72" s="1988"/>
      <c r="DZ72" s="1988"/>
      <c r="EA72" s="1988"/>
      <c r="EB72" s="1988"/>
      <c r="EC72" s="1988"/>
      <c r="ED72" s="1988"/>
      <c r="EE72" s="1988"/>
      <c r="EF72" s="3054">
        <f>前年度貼付!$E$109</f>
        <v>1867491</v>
      </c>
      <c r="EG72" s="3054"/>
      <c r="EH72" s="3054"/>
      <c r="EI72" s="3054"/>
      <c r="EJ72" s="3054"/>
      <c r="EK72" s="3054"/>
      <c r="EL72" s="3054"/>
      <c r="EM72" s="3054"/>
      <c r="EN72" s="3054"/>
      <c r="EO72" s="3054"/>
      <c r="EP72" s="3054"/>
      <c r="EQ72" s="3054"/>
      <c r="ER72" s="3054"/>
      <c r="ES72" s="3054"/>
      <c r="ET72" s="3054"/>
      <c r="EU72" s="3054"/>
      <c r="EV72" s="3054"/>
      <c r="EW72" s="3054"/>
      <c r="EX72" s="3054"/>
      <c r="EY72" s="3054"/>
      <c r="EZ72" s="3054"/>
      <c r="FA72" s="3054"/>
      <c r="FB72" s="3054"/>
      <c r="FC72" s="3054"/>
      <c r="FD72" s="3054"/>
      <c r="FE72" s="3054"/>
      <c r="FF72" s="3054"/>
      <c r="FG72" s="3054"/>
      <c r="FH72" s="1988">
        <f t="shared" si="6"/>
        <v>1740966</v>
      </c>
      <c r="FI72" s="1988"/>
      <c r="FJ72" s="1988"/>
      <c r="FK72" s="1988"/>
      <c r="FL72" s="1988"/>
      <c r="FM72" s="1988"/>
      <c r="FN72" s="1988"/>
      <c r="FO72" s="1988"/>
      <c r="FP72" s="1988"/>
      <c r="FQ72" s="1988"/>
      <c r="FR72" s="1988"/>
      <c r="FS72" s="1988"/>
      <c r="FT72" s="1988"/>
      <c r="FU72" s="1988"/>
      <c r="FV72" s="1988"/>
      <c r="FW72" s="1988"/>
      <c r="FX72" s="1988"/>
      <c r="FY72" s="1988"/>
      <c r="FZ72" s="1988"/>
      <c r="GA72" s="1988"/>
      <c r="GB72" s="1988"/>
      <c r="GC72" s="1988"/>
      <c r="GD72" s="1988"/>
      <c r="GE72" s="1988"/>
      <c r="GF72" s="1988"/>
      <c r="GG72" s="1988"/>
      <c r="GH72" s="1988"/>
      <c r="GI72" s="1988"/>
    </row>
    <row r="73" spans="1:191" s="166" customFormat="1" ht="24" customHeight="1">
      <c r="A73" s="2002"/>
      <c r="B73" s="2002"/>
      <c r="C73" s="2002"/>
      <c r="D73" s="2002"/>
      <c r="E73" s="2002"/>
      <c r="F73" s="2002"/>
      <c r="G73" s="2002"/>
      <c r="H73" s="2002"/>
      <c r="I73" s="2002"/>
      <c r="J73" s="2002"/>
      <c r="K73" s="188"/>
      <c r="L73" s="189"/>
      <c r="M73" s="3055" t="s">
        <v>74</v>
      </c>
      <c r="N73" s="3055"/>
      <c r="O73" s="3055"/>
      <c r="P73" s="3055"/>
      <c r="Q73" s="3055"/>
      <c r="R73" s="3055"/>
      <c r="S73" s="3055"/>
      <c r="T73" s="3055"/>
      <c r="U73" s="3055"/>
      <c r="V73" s="3055"/>
      <c r="W73" s="3055"/>
      <c r="X73" s="3055"/>
      <c r="Y73" s="3055"/>
      <c r="Z73" s="3055"/>
      <c r="AA73" s="3055"/>
      <c r="AB73" s="3055"/>
      <c r="AC73" s="3055"/>
      <c r="AD73" s="3055"/>
      <c r="AE73" s="3055"/>
      <c r="AF73" s="3055"/>
      <c r="AG73" s="3055"/>
      <c r="AH73" s="3055"/>
      <c r="AI73" s="3055"/>
      <c r="AJ73" s="3055"/>
      <c r="AK73" s="3055"/>
      <c r="AL73" s="3055"/>
      <c r="AM73" s="3055"/>
      <c r="AN73" s="3055"/>
      <c r="AO73" s="3055"/>
      <c r="AP73" s="3055"/>
      <c r="AQ73" s="3055"/>
      <c r="AR73" s="3055"/>
      <c r="AS73" s="3055"/>
      <c r="AT73" s="3055"/>
      <c r="AU73" s="3055"/>
      <c r="AV73" s="3055"/>
      <c r="AW73" s="3055"/>
      <c r="AX73" s="211"/>
      <c r="AY73" s="211"/>
      <c r="AZ73" s="3053">
        <v>4252000</v>
      </c>
      <c r="BA73" s="3054"/>
      <c r="BB73" s="3054"/>
      <c r="BC73" s="3054"/>
      <c r="BD73" s="3054"/>
      <c r="BE73" s="3054"/>
      <c r="BF73" s="3054"/>
      <c r="BG73" s="3054"/>
      <c r="BH73" s="3054"/>
      <c r="BI73" s="3054"/>
      <c r="BJ73" s="3054"/>
      <c r="BK73" s="3054"/>
      <c r="BL73" s="3054"/>
      <c r="BM73" s="3054"/>
      <c r="BN73" s="3054"/>
      <c r="BO73" s="3054"/>
      <c r="BP73" s="3054"/>
      <c r="BQ73" s="3054"/>
      <c r="BR73" s="3054"/>
      <c r="BS73" s="3054"/>
      <c r="BT73" s="3054"/>
      <c r="BU73" s="3054"/>
      <c r="BV73" s="3054"/>
      <c r="BW73" s="3054"/>
      <c r="BX73" s="3054"/>
      <c r="BY73" s="3054"/>
      <c r="BZ73" s="3054"/>
      <c r="CA73" s="3054"/>
      <c r="CB73" s="3053">
        <v>5476402</v>
      </c>
      <c r="CC73" s="3054"/>
      <c r="CD73" s="3054"/>
      <c r="CE73" s="3054"/>
      <c r="CF73" s="3054"/>
      <c r="CG73" s="3054"/>
      <c r="CH73" s="3054"/>
      <c r="CI73" s="3054"/>
      <c r="CJ73" s="3054"/>
      <c r="CK73" s="3054"/>
      <c r="CL73" s="3054"/>
      <c r="CM73" s="3054"/>
      <c r="CN73" s="3054"/>
      <c r="CO73" s="3054"/>
      <c r="CP73" s="3054"/>
      <c r="CQ73" s="3054"/>
      <c r="CR73" s="3054"/>
      <c r="CS73" s="3054"/>
      <c r="CT73" s="3054"/>
      <c r="CU73" s="3054"/>
      <c r="CV73" s="3054"/>
      <c r="CW73" s="3054"/>
      <c r="CX73" s="3054"/>
      <c r="CY73" s="3054"/>
      <c r="CZ73" s="3054"/>
      <c r="DA73" s="3054"/>
      <c r="DB73" s="3054"/>
      <c r="DC73" s="3054"/>
      <c r="DD73" s="1988">
        <f t="shared" si="3"/>
        <v>1224402</v>
      </c>
      <c r="DE73" s="1988"/>
      <c r="DF73" s="1988"/>
      <c r="DG73" s="1988"/>
      <c r="DH73" s="1988"/>
      <c r="DI73" s="1988"/>
      <c r="DJ73" s="1988"/>
      <c r="DK73" s="1988"/>
      <c r="DL73" s="1988"/>
      <c r="DM73" s="1988"/>
      <c r="DN73" s="1988"/>
      <c r="DO73" s="1988"/>
      <c r="DP73" s="1988"/>
      <c r="DQ73" s="1988"/>
      <c r="DR73" s="1988"/>
      <c r="DS73" s="1988"/>
      <c r="DT73" s="1988"/>
      <c r="DU73" s="1988"/>
      <c r="DV73" s="1988"/>
      <c r="DW73" s="1988"/>
      <c r="DX73" s="1988"/>
      <c r="DY73" s="1988"/>
      <c r="DZ73" s="1988"/>
      <c r="EA73" s="1988"/>
      <c r="EB73" s="1988"/>
      <c r="EC73" s="1988"/>
      <c r="ED73" s="1988"/>
      <c r="EE73" s="1988"/>
      <c r="EF73" s="3054">
        <f>前年度貼付!$E$110</f>
        <v>0</v>
      </c>
      <c r="EG73" s="3054"/>
      <c r="EH73" s="3054"/>
      <c r="EI73" s="3054"/>
      <c r="EJ73" s="3054"/>
      <c r="EK73" s="3054"/>
      <c r="EL73" s="3054"/>
      <c r="EM73" s="3054"/>
      <c r="EN73" s="3054"/>
      <c r="EO73" s="3054"/>
      <c r="EP73" s="3054"/>
      <c r="EQ73" s="3054"/>
      <c r="ER73" s="3054"/>
      <c r="ES73" s="3054"/>
      <c r="ET73" s="3054"/>
      <c r="EU73" s="3054"/>
      <c r="EV73" s="3054"/>
      <c r="EW73" s="3054"/>
      <c r="EX73" s="3054"/>
      <c r="EY73" s="3054"/>
      <c r="EZ73" s="3054"/>
      <c r="FA73" s="3054"/>
      <c r="FB73" s="3054"/>
      <c r="FC73" s="3054"/>
      <c r="FD73" s="3054"/>
      <c r="FE73" s="3054"/>
      <c r="FF73" s="3054"/>
      <c r="FG73" s="3054"/>
      <c r="FH73" s="1988">
        <f t="shared" si="6"/>
        <v>5476402</v>
      </c>
      <c r="FI73" s="1988"/>
      <c r="FJ73" s="1988"/>
      <c r="FK73" s="1988"/>
      <c r="FL73" s="1988"/>
      <c r="FM73" s="1988"/>
      <c r="FN73" s="1988"/>
      <c r="FO73" s="1988"/>
      <c r="FP73" s="1988"/>
      <c r="FQ73" s="1988"/>
      <c r="FR73" s="1988"/>
      <c r="FS73" s="1988"/>
      <c r="FT73" s="1988"/>
      <c r="FU73" s="1988"/>
      <c r="FV73" s="1988"/>
      <c r="FW73" s="1988"/>
      <c r="FX73" s="1988"/>
      <c r="FY73" s="1988"/>
      <c r="FZ73" s="1988"/>
      <c r="GA73" s="1988"/>
      <c r="GB73" s="1988"/>
      <c r="GC73" s="1988"/>
      <c r="GD73" s="1988"/>
      <c r="GE73" s="1988"/>
      <c r="GF73" s="1988"/>
      <c r="GG73" s="1988"/>
      <c r="GH73" s="1988"/>
      <c r="GI73" s="1988"/>
    </row>
    <row r="74" spans="1:191" s="166" customFormat="1" ht="24" customHeight="1">
      <c r="A74" s="2002"/>
      <c r="B74" s="2002"/>
      <c r="C74" s="2002"/>
      <c r="D74" s="2002"/>
      <c r="E74" s="2002"/>
      <c r="F74" s="2002"/>
      <c r="G74" s="2002"/>
      <c r="H74" s="2002"/>
      <c r="I74" s="2002"/>
      <c r="J74" s="2002"/>
      <c r="K74" s="190"/>
      <c r="L74" s="191"/>
      <c r="M74" s="2008" t="s">
        <v>435</v>
      </c>
      <c r="N74" s="2008"/>
      <c r="O74" s="2008"/>
      <c r="P74" s="2008"/>
      <c r="Q74" s="2008"/>
      <c r="R74" s="2008"/>
      <c r="S74" s="2008"/>
      <c r="T74" s="2008"/>
      <c r="U74" s="2008"/>
      <c r="V74" s="2008"/>
      <c r="W74" s="2008"/>
      <c r="X74" s="2008"/>
      <c r="Y74" s="2008"/>
      <c r="Z74" s="2008"/>
      <c r="AA74" s="2008"/>
      <c r="AB74" s="2008"/>
      <c r="AC74" s="2008"/>
      <c r="AD74" s="2008"/>
      <c r="AE74" s="2008"/>
      <c r="AF74" s="2008"/>
      <c r="AG74" s="2008"/>
      <c r="AH74" s="2008"/>
      <c r="AI74" s="2008"/>
      <c r="AJ74" s="2008"/>
      <c r="AK74" s="2008"/>
      <c r="AL74" s="2008"/>
      <c r="AM74" s="2008"/>
      <c r="AN74" s="2008"/>
      <c r="AO74" s="2008"/>
      <c r="AP74" s="2008"/>
      <c r="AQ74" s="2008"/>
      <c r="AR74" s="2008"/>
      <c r="AS74" s="2008"/>
      <c r="AT74" s="2008"/>
      <c r="AU74" s="2008"/>
      <c r="AV74" s="2008"/>
      <c r="AW74" s="2008"/>
      <c r="AX74" s="189"/>
      <c r="AY74" s="197"/>
      <c r="AZ74" s="2009">
        <f>SUM(AZ67:CA73)</f>
        <v>676472000</v>
      </c>
      <c r="BA74" s="2009"/>
      <c r="BB74" s="2009"/>
      <c r="BC74" s="2009"/>
      <c r="BD74" s="2009"/>
      <c r="BE74" s="2009"/>
      <c r="BF74" s="2009"/>
      <c r="BG74" s="2009"/>
      <c r="BH74" s="2009"/>
      <c r="BI74" s="2009"/>
      <c r="BJ74" s="2009"/>
      <c r="BK74" s="2009"/>
      <c r="BL74" s="2009"/>
      <c r="BM74" s="2009"/>
      <c r="BN74" s="2009"/>
      <c r="BO74" s="2009"/>
      <c r="BP74" s="2009"/>
      <c r="BQ74" s="2009"/>
      <c r="BR74" s="2009"/>
      <c r="BS74" s="2009"/>
      <c r="BT74" s="2009"/>
      <c r="BU74" s="2009"/>
      <c r="BV74" s="2009"/>
      <c r="BW74" s="2009"/>
      <c r="BX74" s="2009"/>
      <c r="BY74" s="2009"/>
      <c r="BZ74" s="2009"/>
      <c r="CA74" s="2009"/>
      <c r="CB74" s="2006">
        <f>SUM(CB67:DC73)</f>
        <v>650334235</v>
      </c>
      <c r="CC74" s="2006"/>
      <c r="CD74" s="2006"/>
      <c r="CE74" s="2006"/>
      <c r="CF74" s="2006"/>
      <c r="CG74" s="2006"/>
      <c r="CH74" s="2006"/>
      <c r="CI74" s="2006"/>
      <c r="CJ74" s="2006"/>
      <c r="CK74" s="2006"/>
      <c r="CL74" s="2006"/>
      <c r="CM74" s="2006"/>
      <c r="CN74" s="2006"/>
      <c r="CO74" s="2006"/>
      <c r="CP74" s="2006"/>
      <c r="CQ74" s="2006"/>
      <c r="CR74" s="2006"/>
      <c r="CS74" s="2006"/>
      <c r="CT74" s="2006"/>
      <c r="CU74" s="2006"/>
      <c r="CV74" s="2006"/>
      <c r="CW74" s="2006"/>
      <c r="CX74" s="2006"/>
      <c r="CY74" s="2006"/>
      <c r="CZ74" s="2006"/>
      <c r="DA74" s="2006"/>
      <c r="DB74" s="2006"/>
      <c r="DC74" s="2006"/>
      <c r="DD74" s="1988">
        <f t="shared" si="3"/>
        <v>-26137765</v>
      </c>
      <c r="DE74" s="1988"/>
      <c r="DF74" s="1988"/>
      <c r="DG74" s="1988"/>
      <c r="DH74" s="1988"/>
      <c r="DI74" s="1988"/>
      <c r="DJ74" s="1988"/>
      <c r="DK74" s="1988"/>
      <c r="DL74" s="1988"/>
      <c r="DM74" s="1988"/>
      <c r="DN74" s="1988"/>
      <c r="DO74" s="1988"/>
      <c r="DP74" s="1988"/>
      <c r="DQ74" s="1988"/>
      <c r="DR74" s="1988"/>
      <c r="DS74" s="1988"/>
      <c r="DT74" s="1988"/>
      <c r="DU74" s="1988"/>
      <c r="DV74" s="1988"/>
      <c r="DW74" s="1988"/>
      <c r="DX74" s="1988"/>
      <c r="DY74" s="1988"/>
      <c r="DZ74" s="1988"/>
      <c r="EA74" s="1988"/>
      <c r="EB74" s="1988"/>
      <c r="EC74" s="1988"/>
      <c r="ED74" s="1988"/>
      <c r="EE74" s="1988"/>
      <c r="EF74" s="1987">
        <f>SUM(EF67:FG73)</f>
        <v>596910377</v>
      </c>
      <c r="EG74" s="1987"/>
      <c r="EH74" s="1987"/>
      <c r="EI74" s="1987"/>
      <c r="EJ74" s="1987"/>
      <c r="EK74" s="1987"/>
      <c r="EL74" s="1987"/>
      <c r="EM74" s="1987"/>
      <c r="EN74" s="1987"/>
      <c r="EO74" s="1987"/>
      <c r="EP74" s="1987"/>
      <c r="EQ74" s="1987"/>
      <c r="ER74" s="1987"/>
      <c r="ES74" s="1987"/>
      <c r="ET74" s="1987"/>
      <c r="EU74" s="1987"/>
      <c r="EV74" s="1987"/>
      <c r="EW74" s="1987"/>
      <c r="EX74" s="1987"/>
      <c r="EY74" s="1987"/>
      <c r="EZ74" s="1987"/>
      <c r="FA74" s="1987"/>
      <c r="FB74" s="1987"/>
      <c r="FC74" s="1987"/>
      <c r="FD74" s="1987"/>
      <c r="FE74" s="1987"/>
      <c r="FF74" s="1987"/>
      <c r="FG74" s="1987"/>
      <c r="FH74" s="1988">
        <f>SUM(FH67:GI73)</f>
        <v>53423858</v>
      </c>
      <c r="FI74" s="1988"/>
      <c r="FJ74" s="1988"/>
      <c r="FK74" s="1988"/>
      <c r="FL74" s="1988"/>
      <c r="FM74" s="1988"/>
      <c r="FN74" s="1988"/>
      <c r="FO74" s="1988"/>
      <c r="FP74" s="1988"/>
      <c r="FQ74" s="1988"/>
      <c r="FR74" s="1988"/>
      <c r="FS74" s="1988"/>
      <c r="FT74" s="1988"/>
      <c r="FU74" s="1988"/>
      <c r="FV74" s="1988"/>
      <c r="FW74" s="1988"/>
      <c r="FX74" s="1988"/>
      <c r="FY74" s="1988"/>
      <c r="FZ74" s="1988"/>
      <c r="GA74" s="1988"/>
      <c r="GB74" s="1988"/>
      <c r="GC74" s="1988"/>
      <c r="GD74" s="1988"/>
      <c r="GE74" s="1988"/>
      <c r="GF74" s="1988"/>
      <c r="GG74" s="1988"/>
      <c r="GH74" s="1988"/>
      <c r="GI74" s="1988"/>
    </row>
    <row r="75" spans="1:191" s="166" customFormat="1" ht="24" customHeight="1">
      <c r="A75" s="2002"/>
      <c r="B75" s="2002"/>
      <c r="C75" s="2002"/>
      <c r="D75" s="2002"/>
      <c r="E75" s="2002"/>
      <c r="F75" s="2002" t="s">
        <v>437</v>
      </c>
      <c r="G75" s="2002"/>
      <c r="H75" s="2002"/>
      <c r="I75" s="2002"/>
      <c r="J75" s="2002"/>
      <c r="K75" s="191"/>
      <c r="M75" s="1982" t="s">
        <v>75</v>
      </c>
      <c r="N75" s="1982"/>
      <c r="O75" s="1982"/>
      <c r="P75" s="1982"/>
      <c r="Q75" s="1982"/>
      <c r="R75" s="1982"/>
      <c r="S75" s="1982"/>
      <c r="T75" s="1982"/>
      <c r="U75" s="1982"/>
      <c r="V75" s="1982"/>
      <c r="W75" s="1982"/>
      <c r="X75" s="1982"/>
      <c r="Y75" s="1982"/>
      <c r="Z75" s="1982"/>
      <c r="AA75" s="1982"/>
      <c r="AB75" s="1982"/>
      <c r="AC75" s="1982"/>
      <c r="AD75" s="1982"/>
      <c r="AE75" s="1982"/>
      <c r="AF75" s="1982"/>
      <c r="AG75" s="1982"/>
      <c r="AH75" s="1982"/>
      <c r="AI75" s="1982"/>
      <c r="AJ75" s="1982"/>
      <c r="AK75" s="1982"/>
      <c r="AL75" s="1982"/>
      <c r="AM75" s="1982"/>
      <c r="AN75" s="1982"/>
      <c r="AO75" s="1982"/>
      <c r="AP75" s="1982"/>
      <c r="AQ75" s="1982"/>
      <c r="AR75" s="1982"/>
      <c r="AS75" s="1982"/>
      <c r="AT75" s="1982"/>
      <c r="AU75" s="1982"/>
      <c r="AV75" s="1982"/>
      <c r="AW75" s="1982"/>
      <c r="AX75" s="191"/>
      <c r="AY75" s="191"/>
      <c r="AZ75" s="3053">
        <v>1000</v>
      </c>
      <c r="BA75" s="3054"/>
      <c r="BB75" s="3054"/>
      <c r="BC75" s="3054"/>
      <c r="BD75" s="3054"/>
      <c r="BE75" s="3054"/>
      <c r="BF75" s="3054"/>
      <c r="BG75" s="3054"/>
      <c r="BH75" s="3054"/>
      <c r="BI75" s="3054"/>
      <c r="BJ75" s="3054"/>
      <c r="BK75" s="3054"/>
      <c r="BL75" s="3054"/>
      <c r="BM75" s="3054"/>
      <c r="BN75" s="3054"/>
      <c r="BO75" s="3054"/>
      <c r="BP75" s="3054"/>
      <c r="BQ75" s="3054"/>
      <c r="BR75" s="3054"/>
      <c r="BS75" s="3054"/>
      <c r="BT75" s="3054"/>
      <c r="BU75" s="3054"/>
      <c r="BV75" s="3054"/>
      <c r="BW75" s="3054"/>
      <c r="BX75" s="3054"/>
      <c r="BY75" s="3054"/>
      <c r="BZ75" s="3054"/>
      <c r="CA75" s="3054"/>
      <c r="CB75" s="3053">
        <v>0</v>
      </c>
      <c r="CC75" s="3054"/>
      <c r="CD75" s="3054"/>
      <c r="CE75" s="3054"/>
      <c r="CF75" s="3054"/>
      <c r="CG75" s="3054"/>
      <c r="CH75" s="3054"/>
      <c r="CI75" s="3054"/>
      <c r="CJ75" s="3054"/>
      <c r="CK75" s="3054"/>
      <c r="CL75" s="3054"/>
      <c r="CM75" s="3054"/>
      <c r="CN75" s="3054"/>
      <c r="CO75" s="3054"/>
      <c r="CP75" s="3054"/>
      <c r="CQ75" s="3054"/>
      <c r="CR75" s="3054"/>
      <c r="CS75" s="3054"/>
      <c r="CT75" s="3054"/>
      <c r="CU75" s="3054"/>
      <c r="CV75" s="3054"/>
      <c r="CW75" s="3054"/>
      <c r="CX75" s="3054"/>
      <c r="CY75" s="3054"/>
      <c r="CZ75" s="3054"/>
      <c r="DA75" s="3054"/>
      <c r="DB75" s="3054"/>
      <c r="DC75" s="3054"/>
      <c r="DD75" s="1988">
        <f t="shared" si="3"/>
        <v>-1000</v>
      </c>
      <c r="DE75" s="1988"/>
      <c r="DF75" s="1988"/>
      <c r="DG75" s="1988"/>
      <c r="DH75" s="1988"/>
      <c r="DI75" s="1988"/>
      <c r="DJ75" s="1988"/>
      <c r="DK75" s="1988"/>
      <c r="DL75" s="1988"/>
      <c r="DM75" s="1988"/>
      <c r="DN75" s="1988"/>
      <c r="DO75" s="1988"/>
      <c r="DP75" s="1988"/>
      <c r="DQ75" s="1988"/>
      <c r="DR75" s="1988"/>
      <c r="DS75" s="1988"/>
      <c r="DT75" s="1988"/>
      <c r="DU75" s="1988"/>
      <c r="DV75" s="1988"/>
      <c r="DW75" s="1988"/>
      <c r="DX75" s="1988"/>
      <c r="DY75" s="1988"/>
      <c r="DZ75" s="1988"/>
      <c r="EA75" s="1988"/>
      <c r="EB75" s="1988"/>
      <c r="EC75" s="1988"/>
      <c r="ED75" s="1988"/>
      <c r="EE75" s="1988"/>
      <c r="EF75" s="3054">
        <f>前年度貼付!$E$111</f>
        <v>0</v>
      </c>
      <c r="EG75" s="3054"/>
      <c r="EH75" s="3054"/>
      <c r="EI75" s="3054"/>
      <c r="EJ75" s="3054"/>
      <c r="EK75" s="3054"/>
      <c r="EL75" s="3054"/>
      <c r="EM75" s="3054"/>
      <c r="EN75" s="3054"/>
      <c r="EO75" s="3054"/>
      <c r="EP75" s="3054"/>
      <c r="EQ75" s="3054"/>
      <c r="ER75" s="3054"/>
      <c r="ES75" s="3054"/>
      <c r="ET75" s="3054"/>
      <c r="EU75" s="3054"/>
      <c r="EV75" s="3054"/>
      <c r="EW75" s="3054"/>
      <c r="EX75" s="3054"/>
      <c r="EY75" s="3054"/>
      <c r="EZ75" s="3054"/>
      <c r="FA75" s="3054"/>
      <c r="FB75" s="3054"/>
      <c r="FC75" s="3054"/>
      <c r="FD75" s="3054"/>
      <c r="FE75" s="3054"/>
      <c r="FF75" s="3054"/>
      <c r="FG75" s="3054"/>
      <c r="FH75" s="1988">
        <f>CB75-EF75</f>
        <v>0</v>
      </c>
      <c r="FI75" s="1988"/>
      <c r="FJ75" s="1988"/>
      <c r="FK75" s="1988"/>
      <c r="FL75" s="1988"/>
      <c r="FM75" s="1988"/>
      <c r="FN75" s="1988"/>
      <c r="FO75" s="1988"/>
      <c r="FP75" s="1988"/>
      <c r="FQ75" s="1988"/>
      <c r="FR75" s="1988"/>
      <c r="FS75" s="1988"/>
      <c r="FT75" s="1988"/>
      <c r="FU75" s="1988"/>
      <c r="FV75" s="1988"/>
      <c r="FW75" s="1988"/>
      <c r="FX75" s="1988"/>
      <c r="FY75" s="1988"/>
      <c r="FZ75" s="1988"/>
      <c r="GA75" s="1988"/>
      <c r="GB75" s="1988"/>
      <c r="GC75" s="1988"/>
      <c r="GD75" s="1988"/>
      <c r="GE75" s="1988"/>
      <c r="GF75" s="1988"/>
      <c r="GG75" s="1988"/>
      <c r="GH75" s="1988"/>
      <c r="GI75" s="1988"/>
    </row>
    <row r="76" spans="1:191" s="166" customFormat="1" ht="24" customHeight="1">
      <c r="A76" s="2002"/>
      <c r="B76" s="2002"/>
      <c r="C76" s="2002"/>
      <c r="D76" s="2002"/>
      <c r="E76" s="2002"/>
      <c r="F76" s="2002"/>
      <c r="G76" s="2002"/>
      <c r="H76" s="2002"/>
      <c r="I76" s="2002"/>
      <c r="J76" s="2002"/>
      <c r="K76" s="189"/>
      <c r="L76" s="189"/>
      <c r="M76" s="1932" t="s">
        <v>76</v>
      </c>
      <c r="N76" s="1932"/>
      <c r="O76" s="1932"/>
      <c r="P76" s="1932"/>
      <c r="Q76" s="1932"/>
      <c r="R76" s="1932"/>
      <c r="S76" s="1932"/>
      <c r="T76" s="1932"/>
      <c r="U76" s="1932"/>
      <c r="V76" s="1932"/>
      <c r="W76" s="1932"/>
      <c r="X76" s="1932"/>
      <c r="Y76" s="1932"/>
      <c r="Z76" s="1932"/>
      <c r="AA76" s="1932"/>
      <c r="AB76" s="1932"/>
      <c r="AC76" s="1932"/>
      <c r="AD76" s="1932"/>
      <c r="AE76" s="1932"/>
      <c r="AF76" s="1932"/>
      <c r="AG76" s="1932"/>
      <c r="AH76" s="1932"/>
      <c r="AI76" s="1932"/>
      <c r="AJ76" s="1932"/>
      <c r="AK76" s="1932"/>
      <c r="AL76" s="1932"/>
      <c r="AM76" s="1932"/>
      <c r="AN76" s="1932"/>
      <c r="AO76" s="1932"/>
      <c r="AP76" s="1932"/>
      <c r="AQ76" s="1932"/>
      <c r="AR76" s="1932"/>
      <c r="AS76" s="1932"/>
      <c r="AT76" s="1932"/>
      <c r="AU76" s="1932"/>
      <c r="AV76" s="1932"/>
      <c r="AW76" s="1932"/>
      <c r="AX76" s="189"/>
      <c r="AY76" s="189"/>
      <c r="AZ76" s="3053">
        <v>1000</v>
      </c>
      <c r="BA76" s="3054"/>
      <c r="BB76" s="3054"/>
      <c r="BC76" s="3054"/>
      <c r="BD76" s="3054"/>
      <c r="BE76" s="3054"/>
      <c r="BF76" s="3054"/>
      <c r="BG76" s="3054"/>
      <c r="BH76" s="3054"/>
      <c r="BI76" s="3054"/>
      <c r="BJ76" s="3054"/>
      <c r="BK76" s="3054"/>
      <c r="BL76" s="3054"/>
      <c r="BM76" s="3054"/>
      <c r="BN76" s="3054"/>
      <c r="BO76" s="3054"/>
      <c r="BP76" s="3054"/>
      <c r="BQ76" s="3054"/>
      <c r="BR76" s="3054"/>
      <c r="BS76" s="3054"/>
      <c r="BT76" s="3054"/>
      <c r="BU76" s="3054"/>
      <c r="BV76" s="3054"/>
      <c r="BW76" s="3054"/>
      <c r="BX76" s="3054"/>
      <c r="BY76" s="3054"/>
      <c r="BZ76" s="3054"/>
      <c r="CA76" s="3054"/>
      <c r="CB76" s="3053">
        <v>0</v>
      </c>
      <c r="CC76" s="3054"/>
      <c r="CD76" s="3054"/>
      <c r="CE76" s="3054"/>
      <c r="CF76" s="3054"/>
      <c r="CG76" s="3054"/>
      <c r="CH76" s="3054"/>
      <c r="CI76" s="3054"/>
      <c r="CJ76" s="3054"/>
      <c r="CK76" s="3054"/>
      <c r="CL76" s="3054"/>
      <c r="CM76" s="3054"/>
      <c r="CN76" s="3054"/>
      <c r="CO76" s="3054"/>
      <c r="CP76" s="3054"/>
      <c r="CQ76" s="3054"/>
      <c r="CR76" s="3054"/>
      <c r="CS76" s="3054"/>
      <c r="CT76" s="3054"/>
      <c r="CU76" s="3054"/>
      <c r="CV76" s="3054"/>
      <c r="CW76" s="3054"/>
      <c r="CX76" s="3054"/>
      <c r="CY76" s="3054"/>
      <c r="CZ76" s="3054"/>
      <c r="DA76" s="3054"/>
      <c r="DB76" s="3054"/>
      <c r="DC76" s="3054"/>
      <c r="DD76" s="1988">
        <f t="shared" si="3"/>
        <v>-1000</v>
      </c>
      <c r="DE76" s="1988"/>
      <c r="DF76" s="1988"/>
      <c r="DG76" s="1988"/>
      <c r="DH76" s="1988"/>
      <c r="DI76" s="1988"/>
      <c r="DJ76" s="1988"/>
      <c r="DK76" s="1988"/>
      <c r="DL76" s="1988"/>
      <c r="DM76" s="1988"/>
      <c r="DN76" s="1988"/>
      <c r="DO76" s="1988"/>
      <c r="DP76" s="1988"/>
      <c r="DQ76" s="1988"/>
      <c r="DR76" s="1988"/>
      <c r="DS76" s="1988"/>
      <c r="DT76" s="1988"/>
      <c r="DU76" s="1988"/>
      <c r="DV76" s="1988"/>
      <c r="DW76" s="1988"/>
      <c r="DX76" s="1988"/>
      <c r="DY76" s="1988"/>
      <c r="DZ76" s="1988"/>
      <c r="EA76" s="1988"/>
      <c r="EB76" s="1988"/>
      <c r="EC76" s="1988"/>
      <c r="ED76" s="1988"/>
      <c r="EE76" s="1988"/>
      <c r="EF76" s="3054">
        <f>前年度貼付!$E$112</f>
        <v>0</v>
      </c>
      <c r="EG76" s="3054"/>
      <c r="EH76" s="3054"/>
      <c r="EI76" s="3054"/>
      <c r="EJ76" s="3054"/>
      <c r="EK76" s="3054"/>
      <c r="EL76" s="3054"/>
      <c r="EM76" s="3054"/>
      <c r="EN76" s="3054"/>
      <c r="EO76" s="3054"/>
      <c r="EP76" s="3054"/>
      <c r="EQ76" s="3054"/>
      <c r="ER76" s="3054"/>
      <c r="ES76" s="3054"/>
      <c r="ET76" s="3054"/>
      <c r="EU76" s="3054"/>
      <c r="EV76" s="3054"/>
      <c r="EW76" s="3054"/>
      <c r="EX76" s="3054"/>
      <c r="EY76" s="3054"/>
      <c r="EZ76" s="3054"/>
      <c r="FA76" s="3054"/>
      <c r="FB76" s="3054"/>
      <c r="FC76" s="3054"/>
      <c r="FD76" s="3054"/>
      <c r="FE76" s="3054"/>
      <c r="FF76" s="3054"/>
      <c r="FG76" s="3054"/>
      <c r="FH76" s="1988">
        <f>CB76-EF76</f>
        <v>0</v>
      </c>
      <c r="FI76" s="1988"/>
      <c r="FJ76" s="1988"/>
      <c r="FK76" s="1988"/>
      <c r="FL76" s="1988"/>
      <c r="FM76" s="1988"/>
      <c r="FN76" s="1988"/>
      <c r="FO76" s="1988"/>
      <c r="FP76" s="1988"/>
      <c r="FQ76" s="1988"/>
      <c r="FR76" s="1988"/>
      <c r="FS76" s="1988"/>
      <c r="FT76" s="1988"/>
      <c r="FU76" s="1988"/>
      <c r="FV76" s="1988"/>
      <c r="FW76" s="1988"/>
      <c r="FX76" s="1988"/>
      <c r="FY76" s="1988"/>
      <c r="FZ76" s="1988"/>
      <c r="GA76" s="1988"/>
      <c r="GB76" s="1988"/>
      <c r="GC76" s="1988"/>
      <c r="GD76" s="1988"/>
      <c r="GE76" s="1988"/>
      <c r="GF76" s="1988"/>
      <c r="GG76" s="1988"/>
      <c r="GH76" s="1988"/>
      <c r="GI76" s="1988"/>
    </row>
    <row r="77" spans="1:191" s="166" customFormat="1" ht="24" customHeight="1">
      <c r="A77" s="2002"/>
      <c r="B77" s="2002"/>
      <c r="C77" s="2002"/>
      <c r="D77" s="2002"/>
      <c r="E77" s="2002"/>
      <c r="F77" s="2002"/>
      <c r="G77" s="2002"/>
      <c r="H77" s="2002"/>
      <c r="I77" s="2002"/>
      <c r="J77" s="2002"/>
      <c r="K77" s="189"/>
      <c r="L77" s="189"/>
      <c r="M77" s="1932" t="s">
        <v>77</v>
      </c>
      <c r="N77" s="1932"/>
      <c r="O77" s="1932"/>
      <c r="P77" s="1932"/>
      <c r="Q77" s="1932"/>
      <c r="R77" s="1932"/>
      <c r="S77" s="1932"/>
      <c r="T77" s="1932"/>
      <c r="U77" s="1932"/>
      <c r="V77" s="1932"/>
      <c r="W77" s="1932"/>
      <c r="X77" s="1932"/>
      <c r="Y77" s="1932"/>
      <c r="Z77" s="1932"/>
      <c r="AA77" s="1932"/>
      <c r="AB77" s="1932"/>
      <c r="AC77" s="1932"/>
      <c r="AD77" s="1932"/>
      <c r="AE77" s="1932"/>
      <c r="AF77" s="1932"/>
      <c r="AG77" s="1932"/>
      <c r="AH77" s="1932"/>
      <c r="AI77" s="1932"/>
      <c r="AJ77" s="1932"/>
      <c r="AK77" s="1932"/>
      <c r="AL77" s="1932"/>
      <c r="AM77" s="1932"/>
      <c r="AN77" s="1932"/>
      <c r="AO77" s="1932"/>
      <c r="AP77" s="1932"/>
      <c r="AQ77" s="1932"/>
      <c r="AR77" s="1932"/>
      <c r="AS77" s="1932"/>
      <c r="AT77" s="1932"/>
      <c r="AU77" s="1932"/>
      <c r="AV77" s="1932"/>
      <c r="AW77" s="1932"/>
      <c r="AX77" s="189"/>
      <c r="AY77" s="189"/>
      <c r="AZ77" s="3053">
        <v>1000</v>
      </c>
      <c r="BA77" s="3054"/>
      <c r="BB77" s="3054"/>
      <c r="BC77" s="3054"/>
      <c r="BD77" s="3054"/>
      <c r="BE77" s="3054"/>
      <c r="BF77" s="3054"/>
      <c r="BG77" s="3054"/>
      <c r="BH77" s="3054"/>
      <c r="BI77" s="3054"/>
      <c r="BJ77" s="3054"/>
      <c r="BK77" s="3054"/>
      <c r="BL77" s="3054"/>
      <c r="BM77" s="3054"/>
      <c r="BN77" s="3054"/>
      <c r="BO77" s="3054"/>
      <c r="BP77" s="3054"/>
      <c r="BQ77" s="3054"/>
      <c r="BR77" s="3054"/>
      <c r="BS77" s="3054"/>
      <c r="BT77" s="3054"/>
      <c r="BU77" s="3054"/>
      <c r="BV77" s="3054"/>
      <c r="BW77" s="3054"/>
      <c r="BX77" s="3054"/>
      <c r="BY77" s="3054"/>
      <c r="BZ77" s="3054"/>
      <c r="CA77" s="3054"/>
      <c r="CB77" s="3053">
        <v>0</v>
      </c>
      <c r="CC77" s="3054"/>
      <c r="CD77" s="3054"/>
      <c r="CE77" s="3054"/>
      <c r="CF77" s="3054"/>
      <c r="CG77" s="3054"/>
      <c r="CH77" s="3054"/>
      <c r="CI77" s="3054"/>
      <c r="CJ77" s="3054"/>
      <c r="CK77" s="3054"/>
      <c r="CL77" s="3054"/>
      <c r="CM77" s="3054"/>
      <c r="CN77" s="3054"/>
      <c r="CO77" s="3054"/>
      <c r="CP77" s="3054"/>
      <c r="CQ77" s="3054"/>
      <c r="CR77" s="3054"/>
      <c r="CS77" s="3054"/>
      <c r="CT77" s="3054"/>
      <c r="CU77" s="3054"/>
      <c r="CV77" s="3054"/>
      <c r="CW77" s="3054"/>
      <c r="CX77" s="3054"/>
      <c r="CY77" s="3054"/>
      <c r="CZ77" s="3054"/>
      <c r="DA77" s="3054"/>
      <c r="DB77" s="3054"/>
      <c r="DC77" s="3054"/>
      <c r="DD77" s="1988">
        <f t="shared" si="3"/>
        <v>-1000</v>
      </c>
      <c r="DE77" s="1988"/>
      <c r="DF77" s="1988"/>
      <c r="DG77" s="1988"/>
      <c r="DH77" s="1988"/>
      <c r="DI77" s="1988"/>
      <c r="DJ77" s="1988"/>
      <c r="DK77" s="1988"/>
      <c r="DL77" s="1988"/>
      <c r="DM77" s="1988"/>
      <c r="DN77" s="1988"/>
      <c r="DO77" s="1988"/>
      <c r="DP77" s="1988"/>
      <c r="DQ77" s="1988"/>
      <c r="DR77" s="1988"/>
      <c r="DS77" s="1988"/>
      <c r="DT77" s="1988"/>
      <c r="DU77" s="1988"/>
      <c r="DV77" s="1988"/>
      <c r="DW77" s="1988"/>
      <c r="DX77" s="1988"/>
      <c r="DY77" s="1988"/>
      <c r="DZ77" s="1988"/>
      <c r="EA77" s="1988"/>
      <c r="EB77" s="1988"/>
      <c r="EC77" s="1988"/>
      <c r="ED77" s="1988"/>
      <c r="EE77" s="1988"/>
      <c r="EF77" s="3054">
        <f>前年度貼付!$E$113</f>
        <v>0</v>
      </c>
      <c r="EG77" s="3054"/>
      <c r="EH77" s="3054"/>
      <c r="EI77" s="3054"/>
      <c r="EJ77" s="3054"/>
      <c r="EK77" s="3054"/>
      <c r="EL77" s="3054"/>
      <c r="EM77" s="3054"/>
      <c r="EN77" s="3054"/>
      <c r="EO77" s="3054"/>
      <c r="EP77" s="3054"/>
      <c r="EQ77" s="3054"/>
      <c r="ER77" s="3054"/>
      <c r="ES77" s="3054"/>
      <c r="ET77" s="3054"/>
      <c r="EU77" s="3054"/>
      <c r="EV77" s="3054"/>
      <c r="EW77" s="3054"/>
      <c r="EX77" s="3054"/>
      <c r="EY77" s="3054"/>
      <c r="EZ77" s="3054"/>
      <c r="FA77" s="3054"/>
      <c r="FB77" s="3054"/>
      <c r="FC77" s="3054"/>
      <c r="FD77" s="3054"/>
      <c r="FE77" s="3054"/>
      <c r="FF77" s="3054"/>
      <c r="FG77" s="3054"/>
      <c r="FH77" s="1988">
        <f>CB77-EF77</f>
        <v>0</v>
      </c>
      <c r="FI77" s="1988"/>
      <c r="FJ77" s="1988"/>
      <c r="FK77" s="1988"/>
      <c r="FL77" s="1988"/>
      <c r="FM77" s="1988"/>
      <c r="FN77" s="1988"/>
      <c r="FO77" s="1988"/>
      <c r="FP77" s="1988"/>
      <c r="FQ77" s="1988"/>
      <c r="FR77" s="1988"/>
      <c r="FS77" s="1988"/>
      <c r="FT77" s="1988"/>
      <c r="FU77" s="1988"/>
      <c r="FV77" s="1988"/>
      <c r="FW77" s="1988"/>
      <c r="FX77" s="1988"/>
      <c r="FY77" s="1988"/>
      <c r="FZ77" s="1988"/>
      <c r="GA77" s="1988"/>
      <c r="GB77" s="1988"/>
      <c r="GC77" s="1988"/>
      <c r="GD77" s="1988"/>
      <c r="GE77" s="1988"/>
      <c r="GF77" s="1988"/>
      <c r="GG77" s="1988"/>
      <c r="GH77" s="1988"/>
      <c r="GI77" s="1988"/>
    </row>
    <row r="78" spans="1:191" s="166" customFormat="1" ht="24" customHeight="1">
      <c r="A78" s="2002"/>
      <c r="B78" s="2002"/>
      <c r="C78" s="2002"/>
      <c r="D78" s="2002"/>
      <c r="E78" s="2002"/>
      <c r="F78" s="2002"/>
      <c r="G78" s="2002"/>
      <c r="H78" s="2002"/>
      <c r="I78" s="2002"/>
      <c r="J78" s="2002"/>
      <c r="K78" s="167"/>
      <c r="M78" s="2005" t="s">
        <v>435</v>
      </c>
      <c r="N78" s="2005"/>
      <c r="O78" s="2005"/>
      <c r="P78" s="2005"/>
      <c r="Q78" s="2005"/>
      <c r="R78" s="2005"/>
      <c r="S78" s="2005"/>
      <c r="T78" s="2005"/>
      <c r="U78" s="2005"/>
      <c r="V78" s="2005"/>
      <c r="W78" s="2005"/>
      <c r="X78" s="2005"/>
      <c r="Y78" s="2005"/>
      <c r="Z78" s="2005"/>
      <c r="AA78" s="2005"/>
      <c r="AB78" s="2005"/>
      <c r="AC78" s="2005"/>
      <c r="AD78" s="2005"/>
      <c r="AE78" s="2005"/>
      <c r="AF78" s="2005"/>
      <c r="AG78" s="2005"/>
      <c r="AH78" s="2005"/>
      <c r="AI78" s="2005"/>
      <c r="AJ78" s="2005"/>
      <c r="AK78" s="2005"/>
      <c r="AL78" s="2005"/>
      <c r="AM78" s="2005"/>
      <c r="AN78" s="2005"/>
      <c r="AO78" s="2005"/>
      <c r="AP78" s="2005"/>
      <c r="AQ78" s="2005"/>
      <c r="AR78" s="2005"/>
      <c r="AS78" s="2005"/>
      <c r="AT78" s="2005"/>
      <c r="AU78" s="2005"/>
      <c r="AV78" s="2005"/>
      <c r="AW78" s="2005"/>
      <c r="AX78" s="211"/>
      <c r="AY78" s="211"/>
      <c r="AZ78" s="2006">
        <f>SUM(AZ75:CA77)</f>
        <v>3000</v>
      </c>
      <c r="BA78" s="2006"/>
      <c r="BB78" s="2006"/>
      <c r="BC78" s="2006"/>
      <c r="BD78" s="2006"/>
      <c r="BE78" s="2006"/>
      <c r="BF78" s="2006"/>
      <c r="BG78" s="2006"/>
      <c r="BH78" s="2006"/>
      <c r="BI78" s="2006"/>
      <c r="BJ78" s="2006"/>
      <c r="BK78" s="2006"/>
      <c r="BL78" s="2006"/>
      <c r="BM78" s="2006"/>
      <c r="BN78" s="2006"/>
      <c r="BO78" s="2006"/>
      <c r="BP78" s="2006"/>
      <c r="BQ78" s="2006"/>
      <c r="BR78" s="2006"/>
      <c r="BS78" s="2006"/>
      <c r="BT78" s="2006"/>
      <c r="BU78" s="2006"/>
      <c r="BV78" s="2006"/>
      <c r="BW78" s="2006"/>
      <c r="BX78" s="2006"/>
      <c r="BY78" s="2006"/>
      <c r="BZ78" s="2006"/>
      <c r="CA78" s="2006"/>
      <c r="CB78" s="2006">
        <f>SUM(CB75:DC77)</f>
        <v>0</v>
      </c>
      <c r="CC78" s="2006"/>
      <c r="CD78" s="2006"/>
      <c r="CE78" s="2006"/>
      <c r="CF78" s="2006"/>
      <c r="CG78" s="2006"/>
      <c r="CH78" s="2006"/>
      <c r="CI78" s="2006"/>
      <c r="CJ78" s="2006"/>
      <c r="CK78" s="2006"/>
      <c r="CL78" s="2006"/>
      <c r="CM78" s="2006"/>
      <c r="CN78" s="2006"/>
      <c r="CO78" s="2006"/>
      <c r="CP78" s="2006"/>
      <c r="CQ78" s="2006"/>
      <c r="CR78" s="2006"/>
      <c r="CS78" s="2006"/>
      <c r="CT78" s="2006"/>
      <c r="CU78" s="2006"/>
      <c r="CV78" s="2006"/>
      <c r="CW78" s="2006"/>
      <c r="CX78" s="2006"/>
      <c r="CY78" s="2006"/>
      <c r="CZ78" s="2006"/>
      <c r="DA78" s="2006"/>
      <c r="DB78" s="2006"/>
      <c r="DC78" s="2006"/>
      <c r="DD78" s="1988">
        <f t="shared" si="3"/>
        <v>-3000</v>
      </c>
      <c r="DE78" s="1988"/>
      <c r="DF78" s="1988"/>
      <c r="DG78" s="1988"/>
      <c r="DH78" s="1988"/>
      <c r="DI78" s="1988"/>
      <c r="DJ78" s="1988"/>
      <c r="DK78" s="1988"/>
      <c r="DL78" s="1988"/>
      <c r="DM78" s="1988"/>
      <c r="DN78" s="1988"/>
      <c r="DO78" s="1988"/>
      <c r="DP78" s="1988"/>
      <c r="DQ78" s="1988"/>
      <c r="DR78" s="1988"/>
      <c r="DS78" s="1988"/>
      <c r="DT78" s="1988"/>
      <c r="DU78" s="1988"/>
      <c r="DV78" s="1988"/>
      <c r="DW78" s="1988"/>
      <c r="DX78" s="1988"/>
      <c r="DY78" s="1988"/>
      <c r="DZ78" s="1988"/>
      <c r="EA78" s="1988"/>
      <c r="EB78" s="1988"/>
      <c r="EC78" s="1988"/>
      <c r="ED78" s="1988"/>
      <c r="EE78" s="1988"/>
      <c r="EF78" s="1987">
        <f>SUM(EF75:FG77)</f>
        <v>0</v>
      </c>
      <c r="EG78" s="1987"/>
      <c r="EH78" s="1987"/>
      <c r="EI78" s="1987"/>
      <c r="EJ78" s="1987"/>
      <c r="EK78" s="1987"/>
      <c r="EL78" s="1987"/>
      <c r="EM78" s="1987"/>
      <c r="EN78" s="1987"/>
      <c r="EO78" s="1987"/>
      <c r="EP78" s="1987"/>
      <c r="EQ78" s="1987"/>
      <c r="ER78" s="1987"/>
      <c r="ES78" s="1987"/>
      <c r="ET78" s="1987"/>
      <c r="EU78" s="1987"/>
      <c r="EV78" s="1987"/>
      <c r="EW78" s="1987"/>
      <c r="EX78" s="1987"/>
      <c r="EY78" s="1987"/>
      <c r="EZ78" s="1987"/>
      <c r="FA78" s="1987"/>
      <c r="FB78" s="1987"/>
      <c r="FC78" s="1987"/>
      <c r="FD78" s="1987"/>
      <c r="FE78" s="1987"/>
      <c r="FF78" s="1987"/>
      <c r="FG78" s="1987"/>
      <c r="FH78" s="1988">
        <f>CB78-EF78</f>
        <v>0</v>
      </c>
      <c r="FI78" s="1988"/>
      <c r="FJ78" s="1988"/>
      <c r="FK78" s="1988"/>
      <c r="FL78" s="1988"/>
      <c r="FM78" s="1988"/>
      <c r="FN78" s="1988"/>
      <c r="FO78" s="1988"/>
      <c r="FP78" s="1988"/>
      <c r="FQ78" s="1988"/>
      <c r="FR78" s="1988"/>
      <c r="FS78" s="1988"/>
      <c r="FT78" s="1988"/>
      <c r="FU78" s="1988"/>
      <c r="FV78" s="1988"/>
      <c r="FW78" s="1988"/>
      <c r="FX78" s="1988"/>
      <c r="FY78" s="1988"/>
      <c r="FZ78" s="1988"/>
      <c r="GA78" s="1988"/>
      <c r="GB78" s="1988"/>
      <c r="GC78" s="1988"/>
      <c r="GD78" s="1988"/>
      <c r="GE78" s="1988"/>
      <c r="GF78" s="1988"/>
      <c r="GG78" s="1988"/>
      <c r="GH78" s="1988"/>
      <c r="GI78" s="1988"/>
    </row>
    <row r="79" spans="1:191" s="166" customFormat="1" ht="24" customHeight="1">
      <c r="A79" s="2002"/>
      <c r="B79" s="2002"/>
      <c r="C79" s="2002"/>
      <c r="D79" s="2002"/>
      <c r="E79" s="2002"/>
      <c r="F79" s="1943" t="s">
        <v>351</v>
      </c>
      <c r="G79" s="1943"/>
      <c r="H79" s="1943"/>
      <c r="I79" s="1943"/>
      <c r="J79" s="1943"/>
      <c r="K79" s="1943"/>
      <c r="L79" s="1943"/>
      <c r="M79" s="1943"/>
      <c r="N79" s="1943"/>
      <c r="O79" s="1943"/>
      <c r="P79" s="1943"/>
      <c r="Q79" s="1943"/>
      <c r="R79" s="1943"/>
      <c r="S79" s="1943"/>
      <c r="T79" s="1943"/>
      <c r="U79" s="1943"/>
      <c r="V79" s="1943"/>
      <c r="W79" s="1943"/>
      <c r="X79" s="1943"/>
      <c r="Y79" s="1943"/>
      <c r="Z79" s="1943"/>
      <c r="AA79" s="1943"/>
      <c r="AB79" s="1943"/>
      <c r="AC79" s="1943"/>
      <c r="AD79" s="1943"/>
      <c r="AE79" s="1943"/>
      <c r="AF79" s="1943"/>
      <c r="AG79" s="1943"/>
      <c r="AH79" s="1943"/>
      <c r="AI79" s="1943"/>
      <c r="AJ79" s="1943"/>
      <c r="AK79" s="1943"/>
      <c r="AL79" s="1943"/>
      <c r="AM79" s="1943"/>
      <c r="AN79" s="1943"/>
      <c r="AO79" s="1943"/>
      <c r="AP79" s="1943"/>
      <c r="AQ79" s="1943"/>
      <c r="AR79" s="1943"/>
      <c r="AS79" s="1943"/>
      <c r="AT79" s="1943"/>
      <c r="AU79" s="1943"/>
      <c r="AV79" s="1943"/>
      <c r="AW79" s="1943"/>
      <c r="AX79" s="1943"/>
      <c r="AY79" s="1943"/>
      <c r="AZ79" s="1999">
        <f>SUM(AZ78,AZ74,AZ66)</f>
        <v>5996710000</v>
      </c>
      <c r="BA79" s="1999"/>
      <c r="BB79" s="1999"/>
      <c r="BC79" s="1999"/>
      <c r="BD79" s="1999"/>
      <c r="BE79" s="1999"/>
      <c r="BF79" s="1999"/>
      <c r="BG79" s="1999"/>
      <c r="BH79" s="1999"/>
      <c r="BI79" s="1999"/>
      <c r="BJ79" s="1999"/>
      <c r="BK79" s="1999"/>
      <c r="BL79" s="1999"/>
      <c r="BM79" s="1999"/>
      <c r="BN79" s="1999"/>
      <c r="BO79" s="1999"/>
      <c r="BP79" s="1999"/>
      <c r="BQ79" s="1999"/>
      <c r="BR79" s="1999"/>
      <c r="BS79" s="1999"/>
      <c r="BT79" s="1999"/>
      <c r="BU79" s="1999"/>
      <c r="BV79" s="1999"/>
      <c r="BW79" s="1999"/>
      <c r="BX79" s="1999"/>
      <c r="BY79" s="1999"/>
      <c r="BZ79" s="1999"/>
      <c r="CA79" s="1999"/>
      <c r="CB79" s="1987">
        <f>SUM(CB78,CB74,CB66)</f>
        <v>5914336732</v>
      </c>
      <c r="CC79" s="1987"/>
      <c r="CD79" s="1987"/>
      <c r="CE79" s="1987"/>
      <c r="CF79" s="1987"/>
      <c r="CG79" s="1987"/>
      <c r="CH79" s="1987"/>
      <c r="CI79" s="1987"/>
      <c r="CJ79" s="1987"/>
      <c r="CK79" s="1987"/>
      <c r="CL79" s="1987"/>
      <c r="CM79" s="1987"/>
      <c r="CN79" s="1987"/>
      <c r="CO79" s="1987"/>
      <c r="CP79" s="1987"/>
      <c r="CQ79" s="1987"/>
      <c r="CR79" s="1987"/>
      <c r="CS79" s="1987"/>
      <c r="CT79" s="1987"/>
      <c r="CU79" s="1987"/>
      <c r="CV79" s="1987"/>
      <c r="CW79" s="1987"/>
      <c r="CX79" s="1987"/>
      <c r="CY79" s="1987"/>
      <c r="CZ79" s="1987"/>
      <c r="DA79" s="1987"/>
      <c r="DB79" s="1987"/>
      <c r="DC79" s="1987"/>
      <c r="DD79" s="1988">
        <f t="shared" si="3"/>
        <v>-82373268</v>
      </c>
      <c r="DE79" s="1988"/>
      <c r="DF79" s="1988"/>
      <c r="DG79" s="1988"/>
      <c r="DH79" s="1988"/>
      <c r="DI79" s="1988"/>
      <c r="DJ79" s="1988"/>
      <c r="DK79" s="1988"/>
      <c r="DL79" s="1988"/>
      <c r="DM79" s="1988"/>
      <c r="DN79" s="1988"/>
      <c r="DO79" s="1988"/>
      <c r="DP79" s="1988"/>
      <c r="DQ79" s="1988"/>
      <c r="DR79" s="1988"/>
      <c r="DS79" s="1988"/>
      <c r="DT79" s="1988"/>
      <c r="DU79" s="1988"/>
      <c r="DV79" s="1988"/>
      <c r="DW79" s="1988"/>
      <c r="DX79" s="1988"/>
      <c r="DY79" s="1988"/>
      <c r="DZ79" s="1988"/>
      <c r="EA79" s="1988"/>
      <c r="EB79" s="1988"/>
      <c r="EC79" s="1988"/>
      <c r="ED79" s="1988"/>
      <c r="EE79" s="1988"/>
      <c r="EF79" s="1987">
        <f>SUM(EF78,EF74,EF66)</f>
        <v>5659868157</v>
      </c>
      <c r="EG79" s="1987"/>
      <c r="EH79" s="1987"/>
      <c r="EI79" s="1987"/>
      <c r="EJ79" s="1987"/>
      <c r="EK79" s="1987"/>
      <c r="EL79" s="1987"/>
      <c r="EM79" s="1987"/>
      <c r="EN79" s="1987"/>
      <c r="EO79" s="1987"/>
      <c r="EP79" s="1987"/>
      <c r="EQ79" s="1987"/>
      <c r="ER79" s="1987"/>
      <c r="ES79" s="1987"/>
      <c r="ET79" s="1987"/>
      <c r="EU79" s="1987"/>
      <c r="EV79" s="1987"/>
      <c r="EW79" s="1987"/>
      <c r="EX79" s="1987"/>
      <c r="EY79" s="1987"/>
      <c r="EZ79" s="1987"/>
      <c r="FA79" s="1987"/>
      <c r="FB79" s="1987"/>
      <c r="FC79" s="1987"/>
      <c r="FD79" s="1987"/>
      <c r="FE79" s="1987"/>
      <c r="FF79" s="1987"/>
      <c r="FG79" s="1987"/>
      <c r="FH79" s="1988">
        <f>CB79-EF79</f>
        <v>254468575</v>
      </c>
      <c r="FI79" s="1988"/>
      <c r="FJ79" s="1988"/>
      <c r="FK79" s="1988"/>
      <c r="FL79" s="1988"/>
      <c r="FM79" s="1988"/>
      <c r="FN79" s="1988"/>
      <c r="FO79" s="1988"/>
      <c r="FP79" s="1988"/>
      <c r="FQ79" s="1988"/>
      <c r="FR79" s="1988"/>
      <c r="FS79" s="1988"/>
      <c r="FT79" s="1988"/>
      <c r="FU79" s="1988"/>
      <c r="FV79" s="1988"/>
      <c r="FW79" s="1988"/>
      <c r="FX79" s="1988"/>
      <c r="FY79" s="1988"/>
      <c r="FZ79" s="1988"/>
      <c r="GA79" s="1988"/>
      <c r="GB79" s="1988"/>
      <c r="GC79" s="1988"/>
      <c r="GD79" s="1988"/>
      <c r="GE79" s="1988"/>
      <c r="GF79" s="1988"/>
      <c r="GG79" s="1988"/>
      <c r="GH79" s="1988"/>
      <c r="GI79" s="1988"/>
    </row>
    <row r="80" spans="1:191" s="166" customFormat="1" ht="20.100000000000001" customHeight="1">
      <c r="A80" s="1942" t="s">
        <v>349</v>
      </c>
      <c r="B80" s="1942"/>
      <c r="C80" s="1942"/>
      <c r="D80" s="1942"/>
      <c r="E80" s="1942"/>
      <c r="F80" s="1942"/>
      <c r="G80" s="1942"/>
      <c r="H80" s="1942"/>
      <c r="I80" s="1942"/>
      <c r="J80" s="1942"/>
      <c r="K80" s="1942"/>
      <c r="L80" s="1942"/>
      <c r="M80" s="1942"/>
      <c r="N80" s="1942"/>
      <c r="O80" s="1942"/>
      <c r="P80" s="1942"/>
      <c r="Q80" s="1942"/>
      <c r="R80" s="1942"/>
      <c r="S80" s="1942"/>
      <c r="T80" s="1942"/>
      <c r="U80" s="1942"/>
      <c r="V80" s="1942"/>
      <c r="W80" s="1942"/>
      <c r="X80" s="1942"/>
      <c r="Y80" s="1942"/>
      <c r="Z80" s="1942"/>
      <c r="AA80" s="1942"/>
      <c r="AB80" s="1942"/>
      <c r="AC80" s="1942"/>
      <c r="AD80" s="1942"/>
      <c r="AE80" s="1942"/>
      <c r="AF80" s="1942"/>
      <c r="AG80" s="1942"/>
      <c r="AH80" s="1942"/>
      <c r="AI80" s="1942"/>
      <c r="AJ80" s="1942"/>
      <c r="AK80" s="1942"/>
      <c r="AL80" s="1942"/>
      <c r="AM80" s="1942"/>
      <c r="AN80" s="1942"/>
      <c r="AO80" s="1942"/>
      <c r="AP80" s="1942"/>
      <c r="AQ80" s="1942"/>
      <c r="AR80" s="1942"/>
      <c r="AS80" s="1942"/>
      <c r="AT80" s="1942"/>
      <c r="AU80" s="1942"/>
      <c r="AV80" s="1942"/>
      <c r="AW80" s="1942"/>
      <c r="AX80" s="1942"/>
      <c r="AY80" s="1942"/>
      <c r="AZ80" s="2000" t="s">
        <v>373</v>
      </c>
      <c r="BA80" s="2000"/>
      <c r="BB80" s="2000"/>
      <c r="BC80" s="2000"/>
      <c r="BD80" s="2000"/>
      <c r="BE80" s="2000"/>
      <c r="BF80" s="2000"/>
      <c r="BG80" s="2000"/>
      <c r="BH80" s="2000"/>
      <c r="BI80" s="2000"/>
      <c r="BJ80" s="2000"/>
      <c r="BK80" s="2000"/>
      <c r="BL80" s="2000"/>
      <c r="BM80" s="2000"/>
      <c r="BN80" s="2000"/>
      <c r="BO80" s="2000"/>
      <c r="BP80" s="2000"/>
      <c r="BQ80" s="2000"/>
      <c r="BR80" s="2000"/>
      <c r="BS80" s="2000"/>
      <c r="BT80" s="2000"/>
      <c r="BU80" s="2000"/>
      <c r="BV80" s="2000"/>
      <c r="BW80" s="2000"/>
      <c r="BX80" s="2000"/>
      <c r="BY80" s="2000"/>
      <c r="BZ80" s="2000"/>
      <c r="CA80" s="2000"/>
      <c r="CB80" s="1943" t="s">
        <v>409</v>
      </c>
      <c r="CC80" s="1943"/>
      <c r="CD80" s="1943"/>
      <c r="CE80" s="1943"/>
      <c r="CF80" s="1943"/>
      <c r="CG80" s="1943"/>
      <c r="CH80" s="1943"/>
      <c r="CI80" s="1943"/>
      <c r="CJ80" s="1943"/>
      <c r="CK80" s="1943"/>
      <c r="CL80" s="1943"/>
      <c r="CM80" s="1943"/>
      <c r="CN80" s="1943"/>
      <c r="CO80" s="1943"/>
      <c r="CP80" s="1943"/>
      <c r="CQ80" s="1943"/>
      <c r="CR80" s="1943"/>
      <c r="CS80" s="1943"/>
      <c r="CT80" s="1943"/>
      <c r="CU80" s="1943"/>
      <c r="CV80" s="1943"/>
      <c r="CW80" s="1943"/>
      <c r="CX80" s="1943"/>
      <c r="CY80" s="1943"/>
      <c r="CZ80" s="1943"/>
      <c r="DA80" s="1943"/>
      <c r="DB80" s="1943"/>
      <c r="DC80" s="1943"/>
      <c r="DD80" s="2000" t="s">
        <v>376</v>
      </c>
      <c r="DE80" s="2000"/>
      <c r="DF80" s="2000"/>
      <c r="DG80" s="2000"/>
      <c r="DH80" s="2000"/>
      <c r="DI80" s="2000"/>
      <c r="DJ80" s="2000"/>
      <c r="DK80" s="2000"/>
      <c r="DL80" s="2000"/>
      <c r="DM80" s="2000"/>
      <c r="DN80" s="2000"/>
      <c r="DO80" s="2000"/>
      <c r="DP80" s="2000"/>
      <c r="DQ80" s="2000"/>
      <c r="DR80" s="2000"/>
      <c r="DS80" s="2000"/>
      <c r="DT80" s="2000"/>
      <c r="DU80" s="2000"/>
      <c r="DV80" s="2000"/>
      <c r="DW80" s="2000"/>
      <c r="DX80" s="2000"/>
      <c r="DY80" s="2000"/>
      <c r="DZ80" s="2000"/>
      <c r="EA80" s="2000"/>
      <c r="EB80" s="2000"/>
      <c r="EC80" s="2000"/>
      <c r="ED80" s="2000"/>
      <c r="EE80" s="2000"/>
      <c r="EF80" s="1943" t="s">
        <v>410</v>
      </c>
      <c r="EG80" s="1943"/>
      <c r="EH80" s="1943"/>
      <c r="EI80" s="1943"/>
      <c r="EJ80" s="1943"/>
      <c r="EK80" s="1943"/>
      <c r="EL80" s="1943"/>
      <c r="EM80" s="1943"/>
      <c r="EN80" s="1943"/>
      <c r="EO80" s="1943"/>
      <c r="EP80" s="1943"/>
      <c r="EQ80" s="1943"/>
      <c r="ER80" s="1943"/>
      <c r="ES80" s="1943"/>
      <c r="ET80" s="1943"/>
      <c r="EU80" s="1943"/>
      <c r="EV80" s="1943"/>
      <c r="EW80" s="1943"/>
      <c r="EX80" s="1943"/>
      <c r="EY80" s="1943"/>
      <c r="EZ80" s="1943"/>
      <c r="FA80" s="1943"/>
      <c r="FB80" s="1943"/>
      <c r="FC80" s="1943"/>
      <c r="FD80" s="1943"/>
      <c r="FE80" s="1943"/>
      <c r="FF80" s="1943"/>
      <c r="FG80" s="1943"/>
      <c r="FH80" s="1943"/>
      <c r="FI80" s="1943"/>
      <c r="FJ80" s="1943"/>
      <c r="FK80" s="1943"/>
      <c r="FL80" s="1943"/>
      <c r="FM80" s="1943"/>
      <c r="FN80" s="1943"/>
      <c r="FO80" s="1943"/>
      <c r="FP80" s="1943"/>
      <c r="FQ80" s="1943"/>
      <c r="FR80" s="1943"/>
      <c r="FS80" s="1943"/>
      <c r="FT80" s="1943"/>
      <c r="FU80" s="1943"/>
      <c r="FV80" s="1943"/>
      <c r="FW80" s="1943"/>
      <c r="FX80" s="1943"/>
      <c r="FY80" s="1943"/>
      <c r="FZ80" s="1943"/>
      <c r="GA80" s="1943"/>
      <c r="GB80" s="1943"/>
      <c r="GC80" s="1943"/>
      <c r="GD80" s="1943"/>
      <c r="GE80" s="1943"/>
      <c r="GF80" s="1943"/>
      <c r="GG80" s="1943"/>
      <c r="GH80" s="1943"/>
      <c r="GI80" s="1943"/>
    </row>
    <row r="81" spans="1:191" s="166" customFormat="1" ht="20.100000000000001" customHeight="1">
      <c r="A81" s="2001" t="s">
        <v>411</v>
      </c>
      <c r="B81" s="2001"/>
      <c r="C81" s="2001"/>
      <c r="D81" s="2001"/>
      <c r="E81" s="2001"/>
      <c r="F81" s="2001"/>
      <c r="G81" s="2001"/>
      <c r="H81" s="2001"/>
      <c r="I81" s="2001"/>
      <c r="J81" s="2001"/>
      <c r="K81" s="2001"/>
      <c r="L81" s="2001"/>
      <c r="M81" s="2001"/>
      <c r="N81" s="2001"/>
      <c r="O81" s="2001"/>
      <c r="P81" s="2001"/>
      <c r="Q81" s="2001"/>
      <c r="R81" s="2001"/>
      <c r="S81" s="2001"/>
      <c r="T81" s="2001"/>
      <c r="U81" s="2001"/>
      <c r="V81" s="2001"/>
      <c r="W81" s="2001"/>
      <c r="X81" s="2001"/>
      <c r="Y81" s="2001"/>
      <c r="Z81" s="2001"/>
      <c r="AA81" s="2001"/>
      <c r="AB81" s="2001"/>
      <c r="AC81" s="2001"/>
      <c r="AD81" s="2001"/>
      <c r="AE81" s="2001"/>
      <c r="AF81" s="2001"/>
      <c r="AG81" s="2001"/>
      <c r="AH81" s="2001"/>
      <c r="AI81" s="2001"/>
      <c r="AJ81" s="2001"/>
      <c r="AK81" s="2001"/>
      <c r="AL81" s="2001"/>
      <c r="AM81" s="2001"/>
      <c r="AN81" s="2001"/>
      <c r="AO81" s="2001"/>
      <c r="AP81" s="2001"/>
      <c r="AQ81" s="2001"/>
      <c r="AR81" s="2001"/>
      <c r="AS81" s="2001"/>
      <c r="AT81" s="2001"/>
      <c r="AU81" s="2001"/>
      <c r="AV81" s="2001"/>
      <c r="AW81" s="2001"/>
      <c r="AX81" s="2001"/>
      <c r="AY81" s="2001"/>
      <c r="AZ81" s="2000"/>
      <c r="BA81" s="2000"/>
      <c r="BB81" s="2000"/>
      <c r="BC81" s="2000"/>
      <c r="BD81" s="2000"/>
      <c r="BE81" s="2000"/>
      <c r="BF81" s="2000"/>
      <c r="BG81" s="2000"/>
      <c r="BH81" s="2000"/>
      <c r="BI81" s="2000"/>
      <c r="BJ81" s="2000"/>
      <c r="BK81" s="2000"/>
      <c r="BL81" s="2000"/>
      <c r="BM81" s="2000"/>
      <c r="BN81" s="2000"/>
      <c r="BO81" s="2000"/>
      <c r="BP81" s="2000"/>
      <c r="BQ81" s="2000"/>
      <c r="BR81" s="2000"/>
      <c r="BS81" s="2000"/>
      <c r="BT81" s="2000"/>
      <c r="BU81" s="2000"/>
      <c r="BV81" s="2000"/>
      <c r="BW81" s="2000"/>
      <c r="BX81" s="2000"/>
      <c r="BY81" s="2000"/>
      <c r="BZ81" s="2000"/>
      <c r="CA81" s="2000"/>
      <c r="CB81" s="1943"/>
      <c r="CC81" s="1943"/>
      <c r="CD81" s="1943"/>
      <c r="CE81" s="1943"/>
      <c r="CF81" s="1943"/>
      <c r="CG81" s="1943"/>
      <c r="CH81" s="1943"/>
      <c r="CI81" s="1943"/>
      <c r="CJ81" s="1943"/>
      <c r="CK81" s="1943"/>
      <c r="CL81" s="1943"/>
      <c r="CM81" s="1943"/>
      <c r="CN81" s="1943"/>
      <c r="CO81" s="1943"/>
      <c r="CP81" s="1943"/>
      <c r="CQ81" s="1943"/>
      <c r="CR81" s="1943"/>
      <c r="CS81" s="1943"/>
      <c r="CT81" s="1943"/>
      <c r="CU81" s="1943"/>
      <c r="CV81" s="1943"/>
      <c r="CW81" s="1943"/>
      <c r="CX81" s="1943"/>
      <c r="CY81" s="1943"/>
      <c r="CZ81" s="1943"/>
      <c r="DA81" s="1943"/>
      <c r="DB81" s="1943"/>
      <c r="DC81" s="1943"/>
      <c r="DD81" s="2000"/>
      <c r="DE81" s="2000"/>
      <c r="DF81" s="2000"/>
      <c r="DG81" s="2000"/>
      <c r="DH81" s="2000"/>
      <c r="DI81" s="2000"/>
      <c r="DJ81" s="2000"/>
      <c r="DK81" s="2000"/>
      <c r="DL81" s="2000"/>
      <c r="DM81" s="2000"/>
      <c r="DN81" s="2000"/>
      <c r="DO81" s="2000"/>
      <c r="DP81" s="2000"/>
      <c r="DQ81" s="2000"/>
      <c r="DR81" s="2000"/>
      <c r="DS81" s="2000"/>
      <c r="DT81" s="2000"/>
      <c r="DU81" s="2000"/>
      <c r="DV81" s="2000"/>
      <c r="DW81" s="2000"/>
      <c r="DX81" s="2000"/>
      <c r="DY81" s="2000"/>
      <c r="DZ81" s="2000"/>
      <c r="EA81" s="2000"/>
      <c r="EB81" s="2000"/>
      <c r="EC81" s="2000"/>
      <c r="ED81" s="2000"/>
      <c r="EE81" s="2000"/>
      <c r="EF81" s="1943" t="s">
        <v>378</v>
      </c>
      <c r="EG81" s="1943"/>
      <c r="EH81" s="1943"/>
      <c r="EI81" s="1943"/>
      <c r="EJ81" s="1943"/>
      <c r="EK81" s="1943"/>
      <c r="EL81" s="1943"/>
      <c r="EM81" s="1943"/>
      <c r="EN81" s="1943"/>
      <c r="EO81" s="1943"/>
      <c r="EP81" s="1943"/>
      <c r="EQ81" s="1943"/>
      <c r="ER81" s="1943"/>
      <c r="ES81" s="1943"/>
      <c r="ET81" s="1943"/>
      <c r="EU81" s="1943"/>
      <c r="EV81" s="1943"/>
      <c r="EW81" s="1943"/>
      <c r="EX81" s="1943"/>
      <c r="EY81" s="1943"/>
      <c r="EZ81" s="1943"/>
      <c r="FA81" s="1943"/>
      <c r="FB81" s="1943"/>
      <c r="FC81" s="1943"/>
      <c r="FD81" s="1943"/>
      <c r="FE81" s="1943"/>
      <c r="FF81" s="1943"/>
      <c r="FG81" s="1943"/>
      <c r="FH81" s="2000" t="s">
        <v>376</v>
      </c>
      <c r="FI81" s="2000"/>
      <c r="FJ81" s="2000"/>
      <c r="FK81" s="2000"/>
      <c r="FL81" s="2000"/>
      <c r="FM81" s="2000"/>
      <c r="FN81" s="2000"/>
      <c r="FO81" s="2000"/>
      <c r="FP81" s="2000"/>
      <c r="FQ81" s="2000"/>
      <c r="FR81" s="2000"/>
      <c r="FS81" s="2000"/>
      <c r="FT81" s="2000"/>
      <c r="FU81" s="2000"/>
      <c r="FV81" s="2000"/>
      <c r="FW81" s="2000"/>
      <c r="FX81" s="2000"/>
      <c r="FY81" s="2000"/>
      <c r="FZ81" s="2000"/>
      <c r="GA81" s="2000"/>
      <c r="GB81" s="2000"/>
      <c r="GC81" s="2000"/>
      <c r="GD81" s="2000"/>
      <c r="GE81" s="2000"/>
      <c r="GF81" s="2000"/>
      <c r="GG81" s="2000"/>
      <c r="GH81" s="2000"/>
      <c r="GI81" s="2000"/>
    </row>
    <row r="82" spans="1:191" s="166" customFormat="1" ht="24" customHeight="1">
      <c r="A82" s="1998" t="s">
        <v>438</v>
      </c>
      <c r="B82" s="1998"/>
      <c r="C82" s="1998"/>
      <c r="D82" s="1998"/>
      <c r="E82" s="1998"/>
      <c r="F82" s="189"/>
      <c r="G82" s="189"/>
      <c r="H82" s="1932" t="s">
        <v>78</v>
      </c>
      <c r="I82" s="1932"/>
      <c r="J82" s="1932"/>
      <c r="K82" s="1932"/>
      <c r="L82" s="1932"/>
      <c r="M82" s="1932"/>
      <c r="N82" s="1932"/>
      <c r="O82" s="1932"/>
      <c r="P82" s="1932"/>
      <c r="Q82" s="1932"/>
      <c r="R82" s="1932"/>
      <c r="S82" s="1932"/>
      <c r="T82" s="1932"/>
      <c r="U82" s="1932"/>
      <c r="V82" s="1932"/>
      <c r="W82" s="1932"/>
      <c r="X82" s="1932"/>
      <c r="Y82" s="1932"/>
      <c r="Z82" s="1932"/>
      <c r="AA82" s="1932"/>
      <c r="AB82" s="1932"/>
      <c r="AC82" s="1932"/>
      <c r="AD82" s="1932"/>
      <c r="AE82" s="1932"/>
      <c r="AF82" s="1932"/>
      <c r="AG82" s="1932"/>
      <c r="AH82" s="1932"/>
      <c r="AI82" s="1932"/>
      <c r="AJ82" s="1932"/>
      <c r="AK82" s="1932"/>
      <c r="AL82" s="1932"/>
      <c r="AM82" s="1932"/>
      <c r="AN82" s="1932"/>
      <c r="AO82" s="1932"/>
      <c r="AP82" s="1932"/>
      <c r="AQ82" s="1932"/>
      <c r="AR82" s="1932"/>
      <c r="AS82" s="1932"/>
      <c r="AT82" s="1932"/>
      <c r="AU82" s="1932"/>
      <c r="AV82" s="1932"/>
      <c r="AW82" s="1932"/>
      <c r="AX82" s="189"/>
      <c r="AY82" s="197"/>
      <c r="AZ82" s="1991">
        <v>23792000</v>
      </c>
      <c r="BA82" s="1992"/>
      <c r="BB82" s="1992"/>
      <c r="BC82" s="1992"/>
      <c r="BD82" s="1992"/>
      <c r="BE82" s="1992"/>
      <c r="BF82" s="1992"/>
      <c r="BG82" s="1992"/>
      <c r="BH82" s="1992"/>
      <c r="BI82" s="1992"/>
      <c r="BJ82" s="1992"/>
      <c r="BK82" s="1992"/>
      <c r="BL82" s="1992"/>
      <c r="BM82" s="1992"/>
      <c r="BN82" s="1992"/>
      <c r="BO82" s="1992"/>
      <c r="BP82" s="1992"/>
      <c r="BQ82" s="1992"/>
      <c r="BR82" s="1992"/>
      <c r="BS82" s="1992"/>
      <c r="BT82" s="1992"/>
      <c r="BU82" s="1992"/>
      <c r="BV82" s="1992"/>
      <c r="BW82" s="1992"/>
      <c r="BX82" s="1992"/>
      <c r="BY82" s="1992"/>
      <c r="BZ82" s="1992"/>
      <c r="CA82" s="1992"/>
      <c r="CB82" s="1991">
        <v>26199034</v>
      </c>
      <c r="CC82" s="1992"/>
      <c r="CD82" s="1992"/>
      <c r="CE82" s="1992"/>
      <c r="CF82" s="1992"/>
      <c r="CG82" s="1992"/>
      <c r="CH82" s="1992"/>
      <c r="CI82" s="1992"/>
      <c r="CJ82" s="1992"/>
      <c r="CK82" s="1992"/>
      <c r="CL82" s="1992"/>
      <c r="CM82" s="1992"/>
      <c r="CN82" s="1992"/>
      <c r="CO82" s="1992"/>
      <c r="CP82" s="1992"/>
      <c r="CQ82" s="1992"/>
      <c r="CR82" s="1992"/>
      <c r="CS82" s="1992"/>
      <c r="CT82" s="1992"/>
      <c r="CU82" s="1992"/>
      <c r="CV82" s="1992"/>
      <c r="CW82" s="1992"/>
      <c r="CX82" s="1992"/>
      <c r="CY82" s="1992"/>
      <c r="CZ82" s="1992"/>
      <c r="DA82" s="1992"/>
      <c r="DB82" s="1992"/>
      <c r="DC82" s="1992"/>
      <c r="DD82" s="1993">
        <f t="shared" ref="DD82:DD110" si="7">CB82-AZ82</f>
        <v>2407034</v>
      </c>
      <c r="DE82" s="1993"/>
      <c r="DF82" s="1993"/>
      <c r="DG82" s="1993"/>
      <c r="DH82" s="1993"/>
      <c r="DI82" s="1993"/>
      <c r="DJ82" s="1993"/>
      <c r="DK82" s="1993"/>
      <c r="DL82" s="1993"/>
      <c r="DM82" s="1993"/>
      <c r="DN82" s="1993"/>
      <c r="DO82" s="1993"/>
      <c r="DP82" s="1993"/>
      <c r="DQ82" s="1993"/>
      <c r="DR82" s="1993"/>
      <c r="DS82" s="1993"/>
      <c r="DT82" s="1993"/>
      <c r="DU82" s="1993"/>
      <c r="DV82" s="1993"/>
      <c r="DW82" s="1993"/>
      <c r="DX82" s="1993"/>
      <c r="DY82" s="1993"/>
      <c r="DZ82" s="1993"/>
      <c r="EA82" s="1993"/>
      <c r="EB82" s="1993"/>
      <c r="EC82" s="1993"/>
      <c r="ED82" s="1993"/>
      <c r="EE82" s="1993"/>
      <c r="EF82" s="1992">
        <f>前年度貼付!$E$114</f>
        <v>21029200</v>
      </c>
      <c r="EG82" s="1992"/>
      <c r="EH82" s="1992"/>
      <c r="EI82" s="1992"/>
      <c r="EJ82" s="1992"/>
      <c r="EK82" s="1992"/>
      <c r="EL82" s="1992"/>
      <c r="EM82" s="1992"/>
      <c r="EN82" s="1992"/>
      <c r="EO82" s="1992"/>
      <c r="EP82" s="1992"/>
      <c r="EQ82" s="1992"/>
      <c r="ER82" s="1992"/>
      <c r="ES82" s="1992"/>
      <c r="ET82" s="1992"/>
      <c r="EU82" s="1992"/>
      <c r="EV82" s="1992"/>
      <c r="EW82" s="1992"/>
      <c r="EX82" s="1992"/>
      <c r="EY82" s="1992"/>
      <c r="EZ82" s="1992"/>
      <c r="FA82" s="1992"/>
      <c r="FB82" s="1992"/>
      <c r="FC82" s="1992"/>
      <c r="FD82" s="1992"/>
      <c r="FE82" s="1992"/>
      <c r="FF82" s="1992"/>
      <c r="FG82" s="1992"/>
      <c r="FH82" s="1988">
        <f t="shared" ref="FH82:FH106" si="8">CB82-EF82</f>
        <v>5169834</v>
      </c>
      <c r="FI82" s="1988"/>
      <c r="FJ82" s="1988"/>
      <c r="FK82" s="1988"/>
      <c r="FL82" s="1988"/>
      <c r="FM82" s="1988"/>
      <c r="FN82" s="1988"/>
      <c r="FO82" s="1988"/>
      <c r="FP82" s="1988"/>
      <c r="FQ82" s="1988"/>
      <c r="FR82" s="1988"/>
      <c r="FS82" s="1988"/>
      <c r="FT82" s="1988"/>
      <c r="FU82" s="1988"/>
      <c r="FV82" s="1988"/>
      <c r="FW82" s="1988"/>
      <c r="FX82" s="1988"/>
      <c r="FY82" s="1988"/>
      <c r="FZ82" s="1988"/>
      <c r="GA82" s="1988"/>
      <c r="GB82" s="1988"/>
      <c r="GC82" s="1988"/>
      <c r="GD82" s="1988"/>
      <c r="GE82" s="1988"/>
      <c r="GF82" s="1988"/>
      <c r="GG82" s="1988"/>
      <c r="GH82" s="1988"/>
      <c r="GI82" s="1988"/>
    </row>
    <row r="83" spans="1:191" s="166" customFormat="1" ht="24" customHeight="1">
      <c r="A83" s="1998"/>
      <c r="B83" s="1998"/>
      <c r="C83" s="1998"/>
      <c r="D83" s="1998"/>
      <c r="E83" s="1998"/>
      <c r="F83" s="189"/>
      <c r="G83" s="189"/>
      <c r="H83" s="1990" t="s">
        <v>79</v>
      </c>
      <c r="I83" s="1990"/>
      <c r="J83" s="1990"/>
      <c r="K83" s="1990"/>
      <c r="L83" s="1990"/>
      <c r="M83" s="1990"/>
      <c r="N83" s="1990"/>
      <c r="O83" s="1990"/>
      <c r="P83" s="1990"/>
      <c r="Q83" s="1990"/>
      <c r="R83" s="1990"/>
      <c r="S83" s="1990"/>
      <c r="T83" s="1990"/>
      <c r="U83" s="1990"/>
      <c r="V83" s="1990"/>
      <c r="W83" s="1990"/>
      <c r="X83" s="1990"/>
      <c r="Y83" s="1990"/>
      <c r="Z83" s="1990"/>
      <c r="AA83" s="1990"/>
      <c r="AB83" s="1990"/>
      <c r="AC83" s="1990"/>
      <c r="AD83" s="1990"/>
      <c r="AE83" s="1990"/>
      <c r="AF83" s="1990"/>
      <c r="AG83" s="1990"/>
      <c r="AH83" s="1990"/>
      <c r="AI83" s="1990"/>
      <c r="AJ83" s="1990"/>
      <c r="AK83" s="1990"/>
      <c r="AL83" s="1990"/>
      <c r="AM83" s="1990"/>
      <c r="AN83" s="1990"/>
      <c r="AO83" s="1990"/>
      <c r="AP83" s="1990"/>
      <c r="AQ83" s="1990"/>
      <c r="AR83" s="1990"/>
      <c r="AS83" s="1990"/>
      <c r="AT83" s="1990"/>
      <c r="AU83" s="1990"/>
      <c r="AV83" s="1990"/>
      <c r="AW83" s="1990"/>
      <c r="AX83" s="189"/>
      <c r="AY83" s="197"/>
      <c r="AZ83" s="1991">
        <v>1000</v>
      </c>
      <c r="BA83" s="1992"/>
      <c r="BB83" s="1992"/>
      <c r="BC83" s="1992"/>
      <c r="BD83" s="1992"/>
      <c r="BE83" s="1992"/>
      <c r="BF83" s="1992"/>
      <c r="BG83" s="1992"/>
      <c r="BH83" s="1992"/>
      <c r="BI83" s="1992"/>
      <c r="BJ83" s="1992"/>
      <c r="BK83" s="1992"/>
      <c r="BL83" s="1992"/>
      <c r="BM83" s="1992"/>
      <c r="BN83" s="1992"/>
      <c r="BO83" s="1992"/>
      <c r="BP83" s="1992"/>
      <c r="BQ83" s="1992"/>
      <c r="BR83" s="1992"/>
      <c r="BS83" s="1992"/>
      <c r="BT83" s="1992"/>
      <c r="BU83" s="1992"/>
      <c r="BV83" s="1992"/>
      <c r="BW83" s="1992"/>
      <c r="BX83" s="1992"/>
      <c r="BY83" s="1992"/>
      <c r="BZ83" s="1992"/>
      <c r="CA83" s="1992"/>
      <c r="CB83" s="1991">
        <v>0</v>
      </c>
      <c r="CC83" s="1992"/>
      <c r="CD83" s="1992"/>
      <c r="CE83" s="1992"/>
      <c r="CF83" s="1992"/>
      <c r="CG83" s="1992"/>
      <c r="CH83" s="1992"/>
      <c r="CI83" s="1992"/>
      <c r="CJ83" s="1992"/>
      <c r="CK83" s="1992"/>
      <c r="CL83" s="1992"/>
      <c r="CM83" s="1992"/>
      <c r="CN83" s="1992"/>
      <c r="CO83" s="1992"/>
      <c r="CP83" s="1992"/>
      <c r="CQ83" s="1992"/>
      <c r="CR83" s="1992"/>
      <c r="CS83" s="1992"/>
      <c r="CT83" s="1992"/>
      <c r="CU83" s="1992"/>
      <c r="CV83" s="1992"/>
      <c r="CW83" s="1992"/>
      <c r="CX83" s="1992"/>
      <c r="CY83" s="1992"/>
      <c r="CZ83" s="1992"/>
      <c r="DA83" s="1992"/>
      <c r="DB83" s="1992"/>
      <c r="DC83" s="1992"/>
      <c r="DD83" s="1993">
        <f t="shared" si="7"/>
        <v>-1000</v>
      </c>
      <c r="DE83" s="1993"/>
      <c r="DF83" s="1993"/>
      <c r="DG83" s="1993"/>
      <c r="DH83" s="1993"/>
      <c r="DI83" s="1993"/>
      <c r="DJ83" s="1993"/>
      <c r="DK83" s="1993"/>
      <c r="DL83" s="1993"/>
      <c r="DM83" s="1993"/>
      <c r="DN83" s="1993"/>
      <c r="DO83" s="1993"/>
      <c r="DP83" s="1993"/>
      <c r="DQ83" s="1993"/>
      <c r="DR83" s="1993"/>
      <c r="DS83" s="1993"/>
      <c r="DT83" s="1993"/>
      <c r="DU83" s="1993"/>
      <c r="DV83" s="1993"/>
      <c r="DW83" s="1993"/>
      <c r="DX83" s="1993"/>
      <c r="DY83" s="1993"/>
      <c r="DZ83" s="1993"/>
      <c r="EA83" s="1993"/>
      <c r="EB83" s="1993"/>
      <c r="EC83" s="1993"/>
      <c r="ED83" s="1993"/>
      <c r="EE83" s="1993"/>
      <c r="EF83" s="1992">
        <f>前年度貼付!$E$115</f>
        <v>0</v>
      </c>
      <c r="EG83" s="1992"/>
      <c r="EH83" s="1992"/>
      <c r="EI83" s="1992"/>
      <c r="EJ83" s="1992"/>
      <c r="EK83" s="1992"/>
      <c r="EL83" s="1992"/>
      <c r="EM83" s="1992"/>
      <c r="EN83" s="1992"/>
      <c r="EO83" s="1992"/>
      <c r="EP83" s="1992"/>
      <c r="EQ83" s="1992"/>
      <c r="ER83" s="1992"/>
      <c r="ES83" s="1992"/>
      <c r="ET83" s="1992"/>
      <c r="EU83" s="1992"/>
      <c r="EV83" s="1992"/>
      <c r="EW83" s="1992"/>
      <c r="EX83" s="1992"/>
      <c r="EY83" s="1992"/>
      <c r="EZ83" s="1992"/>
      <c r="FA83" s="1992"/>
      <c r="FB83" s="1992"/>
      <c r="FC83" s="1992"/>
      <c r="FD83" s="1992"/>
      <c r="FE83" s="1992"/>
      <c r="FF83" s="1992"/>
      <c r="FG83" s="1992"/>
      <c r="FH83" s="1988">
        <f t="shared" si="8"/>
        <v>0</v>
      </c>
      <c r="FI83" s="1988"/>
      <c r="FJ83" s="1988"/>
      <c r="FK83" s="1988"/>
      <c r="FL83" s="1988"/>
      <c r="FM83" s="1988"/>
      <c r="FN83" s="1988"/>
      <c r="FO83" s="1988"/>
      <c r="FP83" s="1988"/>
      <c r="FQ83" s="1988"/>
      <c r="FR83" s="1988"/>
      <c r="FS83" s="1988"/>
      <c r="FT83" s="1988"/>
      <c r="FU83" s="1988"/>
      <c r="FV83" s="1988"/>
      <c r="FW83" s="1988"/>
      <c r="FX83" s="1988"/>
      <c r="FY83" s="1988"/>
      <c r="FZ83" s="1988"/>
      <c r="GA83" s="1988"/>
      <c r="GB83" s="1988"/>
      <c r="GC83" s="1988"/>
      <c r="GD83" s="1988"/>
      <c r="GE83" s="1988"/>
      <c r="GF83" s="1988"/>
      <c r="GG83" s="1988"/>
      <c r="GH83" s="1988"/>
      <c r="GI83" s="1988"/>
    </row>
    <row r="84" spans="1:191" s="166" customFormat="1" ht="24" customHeight="1">
      <c r="A84" s="1998"/>
      <c r="B84" s="1998"/>
      <c r="C84" s="1998"/>
      <c r="D84" s="1998"/>
      <c r="E84" s="1998"/>
      <c r="F84" s="189"/>
      <c r="G84" s="189"/>
      <c r="H84" s="1932" t="s">
        <v>80</v>
      </c>
      <c r="I84" s="1932"/>
      <c r="J84" s="1932"/>
      <c r="K84" s="1932"/>
      <c r="L84" s="1932"/>
      <c r="M84" s="1932"/>
      <c r="N84" s="1932"/>
      <c r="O84" s="1932"/>
      <c r="P84" s="1932"/>
      <c r="Q84" s="1932"/>
      <c r="R84" s="1932"/>
      <c r="S84" s="1932"/>
      <c r="T84" s="1932"/>
      <c r="U84" s="1932"/>
      <c r="V84" s="1932"/>
      <c r="W84" s="1932"/>
      <c r="X84" s="1932"/>
      <c r="Y84" s="1932"/>
      <c r="Z84" s="1932"/>
      <c r="AA84" s="1932"/>
      <c r="AB84" s="1932"/>
      <c r="AC84" s="1932"/>
      <c r="AD84" s="1932"/>
      <c r="AE84" s="1932"/>
      <c r="AF84" s="1932"/>
      <c r="AG84" s="1932"/>
      <c r="AH84" s="1932"/>
      <c r="AI84" s="1932"/>
      <c r="AJ84" s="1932"/>
      <c r="AK84" s="1932"/>
      <c r="AL84" s="1932"/>
      <c r="AM84" s="1932"/>
      <c r="AN84" s="1932"/>
      <c r="AO84" s="1932"/>
      <c r="AP84" s="1932"/>
      <c r="AQ84" s="1932"/>
      <c r="AR84" s="1932"/>
      <c r="AS84" s="1932"/>
      <c r="AT84" s="1932"/>
      <c r="AU84" s="1932"/>
      <c r="AV84" s="1932"/>
      <c r="AW84" s="1932"/>
      <c r="AX84" s="189"/>
      <c r="AY84" s="197"/>
      <c r="AZ84" s="1991">
        <v>7762000</v>
      </c>
      <c r="BA84" s="1992"/>
      <c r="BB84" s="1992"/>
      <c r="BC84" s="1992"/>
      <c r="BD84" s="1992"/>
      <c r="BE84" s="1992"/>
      <c r="BF84" s="1992"/>
      <c r="BG84" s="1992"/>
      <c r="BH84" s="1992"/>
      <c r="BI84" s="1992"/>
      <c r="BJ84" s="1992"/>
      <c r="BK84" s="1992"/>
      <c r="BL84" s="1992"/>
      <c r="BM84" s="1992"/>
      <c r="BN84" s="1992"/>
      <c r="BO84" s="1992"/>
      <c r="BP84" s="1992"/>
      <c r="BQ84" s="1992"/>
      <c r="BR84" s="1992"/>
      <c r="BS84" s="1992"/>
      <c r="BT84" s="1992"/>
      <c r="BU84" s="1992"/>
      <c r="BV84" s="1992"/>
      <c r="BW84" s="1992"/>
      <c r="BX84" s="1992"/>
      <c r="BY84" s="1992"/>
      <c r="BZ84" s="1992"/>
      <c r="CA84" s="1992"/>
      <c r="CB84" s="1991">
        <v>7180000</v>
      </c>
      <c r="CC84" s="1992"/>
      <c r="CD84" s="1992"/>
      <c r="CE84" s="1992"/>
      <c r="CF84" s="1992"/>
      <c r="CG84" s="1992"/>
      <c r="CH84" s="1992"/>
      <c r="CI84" s="1992"/>
      <c r="CJ84" s="1992"/>
      <c r="CK84" s="1992"/>
      <c r="CL84" s="1992"/>
      <c r="CM84" s="1992"/>
      <c r="CN84" s="1992"/>
      <c r="CO84" s="1992"/>
      <c r="CP84" s="1992"/>
      <c r="CQ84" s="1992"/>
      <c r="CR84" s="1992"/>
      <c r="CS84" s="1992"/>
      <c r="CT84" s="1992"/>
      <c r="CU84" s="1992"/>
      <c r="CV84" s="1992"/>
      <c r="CW84" s="1992"/>
      <c r="CX84" s="1992"/>
      <c r="CY84" s="1992"/>
      <c r="CZ84" s="1992"/>
      <c r="DA84" s="1992"/>
      <c r="DB84" s="1992"/>
      <c r="DC84" s="1992"/>
      <c r="DD84" s="1993">
        <f t="shared" si="7"/>
        <v>-582000</v>
      </c>
      <c r="DE84" s="1993"/>
      <c r="DF84" s="1993"/>
      <c r="DG84" s="1993"/>
      <c r="DH84" s="1993"/>
      <c r="DI84" s="1993"/>
      <c r="DJ84" s="1993"/>
      <c r="DK84" s="1993"/>
      <c r="DL84" s="1993"/>
      <c r="DM84" s="1993"/>
      <c r="DN84" s="1993"/>
      <c r="DO84" s="1993"/>
      <c r="DP84" s="1993"/>
      <c r="DQ84" s="1993"/>
      <c r="DR84" s="1993"/>
      <c r="DS84" s="1993"/>
      <c r="DT84" s="1993"/>
      <c r="DU84" s="1993"/>
      <c r="DV84" s="1993"/>
      <c r="DW84" s="1993"/>
      <c r="DX84" s="1993"/>
      <c r="DY84" s="1993"/>
      <c r="DZ84" s="1993"/>
      <c r="EA84" s="1993"/>
      <c r="EB84" s="1993"/>
      <c r="EC84" s="1993"/>
      <c r="ED84" s="1993"/>
      <c r="EE84" s="1993"/>
      <c r="EF84" s="1992">
        <f>前年度貼付!$E$116</f>
        <v>7120000</v>
      </c>
      <c r="EG84" s="1992"/>
      <c r="EH84" s="1992"/>
      <c r="EI84" s="1992"/>
      <c r="EJ84" s="1992"/>
      <c r="EK84" s="1992"/>
      <c r="EL84" s="1992"/>
      <c r="EM84" s="1992"/>
      <c r="EN84" s="1992"/>
      <c r="EO84" s="1992"/>
      <c r="EP84" s="1992"/>
      <c r="EQ84" s="1992"/>
      <c r="ER84" s="1992"/>
      <c r="ES84" s="1992"/>
      <c r="ET84" s="1992"/>
      <c r="EU84" s="1992"/>
      <c r="EV84" s="1992"/>
      <c r="EW84" s="1992"/>
      <c r="EX84" s="1992"/>
      <c r="EY84" s="1992"/>
      <c r="EZ84" s="1992"/>
      <c r="FA84" s="1992"/>
      <c r="FB84" s="1992"/>
      <c r="FC84" s="1992"/>
      <c r="FD84" s="1992"/>
      <c r="FE84" s="1992"/>
      <c r="FF84" s="1992"/>
      <c r="FG84" s="1992"/>
      <c r="FH84" s="1988">
        <f t="shared" si="8"/>
        <v>60000</v>
      </c>
      <c r="FI84" s="1988"/>
      <c r="FJ84" s="1988"/>
      <c r="FK84" s="1988"/>
      <c r="FL84" s="1988"/>
      <c r="FM84" s="1988"/>
      <c r="FN84" s="1988"/>
      <c r="FO84" s="1988"/>
      <c r="FP84" s="1988"/>
      <c r="FQ84" s="1988"/>
      <c r="FR84" s="1988"/>
      <c r="FS84" s="1988"/>
      <c r="FT84" s="1988"/>
      <c r="FU84" s="1988"/>
      <c r="FV84" s="1988"/>
      <c r="FW84" s="1988"/>
      <c r="FX84" s="1988"/>
      <c r="FY84" s="1988"/>
      <c r="FZ84" s="1988"/>
      <c r="GA84" s="1988"/>
      <c r="GB84" s="1988"/>
      <c r="GC84" s="1988"/>
      <c r="GD84" s="1988"/>
      <c r="GE84" s="1988"/>
      <c r="GF84" s="1988"/>
      <c r="GG84" s="1988"/>
      <c r="GH84" s="1988"/>
      <c r="GI84" s="1988"/>
    </row>
    <row r="85" spans="1:191" s="166" customFormat="1" ht="24" customHeight="1">
      <c r="A85" s="1998"/>
      <c r="B85" s="1998"/>
      <c r="C85" s="1998"/>
      <c r="D85" s="1998"/>
      <c r="E85" s="1998"/>
      <c r="F85" s="189"/>
      <c r="G85" s="189"/>
      <c r="H85" s="1932" t="s">
        <v>81</v>
      </c>
      <c r="I85" s="1932"/>
      <c r="J85" s="1932"/>
      <c r="K85" s="1932"/>
      <c r="L85" s="1932"/>
      <c r="M85" s="1932"/>
      <c r="N85" s="1932"/>
      <c r="O85" s="1932"/>
      <c r="P85" s="1932"/>
      <c r="Q85" s="1932"/>
      <c r="R85" s="1932"/>
      <c r="S85" s="1932"/>
      <c r="T85" s="1932"/>
      <c r="U85" s="1932"/>
      <c r="V85" s="1932"/>
      <c r="W85" s="1932"/>
      <c r="X85" s="1932"/>
      <c r="Y85" s="1932"/>
      <c r="Z85" s="1932"/>
      <c r="AA85" s="1932"/>
      <c r="AB85" s="1932"/>
      <c r="AC85" s="1932"/>
      <c r="AD85" s="1932"/>
      <c r="AE85" s="1932"/>
      <c r="AF85" s="1932"/>
      <c r="AG85" s="1932"/>
      <c r="AH85" s="1932"/>
      <c r="AI85" s="1932"/>
      <c r="AJ85" s="1932"/>
      <c r="AK85" s="1932"/>
      <c r="AL85" s="1932"/>
      <c r="AM85" s="1932"/>
      <c r="AN85" s="1932"/>
      <c r="AO85" s="1932"/>
      <c r="AP85" s="1932"/>
      <c r="AQ85" s="1932"/>
      <c r="AR85" s="1932"/>
      <c r="AS85" s="1932"/>
      <c r="AT85" s="1932"/>
      <c r="AU85" s="1932"/>
      <c r="AV85" s="1932"/>
      <c r="AW85" s="1932"/>
      <c r="AX85" s="189"/>
      <c r="AY85" s="197"/>
      <c r="AZ85" s="1991">
        <v>1646000</v>
      </c>
      <c r="BA85" s="1992"/>
      <c r="BB85" s="1992"/>
      <c r="BC85" s="1992"/>
      <c r="BD85" s="1992"/>
      <c r="BE85" s="1992"/>
      <c r="BF85" s="1992"/>
      <c r="BG85" s="1992"/>
      <c r="BH85" s="1992"/>
      <c r="BI85" s="1992"/>
      <c r="BJ85" s="1992"/>
      <c r="BK85" s="1992"/>
      <c r="BL85" s="1992"/>
      <c r="BM85" s="1992"/>
      <c r="BN85" s="1992"/>
      <c r="BO85" s="1992"/>
      <c r="BP85" s="1992"/>
      <c r="BQ85" s="1992"/>
      <c r="BR85" s="1992"/>
      <c r="BS85" s="1992"/>
      <c r="BT85" s="1992"/>
      <c r="BU85" s="1992"/>
      <c r="BV85" s="1992"/>
      <c r="BW85" s="1992"/>
      <c r="BX85" s="1992"/>
      <c r="BY85" s="1992"/>
      <c r="BZ85" s="1992"/>
      <c r="CA85" s="1992"/>
      <c r="CB85" s="1991">
        <v>1080000</v>
      </c>
      <c r="CC85" s="1992"/>
      <c r="CD85" s="1992"/>
      <c r="CE85" s="1992"/>
      <c r="CF85" s="1992"/>
      <c r="CG85" s="1992"/>
      <c r="CH85" s="1992"/>
      <c r="CI85" s="1992"/>
      <c r="CJ85" s="1992"/>
      <c r="CK85" s="1992"/>
      <c r="CL85" s="1992"/>
      <c r="CM85" s="1992"/>
      <c r="CN85" s="1992"/>
      <c r="CO85" s="1992"/>
      <c r="CP85" s="1992"/>
      <c r="CQ85" s="1992"/>
      <c r="CR85" s="1992"/>
      <c r="CS85" s="1992"/>
      <c r="CT85" s="1992"/>
      <c r="CU85" s="1992"/>
      <c r="CV85" s="1992"/>
      <c r="CW85" s="1992"/>
      <c r="CX85" s="1992"/>
      <c r="CY85" s="1992"/>
      <c r="CZ85" s="1992"/>
      <c r="DA85" s="1992"/>
      <c r="DB85" s="1992"/>
      <c r="DC85" s="1992"/>
      <c r="DD85" s="1993">
        <f t="shared" si="7"/>
        <v>-566000</v>
      </c>
      <c r="DE85" s="1993"/>
      <c r="DF85" s="1993"/>
      <c r="DG85" s="1993"/>
      <c r="DH85" s="1993"/>
      <c r="DI85" s="1993"/>
      <c r="DJ85" s="1993"/>
      <c r="DK85" s="1993"/>
      <c r="DL85" s="1993"/>
      <c r="DM85" s="1993"/>
      <c r="DN85" s="1993"/>
      <c r="DO85" s="1993"/>
      <c r="DP85" s="1993"/>
      <c r="DQ85" s="1993"/>
      <c r="DR85" s="1993"/>
      <c r="DS85" s="1993"/>
      <c r="DT85" s="1993"/>
      <c r="DU85" s="1993"/>
      <c r="DV85" s="1993"/>
      <c r="DW85" s="1993"/>
      <c r="DX85" s="1993"/>
      <c r="DY85" s="1993"/>
      <c r="DZ85" s="1993"/>
      <c r="EA85" s="1993"/>
      <c r="EB85" s="1993"/>
      <c r="EC85" s="1993"/>
      <c r="ED85" s="1993"/>
      <c r="EE85" s="1993"/>
      <c r="EF85" s="1992">
        <f>前年度貼付!$E$117</f>
        <v>1516000</v>
      </c>
      <c r="EG85" s="1992"/>
      <c r="EH85" s="1992"/>
      <c r="EI85" s="1992"/>
      <c r="EJ85" s="1992"/>
      <c r="EK85" s="1992"/>
      <c r="EL85" s="1992"/>
      <c r="EM85" s="1992"/>
      <c r="EN85" s="1992"/>
      <c r="EO85" s="1992"/>
      <c r="EP85" s="1992"/>
      <c r="EQ85" s="1992"/>
      <c r="ER85" s="1992"/>
      <c r="ES85" s="1992"/>
      <c r="ET85" s="1992"/>
      <c r="EU85" s="1992"/>
      <c r="EV85" s="1992"/>
      <c r="EW85" s="1992"/>
      <c r="EX85" s="1992"/>
      <c r="EY85" s="1992"/>
      <c r="EZ85" s="1992"/>
      <c r="FA85" s="1992"/>
      <c r="FB85" s="1992"/>
      <c r="FC85" s="1992"/>
      <c r="FD85" s="1992"/>
      <c r="FE85" s="1992"/>
      <c r="FF85" s="1992"/>
      <c r="FG85" s="1992"/>
      <c r="FH85" s="1988">
        <f t="shared" si="8"/>
        <v>-436000</v>
      </c>
      <c r="FI85" s="1988"/>
      <c r="FJ85" s="1988"/>
      <c r="FK85" s="1988"/>
      <c r="FL85" s="1988"/>
      <c r="FM85" s="1988"/>
      <c r="FN85" s="1988"/>
      <c r="FO85" s="1988"/>
      <c r="FP85" s="1988"/>
      <c r="FQ85" s="1988"/>
      <c r="FR85" s="1988"/>
      <c r="FS85" s="1988"/>
      <c r="FT85" s="1988"/>
      <c r="FU85" s="1988"/>
      <c r="FV85" s="1988"/>
      <c r="FW85" s="1988"/>
      <c r="FX85" s="1988"/>
      <c r="FY85" s="1988"/>
      <c r="FZ85" s="1988"/>
      <c r="GA85" s="1988"/>
      <c r="GB85" s="1988"/>
      <c r="GC85" s="1988"/>
      <c r="GD85" s="1988"/>
      <c r="GE85" s="1988"/>
      <c r="GF85" s="1988"/>
      <c r="GG85" s="1988"/>
      <c r="GH85" s="1988"/>
      <c r="GI85" s="1988"/>
    </row>
    <row r="86" spans="1:191" s="166" customFormat="1" ht="24" customHeight="1">
      <c r="A86" s="1998"/>
      <c r="B86" s="1998"/>
      <c r="C86" s="1998"/>
      <c r="D86" s="1998"/>
      <c r="E86" s="1998"/>
      <c r="F86" s="189"/>
      <c r="G86" s="189"/>
      <c r="H86" s="1932" t="s">
        <v>82</v>
      </c>
      <c r="I86" s="1932"/>
      <c r="J86" s="1932"/>
      <c r="K86" s="1932"/>
      <c r="L86" s="1932"/>
      <c r="M86" s="1932"/>
      <c r="N86" s="1932"/>
      <c r="O86" s="1932"/>
      <c r="P86" s="1932"/>
      <c r="Q86" s="1932"/>
      <c r="R86" s="1932"/>
      <c r="S86" s="1932"/>
      <c r="T86" s="1932"/>
      <c r="U86" s="1932"/>
      <c r="V86" s="1932"/>
      <c r="W86" s="1932"/>
      <c r="X86" s="1932"/>
      <c r="Y86" s="1932"/>
      <c r="Z86" s="1932"/>
      <c r="AA86" s="1932"/>
      <c r="AB86" s="1932"/>
      <c r="AC86" s="1932"/>
      <c r="AD86" s="1932"/>
      <c r="AE86" s="1932"/>
      <c r="AF86" s="1932"/>
      <c r="AG86" s="1932"/>
      <c r="AH86" s="1932"/>
      <c r="AI86" s="1932"/>
      <c r="AJ86" s="1932"/>
      <c r="AK86" s="1932"/>
      <c r="AL86" s="1932"/>
      <c r="AM86" s="1932"/>
      <c r="AN86" s="1932"/>
      <c r="AO86" s="1932"/>
      <c r="AP86" s="1932"/>
      <c r="AQ86" s="1932"/>
      <c r="AR86" s="1932"/>
      <c r="AS86" s="1932"/>
      <c r="AT86" s="1932"/>
      <c r="AU86" s="1932"/>
      <c r="AV86" s="1932"/>
      <c r="AW86" s="1932"/>
      <c r="AX86" s="189"/>
      <c r="AY86" s="197"/>
      <c r="AZ86" s="1991">
        <v>750000</v>
      </c>
      <c r="BA86" s="1992"/>
      <c r="BB86" s="1992"/>
      <c r="BC86" s="1992"/>
      <c r="BD86" s="1992"/>
      <c r="BE86" s="1992"/>
      <c r="BF86" s="1992"/>
      <c r="BG86" s="1992"/>
      <c r="BH86" s="1992"/>
      <c r="BI86" s="1992"/>
      <c r="BJ86" s="1992"/>
      <c r="BK86" s="1992"/>
      <c r="BL86" s="1992"/>
      <c r="BM86" s="1992"/>
      <c r="BN86" s="1992"/>
      <c r="BO86" s="1992"/>
      <c r="BP86" s="1992"/>
      <c r="BQ86" s="1992"/>
      <c r="BR86" s="1992"/>
      <c r="BS86" s="1992"/>
      <c r="BT86" s="1992"/>
      <c r="BU86" s="1992"/>
      <c r="BV86" s="1992"/>
      <c r="BW86" s="1992"/>
      <c r="BX86" s="1992"/>
      <c r="BY86" s="1992"/>
      <c r="BZ86" s="1992"/>
      <c r="CA86" s="1992"/>
      <c r="CB86" s="1991">
        <v>100000</v>
      </c>
      <c r="CC86" s="1992"/>
      <c r="CD86" s="1992"/>
      <c r="CE86" s="1992"/>
      <c r="CF86" s="1992"/>
      <c r="CG86" s="1992"/>
      <c r="CH86" s="1992"/>
      <c r="CI86" s="1992"/>
      <c r="CJ86" s="1992"/>
      <c r="CK86" s="1992"/>
      <c r="CL86" s="1992"/>
      <c r="CM86" s="1992"/>
      <c r="CN86" s="1992"/>
      <c r="CO86" s="1992"/>
      <c r="CP86" s="1992"/>
      <c r="CQ86" s="1992"/>
      <c r="CR86" s="1992"/>
      <c r="CS86" s="1992"/>
      <c r="CT86" s="1992"/>
      <c r="CU86" s="1992"/>
      <c r="CV86" s="1992"/>
      <c r="CW86" s="1992"/>
      <c r="CX86" s="1992"/>
      <c r="CY86" s="1992"/>
      <c r="CZ86" s="1992"/>
      <c r="DA86" s="1992"/>
      <c r="DB86" s="1992"/>
      <c r="DC86" s="1992"/>
      <c r="DD86" s="1993">
        <f t="shared" si="7"/>
        <v>-650000</v>
      </c>
      <c r="DE86" s="1993"/>
      <c r="DF86" s="1993"/>
      <c r="DG86" s="1993"/>
      <c r="DH86" s="1993"/>
      <c r="DI86" s="1993"/>
      <c r="DJ86" s="1993"/>
      <c r="DK86" s="1993"/>
      <c r="DL86" s="1993"/>
      <c r="DM86" s="1993"/>
      <c r="DN86" s="1993"/>
      <c r="DO86" s="1993"/>
      <c r="DP86" s="1993"/>
      <c r="DQ86" s="1993"/>
      <c r="DR86" s="1993"/>
      <c r="DS86" s="1993"/>
      <c r="DT86" s="1993"/>
      <c r="DU86" s="1993"/>
      <c r="DV86" s="1993"/>
      <c r="DW86" s="1993"/>
      <c r="DX86" s="1993"/>
      <c r="DY86" s="1993"/>
      <c r="DZ86" s="1993"/>
      <c r="EA86" s="1993"/>
      <c r="EB86" s="1993"/>
      <c r="EC86" s="1993"/>
      <c r="ED86" s="1993"/>
      <c r="EE86" s="1993"/>
      <c r="EF86" s="1992">
        <f>前年度貼付!$E$118</f>
        <v>600000</v>
      </c>
      <c r="EG86" s="1992"/>
      <c r="EH86" s="1992"/>
      <c r="EI86" s="1992"/>
      <c r="EJ86" s="1992"/>
      <c r="EK86" s="1992"/>
      <c r="EL86" s="1992"/>
      <c r="EM86" s="1992"/>
      <c r="EN86" s="1992"/>
      <c r="EO86" s="1992"/>
      <c r="EP86" s="1992"/>
      <c r="EQ86" s="1992"/>
      <c r="ER86" s="1992"/>
      <c r="ES86" s="1992"/>
      <c r="ET86" s="1992"/>
      <c r="EU86" s="1992"/>
      <c r="EV86" s="1992"/>
      <c r="EW86" s="1992"/>
      <c r="EX86" s="1992"/>
      <c r="EY86" s="1992"/>
      <c r="EZ86" s="1992"/>
      <c r="FA86" s="1992"/>
      <c r="FB86" s="1992"/>
      <c r="FC86" s="1992"/>
      <c r="FD86" s="1992"/>
      <c r="FE86" s="1992"/>
      <c r="FF86" s="1992"/>
      <c r="FG86" s="1992"/>
      <c r="FH86" s="1988">
        <f t="shared" si="8"/>
        <v>-500000</v>
      </c>
      <c r="FI86" s="1988"/>
      <c r="FJ86" s="1988"/>
      <c r="FK86" s="1988"/>
      <c r="FL86" s="1988"/>
      <c r="FM86" s="1988"/>
      <c r="FN86" s="1988"/>
      <c r="FO86" s="1988"/>
      <c r="FP86" s="1988"/>
      <c r="FQ86" s="1988"/>
      <c r="FR86" s="1988"/>
      <c r="FS86" s="1988"/>
      <c r="FT86" s="1988"/>
      <c r="FU86" s="1988"/>
      <c r="FV86" s="1988"/>
      <c r="FW86" s="1988"/>
      <c r="FX86" s="1988"/>
      <c r="FY86" s="1988"/>
      <c r="FZ86" s="1988"/>
      <c r="GA86" s="1988"/>
      <c r="GB86" s="1988"/>
      <c r="GC86" s="1988"/>
      <c r="GD86" s="1988"/>
      <c r="GE86" s="1988"/>
      <c r="GF86" s="1988"/>
      <c r="GG86" s="1988"/>
      <c r="GH86" s="1988"/>
      <c r="GI86" s="1988"/>
    </row>
    <row r="87" spans="1:191" s="166" customFormat="1" ht="24" customHeight="1">
      <c r="A87" s="1998"/>
      <c r="B87" s="1998"/>
      <c r="C87" s="1998"/>
      <c r="D87" s="1998"/>
      <c r="E87" s="1998"/>
      <c r="F87" s="189"/>
      <c r="G87" s="189"/>
      <c r="H87" s="1932" t="s">
        <v>83</v>
      </c>
      <c r="I87" s="1932"/>
      <c r="J87" s="1932"/>
      <c r="K87" s="1932"/>
      <c r="L87" s="1932"/>
      <c r="M87" s="1932"/>
      <c r="N87" s="1932"/>
      <c r="O87" s="1932"/>
      <c r="P87" s="1932"/>
      <c r="Q87" s="1932"/>
      <c r="R87" s="1932"/>
      <c r="S87" s="1932"/>
      <c r="T87" s="1932"/>
      <c r="U87" s="1932"/>
      <c r="V87" s="1932"/>
      <c r="W87" s="1932"/>
      <c r="X87" s="1932"/>
      <c r="Y87" s="1932"/>
      <c r="Z87" s="1932"/>
      <c r="AA87" s="1932"/>
      <c r="AB87" s="1932"/>
      <c r="AC87" s="1932"/>
      <c r="AD87" s="1932"/>
      <c r="AE87" s="1932"/>
      <c r="AF87" s="1932"/>
      <c r="AG87" s="1932"/>
      <c r="AH87" s="1932"/>
      <c r="AI87" s="1932"/>
      <c r="AJ87" s="1932"/>
      <c r="AK87" s="1932"/>
      <c r="AL87" s="1932"/>
      <c r="AM87" s="1932"/>
      <c r="AN87" s="1932"/>
      <c r="AO87" s="1932"/>
      <c r="AP87" s="1932"/>
      <c r="AQ87" s="1932"/>
      <c r="AR87" s="1932"/>
      <c r="AS87" s="1932"/>
      <c r="AT87" s="1932"/>
      <c r="AU87" s="1932"/>
      <c r="AV87" s="1932"/>
      <c r="AW87" s="1932"/>
      <c r="AX87" s="189"/>
      <c r="AY87" s="197"/>
      <c r="AZ87" s="1991">
        <v>350000</v>
      </c>
      <c r="BA87" s="1992"/>
      <c r="BB87" s="1992"/>
      <c r="BC87" s="1992"/>
      <c r="BD87" s="1992"/>
      <c r="BE87" s="1992"/>
      <c r="BF87" s="1992"/>
      <c r="BG87" s="1992"/>
      <c r="BH87" s="1992"/>
      <c r="BI87" s="1992"/>
      <c r="BJ87" s="1992"/>
      <c r="BK87" s="1992"/>
      <c r="BL87" s="1992"/>
      <c r="BM87" s="1992"/>
      <c r="BN87" s="1992"/>
      <c r="BO87" s="1992"/>
      <c r="BP87" s="1992"/>
      <c r="BQ87" s="1992"/>
      <c r="BR87" s="1992"/>
      <c r="BS87" s="1992"/>
      <c r="BT87" s="1992"/>
      <c r="BU87" s="1992"/>
      <c r="BV87" s="1992"/>
      <c r="BW87" s="1992"/>
      <c r="BX87" s="1992"/>
      <c r="BY87" s="1992"/>
      <c r="BZ87" s="1992"/>
      <c r="CA87" s="1992"/>
      <c r="CB87" s="1991">
        <v>350000</v>
      </c>
      <c r="CC87" s="1992"/>
      <c r="CD87" s="1992"/>
      <c r="CE87" s="1992"/>
      <c r="CF87" s="1992"/>
      <c r="CG87" s="1992"/>
      <c r="CH87" s="1992"/>
      <c r="CI87" s="1992"/>
      <c r="CJ87" s="1992"/>
      <c r="CK87" s="1992"/>
      <c r="CL87" s="1992"/>
      <c r="CM87" s="1992"/>
      <c r="CN87" s="1992"/>
      <c r="CO87" s="1992"/>
      <c r="CP87" s="1992"/>
      <c r="CQ87" s="1992"/>
      <c r="CR87" s="1992"/>
      <c r="CS87" s="1992"/>
      <c r="CT87" s="1992"/>
      <c r="CU87" s="1992"/>
      <c r="CV87" s="1992"/>
      <c r="CW87" s="1992"/>
      <c r="CX87" s="1992"/>
      <c r="CY87" s="1992"/>
      <c r="CZ87" s="1992"/>
      <c r="DA87" s="1992"/>
      <c r="DB87" s="1992"/>
      <c r="DC87" s="1992"/>
      <c r="DD87" s="1993">
        <f t="shared" si="7"/>
        <v>0</v>
      </c>
      <c r="DE87" s="1993"/>
      <c r="DF87" s="1993"/>
      <c r="DG87" s="1993"/>
      <c r="DH87" s="1993"/>
      <c r="DI87" s="1993"/>
      <c r="DJ87" s="1993"/>
      <c r="DK87" s="1993"/>
      <c r="DL87" s="1993"/>
      <c r="DM87" s="1993"/>
      <c r="DN87" s="1993"/>
      <c r="DO87" s="1993"/>
      <c r="DP87" s="1993"/>
      <c r="DQ87" s="1993"/>
      <c r="DR87" s="1993"/>
      <c r="DS87" s="1993"/>
      <c r="DT87" s="1993"/>
      <c r="DU87" s="1993"/>
      <c r="DV87" s="1993"/>
      <c r="DW87" s="1993"/>
      <c r="DX87" s="1993"/>
      <c r="DY87" s="1993"/>
      <c r="DZ87" s="1993"/>
      <c r="EA87" s="1993"/>
      <c r="EB87" s="1993"/>
      <c r="EC87" s="1993"/>
      <c r="ED87" s="1993"/>
      <c r="EE87" s="1993"/>
      <c r="EF87" s="1992">
        <f>前年度貼付!$E$119</f>
        <v>250000</v>
      </c>
      <c r="EG87" s="1992"/>
      <c r="EH87" s="1992"/>
      <c r="EI87" s="1992"/>
      <c r="EJ87" s="1992"/>
      <c r="EK87" s="1992"/>
      <c r="EL87" s="1992"/>
      <c r="EM87" s="1992"/>
      <c r="EN87" s="1992"/>
      <c r="EO87" s="1992"/>
      <c r="EP87" s="1992"/>
      <c r="EQ87" s="1992"/>
      <c r="ER87" s="1992"/>
      <c r="ES87" s="1992"/>
      <c r="ET87" s="1992"/>
      <c r="EU87" s="1992"/>
      <c r="EV87" s="1992"/>
      <c r="EW87" s="1992"/>
      <c r="EX87" s="1992"/>
      <c r="EY87" s="1992"/>
      <c r="EZ87" s="1992"/>
      <c r="FA87" s="1992"/>
      <c r="FB87" s="1992"/>
      <c r="FC87" s="1992"/>
      <c r="FD87" s="1992"/>
      <c r="FE87" s="1992"/>
      <c r="FF87" s="1992"/>
      <c r="FG87" s="1992"/>
      <c r="FH87" s="1988">
        <f t="shared" si="8"/>
        <v>100000</v>
      </c>
      <c r="FI87" s="1988"/>
      <c r="FJ87" s="1988"/>
      <c r="FK87" s="1988"/>
      <c r="FL87" s="1988"/>
      <c r="FM87" s="1988"/>
      <c r="FN87" s="1988"/>
      <c r="FO87" s="1988"/>
      <c r="FP87" s="1988"/>
      <c r="FQ87" s="1988"/>
      <c r="FR87" s="1988"/>
      <c r="FS87" s="1988"/>
      <c r="FT87" s="1988"/>
      <c r="FU87" s="1988"/>
      <c r="FV87" s="1988"/>
      <c r="FW87" s="1988"/>
      <c r="FX87" s="1988"/>
      <c r="FY87" s="1988"/>
      <c r="FZ87" s="1988"/>
      <c r="GA87" s="1988"/>
      <c r="GB87" s="1988"/>
      <c r="GC87" s="1988"/>
      <c r="GD87" s="1988"/>
      <c r="GE87" s="1988"/>
      <c r="GF87" s="1988"/>
      <c r="GG87" s="1988"/>
      <c r="GH87" s="1988"/>
      <c r="GI87" s="1988"/>
    </row>
    <row r="88" spans="1:191" s="166" customFormat="1" ht="24" customHeight="1">
      <c r="A88" s="1998"/>
      <c r="B88" s="1998"/>
      <c r="C88" s="1998"/>
      <c r="D88" s="1998"/>
      <c r="E88" s="1998"/>
      <c r="F88" s="189"/>
      <c r="G88" s="189"/>
      <c r="H88" s="1932" t="s">
        <v>84</v>
      </c>
      <c r="I88" s="1932"/>
      <c r="J88" s="1932"/>
      <c r="K88" s="1932"/>
      <c r="L88" s="1932"/>
      <c r="M88" s="1932"/>
      <c r="N88" s="1932"/>
      <c r="O88" s="1932"/>
      <c r="P88" s="1932"/>
      <c r="Q88" s="1932"/>
      <c r="R88" s="1932"/>
      <c r="S88" s="1932"/>
      <c r="T88" s="1932"/>
      <c r="U88" s="1932"/>
      <c r="V88" s="1932"/>
      <c r="W88" s="1932"/>
      <c r="X88" s="1932"/>
      <c r="Y88" s="1932"/>
      <c r="Z88" s="1932"/>
      <c r="AA88" s="1932"/>
      <c r="AB88" s="1932"/>
      <c r="AC88" s="1932"/>
      <c r="AD88" s="1932"/>
      <c r="AE88" s="1932"/>
      <c r="AF88" s="1932"/>
      <c r="AG88" s="1932"/>
      <c r="AH88" s="1932"/>
      <c r="AI88" s="1932"/>
      <c r="AJ88" s="1932"/>
      <c r="AK88" s="1932"/>
      <c r="AL88" s="1932"/>
      <c r="AM88" s="1932"/>
      <c r="AN88" s="1932"/>
      <c r="AO88" s="1932"/>
      <c r="AP88" s="1932"/>
      <c r="AQ88" s="1932"/>
      <c r="AR88" s="1932"/>
      <c r="AS88" s="1932"/>
      <c r="AT88" s="1932"/>
      <c r="AU88" s="1932"/>
      <c r="AV88" s="1932"/>
      <c r="AW88" s="1932"/>
      <c r="AX88" s="189"/>
      <c r="AY88" s="197"/>
      <c r="AZ88" s="1991">
        <v>7615000</v>
      </c>
      <c r="BA88" s="1992"/>
      <c r="BB88" s="1992"/>
      <c r="BC88" s="1992"/>
      <c r="BD88" s="1992"/>
      <c r="BE88" s="1992"/>
      <c r="BF88" s="1992"/>
      <c r="BG88" s="1992"/>
      <c r="BH88" s="1992"/>
      <c r="BI88" s="1992"/>
      <c r="BJ88" s="1992"/>
      <c r="BK88" s="1992"/>
      <c r="BL88" s="1992"/>
      <c r="BM88" s="1992"/>
      <c r="BN88" s="1992"/>
      <c r="BO88" s="1992"/>
      <c r="BP88" s="1992"/>
      <c r="BQ88" s="1992"/>
      <c r="BR88" s="1992"/>
      <c r="BS88" s="1992"/>
      <c r="BT88" s="1992"/>
      <c r="BU88" s="1992"/>
      <c r="BV88" s="1992"/>
      <c r="BW88" s="1992"/>
      <c r="BX88" s="1992"/>
      <c r="BY88" s="1992"/>
      <c r="BZ88" s="1992"/>
      <c r="CA88" s="1992"/>
      <c r="CB88" s="1991">
        <v>1437643</v>
      </c>
      <c r="CC88" s="1992"/>
      <c r="CD88" s="1992"/>
      <c r="CE88" s="1992"/>
      <c r="CF88" s="1992"/>
      <c r="CG88" s="1992"/>
      <c r="CH88" s="1992"/>
      <c r="CI88" s="1992"/>
      <c r="CJ88" s="1992"/>
      <c r="CK88" s="1992"/>
      <c r="CL88" s="1992"/>
      <c r="CM88" s="1992"/>
      <c r="CN88" s="1992"/>
      <c r="CO88" s="1992"/>
      <c r="CP88" s="1992"/>
      <c r="CQ88" s="1992"/>
      <c r="CR88" s="1992"/>
      <c r="CS88" s="1992"/>
      <c r="CT88" s="1992"/>
      <c r="CU88" s="1992"/>
      <c r="CV88" s="1992"/>
      <c r="CW88" s="1992"/>
      <c r="CX88" s="1992"/>
      <c r="CY88" s="1992"/>
      <c r="CZ88" s="1992"/>
      <c r="DA88" s="1992"/>
      <c r="DB88" s="1992"/>
      <c r="DC88" s="1992"/>
      <c r="DD88" s="1993">
        <f t="shared" si="7"/>
        <v>-6177357</v>
      </c>
      <c r="DE88" s="1993"/>
      <c r="DF88" s="1993"/>
      <c r="DG88" s="1993"/>
      <c r="DH88" s="1993"/>
      <c r="DI88" s="1993"/>
      <c r="DJ88" s="1993"/>
      <c r="DK88" s="1993"/>
      <c r="DL88" s="1993"/>
      <c r="DM88" s="1993"/>
      <c r="DN88" s="1993"/>
      <c r="DO88" s="1993"/>
      <c r="DP88" s="1993"/>
      <c r="DQ88" s="1993"/>
      <c r="DR88" s="1993"/>
      <c r="DS88" s="1993"/>
      <c r="DT88" s="1993"/>
      <c r="DU88" s="1993"/>
      <c r="DV88" s="1993"/>
      <c r="DW88" s="1993"/>
      <c r="DX88" s="1993"/>
      <c r="DY88" s="1993"/>
      <c r="DZ88" s="1993"/>
      <c r="EA88" s="1993"/>
      <c r="EB88" s="1993"/>
      <c r="EC88" s="1993"/>
      <c r="ED88" s="1993"/>
      <c r="EE88" s="1993"/>
      <c r="EF88" s="1992">
        <f>前年度貼付!$E$120</f>
        <v>5606313</v>
      </c>
      <c r="EG88" s="1992"/>
      <c r="EH88" s="1992"/>
      <c r="EI88" s="1992"/>
      <c r="EJ88" s="1992"/>
      <c r="EK88" s="1992"/>
      <c r="EL88" s="1992"/>
      <c r="EM88" s="1992"/>
      <c r="EN88" s="1992"/>
      <c r="EO88" s="1992"/>
      <c r="EP88" s="1992"/>
      <c r="EQ88" s="1992"/>
      <c r="ER88" s="1992"/>
      <c r="ES88" s="1992"/>
      <c r="ET88" s="1992"/>
      <c r="EU88" s="1992"/>
      <c r="EV88" s="1992"/>
      <c r="EW88" s="1992"/>
      <c r="EX88" s="1992"/>
      <c r="EY88" s="1992"/>
      <c r="EZ88" s="1992"/>
      <c r="FA88" s="1992"/>
      <c r="FB88" s="1992"/>
      <c r="FC88" s="1992"/>
      <c r="FD88" s="1992"/>
      <c r="FE88" s="1992"/>
      <c r="FF88" s="1992"/>
      <c r="FG88" s="1992"/>
      <c r="FH88" s="1988">
        <f t="shared" si="8"/>
        <v>-4168670</v>
      </c>
      <c r="FI88" s="1988"/>
      <c r="FJ88" s="1988"/>
      <c r="FK88" s="1988"/>
      <c r="FL88" s="1988"/>
      <c r="FM88" s="1988"/>
      <c r="FN88" s="1988"/>
      <c r="FO88" s="1988"/>
      <c r="FP88" s="1988"/>
      <c r="FQ88" s="1988"/>
      <c r="FR88" s="1988"/>
      <c r="FS88" s="1988"/>
      <c r="FT88" s="1988"/>
      <c r="FU88" s="1988"/>
      <c r="FV88" s="1988"/>
      <c r="FW88" s="1988"/>
      <c r="FX88" s="1988"/>
      <c r="FY88" s="1988"/>
      <c r="FZ88" s="1988"/>
      <c r="GA88" s="1988"/>
      <c r="GB88" s="1988"/>
      <c r="GC88" s="1988"/>
      <c r="GD88" s="1988"/>
      <c r="GE88" s="1988"/>
      <c r="GF88" s="1988"/>
      <c r="GG88" s="1988"/>
      <c r="GH88" s="1988"/>
      <c r="GI88" s="1988"/>
    </row>
    <row r="89" spans="1:191" s="166" customFormat="1" ht="24" customHeight="1">
      <c r="A89" s="1998"/>
      <c r="B89" s="1998"/>
      <c r="C89" s="1998"/>
      <c r="D89" s="1998"/>
      <c r="E89" s="1998"/>
      <c r="F89" s="189"/>
      <c r="G89" s="189"/>
      <c r="H89" s="1951" t="s">
        <v>351</v>
      </c>
      <c r="I89" s="1951"/>
      <c r="J89" s="1951"/>
      <c r="K89" s="1951"/>
      <c r="L89" s="1951"/>
      <c r="M89" s="1951"/>
      <c r="N89" s="1951"/>
      <c r="O89" s="1951"/>
      <c r="P89" s="1951"/>
      <c r="Q89" s="1951"/>
      <c r="R89" s="1951"/>
      <c r="S89" s="1951"/>
      <c r="T89" s="1951"/>
      <c r="U89" s="1951"/>
      <c r="V89" s="1951"/>
      <c r="W89" s="1951"/>
      <c r="X89" s="1951"/>
      <c r="Y89" s="1951"/>
      <c r="Z89" s="1951"/>
      <c r="AA89" s="1951"/>
      <c r="AB89" s="1951"/>
      <c r="AC89" s="1951"/>
      <c r="AD89" s="1951"/>
      <c r="AE89" s="1951"/>
      <c r="AF89" s="1951"/>
      <c r="AG89" s="1951"/>
      <c r="AH89" s="1951"/>
      <c r="AI89" s="1951"/>
      <c r="AJ89" s="1951"/>
      <c r="AK89" s="1951"/>
      <c r="AL89" s="1951"/>
      <c r="AM89" s="1951"/>
      <c r="AN89" s="1951"/>
      <c r="AO89" s="1951"/>
      <c r="AP89" s="1951"/>
      <c r="AQ89" s="1951"/>
      <c r="AR89" s="1951"/>
      <c r="AS89" s="1951"/>
      <c r="AT89" s="1951"/>
      <c r="AU89" s="1951"/>
      <c r="AV89" s="1951"/>
      <c r="AW89" s="1951"/>
      <c r="AX89" s="189"/>
      <c r="AY89" s="197"/>
      <c r="AZ89" s="1996">
        <f>SUM(AZ82:CA88)</f>
        <v>41916000</v>
      </c>
      <c r="BA89" s="1996"/>
      <c r="BB89" s="1996"/>
      <c r="BC89" s="1996"/>
      <c r="BD89" s="1996"/>
      <c r="BE89" s="1996"/>
      <c r="BF89" s="1996"/>
      <c r="BG89" s="1996"/>
      <c r="BH89" s="1996"/>
      <c r="BI89" s="1996"/>
      <c r="BJ89" s="1996"/>
      <c r="BK89" s="1996"/>
      <c r="BL89" s="1996"/>
      <c r="BM89" s="1996"/>
      <c r="BN89" s="1996"/>
      <c r="BO89" s="1996"/>
      <c r="BP89" s="1996"/>
      <c r="BQ89" s="1996"/>
      <c r="BR89" s="1996"/>
      <c r="BS89" s="1996"/>
      <c r="BT89" s="1996"/>
      <c r="BU89" s="1996"/>
      <c r="BV89" s="1996"/>
      <c r="BW89" s="1996"/>
      <c r="BX89" s="1996"/>
      <c r="BY89" s="1996"/>
      <c r="BZ89" s="1996"/>
      <c r="CA89" s="1996"/>
      <c r="CB89" s="1996">
        <f>SUM(CB82:DC88)</f>
        <v>36346677</v>
      </c>
      <c r="CC89" s="1996"/>
      <c r="CD89" s="1996"/>
      <c r="CE89" s="1996"/>
      <c r="CF89" s="1996"/>
      <c r="CG89" s="1996"/>
      <c r="CH89" s="1996"/>
      <c r="CI89" s="1996"/>
      <c r="CJ89" s="1996"/>
      <c r="CK89" s="1996"/>
      <c r="CL89" s="1996"/>
      <c r="CM89" s="1996"/>
      <c r="CN89" s="1996"/>
      <c r="CO89" s="1996"/>
      <c r="CP89" s="1996"/>
      <c r="CQ89" s="1996"/>
      <c r="CR89" s="1996"/>
      <c r="CS89" s="1996"/>
      <c r="CT89" s="1996"/>
      <c r="CU89" s="1996"/>
      <c r="CV89" s="1996"/>
      <c r="CW89" s="1996"/>
      <c r="CX89" s="1996"/>
      <c r="CY89" s="1996"/>
      <c r="CZ89" s="1996"/>
      <c r="DA89" s="1996"/>
      <c r="DB89" s="1996"/>
      <c r="DC89" s="1996"/>
      <c r="DD89" s="1993">
        <f t="shared" si="7"/>
        <v>-5569323</v>
      </c>
      <c r="DE89" s="1993"/>
      <c r="DF89" s="1993"/>
      <c r="DG89" s="1993"/>
      <c r="DH89" s="1993"/>
      <c r="DI89" s="1993"/>
      <c r="DJ89" s="1993"/>
      <c r="DK89" s="1993"/>
      <c r="DL89" s="1993"/>
      <c r="DM89" s="1993"/>
      <c r="DN89" s="1993"/>
      <c r="DO89" s="1993"/>
      <c r="DP89" s="1993"/>
      <c r="DQ89" s="1993"/>
      <c r="DR89" s="1993"/>
      <c r="DS89" s="1993"/>
      <c r="DT89" s="1993"/>
      <c r="DU89" s="1993"/>
      <c r="DV89" s="1993"/>
      <c r="DW89" s="1993"/>
      <c r="DX89" s="1993"/>
      <c r="DY89" s="1993"/>
      <c r="DZ89" s="1993"/>
      <c r="EA89" s="1993"/>
      <c r="EB89" s="1993"/>
      <c r="EC89" s="1993"/>
      <c r="ED89" s="1993"/>
      <c r="EE89" s="1993"/>
      <c r="EF89" s="1992">
        <f>SUM(EF82:FG88)</f>
        <v>36121513</v>
      </c>
      <c r="EG89" s="1992"/>
      <c r="EH89" s="1992"/>
      <c r="EI89" s="1992"/>
      <c r="EJ89" s="1992"/>
      <c r="EK89" s="1992"/>
      <c r="EL89" s="1992"/>
      <c r="EM89" s="1992"/>
      <c r="EN89" s="1992"/>
      <c r="EO89" s="1992"/>
      <c r="EP89" s="1992"/>
      <c r="EQ89" s="1992"/>
      <c r="ER89" s="1992"/>
      <c r="ES89" s="1992"/>
      <c r="ET89" s="1992"/>
      <c r="EU89" s="1992"/>
      <c r="EV89" s="1992"/>
      <c r="EW89" s="1992"/>
      <c r="EX89" s="1992"/>
      <c r="EY89" s="1992"/>
      <c r="EZ89" s="1992"/>
      <c r="FA89" s="1992"/>
      <c r="FB89" s="1992"/>
      <c r="FC89" s="1992"/>
      <c r="FD89" s="1992"/>
      <c r="FE89" s="1992"/>
      <c r="FF89" s="1992"/>
      <c r="FG89" s="1992"/>
      <c r="FH89" s="1988">
        <f t="shared" si="8"/>
        <v>225164</v>
      </c>
      <c r="FI89" s="1988"/>
      <c r="FJ89" s="1988"/>
      <c r="FK89" s="1988"/>
      <c r="FL89" s="1988"/>
      <c r="FM89" s="1988"/>
      <c r="FN89" s="1988"/>
      <c r="FO89" s="1988"/>
      <c r="FP89" s="1988"/>
      <c r="FQ89" s="1988"/>
      <c r="FR89" s="1988"/>
      <c r="FS89" s="1988"/>
      <c r="FT89" s="1988"/>
      <c r="FU89" s="1988"/>
      <c r="FV89" s="1988"/>
      <c r="FW89" s="1988"/>
      <c r="FX89" s="1988"/>
      <c r="FY89" s="1988"/>
      <c r="FZ89" s="1988"/>
      <c r="GA89" s="1988"/>
      <c r="GB89" s="1988"/>
      <c r="GC89" s="1988"/>
      <c r="GD89" s="1988"/>
      <c r="GE89" s="1988"/>
      <c r="GF89" s="1988"/>
      <c r="GG89" s="1988"/>
      <c r="GH89" s="1988"/>
      <c r="GI89" s="1988"/>
    </row>
    <row r="90" spans="1:191" s="166" customFormat="1" ht="24" customHeight="1">
      <c r="A90" s="212"/>
      <c r="B90" s="189"/>
      <c r="C90" s="189"/>
      <c r="D90" s="1932" t="s">
        <v>85</v>
      </c>
      <c r="E90" s="1932"/>
      <c r="F90" s="1932"/>
      <c r="G90" s="1932"/>
      <c r="H90" s="1932"/>
      <c r="I90" s="1932"/>
      <c r="J90" s="1932"/>
      <c r="K90" s="1932"/>
      <c r="L90" s="1932"/>
      <c r="M90" s="1932"/>
      <c r="N90" s="1932"/>
      <c r="O90" s="1932"/>
      <c r="P90" s="1932"/>
      <c r="Q90" s="1932"/>
      <c r="R90" s="1932"/>
      <c r="S90" s="1932"/>
      <c r="T90" s="1932"/>
      <c r="U90" s="1932"/>
      <c r="V90" s="1932"/>
      <c r="W90" s="1932"/>
      <c r="X90" s="1932"/>
      <c r="Y90" s="1932"/>
      <c r="Z90" s="1932"/>
      <c r="AA90" s="1932"/>
      <c r="AB90" s="1932"/>
      <c r="AC90" s="1932"/>
      <c r="AD90" s="1932"/>
      <c r="AE90" s="1932"/>
      <c r="AF90" s="1932"/>
      <c r="AG90" s="1932"/>
      <c r="AH90" s="1932"/>
      <c r="AI90" s="1932"/>
      <c r="AJ90" s="1932"/>
      <c r="AK90" s="1932"/>
      <c r="AL90" s="1932"/>
      <c r="AM90" s="1932"/>
      <c r="AN90" s="1932"/>
      <c r="AO90" s="1932"/>
      <c r="AP90" s="1932"/>
      <c r="AQ90" s="1932"/>
      <c r="AR90" s="1932"/>
      <c r="AS90" s="1932"/>
      <c r="AT90" s="1932"/>
      <c r="AU90" s="1932"/>
      <c r="AV90" s="1932"/>
      <c r="AW90" s="189"/>
      <c r="AX90" s="189"/>
      <c r="AY90" s="197"/>
      <c r="AZ90" s="1991">
        <v>2089153000</v>
      </c>
      <c r="BA90" s="1992"/>
      <c r="BB90" s="1992"/>
      <c r="BC90" s="1992"/>
      <c r="BD90" s="1992"/>
      <c r="BE90" s="1992"/>
      <c r="BF90" s="1992"/>
      <c r="BG90" s="1992"/>
      <c r="BH90" s="1992"/>
      <c r="BI90" s="1992"/>
      <c r="BJ90" s="1992"/>
      <c r="BK90" s="1992"/>
      <c r="BL90" s="1992"/>
      <c r="BM90" s="1992"/>
      <c r="BN90" s="1992"/>
      <c r="BO90" s="1992"/>
      <c r="BP90" s="1992"/>
      <c r="BQ90" s="1992"/>
      <c r="BR90" s="1992"/>
      <c r="BS90" s="1992"/>
      <c r="BT90" s="1992"/>
      <c r="BU90" s="1992"/>
      <c r="BV90" s="1992"/>
      <c r="BW90" s="1992"/>
      <c r="BX90" s="1992"/>
      <c r="BY90" s="1992"/>
      <c r="BZ90" s="1992"/>
      <c r="CA90" s="1992"/>
      <c r="CB90" s="1992">
        <f>短期_財務諸表!B43</f>
        <v>2096611727</v>
      </c>
      <c r="CC90" s="1992"/>
      <c r="CD90" s="1992"/>
      <c r="CE90" s="1992"/>
      <c r="CF90" s="1992"/>
      <c r="CG90" s="1992"/>
      <c r="CH90" s="1992"/>
      <c r="CI90" s="1992"/>
      <c r="CJ90" s="1992"/>
      <c r="CK90" s="1992"/>
      <c r="CL90" s="1992"/>
      <c r="CM90" s="1992"/>
      <c r="CN90" s="1992"/>
      <c r="CO90" s="1992"/>
      <c r="CP90" s="1992"/>
      <c r="CQ90" s="1992"/>
      <c r="CR90" s="1992"/>
      <c r="CS90" s="1992"/>
      <c r="CT90" s="1992"/>
      <c r="CU90" s="1992"/>
      <c r="CV90" s="1992"/>
      <c r="CW90" s="1992"/>
      <c r="CX90" s="1992"/>
      <c r="CY90" s="1992"/>
      <c r="CZ90" s="1992"/>
      <c r="DA90" s="1992"/>
      <c r="DB90" s="1992"/>
      <c r="DC90" s="1992"/>
      <c r="DD90" s="1993">
        <f t="shared" si="7"/>
        <v>7458727</v>
      </c>
      <c r="DE90" s="1993"/>
      <c r="DF90" s="1993"/>
      <c r="DG90" s="1993"/>
      <c r="DH90" s="1993"/>
      <c r="DI90" s="1993"/>
      <c r="DJ90" s="1993"/>
      <c r="DK90" s="1993"/>
      <c r="DL90" s="1993"/>
      <c r="DM90" s="1993"/>
      <c r="DN90" s="1993"/>
      <c r="DO90" s="1993"/>
      <c r="DP90" s="1993"/>
      <c r="DQ90" s="1993"/>
      <c r="DR90" s="1993"/>
      <c r="DS90" s="1993"/>
      <c r="DT90" s="1993"/>
      <c r="DU90" s="1993"/>
      <c r="DV90" s="1993"/>
      <c r="DW90" s="1993"/>
      <c r="DX90" s="1993"/>
      <c r="DY90" s="1993"/>
      <c r="DZ90" s="1993"/>
      <c r="EA90" s="1993"/>
      <c r="EB90" s="1993"/>
      <c r="EC90" s="1993"/>
      <c r="ED90" s="1993"/>
      <c r="EE90" s="1993"/>
      <c r="EF90" s="1992">
        <f>前年度貼付!$E$121</f>
        <v>2031234846</v>
      </c>
      <c r="EG90" s="1992"/>
      <c r="EH90" s="1992"/>
      <c r="EI90" s="1992"/>
      <c r="EJ90" s="1992"/>
      <c r="EK90" s="1992"/>
      <c r="EL90" s="1992"/>
      <c r="EM90" s="1992"/>
      <c r="EN90" s="1992"/>
      <c r="EO90" s="1992"/>
      <c r="EP90" s="1992"/>
      <c r="EQ90" s="1992"/>
      <c r="ER90" s="1992"/>
      <c r="ES90" s="1992"/>
      <c r="ET90" s="1992"/>
      <c r="EU90" s="1992"/>
      <c r="EV90" s="1992"/>
      <c r="EW90" s="1992"/>
      <c r="EX90" s="1992"/>
      <c r="EY90" s="1992"/>
      <c r="EZ90" s="1992"/>
      <c r="FA90" s="1992"/>
      <c r="FB90" s="1992"/>
      <c r="FC90" s="1992"/>
      <c r="FD90" s="1992"/>
      <c r="FE90" s="1992"/>
      <c r="FF90" s="1992"/>
      <c r="FG90" s="1992"/>
      <c r="FH90" s="1988">
        <f t="shared" si="8"/>
        <v>65376881</v>
      </c>
      <c r="FI90" s="1988"/>
      <c r="FJ90" s="1988"/>
      <c r="FK90" s="1988"/>
      <c r="FL90" s="1988"/>
      <c r="FM90" s="1988"/>
      <c r="FN90" s="1988"/>
      <c r="FO90" s="1988"/>
      <c r="FP90" s="1988"/>
      <c r="FQ90" s="1988"/>
      <c r="FR90" s="1988"/>
      <c r="FS90" s="1988"/>
      <c r="FT90" s="1988"/>
      <c r="FU90" s="1988"/>
      <c r="FV90" s="1988"/>
      <c r="FW90" s="1988"/>
      <c r="FX90" s="1988"/>
      <c r="FY90" s="1988"/>
      <c r="FZ90" s="1988"/>
      <c r="GA90" s="1988"/>
      <c r="GB90" s="1988"/>
      <c r="GC90" s="1988"/>
      <c r="GD90" s="1988"/>
      <c r="GE90" s="1988"/>
      <c r="GF90" s="1988"/>
      <c r="GG90" s="1988"/>
      <c r="GH90" s="1988"/>
      <c r="GI90" s="1988"/>
    </row>
    <row r="91" spans="1:191" s="166" customFormat="1" ht="24" customHeight="1">
      <c r="A91" s="212"/>
      <c r="B91" s="189"/>
      <c r="C91" s="189"/>
      <c r="D91" s="1932" t="s">
        <v>86</v>
      </c>
      <c r="E91" s="1932"/>
      <c r="F91" s="1932"/>
      <c r="G91" s="1932"/>
      <c r="H91" s="1932"/>
      <c r="I91" s="1932"/>
      <c r="J91" s="1932"/>
      <c r="K91" s="1932"/>
      <c r="L91" s="1932"/>
      <c r="M91" s="1932"/>
      <c r="N91" s="1932"/>
      <c r="O91" s="1932"/>
      <c r="P91" s="1932"/>
      <c r="Q91" s="1932"/>
      <c r="R91" s="1932"/>
      <c r="S91" s="1932"/>
      <c r="T91" s="1932"/>
      <c r="U91" s="1932"/>
      <c r="V91" s="1932"/>
      <c r="W91" s="1932"/>
      <c r="X91" s="1932"/>
      <c r="Y91" s="1932"/>
      <c r="Z91" s="1932"/>
      <c r="AA91" s="1932"/>
      <c r="AB91" s="1932"/>
      <c r="AC91" s="1932"/>
      <c r="AD91" s="1932"/>
      <c r="AE91" s="1932"/>
      <c r="AF91" s="1932"/>
      <c r="AG91" s="1932"/>
      <c r="AH91" s="1932"/>
      <c r="AI91" s="1932"/>
      <c r="AJ91" s="1932"/>
      <c r="AK91" s="1932"/>
      <c r="AL91" s="1932"/>
      <c r="AM91" s="1932"/>
      <c r="AN91" s="1932"/>
      <c r="AO91" s="1932"/>
      <c r="AP91" s="1932"/>
      <c r="AQ91" s="1932"/>
      <c r="AR91" s="1932"/>
      <c r="AS91" s="1932"/>
      <c r="AT91" s="1932"/>
      <c r="AU91" s="1932"/>
      <c r="AV91" s="1932"/>
      <c r="AW91" s="189"/>
      <c r="AX91" s="189"/>
      <c r="AY91" s="197"/>
      <c r="AZ91" s="1991">
        <v>2300526000</v>
      </c>
      <c r="BA91" s="1992"/>
      <c r="BB91" s="1992"/>
      <c r="BC91" s="1992"/>
      <c r="BD91" s="1992"/>
      <c r="BE91" s="1992"/>
      <c r="BF91" s="1992"/>
      <c r="BG91" s="1992"/>
      <c r="BH91" s="1992"/>
      <c r="BI91" s="1992"/>
      <c r="BJ91" s="1992"/>
      <c r="BK91" s="1992"/>
      <c r="BL91" s="1992"/>
      <c r="BM91" s="1992"/>
      <c r="BN91" s="1992"/>
      <c r="BO91" s="1992"/>
      <c r="BP91" s="1992"/>
      <c r="BQ91" s="1992"/>
      <c r="BR91" s="1992"/>
      <c r="BS91" s="1992"/>
      <c r="BT91" s="1992"/>
      <c r="BU91" s="1992"/>
      <c r="BV91" s="1992"/>
      <c r="BW91" s="1992"/>
      <c r="BX91" s="1992"/>
      <c r="BY91" s="1992"/>
      <c r="BZ91" s="1992"/>
      <c r="CA91" s="1992"/>
      <c r="CB91" s="1992">
        <f>短期_財務諸表!B44</f>
        <v>2306088269</v>
      </c>
      <c r="CC91" s="1992"/>
      <c r="CD91" s="1992"/>
      <c r="CE91" s="1992"/>
      <c r="CF91" s="1992"/>
      <c r="CG91" s="1992"/>
      <c r="CH91" s="1992"/>
      <c r="CI91" s="1992"/>
      <c r="CJ91" s="1992"/>
      <c r="CK91" s="1992"/>
      <c r="CL91" s="1992"/>
      <c r="CM91" s="1992"/>
      <c r="CN91" s="1992"/>
      <c r="CO91" s="1992"/>
      <c r="CP91" s="1992"/>
      <c r="CQ91" s="1992"/>
      <c r="CR91" s="1992"/>
      <c r="CS91" s="1992"/>
      <c r="CT91" s="1992"/>
      <c r="CU91" s="1992"/>
      <c r="CV91" s="1992"/>
      <c r="CW91" s="1992"/>
      <c r="CX91" s="1992"/>
      <c r="CY91" s="1992"/>
      <c r="CZ91" s="1992"/>
      <c r="DA91" s="1992"/>
      <c r="DB91" s="1992"/>
      <c r="DC91" s="1992"/>
      <c r="DD91" s="1993">
        <f t="shared" si="7"/>
        <v>5562269</v>
      </c>
      <c r="DE91" s="1993"/>
      <c r="DF91" s="1993"/>
      <c r="DG91" s="1993"/>
      <c r="DH91" s="1993"/>
      <c r="DI91" s="1993"/>
      <c r="DJ91" s="1993"/>
      <c r="DK91" s="1993"/>
      <c r="DL91" s="1993"/>
      <c r="DM91" s="1993"/>
      <c r="DN91" s="1993"/>
      <c r="DO91" s="1993"/>
      <c r="DP91" s="1993"/>
      <c r="DQ91" s="1993"/>
      <c r="DR91" s="1993"/>
      <c r="DS91" s="1993"/>
      <c r="DT91" s="1993"/>
      <c r="DU91" s="1993"/>
      <c r="DV91" s="1993"/>
      <c r="DW91" s="1993"/>
      <c r="DX91" s="1993"/>
      <c r="DY91" s="1993"/>
      <c r="DZ91" s="1993"/>
      <c r="EA91" s="1993"/>
      <c r="EB91" s="1993"/>
      <c r="EC91" s="1993"/>
      <c r="ED91" s="1993"/>
      <c r="EE91" s="1993"/>
      <c r="EF91" s="1992">
        <f>前年度貼付!$E$122</f>
        <v>2191337400</v>
      </c>
      <c r="EG91" s="1992"/>
      <c r="EH91" s="1992"/>
      <c r="EI91" s="1992"/>
      <c r="EJ91" s="1992"/>
      <c r="EK91" s="1992"/>
      <c r="EL91" s="1992"/>
      <c r="EM91" s="1992"/>
      <c r="EN91" s="1992"/>
      <c r="EO91" s="1992"/>
      <c r="EP91" s="1992"/>
      <c r="EQ91" s="1992"/>
      <c r="ER91" s="1992"/>
      <c r="ES91" s="1992"/>
      <c r="ET91" s="1992"/>
      <c r="EU91" s="1992"/>
      <c r="EV91" s="1992"/>
      <c r="EW91" s="1992"/>
      <c r="EX91" s="1992"/>
      <c r="EY91" s="1992"/>
      <c r="EZ91" s="1992"/>
      <c r="FA91" s="1992"/>
      <c r="FB91" s="1992"/>
      <c r="FC91" s="1992"/>
      <c r="FD91" s="1992"/>
      <c r="FE91" s="1992"/>
      <c r="FF91" s="1992"/>
      <c r="FG91" s="1992"/>
      <c r="FH91" s="1988">
        <f t="shared" si="8"/>
        <v>114750869</v>
      </c>
      <c r="FI91" s="1988"/>
      <c r="FJ91" s="1988"/>
      <c r="FK91" s="1988"/>
      <c r="FL91" s="1988"/>
      <c r="FM91" s="1988"/>
      <c r="FN91" s="1988"/>
      <c r="FO91" s="1988"/>
      <c r="FP91" s="1988"/>
      <c r="FQ91" s="1988"/>
      <c r="FR91" s="1988"/>
      <c r="FS91" s="1988"/>
      <c r="FT91" s="1988"/>
      <c r="FU91" s="1988"/>
      <c r="FV91" s="1988"/>
      <c r="FW91" s="1988"/>
      <c r="FX91" s="1988"/>
      <c r="FY91" s="1988"/>
      <c r="FZ91" s="1988"/>
      <c r="GA91" s="1988"/>
      <c r="GB91" s="1988"/>
      <c r="GC91" s="1988"/>
      <c r="GD91" s="1988"/>
      <c r="GE91" s="1988"/>
      <c r="GF91" s="1988"/>
      <c r="GG91" s="1988"/>
      <c r="GH91" s="1988"/>
      <c r="GI91" s="1988"/>
    </row>
    <row r="92" spans="1:191" s="166" customFormat="1" ht="24" customHeight="1">
      <c r="A92" s="212"/>
      <c r="B92" s="189"/>
      <c r="C92" s="189"/>
      <c r="D92" s="1932" t="s">
        <v>87</v>
      </c>
      <c r="E92" s="1932"/>
      <c r="F92" s="1932"/>
      <c r="G92" s="1932"/>
      <c r="H92" s="1932"/>
      <c r="I92" s="1932"/>
      <c r="J92" s="1932"/>
      <c r="K92" s="1932"/>
      <c r="L92" s="1932"/>
      <c r="M92" s="1932"/>
      <c r="N92" s="1932"/>
      <c r="O92" s="1932"/>
      <c r="P92" s="1932"/>
      <c r="Q92" s="1932"/>
      <c r="R92" s="1932"/>
      <c r="S92" s="1932"/>
      <c r="T92" s="1932"/>
      <c r="U92" s="1932"/>
      <c r="V92" s="1932"/>
      <c r="W92" s="1932"/>
      <c r="X92" s="1932"/>
      <c r="Y92" s="1932"/>
      <c r="Z92" s="1932"/>
      <c r="AA92" s="1932"/>
      <c r="AB92" s="1932"/>
      <c r="AC92" s="1932"/>
      <c r="AD92" s="1932"/>
      <c r="AE92" s="1932"/>
      <c r="AF92" s="1932"/>
      <c r="AG92" s="1932"/>
      <c r="AH92" s="1932"/>
      <c r="AI92" s="1932"/>
      <c r="AJ92" s="1932"/>
      <c r="AK92" s="1932"/>
      <c r="AL92" s="1932"/>
      <c r="AM92" s="1932"/>
      <c r="AN92" s="1932"/>
      <c r="AO92" s="1932"/>
      <c r="AP92" s="1932"/>
      <c r="AQ92" s="1932"/>
      <c r="AR92" s="1932"/>
      <c r="AS92" s="1932"/>
      <c r="AT92" s="1932"/>
      <c r="AU92" s="1932"/>
      <c r="AV92" s="1932"/>
      <c r="AW92" s="189"/>
      <c r="AX92" s="189"/>
      <c r="AY92" s="197"/>
      <c r="AZ92" s="1991">
        <v>0</v>
      </c>
      <c r="BA92" s="1992"/>
      <c r="BB92" s="1992"/>
      <c r="BC92" s="1992"/>
      <c r="BD92" s="1992"/>
      <c r="BE92" s="1992"/>
      <c r="BF92" s="1992"/>
      <c r="BG92" s="1992"/>
      <c r="BH92" s="1992"/>
      <c r="BI92" s="1992"/>
      <c r="BJ92" s="1992"/>
      <c r="BK92" s="1992"/>
      <c r="BL92" s="1992"/>
      <c r="BM92" s="1992"/>
      <c r="BN92" s="1992"/>
      <c r="BO92" s="1992"/>
      <c r="BP92" s="1992"/>
      <c r="BQ92" s="1992"/>
      <c r="BR92" s="1992"/>
      <c r="BS92" s="1992"/>
      <c r="BT92" s="1992"/>
      <c r="BU92" s="1992"/>
      <c r="BV92" s="1992"/>
      <c r="BW92" s="1992"/>
      <c r="BX92" s="1992"/>
      <c r="BY92" s="1992"/>
      <c r="BZ92" s="1992"/>
      <c r="CA92" s="1992"/>
      <c r="CB92" s="1992">
        <f>短期_財務諸表!B47</f>
        <v>0</v>
      </c>
      <c r="CC92" s="1992"/>
      <c r="CD92" s="1992"/>
      <c r="CE92" s="1992"/>
      <c r="CF92" s="1992"/>
      <c r="CG92" s="1992"/>
      <c r="CH92" s="1992"/>
      <c r="CI92" s="1992"/>
      <c r="CJ92" s="1992"/>
      <c r="CK92" s="1992"/>
      <c r="CL92" s="1992"/>
      <c r="CM92" s="1992"/>
      <c r="CN92" s="1992"/>
      <c r="CO92" s="1992"/>
      <c r="CP92" s="1992"/>
      <c r="CQ92" s="1992"/>
      <c r="CR92" s="1992"/>
      <c r="CS92" s="1992"/>
      <c r="CT92" s="1992"/>
      <c r="CU92" s="1992"/>
      <c r="CV92" s="1992"/>
      <c r="CW92" s="1992"/>
      <c r="CX92" s="1992"/>
      <c r="CY92" s="1992"/>
      <c r="CZ92" s="1992"/>
      <c r="DA92" s="1992"/>
      <c r="DB92" s="1992"/>
      <c r="DC92" s="1992"/>
      <c r="DD92" s="1993">
        <f t="shared" si="7"/>
        <v>0</v>
      </c>
      <c r="DE92" s="1993"/>
      <c r="DF92" s="1993"/>
      <c r="DG92" s="1993"/>
      <c r="DH92" s="1993"/>
      <c r="DI92" s="1993"/>
      <c r="DJ92" s="1993"/>
      <c r="DK92" s="1993"/>
      <c r="DL92" s="1993"/>
      <c r="DM92" s="1993"/>
      <c r="DN92" s="1993"/>
      <c r="DO92" s="1993"/>
      <c r="DP92" s="1993"/>
      <c r="DQ92" s="1993"/>
      <c r="DR92" s="1993"/>
      <c r="DS92" s="1993"/>
      <c r="DT92" s="1993"/>
      <c r="DU92" s="1993"/>
      <c r="DV92" s="1993"/>
      <c r="DW92" s="1993"/>
      <c r="DX92" s="1993"/>
      <c r="DY92" s="1993"/>
      <c r="DZ92" s="1993"/>
      <c r="EA92" s="1993"/>
      <c r="EB92" s="1993"/>
      <c r="EC92" s="1993"/>
      <c r="ED92" s="1993"/>
      <c r="EE92" s="1993"/>
      <c r="EF92" s="1992">
        <f>前年度貼付!$E$123</f>
        <v>9941</v>
      </c>
      <c r="EG92" s="1992"/>
      <c r="EH92" s="1992"/>
      <c r="EI92" s="1992"/>
      <c r="EJ92" s="1992"/>
      <c r="EK92" s="1992"/>
      <c r="EL92" s="1992"/>
      <c r="EM92" s="1992"/>
      <c r="EN92" s="1992"/>
      <c r="EO92" s="1992"/>
      <c r="EP92" s="1992"/>
      <c r="EQ92" s="1992"/>
      <c r="ER92" s="1992"/>
      <c r="ES92" s="1992"/>
      <c r="ET92" s="1992"/>
      <c r="EU92" s="1992"/>
      <c r="EV92" s="1992"/>
      <c r="EW92" s="1992"/>
      <c r="EX92" s="1992"/>
      <c r="EY92" s="1992"/>
      <c r="EZ92" s="1992"/>
      <c r="FA92" s="1992"/>
      <c r="FB92" s="1992"/>
      <c r="FC92" s="1992"/>
      <c r="FD92" s="1992"/>
      <c r="FE92" s="1992"/>
      <c r="FF92" s="1992"/>
      <c r="FG92" s="1992"/>
      <c r="FH92" s="1988">
        <f t="shared" si="8"/>
        <v>-9941</v>
      </c>
      <c r="FI92" s="1988"/>
      <c r="FJ92" s="1988"/>
      <c r="FK92" s="1988"/>
      <c r="FL92" s="1988"/>
      <c r="FM92" s="1988"/>
      <c r="FN92" s="1988"/>
      <c r="FO92" s="1988"/>
      <c r="FP92" s="1988"/>
      <c r="FQ92" s="1988"/>
      <c r="FR92" s="1988"/>
      <c r="FS92" s="1988"/>
      <c r="FT92" s="1988"/>
      <c r="FU92" s="1988"/>
      <c r="FV92" s="1988"/>
      <c r="FW92" s="1988"/>
      <c r="FX92" s="1988"/>
      <c r="FY92" s="1988"/>
      <c r="FZ92" s="1988"/>
      <c r="GA92" s="1988"/>
      <c r="GB92" s="1988"/>
      <c r="GC92" s="1988"/>
      <c r="GD92" s="1988"/>
      <c r="GE92" s="1988"/>
      <c r="GF92" s="1988"/>
      <c r="GG92" s="1988"/>
      <c r="GH92" s="1988"/>
      <c r="GI92" s="1988"/>
    </row>
    <row r="93" spans="1:191" s="166" customFormat="1" ht="24" customHeight="1">
      <c r="A93" s="212"/>
      <c r="B93" s="189"/>
      <c r="C93" s="189"/>
      <c r="D93" s="1932" t="s">
        <v>88</v>
      </c>
      <c r="E93" s="1932"/>
      <c r="F93" s="1932"/>
      <c r="G93" s="1932"/>
      <c r="H93" s="1932"/>
      <c r="I93" s="1932"/>
      <c r="J93" s="1932"/>
      <c r="K93" s="1932"/>
      <c r="L93" s="1932"/>
      <c r="M93" s="1932"/>
      <c r="N93" s="1932"/>
      <c r="O93" s="1932"/>
      <c r="P93" s="1932"/>
      <c r="Q93" s="1932"/>
      <c r="R93" s="1932"/>
      <c r="S93" s="1932"/>
      <c r="T93" s="1932"/>
      <c r="U93" s="1932"/>
      <c r="V93" s="1932"/>
      <c r="W93" s="1932"/>
      <c r="X93" s="1932"/>
      <c r="Y93" s="1932"/>
      <c r="Z93" s="1932"/>
      <c r="AA93" s="1932"/>
      <c r="AB93" s="1932"/>
      <c r="AC93" s="1932"/>
      <c r="AD93" s="1932"/>
      <c r="AE93" s="1932"/>
      <c r="AF93" s="1932"/>
      <c r="AG93" s="1932"/>
      <c r="AH93" s="1932"/>
      <c r="AI93" s="1932"/>
      <c r="AJ93" s="1932"/>
      <c r="AK93" s="1932"/>
      <c r="AL93" s="1932"/>
      <c r="AM93" s="1932"/>
      <c r="AN93" s="1932"/>
      <c r="AO93" s="1932"/>
      <c r="AP93" s="1932"/>
      <c r="AQ93" s="1932"/>
      <c r="AR93" s="1932"/>
      <c r="AS93" s="1932"/>
      <c r="AT93" s="1932"/>
      <c r="AU93" s="1932"/>
      <c r="AV93" s="1932"/>
      <c r="AW93" s="189"/>
      <c r="AX93" s="189"/>
      <c r="AY93" s="197"/>
      <c r="AZ93" s="1991">
        <v>0</v>
      </c>
      <c r="BA93" s="1992"/>
      <c r="BB93" s="1992"/>
      <c r="BC93" s="1992"/>
      <c r="BD93" s="1992"/>
      <c r="BE93" s="1992"/>
      <c r="BF93" s="1992"/>
      <c r="BG93" s="1992"/>
      <c r="BH93" s="1992"/>
      <c r="BI93" s="1992"/>
      <c r="BJ93" s="1992"/>
      <c r="BK93" s="1992"/>
      <c r="BL93" s="1992"/>
      <c r="BM93" s="1992"/>
      <c r="BN93" s="1992"/>
      <c r="BO93" s="1992"/>
      <c r="BP93" s="1992"/>
      <c r="BQ93" s="1992"/>
      <c r="BR93" s="1992"/>
      <c r="BS93" s="1992"/>
      <c r="BT93" s="1992"/>
      <c r="BU93" s="1992"/>
      <c r="BV93" s="1992"/>
      <c r="BW93" s="1992"/>
      <c r="BX93" s="1992"/>
      <c r="BY93" s="1992"/>
      <c r="BZ93" s="1992"/>
      <c r="CA93" s="1992"/>
      <c r="CB93" s="1992">
        <f>短期_財務諸表!B45</f>
        <v>0</v>
      </c>
      <c r="CC93" s="1992"/>
      <c r="CD93" s="1992"/>
      <c r="CE93" s="1992"/>
      <c r="CF93" s="1992"/>
      <c r="CG93" s="1992"/>
      <c r="CH93" s="1992"/>
      <c r="CI93" s="1992"/>
      <c r="CJ93" s="1992"/>
      <c r="CK93" s="1992"/>
      <c r="CL93" s="1992"/>
      <c r="CM93" s="1992"/>
      <c r="CN93" s="1992"/>
      <c r="CO93" s="1992"/>
      <c r="CP93" s="1992"/>
      <c r="CQ93" s="1992"/>
      <c r="CR93" s="1992"/>
      <c r="CS93" s="1992"/>
      <c r="CT93" s="1992"/>
      <c r="CU93" s="1992"/>
      <c r="CV93" s="1992"/>
      <c r="CW93" s="1992"/>
      <c r="CX93" s="1992"/>
      <c r="CY93" s="1992"/>
      <c r="CZ93" s="1992"/>
      <c r="DA93" s="1992"/>
      <c r="DB93" s="1992"/>
      <c r="DC93" s="1992"/>
      <c r="DD93" s="1993">
        <f t="shared" si="7"/>
        <v>0</v>
      </c>
      <c r="DE93" s="1993"/>
      <c r="DF93" s="1993"/>
      <c r="DG93" s="1993"/>
      <c r="DH93" s="1993"/>
      <c r="DI93" s="1993"/>
      <c r="DJ93" s="1993"/>
      <c r="DK93" s="1993"/>
      <c r="DL93" s="1993"/>
      <c r="DM93" s="1993"/>
      <c r="DN93" s="1993"/>
      <c r="DO93" s="1993"/>
      <c r="DP93" s="1993"/>
      <c r="DQ93" s="1993"/>
      <c r="DR93" s="1993"/>
      <c r="DS93" s="1993"/>
      <c r="DT93" s="1993"/>
      <c r="DU93" s="1993"/>
      <c r="DV93" s="1993"/>
      <c r="DW93" s="1993"/>
      <c r="DX93" s="1993"/>
      <c r="DY93" s="1993"/>
      <c r="DZ93" s="1993"/>
      <c r="EA93" s="1993"/>
      <c r="EB93" s="1993"/>
      <c r="EC93" s="1993"/>
      <c r="ED93" s="1993"/>
      <c r="EE93" s="1993"/>
      <c r="EF93" s="1992">
        <f>前年度貼付!$E$124</f>
        <v>0</v>
      </c>
      <c r="EG93" s="1992"/>
      <c r="EH93" s="1992"/>
      <c r="EI93" s="1992"/>
      <c r="EJ93" s="1992"/>
      <c r="EK93" s="1992"/>
      <c r="EL93" s="1992"/>
      <c r="EM93" s="1992"/>
      <c r="EN93" s="1992"/>
      <c r="EO93" s="1992"/>
      <c r="EP93" s="1992"/>
      <c r="EQ93" s="1992"/>
      <c r="ER93" s="1992"/>
      <c r="ES93" s="1992"/>
      <c r="ET93" s="1992"/>
      <c r="EU93" s="1992"/>
      <c r="EV93" s="1992"/>
      <c r="EW93" s="1992"/>
      <c r="EX93" s="1992"/>
      <c r="EY93" s="1992"/>
      <c r="EZ93" s="1992"/>
      <c r="FA93" s="1992"/>
      <c r="FB93" s="1992"/>
      <c r="FC93" s="1992"/>
      <c r="FD93" s="1992"/>
      <c r="FE93" s="1992"/>
      <c r="FF93" s="1992"/>
      <c r="FG93" s="1992"/>
      <c r="FH93" s="1988">
        <f t="shared" si="8"/>
        <v>0</v>
      </c>
      <c r="FI93" s="1988"/>
      <c r="FJ93" s="1988"/>
      <c r="FK93" s="1988"/>
      <c r="FL93" s="1988"/>
      <c r="FM93" s="1988"/>
      <c r="FN93" s="1988"/>
      <c r="FO93" s="1988"/>
      <c r="FP93" s="1988"/>
      <c r="FQ93" s="1988"/>
      <c r="FR93" s="1988"/>
      <c r="FS93" s="1988"/>
      <c r="FT93" s="1988"/>
      <c r="FU93" s="1988"/>
      <c r="FV93" s="1988"/>
      <c r="FW93" s="1988"/>
      <c r="FX93" s="1988"/>
      <c r="FY93" s="1988"/>
      <c r="FZ93" s="1988"/>
      <c r="GA93" s="1988"/>
      <c r="GB93" s="1988"/>
      <c r="GC93" s="1988"/>
      <c r="GD93" s="1988"/>
      <c r="GE93" s="1988"/>
      <c r="GF93" s="1988"/>
      <c r="GG93" s="1988"/>
      <c r="GH93" s="1988"/>
      <c r="GI93" s="1988"/>
    </row>
    <row r="94" spans="1:191" s="166" customFormat="1" ht="24" customHeight="1">
      <c r="A94" s="212"/>
      <c r="B94" s="189"/>
      <c r="C94" s="189"/>
      <c r="D94" s="1932" t="s">
        <v>89</v>
      </c>
      <c r="E94" s="1932"/>
      <c r="F94" s="1932"/>
      <c r="G94" s="1932"/>
      <c r="H94" s="1932"/>
      <c r="I94" s="1932"/>
      <c r="J94" s="1932"/>
      <c r="K94" s="1932"/>
      <c r="L94" s="1932"/>
      <c r="M94" s="1932"/>
      <c r="N94" s="1932"/>
      <c r="O94" s="1932"/>
      <c r="P94" s="1932"/>
      <c r="Q94" s="1932"/>
      <c r="R94" s="1932"/>
      <c r="S94" s="1932"/>
      <c r="T94" s="1932"/>
      <c r="U94" s="1932"/>
      <c r="V94" s="1932"/>
      <c r="W94" s="1932"/>
      <c r="X94" s="1932"/>
      <c r="Y94" s="1932"/>
      <c r="Z94" s="1932"/>
      <c r="AA94" s="1932"/>
      <c r="AB94" s="1932"/>
      <c r="AC94" s="1932"/>
      <c r="AD94" s="1932"/>
      <c r="AE94" s="1932"/>
      <c r="AF94" s="1932"/>
      <c r="AG94" s="1932"/>
      <c r="AH94" s="1932"/>
      <c r="AI94" s="1932"/>
      <c r="AJ94" s="1932"/>
      <c r="AK94" s="1932"/>
      <c r="AL94" s="1932"/>
      <c r="AM94" s="1932"/>
      <c r="AN94" s="1932"/>
      <c r="AO94" s="1932"/>
      <c r="AP94" s="1932"/>
      <c r="AQ94" s="1932"/>
      <c r="AR94" s="1932"/>
      <c r="AS94" s="1932"/>
      <c r="AT94" s="1932"/>
      <c r="AU94" s="1932"/>
      <c r="AV94" s="1932"/>
      <c r="AW94" s="189"/>
      <c r="AX94" s="189"/>
      <c r="AY94" s="197"/>
      <c r="AZ94" s="1991">
        <v>1000</v>
      </c>
      <c r="BA94" s="1992"/>
      <c r="BB94" s="1992"/>
      <c r="BC94" s="1992"/>
      <c r="BD94" s="1992"/>
      <c r="BE94" s="1992"/>
      <c r="BF94" s="1992"/>
      <c r="BG94" s="1992"/>
      <c r="BH94" s="1992"/>
      <c r="BI94" s="1992"/>
      <c r="BJ94" s="1992"/>
      <c r="BK94" s="1992"/>
      <c r="BL94" s="1992"/>
      <c r="BM94" s="1992"/>
      <c r="BN94" s="1992"/>
      <c r="BO94" s="1992"/>
      <c r="BP94" s="1992"/>
      <c r="BQ94" s="1992"/>
      <c r="BR94" s="1992"/>
      <c r="BS94" s="1992"/>
      <c r="BT94" s="1992"/>
      <c r="BU94" s="1992"/>
      <c r="BV94" s="1992"/>
      <c r="BW94" s="1992"/>
      <c r="BX94" s="1992"/>
      <c r="BY94" s="1992"/>
      <c r="BZ94" s="1992"/>
      <c r="CA94" s="1992"/>
      <c r="CB94" s="1992">
        <f>短期_財務諸表!B46</f>
        <v>871</v>
      </c>
      <c r="CC94" s="1992"/>
      <c r="CD94" s="1992"/>
      <c r="CE94" s="1992"/>
      <c r="CF94" s="1992"/>
      <c r="CG94" s="1992"/>
      <c r="CH94" s="1992"/>
      <c r="CI94" s="1992"/>
      <c r="CJ94" s="1992"/>
      <c r="CK94" s="1992"/>
      <c r="CL94" s="1992"/>
      <c r="CM94" s="1992"/>
      <c r="CN94" s="1992"/>
      <c r="CO94" s="1992"/>
      <c r="CP94" s="1992"/>
      <c r="CQ94" s="1992"/>
      <c r="CR94" s="1992"/>
      <c r="CS94" s="1992"/>
      <c r="CT94" s="1992"/>
      <c r="CU94" s="1992"/>
      <c r="CV94" s="1992"/>
      <c r="CW94" s="1992"/>
      <c r="CX94" s="1992"/>
      <c r="CY94" s="1992"/>
      <c r="CZ94" s="1992"/>
      <c r="DA94" s="1992"/>
      <c r="DB94" s="1992"/>
      <c r="DC94" s="1992"/>
      <c r="DD94" s="1993">
        <f t="shared" si="7"/>
        <v>-129</v>
      </c>
      <c r="DE94" s="1993"/>
      <c r="DF94" s="1993"/>
      <c r="DG94" s="1993"/>
      <c r="DH94" s="1993"/>
      <c r="DI94" s="1993"/>
      <c r="DJ94" s="1993"/>
      <c r="DK94" s="1993"/>
      <c r="DL94" s="1993"/>
      <c r="DM94" s="1993"/>
      <c r="DN94" s="1993"/>
      <c r="DO94" s="1993"/>
      <c r="DP94" s="1993"/>
      <c r="DQ94" s="1993"/>
      <c r="DR94" s="1993"/>
      <c r="DS94" s="1993"/>
      <c r="DT94" s="1993"/>
      <c r="DU94" s="1993"/>
      <c r="DV94" s="1993"/>
      <c r="DW94" s="1993"/>
      <c r="DX94" s="1993"/>
      <c r="DY94" s="1993"/>
      <c r="DZ94" s="1993"/>
      <c r="EA94" s="1993"/>
      <c r="EB94" s="1993"/>
      <c r="EC94" s="1993"/>
      <c r="ED94" s="1993"/>
      <c r="EE94" s="1993"/>
      <c r="EF94" s="1992">
        <f>前年度貼付!$E$125</f>
        <v>881</v>
      </c>
      <c r="EG94" s="1992"/>
      <c r="EH94" s="1992"/>
      <c r="EI94" s="1992"/>
      <c r="EJ94" s="1992"/>
      <c r="EK94" s="1992"/>
      <c r="EL94" s="1992"/>
      <c r="EM94" s="1992"/>
      <c r="EN94" s="1992"/>
      <c r="EO94" s="1992"/>
      <c r="EP94" s="1992"/>
      <c r="EQ94" s="1992"/>
      <c r="ER94" s="1992"/>
      <c r="ES94" s="1992"/>
      <c r="ET94" s="1992"/>
      <c r="EU94" s="1992"/>
      <c r="EV94" s="1992"/>
      <c r="EW94" s="1992"/>
      <c r="EX94" s="1992"/>
      <c r="EY94" s="1992"/>
      <c r="EZ94" s="1992"/>
      <c r="FA94" s="1992"/>
      <c r="FB94" s="1992"/>
      <c r="FC94" s="1992"/>
      <c r="FD94" s="1992"/>
      <c r="FE94" s="1992"/>
      <c r="FF94" s="1992"/>
      <c r="FG94" s="1992"/>
      <c r="FH94" s="1988">
        <f t="shared" si="8"/>
        <v>-10</v>
      </c>
      <c r="FI94" s="1988"/>
      <c r="FJ94" s="1988"/>
      <c r="FK94" s="1988"/>
      <c r="FL94" s="1988"/>
      <c r="FM94" s="1988"/>
      <c r="FN94" s="1988"/>
      <c r="FO94" s="1988"/>
      <c r="FP94" s="1988"/>
      <c r="FQ94" s="1988"/>
      <c r="FR94" s="1988"/>
      <c r="FS94" s="1988"/>
      <c r="FT94" s="1988"/>
      <c r="FU94" s="1988"/>
      <c r="FV94" s="1988"/>
      <c r="FW94" s="1988"/>
      <c r="FX94" s="1988"/>
      <c r="FY94" s="1988"/>
      <c r="FZ94" s="1988"/>
      <c r="GA94" s="1988"/>
      <c r="GB94" s="1988"/>
      <c r="GC94" s="1988"/>
      <c r="GD94" s="1988"/>
      <c r="GE94" s="1988"/>
      <c r="GF94" s="1988"/>
      <c r="GG94" s="1988"/>
      <c r="GH94" s="1988"/>
      <c r="GI94" s="1988"/>
    </row>
    <row r="95" spans="1:191" s="166" customFormat="1" ht="24" customHeight="1">
      <c r="A95" s="213"/>
      <c r="B95" s="191"/>
      <c r="C95" s="191"/>
      <c r="D95" s="1982" t="s">
        <v>90</v>
      </c>
      <c r="E95" s="1982"/>
      <c r="F95" s="1982"/>
      <c r="G95" s="1982"/>
      <c r="H95" s="1982"/>
      <c r="I95" s="1982"/>
      <c r="J95" s="1982"/>
      <c r="K95" s="1982"/>
      <c r="L95" s="1982"/>
      <c r="M95" s="1982"/>
      <c r="N95" s="1982"/>
      <c r="O95" s="1982"/>
      <c r="P95" s="1982"/>
      <c r="Q95" s="1982"/>
      <c r="R95" s="1982"/>
      <c r="S95" s="1982"/>
      <c r="T95" s="1982"/>
      <c r="U95" s="1982"/>
      <c r="V95" s="1982"/>
      <c r="W95" s="1982"/>
      <c r="X95" s="1982"/>
      <c r="Y95" s="1982"/>
      <c r="Z95" s="1982"/>
      <c r="AA95" s="1982"/>
      <c r="AB95" s="1982"/>
      <c r="AC95" s="1982"/>
      <c r="AD95" s="1982"/>
      <c r="AE95" s="1982"/>
      <c r="AF95" s="1982"/>
      <c r="AG95" s="1982"/>
      <c r="AH95" s="1982"/>
      <c r="AI95" s="1982"/>
      <c r="AJ95" s="1982"/>
      <c r="AK95" s="1982"/>
      <c r="AL95" s="1982"/>
      <c r="AM95" s="1982"/>
      <c r="AN95" s="1982"/>
      <c r="AO95" s="1982"/>
      <c r="AP95" s="1982"/>
      <c r="AQ95" s="1982"/>
      <c r="AR95" s="1982"/>
      <c r="AS95" s="1982"/>
      <c r="AT95" s="1982"/>
      <c r="AU95" s="1982"/>
      <c r="AV95" s="1982"/>
      <c r="AW95" s="191"/>
      <c r="AX95" s="191"/>
      <c r="AY95" s="214"/>
      <c r="AZ95" s="1991">
        <v>949754000</v>
      </c>
      <c r="BA95" s="1992"/>
      <c r="BB95" s="1992"/>
      <c r="BC95" s="1992"/>
      <c r="BD95" s="1992"/>
      <c r="BE95" s="1992"/>
      <c r="BF95" s="1992"/>
      <c r="BG95" s="1992"/>
      <c r="BH95" s="1992"/>
      <c r="BI95" s="1992"/>
      <c r="BJ95" s="1992"/>
      <c r="BK95" s="1992"/>
      <c r="BL95" s="1992"/>
      <c r="BM95" s="1992"/>
      <c r="BN95" s="1992"/>
      <c r="BO95" s="1992"/>
      <c r="BP95" s="1992"/>
      <c r="BQ95" s="1992"/>
      <c r="BR95" s="1992"/>
      <c r="BS95" s="1992"/>
      <c r="BT95" s="1992"/>
      <c r="BU95" s="1992"/>
      <c r="BV95" s="1992"/>
      <c r="BW95" s="1992"/>
      <c r="BX95" s="1992"/>
      <c r="BY95" s="1992"/>
      <c r="BZ95" s="1992"/>
      <c r="CA95" s="1992"/>
      <c r="CB95" s="1992">
        <f>短期_財務諸表!B48</f>
        <v>949753680</v>
      </c>
      <c r="CC95" s="1992"/>
      <c r="CD95" s="1992"/>
      <c r="CE95" s="1992"/>
      <c r="CF95" s="1992"/>
      <c r="CG95" s="1992"/>
      <c r="CH95" s="1992"/>
      <c r="CI95" s="1992"/>
      <c r="CJ95" s="1992"/>
      <c r="CK95" s="1992"/>
      <c r="CL95" s="1992"/>
      <c r="CM95" s="1992"/>
      <c r="CN95" s="1992"/>
      <c r="CO95" s="1992"/>
      <c r="CP95" s="1992"/>
      <c r="CQ95" s="1992"/>
      <c r="CR95" s="1992"/>
      <c r="CS95" s="1992"/>
      <c r="CT95" s="1992"/>
      <c r="CU95" s="1992"/>
      <c r="CV95" s="1992"/>
      <c r="CW95" s="1992"/>
      <c r="CX95" s="1992"/>
      <c r="CY95" s="1992"/>
      <c r="CZ95" s="1992"/>
      <c r="DA95" s="1992"/>
      <c r="DB95" s="1992"/>
      <c r="DC95" s="1992"/>
      <c r="DD95" s="1993">
        <f t="shared" si="7"/>
        <v>-320</v>
      </c>
      <c r="DE95" s="1993"/>
      <c r="DF95" s="1993"/>
      <c r="DG95" s="1993"/>
      <c r="DH95" s="1993"/>
      <c r="DI95" s="1993"/>
      <c r="DJ95" s="1993"/>
      <c r="DK95" s="1993"/>
      <c r="DL95" s="1993"/>
      <c r="DM95" s="1993"/>
      <c r="DN95" s="1993"/>
      <c r="DO95" s="1993"/>
      <c r="DP95" s="1993"/>
      <c r="DQ95" s="1993"/>
      <c r="DR95" s="1993"/>
      <c r="DS95" s="1993"/>
      <c r="DT95" s="1993"/>
      <c r="DU95" s="1993"/>
      <c r="DV95" s="1993"/>
      <c r="DW95" s="1993"/>
      <c r="DX95" s="1993"/>
      <c r="DY95" s="1993"/>
      <c r="DZ95" s="1993"/>
      <c r="EA95" s="1993"/>
      <c r="EB95" s="1993"/>
      <c r="EC95" s="1993"/>
      <c r="ED95" s="1993"/>
      <c r="EE95" s="1993"/>
      <c r="EF95" s="1992">
        <f>前年度貼付!$E$126</f>
        <v>933307404</v>
      </c>
      <c r="EG95" s="1992"/>
      <c r="EH95" s="1992"/>
      <c r="EI95" s="1992"/>
      <c r="EJ95" s="1992"/>
      <c r="EK95" s="1992"/>
      <c r="EL95" s="1992"/>
      <c r="EM95" s="1992"/>
      <c r="EN95" s="1992"/>
      <c r="EO95" s="1992"/>
      <c r="EP95" s="1992"/>
      <c r="EQ95" s="1992"/>
      <c r="ER95" s="1992"/>
      <c r="ES95" s="1992"/>
      <c r="ET95" s="1992"/>
      <c r="EU95" s="1992"/>
      <c r="EV95" s="1992"/>
      <c r="EW95" s="1992"/>
      <c r="EX95" s="1992"/>
      <c r="EY95" s="1992"/>
      <c r="EZ95" s="1992"/>
      <c r="FA95" s="1992"/>
      <c r="FB95" s="1992"/>
      <c r="FC95" s="1992"/>
      <c r="FD95" s="1992"/>
      <c r="FE95" s="1992"/>
      <c r="FF95" s="1992"/>
      <c r="FG95" s="1992"/>
      <c r="FH95" s="1988">
        <f t="shared" si="8"/>
        <v>16446276</v>
      </c>
      <c r="FI95" s="1988"/>
      <c r="FJ95" s="1988"/>
      <c r="FK95" s="1988"/>
      <c r="FL95" s="1988"/>
      <c r="FM95" s="1988"/>
      <c r="FN95" s="1988"/>
      <c r="FO95" s="1988"/>
      <c r="FP95" s="1988"/>
      <c r="FQ95" s="1988"/>
      <c r="FR95" s="1988"/>
      <c r="FS95" s="1988"/>
      <c r="FT95" s="1988"/>
      <c r="FU95" s="1988"/>
      <c r="FV95" s="1988"/>
      <c r="FW95" s="1988"/>
      <c r="FX95" s="1988"/>
      <c r="FY95" s="1988"/>
      <c r="FZ95" s="1988"/>
      <c r="GA95" s="1988"/>
      <c r="GB95" s="1988"/>
      <c r="GC95" s="1988"/>
      <c r="GD95" s="1988"/>
      <c r="GE95" s="1988"/>
      <c r="GF95" s="1988"/>
      <c r="GG95" s="1988"/>
      <c r="GH95" s="1988"/>
      <c r="GI95" s="1988"/>
    </row>
    <row r="96" spans="1:191" s="166" customFormat="1" ht="24" customHeight="1">
      <c r="A96" s="212"/>
      <c r="B96" s="189"/>
      <c r="C96" s="189"/>
      <c r="D96" s="1932" t="s">
        <v>91</v>
      </c>
      <c r="E96" s="1932"/>
      <c r="F96" s="1932"/>
      <c r="G96" s="1932"/>
      <c r="H96" s="1932"/>
      <c r="I96" s="1932"/>
      <c r="J96" s="1932"/>
      <c r="K96" s="1932"/>
      <c r="L96" s="1932"/>
      <c r="M96" s="1932"/>
      <c r="N96" s="1932"/>
      <c r="O96" s="1932"/>
      <c r="P96" s="1932"/>
      <c r="Q96" s="1932"/>
      <c r="R96" s="1932"/>
      <c r="S96" s="1932"/>
      <c r="T96" s="1932"/>
      <c r="U96" s="1932"/>
      <c r="V96" s="1932"/>
      <c r="W96" s="1932"/>
      <c r="X96" s="1932"/>
      <c r="Y96" s="1932"/>
      <c r="Z96" s="1932"/>
      <c r="AA96" s="1932"/>
      <c r="AB96" s="1932"/>
      <c r="AC96" s="1932"/>
      <c r="AD96" s="1932"/>
      <c r="AE96" s="1932"/>
      <c r="AF96" s="1932"/>
      <c r="AG96" s="1932"/>
      <c r="AH96" s="1932"/>
      <c r="AI96" s="1932"/>
      <c r="AJ96" s="1932"/>
      <c r="AK96" s="1932"/>
      <c r="AL96" s="1932"/>
      <c r="AM96" s="1932"/>
      <c r="AN96" s="1932"/>
      <c r="AO96" s="1932"/>
      <c r="AP96" s="1932"/>
      <c r="AQ96" s="1932"/>
      <c r="AR96" s="1932"/>
      <c r="AS96" s="1932"/>
      <c r="AT96" s="1932"/>
      <c r="AU96" s="1932"/>
      <c r="AV96" s="1932"/>
      <c r="AW96" s="189"/>
      <c r="AX96" s="189"/>
      <c r="AY96" s="197"/>
      <c r="AZ96" s="1991">
        <v>1000</v>
      </c>
      <c r="BA96" s="1992"/>
      <c r="BB96" s="1992"/>
      <c r="BC96" s="1992"/>
      <c r="BD96" s="1992"/>
      <c r="BE96" s="1992"/>
      <c r="BF96" s="1992"/>
      <c r="BG96" s="1992"/>
      <c r="BH96" s="1992"/>
      <c r="BI96" s="1992"/>
      <c r="BJ96" s="1992"/>
      <c r="BK96" s="1992"/>
      <c r="BL96" s="1992"/>
      <c r="BM96" s="1992"/>
      <c r="BN96" s="1992"/>
      <c r="BO96" s="1992"/>
      <c r="BP96" s="1992"/>
      <c r="BQ96" s="1992"/>
      <c r="BR96" s="1992"/>
      <c r="BS96" s="1992"/>
      <c r="BT96" s="1992"/>
      <c r="BU96" s="1992"/>
      <c r="BV96" s="1992"/>
      <c r="BW96" s="1992"/>
      <c r="BX96" s="1992"/>
      <c r="BY96" s="1992"/>
      <c r="BZ96" s="1992"/>
      <c r="CA96" s="1992"/>
      <c r="CB96" s="1992">
        <f>短期_財務諸表!B49</f>
        <v>0</v>
      </c>
      <c r="CC96" s="1992"/>
      <c r="CD96" s="1992"/>
      <c r="CE96" s="1992"/>
      <c r="CF96" s="1992"/>
      <c r="CG96" s="1992"/>
      <c r="CH96" s="1992"/>
      <c r="CI96" s="1992"/>
      <c r="CJ96" s="1992"/>
      <c r="CK96" s="1992"/>
      <c r="CL96" s="1992"/>
      <c r="CM96" s="1992"/>
      <c r="CN96" s="1992"/>
      <c r="CO96" s="1992"/>
      <c r="CP96" s="1992"/>
      <c r="CQ96" s="1992"/>
      <c r="CR96" s="1992"/>
      <c r="CS96" s="1992"/>
      <c r="CT96" s="1992"/>
      <c r="CU96" s="1992"/>
      <c r="CV96" s="1992"/>
      <c r="CW96" s="1992"/>
      <c r="CX96" s="1992"/>
      <c r="CY96" s="1992"/>
      <c r="CZ96" s="1992"/>
      <c r="DA96" s="1992"/>
      <c r="DB96" s="1992"/>
      <c r="DC96" s="1992"/>
      <c r="DD96" s="1993">
        <f t="shared" si="7"/>
        <v>-1000</v>
      </c>
      <c r="DE96" s="1993"/>
      <c r="DF96" s="1993"/>
      <c r="DG96" s="1993"/>
      <c r="DH96" s="1993"/>
      <c r="DI96" s="1993"/>
      <c r="DJ96" s="1993"/>
      <c r="DK96" s="1993"/>
      <c r="DL96" s="1993"/>
      <c r="DM96" s="1993"/>
      <c r="DN96" s="1993"/>
      <c r="DO96" s="1993"/>
      <c r="DP96" s="1993"/>
      <c r="DQ96" s="1993"/>
      <c r="DR96" s="1993"/>
      <c r="DS96" s="1993"/>
      <c r="DT96" s="1993"/>
      <c r="DU96" s="1993"/>
      <c r="DV96" s="1993"/>
      <c r="DW96" s="1993"/>
      <c r="DX96" s="1993"/>
      <c r="DY96" s="1993"/>
      <c r="DZ96" s="1993"/>
      <c r="EA96" s="1993"/>
      <c r="EB96" s="1993"/>
      <c r="EC96" s="1993"/>
      <c r="ED96" s="1993"/>
      <c r="EE96" s="1993"/>
      <c r="EF96" s="1992">
        <f>前年度貼付!$E$127</f>
        <v>0</v>
      </c>
      <c r="EG96" s="1992"/>
      <c r="EH96" s="1992"/>
      <c r="EI96" s="1992"/>
      <c r="EJ96" s="1992"/>
      <c r="EK96" s="1992"/>
      <c r="EL96" s="1992"/>
      <c r="EM96" s="1992"/>
      <c r="EN96" s="1992"/>
      <c r="EO96" s="1992"/>
      <c r="EP96" s="1992"/>
      <c r="EQ96" s="1992"/>
      <c r="ER96" s="1992"/>
      <c r="ES96" s="1992"/>
      <c r="ET96" s="1992"/>
      <c r="EU96" s="1992"/>
      <c r="EV96" s="1992"/>
      <c r="EW96" s="1992"/>
      <c r="EX96" s="1992"/>
      <c r="EY96" s="1992"/>
      <c r="EZ96" s="1992"/>
      <c r="FA96" s="1992"/>
      <c r="FB96" s="1992"/>
      <c r="FC96" s="1992"/>
      <c r="FD96" s="1992"/>
      <c r="FE96" s="1992"/>
      <c r="FF96" s="1992"/>
      <c r="FG96" s="1992"/>
      <c r="FH96" s="1988">
        <f t="shared" si="8"/>
        <v>0</v>
      </c>
      <c r="FI96" s="1988"/>
      <c r="FJ96" s="1988"/>
      <c r="FK96" s="1988"/>
      <c r="FL96" s="1988"/>
      <c r="FM96" s="1988"/>
      <c r="FN96" s="1988"/>
      <c r="FO96" s="1988"/>
      <c r="FP96" s="1988"/>
      <c r="FQ96" s="1988"/>
      <c r="FR96" s="1988"/>
      <c r="FS96" s="1988"/>
      <c r="FT96" s="1988"/>
      <c r="FU96" s="1988"/>
      <c r="FV96" s="1988"/>
      <c r="FW96" s="1988"/>
      <c r="FX96" s="1988"/>
      <c r="FY96" s="1988"/>
      <c r="FZ96" s="1988"/>
      <c r="GA96" s="1988"/>
      <c r="GB96" s="1988"/>
      <c r="GC96" s="1988"/>
      <c r="GD96" s="1988"/>
      <c r="GE96" s="1988"/>
      <c r="GF96" s="1988"/>
      <c r="GG96" s="1988"/>
      <c r="GH96" s="1988"/>
      <c r="GI96" s="1988"/>
    </row>
    <row r="97" spans="1:191" s="166" customFormat="1" ht="24" customHeight="1">
      <c r="A97" s="212"/>
      <c r="B97" s="189"/>
      <c r="C97" s="189"/>
      <c r="D97" s="1932" t="s">
        <v>92</v>
      </c>
      <c r="E97" s="1932"/>
      <c r="F97" s="1932"/>
      <c r="G97" s="1932"/>
      <c r="H97" s="1932"/>
      <c r="I97" s="1932"/>
      <c r="J97" s="1932"/>
      <c r="K97" s="1932"/>
      <c r="L97" s="1932"/>
      <c r="M97" s="1932"/>
      <c r="N97" s="1932"/>
      <c r="O97" s="1932"/>
      <c r="P97" s="1932"/>
      <c r="Q97" s="1932"/>
      <c r="R97" s="1932"/>
      <c r="S97" s="1932"/>
      <c r="T97" s="1932"/>
      <c r="U97" s="1932"/>
      <c r="V97" s="1932"/>
      <c r="W97" s="1932"/>
      <c r="X97" s="1932"/>
      <c r="Y97" s="1932"/>
      <c r="Z97" s="1932"/>
      <c r="AA97" s="1932"/>
      <c r="AB97" s="1932"/>
      <c r="AC97" s="1932"/>
      <c r="AD97" s="1932"/>
      <c r="AE97" s="1932"/>
      <c r="AF97" s="1932"/>
      <c r="AG97" s="1932"/>
      <c r="AH97" s="1932"/>
      <c r="AI97" s="1932"/>
      <c r="AJ97" s="1932"/>
      <c r="AK97" s="1932"/>
      <c r="AL97" s="1932"/>
      <c r="AM97" s="1932"/>
      <c r="AN97" s="1932"/>
      <c r="AO97" s="1932"/>
      <c r="AP97" s="1932"/>
      <c r="AQ97" s="1932"/>
      <c r="AR97" s="1932"/>
      <c r="AS97" s="1932"/>
      <c r="AT97" s="1932"/>
      <c r="AU97" s="1932"/>
      <c r="AV97" s="1932"/>
      <c r="AW97" s="189"/>
      <c r="AX97" s="189"/>
      <c r="AY97" s="197"/>
      <c r="AZ97" s="1991">
        <v>85121000</v>
      </c>
      <c r="BA97" s="1992"/>
      <c r="BB97" s="1992"/>
      <c r="BC97" s="1992"/>
      <c r="BD97" s="1992"/>
      <c r="BE97" s="1992"/>
      <c r="BF97" s="1992"/>
      <c r="BG97" s="1992"/>
      <c r="BH97" s="1992"/>
      <c r="BI97" s="1992"/>
      <c r="BJ97" s="1992"/>
      <c r="BK97" s="1992"/>
      <c r="BL97" s="1992"/>
      <c r="BM97" s="1992"/>
      <c r="BN97" s="1992"/>
      <c r="BO97" s="1992"/>
      <c r="BP97" s="1992"/>
      <c r="BQ97" s="1992"/>
      <c r="BR97" s="1992"/>
      <c r="BS97" s="1992"/>
      <c r="BT97" s="1992"/>
      <c r="BU97" s="1992"/>
      <c r="BV97" s="1992"/>
      <c r="BW97" s="1992"/>
      <c r="BX97" s="1992"/>
      <c r="BY97" s="1992"/>
      <c r="BZ97" s="1992"/>
      <c r="CA97" s="1992"/>
      <c r="CB97" s="1992">
        <f>短期_財務諸表!B50</f>
        <v>83079703</v>
      </c>
      <c r="CC97" s="1992"/>
      <c r="CD97" s="1992"/>
      <c r="CE97" s="1992"/>
      <c r="CF97" s="1992"/>
      <c r="CG97" s="1992"/>
      <c r="CH97" s="1992"/>
      <c r="CI97" s="1992"/>
      <c r="CJ97" s="1992"/>
      <c r="CK97" s="1992"/>
      <c r="CL97" s="1992"/>
      <c r="CM97" s="1992"/>
      <c r="CN97" s="1992"/>
      <c r="CO97" s="1992"/>
      <c r="CP97" s="1992"/>
      <c r="CQ97" s="1992"/>
      <c r="CR97" s="1992"/>
      <c r="CS97" s="1992"/>
      <c r="CT97" s="1992"/>
      <c r="CU97" s="1992"/>
      <c r="CV97" s="1992"/>
      <c r="CW97" s="1992"/>
      <c r="CX97" s="1992"/>
      <c r="CY97" s="1992"/>
      <c r="CZ97" s="1992"/>
      <c r="DA97" s="1992"/>
      <c r="DB97" s="1992"/>
      <c r="DC97" s="1992"/>
      <c r="DD97" s="1993">
        <f t="shared" si="7"/>
        <v>-2041297</v>
      </c>
      <c r="DE97" s="1993"/>
      <c r="DF97" s="1993"/>
      <c r="DG97" s="1993"/>
      <c r="DH97" s="1993"/>
      <c r="DI97" s="1993"/>
      <c r="DJ97" s="1993"/>
      <c r="DK97" s="1993"/>
      <c r="DL97" s="1993"/>
      <c r="DM97" s="1993"/>
      <c r="DN97" s="1993"/>
      <c r="DO97" s="1993"/>
      <c r="DP97" s="1993"/>
      <c r="DQ97" s="1993"/>
      <c r="DR97" s="1993"/>
      <c r="DS97" s="1993"/>
      <c r="DT97" s="1993"/>
      <c r="DU97" s="1993"/>
      <c r="DV97" s="1993"/>
      <c r="DW97" s="1993"/>
      <c r="DX97" s="1993"/>
      <c r="DY97" s="1993"/>
      <c r="DZ97" s="1993"/>
      <c r="EA97" s="1993"/>
      <c r="EB97" s="1993"/>
      <c r="EC97" s="1993"/>
      <c r="ED97" s="1993"/>
      <c r="EE97" s="1993"/>
      <c r="EF97" s="1992">
        <f>前年度貼付!$E$128</f>
        <v>74042318</v>
      </c>
      <c r="EG97" s="1992"/>
      <c r="EH97" s="1992"/>
      <c r="EI97" s="1992"/>
      <c r="EJ97" s="1992"/>
      <c r="EK97" s="1992"/>
      <c r="EL97" s="1992"/>
      <c r="EM97" s="1992"/>
      <c r="EN97" s="1992"/>
      <c r="EO97" s="1992"/>
      <c r="EP97" s="1992"/>
      <c r="EQ97" s="1992"/>
      <c r="ER97" s="1992"/>
      <c r="ES97" s="1992"/>
      <c r="ET97" s="1992"/>
      <c r="EU97" s="1992"/>
      <c r="EV97" s="1992"/>
      <c r="EW97" s="1992"/>
      <c r="EX97" s="1992"/>
      <c r="EY97" s="1992"/>
      <c r="EZ97" s="1992"/>
      <c r="FA97" s="1992"/>
      <c r="FB97" s="1992"/>
      <c r="FC97" s="1992"/>
      <c r="FD97" s="1992"/>
      <c r="FE97" s="1992"/>
      <c r="FF97" s="1992"/>
      <c r="FG97" s="1992"/>
      <c r="FH97" s="1988">
        <f t="shared" si="8"/>
        <v>9037385</v>
      </c>
      <c r="FI97" s="1988"/>
      <c r="FJ97" s="1988"/>
      <c r="FK97" s="1988"/>
      <c r="FL97" s="1988"/>
      <c r="FM97" s="1988"/>
      <c r="FN97" s="1988"/>
      <c r="FO97" s="1988"/>
      <c r="FP97" s="1988"/>
      <c r="FQ97" s="1988"/>
      <c r="FR97" s="1988"/>
      <c r="FS97" s="1988"/>
      <c r="FT97" s="1988"/>
      <c r="FU97" s="1988"/>
      <c r="FV97" s="1988"/>
      <c r="FW97" s="1988"/>
      <c r="FX97" s="1988"/>
      <c r="FY97" s="1988"/>
      <c r="FZ97" s="1988"/>
      <c r="GA97" s="1988"/>
      <c r="GB97" s="1988"/>
      <c r="GC97" s="1988"/>
      <c r="GD97" s="1988"/>
      <c r="GE97" s="1988"/>
      <c r="GF97" s="1988"/>
      <c r="GG97" s="1988"/>
      <c r="GH97" s="1988"/>
      <c r="GI97" s="1988"/>
    </row>
    <row r="98" spans="1:191" s="166" customFormat="1" ht="24" customHeight="1">
      <c r="A98" s="212"/>
      <c r="B98" s="189"/>
      <c r="C98" s="189"/>
      <c r="D98" s="1932" t="s">
        <v>93</v>
      </c>
      <c r="E98" s="1932"/>
      <c r="F98" s="1932"/>
      <c r="G98" s="1932"/>
      <c r="H98" s="1932"/>
      <c r="I98" s="1932"/>
      <c r="J98" s="1932"/>
      <c r="K98" s="1932"/>
      <c r="L98" s="1932"/>
      <c r="M98" s="1932"/>
      <c r="N98" s="1932"/>
      <c r="O98" s="1932"/>
      <c r="P98" s="1932"/>
      <c r="Q98" s="1932"/>
      <c r="R98" s="1932"/>
      <c r="S98" s="1932"/>
      <c r="T98" s="1932"/>
      <c r="U98" s="1932"/>
      <c r="V98" s="1932"/>
      <c r="W98" s="1932"/>
      <c r="X98" s="1932"/>
      <c r="Y98" s="1932"/>
      <c r="Z98" s="1932"/>
      <c r="AA98" s="1932"/>
      <c r="AB98" s="1932"/>
      <c r="AC98" s="1932"/>
      <c r="AD98" s="1932"/>
      <c r="AE98" s="1932"/>
      <c r="AF98" s="1932"/>
      <c r="AG98" s="1932"/>
      <c r="AH98" s="1932"/>
      <c r="AI98" s="1932"/>
      <c r="AJ98" s="1932"/>
      <c r="AK98" s="1932"/>
      <c r="AL98" s="1932"/>
      <c r="AM98" s="1932"/>
      <c r="AN98" s="1932"/>
      <c r="AO98" s="1932"/>
      <c r="AP98" s="1932"/>
      <c r="AQ98" s="1932"/>
      <c r="AR98" s="1932"/>
      <c r="AS98" s="1932"/>
      <c r="AT98" s="1932"/>
      <c r="AU98" s="1932"/>
      <c r="AV98" s="1932"/>
      <c r="AW98" s="189"/>
      <c r="AX98" s="189"/>
      <c r="AY98" s="197"/>
      <c r="AZ98" s="1991">
        <v>0</v>
      </c>
      <c r="BA98" s="1992"/>
      <c r="BB98" s="1992"/>
      <c r="BC98" s="1992"/>
      <c r="BD98" s="1992"/>
      <c r="BE98" s="1992"/>
      <c r="BF98" s="1992"/>
      <c r="BG98" s="1992"/>
      <c r="BH98" s="1992"/>
      <c r="BI98" s="1992"/>
      <c r="BJ98" s="1992"/>
      <c r="BK98" s="1992"/>
      <c r="BL98" s="1992"/>
      <c r="BM98" s="1992"/>
      <c r="BN98" s="1992"/>
      <c r="BO98" s="1992"/>
      <c r="BP98" s="1992"/>
      <c r="BQ98" s="1992"/>
      <c r="BR98" s="1992"/>
      <c r="BS98" s="1992"/>
      <c r="BT98" s="1992"/>
      <c r="BU98" s="1992"/>
      <c r="BV98" s="1992"/>
      <c r="BW98" s="1992"/>
      <c r="BX98" s="1992"/>
      <c r="BY98" s="1992"/>
      <c r="BZ98" s="1992"/>
      <c r="CA98" s="1992"/>
      <c r="CB98" s="1992">
        <f>短期_財務諸表!B51</f>
        <v>0</v>
      </c>
      <c r="CC98" s="1992"/>
      <c r="CD98" s="1992"/>
      <c r="CE98" s="1992"/>
      <c r="CF98" s="1992"/>
      <c r="CG98" s="1992"/>
      <c r="CH98" s="1992"/>
      <c r="CI98" s="1992"/>
      <c r="CJ98" s="1992"/>
      <c r="CK98" s="1992"/>
      <c r="CL98" s="1992"/>
      <c r="CM98" s="1992"/>
      <c r="CN98" s="1992"/>
      <c r="CO98" s="1992"/>
      <c r="CP98" s="1992"/>
      <c r="CQ98" s="1992"/>
      <c r="CR98" s="1992"/>
      <c r="CS98" s="1992"/>
      <c r="CT98" s="1992"/>
      <c r="CU98" s="1992"/>
      <c r="CV98" s="1992"/>
      <c r="CW98" s="1992"/>
      <c r="CX98" s="1992"/>
      <c r="CY98" s="1992"/>
      <c r="CZ98" s="1992"/>
      <c r="DA98" s="1992"/>
      <c r="DB98" s="1992"/>
      <c r="DC98" s="1992"/>
      <c r="DD98" s="1993">
        <f t="shared" si="7"/>
        <v>0</v>
      </c>
      <c r="DE98" s="1993"/>
      <c r="DF98" s="1993"/>
      <c r="DG98" s="1993"/>
      <c r="DH98" s="1993"/>
      <c r="DI98" s="1993"/>
      <c r="DJ98" s="1993"/>
      <c r="DK98" s="1993"/>
      <c r="DL98" s="1993"/>
      <c r="DM98" s="1993"/>
      <c r="DN98" s="1993"/>
      <c r="DO98" s="1993"/>
      <c r="DP98" s="1993"/>
      <c r="DQ98" s="1993"/>
      <c r="DR98" s="1993"/>
      <c r="DS98" s="1993"/>
      <c r="DT98" s="1993"/>
      <c r="DU98" s="1993"/>
      <c r="DV98" s="1993"/>
      <c r="DW98" s="1993"/>
      <c r="DX98" s="1993"/>
      <c r="DY98" s="1993"/>
      <c r="DZ98" s="1993"/>
      <c r="EA98" s="1993"/>
      <c r="EB98" s="1993"/>
      <c r="EC98" s="1993"/>
      <c r="ED98" s="1993"/>
      <c r="EE98" s="1993"/>
      <c r="EF98" s="1992">
        <f>前年度貼付!$E$129</f>
        <v>0</v>
      </c>
      <c r="EG98" s="1992"/>
      <c r="EH98" s="1992"/>
      <c r="EI98" s="1992"/>
      <c r="EJ98" s="1992"/>
      <c r="EK98" s="1992"/>
      <c r="EL98" s="1992"/>
      <c r="EM98" s="1992"/>
      <c r="EN98" s="1992"/>
      <c r="EO98" s="1992"/>
      <c r="EP98" s="1992"/>
      <c r="EQ98" s="1992"/>
      <c r="ER98" s="1992"/>
      <c r="ES98" s="1992"/>
      <c r="ET98" s="1992"/>
      <c r="EU98" s="1992"/>
      <c r="EV98" s="1992"/>
      <c r="EW98" s="1992"/>
      <c r="EX98" s="1992"/>
      <c r="EY98" s="1992"/>
      <c r="EZ98" s="1992"/>
      <c r="FA98" s="1992"/>
      <c r="FB98" s="1992"/>
      <c r="FC98" s="1992"/>
      <c r="FD98" s="1992"/>
      <c r="FE98" s="1992"/>
      <c r="FF98" s="1992"/>
      <c r="FG98" s="1992"/>
      <c r="FH98" s="1988">
        <f t="shared" si="8"/>
        <v>0</v>
      </c>
      <c r="FI98" s="1988"/>
      <c r="FJ98" s="1988"/>
      <c r="FK98" s="1988"/>
      <c r="FL98" s="1988"/>
      <c r="FM98" s="1988"/>
      <c r="FN98" s="1988"/>
      <c r="FO98" s="1988"/>
      <c r="FP98" s="1988"/>
      <c r="FQ98" s="1988"/>
      <c r="FR98" s="1988"/>
      <c r="FS98" s="1988"/>
      <c r="FT98" s="1988"/>
      <c r="FU98" s="1988"/>
      <c r="FV98" s="1988"/>
      <c r="FW98" s="1988"/>
      <c r="FX98" s="1988"/>
      <c r="FY98" s="1988"/>
      <c r="FZ98" s="1988"/>
      <c r="GA98" s="1988"/>
      <c r="GB98" s="1988"/>
      <c r="GC98" s="1988"/>
      <c r="GD98" s="1988"/>
      <c r="GE98" s="1988"/>
      <c r="GF98" s="1988"/>
      <c r="GG98" s="1988"/>
      <c r="GH98" s="1988"/>
      <c r="GI98" s="1988"/>
    </row>
    <row r="99" spans="1:191" s="166" customFormat="1" ht="24" customHeight="1">
      <c r="A99" s="212"/>
      <c r="B99" s="189"/>
      <c r="C99" s="189"/>
      <c r="D99" s="1932" t="s">
        <v>94</v>
      </c>
      <c r="E99" s="1932"/>
      <c r="F99" s="1932"/>
      <c r="G99" s="1932"/>
      <c r="H99" s="1932"/>
      <c r="I99" s="1932"/>
      <c r="J99" s="1932"/>
      <c r="K99" s="1932"/>
      <c r="L99" s="1932"/>
      <c r="M99" s="1932"/>
      <c r="N99" s="1932"/>
      <c r="O99" s="1932"/>
      <c r="P99" s="1932"/>
      <c r="Q99" s="1932"/>
      <c r="R99" s="1932"/>
      <c r="S99" s="1932"/>
      <c r="T99" s="1932"/>
      <c r="U99" s="1932"/>
      <c r="V99" s="1932"/>
      <c r="W99" s="1932"/>
      <c r="X99" s="1932"/>
      <c r="Y99" s="1932"/>
      <c r="Z99" s="1932"/>
      <c r="AA99" s="1932"/>
      <c r="AB99" s="1932"/>
      <c r="AC99" s="1932"/>
      <c r="AD99" s="1932"/>
      <c r="AE99" s="1932"/>
      <c r="AF99" s="1932"/>
      <c r="AG99" s="1932"/>
      <c r="AH99" s="1932"/>
      <c r="AI99" s="1932"/>
      <c r="AJ99" s="1932"/>
      <c r="AK99" s="1932"/>
      <c r="AL99" s="1932"/>
      <c r="AM99" s="1932"/>
      <c r="AN99" s="1932"/>
      <c r="AO99" s="1932"/>
      <c r="AP99" s="1932"/>
      <c r="AQ99" s="1932"/>
      <c r="AR99" s="1932"/>
      <c r="AS99" s="1932"/>
      <c r="AT99" s="1932"/>
      <c r="AU99" s="1932"/>
      <c r="AV99" s="1932"/>
      <c r="AW99" s="189"/>
      <c r="AX99" s="189"/>
      <c r="AY99" s="197"/>
      <c r="AZ99" s="1991">
        <v>0</v>
      </c>
      <c r="BA99" s="1992"/>
      <c r="BB99" s="1992"/>
      <c r="BC99" s="1992"/>
      <c r="BD99" s="1992"/>
      <c r="BE99" s="1992"/>
      <c r="BF99" s="1992"/>
      <c r="BG99" s="1992"/>
      <c r="BH99" s="1992"/>
      <c r="BI99" s="1992"/>
      <c r="BJ99" s="1992"/>
      <c r="BK99" s="1992"/>
      <c r="BL99" s="1992"/>
      <c r="BM99" s="1992"/>
      <c r="BN99" s="1992"/>
      <c r="BO99" s="1992"/>
      <c r="BP99" s="1992"/>
      <c r="BQ99" s="1992"/>
      <c r="BR99" s="1992"/>
      <c r="BS99" s="1992"/>
      <c r="BT99" s="1992"/>
      <c r="BU99" s="1992"/>
      <c r="BV99" s="1992"/>
      <c r="BW99" s="1992"/>
      <c r="BX99" s="1992"/>
      <c r="BY99" s="1992"/>
      <c r="BZ99" s="1992"/>
      <c r="CA99" s="1992"/>
      <c r="CB99" s="1992">
        <f>短期_財務諸表!B52</f>
        <v>0</v>
      </c>
      <c r="CC99" s="1992"/>
      <c r="CD99" s="1992"/>
      <c r="CE99" s="1992"/>
      <c r="CF99" s="1992"/>
      <c r="CG99" s="1992"/>
      <c r="CH99" s="1992"/>
      <c r="CI99" s="1992"/>
      <c r="CJ99" s="1992"/>
      <c r="CK99" s="1992"/>
      <c r="CL99" s="1992"/>
      <c r="CM99" s="1992"/>
      <c r="CN99" s="1992"/>
      <c r="CO99" s="1992"/>
      <c r="CP99" s="1992"/>
      <c r="CQ99" s="1992"/>
      <c r="CR99" s="1992"/>
      <c r="CS99" s="1992"/>
      <c r="CT99" s="1992"/>
      <c r="CU99" s="1992"/>
      <c r="CV99" s="1992"/>
      <c r="CW99" s="1992"/>
      <c r="CX99" s="1992"/>
      <c r="CY99" s="1992"/>
      <c r="CZ99" s="1992"/>
      <c r="DA99" s="1992"/>
      <c r="DB99" s="1992"/>
      <c r="DC99" s="1992"/>
      <c r="DD99" s="1993">
        <f t="shared" si="7"/>
        <v>0</v>
      </c>
      <c r="DE99" s="1993"/>
      <c r="DF99" s="1993"/>
      <c r="DG99" s="1993"/>
      <c r="DH99" s="1993"/>
      <c r="DI99" s="1993"/>
      <c r="DJ99" s="1993"/>
      <c r="DK99" s="1993"/>
      <c r="DL99" s="1993"/>
      <c r="DM99" s="1993"/>
      <c r="DN99" s="1993"/>
      <c r="DO99" s="1993"/>
      <c r="DP99" s="1993"/>
      <c r="DQ99" s="1993"/>
      <c r="DR99" s="1993"/>
      <c r="DS99" s="1993"/>
      <c r="DT99" s="1993"/>
      <c r="DU99" s="1993"/>
      <c r="DV99" s="1993"/>
      <c r="DW99" s="1993"/>
      <c r="DX99" s="1993"/>
      <c r="DY99" s="1993"/>
      <c r="DZ99" s="1993"/>
      <c r="EA99" s="1993"/>
      <c r="EB99" s="1993"/>
      <c r="EC99" s="1993"/>
      <c r="ED99" s="1993"/>
      <c r="EE99" s="1993"/>
      <c r="EF99" s="1992">
        <f>前年度貼付!$E$130</f>
        <v>0</v>
      </c>
      <c r="EG99" s="1992"/>
      <c r="EH99" s="1992"/>
      <c r="EI99" s="1992"/>
      <c r="EJ99" s="1992"/>
      <c r="EK99" s="1992"/>
      <c r="EL99" s="1992"/>
      <c r="EM99" s="1992"/>
      <c r="EN99" s="1992"/>
      <c r="EO99" s="1992"/>
      <c r="EP99" s="1992"/>
      <c r="EQ99" s="1992"/>
      <c r="ER99" s="1992"/>
      <c r="ES99" s="1992"/>
      <c r="ET99" s="1992"/>
      <c r="EU99" s="1992"/>
      <c r="EV99" s="1992"/>
      <c r="EW99" s="1992"/>
      <c r="EX99" s="1992"/>
      <c r="EY99" s="1992"/>
      <c r="EZ99" s="1992"/>
      <c r="FA99" s="1992"/>
      <c r="FB99" s="1992"/>
      <c r="FC99" s="1992"/>
      <c r="FD99" s="1992"/>
      <c r="FE99" s="1992"/>
      <c r="FF99" s="1992"/>
      <c r="FG99" s="1992"/>
      <c r="FH99" s="1988">
        <f t="shared" si="8"/>
        <v>0</v>
      </c>
      <c r="FI99" s="1988"/>
      <c r="FJ99" s="1988"/>
      <c r="FK99" s="1988"/>
      <c r="FL99" s="1988"/>
      <c r="FM99" s="1988"/>
      <c r="FN99" s="1988"/>
      <c r="FO99" s="1988"/>
      <c r="FP99" s="1988"/>
      <c r="FQ99" s="1988"/>
      <c r="FR99" s="1988"/>
      <c r="FS99" s="1988"/>
      <c r="FT99" s="1988"/>
      <c r="FU99" s="1988"/>
      <c r="FV99" s="1988"/>
      <c r="FW99" s="1988"/>
      <c r="FX99" s="1988"/>
      <c r="FY99" s="1988"/>
      <c r="FZ99" s="1988"/>
      <c r="GA99" s="1988"/>
      <c r="GB99" s="1988"/>
      <c r="GC99" s="1988"/>
      <c r="GD99" s="1988"/>
      <c r="GE99" s="1988"/>
      <c r="GF99" s="1988"/>
      <c r="GG99" s="1988"/>
      <c r="GH99" s="1988"/>
      <c r="GI99" s="1988"/>
    </row>
    <row r="100" spans="1:191" s="166" customFormat="1" ht="24" customHeight="1">
      <c r="A100" s="1997" t="s">
        <v>439</v>
      </c>
      <c r="B100" s="1997"/>
      <c r="C100" s="1997"/>
      <c r="D100" s="1997"/>
      <c r="E100" s="1997"/>
      <c r="F100" s="1997"/>
      <c r="G100" s="1997"/>
      <c r="H100" s="1997"/>
      <c r="I100" s="188"/>
      <c r="J100" s="189"/>
      <c r="K100" s="189"/>
      <c r="L100" s="1932" t="s">
        <v>95</v>
      </c>
      <c r="M100" s="1932"/>
      <c r="N100" s="1932"/>
      <c r="O100" s="1932"/>
      <c r="P100" s="1932"/>
      <c r="Q100" s="1932"/>
      <c r="R100" s="1932"/>
      <c r="S100" s="1932"/>
      <c r="T100" s="1932"/>
      <c r="U100" s="1932"/>
      <c r="V100" s="1932"/>
      <c r="W100" s="1932"/>
      <c r="X100" s="1932"/>
      <c r="Y100" s="1932"/>
      <c r="Z100" s="1932"/>
      <c r="AA100" s="1932"/>
      <c r="AB100" s="1932"/>
      <c r="AC100" s="1932"/>
      <c r="AD100" s="1932"/>
      <c r="AE100" s="1932"/>
      <c r="AF100" s="1932"/>
      <c r="AG100" s="1932"/>
      <c r="AH100" s="1932"/>
      <c r="AI100" s="1932"/>
      <c r="AJ100" s="1932"/>
      <c r="AK100" s="1932"/>
      <c r="AL100" s="1932"/>
      <c r="AM100" s="1932"/>
      <c r="AN100" s="1932"/>
      <c r="AO100" s="1932"/>
      <c r="AP100" s="1932"/>
      <c r="AQ100" s="1932"/>
      <c r="AR100" s="1932"/>
      <c r="AS100" s="1932"/>
      <c r="AT100" s="1932"/>
      <c r="AU100" s="1932"/>
      <c r="AV100" s="1932"/>
      <c r="AW100" s="189"/>
      <c r="AX100" s="189"/>
      <c r="AY100" s="197"/>
      <c r="AZ100" s="1991">
        <v>20401000</v>
      </c>
      <c r="BA100" s="1992"/>
      <c r="BB100" s="1992"/>
      <c r="BC100" s="1992"/>
      <c r="BD100" s="1992"/>
      <c r="BE100" s="1992"/>
      <c r="BF100" s="1992"/>
      <c r="BG100" s="1992"/>
      <c r="BH100" s="1992"/>
      <c r="BI100" s="1992"/>
      <c r="BJ100" s="1992"/>
      <c r="BK100" s="1992"/>
      <c r="BL100" s="1992"/>
      <c r="BM100" s="1992"/>
      <c r="BN100" s="1992"/>
      <c r="BO100" s="1992"/>
      <c r="BP100" s="1992"/>
      <c r="BQ100" s="1992"/>
      <c r="BR100" s="1992"/>
      <c r="BS100" s="1992"/>
      <c r="BT100" s="1992"/>
      <c r="BU100" s="1992"/>
      <c r="BV100" s="1992"/>
      <c r="BW100" s="1992"/>
      <c r="BX100" s="1992"/>
      <c r="BY100" s="1992"/>
      <c r="BZ100" s="1992"/>
      <c r="CA100" s="1992"/>
      <c r="CB100" s="1991">
        <v>21170108</v>
      </c>
      <c r="CC100" s="1992"/>
      <c r="CD100" s="1992"/>
      <c r="CE100" s="1992"/>
      <c r="CF100" s="1992"/>
      <c r="CG100" s="1992"/>
      <c r="CH100" s="1992"/>
      <c r="CI100" s="1992"/>
      <c r="CJ100" s="1992"/>
      <c r="CK100" s="1992"/>
      <c r="CL100" s="1992"/>
      <c r="CM100" s="1992"/>
      <c r="CN100" s="1992"/>
      <c r="CO100" s="1992"/>
      <c r="CP100" s="1992"/>
      <c r="CQ100" s="1992"/>
      <c r="CR100" s="1992"/>
      <c r="CS100" s="1992"/>
      <c r="CT100" s="1992"/>
      <c r="CU100" s="1992"/>
      <c r="CV100" s="1992"/>
      <c r="CW100" s="1992"/>
      <c r="CX100" s="1992"/>
      <c r="CY100" s="1992"/>
      <c r="CZ100" s="1992"/>
      <c r="DA100" s="1992"/>
      <c r="DB100" s="1992"/>
      <c r="DC100" s="1992"/>
      <c r="DD100" s="1993">
        <f t="shared" si="7"/>
        <v>769108</v>
      </c>
      <c r="DE100" s="1993"/>
      <c r="DF100" s="1993"/>
      <c r="DG100" s="1993"/>
      <c r="DH100" s="1993"/>
      <c r="DI100" s="1993"/>
      <c r="DJ100" s="1993"/>
      <c r="DK100" s="1993"/>
      <c r="DL100" s="1993"/>
      <c r="DM100" s="1993"/>
      <c r="DN100" s="1993"/>
      <c r="DO100" s="1993"/>
      <c r="DP100" s="1993"/>
      <c r="DQ100" s="1993"/>
      <c r="DR100" s="1993"/>
      <c r="DS100" s="1993"/>
      <c r="DT100" s="1993"/>
      <c r="DU100" s="1993"/>
      <c r="DV100" s="1993"/>
      <c r="DW100" s="1993"/>
      <c r="DX100" s="1993"/>
      <c r="DY100" s="1993"/>
      <c r="DZ100" s="1993"/>
      <c r="EA100" s="1993"/>
      <c r="EB100" s="1993"/>
      <c r="EC100" s="1993"/>
      <c r="ED100" s="1993"/>
      <c r="EE100" s="1993"/>
      <c r="EF100" s="1992">
        <f>前年度貼付!$E$131</f>
        <v>20352273</v>
      </c>
      <c r="EG100" s="1992"/>
      <c r="EH100" s="1992"/>
      <c r="EI100" s="1992"/>
      <c r="EJ100" s="1992"/>
      <c r="EK100" s="1992"/>
      <c r="EL100" s="1992"/>
      <c r="EM100" s="1992"/>
      <c r="EN100" s="1992"/>
      <c r="EO100" s="1992"/>
      <c r="EP100" s="1992"/>
      <c r="EQ100" s="1992"/>
      <c r="ER100" s="1992"/>
      <c r="ES100" s="1992"/>
      <c r="ET100" s="1992"/>
      <c r="EU100" s="1992"/>
      <c r="EV100" s="1992"/>
      <c r="EW100" s="1992"/>
      <c r="EX100" s="1992"/>
      <c r="EY100" s="1992"/>
      <c r="EZ100" s="1992"/>
      <c r="FA100" s="1992"/>
      <c r="FB100" s="1992"/>
      <c r="FC100" s="1992"/>
      <c r="FD100" s="1992"/>
      <c r="FE100" s="1992"/>
      <c r="FF100" s="1992"/>
      <c r="FG100" s="1992"/>
      <c r="FH100" s="1988">
        <f t="shared" si="8"/>
        <v>817835</v>
      </c>
      <c r="FI100" s="1988"/>
      <c r="FJ100" s="1988"/>
      <c r="FK100" s="1988"/>
      <c r="FL100" s="1988"/>
      <c r="FM100" s="1988"/>
      <c r="FN100" s="1988"/>
      <c r="FO100" s="1988"/>
      <c r="FP100" s="1988"/>
      <c r="FQ100" s="1988"/>
      <c r="FR100" s="1988"/>
      <c r="FS100" s="1988"/>
      <c r="FT100" s="1988"/>
      <c r="FU100" s="1988"/>
      <c r="FV100" s="1988"/>
      <c r="FW100" s="1988"/>
      <c r="FX100" s="1988"/>
      <c r="FY100" s="1988"/>
      <c r="FZ100" s="1988"/>
      <c r="GA100" s="1988"/>
      <c r="GB100" s="1988"/>
      <c r="GC100" s="1988"/>
      <c r="GD100" s="1988"/>
      <c r="GE100" s="1988"/>
      <c r="GF100" s="1988"/>
      <c r="GG100" s="1988"/>
      <c r="GH100" s="1988"/>
      <c r="GI100" s="1988"/>
    </row>
    <row r="101" spans="1:191" s="166" customFormat="1" ht="24" customHeight="1">
      <c r="A101" s="1997"/>
      <c r="B101" s="1997"/>
      <c r="C101" s="1997"/>
      <c r="D101" s="1997"/>
      <c r="E101" s="1997"/>
      <c r="F101" s="1997"/>
      <c r="G101" s="1997"/>
      <c r="H101" s="1997"/>
      <c r="I101" s="188"/>
      <c r="J101" s="189"/>
      <c r="K101" s="189"/>
      <c r="L101" s="1932" t="s">
        <v>96</v>
      </c>
      <c r="M101" s="1932"/>
      <c r="N101" s="1932"/>
      <c r="O101" s="1932"/>
      <c r="P101" s="1932"/>
      <c r="Q101" s="1932"/>
      <c r="R101" s="1932"/>
      <c r="S101" s="1932"/>
      <c r="T101" s="1932"/>
      <c r="U101" s="1932"/>
      <c r="V101" s="1932"/>
      <c r="W101" s="1932"/>
      <c r="X101" s="1932"/>
      <c r="Y101" s="1932"/>
      <c r="Z101" s="1932"/>
      <c r="AA101" s="1932"/>
      <c r="AB101" s="1932"/>
      <c r="AC101" s="1932"/>
      <c r="AD101" s="1932"/>
      <c r="AE101" s="1932"/>
      <c r="AF101" s="1932"/>
      <c r="AG101" s="1932"/>
      <c r="AH101" s="1932"/>
      <c r="AI101" s="1932"/>
      <c r="AJ101" s="1932"/>
      <c r="AK101" s="1932"/>
      <c r="AL101" s="1932"/>
      <c r="AM101" s="1932"/>
      <c r="AN101" s="1932"/>
      <c r="AO101" s="1932"/>
      <c r="AP101" s="1932"/>
      <c r="AQ101" s="1932"/>
      <c r="AR101" s="1932"/>
      <c r="AS101" s="1932"/>
      <c r="AT101" s="1932"/>
      <c r="AU101" s="1932"/>
      <c r="AV101" s="1932"/>
      <c r="AW101" s="189"/>
      <c r="AX101" s="189"/>
      <c r="AY101" s="197"/>
      <c r="AZ101" s="1991">
        <v>112207000</v>
      </c>
      <c r="BA101" s="1992"/>
      <c r="BB101" s="1992"/>
      <c r="BC101" s="1992"/>
      <c r="BD101" s="1992"/>
      <c r="BE101" s="1992"/>
      <c r="BF101" s="1992"/>
      <c r="BG101" s="1992"/>
      <c r="BH101" s="1992"/>
      <c r="BI101" s="1992"/>
      <c r="BJ101" s="1992"/>
      <c r="BK101" s="1992"/>
      <c r="BL101" s="1992"/>
      <c r="BM101" s="1992"/>
      <c r="BN101" s="1992"/>
      <c r="BO101" s="1992"/>
      <c r="BP101" s="1992"/>
      <c r="BQ101" s="1992"/>
      <c r="BR101" s="1992"/>
      <c r="BS101" s="1992"/>
      <c r="BT101" s="1992"/>
      <c r="BU101" s="1992"/>
      <c r="BV101" s="1992"/>
      <c r="BW101" s="1992"/>
      <c r="BX101" s="1992"/>
      <c r="BY101" s="1992"/>
      <c r="BZ101" s="1992"/>
      <c r="CA101" s="1992"/>
      <c r="CB101" s="1991">
        <v>116435930</v>
      </c>
      <c r="CC101" s="1992"/>
      <c r="CD101" s="1992"/>
      <c r="CE101" s="1992"/>
      <c r="CF101" s="1992"/>
      <c r="CG101" s="1992"/>
      <c r="CH101" s="1992"/>
      <c r="CI101" s="1992"/>
      <c r="CJ101" s="1992"/>
      <c r="CK101" s="1992"/>
      <c r="CL101" s="1992"/>
      <c r="CM101" s="1992"/>
      <c r="CN101" s="1992"/>
      <c r="CO101" s="1992"/>
      <c r="CP101" s="1992"/>
      <c r="CQ101" s="1992"/>
      <c r="CR101" s="1992"/>
      <c r="CS101" s="1992"/>
      <c r="CT101" s="1992"/>
      <c r="CU101" s="1992"/>
      <c r="CV101" s="1992"/>
      <c r="CW101" s="1992"/>
      <c r="CX101" s="1992"/>
      <c r="CY101" s="1992"/>
      <c r="CZ101" s="1992"/>
      <c r="DA101" s="1992"/>
      <c r="DB101" s="1992"/>
      <c r="DC101" s="1992"/>
      <c r="DD101" s="1993">
        <f t="shared" si="7"/>
        <v>4228930</v>
      </c>
      <c r="DE101" s="1993"/>
      <c r="DF101" s="1993"/>
      <c r="DG101" s="1993"/>
      <c r="DH101" s="1993"/>
      <c r="DI101" s="1993"/>
      <c r="DJ101" s="1993"/>
      <c r="DK101" s="1993"/>
      <c r="DL101" s="1993"/>
      <c r="DM101" s="1993"/>
      <c r="DN101" s="1993"/>
      <c r="DO101" s="1993"/>
      <c r="DP101" s="1993"/>
      <c r="DQ101" s="1993"/>
      <c r="DR101" s="1993"/>
      <c r="DS101" s="1993"/>
      <c r="DT101" s="1993"/>
      <c r="DU101" s="1993"/>
      <c r="DV101" s="1993"/>
      <c r="DW101" s="1993"/>
      <c r="DX101" s="1993"/>
      <c r="DY101" s="1993"/>
      <c r="DZ101" s="1993"/>
      <c r="EA101" s="1993"/>
      <c r="EB101" s="1993"/>
      <c r="EC101" s="1993"/>
      <c r="ED101" s="1993"/>
      <c r="EE101" s="1993"/>
      <c r="EF101" s="1992">
        <f>前年度貼付!$E$132</f>
        <v>111938774</v>
      </c>
      <c r="EG101" s="1992"/>
      <c r="EH101" s="1992"/>
      <c r="EI101" s="1992"/>
      <c r="EJ101" s="1992"/>
      <c r="EK101" s="1992"/>
      <c r="EL101" s="1992"/>
      <c r="EM101" s="1992"/>
      <c r="EN101" s="1992"/>
      <c r="EO101" s="1992"/>
      <c r="EP101" s="1992"/>
      <c r="EQ101" s="1992"/>
      <c r="ER101" s="1992"/>
      <c r="ES101" s="1992"/>
      <c r="ET101" s="1992"/>
      <c r="EU101" s="1992"/>
      <c r="EV101" s="1992"/>
      <c r="EW101" s="1992"/>
      <c r="EX101" s="1992"/>
      <c r="EY101" s="1992"/>
      <c r="EZ101" s="1992"/>
      <c r="FA101" s="1992"/>
      <c r="FB101" s="1992"/>
      <c r="FC101" s="1992"/>
      <c r="FD101" s="1992"/>
      <c r="FE101" s="1992"/>
      <c r="FF101" s="1992"/>
      <c r="FG101" s="1992"/>
      <c r="FH101" s="1988">
        <f t="shared" si="8"/>
        <v>4497156</v>
      </c>
      <c r="FI101" s="1988"/>
      <c r="FJ101" s="1988"/>
      <c r="FK101" s="1988"/>
      <c r="FL101" s="1988"/>
      <c r="FM101" s="1988"/>
      <c r="FN101" s="1988"/>
      <c r="FO101" s="1988"/>
      <c r="FP101" s="1988"/>
      <c r="FQ101" s="1988"/>
      <c r="FR101" s="1988"/>
      <c r="FS101" s="1988"/>
      <c r="FT101" s="1988"/>
      <c r="FU101" s="1988"/>
      <c r="FV101" s="1988"/>
      <c r="FW101" s="1988"/>
      <c r="FX101" s="1988"/>
      <c r="FY101" s="1988"/>
      <c r="FZ101" s="1988"/>
      <c r="GA101" s="1988"/>
      <c r="GB101" s="1988"/>
      <c r="GC101" s="1988"/>
      <c r="GD101" s="1988"/>
      <c r="GE101" s="1988"/>
      <c r="GF101" s="1988"/>
      <c r="GG101" s="1988"/>
      <c r="GH101" s="1988"/>
      <c r="GI101" s="1988"/>
    </row>
    <row r="102" spans="1:191" s="166" customFormat="1" ht="24" customHeight="1">
      <c r="A102" s="1997"/>
      <c r="B102" s="1997"/>
      <c r="C102" s="1997"/>
      <c r="D102" s="1997"/>
      <c r="E102" s="1997"/>
      <c r="F102" s="1997"/>
      <c r="G102" s="1997"/>
      <c r="H102" s="1997"/>
      <c r="I102" s="188"/>
      <c r="J102" s="189"/>
      <c r="K102" s="189"/>
      <c r="L102" s="1951" t="s">
        <v>351</v>
      </c>
      <c r="M102" s="1951"/>
      <c r="N102" s="1951"/>
      <c r="O102" s="1951"/>
      <c r="P102" s="1951"/>
      <c r="Q102" s="1951"/>
      <c r="R102" s="1951"/>
      <c r="S102" s="1951"/>
      <c r="T102" s="1951"/>
      <c r="U102" s="1951"/>
      <c r="V102" s="1951"/>
      <c r="W102" s="1951"/>
      <c r="X102" s="1951"/>
      <c r="Y102" s="1951"/>
      <c r="Z102" s="1951"/>
      <c r="AA102" s="1951"/>
      <c r="AB102" s="1951"/>
      <c r="AC102" s="1951"/>
      <c r="AD102" s="1951"/>
      <c r="AE102" s="1951"/>
      <c r="AF102" s="1951"/>
      <c r="AG102" s="1951"/>
      <c r="AH102" s="1951"/>
      <c r="AI102" s="1951"/>
      <c r="AJ102" s="1951"/>
      <c r="AK102" s="1951"/>
      <c r="AL102" s="1951"/>
      <c r="AM102" s="1951"/>
      <c r="AN102" s="1951"/>
      <c r="AO102" s="1951"/>
      <c r="AP102" s="1951"/>
      <c r="AQ102" s="1951"/>
      <c r="AR102" s="1951"/>
      <c r="AS102" s="1951"/>
      <c r="AT102" s="1951"/>
      <c r="AU102" s="1951"/>
      <c r="AV102" s="1951"/>
      <c r="AW102" s="189"/>
      <c r="AX102" s="189"/>
      <c r="AY102" s="197"/>
      <c r="AZ102" s="1996">
        <f>SUM(AZ100:CA101)</f>
        <v>132608000</v>
      </c>
      <c r="BA102" s="1996"/>
      <c r="BB102" s="1996"/>
      <c r="BC102" s="1996"/>
      <c r="BD102" s="1996"/>
      <c r="BE102" s="1996"/>
      <c r="BF102" s="1996"/>
      <c r="BG102" s="1996"/>
      <c r="BH102" s="1996"/>
      <c r="BI102" s="1996"/>
      <c r="BJ102" s="1996"/>
      <c r="BK102" s="1996"/>
      <c r="BL102" s="1996"/>
      <c r="BM102" s="1996"/>
      <c r="BN102" s="1996"/>
      <c r="BO102" s="1996"/>
      <c r="BP102" s="1996"/>
      <c r="BQ102" s="1996"/>
      <c r="BR102" s="1996"/>
      <c r="BS102" s="1996"/>
      <c r="BT102" s="1996"/>
      <c r="BU102" s="1996"/>
      <c r="BV102" s="1996"/>
      <c r="BW102" s="1996"/>
      <c r="BX102" s="1996"/>
      <c r="BY102" s="1996"/>
      <c r="BZ102" s="1996"/>
      <c r="CA102" s="1996"/>
      <c r="CB102" s="1992">
        <f>SUM(CB100:DC101)</f>
        <v>137606038</v>
      </c>
      <c r="CC102" s="1992"/>
      <c r="CD102" s="1992"/>
      <c r="CE102" s="1992"/>
      <c r="CF102" s="1992"/>
      <c r="CG102" s="1992"/>
      <c r="CH102" s="1992"/>
      <c r="CI102" s="1992"/>
      <c r="CJ102" s="1992"/>
      <c r="CK102" s="1992"/>
      <c r="CL102" s="1992"/>
      <c r="CM102" s="1992"/>
      <c r="CN102" s="1992"/>
      <c r="CO102" s="1992"/>
      <c r="CP102" s="1992"/>
      <c r="CQ102" s="1992"/>
      <c r="CR102" s="1992"/>
      <c r="CS102" s="1992"/>
      <c r="CT102" s="1992"/>
      <c r="CU102" s="1992"/>
      <c r="CV102" s="1992"/>
      <c r="CW102" s="1992"/>
      <c r="CX102" s="1992"/>
      <c r="CY102" s="1992"/>
      <c r="CZ102" s="1992"/>
      <c r="DA102" s="1992"/>
      <c r="DB102" s="1992"/>
      <c r="DC102" s="1992"/>
      <c r="DD102" s="1993">
        <f t="shared" si="7"/>
        <v>4998038</v>
      </c>
      <c r="DE102" s="1993"/>
      <c r="DF102" s="1993"/>
      <c r="DG102" s="1993"/>
      <c r="DH102" s="1993"/>
      <c r="DI102" s="1993"/>
      <c r="DJ102" s="1993"/>
      <c r="DK102" s="1993"/>
      <c r="DL102" s="1993"/>
      <c r="DM102" s="1993"/>
      <c r="DN102" s="1993"/>
      <c r="DO102" s="1993"/>
      <c r="DP102" s="1993"/>
      <c r="DQ102" s="1993"/>
      <c r="DR102" s="1993"/>
      <c r="DS102" s="1993"/>
      <c r="DT102" s="1993"/>
      <c r="DU102" s="1993"/>
      <c r="DV102" s="1993"/>
      <c r="DW102" s="1993"/>
      <c r="DX102" s="1993"/>
      <c r="DY102" s="1993"/>
      <c r="DZ102" s="1993"/>
      <c r="EA102" s="1993"/>
      <c r="EB102" s="1993"/>
      <c r="EC102" s="1993"/>
      <c r="ED102" s="1993"/>
      <c r="EE102" s="1993"/>
      <c r="EF102" s="1992">
        <f>SUM(EF100:FG101)</f>
        <v>132291047</v>
      </c>
      <c r="EG102" s="1992"/>
      <c r="EH102" s="1992"/>
      <c r="EI102" s="1992"/>
      <c r="EJ102" s="1992"/>
      <c r="EK102" s="1992"/>
      <c r="EL102" s="1992"/>
      <c r="EM102" s="1992"/>
      <c r="EN102" s="1992"/>
      <c r="EO102" s="1992"/>
      <c r="EP102" s="1992"/>
      <c r="EQ102" s="1992"/>
      <c r="ER102" s="1992"/>
      <c r="ES102" s="1992"/>
      <c r="ET102" s="1992"/>
      <c r="EU102" s="1992"/>
      <c r="EV102" s="1992"/>
      <c r="EW102" s="1992"/>
      <c r="EX102" s="1992"/>
      <c r="EY102" s="1992"/>
      <c r="EZ102" s="1992"/>
      <c r="FA102" s="1992"/>
      <c r="FB102" s="1992"/>
      <c r="FC102" s="1992"/>
      <c r="FD102" s="1992"/>
      <c r="FE102" s="1992"/>
      <c r="FF102" s="1992"/>
      <c r="FG102" s="1992"/>
      <c r="FH102" s="1988">
        <f t="shared" si="8"/>
        <v>5314991</v>
      </c>
      <c r="FI102" s="1988"/>
      <c r="FJ102" s="1988"/>
      <c r="FK102" s="1988"/>
      <c r="FL102" s="1988"/>
      <c r="FM102" s="1988"/>
      <c r="FN102" s="1988"/>
      <c r="FO102" s="1988"/>
      <c r="FP102" s="1988"/>
      <c r="FQ102" s="1988"/>
      <c r="FR102" s="1988"/>
      <c r="FS102" s="1988"/>
      <c r="FT102" s="1988"/>
      <c r="FU102" s="1988"/>
      <c r="FV102" s="1988"/>
      <c r="FW102" s="1988"/>
      <c r="FX102" s="1988"/>
      <c r="FY102" s="1988"/>
      <c r="FZ102" s="1988"/>
      <c r="GA102" s="1988"/>
      <c r="GB102" s="1988"/>
      <c r="GC102" s="1988"/>
      <c r="GD102" s="1988"/>
      <c r="GE102" s="1988"/>
      <c r="GF102" s="1988"/>
      <c r="GG102" s="1988"/>
      <c r="GH102" s="1988"/>
      <c r="GI102" s="1988"/>
    </row>
    <row r="103" spans="1:191" s="166" customFormat="1" ht="24" customHeight="1">
      <c r="A103" s="1994" t="s">
        <v>440</v>
      </c>
      <c r="B103" s="1994"/>
      <c r="C103" s="1994"/>
      <c r="D103" s="1994"/>
      <c r="E103" s="1994"/>
      <c r="F103" s="1994"/>
      <c r="G103" s="1994"/>
      <c r="H103" s="1994"/>
      <c r="I103" s="188"/>
      <c r="J103" s="189"/>
      <c r="K103" s="189"/>
      <c r="L103" s="1932" t="s">
        <v>97</v>
      </c>
      <c r="M103" s="1932"/>
      <c r="N103" s="1932"/>
      <c r="O103" s="1932"/>
      <c r="P103" s="1932"/>
      <c r="Q103" s="1932"/>
      <c r="R103" s="1932"/>
      <c r="S103" s="1932"/>
      <c r="T103" s="1932"/>
      <c r="U103" s="1932"/>
      <c r="V103" s="1932"/>
      <c r="W103" s="1932"/>
      <c r="X103" s="1932"/>
      <c r="Y103" s="1932"/>
      <c r="Z103" s="1932"/>
      <c r="AA103" s="1932"/>
      <c r="AB103" s="1932"/>
      <c r="AC103" s="1932"/>
      <c r="AD103" s="1932"/>
      <c r="AE103" s="1932"/>
      <c r="AF103" s="1932"/>
      <c r="AG103" s="1932"/>
      <c r="AH103" s="1932"/>
      <c r="AI103" s="1932"/>
      <c r="AJ103" s="1932"/>
      <c r="AK103" s="1932"/>
      <c r="AL103" s="1932"/>
      <c r="AM103" s="1932"/>
      <c r="AN103" s="1932"/>
      <c r="AO103" s="1932"/>
      <c r="AP103" s="1932"/>
      <c r="AQ103" s="1932"/>
      <c r="AR103" s="1932"/>
      <c r="AS103" s="1932"/>
      <c r="AT103" s="1932"/>
      <c r="AU103" s="1932"/>
      <c r="AV103" s="1932"/>
      <c r="AW103" s="189"/>
      <c r="AX103" s="189"/>
      <c r="AY103" s="197"/>
      <c r="AZ103" s="1991">
        <v>10372000</v>
      </c>
      <c r="BA103" s="1992"/>
      <c r="BB103" s="1992"/>
      <c r="BC103" s="1992"/>
      <c r="BD103" s="1992"/>
      <c r="BE103" s="1992"/>
      <c r="BF103" s="1992"/>
      <c r="BG103" s="1992"/>
      <c r="BH103" s="1992"/>
      <c r="BI103" s="1992"/>
      <c r="BJ103" s="1992"/>
      <c r="BK103" s="1992"/>
      <c r="BL103" s="1992"/>
      <c r="BM103" s="1992"/>
      <c r="BN103" s="1992"/>
      <c r="BO103" s="1992"/>
      <c r="BP103" s="1992"/>
      <c r="BQ103" s="1992"/>
      <c r="BR103" s="1992"/>
      <c r="BS103" s="1992"/>
      <c r="BT103" s="1992"/>
      <c r="BU103" s="1992"/>
      <c r="BV103" s="1992"/>
      <c r="BW103" s="1992"/>
      <c r="BX103" s="1992"/>
      <c r="BY103" s="1992"/>
      <c r="BZ103" s="1992"/>
      <c r="CA103" s="1992"/>
      <c r="CB103" s="1991">
        <v>10496085</v>
      </c>
      <c r="CC103" s="1992"/>
      <c r="CD103" s="1992"/>
      <c r="CE103" s="1992"/>
      <c r="CF103" s="1992"/>
      <c r="CG103" s="1992"/>
      <c r="CH103" s="1992"/>
      <c r="CI103" s="1992"/>
      <c r="CJ103" s="1992"/>
      <c r="CK103" s="1992"/>
      <c r="CL103" s="1992"/>
      <c r="CM103" s="1992"/>
      <c r="CN103" s="1992"/>
      <c r="CO103" s="1992"/>
      <c r="CP103" s="1992"/>
      <c r="CQ103" s="1992"/>
      <c r="CR103" s="1992"/>
      <c r="CS103" s="1992"/>
      <c r="CT103" s="1992"/>
      <c r="CU103" s="1992"/>
      <c r="CV103" s="1992"/>
      <c r="CW103" s="1992"/>
      <c r="CX103" s="1992"/>
      <c r="CY103" s="1992"/>
      <c r="CZ103" s="1992"/>
      <c r="DA103" s="1992"/>
      <c r="DB103" s="1992"/>
      <c r="DC103" s="1992"/>
      <c r="DD103" s="1993">
        <f t="shared" si="7"/>
        <v>124085</v>
      </c>
      <c r="DE103" s="1993"/>
      <c r="DF103" s="1993"/>
      <c r="DG103" s="1993"/>
      <c r="DH103" s="1993"/>
      <c r="DI103" s="1993"/>
      <c r="DJ103" s="1993"/>
      <c r="DK103" s="1993"/>
      <c r="DL103" s="1993"/>
      <c r="DM103" s="1993"/>
      <c r="DN103" s="1993"/>
      <c r="DO103" s="1993"/>
      <c r="DP103" s="1993"/>
      <c r="DQ103" s="1993"/>
      <c r="DR103" s="1993"/>
      <c r="DS103" s="1993"/>
      <c r="DT103" s="1993"/>
      <c r="DU103" s="1993"/>
      <c r="DV103" s="1993"/>
      <c r="DW103" s="1993"/>
      <c r="DX103" s="1993"/>
      <c r="DY103" s="1993"/>
      <c r="DZ103" s="1993"/>
      <c r="EA103" s="1993"/>
      <c r="EB103" s="1993"/>
      <c r="EC103" s="1993"/>
      <c r="ED103" s="1993"/>
      <c r="EE103" s="1993"/>
      <c r="EF103" s="1992">
        <f>前年度貼付!$E$133</f>
        <v>10086981</v>
      </c>
      <c r="EG103" s="1992"/>
      <c r="EH103" s="1992"/>
      <c r="EI103" s="1992"/>
      <c r="EJ103" s="1992"/>
      <c r="EK103" s="1992"/>
      <c r="EL103" s="1992"/>
      <c r="EM103" s="1992"/>
      <c r="EN103" s="1992"/>
      <c r="EO103" s="1992"/>
      <c r="EP103" s="1992"/>
      <c r="EQ103" s="1992"/>
      <c r="ER103" s="1992"/>
      <c r="ES103" s="1992"/>
      <c r="ET103" s="1992"/>
      <c r="EU103" s="1992"/>
      <c r="EV103" s="1992"/>
      <c r="EW103" s="1992"/>
      <c r="EX103" s="1992"/>
      <c r="EY103" s="1992"/>
      <c r="EZ103" s="1992"/>
      <c r="FA103" s="1992"/>
      <c r="FB103" s="1992"/>
      <c r="FC103" s="1992"/>
      <c r="FD103" s="1992"/>
      <c r="FE103" s="1992"/>
      <c r="FF103" s="1992"/>
      <c r="FG103" s="1992"/>
      <c r="FH103" s="1988">
        <f t="shared" si="8"/>
        <v>409104</v>
      </c>
      <c r="FI103" s="1988"/>
      <c r="FJ103" s="1988"/>
      <c r="FK103" s="1988"/>
      <c r="FL103" s="1988"/>
      <c r="FM103" s="1988"/>
      <c r="FN103" s="1988"/>
      <c r="FO103" s="1988"/>
      <c r="FP103" s="1988"/>
      <c r="FQ103" s="1988"/>
      <c r="FR103" s="1988"/>
      <c r="FS103" s="1988"/>
      <c r="FT103" s="1988"/>
      <c r="FU103" s="1988"/>
      <c r="FV103" s="1988"/>
      <c r="FW103" s="1988"/>
      <c r="FX103" s="1988"/>
      <c r="FY103" s="1988"/>
      <c r="FZ103" s="1988"/>
      <c r="GA103" s="1988"/>
      <c r="GB103" s="1988"/>
      <c r="GC103" s="1988"/>
      <c r="GD103" s="1988"/>
      <c r="GE103" s="1988"/>
      <c r="GF103" s="1988"/>
      <c r="GG103" s="1988"/>
      <c r="GH103" s="1988"/>
      <c r="GI103" s="1988"/>
    </row>
    <row r="104" spans="1:191" s="166" customFormat="1" ht="25.5" customHeight="1">
      <c r="A104" s="1994"/>
      <c r="B104" s="1994"/>
      <c r="C104" s="1994"/>
      <c r="D104" s="1994"/>
      <c r="E104" s="1994"/>
      <c r="F104" s="1994"/>
      <c r="G104" s="1994"/>
      <c r="H104" s="1994"/>
      <c r="I104" s="188"/>
      <c r="J104" s="189"/>
      <c r="K104" s="189"/>
      <c r="L104" s="1995" t="s">
        <v>441</v>
      </c>
      <c r="M104" s="1995"/>
      <c r="N104" s="1995"/>
      <c r="O104" s="1995"/>
      <c r="P104" s="1995"/>
      <c r="Q104" s="1995"/>
      <c r="R104" s="1995"/>
      <c r="S104" s="1995"/>
      <c r="T104" s="1995"/>
      <c r="U104" s="1995"/>
      <c r="V104" s="1995"/>
      <c r="W104" s="1995"/>
      <c r="X104" s="1995"/>
      <c r="Y104" s="1995"/>
      <c r="Z104" s="1995"/>
      <c r="AA104" s="1995"/>
      <c r="AB104" s="1995"/>
      <c r="AC104" s="1995"/>
      <c r="AD104" s="1995"/>
      <c r="AE104" s="1995"/>
      <c r="AF104" s="1995"/>
      <c r="AG104" s="1995"/>
      <c r="AH104" s="1995"/>
      <c r="AI104" s="1995"/>
      <c r="AJ104" s="1995"/>
      <c r="AK104" s="1995"/>
      <c r="AL104" s="1995"/>
      <c r="AM104" s="1995"/>
      <c r="AN104" s="1995"/>
      <c r="AO104" s="1995"/>
      <c r="AP104" s="1995"/>
      <c r="AQ104" s="1995"/>
      <c r="AR104" s="1995"/>
      <c r="AS104" s="1995"/>
      <c r="AT104" s="1995"/>
      <c r="AU104" s="1995"/>
      <c r="AV104" s="1995"/>
      <c r="AW104" s="189"/>
      <c r="AX104" s="189"/>
      <c r="AY104" s="197"/>
      <c r="AZ104" s="1991">
        <v>581347000</v>
      </c>
      <c r="BA104" s="1992"/>
      <c r="BB104" s="1992"/>
      <c r="BC104" s="1992"/>
      <c r="BD104" s="1992"/>
      <c r="BE104" s="1992"/>
      <c r="BF104" s="1992"/>
      <c r="BG104" s="1992"/>
      <c r="BH104" s="1992"/>
      <c r="BI104" s="1992"/>
      <c r="BJ104" s="1992"/>
      <c r="BK104" s="1992"/>
      <c r="BL104" s="1992"/>
      <c r="BM104" s="1992"/>
      <c r="BN104" s="1992"/>
      <c r="BO104" s="1992"/>
      <c r="BP104" s="1992"/>
      <c r="BQ104" s="1992"/>
      <c r="BR104" s="1992"/>
      <c r="BS104" s="1992"/>
      <c r="BT104" s="1992"/>
      <c r="BU104" s="1992"/>
      <c r="BV104" s="1992"/>
      <c r="BW104" s="1992"/>
      <c r="BX104" s="1992"/>
      <c r="BY104" s="1992"/>
      <c r="BZ104" s="1992"/>
      <c r="CA104" s="1992"/>
      <c r="CB104" s="1991">
        <v>602043925</v>
      </c>
      <c r="CC104" s="1992"/>
      <c r="CD104" s="1992"/>
      <c r="CE104" s="1992"/>
      <c r="CF104" s="1992"/>
      <c r="CG104" s="1992"/>
      <c r="CH104" s="1992"/>
      <c r="CI104" s="1992"/>
      <c r="CJ104" s="1992"/>
      <c r="CK104" s="1992"/>
      <c r="CL104" s="1992"/>
      <c r="CM104" s="1992"/>
      <c r="CN104" s="1992"/>
      <c r="CO104" s="1992"/>
      <c r="CP104" s="1992"/>
      <c r="CQ104" s="1992"/>
      <c r="CR104" s="1992"/>
      <c r="CS104" s="1992"/>
      <c r="CT104" s="1992"/>
      <c r="CU104" s="1992"/>
      <c r="CV104" s="1992"/>
      <c r="CW104" s="1992"/>
      <c r="CX104" s="1992"/>
      <c r="CY104" s="1992"/>
      <c r="CZ104" s="1992"/>
      <c r="DA104" s="1992"/>
      <c r="DB104" s="1992"/>
      <c r="DC104" s="1992"/>
      <c r="DD104" s="1993">
        <f t="shared" si="7"/>
        <v>20696925</v>
      </c>
      <c r="DE104" s="1993"/>
      <c r="DF104" s="1993"/>
      <c r="DG104" s="1993"/>
      <c r="DH104" s="1993"/>
      <c r="DI104" s="1993"/>
      <c r="DJ104" s="1993"/>
      <c r="DK104" s="1993"/>
      <c r="DL104" s="1993"/>
      <c r="DM104" s="1993"/>
      <c r="DN104" s="1993"/>
      <c r="DO104" s="1993"/>
      <c r="DP104" s="1993"/>
      <c r="DQ104" s="1993"/>
      <c r="DR104" s="1993"/>
      <c r="DS104" s="1993"/>
      <c r="DT104" s="1993"/>
      <c r="DU104" s="1993"/>
      <c r="DV104" s="1993"/>
      <c r="DW104" s="1993"/>
      <c r="DX104" s="1993"/>
      <c r="DY104" s="1993"/>
      <c r="DZ104" s="1993"/>
      <c r="EA104" s="1993"/>
      <c r="EB104" s="1993"/>
      <c r="EC104" s="1993"/>
      <c r="ED104" s="1993"/>
      <c r="EE104" s="1993"/>
      <c r="EF104" s="1992">
        <f>前年度貼付!$E$134</f>
        <v>582985914</v>
      </c>
      <c r="EG104" s="1992"/>
      <c r="EH104" s="1992"/>
      <c r="EI104" s="1992"/>
      <c r="EJ104" s="1992"/>
      <c r="EK104" s="1992"/>
      <c r="EL104" s="1992"/>
      <c r="EM104" s="1992"/>
      <c r="EN104" s="1992"/>
      <c r="EO104" s="1992"/>
      <c r="EP104" s="1992"/>
      <c r="EQ104" s="1992"/>
      <c r="ER104" s="1992"/>
      <c r="ES104" s="1992"/>
      <c r="ET104" s="1992"/>
      <c r="EU104" s="1992"/>
      <c r="EV104" s="1992"/>
      <c r="EW104" s="1992"/>
      <c r="EX104" s="1992"/>
      <c r="EY104" s="1992"/>
      <c r="EZ104" s="1992"/>
      <c r="FA104" s="1992"/>
      <c r="FB104" s="1992"/>
      <c r="FC104" s="1992"/>
      <c r="FD104" s="1992"/>
      <c r="FE104" s="1992"/>
      <c r="FF104" s="1992"/>
      <c r="FG104" s="1992"/>
      <c r="FH104" s="1988">
        <f t="shared" si="8"/>
        <v>19058011</v>
      </c>
      <c r="FI104" s="1988"/>
      <c r="FJ104" s="1988"/>
      <c r="FK104" s="1988"/>
      <c r="FL104" s="1988"/>
      <c r="FM104" s="1988"/>
      <c r="FN104" s="1988"/>
      <c r="FO104" s="1988"/>
      <c r="FP104" s="1988"/>
      <c r="FQ104" s="1988"/>
      <c r="FR104" s="1988"/>
      <c r="FS104" s="1988"/>
      <c r="FT104" s="1988"/>
      <c r="FU104" s="1988"/>
      <c r="FV104" s="1988"/>
      <c r="FW104" s="1988"/>
      <c r="FX104" s="1988"/>
      <c r="FY104" s="1988"/>
      <c r="FZ104" s="1988"/>
      <c r="GA104" s="1988"/>
      <c r="GB104" s="1988"/>
      <c r="GC104" s="1988"/>
      <c r="GD104" s="1988"/>
      <c r="GE104" s="1988"/>
      <c r="GF104" s="1988"/>
      <c r="GG104" s="1988"/>
      <c r="GH104" s="1988"/>
      <c r="GI104" s="1988"/>
    </row>
    <row r="105" spans="1:191" s="166" customFormat="1" ht="24" customHeight="1">
      <c r="A105" s="1994"/>
      <c r="B105" s="1994"/>
      <c r="C105" s="1994"/>
      <c r="D105" s="1994"/>
      <c r="E105" s="1994"/>
      <c r="F105" s="1994"/>
      <c r="G105" s="1994"/>
      <c r="H105" s="1994"/>
      <c r="I105" s="188"/>
      <c r="J105" s="189"/>
      <c r="K105" s="189"/>
      <c r="L105" s="1951" t="s">
        <v>351</v>
      </c>
      <c r="M105" s="1951"/>
      <c r="N105" s="1951"/>
      <c r="O105" s="1951"/>
      <c r="P105" s="1951"/>
      <c r="Q105" s="1951"/>
      <c r="R105" s="1951"/>
      <c r="S105" s="1951"/>
      <c r="T105" s="1951"/>
      <c r="U105" s="1951"/>
      <c r="V105" s="1951"/>
      <c r="W105" s="1951"/>
      <c r="X105" s="1951"/>
      <c r="Y105" s="1951"/>
      <c r="Z105" s="1951"/>
      <c r="AA105" s="1951"/>
      <c r="AB105" s="1951"/>
      <c r="AC105" s="1951"/>
      <c r="AD105" s="1951"/>
      <c r="AE105" s="1951"/>
      <c r="AF105" s="1951"/>
      <c r="AG105" s="1951"/>
      <c r="AH105" s="1951"/>
      <c r="AI105" s="1951"/>
      <c r="AJ105" s="1951"/>
      <c r="AK105" s="1951"/>
      <c r="AL105" s="1951"/>
      <c r="AM105" s="1951"/>
      <c r="AN105" s="1951"/>
      <c r="AO105" s="1951"/>
      <c r="AP105" s="1951"/>
      <c r="AQ105" s="1951"/>
      <c r="AR105" s="1951"/>
      <c r="AS105" s="1951"/>
      <c r="AT105" s="1951"/>
      <c r="AU105" s="1951"/>
      <c r="AV105" s="1951"/>
      <c r="AW105" s="189"/>
      <c r="AX105" s="189"/>
      <c r="AY105" s="197"/>
      <c r="AZ105" s="1996">
        <f>SUM(AZ103:CA104)</f>
        <v>591719000</v>
      </c>
      <c r="BA105" s="1996"/>
      <c r="BB105" s="1996"/>
      <c r="BC105" s="1996"/>
      <c r="BD105" s="1996"/>
      <c r="BE105" s="1996"/>
      <c r="BF105" s="1996"/>
      <c r="BG105" s="1996"/>
      <c r="BH105" s="1996"/>
      <c r="BI105" s="1996"/>
      <c r="BJ105" s="1996"/>
      <c r="BK105" s="1996"/>
      <c r="BL105" s="1996"/>
      <c r="BM105" s="1996"/>
      <c r="BN105" s="1996"/>
      <c r="BO105" s="1996"/>
      <c r="BP105" s="1996"/>
      <c r="BQ105" s="1996"/>
      <c r="BR105" s="1996"/>
      <c r="BS105" s="1996"/>
      <c r="BT105" s="1996"/>
      <c r="BU105" s="1996"/>
      <c r="BV105" s="1996"/>
      <c r="BW105" s="1996"/>
      <c r="BX105" s="1996"/>
      <c r="BY105" s="1996"/>
      <c r="BZ105" s="1996"/>
      <c r="CA105" s="1996"/>
      <c r="CB105" s="1996">
        <f>SUM(CB103:DC104)</f>
        <v>612540010</v>
      </c>
      <c r="CC105" s="1996"/>
      <c r="CD105" s="1996"/>
      <c r="CE105" s="1996"/>
      <c r="CF105" s="1996"/>
      <c r="CG105" s="1996"/>
      <c r="CH105" s="1996"/>
      <c r="CI105" s="1996"/>
      <c r="CJ105" s="1996"/>
      <c r="CK105" s="1996"/>
      <c r="CL105" s="1996"/>
      <c r="CM105" s="1996"/>
      <c r="CN105" s="1996"/>
      <c r="CO105" s="1996"/>
      <c r="CP105" s="1996"/>
      <c r="CQ105" s="1996"/>
      <c r="CR105" s="1996"/>
      <c r="CS105" s="1996"/>
      <c r="CT105" s="1996"/>
      <c r="CU105" s="1996"/>
      <c r="CV105" s="1996"/>
      <c r="CW105" s="1996"/>
      <c r="CX105" s="1996"/>
      <c r="CY105" s="1996"/>
      <c r="CZ105" s="1996"/>
      <c r="DA105" s="1996"/>
      <c r="DB105" s="1996"/>
      <c r="DC105" s="1996"/>
      <c r="DD105" s="1993">
        <f t="shared" si="7"/>
        <v>20821010</v>
      </c>
      <c r="DE105" s="1993"/>
      <c r="DF105" s="1993"/>
      <c r="DG105" s="1993"/>
      <c r="DH105" s="1993"/>
      <c r="DI105" s="1993"/>
      <c r="DJ105" s="1993"/>
      <c r="DK105" s="1993"/>
      <c r="DL105" s="1993"/>
      <c r="DM105" s="1993"/>
      <c r="DN105" s="1993"/>
      <c r="DO105" s="1993"/>
      <c r="DP105" s="1993"/>
      <c r="DQ105" s="1993"/>
      <c r="DR105" s="1993"/>
      <c r="DS105" s="1993"/>
      <c r="DT105" s="1993"/>
      <c r="DU105" s="1993"/>
      <c r="DV105" s="1993"/>
      <c r="DW105" s="1993"/>
      <c r="DX105" s="1993"/>
      <c r="DY105" s="1993"/>
      <c r="DZ105" s="1993"/>
      <c r="EA105" s="1993"/>
      <c r="EB105" s="1993"/>
      <c r="EC105" s="1993"/>
      <c r="ED105" s="1993"/>
      <c r="EE105" s="1993"/>
      <c r="EF105" s="1992">
        <f>SUM(EF103:FG104)</f>
        <v>593072895</v>
      </c>
      <c r="EG105" s="1992"/>
      <c r="EH105" s="1992"/>
      <c r="EI105" s="1992"/>
      <c r="EJ105" s="1992"/>
      <c r="EK105" s="1992"/>
      <c r="EL105" s="1992"/>
      <c r="EM105" s="1992"/>
      <c r="EN105" s="1992"/>
      <c r="EO105" s="1992"/>
      <c r="EP105" s="1992"/>
      <c r="EQ105" s="1992"/>
      <c r="ER105" s="1992"/>
      <c r="ES105" s="1992"/>
      <c r="ET105" s="1992"/>
      <c r="EU105" s="1992"/>
      <c r="EV105" s="1992"/>
      <c r="EW105" s="1992"/>
      <c r="EX105" s="1992"/>
      <c r="EY105" s="1992"/>
      <c r="EZ105" s="1992"/>
      <c r="FA105" s="1992"/>
      <c r="FB105" s="1992"/>
      <c r="FC105" s="1992"/>
      <c r="FD105" s="1992"/>
      <c r="FE105" s="1992"/>
      <c r="FF105" s="1992"/>
      <c r="FG105" s="1992"/>
      <c r="FH105" s="1988">
        <f t="shared" si="8"/>
        <v>19467115</v>
      </c>
      <c r="FI105" s="1988"/>
      <c r="FJ105" s="1988"/>
      <c r="FK105" s="1988"/>
      <c r="FL105" s="1988"/>
      <c r="FM105" s="1988"/>
      <c r="FN105" s="1988"/>
      <c r="FO105" s="1988"/>
      <c r="FP105" s="1988"/>
      <c r="FQ105" s="1988"/>
      <c r="FR105" s="1988"/>
      <c r="FS105" s="1988"/>
      <c r="FT105" s="1988"/>
      <c r="FU105" s="1988"/>
      <c r="FV105" s="1988"/>
      <c r="FW105" s="1988"/>
      <c r="FX105" s="1988"/>
      <c r="FY105" s="1988"/>
      <c r="FZ105" s="1988"/>
      <c r="GA105" s="1988"/>
      <c r="GB105" s="1988"/>
      <c r="GC105" s="1988"/>
      <c r="GD105" s="1988"/>
      <c r="GE105" s="1988"/>
      <c r="GF105" s="1988"/>
      <c r="GG105" s="1988"/>
      <c r="GH105" s="1988"/>
      <c r="GI105" s="1988"/>
    </row>
    <row r="106" spans="1:191" s="166" customFormat="1" ht="24" customHeight="1">
      <c r="A106" s="212"/>
      <c r="B106" s="189"/>
      <c r="C106" s="189"/>
      <c r="D106" s="1932" t="s">
        <v>98</v>
      </c>
      <c r="E106" s="1932"/>
      <c r="F106" s="1932"/>
      <c r="G106" s="1932"/>
      <c r="H106" s="1932"/>
      <c r="I106" s="1932"/>
      <c r="J106" s="1932"/>
      <c r="K106" s="1932"/>
      <c r="L106" s="1932"/>
      <c r="M106" s="1932"/>
      <c r="N106" s="1932"/>
      <c r="O106" s="1932"/>
      <c r="P106" s="1932"/>
      <c r="Q106" s="1932"/>
      <c r="R106" s="1932"/>
      <c r="S106" s="1932"/>
      <c r="T106" s="1932"/>
      <c r="U106" s="1932"/>
      <c r="V106" s="1932"/>
      <c r="W106" s="1932"/>
      <c r="X106" s="1932"/>
      <c r="Y106" s="1932"/>
      <c r="Z106" s="1932"/>
      <c r="AA106" s="1932"/>
      <c r="AB106" s="1932"/>
      <c r="AC106" s="1932"/>
      <c r="AD106" s="1932"/>
      <c r="AE106" s="1932"/>
      <c r="AF106" s="1932"/>
      <c r="AG106" s="1932"/>
      <c r="AH106" s="1932"/>
      <c r="AI106" s="1932"/>
      <c r="AJ106" s="1932"/>
      <c r="AK106" s="1932"/>
      <c r="AL106" s="1932"/>
      <c r="AM106" s="1932"/>
      <c r="AN106" s="1932"/>
      <c r="AO106" s="1932"/>
      <c r="AP106" s="1932"/>
      <c r="AQ106" s="1932"/>
      <c r="AR106" s="1932"/>
      <c r="AS106" s="1932"/>
      <c r="AT106" s="1932"/>
      <c r="AU106" s="1932"/>
      <c r="AV106" s="1932"/>
      <c r="AW106" s="191"/>
      <c r="AX106" s="191"/>
      <c r="AY106" s="214"/>
      <c r="AZ106" s="1991">
        <v>13605000</v>
      </c>
      <c r="BA106" s="1992"/>
      <c r="BB106" s="1992"/>
      <c r="BC106" s="1992"/>
      <c r="BD106" s="1992"/>
      <c r="BE106" s="1992"/>
      <c r="BF106" s="1992"/>
      <c r="BG106" s="1992"/>
      <c r="BH106" s="1992"/>
      <c r="BI106" s="1992"/>
      <c r="BJ106" s="1992"/>
      <c r="BK106" s="1992"/>
      <c r="BL106" s="1992"/>
      <c r="BM106" s="1992"/>
      <c r="BN106" s="1992"/>
      <c r="BO106" s="1992"/>
      <c r="BP106" s="1992"/>
      <c r="BQ106" s="1992"/>
      <c r="BR106" s="1992"/>
      <c r="BS106" s="1992"/>
      <c r="BT106" s="1992"/>
      <c r="BU106" s="1992"/>
      <c r="BV106" s="1992"/>
      <c r="BW106" s="1992"/>
      <c r="BX106" s="1992"/>
      <c r="BY106" s="1992"/>
      <c r="BZ106" s="1992"/>
      <c r="CA106" s="1992"/>
      <c r="CB106" s="1992">
        <f>短期_財務諸表!C57</f>
        <v>11834281</v>
      </c>
      <c r="CC106" s="1992"/>
      <c r="CD106" s="1992"/>
      <c r="CE106" s="1992"/>
      <c r="CF106" s="1992"/>
      <c r="CG106" s="1992"/>
      <c r="CH106" s="1992"/>
      <c r="CI106" s="1992"/>
      <c r="CJ106" s="1992"/>
      <c r="CK106" s="1992"/>
      <c r="CL106" s="1992"/>
      <c r="CM106" s="1992"/>
      <c r="CN106" s="1992"/>
      <c r="CO106" s="1992"/>
      <c r="CP106" s="1992"/>
      <c r="CQ106" s="1992"/>
      <c r="CR106" s="1992"/>
      <c r="CS106" s="1992"/>
      <c r="CT106" s="1992"/>
      <c r="CU106" s="1992"/>
      <c r="CV106" s="1992"/>
      <c r="CW106" s="1992"/>
      <c r="CX106" s="1992"/>
      <c r="CY106" s="1992"/>
      <c r="CZ106" s="1992"/>
      <c r="DA106" s="1992"/>
      <c r="DB106" s="1992"/>
      <c r="DC106" s="1992"/>
      <c r="DD106" s="1993">
        <f t="shared" si="7"/>
        <v>-1770719</v>
      </c>
      <c r="DE106" s="1993"/>
      <c r="DF106" s="1993"/>
      <c r="DG106" s="1993"/>
      <c r="DH106" s="1993"/>
      <c r="DI106" s="1993"/>
      <c r="DJ106" s="1993"/>
      <c r="DK106" s="1993"/>
      <c r="DL106" s="1993"/>
      <c r="DM106" s="1993"/>
      <c r="DN106" s="1993"/>
      <c r="DO106" s="1993"/>
      <c r="DP106" s="1993"/>
      <c r="DQ106" s="1993"/>
      <c r="DR106" s="1993"/>
      <c r="DS106" s="1993"/>
      <c r="DT106" s="1993"/>
      <c r="DU106" s="1993"/>
      <c r="DV106" s="1993"/>
      <c r="DW106" s="1993"/>
      <c r="DX106" s="1993"/>
      <c r="DY106" s="1993"/>
      <c r="DZ106" s="1993"/>
      <c r="EA106" s="1993"/>
      <c r="EB106" s="1993"/>
      <c r="EC106" s="1993"/>
      <c r="ED106" s="1993"/>
      <c r="EE106" s="1993"/>
      <c r="EF106" s="1992">
        <f>前年度貼付!$E$135</f>
        <v>11648520</v>
      </c>
      <c r="EG106" s="1992"/>
      <c r="EH106" s="1992"/>
      <c r="EI106" s="1992"/>
      <c r="EJ106" s="1992"/>
      <c r="EK106" s="1992"/>
      <c r="EL106" s="1992"/>
      <c r="EM106" s="1992"/>
      <c r="EN106" s="1992"/>
      <c r="EO106" s="1992"/>
      <c r="EP106" s="1992"/>
      <c r="EQ106" s="1992"/>
      <c r="ER106" s="1992"/>
      <c r="ES106" s="1992"/>
      <c r="ET106" s="1992"/>
      <c r="EU106" s="1992"/>
      <c r="EV106" s="1992"/>
      <c r="EW106" s="1992"/>
      <c r="EX106" s="1992"/>
      <c r="EY106" s="1992"/>
      <c r="EZ106" s="1992"/>
      <c r="FA106" s="1992"/>
      <c r="FB106" s="1992"/>
      <c r="FC106" s="1992"/>
      <c r="FD106" s="1992"/>
      <c r="FE106" s="1992"/>
      <c r="FF106" s="1992"/>
      <c r="FG106" s="1992"/>
      <c r="FH106" s="1988">
        <f t="shared" si="8"/>
        <v>185761</v>
      </c>
      <c r="FI106" s="1988"/>
      <c r="FJ106" s="1988"/>
      <c r="FK106" s="1988"/>
      <c r="FL106" s="1988"/>
      <c r="FM106" s="1988"/>
      <c r="FN106" s="1988"/>
      <c r="FO106" s="1988"/>
      <c r="FP106" s="1988"/>
      <c r="FQ106" s="1988"/>
      <c r="FR106" s="1988"/>
      <c r="FS106" s="1988"/>
      <c r="FT106" s="1988"/>
      <c r="FU106" s="1988"/>
      <c r="FV106" s="1988"/>
      <c r="FW106" s="1988"/>
      <c r="FX106" s="1988"/>
      <c r="FY106" s="1988"/>
      <c r="FZ106" s="1988"/>
      <c r="GA106" s="1988"/>
      <c r="GB106" s="1988"/>
      <c r="GC106" s="1988"/>
      <c r="GD106" s="1988"/>
      <c r="GE106" s="1988"/>
      <c r="GF106" s="1988"/>
      <c r="GG106" s="1988"/>
      <c r="GH106" s="1988"/>
      <c r="GI106" s="1988"/>
    </row>
    <row r="107" spans="1:191" s="166" customFormat="1" ht="24" customHeight="1">
      <c r="A107" s="188"/>
      <c r="B107" s="189"/>
      <c r="C107" s="189"/>
      <c r="D107" s="1951" t="s">
        <v>442</v>
      </c>
      <c r="E107" s="1951"/>
      <c r="F107" s="1951"/>
      <c r="G107" s="1951"/>
      <c r="H107" s="1951"/>
      <c r="I107" s="1951"/>
      <c r="J107" s="1951"/>
      <c r="K107" s="1951"/>
      <c r="L107" s="1951"/>
      <c r="M107" s="1951"/>
      <c r="N107" s="1951"/>
      <c r="O107" s="1951"/>
      <c r="P107" s="1951"/>
      <c r="Q107" s="1951"/>
      <c r="R107" s="1951"/>
      <c r="S107" s="1951"/>
      <c r="T107" s="1951"/>
      <c r="U107" s="1951"/>
      <c r="V107" s="1951"/>
      <c r="W107" s="1951"/>
      <c r="X107" s="1951"/>
      <c r="Y107" s="1951"/>
      <c r="Z107" s="1951"/>
      <c r="AA107" s="1951"/>
      <c r="AB107" s="1951"/>
      <c r="AC107" s="1951"/>
      <c r="AD107" s="1951"/>
      <c r="AE107" s="1951"/>
      <c r="AF107" s="1951"/>
      <c r="AG107" s="1951"/>
      <c r="AH107" s="1951"/>
      <c r="AI107" s="1951"/>
      <c r="AJ107" s="1951"/>
      <c r="AK107" s="1951"/>
      <c r="AL107" s="1951"/>
      <c r="AM107" s="1951"/>
      <c r="AN107" s="1951"/>
      <c r="AO107" s="1951"/>
      <c r="AP107" s="1951"/>
      <c r="AQ107" s="1951"/>
      <c r="AR107" s="1951"/>
      <c r="AS107" s="1951"/>
      <c r="AT107" s="1951"/>
      <c r="AU107" s="1951"/>
      <c r="AV107" s="1951"/>
      <c r="AW107" s="189"/>
      <c r="AX107" s="189"/>
      <c r="AY107" s="197"/>
      <c r="AZ107" s="1992">
        <f>SUM(AZ106,AZ105,AZ102,AZ89:CA99,AZ79)</f>
        <v>12201114000</v>
      </c>
      <c r="BA107" s="1992"/>
      <c r="BB107" s="1992"/>
      <c r="BC107" s="1992"/>
      <c r="BD107" s="1992"/>
      <c r="BE107" s="1992"/>
      <c r="BF107" s="1992"/>
      <c r="BG107" s="1992"/>
      <c r="BH107" s="1992"/>
      <c r="BI107" s="1992"/>
      <c r="BJ107" s="1992"/>
      <c r="BK107" s="1992"/>
      <c r="BL107" s="1992"/>
      <c r="BM107" s="1992"/>
      <c r="BN107" s="1992"/>
      <c r="BO107" s="1992"/>
      <c r="BP107" s="1992"/>
      <c r="BQ107" s="1992"/>
      <c r="BR107" s="1992"/>
      <c r="BS107" s="1992"/>
      <c r="BT107" s="1992"/>
      <c r="BU107" s="1992"/>
      <c r="BV107" s="1992"/>
      <c r="BW107" s="1992"/>
      <c r="BX107" s="1992"/>
      <c r="BY107" s="1992"/>
      <c r="BZ107" s="1992"/>
      <c r="CA107" s="1992"/>
      <c r="CB107" s="1992">
        <f>SUM(CB106,CB105,CB102,CB89:DC99,CB79)</f>
        <v>12148197988</v>
      </c>
      <c r="CC107" s="1992"/>
      <c r="CD107" s="1992"/>
      <c r="CE107" s="1992"/>
      <c r="CF107" s="1992"/>
      <c r="CG107" s="1992"/>
      <c r="CH107" s="1992"/>
      <c r="CI107" s="1992"/>
      <c r="CJ107" s="1992"/>
      <c r="CK107" s="1992"/>
      <c r="CL107" s="1992"/>
      <c r="CM107" s="1992"/>
      <c r="CN107" s="1992"/>
      <c r="CO107" s="1992"/>
      <c r="CP107" s="1992"/>
      <c r="CQ107" s="1992"/>
      <c r="CR107" s="1992"/>
      <c r="CS107" s="1992"/>
      <c r="CT107" s="1992"/>
      <c r="CU107" s="1992"/>
      <c r="CV107" s="1992"/>
      <c r="CW107" s="1992"/>
      <c r="CX107" s="1992"/>
      <c r="CY107" s="1992"/>
      <c r="CZ107" s="1992"/>
      <c r="DA107" s="1992"/>
      <c r="DB107" s="1992"/>
      <c r="DC107" s="1992"/>
      <c r="DD107" s="1993">
        <f t="shared" si="7"/>
        <v>-52916012</v>
      </c>
      <c r="DE107" s="1993"/>
      <c r="DF107" s="1993"/>
      <c r="DG107" s="1993"/>
      <c r="DH107" s="1993"/>
      <c r="DI107" s="1993"/>
      <c r="DJ107" s="1993"/>
      <c r="DK107" s="1993"/>
      <c r="DL107" s="1993"/>
      <c r="DM107" s="1993"/>
      <c r="DN107" s="1993"/>
      <c r="DO107" s="1993"/>
      <c r="DP107" s="1993"/>
      <c r="DQ107" s="1993"/>
      <c r="DR107" s="1993"/>
      <c r="DS107" s="1993"/>
      <c r="DT107" s="1993"/>
      <c r="DU107" s="1993"/>
      <c r="DV107" s="1993"/>
      <c r="DW107" s="1993"/>
      <c r="DX107" s="1993"/>
      <c r="DY107" s="1993"/>
      <c r="DZ107" s="1993"/>
      <c r="EA107" s="1993"/>
      <c r="EB107" s="1993"/>
      <c r="EC107" s="1993"/>
      <c r="ED107" s="1993"/>
      <c r="EE107" s="1993"/>
      <c r="EF107" s="1992">
        <f>SUM(EF106,EF105,EF102,EF89:FG99,EF79)</f>
        <v>11662934922</v>
      </c>
      <c r="EG107" s="1992"/>
      <c r="EH107" s="1992"/>
      <c r="EI107" s="1992"/>
      <c r="EJ107" s="1992"/>
      <c r="EK107" s="1992"/>
      <c r="EL107" s="1992"/>
      <c r="EM107" s="1992"/>
      <c r="EN107" s="1992"/>
      <c r="EO107" s="1992"/>
      <c r="EP107" s="1992"/>
      <c r="EQ107" s="1992"/>
      <c r="ER107" s="1992"/>
      <c r="ES107" s="1992"/>
      <c r="ET107" s="1992"/>
      <c r="EU107" s="1992"/>
      <c r="EV107" s="1992"/>
      <c r="EW107" s="1992"/>
      <c r="EX107" s="1992"/>
      <c r="EY107" s="1992"/>
      <c r="EZ107" s="1992"/>
      <c r="FA107" s="1992"/>
      <c r="FB107" s="1992"/>
      <c r="FC107" s="1992"/>
      <c r="FD107" s="1992"/>
      <c r="FE107" s="1992"/>
      <c r="FF107" s="1992"/>
      <c r="FG107" s="1992"/>
      <c r="FH107" s="1988">
        <f>SUM(FH105,FH102,FH89:GI99,FH79,FH106)</f>
        <v>485263066</v>
      </c>
      <c r="FI107" s="1988"/>
      <c r="FJ107" s="1988"/>
      <c r="FK107" s="1988"/>
      <c r="FL107" s="1988"/>
      <c r="FM107" s="1988"/>
      <c r="FN107" s="1988"/>
      <c r="FO107" s="1988"/>
      <c r="FP107" s="1988"/>
      <c r="FQ107" s="1988"/>
      <c r="FR107" s="1988"/>
      <c r="FS107" s="1988"/>
      <c r="FT107" s="1988"/>
      <c r="FU107" s="1988"/>
      <c r="FV107" s="1988"/>
      <c r="FW107" s="1988"/>
      <c r="FX107" s="1988"/>
      <c r="FY107" s="1988"/>
      <c r="FZ107" s="1988"/>
      <c r="GA107" s="1988"/>
      <c r="GB107" s="1988"/>
      <c r="GC107" s="1988"/>
      <c r="GD107" s="1988"/>
      <c r="GE107" s="1988"/>
      <c r="GF107" s="1988"/>
      <c r="GG107" s="1988"/>
      <c r="GH107" s="1988"/>
      <c r="GI107" s="1988"/>
    </row>
    <row r="108" spans="1:191" s="166" customFormat="1" ht="24" customHeight="1">
      <c r="A108" s="188"/>
      <c r="B108" s="189"/>
      <c r="C108" s="189"/>
      <c r="D108" s="1990" t="s">
        <v>99</v>
      </c>
      <c r="E108" s="1990"/>
      <c r="F108" s="1990"/>
      <c r="G108" s="1990"/>
      <c r="H108" s="1990"/>
      <c r="I108" s="1990"/>
      <c r="J108" s="1990"/>
      <c r="K108" s="1990"/>
      <c r="L108" s="1990"/>
      <c r="M108" s="1990"/>
      <c r="N108" s="1990"/>
      <c r="O108" s="1990"/>
      <c r="P108" s="1990"/>
      <c r="Q108" s="1990"/>
      <c r="R108" s="1990"/>
      <c r="S108" s="1990"/>
      <c r="T108" s="1990"/>
      <c r="U108" s="1990"/>
      <c r="V108" s="1990"/>
      <c r="W108" s="1990"/>
      <c r="X108" s="1990"/>
      <c r="Y108" s="1990"/>
      <c r="Z108" s="1990"/>
      <c r="AA108" s="1990"/>
      <c r="AB108" s="1990"/>
      <c r="AC108" s="1990"/>
      <c r="AD108" s="1990"/>
      <c r="AE108" s="1990"/>
      <c r="AF108" s="1990"/>
      <c r="AG108" s="1990"/>
      <c r="AH108" s="1990"/>
      <c r="AI108" s="1990"/>
      <c r="AJ108" s="1990"/>
      <c r="AK108" s="1990"/>
      <c r="AL108" s="1990"/>
      <c r="AM108" s="1990"/>
      <c r="AN108" s="1990"/>
      <c r="AO108" s="1990"/>
      <c r="AP108" s="1990"/>
      <c r="AQ108" s="1990"/>
      <c r="AR108" s="1990"/>
      <c r="AS108" s="1990"/>
      <c r="AT108" s="1990"/>
      <c r="AU108" s="1990"/>
      <c r="AV108" s="1990"/>
      <c r="AW108" s="189"/>
      <c r="AX108" s="189"/>
      <c r="AY108" s="197"/>
      <c r="AZ108" s="1991">
        <v>922759000</v>
      </c>
      <c r="BA108" s="1992"/>
      <c r="BB108" s="1992"/>
      <c r="BC108" s="1992"/>
      <c r="BD108" s="1992"/>
      <c r="BE108" s="1992"/>
      <c r="BF108" s="1992"/>
      <c r="BG108" s="1992"/>
      <c r="BH108" s="1992"/>
      <c r="BI108" s="1992"/>
      <c r="BJ108" s="1992"/>
      <c r="BK108" s="1992"/>
      <c r="BL108" s="1992"/>
      <c r="BM108" s="1992"/>
      <c r="BN108" s="1992"/>
      <c r="BO108" s="1992"/>
      <c r="BP108" s="1992"/>
      <c r="BQ108" s="1992"/>
      <c r="BR108" s="1992"/>
      <c r="BS108" s="1992"/>
      <c r="BT108" s="1992"/>
      <c r="BU108" s="1992"/>
      <c r="BV108" s="1992"/>
      <c r="BW108" s="1992"/>
      <c r="BX108" s="1992"/>
      <c r="BY108" s="1992"/>
      <c r="BZ108" s="1992"/>
      <c r="CA108" s="1992"/>
      <c r="CB108" s="1992">
        <f>短期_財務諸表!G13</f>
        <v>907739421</v>
      </c>
      <c r="CC108" s="1992"/>
      <c r="CD108" s="1992"/>
      <c r="CE108" s="1992"/>
      <c r="CF108" s="1992"/>
      <c r="CG108" s="1992"/>
      <c r="CH108" s="1992"/>
      <c r="CI108" s="1992"/>
      <c r="CJ108" s="1992"/>
      <c r="CK108" s="1992"/>
      <c r="CL108" s="1992"/>
      <c r="CM108" s="1992"/>
      <c r="CN108" s="1992"/>
      <c r="CO108" s="1992"/>
      <c r="CP108" s="1992"/>
      <c r="CQ108" s="1992"/>
      <c r="CR108" s="1992"/>
      <c r="CS108" s="1992"/>
      <c r="CT108" s="1992"/>
      <c r="CU108" s="1992"/>
      <c r="CV108" s="1992"/>
      <c r="CW108" s="1992"/>
      <c r="CX108" s="1992"/>
      <c r="CY108" s="1992"/>
      <c r="CZ108" s="1992"/>
      <c r="DA108" s="1992"/>
      <c r="DB108" s="1992"/>
      <c r="DC108" s="1992"/>
      <c r="DD108" s="1993">
        <f t="shared" si="7"/>
        <v>-15019579</v>
      </c>
      <c r="DE108" s="1993"/>
      <c r="DF108" s="1993"/>
      <c r="DG108" s="1993"/>
      <c r="DH108" s="1993"/>
      <c r="DI108" s="1993"/>
      <c r="DJ108" s="1993"/>
      <c r="DK108" s="1993"/>
      <c r="DL108" s="1993"/>
      <c r="DM108" s="1993"/>
      <c r="DN108" s="1993"/>
      <c r="DO108" s="1993"/>
      <c r="DP108" s="1993"/>
      <c r="DQ108" s="1993"/>
      <c r="DR108" s="1993"/>
      <c r="DS108" s="1993"/>
      <c r="DT108" s="1993"/>
      <c r="DU108" s="1993"/>
      <c r="DV108" s="1993"/>
      <c r="DW108" s="1993"/>
      <c r="DX108" s="1993"/>
      <c r="DY108" s="1993"/>
      <c r="DZ108" s="1993"/>
      <c r="EA108" s="1993"/>
      <c r="EB108" s="1993"/>
      <c r="EC108" s="1993"/>
      <c r="ED108" s="1993"/>
      <c r="EE108" s="1993"/>
      <c r="EF108" s="1992">
        <f>短期_財務諸表!H56</f>
        <v>876229790</v>
      </c>
      <c r="EG108" s="1992"/>
      <c r="EH108" s="1992"/>
      <c r="EI108" s="1992"/>
      <c r="EJ108" s="1992"/>
      <c r="EK108" s="1992"/>
      <c r="EL108" s="1992"/>
      <c r="EM108" s="1992"/>
      <c r="EN108" s="1992"/>
      <c r="EO108" s="1992"/>
      <c r="EP108" s="1992"/>
      <c r="EQ108" s="1992"/>
      <c r="ER108" s="1992"/>
      <c r="ES108" s="1992"/>
      <c r="ET108" s="1992"/>
      <c r="EU108" s="1992"/>
      <c r="EV108" s="1992"/>
      <c r="EW108" s="1992"/>
      <c r="EX108" s="1992"/>
      <c r="EY108" s="1992"/>
      <c r="EZ108" s="1992"/>
      <c r="FA108" s="1992"/>
      <c r="FB108" s="1992"/>
      <c r="FC108" s="1992"/>
      <c r="FD108" s="1992"/>
      <c r="FE108" s="1992"/>
      <c r="FF108" s="1992"/>
      <c r="FG108" s="1992"/>
      <c r="FH108" s="1988">
        <f>CB108-EF108</f>
        <v>31509631</v>
      </c>
      <c r="FI108" s="1988"/>
      <c r="FJ108" s="1988"/>
      <c r="FK108" s="1988"/>
      <c r="FL108" s="1988"/>
      <c r="FM108" s="1988"/>
      <c r="FN108" s="1988"/>
      <c r="FO108" s="1988"/>
      <c r="FP108" s="1988"/>
      <c r="FQ108" s="1988"/>
      <c r="FR108" s="1988"/>
      <c r="FS108" s="1988"/>
      <c r="FT108" s="1988"/>
      <c r="FU108" s="1988"/>
      <c r="FV108" s="1988"/>
      <c r="FW108" s="1988"/>
      <c r="FX108" s="1988"/>
      <c r="FY108" s="1988"/>
      <c r="FZ108" s="1988"/>
      <c r="GA108" s="1988"/>
      <c r="GB108" s="1988"/>
      <c r="GC108" s="1988"/>
      <c r="GD108" s="1988"/>
      <c r="GE108" s="1988"/>
      <c r="GF108" s="1988"/>
      <c r="GG108" s="1988"/>
      <c r="GH108" s="1988"/>
      <c r="GI108" s="1988"/>
    </row>
    <row r="109" spans="1:191" s="166" customFormat="1" ht="24" customHeight="1">
      <c r="A109" s="212"/>
      <c r="B109" s="189"/>
      <c r="C109" s="189"/>
      <c r="D109" s="1932" t="s">
        <v>443</v>
      </c>
      <c r="E109" s="1932"/>
      <c r="F109" s="1932"/>
      <c r="G109" s="1932"/>
      <c r="H109" s="1932"/>
      <c r="I109" s="1932"/>
      <c r="J109" s="1932"/>
      <c r="K109" s="1932"/>
      <c r="L109" s="1932"/>
      <c r="M109" s="1932"/>
      <c r="N109" s="1932"/>
      <c r="O109" s="1932"/>
      <c r="P109" s="1932"/>
      <c r="Q109" s="1932"/>
      <c r="R109" s="1932"/>
      <c r="S109" s="1932"/>
      <c r="T109" s="1932"/>
      <c r="U109" s="1932"/>
      <c r="V109" s="1932"/>
      <c r="W109" s="1932"/>
      <c r="X109" s="1932"/>
      <c r="Y109" s="1932"/>
      <c r="Z109" s="1932"/>
      <c r="AA109" s="1932"/>
      <c r="AB109" s="1932"/>
      <c r="AC109" s="1932"/>
      <c r="AD109" s="1932"/>
      <c r="AE109" s="1932"/>
      <c r="AF109" s="1932"/>
      <c r="AG109" s="1932"/>
      <c r="AH109" s="1932"/>
      <c r="AI109" s="1932"/>
      <c r="AJ109" s="1932"/>
      <c r="AK109" s="1932"/>
      <c r="AL109" s="1932"/>
      <c r="AM109" s="1932"/>
      <c r="AN109" s="1932"/>
      <c r="AO109" s="1932"/>
      <c r="AP109" s="1932"/>
      <c r="AQ109" s="1932"/>
      <c r="AR109" s="1932"/>
      <c r="AS109" s="1932"/>
      <c r="AT109" s="1932"/>
      <c r="AU109" s="1932"/>
      <c r="AV109" s="1932"/>
      <c r="AW109" s="191"/>
      <c r="AX109" s="191"/>
      <c r="AY109" s="214"/>
      <c r="AZ109" s="1991">
        <v>0</v>
      </c>
      <c r="BA109" s="1992"/>
      <c r="BB109" s="1992"/>
      <c r="BC109" s="1992"/>
      <c r="BD109" s="1992"/>
      <c r="BE109" s="1992"/>
      <c r="BF109" s="1992"/>
      <c r="BG109" s="1992"/>
      <c r="BH109" s="1992"/>
      <c r="BI109" s="1992"/>
      <c r="BJ109" s="1992"/>
      <c r="BK109" s="1992"/>
      <c r="BL109" s="1992"/>
      <c r="BM109" s="1992"/>
      <c r="BN109" s="1992"/>
      <c r="BO109" s="1992"/>
      <c r="BP109" s="1992"/>
      <c r="BQ109" s="1992"/>
      <c r="BR109" s="1992"/>
      <c r="BS109" s="1992"/>
      <c r="BT109" s="1992"/>
      <c r="BU109" s="1992"/>
      <c r="BV109" s="1992"/>
      <c r="BW109" s="1992"/>
      <c r="BX109" s="1992"/>
      <c r="BY109" s="1992"/>
      <c r="BZ109" s="1992"/>
      <c r="CA109" s="1992"/>
      <c r="CB109" s="1992">
        <f>短期_財務諸表!C61</f>
        <v>0</v>
      </c>
      <c r="CC109" s="1992"/>
      <c r="CD109" s="1992"/>
      <c r="CE109" s="1992"/>
      <c r="CF109" s="1992"/>
      <c r="CG109" s="1992"/>
      <c r="CH109" s="1992"/>
      <c r="CI109" s="1992"/>
      <c r="CJ109" s="1992"/>
      <c r="CK109" s="1992"/>
      <c r="CL109" s="1992"/>
      <c r="CM109" s="1992"/>
      <c r="CN109" s="1992"/>
      <c r="CO109" s="1992"/>
      <c r="CP109" s="1992"/>
      <c r="CQ109" s="1992"/>
      <c r="CR109" s="1992"/>
      <c r="CS109" s="1992"/>
      <c r="CT109" s="1992"/>
      <c r="CU109" s="1992"/>
      <c r="CV109" s="1992"/>
      <c r="CW109" s="1992"/>
      <c r="CX109" s="1992"/>
      <c r="CY109" s="1992"/>
      <c r="CZ109" s="1992"/>
      <c r="DA109" s="1992"/>
      <c r="DB109" s="1992"/>
      <c r="DC109" s="1992"/>
      <c r="DD109" s="1993">
        <f t="shared" si="7"/>
        <v>0</v>
      </c>
      <c r="DE109" s="1993"/>
      <c r="DF109" s="1993"/>
      <c r="DG109" s="1993"/>
      <c r="DH109" s="1993"/>
      <c r="DI109" s="1993"/>
      <c r="DJ109" s="1993"/>
      <c r="DK109" s="1993"/>
      <c r="DL109" s="1993"/>
      <c r="DM109" s="1993"/>
      <c r="DN109" s="1993"/>
      <c r="DO109" s="1993"/>
      <c r="DP109" s="1993"/>
      <c r="DQ109" s="1993"/>
      <c r="DR109" s="1993"/>
      <c r="DS109" s="1993"/>
      <c r="DT109" s="1993"/>
      <c r="DU109" s="1993"/>
      <c r="DV109" s="1993"/>
      <c r="DW109" s="1993"/>
      <c r="DX109" s="1993"/>
      <c r="DY109" s="1993"/>
      <c r="DZ109" s="1993"/>
      <c r="EA109" s="1993"/>
      <c r="EB109" s="1993"/>
      <c r="EC109" s="1993"/>
      <c r="ED109" s="1993"/>
      <c r="EE109" s="1993"/>
      <c r="EF109" s="1992">
        <f>前年度貼付!$E$136</f>
        <v>0</v>
      </c>
      <c r="EG109" s="1992"/>
      <c r="EH109" s="1992"/>
      <c r="EI109" s="1992"/>
      <c r="EJ109" s="1992"/>
      <c r="EK109" s="1992"/>
      <c r="EL109" s="1992"/>
      <c r="EM109" s="1992"/>
      <c r="EN109" s="1992"/>
      <c r="EO109" s="1992"/>
      <c r="EP109" s="1992"/>
      <c r="EQ109" s="1992"/>
      <c r="ER109" s="1992"/>
      <c r="ES109" s="1992"/>
      <c r="ET109" s="1992"/>
      <c r="EU109" s="1992"/>
      <c r="EV109" s="1992"/>
      <c r="EW109" s="1992"/>
      <c r="EX109" s="1992"/>
      <c r="EY109" s="1992"/>
      <c r="EZ109" s="1992"/>
      <c r="FA109" s="1992"/>
      <c r="FB109" s="1992"/>
      <c r="FC109" s="1992"/>
      <c r="FD109" s="1992"/>
      <c r="FE109" s="1992"/>
      <c r="FF109" s="1992"/>
      <c r="FG109" s="1992"/>
      <c r="FH109" s="1988">
        <f>CB109-EF109</f>
        <v>0</v>
      </c>
      <c r="FI109" s="1988"/>
      <c r="FJ109" s="1988"/>
      <c r="FK109" s="1988"/>
      <c r="FL109" s="1988"/>
      <c r="FM109" s="1988"/>
      <c r="FN109" s="1988"/>
      <c r="FO109" s="1988"/>
      <c r="FP109" s="1988"/>
      <c r="FQ109" s="1988"/>
      <c r="FR109" s="1988"/>
      <c r="FS109" s="1988"/>
      <c r="FT109" s="1988"/>
      <c r="FU109" s="1988"/>
      <c r="FV109" s="1988"/>
      <c r="FW109" s="1988"/>
      <c r="FX109" s="1988"/>
      <c r="FY109" s="1988"/>
      <c r="FZ109" s="1988"/>
      <c r="GA109" s="1988"/>
      <c r="GB109" s="1988"/>
      <c r="GC109" s="1988"/>
      <c r="GD109" s="1988"/>
      <c r="GE109" s="1988"/>
      <c r="GF109" s="1988"/>
      <c r="GG109" s="1988"/>
      <c r="GH109" s="1988"/>
      <c r="GI109" s="1988"/>
    </row>
    <row r="110" spans="1:191" s="166" customFormat="1" ht="24" customHeight="1">
      <c r="A110" s="188"/>
      <c r="B110" s="189"/>
      <c r="C110" s="189"/>
      <c r="D110" s="1951" t="s">
        <v>444</v>
      </c>
      <c r="E110" s="1951"/>
      <c r="F110" s="1951"/>
      <c r="G110" s="1951"/>
      <c r="H110" s="1951"/>
      <c r="I110" s="1951"/>
      <c r="J110" s="1951"/>
      <c r="K110" s="1951"/>
      <c r="L110" s="1951"/>
      <c r="M110" s="1951"/>
      <c r="N110" s="1951"/>
      <c r="O110" s="1951"/>
      <c r="P110" s="1951"/>
      <c r="Q110" s="1951"/>
      <c r="R110" s="1951"/>
      <c r="S110" s="1951"/>
      <c r="T110" s="1951"/>
      <c r="U110" s="1951"/>
      <c r="V110" s="1951"/>
      <c r="W110" s="1951"/>
      <c r="X110" s="1951"/>
      <c r="Y110" s="1951"/>
      <c r="Z110" s="1951"/>
      <c r="AA110" s="1951"/>
      <c r="AB110" s="1951"/>
      <c r="AC110" s="1951"/>
      <c r="AD110" s="1951"/>
      <c r="AE110" s="1951"/>
      <c r="AF110" s="1951"/>
      <c r="AG110" s="1951"/>
      <c r="AH110" s="1951"/>
      <c r="AI110" s="1951"/>
      <c r="AJ110" s="1951"/>
      <c r="AK110" s="1951"/>
      <c r="AL110" s="1951"/>
      <c r="AM110" s="1951"/>
      <c r="AN110" s="1951"/>
      <c r="AO110" s="1951"/>
      <c r="AP110" s="1951"/>
      <c r="AQ110" s="1951"/>
      <c r="AR110" s="1951"/>
      <c r="AS110" s="1951"/>
      <c r="AT110" s="1951"/>
      <c r="AU110" s="1951"/>
      <c r="AV110" s="1951"/>
      <c r="AW110" s="189"/>
      <c r="AX110" s="189"/>
      <c r="AY110" s="197"/>
      <c r="AZ110" s="1987">
        <f>SUM(AZ107:CA109)</f>
        <v>13123873000</v>
      </c>
      <c r="BA110" s="1987"/>
      <c r="BB110" s="1987"/>
      <c r="BC110" s="1987"/>
      <c r="BD110" s="1987"/>
      <c r="BE110" s="1987"/>
      <c r="BF110" s="1987"/>
      <c r="BG110" s="1987"/>
      <c r="BH110" s="1987"/>
      <c r="BI110" s="1987"/>
      <c r="BJ110" s="1987"/>
      <c r="BK110" s="1987"/>
      <c r="BL110" s="1987"/>
      <c r="BM110" s="1987"/>
      <c r="BN110" s="1987"/>
      <c r="BO110" s="1987"/>
      <c r="BP110" s="1987"/>
      <c r="BQ110" s="1987"/>
      <c r="BR110" s="1987"/>
      <c r="BS110" s="1987"/>
      <c r="BT110" s="1987"/>
      <c r="BU110" s="1987"/>
      <c r="BV110" s="1987"/>
      <c r="BW110" s="1987"/>
      <c r="BX110" s="1987"/>
      <c r="BY110" s="1987"/>
      <c r="BZ110" s="1987"/>
      <c r="CA110" s="1987"/>
      <c r="CB110" s="1987">
        <f>SUM(CB107:DC109)</f>
        <v>13055937409</v>
      </c>
      <c r="CC110" s="1987"/>
      <c r="CD110" s="1987"/>
      <c r="CE110" s="1987"/>
      <c r="CF110" s="1987"/>
      <c r="CG110" s="1987"/>
      <c r="CH110" s="1987"/>
      <c r="CI110" s="1987"/>
      <c r="CJ110" s="1987"/>
      <c r="CK110" s="1987"/>
      <c r="CL110" s="1987"/>
      <c r="CM110" s="1987"/>
      <c r="CN110" s="1987"/>
      <c r="CO110" s="1987"/>
      <c r="CP110" s="1987"/>
      <c r="CQ110" s="1987"/>
      <c r="CR110" s="1987"/>
      <c r="CS110" s="1987"/>
      <c r="CT110" s="1987"/>
      <c r="CU110" s="1987"/>
      <c r="CV110" s="1987"/>
      <c r="CW110" s="1987"/>
      <c r="CX110" s="1987"/>
      <c r="CY110" s="1987"/>
      <c r="CZ110" s="1987"/>
      <c r="DA110" s="1987"/>
      <c r="DB110" s="1987"/>
      <c r="DC110" s="1987"/>
      <c r="DD110" s="1988">
        <f t="shared" si="7"/>
        <v>-67935591</v>
      </c>
      <c r="DE110" s="1988"/>
      <c r="DF110" s="1988"/>
      <c r="DG110" s="1988"/>
      <c r="DH110" s="1988"/>
      <c r="DI110" s="1988"/>
      <c r="DJ110" s="1988"/>
      <c r="DK110" s="1988"/>
      <c r="DL110" s="1988"/>
      <c r="DM110" s="1988"/>
      <c r="DN110" s="1988"/>
      <c r="DO110" s="1988"/>
      <c r="DP110" s="1988"/>
      <c r="DQ110" s="1988"/>
      <c r="DR110" s="1988"/>
      <c r="DS110" s="1988"/>
      <c r="DT110" s="1988"/>
      <c r="DU110" s="1988"/>
      <c r="DV110" s="1988"/>
      <c r="DW110" s="1988"/>
      <c r="DX110" s="1988"/>
      <c r="DY110" s="1988"/>
      <c r="DZ110" s="1988"/>
      <c r="EA110" s="1988"/>
      <c r="EB110" s="1988"/>
      <c r="EC110" s="1988"/>
      <c r="ED110" s="1988"/>
      <c r="EE110" s="1988"/>
      <c r="EF110" s="1987">
        <f>SUM(EF107:FG109)</f>
        <v>12539164712</v>
      </c>
      <c r="EG110" s="1987"/>
      <c r="EH110" s="1987"/>
      <c r="EI110" s="1987"/>
      <c r="EJ110" s="1987"/>
      <c r="EK110" s="1987"/>
      <c r="EL110" s="1987"/>
      <c r="EM110" s="1987"/>
      <c r="EN110" s="1987"/>
      <c r="EO110" s="1987"/>
      <c r="EP110" s="1987"/>
      <c r="EQ110" s="1987"/>
      <c r="ER110" s="1987"/>
      <c r="ES110" s="1987"/>
      <c r="ET110" s="1987"/>
      <c r="EU110" s="1987"/>
      <c r="EV110" s="1987"/>
      <c r="EW110" s="1987"/>
      <c r="EX110" s="1987"/>
      <c r="EY110" s="1987"/>
      <c r="EZ110" s="1987"/>
      <c r="FA110" s="1987"/>
      <c r="FB110" s="1987"/>
      <c r="FC110" s="1987"/>
      <c r="FD110" s="1987"/>
      <c r="FE110" s="1987"/>
      <c r="FF110" s="1987"/>
      <c r="FG110" s="1987"/>
      <c r="FH110" s="1988">
        <f>CB110-EF110</f>
        <v>516772697</v>
      </c>
      <c r="FI110" s="1988"/>
      <c r="FJ110" s="1988"/>
      <c r="FK110" s="1988"/>
      <c r="FL110" s="1988"/>
      <c r="FM110" s="1988"/>
      <c r="FN110" s="1988"/>
      <c r="FO110" s="1988"/>
      <c r="FP110" s="1988"/>
      <c r="FQ110" s="1988"/>
      <c r="FR110" s="1988"/>
      <c r="FS110" s="1988"/>
      <c r="FT110" s="1988"/>
      <c r="FU110" s="1988"/>
      <c r="FV110" s="1988"/>
      <c r="FW110" s="1988"/>
      <c r="FX110" s="1988"/>
      <c r="FY110" s="1988"/>
      <c r="FZ110" s="1988"/>
      <c r="GA110" s="1988"/>
      <c r="GB110" s="1988"/>
      <c r="GC110" s="1988"/>
      <c r="GD110" s="1988"/>
      <c r="GE110" s="1988"/>
      <c r="GF110" s="1988"/>
      <c r="GG110" s="1988"/>
      <c r="GH110" s="1988"/>
      <c r="GI110" s="1988"/>
    </row>
    <row r="111" spans="1:191" s="166" customFormat="1" ht="24" customHeight="1">
      <c r="A111" s="188"/>
      <c r="B111" s="189"/>
      <c r="C111" s="189"/>
      <c r="D111" s="1951" t="s">
        <v>445</v>
      </c>
      <c r="E111" s="1951"/>
      <c r="F111" s="1951"/>
      <c r="G111" s="1951"/>
      <c r="H111" s="1951"/>
      <c r="I111" s="1951"/>
      <c r="J111" s="1951"/>
      <c r="K111" s="1951"/>
      <c r="L111" s="1951"/>
      <c r="M111" s="1951"/>
      <c r="N111" s="1951"/>
      <c r="O111" s="1951"/>
      <c r="P111" s="1951"/>
      <c r="Q111" s="1951"/>
      <c r="R111" s="1951"/>
      <c r="S111" s="1951"/>
      <c r="T111" s="1951"/>
      <c r="U111" s="1951"/>
      <c r="V111" s="1951"/>
      <c r="W111" s="1951"/>
      <c r="X111" s="1951"/>
      <c r="Y111" s="1951"/>
      <c r="Z111" s="1951"/>
      <c r="AA111" s="1951"/>
      <c r="AB111" s="1951"/>
      <c r="AC111" s="1951"/>
      <c r="AD111" s="1951"/>
      <c r="AE111" s="1951"/>
      <c r="AF111" s="1951"/>
      <c r="AG111" s="1951"/>
      <c r="AH111" s="1951"/>
      <c r="AI111" s="1951"/>
      <c r="AJ111" s="1951"/>
      <c r="AK111" s="1951"/>
      <c r="AL111" s="1951"/>
      <c r="AM111" s="1951"/>
      <c r="AN111" s="1951"/>
      <c r="AO111" s="1951"/>
      <c r="AP111" s="1951"/>
      <c r="AQ111" s="1951"/>
      <c r="AR111" s="1951"/>
      <c r="AS111" s="1951"/>
      <c r="AT111" s="1951"/>
      <c r="AU111" s="1951"/>
      <c r="AV111" s="1951"/>
      <c r="AW111" s="189"/>
      <c r="AX111" s="189"/>
      <c r="AY111" s="197"/>
      <c r="AZ111" s="1988">
        <f>AZ30-AZ110</f>
        <v>289496000</v>
      </c>
      <c r="BA111" s="1988"/>
      <c r="BB111" s="1988"/>
      <c r="BC111" s="1988"/>
      <c r="BD111" s="1988"/>
      <c r="BE111" s="1988"/>
      <c r="BF111" s="1988"/>
      <c r="BG111" s="1988"/>
      <c r="BH111" s="1988"/>
      <c r="BI111" s="1988"/>
      <c r="BJ111" s="1988"/>
      <c r="BK111" s="1988"/>
      <c r="BL111" s="1988"/>
      <c r="BM111" s="1988"/>
      <c r="BN111" s="1988"/>
      <c r="BO111" s="1988"/>
      <c r="BP111" s="1988"/>
      <c r="BQ111" s="1988"/>
      <c r="BR111" s="1988"/>
      <c r="BS111" s="1988"/>
      <c r="BT111" s="1988"/>
      <c r="BU111" s="1988"/>
      <c r="BV111" s="1988"/>
      <c r="BW111" s="1988"/>
      <c r="BX111" s="1988"/>
      <c r="BY111" s="1988"/>
      <c r="BZ111" s="1988"/>
      <c r="CA111" s="1988"/>
      <c r="CB111" s="1988">
        <f>CB30-CB110</f>
        <v>812770181</v>
      </c>
      <c r="CC111" s="1988"/>
      <c r="CD111" s="1988"/>
      <c r="CE111" s="1988"/>
      <c r="CF111" s="1988"/>
      <c r="CG111" s="1988"/>
      <c r="CH111" s="1988"/>
      <c r="CI111" s="1988"/>
      <c r="CJ111" s="1988"/>
      <c r="CK111" s="1988"/>
      <c r="CL111" s="1988"/>
      <c r="CM111" s="1988"/>
      <c r="CN111" s="1988"/>
      <c r="CO111" s="1988"/>
      <c r="CP111" s="1988"/>
      <c r="CQ111" s="1988"/>
      <c r="CR111" s="1988"/>
      <c r="CS111" s="1988"/>
      <c r="CT111" s="1988"/>
      <c r="CU111" s="1988"/>
      <c r="CV111" s="1988"/>
      <c r="CW111" s="1988"/>
      <c r="CX111" s="1988"/>
      <c r="CY111" s="1988"/>
      <c r="CZ111" s="1988"/>
      <c r="DA111" s="1988"/>
      <c r="DB111" s="1988"/>
      <c r="DC111" s="1988"/>
      <c r="DD111" s="1989"/>
      <c r="DE111" s="1989"/>
      <c r="DF111" s="1989"/>
      <c r="DG111" s="1989"/>
      <c r="DH111" s="1989"/>
      <c r="DI111" s="1989"/>
      <c r="DJ111" s="1989"/>
      <c r="DK111" s="1989"/>
      <c r="DL111" s="1989"/>
      <c r="DM111" s="1989"/>
      <c r="DN111" s="1989"/>
      <c r="DO111" s="1989"/>
      <c r="DP111" s="1989"/>
      <c r="DQ111" s="1989"/>
      <c r="DR111" s="1989"/>
      <c r="DS111" s="1989"/>
      <c r="DT111" s="1989"/>
      <c r="DU111" s="1989"/>
      <c r="DV111" s="1989"/>
      <c r="DW111" s="1989"/>
      <c r="DX111" s="1989"/>
      <c r="DY111" s="1989"/>
      <c r="DZ111" s="1989"/>
      <c r="EA111" s="1989"/>
      <c r="EB111" s="1989"/>
      <c r="EC111" s="1989"/>
      <c r="ED111" s="1989"/>
      <c r="EE111" s="1989"/>
      <c r="EF111" s="1988">
        <f>EF30-EF110</f>
        <v>824180510</v>
      </c>
      <c r="EG111" s="1988"/>
      <c r="EH111" s="1988"/>
      <c r="EI111" s="1988"/>
      <c r="EJ111" s="1988"/>
      <c r="EK111" s="1988"/>
      <c r="EL111" s="1988"/>
      <c r="EM111" s="1988"/>
      <c r="EN111" s="1988"/>
      <c r="EO111" s="1988"/>
      <c r="EP111" s="1988"/>
      <c r="EQ111" s="1988"/>
      <c r="ER111" s="1988"/>
      <c r="ES111" s="1988"/>
      <c r="ET111" s="1988"/>
      <c r="EU111" s="1988"/>
      <c r="EV111" s="1988"/>
      <c r="EW111" s="1988"/>
      <c r="EX111" s="1988"/>
      <c r="EY111" s="1988"/>
      <c r="EZ111" s="1988"/>
      <c r="FA111" s="1988"/>
      <c r="FB111" s="1988"/>
      <c r="FC111" s="1988"/>
      <c r="FD111" s="1988"/>
      <c r="FE111" s="1988"/>
      <c r="FF111" s="1988"/>
      <c r="FG111" s="1988"/>
      <c r="FH111" s="1989"/>
      <c r="FI111" s="1989"/>
      <c r="FJ111" s="1989"/>
      <c r="FK111" s="1989"/>
      <c r="FL111" s="1989"/>
      <c r="FM111" s="1989"/>
      <c r="FN111" s="1989"/>
      <c r="FO111" s="1989"/>
      <c r="FP111" s="1989"/>
      <c r="FQ111" s="1989"/>
      <c r="FR111" s="1989"/>
      <c r="FS111" s="1989"/>
      <c r="FT111" s="1989"/>
      <c r="FU111" s="1989"/>
      <c r="FV111" s="1989"/>
      <c r="FW111" s="1989"/>
      <c r="FX111" s="1989"/>
      <c r="FY111" s="1989"/>
      <c r="FZ111" s="1989"/>
      <c r="GA111" s="1989"/>
      <c r="GB111" s="1989"/>
      <c r="GC111" s="1989"/>
      <c r="GD111" s="1989"/>
      <c r="GE111" s="1989"/>
      <c r="GF111" s="1989"/>
      <c r="GG111" s="1989"/>
      <c r="GH111" s="1989"/>
      <c r="GI111" s="1989"/>
    </row>
    <row r="112" spans="1:191" s="166" customFormat="1" ht="18" customHeight="1">
      <c r="A112" s="215" t="s">
        <v>446</v>
      </c>
      <c r="B112" s="216"/>
      <c r="C112" s="216"/>
      <c r="D112" s="216"/>
      <c r="E112" s="216"/>
      <c r="F112" s="216"/>
      <c r="G112" s="216"/>
      <c r="H112" s="216"/>
      <c r="I112" s="216"/>
      <c r="J112" s="216"/>
      <c r="K112" s="216"/>
      <c r="L112" s="216"/>
      <c r="M112" s="216"/>
      <c r="N112" s="216"/>
      <c r="O112" s="216"/>
      <c r="P112" s="216"/>
      <c r="Q112" s="216"/>
      <c r="R112" s="216"/>
      <c r="S112" s="216"/>
      <c r="T112" s="216"/>
      <c r="U112" s="216"/>
      <c r="V112" s="216"/>
      <c r="W112" s="216"/>
      <c r="X112" s="216"/>
      <c r="Y112" s="216"/>
      <c r="Z112" s="216"/>
    </row>
    <row r="113" spans="3:92" s="166" customFormat="1" ht="18.75" customHeight="1">
      <c r="C113" s="217" t="s">
        <v>447</v>
      </c>
      <c r="CN113" s="217" t="s">
        <v>448</v>
      </c>
    </row>
    <row r="114" spans="3:92" s="166" customFormat="1" ht="18.75" customHeight="1"/>
    <row r="115" spans="3:92" s="166" customFormat="1" ht="18.75" customHeight="1"/>
    <row r="116" spans="3:92" s="166" customFormat="1" ht="18.75" customHeight="1"/>
    <row r="117" spans="3:92" s="166" customFormat="1" ht="18.75" customHeight="1">
      <c r="BB117" s="167"/>
      <c r="BC117" s="167"/>
      <c r="BD117" s="167"/>
      <c r="BE117" s="167"/>
      <c r="BF117" s="167"/>
      <c r="BG117" s="167"/>
    </row>
    <row r="118" spans="3:92" s="166" customFormat="1" ht="18.75" customHeight="1">
      <c r="BB118" s="167"/>
      <c r="BC118" s="167"/>
      <c r="BD118" s="167"/>
      <c r="BE118" s="167"/>
      <c r="BF118" s="167"/>
      <c r="BG118" s="167"/>
    </row>
    <row r="119" spans="3:92" s="166" customFormat="1" ht="18.75" customHeight="1"/>
    <row r="120" spans="3:92" s="166" customFormat="1" ht="18.75" customHeight="1"/>
    <row r="121" spans="3:92" s="166" customFormat="1" ht="18.75" customHeight="1"/>
    <row r="122" spans="3:92" s="166" customFormat="1" ht="18.75" customHeight="1"/>
    <row r="123" spans="3:92" s="166" customFormat="1" ht="18.75" customHeight="1"/>
    <row r="124" spans="3:92" s="166" customFormat="1" ht="18.75" customHeight="1"/>
    <row r="125" spans="3:92" s="166" customFormat="1" ht="18.75" customHeight="1">
      <c r="BB125" s="167"/>
      <c r="BC125" s="167"/>
      <c r="BD125" s="167"/>
      <c r="BE125" s="167"/>
      <c r="BF125" s="167"/>
      <c r="BG125" s="167"/>
    </row>
    <row r="126" spans="3:92" s="167" customFormat="1" ht="25.5" customHeight="1"/>
    <row r="127" spans="3:92" s="167" customFormat="1" ht="25.5" customHeight="1"/>
    <row r="128" spans="3:92" s="167" customFormat="1" ht="25.5" customHeight="1"/>
    <row r="129" spans="1:191" s="167" customFormat="1" ht="25.5" customHeight="1"/>
    <row r="130" spans="1:191" s="166" customFormat="1" ht="18" customHeight="1">
      <c r="A130" s="173" t="s">
        <v>366</v>
      </c>
      <c r="B130" s="208"/>
      <c r="C130" s="208"/>
      <c r="I130" s="173" t="s">
        <v>449</v>
      </c>
    </row>
    <row r="131" spans="1:191" s="166" customFormat="1" ht="16.5" customHeight="1"/>
    <row r="132" spans="1:191" s="166" customFormat="1" ht="18" customHeight="1">
      <c r="A132" s="173" t="s">
        <v>450</v>
      </c>
      <c r="B132" s="173"/>
      <c r="C132" s="173"/>
      <c r="D132" s="173"/>
      <c r="E132" s="173"/>
      <c r="F132" s="173"/>
      <c r="G132" s="173"/>
      <c r="H132" s="173"/>
      <c r="I132" s="173"/>
      <c r="J132" s="173"/>
      <c r="K132" s="173"/>
      <c r="L132" s="173"/>
      <c r="M132" s="173"/>
      <c r="N132" s="173"/>
      <c r="O132" s="173"/>
      <c r="P132" s="173"/>
      <c r="Q132" s="173"/>
      <c r="R132" s="173"/>
      <c r="S132" s="173"/>
      <c r="T132" s="173"/>
      <c r="U132" s="173"/>
      <c r="V132" s="173"/>
      <c r="W132" s="173"/>
      <c r="X132" s="173"/>
      <c r="Y132" s="173"/>
      <c r="Z132" s="173"/>
      <c r="AA132" s="173"/>
      <c r="AB132" s="173"/>
      <c r="AC132" s="173"/>
      <c r="AD132" s="173"/>
      <c r="AE132" s="173"/>
      <c r="AF132" s="173"/>
      <c r="AG132" s="173"/>
      <c r="AH132" s="173"/>
      <c r="AI132" s="173"/>
      <c r="AJ132" s="173"/>
      <c r="AK132" s="173"/>
      <c r="AL132" s="200"/>
      <c r="AM132" s="200"/>
      <c r="AN132" s="200"/>
      <c r="AO132" s="200"/>
      <c r="AP132" s="200"/>
      <c r="AQ132" s="200"/>
      <c r="AR132" s="200"/>
      <c r="AS132" s="200"/>
      <c r="AT132" s="200"/>
      <c r="AU132" s="200"/>
      <c r="AV132" s="200"/>
      <c r="AW132" s="200"/>
      <c r="AX132" s="200"/>
      <c r="AY132" s="200"/>
      <c r="AZ132" s="200"/>
      <c r="BA132" s="200"/>
      <c r="DX132" s="208"/>
      <c r="DY132" s="208"/>
      <c r="DZ132" s="208"/>
      <c r="EA132" s="208"/>
      <c r="EB132" s="208"/>
      <c r="EC132" s="208"/>
      <c r="ED132" s="208"/>
      <c r="EE132" s="208"/>
    </row>
    <row r="133" spans="1:191" s="166" customFormat="1" ht="15" customHeight="1">
      <c r="AS133" s="209"/>
      <c r="AT133" s="209"/>
      <c r="AU133" s="209"/>
      <c r="AV133" s="209"/>
      <c r="AW133" s="209"/>
      <c r="AX133" s="209"/>
      <c r="AZ133" s="209"/>
      <c r="BA133" s="209"/>
      <c r="BB133" s="209"/>
      <c r="FE133" s="1983" t="s">
        <v>451</v>
      </c>
      <c r="FF133" s="1983"/>
      <c r="FG133" s="1983"/>
      <c r="FH133" s="1983"/>
      <c r="FI133" s="1983"/>
      <c r="FJ133" s="1983"/>
      <c r="FK133" s="1983"/>
      <c r="FL133" s="1983"/>
      <c r="FM133" s="1983"/>
      <c r="FN133" s="1983"/>
      <c r="FO133" s="1983"/>
      <c r="FP133" s="1983"/>
      <c r="FQ133" s="1983"/>
      <c r="FR133" s="1983"/>
      <c r="FS133" s="1983"/>
      <c r="FT133" s="1983"/>
      <c r="FU133" s="1983"/>
      <c r="FV133" s="1983"/>
      <c r="FW133" s="1983"/>
      <c r="FX133" s="1983"/>
      <c r="FY133" s="1983"/>
      <c r="FZ133" s="1983"/>
      <c r="GA133" s="1983"/>
      <c r="GB133" s="1983"/>
      <c r="GC133" s="1983"/>
      <c r="GD133" s="1983"/>
      <c r="GE133" s="1983"/>
      <c r="GF133" s="1983"/>
      <c r="GG133" s="1983"/>
      <c r="GH133" s="1983"/>
      <c r="GI133" s="174"/>
    </row>
    <row r="134" spans="1:191" s="166" customFormat="1" ht="15.9" customHeight="1">
      <c r="A134" s="1984" t="s">
        <v>452</v>
      </c>
      <c r="B134" s="1984"/>
      <c r="C134" s="1984"/>
      <c r="D134" s="1984"/>
      <c r="E134" s="1984"/>
      <c r="F134" s="1984"/>
      <c r="G134" s="1984"/>
      <c r="H134" s="1984"/>
      <c r="I134" s="1984"/>
      <c r="J134" s="1984"/>
      <c r="K134" s="1984"/>
      <c r="L134" s="1984"/>
      <c r="M134" s="1984"/>
      <c r="N134" s="1984"/>
      <c r="O134" s="1984"/>
      <c r="P134" s="1984"/>
      <c r="Q134" s="1984"/>
      <c r="R134" s="1984"/>
      <c r="S134" s="1984"/>
      <c r="T134" s="1984"/>
      <c r="U134" s="1984"/>
      <c r="V134" s="1984"/>
      <c r="W134" s="1984"/>
      <c r="X134" s="1984"/>
      <c r="Y134" s="1984"/>
      <c r="Z134" s="1984"/>
      <c r="AA134" s="1984"/>
      <c r="AB134" s="1984"/>
      <c r="AC134" s="1984"/>
      <c r="AD134" s="1984"/>
      <c r="AE134" s="1984"/>
      <c r="AF134" s="1984"/>
      <c r="AG134" s="1984"/>
      <c r="AH134" s="1984"/>
      <c r="AI134" s="1984"/>
      <c r="AJ134" s="1984"/>
      <c r="AK134" s="1984"/>
      <c r="AL134" s="1984"/>
      <c r="AM134" s="1984"/>
      <c r="AN134" s="1984"/>
      <c r="AO134" s="1984"/>
      <c r="AP134" s="1984"/>
      <c r="AQ134" s="1984"/>
      <c r="AR134" s="1984"/>
      <c r="AS134" s="1984"/>
      <c r="AT134" s="1984"/>
      <c r="AU134" s="1984"/>
      <c r="AV134" s="1984"/>
      <c r="AW134" s="1984"/>
      <c r="AX134" s="1984"/>
      <c r="AY134" s="1984"/>
      <c r="AZ134" s="1985" t="str">
        <f>"令和"&amp;IF((入力ガイド!$C$6)&gt;=10,MID("０１２３４５６７８９",INT((入力ガイド!$C$6)/10)+1,1),"")&amp;MID("０１２３４５６７８９",MOD((入力ガイド!$C$6),10)+1,1)&amp;"年度"</f>
        <v>令和７年度</v>
      </c>
      <c r="BA134" s="1985"/>
      <c r="BB134" s="1985"/>
      <c r="BC134" s="1985"/>
      <c r="BD134" s="1985"/>
      <c r="BE134" s="1985"/>
      <c r="BF134" s="1985"/>
      <c r="BG134" s="1985"/>
      <c r="BH134" s="1985"/>
      <c r="BI134" s="1985"/>
      <c r="BJ134" s="1985"/>
      <c r="BK134" s="1985"/>
      <c r="BL134" s="1985"/>
      <c r="BM134" s="1985"/>
      <c r="BN134" s="1985"/>
      <c r="BO134" s="1985"/>
      <c r="BP134" s="1985"/>
      <c r="BQ134" s="1985"/>
      <c r="BR134" s="1985"/>
      <c r="BS134" s="1985"/>
      <c r="BT134" s="1985"/>
      <c r="BU134" s="1985"/>
      <c r="BV134" s="1985"/>
      <c r="BW134" s="1985"/>
      <c r="BX134" s="1985"/>
      <c r="BY134" s="1985"/>
      <c r="BZ134" s="1985"/>
      <c r="CA134" s="1985"/>
      <c r="CB134" s="1985"/>
      <c r="CC134" s="1985"/>
      <c r="CD134" s="1985"/>
      <c r="CE134" s="1985"/>
      <c r="CF134" s="1985"/>
      <c r="CG134" s="1985"/>
      <c r="CH134" s="1985"/>
      <c r="CI134" s="1985"/>
      <c r="CJ134" s="1985"/>
      <c r="CK134" s="1985"/>
      <c r="CL134" s="1985"/>
      <c r="CM134" s="1985"/>
      <c r="CN134" s="1985"/>
      <c r="CO134" s="1985"/>
      <c r="CP134" s="1985"/>
      <c r="CQ134" s="1985"/>
      <c r="CR134" s="1985"/>
      <c r="CS134" s="1985"/>
      <c r="CT134" s="1985"/>
      <c r="CU134" s="1985"/>
      <c r="CV134" s="1985"/>
      <c r="CW134" s="1985"/>
      <c r="CX134" s="1985"/>
      <c r="CY134" s="1985"/>
      <c r="CZ134" s="1985"/>
      <c r="DA134" s="1985"/>
      <c r="DB134" s="1985"/>
      <c r="DC134" s="1985"/>
      <c r="DD134" s="1985"/>
      <c r="DE134" s="1985"/>
      <c r="DF134" s="1985"/>
      <c r="DG134" s="1985"/>
      <c r="DH134" s="1985"/>
      <c r="DI134" s="1985"/>
      <c r="DJ134" s="1985"/>
      <c r="DK134" s="1985"/>
      <c r="DL134" s="1985"/>
      <c r="DM134" s="1985"/>
      <c r="DN134" s="1985"/>
      <c r="DO134" s="1985"/>
      <c r="DP134" s="1985"/>
      <c r="DQ134" s="1985"/>
      <c r="DR134" s="1985" t="str">
        <f>"令和"&amp;IF((入力ガイド!$C$6-1)&gt;=10,MID("０１２３４５６７８９",INT((入力ガイド!$C$6-1)/10)+1,1),"")&amp;MID("０１２３４５６７８９",MOD((入力ガイド!$C$6-1),10)+1,1)&amp;"年度"</f>
        <v>令和６年度</v>
      </c>
      <c r="DS134" s="1985"/>
      <c r="DT134" s="1985"/>
      <c r="DU134" s="1985"/>
      <c r="DV134" s="1985"/>
      <c r="DW134" s="1985"/>
      <c r="DX134" s="1985"/>
      <c r="DY134" s="1985"/>
      <c r="DZ134" s="1985"/>
      <c r="EA134" s="1985"/>
      <c r="EB134" s="1985"/>
      <c r="EC134" s="1985"/>
      <c r="ED134" s="1985"/>
      <c r="EE134" s="1985"/>
      <c r="EF134" s="1985"/>
      <c r="EG134" s="1985"/>
      <c r="EH134" s="1985"/>
      <c r="EI134" s="1985"/>
      <c r="EJ134" s="1985"/>
      <c r="EK134" s="1985"/>
      <c r="EL134" s="1985"/>
      <c r="EM134" s="1985"/>
      <c r="EN134" s="1985"/>
      <c r="EO134" s="1985"/>
      <c r="EP134" s="1985"/>
      <c r="EQ134" s="1985"/>
      <c r="ER134" s="1985"/>
      <c r="ES134" s="1985"/>
      <c r="ET134" s="1985"/>
      <c r="EU134" s="1985"/>
      <c r="EV134" s="1985"/>
      <c r="EW134" s="1985"/>
      <c r="EX134" s="1985"/>
      <c r="EY134" s="1985"/>
      <c r="EZ134" s="1985"/>
      <c r="FA134" s="1985"/>
      <c r="FB134" s="1985"/>
      <c r="FC134" s="1985"/>
      <c r="FD134" s="1985"/>
      <c r="FE134" s="1985"/>
      <c r="FF134" s="1985"/>
      <c r="FG134" s="1985"/>
      <c r="FH134" s="1985"/>
      <c r="FI134" s="1985"/>
      <c r="FJ134" s="1985"/>
      <c r="FK134" s="1985"/>
      <c r="FL134" s="1985"/>
      <c r="FM134" s="1985"/>
      <c r="FN134" s="1985"/>
      <c r="FO134" s="1985"/>
      <c r="FP134" s="1985"/>
      <c r="FQ134" s="1985"/>
      <c r="FR134" s="1985"/>
      <c r="FS134" s="1985"/>
      <c r="FT134" s="1985"/>
      <c r="FU134" s="1985"/>
      <c r="FV134" s="1985"/>
      <c r="FW134" s="1985"/>
      <c r="FX134" s="1985"/>
      <c r="FY134" s="1985"/>
      <c r="FZ134" s="1985"/>
      <c r="GA134" s="1985"/>
      <c r="GB134" s="1985"/>
      <c r="GC134" s="1985"/>
      <c r="GD134" s="1985"/>
      <c r="GE134" s="1985"/>
      <c r="GF134" s="1985"/>
      <c r="GG134" s="1985"/>
      <c r="GH134" s="1985"/>
      <c r="GI134" s="1985"/>
    </row>
    <row r="135" spans="1:191" s="166" customFormat="1" ht="15.9" customHeight="1">
      <c r="A135" s="1984"/>
      <c r="B135" s="1984"/>
      <c r="C135" s="1984"/>
      <c r="D135" s="1984"/>
      <c r="E135" s="1984"/>
      <c r="F135" s="1984"/>
      <c r="G135" s="1984"/>
      <c r="H135" s="1984"/>
      <c r="I135" s="1984"/>
      <c r="J135" s="1984"/>
      <c r="K135" s="1984"/>
      <c r="L135" s="1984"/>
      <c r="M135" s="1984"/>
      <c r="N135" s="1984"/>
      <c r="O135" s="1984"/>
      <c r="P135" s="1984"/>
      <c r="Q135" s="1984"/>
      <c r="R135" s="1984"/>
      <c r="S135" s="1984"/>
      <c r="T135" s="1984"/>
      <c r="U135" s="1984"/>
      <c r="V135" s="1984"/>
      <c r="W135" s="1984"/>
      <c r="X135" s="1984"/>
      <c r="Y135" s="1984"/>
      <c r="Z135" s="1984"/>
      <c r="AA135" s="1984"/>
      <c r="AB135" s="1984"/>
      <c r="AC135" s="1984"/>
      <c r="AD135" s="1984"/>
      <c r="AE135" s="1984"/>
      <c r="AF135" s="1984"/>
      <c r="AG135" s="1984"/>
      <c r="AH135" s="1984"/>
      <c r="AI135" s="1984"/>
      <c r="AJ135" s="1984"/>
      <c r="AK135" s="1984"/>
      <c r="AL135" s="1984"/>
      <c r="AM135" s="1984"/>
      <c r="AN135" s="1984"/>
      <c r="AO135" s="1984"/>
      <c r="AP135" s="1984"/>
      <c r="AQ135" s="1984"/>
      <c r="AR135" s="1984"/>
      <c r="AS135" s="1984"/>
      <c r="AT135" s="1984"/>
      <c r="AU135" s="1984"/>
      <c r="AV135" s="1984"/>
      <c r="AW135" s="1984"/>
      <c r="AX135" s="1984"/>
      <c r="AY135" s="1984"/>
      <c r="AZ135" s="1985" t="s">
        <v>453</v>
      </c>
      <c r="BA135" s="1985"/>
      <c r="BB135" s="1985"/>
      <c r="BC135" s="1985"/>
      <c r="BD135" s="1985"/>
      <c r="BE135" s="1985"/>
      <c r="BF135" s="1985"/>
      <c r="BG135" s="1985"/>
      <c r="BH135" s="1985"/>
      <c r="BI135" s="1985"/>
      <c r="BJ135" s="1985"/>
      <c r="BK135" s="1985"/>
      <c r="BL135" s="1985"/>
      <c r="BM135" s="1985"/>
      <c r="BN135" s="1985"/>
      <c r="BO135" s="1985"/>
      <c r="BP135" s="1985"/>
      <c r="BQ135" s="1985"/>
      <c r="BR135" s="1985"/>
      <c r="BS135" s="1985"/>
      <c r="BT135" s="1985"/>
      <c r="BU135" s="1985"/>
      <c r="BV135" s="1985"/>
      <c r="BW135" s="1986" t="s">
        <v>454</v>
      </c>
      <c r="BX135" s="1986"/>
      <c r="BY135" s="1986"/>
      <c r="BZ135" s="1986"/>
      <c r="CA135" s="1986"/>
      <c r="CB135" s="1986"/>
      <c r="CC135" s="1986"/>
      <c r="CD135" s="1986"/>
      <c r="CE135" s="1986"/>
      <c r="CF135" s="1986"/>
      <c r="CG135" s="1986"/>
      <c r="CH135" s="1986"/>
      <c r="CI135" s="1986"/>
      <c r="CJ135" s="1986"/>
      <c r="CK135" s="1986"/>
      <c r="CL135" s="1986"/>
      <c r="CM135" s="1986"/>
      <c r="CN135" s="1986"/>
      <c r="CO135" s="1986"/>
      <c r="CP135" s="1986" t="s">
        <v>455</v>
      </c>
      <c r="CQ135" s="1986"/>
      <c r="CR135" s="1986"/>
      <c r="CS135" s="1986"/>
      <c r="CT135" s="1986"/>
      <c r="CU135" s="1986"/>
      <c r="CV135" s="1986"/>
      <c r="CW135" s="1986"/>
      <c r="CX135" s="1986"/>
      <c r="CY135" s="1986"/>
      <c r="CZ135" s="1986"/>
      <c r="DA135" s="1986"/>
      <c r="DB135" s="1986"/>
      <c r="DC135" s="1986"/>
      <c r="DD135" s="1986"/>
      <c r="DE135" s="1986"/>
      <c r="DF135" s="1986"/>
      <c r="DG135" s="1986"/>
      <c r="DH135" s="1986"/>
      <c r="DI135" s="1986"/>
      <c r="DJ135" s="1986"/>
      <c r="DK135" s="1986"/>
      <c r="DL135" s="1986"/>
      <c r="DM135" s="1986"/>
      <c r="DN135" s="1986"/>
      <c r="DO135" s="1986"/>
      <c r="DP135" s="1986"/>
      <c r="DQ135" s="1986"/>
      <c r="DR135" s="1985" t="s">
        <v>453</v>
      </c>
      <c r="DS135" s="1985"/>
      <c r="DT135" s="1985"/>
      <c r="DU135" s="1985"/>
      <c r="DV135" s="1985"/>
      <c r="DW135" s="1985"/>
      <c r="DX135" s="1985"/>
      <c r="DY135" s="1985"/>
      <c r="DZ135" s="1985"/>
      <c r="EA135" s="1985"/>
      <c r="EB135" s="1985"/>
      <c r="EC135" s="1985"/>
      <c r="ED135" s="1985"/>
      <c r="EE135" s="1985"/>
      <c r="EF135" s="1985"/>
      <c r="EG135" s="1985"/>
      <c r="EH135" s="1985"/>
      <c r="EI135" s="1985"/>
      <c r="EJ135" s="1985"/>
      <c r="EK135" s="1985"/>
      <c r="EL135" s="1985"/>
      <c r="EM135" s="1985"/>
      <c r="EN135" s="1985"/>
      <c r="EO135" s="1986" t="s">
        <v>454</v>
      </c>
      <c r="EP135" s="1986"/>
      <c r="EQ135" s="1986"/>
      <c r="ER135" s="1986"/>
      <c r="ES135" s="1986"/>
      <c r="ET135" s="1986"/>
      <c r="EU135" s="1986"/>
      <c r="EV135" s="1986"/>
      <c r="EW135" s="1986"/>
      <c r="EX135" s="1986"/>
      <c r="EY135" s="1986"/>
      <c r="EZ135" s="1986"/>
      <c r="FA135" s="1986"/>
      <c r="FB135" s="1986"/>
      <c r="FC135" s="1986"/>
      <c r="FD135" s="1986"/>
      <c r="FE135" s="1986"/>
      <c r="FF135" s="1986"/>
      <c r="FG135" s="1986"/>
      <c r="FH135" s="1986" t="s">
        <v>455</v>
      </c>
      <c r="FI135" s="1986"/>
      <c r="FJ135" s="1986"/>
      <c r="FK135" s="1986"/>
      <c r="FL135" s="1986"/>
      <c r="FM135" s="1986"/>
      <c r="FN135" s="1986"/>
      <c r="FO135" s="1986"/>
      <c r="FP135" s="1986"/>
      <c r="FQ135" s="1986"/>
      <c r="FR135" s="1986"/>
      <c r="FS135" s="1986"/>
      <c r="FT135" s="1986"/>
      <c r="FU135" s="1986"/>
      <c r="FV135" s="1986"/>
      <c r="FW135" s="1986"/>
      <c r="FX135" s="1986"/>
      <c r="FY135" s="1986"/>
      <c r="FZ135" s="1986"/>
      <c r="GA135" s="1986"/>
      <c r="GB135" s="1986"/>
      <c r="GC135" s="1986"/>
      <c r="GD135" s="1986"/>
      <c r="GE135" s="1986"/>
      <c r="GF135" s="1986"/>
      <c r="GG135" s="1986"/>
      <c r="GH135" s="1986"/>
      <c r="GI135" s="1986"/>
    </row>
    <row r="136" spans="1:191" s="166" customFormat="1" ht="18" customHeight="1">
      <c r="A136" s="1958"/>
      <c r="B136" s="1958"/>
      <c r="C136" s="167"/>
      <c r="D136" s="167"/>
      <c r="E136" s="218"/>
      <c r="F136" s="190"/>
      <c r="G136" s="191"/>
      <c r="H136" s="1982" t="s">
        <v>100</v>
      </c>
      <c r="I136" s="1982"/>
      <c r="J136" s="1982"/>
      <c r="K136" s="1982"/>
      <c r="L136" s="1982"/>
      <c r="M136" s="1982"/>
      <c r="N136" s="1982"/>
      <c r="O136" s="1982"/>
      <c r="P136" s="1982"/>
      <c r="Q136" s="1982"/>
      <c r="R136" s="1982"/>
      <c r="S136" s="1982"/>
      <c r="T136" s="1982"/>
      <c r="U136" s="1982"/>
      <c r="V136" s="1982"/>
      <c r="W136" s="1982"/>
      <c r="X136" s="1982"/>
      <c r="Y136" s="1982"/>
      <c r="Z136" s="1982"/>
      <c r="AA136" s="1982"/>
      <c r="AB136" s="1982"/>
      <c r="AC136" s="1982"/>
      <c r="AD136" s="1982"/>
      <c r="AE136" s="1982"/>
      <c r="AF136" s="1982"/>
      <c r="AG136" s="1982"/>
      <c r="AH136" s="1982"/>
      <c r="AI136" s="1982"/>
      <c r="AJ136" s="1982"/>
      <c r="AK136" s="1982"/>
      <c r="AL136" s="1982"/>
      <c r="AM136" s="1982"/>
      <c r="AN136" s="1982"/>
      <c r="AO136" s="1982"/>
      <c r="AP136" s="1982"/>
      <c r="AQ136" s="1982"/>
      <c r="AR136" s="1982"/>
      <c r="AS136" s="1982"/>
      <c r="AT136" s="1982"/>
      <c r="AU136" s="1982"/>
      <c r="AV136" s="1982"/>
      <c r="AW136" s="1982"/>
      <c r="AX136" s="191"/>
      <c r="AY136" s="214"/>
      <c r="AZ136" s="1961">
        <v>1576</v>
      </c>
      <c r="BA136" s="1952"/>
      <c r="BB136" s="1952"/>
      <c r="BC136" s="1952"/>
      <c r="BD136" s="1952"/>
      <c r="BE136" s="1952"/>
      <c r="BF136" s="1952"/>
      <c r="BG136" s="1952"/>
      <c r="BH136" s="1952"/>
      <c r="BI136" s="1952"/>
      <c r="BJ136" s="1952"/>
      <c r="BK136" s="1952"/>
      <c r="BL136" s="1952"/>
      <c r="BM136" s="1952"/>
      <c r="BN136" s="1952"/>
      <c r="BO136" s="1952"/>
      <c r="BP136" s="1952"/>
      <c r="BQ136" s="1952"/>
      <c r="BR136" s="1952"/>
      <c r="BS136" s="1952"/>
      <c r="BT136" s="1952"/>
      <c r="BU136" s="1952"/>
      <c r="BV136" s="1952"/>
      <c r="BW136" s="1961">
        <v>11459</v>
      </c>
      <c r="BX136" s="1952"/>
      <c r="BY136" s="1952"/>
      <c r="BZ136" s="1952"/>
      <c r="CA136" s="1952"/>
      <c r="CB136" s="1952"/>
      <c r="CC136" s="1952"/>
      <c r="CD136" s="1952"/>
      <c r="CE136" s="1952"/>
      <c r="CF136" s="1952"/>
      <c r="CG136" s="1952"/>
      <c r="CH136" s="1952"/>
      <c r="CI136" s="1952"/>
      <c r="CJ136" s="1952"/>
      <c r="CK136" s="1952"/>
      <c r="CL136" s="1952"/>
      <c r="CM136" s="1952"/>
      <c r="CN136" s="1952"/>
      <c r="CO136" s="1952"/>
      <c r="CP136" s="1961">
        <v>574813579</v>
      </c>
      <c r="CQ136" s="1952"/>
      <c r="CR136" s="1952"/>
      <c r="CS136" s="1952"/>
      <c r="CT136" s="1952"/>
      <c r="CU136" s="1952"/>
      <c r="CV136" s="1952"/>
      <c r="CW136" s="1952"/>
      <c r="CX136" s="1952"/>
      <c r="CY136" s="1952"/>
      <c r="CZ136" s="1952"/>
      <c r="DA136" s="1952"/>
      <c r="DB136" s="1952"/>
      <c r="DC136" s="1952"/>
      <c r="DD136" s="1952"/>
      <c r="DE136" s="1952"/>
      <c r="DF136" s="1952"/>
      <c r="DG136" s="1952"/>
      <c r="DH136" s="1952"/>
      <c r="DI136" s="1952"/>
      <c r="DJ136" s="1952"/>
      <c r="DK136" s="1952"/>
      <c r="DL136" s="1952"/>
      <c r="DM136" s="1952"/>
      <c r="DN136" s="1952"/>
      <c r="DO136" s="1952"/>
      <c r="DP136" s="1952"/>
      <c r="DQ136" s="1952"/>
      <c r="DR136" s="1952">
        <f>前年度貼付!$E$137</f>
        <v>1511</v>
      </c>
      <c r="DS136" s="1952"/>
      <c r="DT136" s="1952"/>
      <c r="DU136" s="1952"/>
      <c r="DV136" s="1952"/>
      <c r="DW136" s="1952"/>
      <c r="DX136" s="1952"/>
      <c r="DY136" s="1952"/>
      <c r="DZ136" s="1952"/>
      <c r="EA136" s="1952"/>
      <c r="EB136" s="1952"/>
      <c r="EC136" s="1952"/>
      <c r="ED136" s="1952"/>
      <c r="EE136" s="1952"/>
      <c r="EF136" s="1952"/>
      <c r="EG136" s="1952"/>
      <c r="EH136" s="1952"/>
      <c r="EI136" s="1952"/>
      <c r="EJ136" s="1952"/>
      <c r="EK136" s="1952"/>
      <c r="EL136" s="1952"/>
      <c r="EM136" s="1952"/>
      <c r="EN136" s="1952"/>
      <c r="EO136" s="1952">
        <f>前年度貼付!$E$152</f>
        <v>11184</v>
      </c>
      <c r="EP136" s="1952"/>
      <c r="EQ136" s="1952"/>
      <c r="ER136" s="1952"/>
      <c r="ES136" s="1952"/>
      <c r="ET136" s="1952"/>
      <c r="EU136" s="1952"/>
      <c r="EV136" s="1952"/>
      <c r="EW136" s="1952"/>
      <c r="EX136" s="1952"/>
      <c r="EY136" s="1952"/>
      <c r="EZ136" s="1952"/>
      <c r="FA136" s="1952"/>
      <c r="FB136" s="1952"/>
      <c r="FC136" s="1952"/>
      <c r="FD136" s="1952"/>
      <c r="FE136" s="1952"/>
      <c r="FF136" s="1952"/>
      <c r="FG136" s="1952"/>
      <c r="FH136" s="1952">
        <f>前年度貼付!$E$164</f>
        <v>574576335</v>
      </c>
      <c r="FI136" s="1952"/>
      <c r="FJ136" s="1952"/>
      <c r="FK136" s="1952"/>
      <c r="FL136" s="1952"/>
      <c r="FM136" s="1952"/>
      <c r="FN136" s="1952"/>
      <c r="FO136" s="1952"/>
      <c r="FP136" s="1952"/>
      <c r="FQ136" s="1952"/>
      <c r="FR136" s="1952"/>
      <c r="FS136" s="1952"/>
      <c r="FT136" s="1952"/>
      <c r="FU136" s="1952"/>
      <c r="FV136" s="1952"/>
      <c r="FW136" s="1952"/>
      <c r="FX136" s="1952"/>
      <c r="FY136" s="1952"/>
      <c r="FZ136" s="1952"/>
      <c r="GA136" s="1952"/>
      <c r="GB136" s="1952"/>
      <c r="GC136" s="1952"/>
      <c r="GD136" s="1952"/>
      <c r="GE136" s="1952"/>
      <c r="GF136" s="1952"/>
      <c r="GG136" s="1952"/>
      <c r="GH136" s="1952"/>
      <c r="GI136" s="1952"/>
    </row>
    <row r="137" spans="1:191" s="166" customFormat="1" ht="18" customHeight="1">
      <c r="A137" s="1962" t="s">
        <v>456</v>
      </c>
      <c r="B137" s="1962"/>
      <c r="C137" s="1962"/>
      <c r="D137" s="1962"/>
      <c r="E137" s="1962"/>
      <c r="F137" s="188"/>
      <c r="G137" s="189"/>
      <c r="H137" s="1932" t="s">
        <v>101</v>
      </c>
      <c r="I137" s="1932"/>
      <c r="J137" s="1932"/>
      <c r="K137" s="1932"/>
      <c r="L137" s="1932"/>
      <c r="M137" s="1932"/>
      <c r="N137" s="1932"/>
      <c r="O137" s="1932"/>
      <c r="P137" s="1932"/>
      <c r="Q137" s="1932"/>
      <c r="R137" s="1932"/>
      <c r="S137" s="1932"/>
      <c r="T137" s="1932"/>
      <c r="U137" s="1932"/>
      <c r="V137" s="1932"/>
      <c r="W137" s="1932"/>
      <c r="X137" s="1932"/>
      <c r="Y137" s="1932"/>
      <c r="Z137" s="1932"/>
      <c r="AA137" s="1932"/>
      <c r="AB137" s="1932"/>
      <c r="AC137" s="1932"/>
      <c r="AD137" s="1932"/>
      <c r="AE137" s="1932"/>
      <c r="AF137" s="1932"/>
      <c r="AG137" s="1932"/>
      <c r="AH137" s="1932"/>
      <c r="AI137" s="1932"/>
      <c r="AJ137" s="1932"/>
      <c r="AK137" s="1932"/>
      <c r="AL137" s="1932"/>
      <c r="AM137" s="1932"/>
      <c r="AN137" s="1932"/>
      <c r="AO137" s="1932"/>
      <c r="AP137" s="1932"/>
      <c r="AQ137" s="1932"/>
      <c r="AR137" s="1932"/>
      <c r="AS137" s="1932"/>
      <c r="AT137" s="1932"/>
      <c r="AU137" s="1932"/>
      <c r="AV137" s="1932"/>
      <c r="AW137" s="1932"/>
      <c r="AX137" s="189"/>
      <c r="AY137" s="197"/>
      <c r="AZ137" s="1961">
        <v>153520</v>
      </c>
      <c r="BA137" s="1952"/>
      <c r="BB137" s="1952"/>
      <c r="BC137" s="1952"/>
      <c r="BD137" s="1952"/>
      <c r="BE137" s="1952"/>
      <c r="BF137" s="1952"/>
      <c r="BG137" s="1952"/>
      <c r="BH137" s="1952"/>
      <c r="BI137" s="1952"/>
      <c r="BJ137" s="1952"/>
      <c r="BK137" s="1952"/>
      <c r="BL137" s="1952"/>
      <c r="BM137" s="1952"/>
      <c r="BN137" s="1952"/>
      <c r="BO137" s="1952"/>
      <c r="BP137" s="1952"/>
      <c r="BQ137" s="1952"/>
      <c r="BR137" s="1952"/>
      <c r="BS137" s="1952"/>
      <c r="BT137" s="1952"/>
      <c r="BU137" s="1952"/>
      <c r="BV137" s="1952"/>
      <c r="BW137" s="1961">
        <v>208152</v>
      </c>
      <c r="BX137" s="1952"/>
      <c r="BY137" s="1952"/>
      <c r="BZ137" s="1952"/>
      <c r="CA137" s="1952"/>
      <c r="CB137" s="1952"/>
      <c r="CC137" s="1952"/>
      <c r="CD137" s="1952"/>
      <c r="CE137" s="1952"/>
      <c r="CF137" s="1952"/>
      <c r="CG137" s="1952"/>
      <c r="CH137" s="1952"/>
      <c r="CI137" s="1952"/>
      <c r="CJ137" s="1952"/>
      <c r="CK137" s="1952"/>
      <c r="CL137" s="1952"/>
      <c r="CM137" s="1952"/>
      <c r="CN137" s="1952"/>
      <c r="CO137" s="1952"/>
      <c r="CP137" s="1961">
        <v>1316199270</v>
      </c>
      <c r="CQ137" s="1952"/>
      <c r="CR137" s="1952"/>
      <c r="CS137" s="1952"/>
      <c r="CT137" s="1952"/>
      <c r="CU137" s="1952"/>
      <c r="CV137" s="1952"/>
      <c r="CW137" s="1952"/>
      <c r="CX137" s="1952"/>
      <c r="CY137" s="1952"/>
      <c r="CZ137" s="1952"/>
      <c r="DA137" s="1952"/>
      <c r="DB137" s="1952"/>
      <c r="DC137" s="1952"/>
      <c r="DD137" s="1952"/>
      <c r="DE137" s="1952"/>
      <c r="DF137" s="1952"/>
      <c r="DG137" s="1952"/>
      <c r="DH137" s="1952"/>
      <c r="DI137" s="1952"/>
      <c r="DJ137" s="1952"/>
      <c r="DK137" s="1952"/>
      <c r="DL137" s="1952"/>
      <c r="DM137" s="1952"/>
      <c r="DN137" s="1952"/>
      <c r="DO137" s="1952"/>
      <c r="DP137" s="1952"/>
      <c r="DQ137" s="1952"/>
      <c r="DR137" s="1952">
        <f>前年度貼付!$E$138</f>
        <v>152883</v>
      </c>
      <c r="DS137" s="1952"/>
      <c r="DT137" s="1952"/>
      <c r="DU137" s="1952"/>
      <c r="DV137" s="1952"/>
      <c r="DW137" s="1952"/>
      <c r="DX137" s="1952"/>
      <c r="DY137" s="1952"/>
      <c r="DZ137" s="1952"/>
      <c r="EA137" s="1952"/>
      <c r="EB137" s="1952"/>
      <c r="EC137" s="1952"/>
      <c r="ED137" s="1952"/>
      <c r="EE137" s="1952"/>
      <c r="EF137" s="1952"/>
      <c r="EG137" s="1952"/>
      <c r="EH137" s="1952"/>
      <c r="EI137" s="1952"/>
      <c r="EJ137" s="1952"/>
      <c r="EK137" s="1952"/>
      <c r="EL137" s="1952"/>
      <c r="EM137" s="1952"/>
      <c r="EN137" s="1952"/>
      <c r="EO137" s="1952">
        <f>前年度貼付!$E$153</f>
        <v>207756</v>
      </c>
      <c r="EP137" s="1952"/>
      <c r="EQ137" s="1952"/>
      <c r="ER137" s="1952"/>
      <c r="ES137" s="1952"/>
      <c r="ET137" s="1952"/>
      <c r="EU137" s="1952"/>
      <c r="EV137" s="1952"/>
      <c r="EW137" s="1952"/>
      <c r="EX137" s="1952"/>
      <c r="EY137" s="1952"/>
      <c r="EZ137" s="1952"/>
      <c r="FA137" s="1952"/>
      <c r="FB137" s="1952"/>
      <c r="FC137" s="1952"/>
      <c r="FD137" s="1952"/>
      <c r="FE137" s="1952"/>
      <c r="FF137" s="1952"/>
      <c r="FG137" s="1952"/>
      <c r="FH137" s="1952">
        <f>前年度貼付!$E$165</f>
        <v>1271252147</v>
      </c>
      <c r="FI137" s="1952"/>
      <c r="FJ137" s="1952"/>
      <c r="FK137" s="1952"/>
      <c r="FL137" s="1952"/>
      <c r="FM137" s="1952"/>
      <c r="FN137" s="1952"/>
      <c r="FO137" s="1952"/>
      <c r="FP137" s="1952"/>
      <c r="FQ137" s="1952"/>
      <c r="FR137" s="1952"/>
      <c r="FS137" s="1952"/>
      <c r="FT137" s="1952"/>
      <c r="FU137" s="1952"/>
      <c r="FV137" s="1952"/>
      <c r="FW137" s="1952"/>
      <c r="FX137" s="1952"/>
      <c r="FY137" s="1952"/>
      <c r="FZ137" s="1952"/>
      <c r="GA137" s="1952"/>
      <c r="GB137" s="1952"/>
      <c r="GC137" s="1952"/>
      <c r="GD137" s="1952"/>
      <c r="GE137" s="1952"/>
      <c r="GF137" s="1952"/>
      <c r="GG137" s="1952"/>
      <c r="GH137" s="1952"/>
      <c r="GI137" s="1952"/>
    </row>
    <row r="138" spans="1:191" s="166" customFormat="1" ht="18" customHeight="1">
      <c r="A138" s="1958"/>
      <c r="B138" s="1958"/>
      <c r="C138" s="167"/>
      <c r="D138" s="167"/>
      <c r="E138" s="218"/>
      <c r="F138" s="188"/>
      <c r="G138" s="189"/>
      <c r="H138" s="1932" t="s">
        <v>102</v>
      </c>
      <c r="I138" s="1932"/>
      <c r="J138" s="1932"/>
      <c r="K138" s="1932"/>
      <c r="L138" s="1932"/>
      <c r="M138" s="1932"/>
      <c r="N138" s="1932"/>
      <c r="O138" s="1932"/>
      <c r="P138" s="1932"/>
      <c r="Q138" s="1932"/>
      <c r="R138" s="1932"/>
      <c r="S138" s="1932"/>
      <c r="T138" s="1932"/>
      <c r="U138" s="1932"/>
      <c r="V138" s="1932"/>
      <c r="W138" s="1932"/>
      <c r="X138" s="1932"/>
      <c r="Y138" s="1932"/>
      <c r="Z138" s="1932"/>
      <c r="AA138" s="1932"/>
      <c r="AB138" s="1932"/>
      <c r="AC138" s="1932"/>
      <c r="AD138" s="1932"/>
      <c r="AE138" s="1932"/>
      <c r="AF138" s="1932"/>
      <c r="AG138" s="1932"/>
      <c r="AH138" s="1932"/>
      <c r="AI138" s="1932"/>
      <c r="AJ138" s="1932"/>
      <c r="AK138" s="1932"/>
      <c r="AL138" s="1932"/>
      <c r="AM138" s="1932"/>
      <c r="AN138" s="1932"/>
      <c r="AO138" s="1932"/>
      <c r="AP138" s="1932"/>
      <c r="AQ138" s="1932"/>
      <c r="AR138" s="1932"/>
      <c r="AS138" s="1932"/>
      <c r="AT138" s="1932"/>
      <c r="AU138" s="1932"/>
      <c r="AV138" s="1932"/>
      <c r="AW138" s="1932"/>
      <c r="AX138" s="189"/>
      <c r="AY138" s="197"/>
      <c r="AZ138" s="1961">
        <v>42061</v>
      </c>
      <c r="BA138" s="1952"/>
      <c r="BB138" s="1952"/>
      <c r="BC138" s="1952"/>
      <c r="BD138" s="1952"/>
      <c r="BE138" s="1952"/>
      <c r="BF138" s="1952"/>
      <c r="BG138" s="1952"/>
      <c r="BH138" s="1952"/>
      <c r="BI138" s="1952"/>
      <c r="BJ138" s="1952"/>
      <c r="BK138" s="1952"/>
      <c r="BL138" s="1952"/>
      <c r="BM138" s="1952"/>
      <c r="BN138" s="1952"/>
      <c r="BO138" s="1952"/>
      <c r="BP138" s="1952"/>
      <c r="BQ138" s="1952"/>
      <c r="BR138" s="1952"/>
      <c r="BS138" s="1952"/>
      <c r="BT138" s="1952"/>
      <c r="BU138" s="1952"/>
      <c r="BV138" s="1952"/>
      <c r="BW138" s="1961">
        <v>59708</v>
      </c>
      <c r="BX138" s="1952"/>
      <c r="BY138" s="1952"/>
      <c r="BZ138" s="1952"/>
      <c r="CA138" s="1952"/>
      <c r="CB138" s="1952"/>
      <c r="CC138" s="1952"/>
      <c r="CD138" s="1952"/>
      <c r="CE138" s="1952"/>
      <c r="CF138" s="1952"/>
      <c r="CG138" s="1952"/>
      <c r="CH138" s="1952"/>
      <c r="CI138" s="1952"/>
      <c r="CJ138" s="1952"/>
      <c r="CK138" s="1952"/>
      <c r="CL138" s="1952"/>
      <c r="CM138" s="1952"/>
      <c r="CN138" s="1952"/>
      <c r="CO138" s="1952"/>
      <c r="CP138" s="1961">
        <v>376468225</v>
      </c>
      <c r="CQ138" s="1952"/>
      <c r="CR138" s="1952"/>
      <c r="CS138" s="1952"/>
      <c r="CT138" s="1952"/>
      <c r="CU138" s="1952"/>
      <c r="CV138" s="1952"/>
      <c r="CW138" s="1952"/>
      <c r="CX138" s="1952"/>
      <c r="CY138" s="1952"/>
      <c r="CZ138" s="1952"/>
      <c r="DA138" s="1952"/>
      <c r="DB138" s="1952"/>
      <c r="DC138" s="1952"/>
      <c r="DD138" s="1952"/>
      <c r="DE138" s="1952"/>
      <c r="DF138" s="1952"/>
      <c r="DG138" s="1952"/>
      <c r="DH138" s="1952"/>
      <c r="DI138" s="1952"/>
      <c r="DJ138" s="1952"/>
      <c r="DK138" s="1952"/>
      <c r="DL138" s="1952"/>
      <c r="DM138" s="1952"/>
      <c r="DN138" s="1952"/>
      <c r="DO138" s="1952"/>
      <c r="DP138" s="1952"/>
      <c r="DQ138" s="1952"/>
      <c r="DR138" s="1952">
        <f>前年度貼付!$E$139</f>
        <v>40341</v>
      </c>
      <c r="DS138" s="1952"/>
      <c r="DT138" s="1952"/>
      <c r="DU138" s="1952"/>
      <c r="DV138" s="1952"/>
      <c r="DW138" s="1952"/>
      <c r="DX138" s="1952"/>
      <c r="DY138" s="1952"/>
      <c r="DZ138" s="1952"/>
      <c r="EA138" s="1952"/>
      <c r="EB138" s="1952"/>
      <c r="EC138" s="1952"/>
      <c r="ED138" s="1952"/>
      <c r="EE138" s="1952"/>
      <c r="EF138" s="1952"/>
      <c r="EG138" s="1952"/>
      <c r="EH138" s="1952"/>
      <c r="EI138" s="1952"/>
      <c r="EJ138" s="1952"/>
      <c r="EK138" s="1952"/>
      <c r="EL138" s="1952"/>
      <c r="EM138" s="1952"/>
      <c r="EN138" s="1952"/>
      <c r="EO138" s="1952">
        <f>前年度貼付!$E$154</f>
        <v>58484</v>
      </c>
      <c r="EP138" s="1952"/>
      <c r="EQ138" s="1952"/>
      <c r="ER138" s="1952"/>
      <c r="ES138" s="1952"/>
      <c r="ET138" s="1952"/>
      <c r="EU138" s="1952"/>
      <c r="EV138" s="1952"/>
      <c r="EW138" s="1952"/>
      <c r="EX138" s="1952"/>
      <c r="EY138" s="1952"/>
      <c r="EZ138" s="1952"/>
      <c r="FA138" s="1952"/>
      <c r="FB138" s="1952"/>
      <c r="FC138" s="1952"/>
      <c r="FD138" s="1952"/>
      <c r="FE138" s="1952"/>
      <c r="FF138" s="1952"/>
      <c r="FG138" s="1952"/>
      <c r="FH138" s="1952">
        <f>前年度貼付!$E$166</f>
        <v>357934088</v>
      </c>
      <c r="FI138" s="1952"/>
      <c r="FJ138" s="1952"/>
      <c r="FK138" s="1952"/>
      <c r="FL138" s="1952"/>
      <c r="FM138" s="1952"/>
      <c r="FN138" s="1952"/>
      <c r="FO138" s="1952"/>
      <c r="FP138" s="1952"/>
      <c r="FQ138" s="1952"/>
      <c r="FR138" s="1952"/>
      <c r="FS138" s="1952"/>
      <c r="FT138" s="1952"/>
      <c r="FU138" s="1952"/>
      <c r="FV138" s="1952"/>
      <c r="FW138" s="1952"/>
      <c r="FX138" s="1952"/>
      <c r="FY138" s="1952"/>
      <c r="FZ138" s="1952"/>
      <c r="GA138" s="1952"/>
      <c r="GB138" s="1952"/>
      <c r="GC138" s="1952"/>
      <c r="GD138" s="1952"/>
      <c r="GE138" s="1952"/>
      <c r="GF138" s="1952"/>
      <c r="GG138" s="1952"/>
      <c r="GH138" s="1952"/>
      <c r="GI138" s="1952"/>
    </row>
    <row r="139" spans="1:191" s="166" customFormat="1" ht="25.5" customHeight="1">
      <c r="A139" s="1958"/>
      <c r="B139" s="1958"/>
      <c r="C139" s="167"/>
      <c r="D139" s="167"/>
      <c r="E139" s="218"/>
      <c r="F139" s="188"/>
      <c r="G139" s="189"/>
      <c r="H139" s="1969" t="s">
        <v>434</v>
      </c>
      <c r="I139" s="1969"/>
      <c r="J139" s="1969"/>
      <c r="K139" s="1969"/>
      <c r="L139" s="1969"/>
      <c r="M139" s="1969"/>
      <c r="N139" s="1969"/>
      <c r="O139" s="1969"/>
      <c r="P139" s="1969"/>
      <c r="Q139" s="1969"/>
      <c r="R139" s="1969"/>
      <c r="S139" s="1969"/>
      <c r="T139" s="1969"/>
      <c r="U139" s="1969"/>
      <c r="V139" s="1969"/>
      <c r="W139" s="1969"/>
      <c r="X139" s="1969"/>
      <c r="Y139" s="1969"/>
      <c r="Z139" s="1969"/>
      <c r="AA139" s="1969"/>
      <c r="AB139" s="1969"/>
      <c r="AC139" s="1969"/>
      <c r="AD139" s="1969"/>
      <c r="AE139" s="1969"/>
      <c r="AF139" s="1969"/>
      <c r="AG139" s="1969"/>
      <c r="AH139" s="1969"/>
      <c r="AI139" s="1969"/>
      <c r="AJ139" s="1969"/>
      <c r="AK139" s="1969"/>
      <c r="AL139" s="1969"/>
      <c r="AM139" s="1969"/>
      <c r="AN139" s="1969"/>
      <c r="AO139" s="1969"/>
      <c r="AP139" s="1969"/>
      <c r="AQ139" s="1969"/>
      <c r="AR139" s="1969"/>
      <c r="AS139" s="1969"/>
      <c r="AT139" s="1969"/>
      <c r="AU139" s="1969"/>
      <c r="AV139" s="1969"/>
      <c r="AW139" s="1969"/>
      <c r="AX139" s="189"/>
      <c r="AY139" s="197"/>
      <c r="AZ139" s="1959">
        <v>1312</v>
      </c>
      <c r="BA139" s="1960"/>
      <c r="BB139" s="1960"/>
      <c r="BC139" s="1960"/>
      <c r="BD139" s="1960"/>
      <c r="BE139" s="1960"/>
      <c r="BF139" s="1960"/>
      <c r="BG139" s="1960"/>
      <c r="BH139" s="1960"/>
      <c r="BI139" s="1960"/>
      <c r="BJ139" s="1960"/>
      <c r="BK139" s="1960"/>
      <c r="BL139" s="1960"/>
      <c r="BM139" s="1960"/>
      <c r="BN139" s="1960"/>
      <c r="BO139" s="1960"/>
      <c r="BP139" s="1960"/>
      <c r="BQ139" s="1960"/>
      <c r="BR139" s="1960"/>
      <c r="BS139" s="1960"/>
      <c r="BT139" s="1960"/>
      <c r="BU139" s="1960"/>
      <c r="BV139" s="1960"/>
      <c r="BW139" s="1980">
        <v>24331</v>
      </c>
      <c r="BX139" s="1981"/>
      <c r="BY139" s="1981"/>
      <c r="BZ139" s="1981"/>
      <c r="CA139" s="1981"/>
      <c r="CB139" s="1981"/>
      <c r="CC139" s="1981"/>
      <c r="CD139" s="1981"/>
      <c r="CE139" s="1981"/>
      <c r="CF139" s="1981"/>
      <c r="CG139" s="1981"/>
      <c r="CH139" s="1981"/>
      <c r="CI139" s="1981"/>
      <c r="CJ139" s="1981"/>
      <c r="CK139" s="1981"/>
      <c r="CL139" s="1981"/>
      <c r="CM139" s="1981"/>
      <c r="CN139" s="1981"/>
      <c r="CO139" s="1981"/>
      <c r="CP139" s="1961">
        <v>5084491</v>
      </c>
      <c r="CQ139" s="1952"/>
      <c r="CR139" s="1952"/>
      <c r="CS139" s="1952"/>
      <c r="CT139" s="1952"/>
      <c r="CU139" s="1952"/>
      <c r="CV139" s="1952"/>
      <c r="CW139" s="1952"/>
      <c r="CX139" s="1952"/>
      <c r="CY139" s="1952"/>
      <c r="CZ139" s="1952"/>
      <c r="DA139" s="1952"/>
      <c r="DB139" s="1952"/>
      <c r="DC139" s="1952"/>
      <c r="DD139" s="1952"/>
      <c r="DE139" s="1952"/>
      <c r="DF139" s="1952"/>
      <c r="DG139" s="1952"/>
      <c r="DH139" s="1952"/>
      <c r="DI139" s="1952"/>
      <c r="DJ139" s="1952"/>
      <c r="DK139" s="1952"/>
      <c r="DL139" s="1952"/>
      <c r="DM139" s="1952"/>
      <c r="DN139" s="1952"/>
      <c r="DO139" s="1952"/>
      <c r="DP139" s="1952"/>
      <c r="DQ139" s="1952"/>
      <c r="DR139" s="1960">
        <f>前年度貼付!$E$140</f>
        <v>1274</v>
      </c>
      <c r="DS139" s="1960"/>
      <c r="DT139" s="1960"/>
      <c r="DU139" s="1960"/>
      <c r="DV139" s="1960"/>
      <c r="DW139" s="1960"/>
      <c r="DX139" s="1960"/>
      <c r="DY139" s="1960"/>
      <c r="DZ139" s="1960"/>
      <c r="EA139" s="1960"/>
      <c r="EB139" s="1960"/>
      <c r="EC139" s="1960"/>
      <c r="ED139" s="1960"/>
      <c r="EE139" s="1960"/>
      <c r="EF139" s="1960"/>
      <c r="EG139" s="1960"/>
      <c r="EH139" s="1960"/>
      <c r="EI139" s="1960"/>
      <c r="EJ139" s="1960"/>
      <c r="EK139" s="1960"/>
      <c r="EL139" s="1960"/>
      <c r="EM139" s="1960"/>
      <c r="EN139" s="1960"/>
      <c r="EO139" s="1981">
        <f>前年度貼付!$E$155</f>
        <v>23538</v>
      </c>
      <c r="EP139" s="1981"/>
      <c r="EQ139" s="1981"/>
      <c r="ER139" s="1981"/>
      <c r="ES139" s="1981"/>
      <c r="ET139" s="1981"/>
      <c r="EU139" s="1981"/>
      <c r="EV139" s="1981"/>
      <c r="EW139" s="1981"/>
      <c r="EX139" s="1981"/>
      <c r="EY139" s="1981"/>
      <c r="EZ139" s="1981"/>
      <c r="FA139" s="1981"/>
      <c r="FB139" s="1981"/>
      <c r="FC139" s="1981"/>
      <c r="FD139" s="1981"/>
      <c r="FE139" s="1981"/>
      <c r="FF139" s="1981"/>
      <c r="FG139" s="1981"/>
      <c r="FH139" s="1952">
        <f>前年度貼付!$E$167</f>
        <v>4984573</v>
      </c>
      <c r="FI139" s="1952"/>
      <c r="FJ139" s="1952"/>
      <c r="FK139" s="1952"/>
      <c r="FL139" s="1952"/>
      <c r="FM139" s="1952"/>
      <c r="FN139" s="1952"/>
      <c r="FO139" s="1952"/>
      <c r="FP139" s="1952"/>
      <c r="FQ139" s="1952"/>
      <c r="FR139" s="1952"/>
      <c r="FS139" s="1952"/>
      <c r="FT139" s="1952"/>
      <c r="FU139" s="1952"/>
      <c r="FV139" s="1952"/>
      <c r="FW139" s="1952"/>
      <c r="FX139" s="1952"/>
      <c r="FY139" s="1952"/>
      <c r="FZ139" s="1952"/>
      <c r="GA139" s="1952"/>
      <c r="GB139" s="1952"/>
      <c r="GC139" s="1952"/>
      <c r="GD139" s="1952"/>
      <c r="GE139" s="1952"/>
      <c r="GF139" s="1952"/>
      <c r="GG139" s="1952"/>
      <c r="GH139" s="1952"/>
      <c r="GI139" s="1952"/>
    </row>
    <row r="140" spans="1:191" s="166" customFormat="1" ht="15" customHeight="1">
      <c r="A140" s="1958"/>
      <c r="B140" s="1958"/>
      <c r="C140" s="167"/>
      <c r="D140" s="167"/>
      <c r="E140" s="218"/>
      <c r="F140" s="219"/>
      <c r="G140" s="211"/>
      <c r="H140" s="1932" t="s">
        <v>61</v>
      </c>
      <c r="I140" s="1932"/>
      <c r="J140" s="1932"/>
      <c r="K140" s="1932"/>
      <c r="L140" s="1932"/>
      <c r="M140" s="1932"/>
      <c r="N140" s="1932"/>
      <c r="O140" s="1932"/>
      <c r="P140" s="1932"/>
      <c r="Q140" s="1932"/>
      <c r="R140" s="1932"/>
      <c r="S140" s="1932"/>
      <c r="T140" s="1932"/>
      <c r="U140" s="1932"/>
      <c r="V140" s="1932"/>
      <c r="W140" s="1932"/>
      <c r="X140" s="1932"/>
      <c r="Y140" s="1932"/>
      <c r="Z140" s="1932"/>
      <c r="AA140" s="1932"/>
      <c r="AB140" s="1932"/>
      <c r="AC140" s="1932"/>
      <c r="AD140" s="1932"/>
      <c r="AE140" s="1932"/>
      <c r="AF140" s="1932"/>
      <c r="AG140" s="1932"/>
      <c r="AH140" s="1932"/>
      <c r="AI140" s="1932"/>
      <c r="AJ140" s="1932"/>
      <c r="AK140" s="1932"/>
      <c r="AL140" s="1932"/>
      <c r="AM140" s="1932"/>
      <c r="AN140" s="1932"/>
      <c r="AO140" s="1932"/>
      <c r="AP140" s="1932"/>
      <c r="AQ140" s="1932"/>
      <c r="AR140" s="1932"/>
      <c r="AS140" s="1932"/>
      <c r="AT140" s="1932"/>
      <c r="AU140" s="1932"/>
      <c r="AV140" s="1932"/>
      <c r="AW140" s="1932"/>
      <c r="AX140" s="211"/>
      <c r="AY140" s="220"/>
      <c r="AZ140" s="1975"/>
      <c r="BA140" s="1975"/>
      <c r="BB140" s="1975"/>
      <c r="BC140" s="1975"/>
      <c r="BD140" s="1975"/>
      <c r="BE140" s="1975"/>
      <c r="BF140" s="1975"/>
      <c r="BG140" s="1975"/>
      <c r="BH140" s="1975"/>
      <c r="BI140" s="1975"/>
      <c r="BJ140" s="1975"/>
      <c r="BK140" s="1975"/>
      <c r="BL140" s="1975"/>
      <c r="BM140" s="1975"/>
      <c r="BN140" s="1975"/>
      <c r="BO140" s="1975"/>
      <c r="BP140" s="1975"/>
      <c r="BQ140" s="1975"/>
      <c r="BR140" s="1975"/>
      <c r="BS140" s="1975"/>
      <c r="BT140" s="1975"/>
      <c r="BU140" s="1975"/>
      <c r="BV140" s="1975"/>
      <c r="BW140" s="1975"/>
      <c r="BX140" s="1975"/>
      <c r="BY140" s="1975"/>
      <c r="BZ140" s="1975"/>
      <c r="CA140" s="1975"/>
      <c r="CB140" s="1975"/>
      <c r="CC140" s="1975"/>
      <c r="CD140" s="1975"/>
      <c r="CE140" s="1975"/>
      <c r="CF140" s="1975"/>
      <c r="CG140" s="1975"/>
      <c r="CH140" s="1975"/>
      <c r="CI140" s="1975"/>
      <c r="CJ140" s="1975"/>
      <c r="CK140" s="1975"/>
      <c r="CL140" s="1975"/>
      <c r="CM140" s="1975"/>
      <c r="CN140" s="1975"/>
      <c r="CO140" s="1975"/>
      <c r="CP140" s="1976"/>
      <c r="CQ140" s="1976"/>
      <c r="CR140" s="1976"/>
      <c r="CS140" s="1976"/>
      <c r="CT140" s="1976"/>
      <c r="CU140" s="1976"/>
      <c r="CV140" s="1976"/>
      <c r="CW140" s="1976"/>
      <c r="CX140" s="1976"/>
      <c r="CY140" s="1976"/>
      <c r="CZ140" s="1976"/>
      <c r="DA140" s="1976"/>
      <c r="DB140" s="1976"/>
      <c r="DC140" s="1976"/>
      <c r="DD140" s="1976"/>
      <c r="DE140" s="1976"/>
      <c r="DF140" s="1976"/>
      <c r="DG140" s="1976"/>
      <c r="DH140" s="1976"/>
      <c r="DI140" s="1976"/>
      <c r="DJ140" s="1976"/>
      <c r="DK140" s="1976"/>
      <c r="DL140" s="1976"/>
      <c r="DM140" s="1976"/>
      <c r="DN140" s="1976"/>
      <c r="DO140" s="1976"/>
      <c r="DP140" s="1976"/>
      <c r="DQ140" s="1976"/>
      <c r="DR140" s="1975"/>
      <c r="DS140" s="1975"/>
      <c r="DT140" s="1975"/>
      <c r="DU140" s="1975"/>
      <c r="DV140" s="1975"/>
      <c r="DW140" s="1975"/>
      <c r="DX140" s="1975"/>
      <c r="DY140" s="1975"/>
      <c r="DZ140" s="1975"/>
      <c r="EA140" s="1975"/>
      <c r="EB140" s="1975"/>
      <c r="EC140" s="1975"/>
      <c r="ED140" s="1975"/>
      <c r="EE140" s="1975"/>
      <c r="EF140" s="1975"/>
      <c r="EG140" s="1975"/>
      <c r="EH140" s="1975"/>
      <c r="EI140" s="1975"/>
      <c r="EJ140" s="1975"/>
      <c r="EK140" s="1975"/>
      <c r="EL140" s="1975"/>
      <c r="EM140" s="1975"/>
      <c r="EN140" s="1975"/>
      <c r="EO140" s="1975"/>
      <c r="EP140" s="1975"/>
      <c r="EQ140" s="1975"/>
      <c r="ER140" s="1975"/>
      <c r="ES140" s="1975"/>
      <c r="ET140" s="1975"/>
      <c r="EU140" s="1975"/>
      <c r="EV140" s="1975"/>
      <c r="EW140" s="1975"/>
      <c r="EX140" s="1975"/>
      <c r="EY140" s="1975"/>
      <c r="EZ140" s="1975"/>
      <c r="FA140" s="1975"/>
      <c r="FB140" s="1975"/>
      <c r="FC140" s="1975"/>
      <c r="FD140" s="1975"/>
      <c r="FE140" s="1975"/>
      <c r="FF140" s="1975"/>
      <c r="FG140" s="1975"/>
      <c r="FH140" s="1976"/>
      <c r="FI140" s="1976"/>
      <c r="FJ140" s="1976"/>
      <c r="FK140" s="1976"/>
      <c r="FL140" s="1976"/>
      <c r="FM140" s="1976"/>
      <c r="FN140" s="1976"/>
      <c r="FO140" s="1976"/>
      <c r="FP140" s="1976"/>
      <c r="FQ140" s="1976"/>
      <c r="FR140" s="1976"/>
      <c r="FS140" s="1976"/>
      <c r="FT140" s="1976"/>
      <c r="FU140" s="1976"/>
      <c r="FV140" s="1976"/>
      <c r="FW140" s="1976"/>
      <c r="FX140" s="1976"/>
      <c r="FY140" s="1976"/>
      <c r="FZ140" s="1976"/>
      <c r="GA140" s="1976"/>
      <c r="GB140" s="1976"/>
      <c r="GC140" s="1976"/>
      <c r="GD140" s="1976"/>
      <c r="GE140" s="1976"/>
      <c r="GF140" s="1976"/>
      <c r="GG140" s="1976"/>
      <c r="GH140" s="1976"/>
      <c r="GI140" s="1976"/>
    </row>
    <row r="141" spans="1:191" s="166" customFormat="1" ht="18" customHeight="1">
      <c r="A141" s="1958"/>
      <c r="B141" s="1958"/>
      <c r="C141" s="167"/>
      <c r="D141" s="167"/>
      <c r="E141" s="218"/>
      <c r="F141" s="190"/>
      <c r="G141" s="191"/>
      <c r="H141" s="1932"/>
      <c r="I141" s="1932"/>
      <c r="J141" s="1932"/>
      <c r="K141" s="1932"/>
      <c r="L141" s="1932"/>
      <c r="M141" s="1932"/>
      <c r="N141" s="1932"/>
      <c r="O141" s="1932"/>
      <c r="P141" s="1932"/>
      <c r="Q141" s="1932"/>
      <c r="R141" s="1932"/>
      <c r="S141" s="1932"/>
      <c r="T141" s="1932"/>
      <c r="U141" s="1932"/>
      <c r="V141" s="1932"/>
      <c r="W141" s="1932"/>
      <c r="X141" s="1932"/>
      <c r="Y141" s="1932"/>
      <c r="Z141" s="1932"/>
      <c r="AA141" s="1932"/>
      <c r="AB141" s="1932"/>
      <c r="AC141" s="1932"/>
      <c r="AD141" s="1932"/>
      <c r="AE141" s="1932"/>
      <c r="AF141" s="1932"/>
      <c r="AG141" s="1932"/>
      <c r="AH141" s="1932"/>
      <c r="AI141" s="1932"/>
      <c r="AJ141" s="1932"/>
      <c r="AK141" s="1932"/>
      <c r="AL141" s="1932"/>
      <c r="AM141" s="1932"/>
      <c r="AN141" s="1932"/>
      <c r="AO141" s="1932"/>
      <c r="AP141" s="1932"/>
      <c r="AQ141" s="1932"/>
      <c r="AR141" s="1932"/>
      <c r="AS141" s="1932"/>
      <c r="AT141" s="1932"/>
      <c r="AU141" s="1932"/>
      <c r="AV141" s="1932"/>
      <c r="AW141" s="1932"/>
      <c r="AX141" s="191"/>
      <c r="AY141" s="214"/>
      <c r="AZ141" s="1977">
        <v>106878</v>
      </c>
      <c r="BA141" s="1978"/>
      <c r="BB141" s="1978"/>
      <c r="BC141" s="1978"/>
      <c r="BD141" s="1978"/>
      <c r="BE141" s="1978"/>
      <c r="BF141" s="1978"/>
      <c r="BG141" s="1978"/>
      <c r="BH141" s="1978"/>
      <c r="BI141" s="1978"/>
      <c r="BJ141" s="1978"/>
      <c r="BK141" s="1978"/>
      <c r="BL141" s="1978"/>
      <c r="BM141" s="1978"/>
      <c r="BN141" s="1978"/>
      <c r="BO141" s="1978"/>
      <c r="BP141" s="1978"/>
      <c r="BQ141" s="1978"/>
      <c r="BR141" s="1978"/>
      <c r="BS141" s="1978"/>
      <c r="BT141" s="1978"/>
      <c r="BU141" s="1978"/>
      <c r="BV141" s="1978"/>
      <c r="BW141" s="1977">
        <v>122721</v>
      </c>
      <c r="BX141" s="1978"/>
      <c r="BY141" s="1978"/>
      <c r="BZ141" s="1978"/>
      <c r="CA141" s="1978"/>
      <c r="CB141" s="1978"/>
      <c r="CC141" s="1978"/>
      <c r="CD141" s="1978"/>
      <c r="CE141" s="1978"/>
      <c r="CF141" s="1978"/>
      <c r="CG141" s="1978"/>
      <c r="CH141" s="1978"/>
      <c r="CI141" s="1978"/>
      <c r="CJ141" s="1978"/>
      <c r="CK141" s="1978"/>
      <c r="CL141" s="1978"/>
      <c r="CM141" s="1978"/>
      <c r="CN141" s="1978"/>
      <c r="CO141" s="1978"/>
      <c r="CP141" s="1979">
        <v>689489860</v>
      </c>
      <c r="CQ141" s="1964"/>
      <c r="CR141" s="1964"/>
      <c r="CS141" s="1964"/>
      <c r="CT141" s="1964"/>
      <c r="CU141" s="1964"/>
      <c r="CV141" s="1964"/>
      <c r="CW141" s="1964"/>
      <c r="CX141" s="1964"/>
      <c r="CY141" s="1964"/>
      <c r="CZ141" s="1964"/>
      <c r="DA141" s="1964"/>
      <c r="DB141" s="1964"/>
      <c r="DC141" s="1964"/>
      <c r="DD141" s="1964"/>
      <c r="DE141" s="1964"/>
      <c r="DF141" s="1964"/>
      <c r="DG141" s="1964"/>
      <c r="DH141" s="1964"/>
      <c r="DI141" s="1964"/>
      <c r="DJ141" s="1964"/>
      <c r="DK141" s="1964"/>
      <c r="DL141" s="1964"/>
      <c r="DM141" s="1964"/>
      <c r="DN141" s="1964"/>
      <c r="DO141" s="1964"/>
      <c r="DP141" s="1964"/>
      <c r="DQ141" s="1964"/>
      <c r="DR141" s="1978">
        <f>前年度貼付!$E$141</f>
        <v>105406</v>
      </c>
      <c r="DS141" s="1978"/>
      <c r="DT141" s="1978"/>
      <c r="DU141" s="1978"/>
      <c r="DV141" s="1978"/>
      <c r="DW141" s="1978"/>
      <c r="DX141" s="1978"/>
      <c r="DY141" s="1978"/>
      <c r="DZ141" s="1978"/>
      <c r="EA141" s="1978"/>
      <c r="EB141" s="1978"/>
      <c r="EC141" s="1978"/>
      <c r="ED141" s="1978"/>
      <c r="EE141" s="1978"/>
      <c r="EF141" s="1978"/>
      <c r="EG141" s="1978"/>
      <c r="EH141" s="1978"/>
      <c r="EI141" s="1978"/>
      <c r="EJ141" s="1978"/>
      <c r="EK141" s="1978"/>
      <c r="EL141" s="1978"/>
      <c r="EM141" s="1978"/>
      <c r="EN141" s="1978"/>
      <c r="EO141" s="1978">
        <f>前年度貼付!$E$156</f>
        <v>121864</v>
      </c>
      <c r="EP141" s="1978"/>
      <c r="EQ141" s="1978"/>
      <c r="ER141" s="1978"/>
      <c r="ES141" s="1978"/>
      <c r="ET141" s="1978"/>
      <c r="EU141" s="1978"/>
      <c r="EV141" s="1978"/>
      <c r="EW141" s="1978"/>
      <c r="EX141" s="1978"/>
      <c r="EY141" s="1978"/>
      <c r="EZ141" s="1978"/>
      <c r="FA141" s="1978"/>
      <c r="FB141" s="1978"/>
      <c r="FC141" s="1978"/>
      <c r="FD141" s="1978"/>
      <c r="FE141" s="1978"/>
      <c r="FF141" s="1978"/>
      <c r="FG141" s="1978"/>
      <c r="FH141" s="1964">
        <f>前年度貼付!$E$168</f>
        <v>630097278</v>
      </c>
      <c r="FI141" s="1964"/>
      <c r="FJ141" s="1964"/>
      <c r="FK141" s="1964"/>
      <c r="FL141" s="1964"/>
      <c r="FM141" s="1964"/>
      <c r="FN141" s="1964"/>
      <c r="FO141" s="1964"/>
      <c r="FP141" s="1964"/>
      <c r="FQ141" s="1964"/>
      <c r="FR141" s="1964"/>
      <c r="FS141" s="1964"/>
      <c r="FT141" s="1964"/>
      <c r="FU141" s="1964"/>
      <c r="FV141" s="1964"/>
      <c r="FW141" s="1964"/>
      <c r="FX141" s="1964"/>
      <c r="FY141" s="1964"/>
      <c r="FZ141" s="1964"/>
      <c r="GA141" s="1964"/>
      <c r="GB141" s="1964"/>
      <c r="GC141" s="1964"/>
      <c r="GD141" s="1964"/>
      <c r="GE141" s="1964"/>
      <c r="GF141" s="1964"/>
      <c r="GG141" s="1964"/>
      <c r="GH141" s="1964"/>
      <c r="GI141" s="1964"/>
    </row>
    <row r="142" spans="1:191" s="166" customFormat="1" ht="18" customHeight="1">
      <c r="A142" s="1958"/>
      <c r="B142" s="1958"/>
      <c r="C142" s="167"/>
      <c r="D142" s="167"/>
      <c r="E142" s="218"/>
      <c r="F142" s="188"/>
      <c r="G142" s="189"/>
      <c r="H142" s="1932" t="s">
        <v>53</v>
      </c>
      <c r="I142" s="1932"/>
      <c r="J142" s="1932"/>
      <c r="K142" s="1932"/>
      <c r="L142" s="1932"/>
      <c r="M142" s="1932"/>
      <c r="N142" s="1932"/>
      <c r="O142" s="1932"/>
      <c r="P142" s="1932"/>
      <c r="Q142" s="1932"/>
      <c r="R142" s="1932"/>
      <c r="S142" s="1932"/>
      <c r="T142" s="1932"/>
      <c r="U142" s="1932"/>
      <c r="V142" s="1932"/>
      <c r="W142" s="1932"/>
      <c r="X142" s="1932"/>
      <c r="Y142" s="1932"/>
      <c r="Z142" s="1932"/>
      <c r="AA142" s="1932"/>
      <c r="AB142" s="1932"/>
      <c r="AC142" s="1932"/>
      <c r="AD142" s="1932"/>
      <c r="AE142" s="1932"/>
      <c r="AF142" s="1932"/>
      <c r="AG142" s="1932"/>
      <c r="AH142" s="1932"/>
      <c r="AI142" s="1932"/>
      <c r="AJ142" s="1932"/>
      <c r="AK142" s="1932"/>
      <c r="AL142" s="1932"/>
      <c r="AM142" s="1932"/>
      <c r="AN142" s="1932"/>
      <c r="AO142" s="1932"/>
      <c r="AP142" s="1932"/>
      <c r="AQ142" s="1932"/>
      <c r="AR142" s="1932"/>
      <c r="AS142" s="1932"/>
      <c r="AT142" s="1932"/>
      <c r="AU142" s="1932"/>
      <c r="AV142" s="1932"/>
      <c r="AW142" s="1932"/>
      <c r="AX142" s="189"/>
      <c r="AY142" s="197"/>
      <c r="AZ142" s="1959">
        <v>219</v>
      </c>
      <c r="BA142" s="1960"/>
      <c r="BB142" s="1960"/>
      <c r="BC142" s="1960"/>
      <c r="BD142" s="1960"/>
      <c r="BE142" s="1960"/>
      <c r="BF142" s="1960"/>
      <c r="BG142" s="1960"/>
      <c r="BH142" s="1960"/>
      <c r="BI142" s="1960"/>
      <c r="BJ142" s="1960"/>
      <c r="BK142" s="1960"/>
      <c r="BL142" s="1960"/>
      <c r="BM142" s="1960"/>
      <c r="BN142" s="1960"/>
      <c r="BO142" s="1960"/>
      <c r="BP142" s="1960"/>
      <c r="BQ142" s="1960"/>
      <c r="BR142" s="1960"/>
      <c r="BS142" s="1960"/>
      <c r="BT142" s="1960"/>
      <c r="BU142" s="1960"/>
      <c r="BV142" s="1960"/>
      <c r="BW142" s="1961">
        <v>1235</v>
      </c>
      <c r="BX142" s="1952"/>
      <c r="BY142" s="1952"/>
      <c r="BZ142" s="1952"/>
      <c r="CA142" s="1952"/>
      <c r="CB142" s="1952"/>
      <c r="CC142" s="1952"/>
      <c r="CD142" s="1952"/>
      <c r="CE142" s="1952"/>
      <c r="CF142" s="1952"/>
      <c r="CG142" s="1952"/>
      <c r="CH142" s="1952"/>
      <c r="CI142" s="1952"/>
      <c r="CJ142" s="1952"/>
      <c r="CK142" s="1952"/>
      <c r="CL142" s="1952"/>
      <c r="CM142" s="1952"/>
      <c r="CN142" s="1952"/>
      <c r="CO142" s="1952"/>
      <c r="CP142" s="1952">
        <f>CB51</f>
        <v>10108630</v>
      </c>
      <c r="CQ142" s="1952"/>
      <c r="CR142" s="1952"/>
      <c r="CS142" s="1952"/>
      <c r="CT142" s="1952"/>
      <c r="CU142" s="1952"/>
      <c r="CV142" s="1952"/>
      <c r="CW142" s="1952"/>
      <c r="CX142" s="1952"/>
      <c r="CY142" s="1952"/>
      <c r="CZ142" s="1952"/>
      <c r="DA142" s="1952"/>
      <c r="DB142" s="1952"/>
      <c r="DC142" s="1952"/>
      <c r="DD142" s="1952"/>
      <c r="DE142" s="1952"/>
      <c r="DF142" s="1952"/>
      <c r="DG142" s="1952"/>
      <c r="DH142" s="1952"/>
      <c r="DI142" s="1952"/>
      <c r="DJ142" s="1952"/>
      <c r="DK142" s="1952"/>
      <c r="DL142" s="1952"/>
      <c r="DM142" s="1952"/>
      <c r="DN142" s="1952"/>
      <c r="DO142" s="1952"/>
      <c r="DP142" s="1952"/>
      <c r="DQ142" s="1952"/>
      <c r="DR142" s="1960">
        <f>前年度貼付!$E$142</f>
        <v>221</v>
      </c>
      <c r="DS142" s="1960"/>
      <c r="DT142" s="1960"/>
      <c r="DU142" s="1960"/>
      <c r="DV142" s="1960"/>
      <c r="DW142" s="1960"/>
      <c r="DX142" s="1960"/>
      <c r="DY142" s="1960"/>
      <c r="DZ142" s="1960"/>
      <c r="EA142" s="1960"/>
      <c r="EB142" s="1960"/>
      <c r="EC142" s="1960"/>
      <c r="ED142" s="1960"/>
      <c r="EE142" s="1960"/>
      <c r="EF142" s="1960"/>
      <c r="EG142" s="1960"/>
      <c r="EH142" s="1960"/>
      <c r="EI142" s="1960"/>
      <c r="EJ142" s="1960"/>
      <c r="EK142" s="1960"/>
      <c r="EL142" s="1960"/>
      <c r="EM142" s="1960"/>
      <c r="EN142" s="1960"/>
      <c r="EO142" s="1952">
        <f>前年度貼付!$E$157</f>
        <v>1258</v>
      </c>
      <c r="EP142" s="1952"/>
      <c r="EQ142" s="1952"/>
      <c r="ER142" s="1952"/>
      <c r="ES142" s="1952"/>
      <c r="ET142" s="1952"/>
      <c r="EU142" s="1952"/>
      <c r="EV142" s="1952"/>
      <c r="EW142" s="1952"/>
      <c r="EX142" s="1952"/>
      <c r="EY142" s="1952"/>
      <c r="EZ142" s="1952"/>
      <c r="FA142" s="1952"/>
      <c r="FB142" s="1952"/>
      <c r="FC142" s="1952"/>
      <c r="FD142" s="1952"/>
      <c r="FE142" s="1952"/>
      <c r="FF142" s="1952"/>
      <c r="FG142" s="1952"/>
      <c r="FH142" s="1952">
        <f>EF51</f>
        <v>14713620</v>
      </c>
      <c r="FI142" s="1952"/>
      <c r="FJ142" s="1952"/>
      <c r="FK142" s="1952"/>
      <c r="FL142" s="1952"/>
      <c r="FM142" s="1952"/>
      <c r="FN142" s="1952"/>
      <c r="FO142" s="1952"/>
      <c r="FP142" s="1952"/>
      <c r="FQ142" s="1952"/>
      <c r="FR142" s="1952"/>
      <c r="FS142" s="1952"/>
      <c r="FT142" s="1952"/>
      <c r="FU142" s="1952"/>
      <c r="FV142" s="1952"/>
      <c r="FW142" s="1952"/>
      <c r="FX142" s="1952"/>
      <c r="FY142" s="1952"/>
      <c r="FZ142" s="1952"/>
      <c r="GA142" s="1952"/>
      <c r="GB142" s="1952"/>
      <c r="GC142" s="1952"/>
      <c r="GD142" s="1952"/>
      <c r="GE142" s="1952"/>
      <c r="GF142" s="1952"/>
      <c r="GG142" s="1952"/>
      <c r="GH142" s="1952"/>
      <c r="GI142" s="1952"/>
    </row>
    <row r="143" spans="1:191" s="166" customFormat="1" ht="18" customHeight="1">
      <c r="A143" s="1962" t="s">
        <v>457</v>
      </c>
      <c r="B143" s="1962"/>
      <c r="C143" s="1962"/>
      <c r="D143" s="1962"/>
      <c r="E143" s="1962"/>
      <c r="F143" s="188"/>
      <c r="G143" s="189"/>
      <c r="H143" s="1932" t="s">
        <v>62</v>
      </c>
      <c r="I143" s="1932"/>
      <c r="J143" s="1932"/>
      <c r="K143" s="1932"/>
      <c r="L143" s="1932"/>
      <c r="M143" s="1932"/>
      <c r="N143" s="1932"/>
      <c r="O143" s="1932"/>
      <c r="P143" s="1932"/>
      <c r="Q143" s="1932"/>
      <c r="R143" s="1932"/>
      <c r="S143" s="1932"/>
      <c r="T143" s="1932"/>
      <c r="U143" s="1932"/>
      <c r="V143" s="1932"/>
      <c r="W143" s="1932"/>
      <c r="X143" s="1932"/>
      <c r="Y143" s="1932"/>
      <c r="Z143" s="1932"/>
      <c r="AA143" s="1932"/>
      <c r="AB143" s="1932"/>
      <c r="AC143" s="1932"/>
      <c r="AD143" s="1932"/>
      <c r="AE143" s="1932"/>
      <c r="AF143" s="1932"/>
      <c r="AG143" s="1932"/>
      <c r="AH143" s="1932"/>
      <c r="AI143" s="1932"/>
      <c r="AJ143" s="1932"/>
      <c r="AK143" s="1932"/>
      <c r="AL143" s="1932"/>
      <c r="AM143" s="1932"/>
      <c r="AN143" s="1932"/>
      <c r="AO143" s="1932"/>
      <c r="AP143" s="1932"/>
      <c r="AQ143" s="1932"/>
      <c r="AR143" s="1932"/>
      <c r="AS143" s="1932"/>
      <c r="AT143" s="1932"/>
      <c r="AU143" s="1932"/>
      <c r="AV143" s="1932"/>
      <c r="AW143" s="1932"/>
      <c r="AX143" s="189"/>
      <c r="AY143" s="197"/>
      <c r="AZ143" s="1961">
        <v>0</v>
      </c>
      <c r="BA143" s="1952"/>
      <c r="BB143" s="1952"/>
      <c r="BC143" s="1952"/>
      <c r="BD143" s="1952"/>
      <c r="BE143" s="1952"/>
      <c r="BF143" s="1952"/>
      <c r="BG143" s="1952"/>
      <c r="BH143" s="1952"/>
      <c r="BI143" s="1952"/>
      <c r="BJ143" s="1952"/>
      <c r="BK143" s="1952"/>
      <c r="BL143" s="1952"/>
      <c r="BM143" s="1952"/>
      <c r="BN143" s="1952"/>
      <c r="BO143" s="1952"/>
      <c r="BP143" s="1952"/>
      <c r="BQ143" s="1952"/>
      <c r="BR143" s="1952"/>
      <c r="BS143" s="1952"/>
      <c r="BT143" s="1952"/>
      <c r="BU143" s="1952"/>
      <c r="BV143" s="1952"/>
      <c r="BW143" s="1974"/>
      <c r="BX143" s="1974"/>
      <c r="BY143" s="1974"/>
      <c r="BZ143" s="1974"/>
      <c r="CA143" s="1974"/>
      <c r="CB143" s="1974"/>
      <c r="CC143" s="1974"/>
      <c r="CD143" s="1974"/>
      <c r="CE143" s="1974"/>
      <c r="CF143" s="1974"/>
      <c r="CG143" s="1974"/>
      <c r="CH143" s="1974"/>
      <c r="CI143" s="1974"/>
      <c r="CJ143" s="1974"/>
      <c r="CK143" s="1974"/>
      <c r="CL143" s="1974"/>
      <c r="CM143" s="1974"/>
      <c r="CN143" s="1974"/>
      <c r="CO143" s="1974"/>
      <c r="CP143" s="1961">
        <v>0</v>
      </c>
      <c r="CQ143" s="1952"/>
      <c r="CR143" s="1952"/>
      <c r="CS143" s="1952"/>
      <c r="CT143" s="1952"/>
      <c r="CU143" s="1952"/>
      <c r="CV143" s="1952"/>
      <c r="CW143" s="1952"/>
      <c r="CX143" s="1952"/>
      <c r="CY143" s="1952"/>
      <c r="CZ143" s="1952"/>
      <c r="DA143" s="1952"/>
      <c r="DB143" s="1952"/>
      <c r="DC143" s="1952"/>
      <c r="DD143" s="1952"/>
      <c r="DE143" s="1952"/>
      <c r="DF143" s="1952"/>
      <c r="DG143" s="1952"/>
      <c r="DH143" s="1952"/>
      <c r="DI143" s="1952"/>
      <c r="DJ143" s="1952"/>
      <c r="DK143" s="1952"/>
      <c r="DL143" s="1952"/>
      <c r="DM143" s="1952"/>
      <c r="DN143" s="1952"/>
      <c r="DO143" s="1952"/>
      <c r="DP143" s="1952"/>
      <c r="DQ143" s="1952"/>
      <c r="DR143" s="1952">
        <f>前年度貼付!$E$143</f>
        <v>0</v>
      </c>
      <c r="DS143" s="1952"/>
      <c r="DT143" s="1952"/>
      <c r="DU143" s="1952"/>
      <c r="DV143" s="1952"/>
      <c r="DW143" s="1952"/>
      <c r="DX143" s="1952"/>
      <c r="DY143" s="1952"/>
      <c r="DZ143" s="1952"/>
      <c r="EA143" s="1952"/>
      <c r="EB143" s="1952"/>
      <c r="EC143" s="1952"/>
      <c r="ED143" s="1952"/>
      <c r="EE143" s="1952"/>
      <c r="EF143" s="1952"/>
      <c r="EG143" s="1952"/>
      <c r="EH143" s="1952"/>
      <c r="EI143" s="1952"/>
      <c r="EJ143" s="1952"/>
      <c r="EK143" s="1952"/>
      <c r="EL143" s="1952"/>
      <c r="EM143" s="1952"/>
      <c r="EN143" s="1952"/>
      <c r="EO143" s="1956"/>
      <c r="EP143" s="1956"/>
      <c r="EQ143" s="1956"/>
      <c r="ER143" s="1956"/>
      <c r="ES143" s="1956"/>
      <c r="ET143" s="1956"/>
      <c r="EU143" s="1956"/>
      <c r="EV143" s="1956"/>
      <c r="EW143" s="1956"/>
      <c r="EX143" s="1956"/>
      <c r="EY143" s="1956"/>
      <c r="EZ143" s="1956"/>
      <c r="FA143" s="1956"/>
      <c r="FB143" s="1956"/>
      <c r="FC143" s="1956"/>
      <c r="FD143" s="1956"/>
      <c r="FE143" s="1956"/>
      <c r="FF143" s="1956"/>
      <c r="FG143" s="1956"/>
      <c r="FH143" s="1952">
        <f>前年度貼付!$E$169</f>
        <v>0</v>
      </c>
      <c r="FI143" s="1952"/>
      <c r="FJ143" s="1952"/>
      <c r="FK143" s="1952"/>
      <c r="FL143" s="1952"/>
      <c r="FM143" s="1952"/>
      <c r="FN143" s="1952"/>
      <c r="FO143" s="1952"/>
      <c r="FP143" s="1952"/>
      <c r="FQ143" s="1952"/>
      <c r="FR143" s="1952"/>
      <c r="FS143" s="1952"/>
      <c r="FT143" s="1952"/>
      <c r="FU143" s="1952"/>
      <c r="FV143" s="1952"/>
      <c r="FW143" s="1952"/>
      <c r="FX143" s="1952"/>
      <c r="FY143" s="1952"/>
      <c r="FZ143" s="1952"/>
      <c r="GA143" s="1952"/>
      <c r="GB143" s="1952"/>
      <c r="GC143" s="1952"/>
      <c r="GD143" s="1952"/>
      <c r="GE143" s="1952"/>
      <c r="GF143" s="1952"/>
      <c r="GG143" s="1952"/>
      <c r="GH143" s="1952"/>
      <c r="GI143" s="1952"/>
    </row>
    <row r="144" spans="1:191" s="166" customFormat="1" ht="18" customHeight="1">
      <c r="A144" s="190"/>
      <c r="B144" s="191"/>
      <c r="C144" s="191"/>
      <c r="D144" s="191"/>
      <c r="E144" s="214"/>
      <c r="F144" s="188"/>
      <c r="G144" s="189"/>
      <c r="H144" s="1951" t="s">
        <v>351</v>
      </c>
      <c r="I144" s="1951"/>
      <c r="J144" s="1951"/>
      <c r="K144" s="1951"/>
      <c r="L144" s="1951"/>
      <c r="M144" s="1951"/>
      <c r="N144" s="1951"/>
      <c r="O144" s="1951"/>
      <c r="P144" s="1951"/>
      <c r="Q144" s="1951"/>
      <c r="R144" s="1951"/>
      <c r="S144" s="1951"/>
      <c r="T144" s="1951"/>
      <c r="U144" s="1951"/>
      <c r="V144" s="1951"/>
      <c r="W144" s="1951"/>
      <c r="X144" s="1951"/>
      <c r="Y144" s="1951"/>
      <c r="Z144" s="1951"/>
      <c r="AA144" s="1951"/>
      <c r="AB144" s="1951"/>
      <c r="AC144" s="1951"/>
      <c r="AD144" s="1951"/>
      <c r="AE144" s="1951"/>
      <c r="AF144" s="1951"/>
      <c r="AG144" s="1951"/>
      <c r="AH144" s="1951"/>
      <c r="AI144" s="1951"/>
      <c r="AJ144" s="1951"/>
      <c r="AK144" s="1951"/>
      <c r="AL144" s="1951"/>
      <c r="AM144" s="1951"/>
      <c r="AN144" s="1951"/>
      <c r="AO144" s="1951"/>
      <c r="AP144" s="1951"/>
      <c r="AQ144" s="1951"/>
      <c r="AR144" s="1951"/>
      <c r="AS144" s="1951"/>
      <c r="AT144" s="1951"/>
      <c r="AU144" s="1951"/>
      <c r="AV144" s="1951"/>
      <c r="AW144" s="1951"/>
      <c r="AX144" s="189"/>
      <c r="AY144" s="197"/>
      <c r="AZ144" s="1952">
        <f>SUM(AZ136:BV138,AZ143)</f>
        <v>197157</v>
      </c>
      <c r="BA144" s="1952"/>
      <c r="BB144" s="1952"/>
      <c r="BC144" s="1952"/>
      <c r="BD144" s="1952"/>
      <c r="BE144" s="1952"/>
      <c r="BF144" s="1952"/>
      <c r="BG144" s="1952"/>
      <c r="BH144" s="1952"/>
      <c r="BI144" s="1952"/>
      <c r="BJ144" s="1952"/>
      <c r="BK144" s="1952"/>
      <c r="BL144" s="1952"/>
      <c r="BM144" s="1952"/>
      <c r="BN144" s="1952"/>
      <c r="BO144" s="1952"/>
      <c r="BP144" s="1952"/>
      <c r="BQ144" s="1952"/>
      <c r="BR144" s="1952"/>
      <c r="BS144" s="1952"/>
      <c r="BT144" s="1952"/>
      <c r="BU144" s="1952"/>
      <c r="BV144" s="1952"/>
      <c r="BW144" s="1952">
        <f>SUM(BW136:CO138,BW142)</f>
        <v>280554</v>
      </c>
      <c r="BX144" s="1952"/>
      <c r="BY144" s="1952"/>
      <c r="BZ144" s="1952"/>
      <c r="CA144" s="1952"/>
      <c r="CB144" s="1952"/>
      <c r="CC144" s="1952"/>
      <c r="CD144" s="1952"/>
      <c r="CE144" s="1952"/>
      <c r="CF144" s="1952"/>
      <c r="CG144" s="1952"/>
      <c r="CH144" s="1952"/>
      <c r="CI144" s="1952"/>
      <c r="CJ144" s="1952"/>
      <c r="CK144" s="1952"/>
      <c r="CL144" s="1952"/>
      <c r="CM144" s="1952"/>
      <c r="CN144" s="1952"/>
      <c r="CO144" s="1952"/>
      <c r="CP144" s="1952">
        <f>SUM(CP136:DQ143)</f>
        <v>2972164055</v>
      </c>
      <c r="CQ144" s="1952"/>
      <c r="CR144" s="1952"/>
      <c r="CS144" s="1952"/>
      <c r="CT144" s="1952"/>
      <c r="CU144" s="1952"/>
      <c r="CV144" s="1952"/>
      <c r="CW144" s="1952"/>
      <c r="CX144" s="1952"/>
      <c r="CY144" s="1952"/>
      <c r="CZ144" s="1952"/>
      <c r="DA144" s="1952"/>
      <c r="DB144" s="1952"/>
      <c r="DC144" s="1952"/>
      <c r="DD144" s="1952"/>
      <c r="DE144" s="1952"/>
      <c r="DF144" s="1952"/>
      <c r="DG144" s="1952"/>
      <c r="DH144" s="1952"/>
      <c r="DI144" s="1952"/>
      <c r="DJ144" s="1952"/>
      <c r="DK144" s="1952"/>
      <c r="DL144" s="1952"/>
      <c r="DM144" s="1952"/>
      <c r="DN144" s="1952"/>
      <c r="DO144" s="1952"/>
      <c r="DP144" s="1952"/>
      <c r="DQ144" s="1952"/>
      <c r="DR144" s="1952">
        <f>SUM(DR136:EN138,DR143)</f>
        <v>194735</v>
      </c>
      <c r="DS144" s="1952"/>
      <c r="DT144" s="1952"/>
      <c r="DU144" s="1952"/>
      <c r="DV144" s="1952"/>
      <c r="DW144" s="1952"/>
      <c r="DX144" s="1952"/>
      <c r="DY144" s="1952"/>
      <c r="DZ144" s="1952"/>
      <c r="EA144" s="1952"/>
      <c r="EB144" s="1952"/>
      <c r="EC144" s="1952"/>
      <c r="ED144" s="1952"/>
      <c r="EE144" s="1952"/>
      <c r="EF144" s="1952"/>
      <c r="EG144" s="1952"/>
      <c r="EH144" s="1952"/>
      <c r="EI144" s="1952"/>
      <c r="EJ144" s="1952"/>
      <c r="EK144" s="1952"/>
      <c r="EL144" s="1952"/>
      <c r="EM144" s="1952"/>
      <c r="EN144" s="1952"/>
      <c r="EO144" s="1952">
        <f>SUM(EO136:FG138,EO142)</f>
        <v>278682</v>
      </c>
      <c r="EP144" s="1952"/>
      <c r="EQ144" s="1952"/>
      <c r="ER144" s="1952"/>
      <c r="ES144" s="1952"/>
      <c r="ET144" s="1952"/>
      <c r="EU144" s="1952"/>
      <c r="EV144" s="1952"/>
      <c r="EW144" s="1952"/>
      <c r="EX144" s="1952"/>
      <c r="EY144" s="1952"/>
      <c r="EZ144" s="1952"/>
      <c r="FA144" s="1952"/>
      <c r="FB144" s="1952"/>
      <c r="FC144" s="1952"/>
      <c r="FD144" s="1952"/>
      <c r="FE144" s="1952"/>
      <c r="FF144" s="1952"/>
      <c r="FG144" s="1952"/>
      <c r="FH144" s="1952">
        <f>SUM(FH136:GI143)</f>
        <v>2853558041</v>
      </c>
      <c r="FI144" s="1952"/>
      <c r="FJ144" s="1952"/>
      <c r="FK144" s="1952"/>
      <c r="FL144" s="1952"/>
      <c r="FM144" s="1952"/>
      <c r="FN144" s="1952"/>
      <c r="FO144" s="1952"/>
      <c r="FP144" s="1952"/>
      <c r="FQ144" s="1952"/>
      <c r="FR144" s="1952"/>
      <c r="FS144" s="1952"/>
      <c r="FT144" s="1952"/>
      <c r="FU144" s="1952"/>
      <c r="FV144" s="1952"/>
      <c r="FW144" s="1952"/>
      <c r="FX144" s="1952"/>
      <c r="FY144" s="1952"/>
      <c r="FZ144" s="1952"/>
      <c r="GA144" s="1952"/>
      <c r="GB144" s="1952"/>
      <c r="GC144" s="1952"/>
      <c r="GD144" s="1952"/>
      <c r="GE144" s="1952"/>
      <c r="GF144" s="1952"/>
      <c r="GG144" s="1952"/>
      <c r="GH144" s="1952"/>
      <c r="GI144" s="1952"/>
    </row>
    <row r="145" spans="1:219" s="166" customFormat="1" ht="18" customHeight="1">
      <c r="A145" s="1973"/>
      <c r="B145" s="1973"/>
      <c r="C145" s="211"/>
      <c r="D145" s="211"/>
      <c r="E145" s="220"/>
      <c r="F145" s="188"/>
      <c r="G145" s="189"/>
      <c r="H145" s="1932" t="s">
        <v>100</v>
      </c>
      <c r="I145" s="1932"/>
      <c r="J145" s="1932"/>
      <c r="K145" s="1932"/>
      <c r="L145" s="1932"/>
      <c r="M145" s="1932"/>
      <c r="N145" s="1932"/>
      <c r="O145" s="1932"/>
      <c r="P145" s="1932"/>
      <c r="Q145" s="1932"/>
      <c r="R145" s="1932"/>
      <c r="S145" s="1932"/>
      <c r="T145" s="1932"/>
      <c r="U145" s="1932"/>
      <c r="V145" s="1932"/>
      <c r="W145" s="1932"/>
      <c r="X145" s="1932"/>
      <c r="Y145" s="1932"/>
      <c r="Z145" s="1932"/>
      <c r="AA145" s="1932"/>
      <c r="AB145" s="1932"/>
      <c r="AC145" s="1932"/>
      <c r="AD145" s="1932"/>
      <c r="AE145" s="1932"/>
      <c r="AF145" s="1932"/>
      <c r="AG145" s="1932"/>
      <c r="AH145" s="1932"/>
      <c r="AI145" s="1932"/>
      <c r="AJ145" s="1932"/>
      <c r="AK145" s="1932"/>
      <c r="AL145" s="1932"/>
      <c r="AM145" s="1932"/>
      <c r="AN145" s="1932"/>
      <c r="AO145" s="1932"/>
      <c r="AP145" s="1932"/>
      <c r="AQ145" s="1932"/>
      <c r="AR145" s="1932"/>
      <c r="AS145" s="1932"/>
      <c r="AT145" s="1932"/>
      <c r="AU145" s="1932"/>
      <c r="AV145" s="1932"/>
      <c r="AW145" s="1932"/>
      <c r="AX145" s="189"/>
      <c r="AY145" s="197"/>
      <c r="AZ145" s="1961">
        <v>965</v>
      </c>
      <c r="BA145" s="1952"/>
      <c r="BB145" s="1952"/>
      <c r="BC145" s="1952"/>
      <c r="BD145" s="1952"/>
      <c r="BE145" s="1952"/>
      <c r="BF145" s="1952"/>
      <c r="BG145" s="1952"/>
      <c r="BH145" s="1952"/>
      <c r="BI145" s="1952"/>
      <c r="BJ145" s="1952"/>
      <c r="BK145" s="1952"/>
      <c r="BL145" s="1952"/>
      <c r="BM145" s="1952"/>
      <c r="BN145" s="1952"/>
      <c r="BO145" s="1952"/>
      <c r="BP145" s="1952"/>
      <c r="BQ145" s="1952"/>
      <c r="BR145" s="1952"/>
      <c r="BS145" s="1952"/>
      <c r="BT145" s="1952"/>
      <c r="BU145" s="1952"/>
      <c r="BV145" s="1952"/>
      <c r="BW145" s="1961">
        <v>9143</v>
      </c>
      <c r="BX145" s="1952"/>
      <c r="BY145" s="1952"/>
      <c r="BZ145" s="1952"/>
      <c r="CA145" s="1952"/>
      <c r="CB145" s="1952"/>
      <c r="CC145" s="1952"/>
      <c r="CD145" s="1952"/>
      <c r="CE145" s="1952"/>
      <c r="CF145" s="1952"/>
      <c r="CG145" s="1952"/>
      <c r="CH145" s="1952"/>
      <c r="CI145" s="1952"/>
      <c r="CJ145" s="1952"/>
      <c r="CK145" s="1952"/>
      <c r="CL145" s="1952"/>
      <c r="CM145" s="1952"/>
      <c r="CN145" s="1952"/>
      <c r="CO145" s="1952"/>
      <c r="CP145" s="1961">
        <v>396509932</v>
      </c>
      <c r="CQ145" s="1952"/>
      <c r="CR145" s="1952"/>
      <c r="CS145" s="1952"/>
      <c r="CT145" s="1952"/>
      <c r="CU145" s="1952"/>
      <c r="CV145" s="1952"/>
      <c r="CW145" s="1952"/>
      <c r="CX145" s="1952"/>
      <c r="CY145" s="1952"/>
      <c r="CZ145" s="1952"/>
      <c r="DA145" s="1952"/>
      <c r="DB145" s="1952"/>
      <c r="DC145" s="1952"/>
      <c r="DD145" s="1952"/>
      <c r="DE145" s="1952"/>
      <c r="DF145" s="1952"/>
      <c r="DG145" s="1952"/>
      <c r="DH145" s="1952"/>
      <c r="DI145" s="1952"/>
      <c r="DJ145" s="1952"/>
      <c r="DK145" s="1952"/>
      <c r="DL145" s="1952"/>
      <c r="DM145" s="1952"/>
      <c r="DN145" s="1952"/>
      <c r="DO145" s="1952"/>
      <c r="DP145" s="1952"/>
      <c r="DQ145" s="1952"/>
      <c r="DR145" s="1952">
        <f>前年度貼付!$E$144</f>
        <v>986</v>
      </c>
      <c r="DS145" s="1952"/>
      <c r="DT145" s="1952"/>
      <c r="DU145" s="1952"/>
      <c r="DV145" s="1952"/>
      <c r="DW145" s="1952"/>
      <c r="DX145" s="1952"/>
      <c r="DY145" s="1952"/>
      <c r="DZ145" s="1952"/>
      <c r="EA145" s="1952"/>
      <c r="EB145" s="1952"/>
      <c r="EC145" s="1952"/>
      <c r="ED145" s="1952"/>
      <c r="EE145" s="1952"/>
      <c r="EF145" s="1952"/>
      <c r="EG145" s="1952"/>
      <c r="EH145" s="1952"/>
      <c r="EI145" s="1952"/>
      <c r="EJ145" s="1952"/>
      <c r="EK145" s="1952"/>
      <c r="EL145" s="1952"/>
      <c r="EM145" s="1952"/>
      <c r="EN145" s="1952"/>
      <c r="EO145" s="1952">
        <f>前年度貼付!$E$158</f>
        <v>9047</v>
      </c>
      <c r="EP145" s="1952"/>
      <c r="EQ145" s="1952"/>
      <c r="ER145" s="1952"/>
      <c r="ES145" s="1952"/>
      <c r="ET145" s="1952"/>
      <c r="EU145" s="1952"/>
      <c r="EV145" s="1952"/>
      <c r="EW145" s="1952"/>
      <c r="EX145" s="1952"/>
      <c r="EY145" s="1952"/>
      <c r="EZ145" s="1952"/>
      <c r="FA145" s="1952"/>
      <c r="FB145" s="1952"/>
      <c r="FC145" s="1952"/>
      <c r="FD145" s="1952"/>
      <c r="FE145" s="1952"/>
      <c r="FF145" s="1952"/>
      <c r="FG145" s="1952"/>
      <c r="FH145" s="1952">
        <f>前年度貼付!$E$170</f>
        <v>395953163</v>
      </c>
      <c r="FI145" s="1952"/>
      <c r="FJ145" s="1952"/>
      <c r="FK145" s="1952"/>
      <c r="FL145" s="1952"/>
      <c r="FM145" s="1952"/>
      <c r="FN145" s="1952"/>
      <c r="FO145" s="1952"/>
      <c r="FP145" s="1952"/>
      <c r="FQ145" s="1952"/>
      <c r="FR145" s="1952"/>
      <c r="FS145" s="1952"/>
      <c r="FT145" s="1952"/>
      <c r="FU145" s="1952"/>
      <c r="FV145" s="1952"/>
      <c r="FW145" s="1952"/>
      <c r="FX145" s="1952"/>
      <c r="FY145" s="1952"/>
      <c r="FZ145" s="1952"/>
      <c r="GA145" s="1952"/>
      <c r="GB145" s="1952"/>
      <c r="GC145" s="1952"/>
      <c r="GD145" s="1952"/>
      <c r="GE145" s="1952"/>
      <c r="GF145" s="1952"/>
      <c r="GG145" s="1952"/>
      <c r="GH145" s="1952"/>
      <c r="GI145" s="1952"/>
      <c r="HK145" s="199"/>
    </row>
    <row r="146" spans="1:219" s="166" customFormat="1" ht="18" customHeight="1">
      <c r="A146" s="1962" t="s">
        <v>458</v>
      </c>
      <c r="B146" s="1962"/>
      <c r="C146" s="1962"/>
      <c r="D146" s="1962"/>
      <c r="E146" s="1962"/>
      <c r="F146" s="188"/>
      <c r="G146" s="189"/>
      <c r="H146" s="1932" t="s">
        <v>101</v>
      </c>
      <c r="I146" s="1932"/>
      <c r="J146" s="1932"/>
      <c r="K146" s="1932"/>
      <c r="L146" s="1932"/>
      <c r="M146" s="1932"/>
      <c r="N146" s="1932"/>
      <c r="O146" s="1932"/>
      <c r="P146" s="1932"/>
      <c r="Q146" s="1932"/>
      <c r="R146" s="1932"/>
      <c r="S146" s="1932"/>
      <c r="T146" s="1932"/>
      <c r="U146" s="1932"/>
      <c r="V146" s="1932"/>
      <c r="W146" s="1932"/>
      <c r="X146" s="1932"/>
      <c r="Y146" s="1932"/>
      <c r="Z146" s="1932"/>
      <c r="AA146" s="1932"/>
      <c r="AB146" s="1932"/>
      <c r="AC146" s="1932"/>
      <c r="AD146" s="1932"/>
      <c r="AE146" s="1932"/>
      <c r="AF146" s="1932"/>
      <c r="AG146" s="1932"/>
      <c r="AH146" s="1932"/>
      <c r="AI146" s="1932"/>
      <c r="AJ146" s="1932"/>
      <c r="AK146" s="1932"/>
      <c r="AL146" s="1932"/>
      <c r="AM146" s="1932"/>
      <c r="AN146" s="1932"/>
      <c r="AO146" s="1932"/>
      <c r="AP146" s="1932"/>
      <c r="AQ146" s="1932"/>
      <c r="AR146" s="1932"/>
      <c r="AS146" s="1932"/>
      <c r="AT146" s="1932"/>
      <c r="AU146" s="1932"/>
      <c r="AV146" s="1932"/>
      <c r="AW146" s="1932"/>
      <c r="AX146" s="189"/>
      <c r="AY146" s="197"/>
      <c r="AZ146" s="1961">
        <v>84951</v>
      </c>
      <c r="BA146" s="1952"/>
      <c r="BB146" s="1952"/>
      <c r="BC146" s="1952"/>
      <c r="BD146" s="1952"/>
      <c r="BE146" s="1952"/>
      <c r="BF146" s="1952"/>
      <c r="BG146" s="1952"/>
      <c r="BH146" s="1952"/>
      <c r="BI146" s="1952"/>
      <c r="BJ146" s="1952"/>
      <c r="BK146" s="1952"/>
      <c r="BL146" s="1952"/>
      <c r="BM146" s="1952"/>
      <c r="BN146" s="1952"/>
      <c r="BO146" s="1952"/>
      <c r="BP146" s="1952"/>
      <c r="BQ146" s="1952"/>
      <c r="BR146" s="1952"/>
      <c r="BS146" s="1952"/>
      <c r="BT146" s="1952"/>
      <c r="BU146" s="1952"/>
      <c r="BV146" s="1952"/>
      <c r="BW146" s="1961">
        <v>116061</v>
      </c>
      <c r="BX146" s="1952"/>
      <c r="BY146" s="1952"/>
      <c r="BZ146" s="1952"/>
      <c r="CA146" s="1952"/>
      <c r="CB146" s="1952"/>
      <c r="CC146" s="1952"/>
      <c r="CD146" s="1952"/>
      <c r="CE146" s="1952"/>
      <c r="CF146" s="1952"/>
      <c r="CG146" s="1952"/>
      <c r="CH146" s="1952"/>
      <c r="CI146" s="1952"/>
      <c r="CJ146" s="1952"/>
      <c r="CK146" s="1952"/>
      <c r="CL146" s="1952"/>
      <c r="CM146" s="1952"/>
      <c r="CN146" s="1952"/>
      <c r="CO146" s="1952"/>
      <c r="CP146" s="1961">
        <v>653895303</v>
      </c>
      <c r="CQ146" s="1952"/>
      <c r="CR146" s="1952"/>
      <c r="CS146" s="1952"/>
      <c r="CT146" s="1952"/>
      <c r="CU146" s="1952"/>
      <c r="CV146" s="1952"/>
      <c r="CW146" s="1952"/>
      <c r="CX146" s="1952"/>
      <c r="CY146" s="1952"/>
      <c r="CZ146" s="1952"/>
      <c r="DA146" s="1952"/>
      <c r="DB146" s="1952"/>
      <c r="DC146" s="1952"/>
      <c r="DD146" s="1952"/>
      <c r="DE146" s="1952"/>
      <c r="DF146" s="1952"/>
      <c r="DG146" s="1952"/>
      <c r="DH146" s="1952"/>
      <c r="DI146" s="1952"/>
      <c r="DJ146" s="1952"/>
      <c r="DK146" s="1952"/>
      <c r="DL146" s="1952"/>
      <c r="DM146" s="1952"/>
      <c r="DN146" s="1952"/>
      <c r="DO146" s="1952"/>
      <c r="DP146" s="1952"/>
      <c r="DQ146" s="1952"/>
      <c r="DR146" s="1952">
        <f>前年度貼付!$E$145</f>
        <v>85580</v>
      </c>
      <c r="DS146" s="1952"/>
      <c r="DT146" s="1952"/>
      <c r="DU146" s="1952"/>
      <c r="DV146" s="1952"/>
      <c r="DW146" s="1952"/>
      <c r="DX146" s="1952"/>
      <c r="DY146" s="1952"/>
      <c r="DZ146" s="1952"/>
      <c r="EA146" s="1952"/>
      <c r="EB146" s="1952"/>
      <c r="EC146" s="1952"/>
      <c r="ED146" s="1952"/>
      <c r="EE146" s="1952"/>
      <c r="EF146" s="1952"/>
      <c r="EG146" s="1952"/>
      <c r="EH146" s="1952"/>
      <c r="EI146" s="1952"/>
      <c r="EJ146" s="1952"/>
      <c r="EK146" s="1952"/>
      <c r="EL146" s="1952"/>
      <c r="EM146" s="1952"/>
      <c r="EN146" s="1952"/>
      <c r="EO146" s="1952">
        <f>前年度貼付!$E$159</f>
        <v>117869</v>
      </c>
      <c r="EP146" s="1952"/>
      <c r="EQ146" s="1952"/>
      <c r="ER146" s="1952"/>
      <c r="ES146" s="1952"/>
      <c r="ET146" s="1952"/>
      <c r="EU146" s="1952"/>
      <c r="EV146" s="1952"/>
      <c r="EW146" s="1952"/>
      <c r="EX146" s="1952"/>
      <c r="EY146" s="1952"/>
      <c r="EZ146" s="1952"/>
      <c r="FA146" s="1952"/>
      <c r="FB146" s="1952"/>
      <c r="FC146" s="1952"/>
      <c r="FD146" s="1952"/>
      <c r="FE146" s="1952"/>
      <c r="FF146" s="1952"/>
      <c r="FG146" s="1952"/>
      <c r="FH146" s="1952">
        <f>前年度貼付!$E$171</f>
        <v>645283771</v>
      </c>
      <c r="FI146" s="1952"/>
      <c r="FJ146" s="1952"/>
      <c r="FK146" s="1952"/>
      <c r="FL146" s="1952"/>
      <c r="FM146" s="1952"/>
      <c r="FN146" s="1952"/>
      <c r="FO146" s="1952"/>
      <c r="FP146" s="1952"/>
      <c r="FQ146" s="1952"/>
      <c r="FR146" s="1952"/>
      <c r="FS146" s="1952"/>
      <c r="FT146" s="1952"/>
      <c r="FU146" s="1952"/>
      <c r="FV146" s="1952"/>
      <c r="FW146" s="1952"/>
      <c r="FX146" s="1952"/>
      <c r="FY146" s="1952"/>
      <c r="FZ146" s="1952"/>
      <c r="GA146" s="1952"/>
      <c r="GB146" s="1952"/>
      <c r="GC146" s="1952"/>
      <c r="GD146" s="1952"/>
      <c r="GE146" s="1952"/>
      <c r="GF146" s="1952"/>
      <c r="GG146" s="1952"/>
      <c r="GH146" s="1952"/>
      <c r="GI146" s="1952"/>
    </row>
    <row r="147" spans="1:219" s="166" customFormat="1" ht="18" customHeight="1">
      <c r="A147" s="1958"/>
      <c r="B147" s="1958"/>
      <c r="C147" s="167"/>
      <c r="D147" s="167"/>
      <c r="E147" s="218"/>
      <c r="F147" s="188"/>
      <c r="G147" s="189"/>
      <c r="H147" s="1932" t="s">
        <v>102</v>
      </c>
      <c r="I147" s="1932"/>
      <c r="J147" s="1932"/>
      <c r="K147" s="1932"/>
      <c r="L147" s="1932"/>
      <c r="M147" s="1932"/>
      <c r="N147" s="1932"/>
      <c r="O147" s="1932"/>
      <c r="P147" s="1932"/>
      <c r="Q147" s="1932"/>
      <c r="R147" s="1932"/>
      <c r="S147" s="1932"/>
      <c r="T147" s="1932"/>
      <c r="U147" s="1932"/>
      <c r="V147" s="1932"/>
      <c r="W147" s="1932"/>
      <c r="X147" s="1932"/>
      <c r="Y147" s="1932"/>
      <c r="Z147" s="1932"/>
      <c r="AA147" s="1932"/>
      <c r="AB147" s="1932"/>
      <c r="AC147" s="1932"/>
      <c r="AD147" s="1932"/>
      <c r="AE147" s="1932"/>
      <c r="AF147" s="1932"/>
      <c r="AG147" s="1932"/>
      <c r="AH147" s="1932"/>
      <c r="AI147" s="1932"/>
      <c r="AJ147" s="1932"/>
      <c r="AK147" s="1932"/>
      <c r="AL147" s="1932"/>
      <c r="AM147" s="1932"/>
      <c r="AN147" s="1932"/>
      <c r="AO147" s="1932"/>
      <c r="AP147" s="1932"/>
      <c r="AQ147" s="1932"/>
      <c r="AR147" s="1932"/>
      <c r="AS147" s="1932"/>
      <c r="AT147" s="1932"/>
      <c r="AU147" s="1932"/>
      <c r="AV147" s="1932"/>
      <c r="AW147" s="1932"/>
      <c r="AX147" s="189"/>
      <c r="AY147" s="197"/>
      <c r="AZ147" s="1961">
        <v>21961</v>
      </c>
      <c r="BA147" s="1952"/>
      <c r="BB147" s="1952"/>
      <c r="BC147" s="1952"/>
      <c r="BD147" s="1952"/>
      <c r="BE147" s="1952"/>
      <c r="BF147" s="1952"/>
      <c r="BG147" s="1952"/>
      <c r="BH147" s="1952"/>
      <c r="BI147" s="1952"/>
      <c r="BJ147" s="1952"/>
      <c r="BK147" s="1952"/>
      <c r="BL147" s="1952"/>
      <c r="BM147" s="1952"/>
      <c r="BN147" s="1952"/>
      <c r="BO147" s="1952"/>
      <c r="BP147" s="1952"/>
      <c r="BQ147" s="1952"/>
      <c r="BR147" s="1952"/>
      <c r="BS147" s="1952"/>
      <c r="BT147" s="1952"/>
      <c r="BU147" s="1952"/>
      <c r="BV147" s="1952"/>
      <c r="BW147" s="1961">
        <v>27855</v>
      </c>
      <c r="BX147" s="1952"/>
      <c r="BY147" s="1952"/>
      <c r="BZ147" s="1952"/>
      <c r="CA147" s="1952"/>
      <c r="CB147" s="1952"/>
      <c r="CC147" s="1952"/>
      <c r="CD147" s="1952"/>
      <c r="CE147" s="1952"/>
      <c r="CF147" s="1952"/>
      <c r="CG147" s="1952"/>
      <c r="CH147" s="1952"/>
      <c r="CI147" s="1952"/>
      <c r="CJ147" s="1952"/>
      <c r="CK147" s="1952"/>
      <c r="CL147" s="1952"/>
      <c r="CM147" s="1952"/>
      <c r="CN147" s="1952"/>
      <c r="CO147" s="1952"/>
      <c r="CP147" s="1961">
        <v>178023048</v>
      </c>
      <c r="CQ147" s="1952"/>
      <c r="CR147" s="1952"/>
      <c r="CS147" s="1952"/>
      <c r="CT147" s="1952"/>
      <c r="CU147" s="1952"/>
      <c r="CV147" s="1952"/>
      <c r="CW147" s="1952"/>
      <c r="CX147" s="1952"/>
      <c r="CY147" s="1952"/>
      <c r="CZ147" s="1952"/>
      <c r="DA147" s="1952"/>
      <c r="DB147" s="1952"/>
      <c r="DC147" s="1952"/>
      <c r="DD147" s="1952"/>
      <c r="DE147" s="1952"/>
      <c r="DF147" s="1952"/>
      <c r="DG147" s="1952"/>
      <c r="DH147" s="1952"/>
      <c r="DI147" s="1952"/>
      <c r="DJ147" s="1952"/>
      <c r="DK147" s="1952"/>
      <c r="DL147" s="1952"/>
      <c r="DM147" s="1952"/>
      <c r="DN147" s="1952"/>
      <c r="DO147" s="1952"/>
      <c r="DP147" s="1952"/>
      <c r="DQ147" s="1952"/>
      <c r="DR147" s="1952">
        <f>前年度貼付!$E$146</f>
        <v>21003</v>
      </c>
      <c r="DS147" s="1952"/>
      <c r="DT147" s="1952"/>
      <c r="DU147" s="1952"/>
      <c r="DV147" s="1952"/>
      <c r="DW147" s="1952"/>
      <c r="DX147" s="1952"/>
      <c r="DY147" s="1952"/>
      <c r="DZ147" s="1952"/>
      <c r="EA147" s="1952"/>
      <c r="EB147" s="1952"/>
      <c r="EC147" s="1952"/>
      <c r="ED147" s="1952"/>
      <c r="EE147" s="1952"/>
      <c r="EF147" s="1952"/>
      <c r="EG147" s="1952"/>
      <c r="EH147" s="1952"/>
      <c r="EI147" s="1952"/>
      <c r="EJ147" s="1952"/>
      <c r="EK147" s="1952"/>
      <c r="EL147" s="1952"/>
      <c r="EM147" s="1952"/>
      <c r="EN147" s="1952"/>
      <c r="EO147" s="1952">
        <f>前年度貼付!$E$160</f>
        <v>27197</v>
      </c>
      <c r="EP147" s="1952"/>
      <c r="EQ147" s="1952"/>
      <c r="ER147" s="1952"/>
      <c r="ES147" s="1952"/>
      <c r="ET147" s="1952"/>
      <c r="EU147" s="1952"/>
      <c r="EV147" s="1952"/>
      <c r="EW147" s="1952"/>
      <c r="EX147" s="1952"/>
      <c r="EY147" s="1952"/>
      <c r="EZ147" s="1952"/>
      <c r="FA147" s="1952"/>
      <c r="FB147" s="1952"/>
      <c r="FC147" s="1952"/>
      <c r="FD147" s="1952"/>
      <c r="FE147" s="1952"/>
      <c r="FF147" s="1952"/>
      <c r="FG147" s="1952"/>
      <c r="FH147" s="1952">
        <f>前年度貼付!$E$172</f>
        <v>165134316</v>
      </c>
      <c r="FI147" s="1952"/>
      <c r="FJ147" s="1952"/>
      <c r="FK147" s="1952"/>
      <c r="FL147" s="1952"/>
      <c r="FM147" s="1952"/>
      <c r="FN147" s="1952"/>
      <c r="FO147" s="1952"/>
      <c r="FP147" s="1952"/>
      <c r="FQ147" s="1952"/>
      <c r="FR147" s="1952"/>
      <c r="FS147" s="1952"/>
      <c r="FT147" s="1952"/>
      <c r="FU147" s="1952"/>
      <c r="FV147" s="1952"/>
      <c r="FW147" s="1952"/>
      <c r="FX147" s="1952"/>
      <c r="FY147" s="1952"/>
      <c r="FZ147" s="1952"/>
      <c r="GA147" s="1952"/>
      <c r="GB147" s="1952"/>
      <c r="GC147" s="1952"/>
      <c r="GD147" s="1952"/>
      <c r="GE147" s="1952"/>
      <c r="GF147" s="1952"/>
      <c r="GG147" s="1952"/>
      <c r="GH147" s="1952"/>
      <c r="GI147" s="1952"/>
    </row>
    <row r="148" spans="1:219" s="166" customFormat="1" ht="25.5" customHeight="1">
      <c r="A148" s="1958"/>
      <c r="B148" s="1958"/>
      <c r="C148" s="167"/>
      <c r="D148" s="167"/>
      <c r="E148" s="218"/>
      <c r="F148" s="188"/>
      <c r="G148" s="189"/>
      <c r="H148" s="1969" t="s">
        <v>434</v>
      </c>
      <c r="I148" s="1969"/>
      <c r="J148" s="1969"/>
      <c r="K148" s="1969"/>
      <c r="L148" s="1969"/>
      <c r="M148" s="1969"/>
      <c r="N148" s="1969"/>
      <c r="O148" s="1969"/>
      <c r="P148" s="1969"/>
      <c r="Q148" s="1969"/>
      <c r="R148" s="1969"/>
      <c r="S148" s="1969"/>
      <c r="T148" s="1969"/>
      <c r="U148" s="1969"/>
      <c r="V148" s="1969"/>
      <c r="W148" s="1969"/>
      <c r="X148" s="1969"/>
      <c r="Y148" s="1969"/>
      <c r="Z148" s="1969"/>
      <c r="AA148" s="1969"/>
      <c r="AB148" s="1969"/>
      <c r="AC148" s="1969"/>
      <c r="AD148" s="1969"/>
      <c r="AE148" s="1969"/>
      <c r="AF148" s="1969"/>
      <c r="AG148" s="1969"/>
      <c r="AH148" s="1969"/>
      <c r="AI148" s="1969"/>
      <c r="AJ148" s="1969"/>
      <c r="AK148" s="1969"/>
      <c r="AL148" s="1969"/>
      <c r="AM148" s="1969"/>
      <c r="AN148" s="1969"/>
      <c r="AO148" s="1969"/>
      <c r="AP148" s="1969"/>
      <c r="AQ148" s="1969"/>
      <c r="AR148" s="1969"/>
      <c r="AS148" s="1969"/>
      <c r="AT148" s="1969"/>
      <c r="AU148" s="1969"/>
      <c r="AV148" s="1969"/>
      <c r="AW148" s="1969"/>
      <c r="AX148" s="189"/>
      <c r="AY148" s="197"/>
      <c r="AZ148" s="1959">
        <v>813</v>
      </c>
      <c r="BA148" s="1960"/>
      <c r="BB148" s="1960"/>
      <c r="BC148" s="1960"/>
      <c r="BD148" s="1960"/>
      <c r="BE148" s="1960"/>
      <c r="BF148" s="1960"/>
      <c r="BG148" s="1960"/>
      <c r="BH148" s="1960"/>
      <c r="BI148" s="1960"/>
      <c r="BJ148" s="1960"/>
      <c r="BK148" s="1960"/>
      <c r="BL148" s="1960"/>
      <c r="BM148" s="1960"/>
      <c r="BN148" s="1960"/>
      <c r="BO148" s="1960"/>
      <c r="BP148" s="1960"/>
      <c r="BQ148" s="1960"/>
      <c r="BR148" s="1960"/>
      <c r="BS148" s="1960"/>
      <c r="BT148" s="1960"/>
      <c r="BU148" s="1960"/>
      <c r="BV148" s="1960"/>
      <c r="BW148" s="1970">
        <v>20430</v>
      </c>
      <c r="BX148" s="1971"/>
      <c r="BY148" s="1971"/>
      <c r="BZ148" s="1971"/>
      <c r="CA148" s="1971"/>
      <c r="CB148" s="1971"/>
      <c r="CC148" s="1971"/>
      <c r="CD148" s="1971"/>
      <c r="CE148" s="1971"/>
      <c r="CF148" s="1971"/>
      <c r="CG148" s="1971"/>
      <c r="CH148" s="1971"/>
      <c r="CI148" s="1971"/>
      <c r="CJ148" s="1971"/>
      <c r="CK148" s="1971"/>
      <c r="CL148" s="1972" t="s">
        <v>103</v>
      </c>
      <c r="CM148" s="1972"/>
      <c r="CN148" s="1972"/>
      <c r="CO148" s="1972"/>
      <c r="CP148" s="1961">
        <v>4104640</v>
      </c>
      <c r="CQ148" s="1952"/>
      <c r="CR148" s="1952"/>
      <c r="CS148" s="1952"/>
      <c r="CT148" s="1952"/>
      <c r="CU148" s="1952"/>
      <c r="CV148" s="1952"/>
      <c r="CW148" s="1952"/>
      <c r="CX148" s="1952"/>
      <c r="CY148" s="1952"/>
      <c r="CZ148" s="1952"/>
      <c r="DA148" s="1952"/>
      <c r="DB148" s="1952"/>
      <c r="DC148" s="1952"/>
      <c r="DD148" s="1952"/>
      <c r="DE148" s="1952"/>
      <c r="DF148" s="1952"/>
      <c r="DG148" s="1952"/>
      <c r="DH148" s="1952"/>
      <c r="DI148" s="1952"/>
      <c r="DJ148" s="1952"/>
      <c r="DK148" s="1952"/>
      <c r="DL148" s="1952"/>
      <c r="DM148" s="1952"/>
      <c r="DN148" s="1952"/>
      <c r="DO148" s="1952"/>
      <c r="DP148" s="1952"/>
      <c r="DQ148" s="1952"/>
      <c r="DR148" s="1960">
        <f>前年度貼付!$E$147</f>
        <v>825</v>
      </c>
      <c r="DS148" s="1960"/>
      <c r="DT148" s="1960"/>
      <c r="DU148" s="1960"/>
      <c r="DV148" s="1960"/>
      <c r="DW148" s="1960"/>
      <c r="DX148" s="1960"/>
      <c r="DY148" s="1960"/>
      <c r="DZ148" s="1960"/>
      <c r="EA148" s="1960"/>
      <c r="EB148" s="1960"/>
      <c r="EC148" s="1960"/>
      <c r="ED148" s="1960"/>
      <c r="EE148" s="1960"/>
      <c r="EF148" s="1960"/>
      <c r="EG148" s="1960"/>
      <c r="EH148" s="1960"/>
      <c r="EI148" s="1960"/>
      <c r="EJ148" s="1960"/>
      <c r="EK148" s="1960"/>
      <c r="EL148" s="1960"/>
      <c r="EM148" s="1960"/>
      <c r="EN148" s="1960"/>
      <c r="EO148" s="1971">
        <f>前年度貼付!$E$161</f>
        <v>20414</v>
      </c>
      <c r="EP148" s="1971"/>
      <c r="EQ148" s="1971"/>
      <c r="ER148" s="1971"/>
      <c r="ES148" s="1971"/>
      <c r="ET148" s="1971"/>
      <c r="EU148" s="1971"/>
      <c r="EV148" s="1971"/>
      <c r="EW148" s="1971"/>
      <c r="EX148" s="1971"/>
      <c r="EY148" s="1971"/>
      <c r="EZ148" s="1971"/>
      <c r="FA148" s="1971"/>
      <c r="FB148" s="1971"/>
      <c r="FC148" s="1971"/>
      <c r="FD148" s="1972" t="s">
        <v>103</v>
      </c>
      <c r="FE148" s="1972"/>
      <c r="FF148" s="1972"/>
      <c r="FG148" s="1972"/>
      <c r="FH148" s="1952">
        <f>前年度貼付!$E$173</f>
        <v>4172769</v>
      </c>
      <c r="FI148" s="1952"/>
      <c r="FJ148" s="1952"/>
      <c r="FK148" s="1952"/>
      <c r="FL148" s="1952"/>
      <c r="FM148" s="1952"/>
      <c r="FN148" s="1952"/>
      <c r="FO148" s="1952"/>
      <c r="FP148" s="1952"/>
      <c r="FQ148" s="1952"/>
      <c r="FR148" s="1952"/>
      <c r="FS148" s="1952"/>
      <c r="FT148" s="1952"/>
      <c r="FU148" s="1952"/>
      <c r="FV148" s="1952"/>
      <c r="FW148" s="1952"/>
      <c r="FX148" s="1952"/>
      <c r="FY148" s="1952"/>
      <c r="FZ148" s="1952"/>
      <c r="GA148" s="1952"/>
      <c r="GB148" s="1952"/>
      <c r="GC148" s="1952"/>
      <c r="GD148" s="1952"/>
      <c r="GE148" s="1952"/>
      <c r="GF148" s="1952"/>
      <c r="GG148" s="1952"/>
      <c r="GH148" s="1952"/>
      <c r="GI148" s="1952"/>
    </row>
    <row r="149" spans="1:219" s="166" customFormat="1" ht="15" customHeight="1">
      <c r="A149" s="1958"/>
      <c r="B149" s="1958"/>
      <c r="C149" s="167"/>
      <c r="D149" s="167"/>
      <c r="E149" s="218"/>
      <c r="F149" s="219"/>
      <c r="G149" s="211"/>
      <c r="H149" s="1932" t="s">
        <v>61</v>
      </c>
      <c r="I149" s="1932"/>
      <c r="J149" s="1932"/>
      <c r="K149" s="1932"/>
      <c r="L149" s="1932"/>
      <c r="M149" s="1932"/>
      <c r="N149" s="1932"/>
      <c r="O149" s="1932"/>
      <c r="P149" s="1932"/>
      <c r="Q149" s="1932"/>
      <c r="R149" s="1932"/>
      <c r="S149" s="1932"/>
      <c r="T149" s="1932"/>
      <c r="U149" s="1932"/>
      <c r="V149" s="1932"/>
      <c r="W149" s="1932"/>
      <c r="X149" s="1932"/>
      <c r="Y149" s="1932"/>
      <c r="Z149" s="1932"/>
      <c r="AA149" s="1932"/>
      <c r="AB149" s="1932"/>
      <c r="AC149" s="1932"/>
      <c r="AD149" s="1932"/>
      <c r="AE149" s="1932"/>
      <c r="AF149" s="1932"/>
      <c r="AG149" s="1932"/>
      <c r="AH149" s="1932"/>
      <c r="AI149" s="1932"/>
      <c r="AJ149" s="1932"/>
      <c r="AK149" s="1932"/>
      <c r="AL149" s="1932"/>
      <c r="AM149" s="1932"/>
      <c r="AN149" s="1932"/>
      <c r="AO149" s="1932"/>
      <c r="AP149" s="1932"/>
      <c r="AQ149" s="1932"/>
      <c r="AR149" s="1932"/>
      <c r="AS149" s="1932"/>
      <c r="AT149" s="1932"/>
      <c r="AU149" s="1932"/>
      <c r="AV149" s="1932"/>
      <c r="AW149" s="1932"/>
      <c r="AX149" s="211"/>
      <c r="AY149" s="220"/>
      <c r="AZ149" s="1963"/>
      <c r="BA149" s="1963"/>
      <c r="BB149" s="1963"/>
      <c r="BC149" s="1963"/>
      <c r="BD149" s="1963"/>
      <c r="BE149" s="1963"/>
      <c r="BF149" s="1963"/>
      <c r="BG149" s="1963"/>
      <c r="BH149" s="1963"/>
      <c r="BI149" s="1963"/>
      <c r="BJ149" s="1963"/>
      <c r="BK149" s="1963"/>
      <c r="BL149" s="1963"/>
      <c r="BM149" s="1963"/>
      <c r="BN149" s="1963"/>
      <c r="BO149" s="1963"/>
      <c r="BP149" s="1963"/>
      <c r="BQ149" s="1963"/>
      <c r="BR149" s="1963"/>
      <c r="BS149" s="1963"/>
      <c r="BT149" s="1963"/>
      <c r="BU149" s="1963"/>
      <c r="BV149" s="1963"/>
      <c r="BW149" s="1963"/>
      <c r="BX149" s="1963"/>
      <c r="BY149" s="1963"/>
      <c r="BZ149" s="1963"/>
      <c r="CA149" s="1963"/>
      <c r="CB149" s="1963"/>
      <c r="CC149" s="1963"/>
      <c r="CD149" s="1963"/>
      <c r="CE149" s="1963"/>
      <c r="CF149" s="1963"/>
      <c r="CG149" s="1963"/>
      <c r="CH149" s="1963"/>
      <c r="CI149" s="1963"/>
      <c r="CJ149" s="1963"/>
      <c r="CK149" s="1963"/>
      <c r="CL149" s="1963"/>
      <c r="CM149" s="1963"/>
      <c r="CN149" s="1963"/>
      <c r="CO149" s="1963"/>
      <c r="CP149" s="1964"/>
      <c r="CQ149" s="1964"/>
      <c r="CR149" s="1964"/>
      <c r="CS149" s="1964"/>
      <c r="CT149" s="1964"/>
      <c r="CU149" s="1964"/>
      <c r="CV149" s="1964"/>
      <c r="CW149" s="1964"/>
      <c r="CX149" s="1964"/>
      <c r="CY149" s="1964"/>
      <c r="CZ149" s="1964"/>
      <c r="DA149" s="1964"/>
      <c r="DB149" s="1964"/>
      <c r="DC149" s="1964"/>
      <c r="DD149" s="1964"/>
      <c r="DE149" s="1964"/>
      <c r="DF149" s="1964"/>
      <c r="DG149" s="1964"/>
      <c r="DH149" s="1964"/>
      <c r="DI149" s="1964"/>
      <c r="DJ149" s="1964"/>
      <c r="DK149" s="1964"/>
      <c r="DL149" s="1964"/>
      <c r="DM149" s="1964"/>
      <c r="DN149" s="1964"/>
      <c r="DO149" s="1964"/>
      <c r="DP149" s="1964"/>
      <c r="DQ149" s="1964"/>
      <c r="DR149" s="1963"/>
      <c r="DS149" s="1963"/>
      <c r="DT149" s="1963"/>
      <c r="DU149" s="1963"/>
      <c r="DV149" s="1963"/>
      <c r="DW149" s="1963"/>
      <c r="DX149" s="1963"/>
      <c r="DY149" s="1963"/>
      <c r="DZ149" s="1963"/>
      <c r="EA149" s="1963"/>
      <c r="EB149" s="1963"/>
      <c r="EC149" s="1963"/>
      <c r="ED149" s="1963"/>
      <c r="EE149" s="1963"/>
      <c r="EF149" s="1963"/>
      <c r="EG149" s="1963"/>
      <c r="EH149" s="1963"/>
      <c r="EI149" s="1963"/>
      <c r="EJ149" s="1963"/>
      <c r="EK149" s="1963"/>
      <c r="EL149" s="1963"/>
      <c r="EM149" s="1963"/>
      <c r="EN149" s="1963"/>
      <c r="EO149" s="1963"/>
      <c r="EP149" s="1963"/>
      <c r="EQ149" s="1963"/>
      <c r="ER149" s="1963"/>
      <c r="ES149" s="1963"/>
      <c r="ET149" s="1963"/>
      <c r="EU149" s="1963"/>
      <c r="EV149" s="1963"/>
      <c r="EW149" s="1963"/>
      <c r="EX149" s="1963"/>
      <c r="EY149" s="1963"/>
      <c r="EZ149" s="1963"/>
      <c r="FA149" s="1963"/>
      <c r="FB149" s="1963"/>
      <c r="FC149" s="1963"/>
      <c r="FD149" s="1963"/>
      <c r="FE149" s="1963"/>
      <c r="FF149" s="1963"/>
      <c r="FG149" s="1963"/>
      <c r="FH149" s="1964"/>
      <c r="FI149" s="1964"/>
      <c r="FJ149" s="1964"/>
      <c r="FK149" s="1964"/>
      <c r="FL149" s="1964"/>
      <c r="FM149" s="1964"/>
      <c r="FN149" s="1964"/>
      <c r="FO149" s="1964"/>
      <c r="FP149" s="1964"/>
      <c r="FQ149" s="1964"/>
      <c r="FR149" s="1964"/>
      <c r="FS149" s="1964"/>
      <c r="FT149" s="1964"/>
      <c r="FU149" s="1964"/>
      <c r="FV149" s="1964"/>
      <c r="FW149" s="1964"/>
      <c r="FX149" s="1964"/>
      <c r="FY149" s="1964"/>
      <c r="FZ149" s="1964"/>
      <c r="GA149" s="1964"/>
      <c r="GB149" s="1964"/>
      <c r="GC149" s="1964"/>
      <c r="GD149" s="1964"/>
      <c r="GE149" s="1964"/>
      <c r="GF149" s="1964"/>
      <c r="GG149" s="1964"/>
      <c r="GH149" s="1964"/>
      <c r="GI149" s="1964"/>
    </row>
    <row r="150" spans="1:219" s="166" customFormat="1" ht="18" customHeight="1">
      <c r="A150" s="1958"/>
      <c r="B150" s="1958"/>
      <c r="C150" s="167"/>
      <c r="D150" s="167"/>
      <c r="E150" s="218"/>
      <c r="F150" s="190"/>
      <c r="G150" s="191"/>
      <c r="H150" s="1932"/>
      <c r="I150" s="1932"/>
      <c r="J150" s="1932"/>
      <c r="K150" s="1932"/>
      <c r="L150" s="1932"/>
      <c r="M150" s="1932"/>
      <c r="N150" s="1932"/>
      <c r="O150" s="1932"/>
      <c r="P150" s="1932"/>
      <c r="Q150" s="1932"/>
      <c r="R150" s="1932"/>
      <c r="S150" s="1932"/>
      <c r="T150" s="1932"/>
      <c r="U150" s="1932"/>
      <c r="V150" s="1932"/>
      <c r="W150" s="1932"/>
      <c r="X150" s="1932"/>
      <c r="Y150" s="1932"/>
      <c r="Z150" s="1932"/>
      <c r="AA150" s="1932"/>
      <c r="AB150" s="1932"/>
      <c r="AC150" s="1932"/>
      <c r="AD150" s="1932"/>
      <c r="AE150" s="1932"/>
      <c r="AF150" s="1932"/>
      <c r="AG150" s="1932"/>
      <c r="AH150" s="1932"/>
      <c r="AI150" s="1932"/>
      <c r="AJ150" s="1932"/>
      <c r="AK150" s="1932"/>
      <c r="AL150" s="1932"/>
      <c r="AM150" s="1932"/>
      <c r="AN150" s="1932"/>
      <c r="AO150" s="1932"/>
      <c r="AP150" s="1932"/>
      <c r="AQ150" s="1932"/>
      <c r="AR150" s="1932"/>
      <c r="AS150" s="1932"/>
      <c r="AT150" s="1932"/>
      <c r="AU150" s="1932"/>
      <c r="AV150" s="1932"/>
      <c r="AW150" s="1932"/>
      <c r="AX150" s="191"/>
      <c r="AY150" s="214"/>
      <c r="AZ150" s="1965">
        <v>61391</v>
      </c>
      <c r="BA150" s="1966"/>
      <c r="BB150" s="1966"/>
      <c r="BC150" s="1966"/>
      <c r="BD150" s="1966"/>
      <c r="BE150" s="1966"/>
      <c r="BF150" s="1966"/>
      <c r="BG150" s="1966"/>
      <c r="BH150" s="1966"/>
      <c r="BI150" s="1966"/>
      <c r="BJ150" s="1966"/>
      <c r="BK150" s="1966"/>
      <c r="BL150" s="1966"/>
      <c r="BM150" s="1966"/>
      <c r="BN150" s="1966"/>
      <c r="BO150" s="1966"/>
      <c r="BP150" s="1966"/>
      <c r="BQ150" s="1966"/>
      <c r="BR150" s="1966"/>
      <c r="BS150" s="1966"/>
      <c r="BT150" s="1966"/>
      <c r="BU150" s="1966"/>
      <c r="BV150" s="1966"/>
      <c r="BW150" s="1965">
        <v>73911</v>
      </c>
      <c r="BX150" s="1966"/>
      <c r="BY150" s="1966"/>
      <c r="BZ150" s="1966"/>
      <c r="CA150" s="1966"/>
      <c r="CB150" s="1966"/>
      <c r="CC150" s="1966"/>
      <c r="CD150" s="1966"/>
      <c r="CE150" s="1966"/>
      <c r="CF150" s="1966"/>
      <c r="CG150" s="1966"/>
      <c r="CH150" s="1966"/>
      <c r="CI150" s="1966"/>
      <c r="CJ150" s="1966"/>
      <c r="CK150" s="1966"/>
      <c r="CL150" s="1966"/>
      <c r="CM150" s="1966"/>
      <c r="CN150" s="1966"/>
      <c r="CO150" s="1966"/>
      <c r="CP150" s="1967">
        <v>368226435</v>
      </c>
      <c r="CQ150" s="1968"/>
      <c r="CR150" s="1968"/>
      <c r="CS150" s="1968"/>
      <c r="CT150" s="1968"/>
      <c r="CU150" s="1968"/>
      <c r="CV150" s="1968"/>
      <c r="CW150" s="1968"/>
      <c r="CX150" s="1968"/>
      <c r="CY150" s="1968"/>
      <c r="CZ150" s="1968"/>
      <c r="DA150" s="1968"/>
      <c r="DB150" s="1968"/>
      <c r="DC150" s="1968"/>
      <c r="DD150" s="1968"/>
      <c r="DE150" s="1968"/>
      <c r="DF150" s="1968"/>
      <c r="DG150" s="1968"/>
      <c r="DH150" s="1968"/>
      <c r="DI150" s="1968"/>
      <c r="DJ150" s="1968"/>
      <c r="DK150" s="1968"/>
      <c r="DL150" s="1968"/>
      <c r="DM150" s="1968"/>
      <c r="DN150" s="1968"/>
      <c r="DO150" s="1968"/>
      <c r="DP150" s="1968"/>
      <c r="DQ150" s="1968"/>
      <c r="DR150" s="1966">
        <f>前年度貼付!$E$148</f>
        <v>61457</v>
      </c>
      <c r="DS150" s="1966"/>
      <c r="DT150" s="1966"/>
      <c r="DU150" s="1966"/>
      <c r="DV150" s="1966"/>
      <c r="DW150" s="1966"/>
      <c r="DX150" s="1966"/>
      <c r="DY150" s="1966"/>
      <c r="DZ150" s="1966"/>
      <c r="EA150" s="1966"/>
      <c r="EB150" s="1966"/>
      <c r="EC150" s="1966"/>
      <c r="ED150" s="1966"/>
      <c r="EE150" s="1966"/>
      <c r="EF150" s="1966"/>
      <c r="EG150" s="1966"/>
      <c r="EH150" s="1966"/>
      <c r="EI150" s="1966"/>
      <c r="EJ150" s="1966"/>
      <c r="EK150" s="1966"/>
      <c r="EL150" s="1966"/>
      <c r="EM150" s="1966"/>
      <c r="EN150" s="1966"/>
      <c r="EO150" s="1966">
        <f>前年度貼付!$E$162</f>
        <v>74865</v>
      </c>
      <c r="EP150" s="1966"/>
      <c r="EQ150" s="1966"/>
      <c r="ER150" s="1966"/>
      <c r="ES150" s="1966"/>
      <c r="ET150" s="1966"/>
      <c r="EU150" s="1966"/>
      <c r="EV150" s="1966"/>
      <c r="EW150" s="1966"/>
      <c r="EX150" s="1966"/>
      <c r="EY150" s="1966"/>
      <c r="EZ150" s="1966"/>
      <c r="FA150" s="1966"/>
      <c r="FB150" s="1966"/>
      <c r="FC150" s="1966"/>
      <c r="FD150" s="1966"/>
      <c r="FE150" s="1966"/>
      <c r="FF150" s="1966"/>
      <c r="FG150" s="1966"/>
      <c r="FH150" s="1968">
        <f>前年度貼付!$E$174</f>
        <v>333232347</v>
      </c>
      <c r="FI150" s="1968"/>
      <c r="FJ150" s="1968"/>
      <c r="FK150" s="1968"/>
      <c r="FL150" s="1968"/>
      <c r="FM150" s="1968"/>
      <c r="FN150" s="1968"/>
      <c r="FO150" s="1968"/>
      <c r="FP150" s="1968"/>
      <c r="FQ150" s="1968"/>
      <c r="FR150" s="1968"/>
      <c r="FS150" s="1968"/>
      <c r="FT150" s="1968"/>
      <c r="FU150" s="1968"/>
      <c r="FV150" s="1968"/>
      <c r="FW150" s="1968"/>
      <c r="FX150" s="1968"/>
      <c r="FY150" s="1968"/>
      <c r="FZ150" s="1968"/>
      <c r="GA150" s="1968"/>
      <c r="GB150" s="1968"/>
      <c r="GC150" s="1968"/>
      <c r="GD150" s="1968"/>
      <c r="GE150" s="1968"/>
      <c r="GF150" s="1968"/>
      <c r="GG150" s="1968"/>
      <c r="GH150" s="1968"/>
      <c r="GI150" s="1968"/>
    </row>
    <row r="151" spans="1:219" s="166" customFormat="1" ht="18" customHeight="1">
      <c r="A151" s="1958"/>
      <c r="B151" s="1958"/>
      <c r="C151" s="167"/>
      <c r="D151" s="167"/>
      <c r="E151" s="218"/>
      <c r="F151" s="188"/>
      <c r="G151" s="189"/>
      <c r="H151" s="1932" t="s">
        <v>53</v>
      </c>
      <c r="I151" s="1932"/>
      <c r="J151" s="1932"/>
      <c r="K151" s="1932"/>
      <c r="L151" s="1932"/>
      <c r="M151" s="1932"/>
      <c r="N151" s="1932"/>
      <c r="O151" s="1932"/>
      <c r="P151" s="1932"/>
      <c r="Q151" s="1932"/>
      <c r="R151" s="1932"/>
      <c r="S151" s="1932"/>
      <c r="T151" s="1932"/>
      <c r="U151" s="1932"/>
      <c r="V151" s="1932"/>
      <c r="W151" s="1932"/>
      <c r="X151" s="1932"/>
      <c r="Y151" s="1932"/>
      <c r="Z151" s="1932"/>
      <c r="AA151" s="1932"/>
      <c r="AB151" s="1932"/>
      <c r="AC151" s="1932"/>
      <c r="AD151" s="1932"/>
      <c r="AE151" s="1932"/>
      <c r="AF151" s="1932"/>
      <c r="AG151" s="1932"/>
      <c r="AH151" s="1932"/>
      <c r="AI151" s="1932"/>
      <c r="AJ151" s="1932"/>
      <c r="AK151" s="1932"/>
      <c r="AL151" s="1932"/>
      <c r="AM151" s="1932"/>
      <c r="AN151" s="1932"/>
      <c r="AO151" s="1932"/>
      <c r="AP151" s="1932"/>
      <c r="AQ151" s="1932"/>
      <c r="AR151" s="1932"/>
      <c r="AS151" s="1932"/>
      <c r="AT151" s="1932"/>
      <c r="AU151" s="1932"/>
      <c r="AV151" s="1932"/>
      <c r="AW151" s="1932"/>
      <c r="AX151" s="189"/>
      <c r="AY151" s="197"/>
      <c r="AZ151" s="1959">
        <v>838</v>
      </c>
      <c r="BA151" s="1960"/>
      <c r="BB151" s="1960"/>
      <c r="BC151" s="1960"/>
      <c r="BD151" s="1960"/>
      <c r="BE151" s="1960"/>
      <c r="BF151" s="1960"/>
      <c r="BG151" s="1960"/>
      <c r="BH151" s="1960"/>
      <c r="BI151" s="1960"/>
      <c r="BJ151" s="1960"/>
      <c r="BK151" s="1960"/>
      <c r="BL151" s="1960"/>
      <c r="BM151" s="1960"/>
      <c r="BN151" s="1960"/>
      <c r="BO151" s="1960"/>
      <c r="BP151" s="1960"/>
      <c r="BQ151" s="1960"/>
      <c r="BR151" s="1960"/>
      <c r="BS151" s="1960"/>
      <c r="BT151" s="1960"/>
      <c r="BU151" s="1960"/>
      <c r="BV151" s="1960"/>
      <c r="BW151" s="1961">
        <v>4775</v>
      </c>
      <c r="BX151" s="1952"/>
      <c r="BY151" s="1952"/>
      <c r="BZ151" s="1952"/>
      <c r="CA151" s="1952"/>
      <c r="CB151" s="1952"/>
      <c r="CC151" s="1952"/>
      <c r="CD151" s="1952"/>
      <c r="CE151" s="1952"/>
      <c r="CF151" s="1952"/>
      <c r="CG151" s="1952"/>
      <c r="CH151" s="1952"/>
      <c r="CI151" s="1952"/>
      <c r="CJ151" s="1952"/>
      <c r="CK151" s="1952"/>
      <c r="CL151" s="1952"/>
      <c r="CM151" s="1952"/>
      <c r="CN151" s="1952"/>
      <c r="CO151" s="1952"/>
      <c r="CP151" s="1952">
        <f>CB53</f>
        <v>39360367</v>
      </c>
      <c r="CQ151" s="1952"/>
      <c r="CR151" s="1952"/>
      <c r="CS151" s="1952"/>
      <c r="CT151" s="1952"/>
      <c r="CU151" s="1952"/>
      <c r="CV151" s="1952"/>
      <c r="CW151" s="1952"/>
      <c r="CX151" s="1952"/>
      <c r="CY151" s="1952"/>
      <c r="CZ151" s="1952"/>
      <c r="DA151" s="1952"/>
      <c r="DB151" s="1952"/>
      <c r="DC151" s="1952"/>
      <c r="DD151" s="1952"/>
      <c r="DE151" s="1952"/>
      <c r="DF151" s="1952"/>
      <c r="DG151" s="1952"/>
      <c r="DH151" s="1952"/>
      <c r="DI151" s="1952"/>
      <c r="DJ151" s="1952"/>
      <c r="DK151" s="1952"/>
      <c r="DL151" s="1952"/>
      <c r="DM151" s="1952"/>
      <c r="DN151" s="1952"/>
      <c r="DO151" s="1952"/>
      <c r="DP151" s="1952"/>
      <c r="DQ151" s="1952"/>
      <c r="DR151" s="1960">
        <f>前年度貼付!$E$149</f>
        <v>636</v>
      </c>
      <c r="DS151" s="1960"/>
      <c r="DT151" s="1960"/>
      <c r="DU151" s="1960"/>
      <c r="DV151" s="1960"/>
      <c r="DW151" s="1960"/>
      <c r="DX151" s="1960"/>
      <c r="DY151" s="1960"/>
      <c r="DZ151" s="1960"/>
      <c r="EA151" s="1960"/>
      <c r="EB151" s="1960"/>
      <c r="EC151" s="1960"/>
      <c r="ED151" s="1960"/>
      <c r="EE151" s="1960"/>
      <c r="EF151" s="1960"/>
      <c r="EG151" s="1960"/>
      <c r="EH151" s="1960"/>
      <c r="EI151" s="1960"/>
      <c r="EJ151" s="1960"/>
      <c r="EK151" s="1960"/>
      <c r="EL151" s="1960"/>
      <c r="EM151" s="1960"/>
      <c r="EN151" s="1960"/>
      <c r="EO151" s="1952">
        <f>前年度貼付!$E$163</f>
        <v>3248</v>
      </c>
      <c r="EP151" s="1952"/>
      <c r="EQ151" s="1952"/>
      <c r="ER151" s="1952"/>
      <c r="ES151" s="1952"/>
      <c r="ET151" s="1952"/>
      <c r="EU151" s="1952"/>
      <c r="EV151" s="1952"/>
      <c r="EW151" s="1952"/>
      <c r="EX151" s="1952"/>
      <c r="EY151" s="1952"/>
      <c r="EZ151" s="1952"/>
      <c r="FA151" s="1952"/>
      <c r="FB151" s="1952"/>
      <c r="FC151" s="1952"/>
      <c r="FD151" s="1952"/>
      <c r="FE151" s="1952"/>
      <c r="FF151" s="1952"/>
      <c r="FG151" s="1952"/>
      <c r="FH151" s="1952">
        <f>EF53</f>
        <v>27470107</v>
      </c>
      <c r="FI151" s="1952"/>
      <c r="FJ151" s="1952"/>
      <c r="FK151" s="1952"/>
      <c r="FL151" s="1952"/>
      <c r="FM151" s="1952"/>
      <c r="FN151" s="1952"/>
      <c r="FO151" s="1952"/>
      <c r="FP151" s="1952"/>
      <c r="FQ151" s="1952"/>
      <c r="FR151" s="1952"/>
      <c r="FS151" s="1952"/>
      <c r="FT151" s="1952"/>
      <c r="FU151" s="1952"/>
      <c r="FV151" s="1952"/>
      <c r="FW151" s="1952"/>
      <c r="FX151" s="1952"/>
      <c r="FY151" s="1952"/>
      <c r="FZ151" s="1952"/>
      <c r="GA151" s="1952"/>
      <c r="GB151" s="1952"/>
      <c r="GC151" s="1952"/>
      <c r="GD151" s="1952"/>
      <c r="GE151" s="1952"/>
      <c r="GF151" s="1952"/>
      <c r="GG151" s="1952"/>
      <c r="GH151" s="1952"/>
      <c r="GI151" s="1952"/>
    </row>
    <row r="152" spans="1:219" s="166" customFormat="1" ht="18" customHeight="1">
      <c r="A152" s="1962" t="s">
        <v>459</v>
      </c>
      <c r="B152" s="1962"/>
      <c r="C152" s="1962"/>
      <c r="D152" s="1962"/>
      <c r="E152" s="1962"/>
      <c r="F152" s="188"/>
      <c r="G152" s="189"/>
      <c r="H152" s="1932" t="s">
        <v>62</v>
      </c>
      <c r="I152" s="1932"/>
      <c r="J152" s="1932"/>
      <c r="K152" s="1932"/>
      <c r="L152" s="1932"/>
      <c r="M152" s="1932"/>
      <c r="N152" s="1932"/>
      <c r="O152" s="1932"/>
      <c r="P152" s="1932"/>
      <c r="Q152" s="1932"/>
      <c r="R152" s="1932"/>
      <c r="S152" s="1932"/>
      <c r="T152" s="1932"/>
      <c r="U152" s="1932"/>
      <c r="V152" s="1932"/>
      <c r="W152" s="1932"/>
      <c r="X152" s="1932"/>
      <c r="Y152" s="1932"/>
      <c r="Z152" s="1932"/>
      <c r="AA152" s="1932"/>
      <c r="AB152" s="1932"/>
      <c r="AC152" s="1932"/>
      <c r="AD152" s="1932"/>
      <c r="AE152" s="1932"/>
      <c r="AF152" s="1932"/>
      <c r="AG152" s="1932"/>
      <c r="AH152" s="1932"/>
      <c r="AI152" s="1932"/>
      <c r="AJ152" s="1932"/>
      <c r="AK152" s="1932"/>
      <c r="AL152" s="1932"/>
      <c r="AM152" s="1932"/>
      <c r="AN152" s="1932"/>
      <c r="AO152" s="1932"/>
      <c r="AP152" s="1932"/>
      <c r="AQ152" s="1932"/>
      <c r="AR152" s="1932"/>
      <c r="AS152" s="1932"/>
      <c r="AT152" s="1932"/>
      <c r="AU152" s="1932"/>
      <c r="AV152" s="1932"/>
      <c r="AW152" s="1932"/>
      <c r="AX152" s="189"/>
      <c r="AY152" s="197"/>
      <c r="AZ152" s="1961">
        <v>0</v>
      </c>
      <c r="BA152" s="1952"/>
      <c r="BB152" s="1952"/>
      <c r="BC152" s="1952"/>
      <c r="BD152" s="1952"/>
      <c r="BE152" s="1952"/>
      <c r="BF152" s="1952"/>
      <c r="BG152" s="1952"/>
      <c r="BH152" s="1952"/>
      <c r="BI152" s="1952"/>
      <c r="BJ152" s="1952"/>
      <c r="BK152" s="1952"/>
      <c r="BL152" s="1952"/>
      <c r="BM152" s="1952"/>
      <c r="BN152" s="1952"/>
      <c r="BO152" s="1952"/>
      <c r="BP152" s="1952"/>
      <c r="BQ152" s="1952"/>
      <c r="BR152" s="1952"/>
      <c r="BS152" s="1952"/>
      <c r="BT152" s="1952"/>
      <c r="BU152" s="1952"/>
      <c r="BV152" s="1952"/>
      <c r="BW152" s="1956"/>
      <c r="BX152" s="1956"/>
      <c r="BY152" s="1956"/>
      <c r="BZ152" s="1956"/>
      <c r="CA152" s="1956"/>
      <c r="CB152" s="1956"/>
      <c r="CC152" s="1956"/>
      <c r="CD152" s="1956"/>
      <c r="CE152" s="1956"/>
      <c r="CF152" s="1956"/>
      <c r="CG152" s="1956"/>
      <c r="CH152" s="1956"/>
      <c r="CI152" s="1956"/>
      <c r="CJ152" s="1956"/>
      <c r="CK152" s="1956"/>
      <c r="CL152" s="1956"/>
      <c r="CM152" s="1956"/>
      <c r="CN152" s="1956"/>
      <c r="CO152" s="1956"/>
      <c r="CP152" s="1961">
        <v>0</v>
      </c>
      <c r="CQ152" s="1952"/>
      <c r="CR152" s="1952"/>
      <c r="CS152" s="1952"/>
      <c r="CT152" s="1952"/>
      <c r="CU152" s="1952"/>
      <c r="CV152" s="1952"/>
      <c r="CW152" s="1952"/>
      <c r="CX152" s="1952"/>
      <c r="CY152" s="1952"/>
      <c r="CZ152" s="1952"/>
      <c r="DA152" s="1952"/>
      <c r="DB152" s="1952"/>
      <c r="DC152" s="1952"/>
      <c r="DD152" s="1952"/>
      <c r="DE152" s="1952"/>
      <c r="DF152" s="1952"/>
      <c r="DG152" s="1952"/>
      <c r="DH152" s="1952"/>
      <c r="DI152" s="1952"/>
      <c r="DJ152" s="1952"/>
      <c r="DK152" s="1952"/>
      <c r="DL152" s="1952"/>
      <c r="DM152" s="1952"/>
      <c r="DN152" s="1952"/>
      <c r="DO152" s="1952"/>
      <c r="DP152" s="1952"/>
      <c r="DQ152" s="1952"/>
      <c r="DR152" s="1952">
        <f>前年度貼付!$E$150</f>
        <v>1</v>
      </c>
      <c r="DS152" s="1952"/>
      <c r="DT152" s="1952"/>
      <c r="DU152" s="1952"/>
      <c r="DV152" s="1952"/>
      <c r="DW152" s="1952"/>
      <c r="DX152" s="1952"/>
      <c r="DY152" s="1952"/>
      <c r="DZ152" s="1952"/>
      <c r="EA152" s="1952"/>
      <c r="EB152" s="1952"/>
      <c r="EC152" s="1952"/>
      <c r="ED152" s="1952"/>
      <c r="EE152" s="1952"/>
      <c r="EF152" s="1952"/>
      <c r="EG152" s="1952"/>
      <c r="EH152" s="1952"/>
      <c r="EI152" s="1952"/>
      <c r="EJ152" s="1952"/>
      <c r="EK152" s="1952"/>
      <c r="EL152" s="1952"/>
      <c r="EM152" s="1952"/>
      <c r="EN152" s="1952"/>
      <c r="EO152" s="1956"/>
      <c r="EP152" s="1956"/>
      <c r="EQ152" s="1956"/>
      <c r="ER152" s="1956"/>
      <c r="ES152" s="1956"/>
      <c r="ET152" s="1956"/>
      <c r="EU152" s="1956"/>
      <c r="EV152" s="1956"/>
      <c r="EW152" s="1956"/>
      <c r="EX152" s="1956"/>
      <c r="EY152" s="1956"/>
      <c r="EZ152" s="1956"/>
      <c r="FA152" s="1956"/>
      <c r="FB152" s="1956"/>
      <c r="FC152" s="1956"/>
      <c r="FD152" s="1956"/>
      <c r="FE152" s="1956"/>
      <c r="FF152" s="1956"/>
      <c r="FG152" s="1956"/>
      <c r="FH152" s="1952">
        <f>EF61</f>
        <v>70824</v>
      </c>
      <c r="FI152" s="1952"/>
      <c r="FJ152" s="1952"/>
      <c r="FK152" s="1952"/>
      <c r="FL152" s="1952"/>
      <c r="FM152" s="1952"/>
      <c r="FN152" s="1952"/>
      <c r="FO152" s="1952"/>
      <c r="FP152" s="1952"/>
      <c r="FQ152" s="1952"/>
      <c r="FR152" s="1952"/>
      <c r="FS152" s="1952"/>
      <c r="FT152" s="1952"/>
      <c r="FU152" s="1952"/>
      <c r="FV152" s="1952"/>
      <c r="FW152" s="1952"/>
      <c r="FX152" s="1952"/>
      <c r="FY152" s="1952"/>
      <c r="FZ152" s="1952"/>
      <c r="GA152" s="1952"/>
      <c r="GB152" s="1952"/>
      <c r="GC152" s="1952"/>
      <c r="GD152" s="1952"/>
      <c r="GE152" s="1952"/>
      <c r="GF152" s="1952"/>
      <c r="GG152" s="1952"/>
      <c r="GH152" s="1952"/>
      <c r="GI152" s="1952"/>
    </row>
    <row r="153" spans="1:219" s="166" customFormat="1" ht="18" customHeight="1">
      <c r="A153" s="187"/>
      <c r="B153" s="167"/>
      <c r="C153" s="167"/>
      <c r="D153" s="167"/>
      <c r="E153" s="218"/>
      <c r="F153" s="188"/>
      <c r="G153" s="189"/>
      <c r="H153" s="1951" t="s">
        <v>351</v>
      </c>
      <c r="I153" s="1951"/>
      <c r="J153" s="1951"/>
      <c r="K153" s="1951"/>
      <c r="L153" s="1951"/>
      <c r="M153" s="1951"/>
      <c r="N153" s="1951"/>
      <c r="O153" s="1951"/>
      <c r="P153" s="1951"/>
      <c r="Q153" s="1951"/>
      <c r="R153" s="1951"/>
      <c r="S153" s="1951"/>
      <c r="T153" s="1951"/>
      <c r="U153" s="1951"/>
      <c r="V153" s="1951"/>
      <c r="W153" s="1951"/>
      <c r="X153" s="1951"/>
      <c r="Y153" s="1951"/>
      <c r="Z153" s="1951"/>
      <c r="AA153" s="1951"/>
      <c r="AB153" s="1951"/>
      <c r="AC153" s="1951"/>
      <c r="AD153" s="1951"/>
      <c r="AE153" s="1951"/>
      <c r="AF153" s="1951"/>
      <c r="AG153" s="1951"/>
      <c r="AH153" s="1951"/>
      <c r="AI153" s="1951"/>
      <c r="AJ153" s="1951"/>
      <c r="AK153" s="1951"/>
      <c r="AL153" s="1951"/>
      <c r="AM153" s="1951"/>
      <c r="AN153" s="1951"/>
      <c r="AO153" s="1951"/>
      <c r="AP153" s="1951"/>
      <c r="AQ153" s="1951"/>
      <c r="AR153" s="1951"/>
      <c r="AS153" s="1951"/>
      <c r="AT153" s="1951"/>
      <c r="AU153" s="1951"/>
      <c r="AV153" s="1951"/>
      <c r="AW153" s="1951"/>
      <c r="AX153" s="189"/>
      <c r="AY153" s="197"/>
      <c r="AZ153" s="1952">
        <f>SUM(AZ145:BV147,AZ152)</f>
        <v>107877</v>
      </c>
      <c r="BA153" s="1952"/>
      <c r="BB153" s="1952"/>
      <c r="BC153" s="1952"/>
      <c r="BD153" s="1952"/>
      <c r="BE153" s="1952"/>
      <c r="BF153" s="1952"/>
      <c r="BG153" s="1952"/>
      <c r="BH153" s="1952"/>
      <c r="BI153" s="1952"/>
      <c r="BJ153" s="1952"/>
      <c r="BK153" s="1952"/>
      <c r="BL153" s="1952"/>
      <c r="BM153" s="1952"/>
      <c r="BN153" s="1952"/>
      <c r="BO153" s="1952"/>
      <c r="BP153" s="1952"/>
      <c r="BQ153" s="1952"/>
      <c r="BR153" s="1952"/>
      <c r="BS153" s="1952"/>
      <c r="BT153" s="1952"/>
      <c r="BU153" s="1952"/>
      <c r="BV153" s="1952"/>
      <c r="BW153" s="1952">
        <f>SUM(BW145:CO147,BW151)</f>
        <v>157834</v>
      </c>
      <c r="BX153" s="1952"/>
      <c r="BY153" s="1952"/>
      <c r="BZ153" s="1952"/>
      <c r="CA153" s="1952"/>
      <c r="CB153" s="1952"/>
      <c r="CC153" s="1952"/>
      <c r="CD153" s="1952"/>
      <c r="CE153" s="1952"/>
      <c r="CF153" s="1952"/>
      <c r="CG153" s="1952"/>
      <c r="CH153" s="1952"/>
      <c r="CI153" s="1952"/>
      <c r="CJ153" s="1952"/>
      <c r="CK153" s="1952"/>
      <c r="CL153" s="1952"/>
      <c r="CM153" s="1952"/>
      <c r="CN153" s="1952"/>
      <c r="CO153" s="1952"/>
      <c r="CP153" s="1952">
        <f>SUM(CP145:DQ152)</f>
        <v>1640119725</v>
      </c>
      <c r="CQ153" s="1952"/>
      <c r="CR153" s="1952"/>
      <c r="CS153" s="1952"/>
      <c r="CT153" s="1952"/>
      <c r="CU153" s="1952"/>
      <c r="CV153" s="1952"/>
      <c r="CW153" s="1952"/>
      <c r="CX153" s="1952"/>
      <c r="CY153" s="1952"/>
      <c r="CZ153" s="1952"/>
      <c r="DA153" s="1952"/>
      <c r="DB153" s="1952"/>
      <c r="DC153" s="1952"/>
      <c r="DD153" s="1952"/>
      <c r="DE153" s="1952"/>
      <c r="DF153" s="1952"/>
      <c r="DG153" s="1952"/>
      <c r="DH153" s="1952"/>
      <c r="DI153" s="1952"/>
      <c r="DJ153" s="1952"/>
      <c r="DK153" s="1952"/>
      <c r="DL153" s="1952"/>
      <c r="DM153" s="1952"/>
      <c r="DN153" s="1952"/>
      <c r="DO153" s="1952"/>
      <c r="DP153" s="1952"/>
      <c r="DQ153" s="1952"/>
      <c r="DR153" s="1952">
        <f>SUM(DR145:EN147,DR152)</f>
        <v>107570</v>
      </c>
      <c r="DS153" s="1952"/>
      <c r="DT153" s="1952"/>
      <c r="DU153" s="1952"/>
      <c r="DV153" s="1952"/>
      <c r="DW153" s="1952"/>
      <c r="DX153" s="1952"/>
      <c r="DY153" s="1952"/>
      <c r="DZ153" s="1952"/>
      <c r="EA153" s="1952"/>
      <c r="EB153" s="1952"/>
      <c r="EC153" s="1952"/>
      <c r="ED153" s="1952"/>
      <c r="EE153" s="1952"/>
      <c r="EF153" s="1952"/>
      <c r="EG153" s="1952"/>
      <c r="EH153" s="1952"/>
      <c r="EI153" s="1952"/>
      <c r="EJ153" s="1952"/>
      <c r="EK153" s="1952"/>
      <c r="EL153" s="1952"/>
      <c r="EM153" s="1952"/>
      <c r="EN153" s="1952"/>
      <c r="EO153" s="1952">
        <f>SUM(EO145:FG147,EO151)</f>
        <v>157361</v>
      </c>
      <c r="EP153" s="1952"/>
      <c r="EQ153" s="1952"/>
      <c r="ER153" s="1952"/>
      <c r="ES153" s="1952"/>
      <c r="ET153" s="1952"/>
      <c r="EU153" s="1952"/>
      <c r="EV153" s="1952"/>
      <c r="EW153" s="1952"/>
      <c r="EX153" s="1952"/>
      <c r="EY153" s="1952"/>
      <c r="EZ153" s="1952"/>
      <c r="FA153" s="1952"/>
      <c r="FB153" s="1952"/>
      <c r="FC153" s="1952"/>
      <c r="FD153" s="1952"/>
      <c r="FE153" s="1952"/>
      <c r="FF153" s="1952"/>
      <c r="FG153" s="1952"/>
      <c r="FH153" s="1952">
        <f>SUM(FH145:GI152)</f>
        <v>1571317297</v>
      </c>
      <c r="FI153" s="1952"/>
      <c r="FJ153" s="1952"/>
      <c r="FK153" s="1952"/>
      <c r="FL153" s="1952"/>
      <c r="FM153" s="1952"/>
      <c r="FN153" s="1952"/>
      <c r="FO153" s="1952"/>
      <c r="FP153" s="1952"/>
      <c r="FQ153" s="1952"/>
      <c r="FR153" s="1952"/>
      <c r="FS153" s="1952"/>
      <c r="FT153" s="1952"/>
      <c r="FU153" s="1952"/>
      <c r="FV153" s="1952"/>
      <c r="FW153" s="1952"/>
      <c r="FX153" s="1952"/>
      <c r="FY153" s="1952"/>
      <c r="FZ153" s="1952"/>
      <c r="GA153" s="1952"/>
      <c r="GB153" s="1952"/>
      <c r="GC153" s="1952"/>
      <c r="GD153" s="1952"/>
      <c r="GE153" s="1952"/>
      <c r="GF153" s="1952"/>
      <c r="GG153" s="1952"/>
      <c r="GH153" s="1952"/>
      <c r="GI153" s="1952"/>
    </row>
    <row r="154" spans="1:219" s="166" customFormat="1" ht="18" customHeight="1">
      <c r="A154" s="219"/>
      <c r="B154" s="211"/>
      <c r="C154" s="1953" t="s">
        <v>104</v>
      </c>
      <c r="D154" s="1953"/>
      <c r="E154" s="1953"/>
      <c r="F154" s="1953"/>
      <c r="G154" s="1953"/>
      <c r="H154" s="1953"/>
      <c r="I154" s="1953"/>
      <c r="J154" s="1953"/>
      <c r="K154" s="1953"/>
      <c r="L154" s="1953"/>
      <c r="M154" s="1953"/>
      <c r="N154" s="1953"/>
      <c r="O154" s="1953"/>
      <c r="P154" s="1953"/>
      <c r="Q154" s="1953"/>
      <c r="R154" s="1953"/>
      <c r="S154" s="1953"/>
      <c r="T154" s="1953"/>
      <c r="U154" s="1953"/>
      <c r="V154" s="1953"/>
      <c r="W154" s="1953"/>
      <c r="X154" s="1953"/>
      <c r="Y154" s="1953"/>
      <c r="Z154" s="1953"/>
      <c r="AA154" s="1953"/>
      <c r="AB154" s="1953"/>
      <c r="AC154" s="1953"/>
      <c r="AD154" s="1953"/>
      <c r="AE154" s="1953"/>
      <c r="AF154" s="1953"/>
      <c r="AG154" s="1953"/>
      <c r="AH154" s="1953"/>
      <c r="AI154" s="1953"/>
      <c r="AJ154" s="1953"/>
      <c r="AK154" s="1953"/>
      <c r="AL154" s="1953"/>
      <c r="AM154" s="1953"/>
      <c r="AN154" s="1953"/>
      <c r="AO154" s="1953"/>
      <c r="AP154" s="1953"/>
      <c r="AQ154" s="1953"/>
      <c r="AR154" s="1953"/>
      <c r="AS154" s="1953"/>
      <c r="AT154" s="1953"/>
      <c r="AU154" s="1953"/>
      <c r="AV154" s="1953"/>
      <c r="AW154" s="1953"/>
      <c r="AX154" s="211"/>
      <c r="AY154" s="220"/>
      <c r="AZ154" s="1954">
        <v>3345</v>
      </c>
      <c r="BA154" s="1955"/>
      <c r="BB154" s="1955"/>
      <c r="BC154" s="1955"/>
      <c r="BD154" s="1955"/>
      <c r="BE154" s="1955"/>
      <c r="BF154" s="1955"/>
      <c r="BG154" s="1955"/>
      <c r="BH154" s="1955"/>
      <c r="BI154" s="1955"/>
      <c r="BJ154" s="1955"/>
      <c r="BK154" s="1955"/>
      <c r="BL154" s="1955"/>
      <c r="BM154" s="1955"/>
      <c r="BN154" s="1955"/>
      <c r="BO154" s="1955"/>
      <c r="BP154" s="1955"/>
      <c r="BQ154" s="1955"/>
      <c r="BR154" s="1955"/>
      <c r="BS154" s="1955"/>
      <c r="BT154" s="1955"/>
      <c r="BU154" s="1955"/>
      <c r="BV154" s="1955"/>
      <c r="BW154" s="1956"/>
      <c r="BX154" s="1956"/>
      <c r="BY154" s="1956"/>
      <c r="BZ154" s="1956"/>
      <c r="CA154" s="1956"/>
      <c r="CB154" s="1956"/>
      <c r="CC154" s="1956"/>
      <c r="CD154" s="1956"/>
      <c r="CE154" s="1956"/>
      <c r="CF154" s="1956"/>
      <c r="CG154" s="1956"/>
      <c r="CH154" s="1956"/>
      <c r="CI154" s="1956"/>
      <c r="CJ154" s="1956"/>
      <c r="CK154" s="1956"/>
      <c r="CL154" s="1956"/>
      <c r="CM154" s="1956"/>
      <c r="CN154" s="1956"/>
      <c r="CO154" s="1956"/>
      <c r="CP154" s="1957">
        <f>CB54+CB57</f>
        <v>403469203</v>
      </c>
      <c r="CQ154" s="1957"/>
      <c r="CR154" s="1957"/>
      <c r="CS154" s="1957"/>
      <c r="CT154" s="1957"/>
      <c r="CU154" s="1957"/>
      <c r="CV154" s="1957"/>
      <c r="CW154" s="1957"/>
      <c r="CX154" s="1957"/>
      <c r="CY154" s="1957"/>
      <c r="CZ154" s="1957"/>
      <c r="DA154" s="1957"/>
      <c r="DB154" s="1957"/>
      <c r="DC154" s="1957"/>
      <c r="DD154" s="1957"/>
      <c r="DE154" s="1957"/>
      <c r="DF154" s="1957"/>
      <c r="DG154" s="1957"/>
      <c r="DH154" s="1957"/>
      <c r="DI154" s="1957"/>
      <c r="DJ154" s="1957"/>
      <c r="DK154" s="1957"/>
      <c r="DL154" s="1957"/>
      <c r="DM154" s="1957"/>
      <c r="DN154" s="1957"/>
      <c r="DO154" s="1957"/>
      <c r="DP154" s="1957"/>
      <c r="DQ154" s="1957"/>
      <c r="DR154" s="1955">
        <f>前年度貼付!$E$151</f>
        <v>2981</v>
      </c>
      <c r="DS154" s="1955"/>
      <c r="DT154" s="1955"/>
      <c r="DU154" s="1955"/>
      <c r="DV154" s="1955"/>
      <c r="DW154" s="1955"/>
      <c r="DX154" s="1955"/>
      <c r="DY154" s="1955"/>
      <c r="DZ154" s="1955"/>
      <c r="EA154" s="1955"/>
      <c r="EB154" s="1955"/>
      <c r="EC154" s="1955"/>
      <c r="ED154" s="1955"/>
      <c r="EE154" s="1955"/>
      <c r="EF154" s="1955"/>
      <c r="EG154" s="1955"/>
      <c r="EH154" s="1955"/>
      <c r="EI154" s="1955"/>
      <c r="EJ154" s="1955"/>
      <c r="EK154" s="1955"/>
      <c r="EL154" s="1955"/>
      <c r="EM154" s="1955"/>
      <c r="EN154" s="1955"/>
      <c r="EO154" s="1956"/>
      <c r="EP154" s="1956"/>
      <c r="EQ154" s="1956"/>
      <c r="ER154" s="1956"/>
      <c r="ES154" s="1956"/>
      <c r="ET154" s="1956"/>
      <c r="EU154" s="1956"/>
      <c r="EV154" s="1956"/>
      <c r="EW154" s="1956"/>
      <c r="EX154" s="1956"/>
      <c r="EY154" s="1956"/>
      <c r="EZ154" s="1956"/>
      <c r="FA154" s="1956"/>
      <c r="FB154" s="1956"/>
      <c r="FC154" s="1956"/>
      <c r="FD154" s="1956"/>
      <c r="FE154" s="1956"/>
      <c r="FF154" s="1956"/>
      <c r="FG154" s="1956"/>
      <c r="FH154" s="1952">
        <f>EF54+EF57</f>
        <v>382671272</v>
      </c>
      <c r="FI154" s="1952"/>
      <c r="FJ154" s="1952"/>
      <c r="FK154" s="1952"/>
      <c r="FL154" s="1952"/>
      <c r="FM154" s="1952"/>
      <c r="FN154" s="1952"/>
      <c r="FO154" s="1952"/>
      <c r="FP154" s="1952"/>
      <c r="FQ154" s="1952"/>
      <c r="FR154" s="1952"/>
      <c r="FS154" s="1952"/>
      <c r="FT154" s="1952"/>
      <c r="FU154" s="1952"/>
      <c r="FV154" s="1952"/>
      <c r="FW154" s="1952"/>
      <c r="FX154" s="1952"/>
      <c r="FY154" s="1952"/>
      <c r="FZ154" s="1952"/>
      <c r="GA154" s="1952"/>
      <c r="GB154" s="1952"/>
      <c r="GC154" s="1952"/>
      <c r="GD154" s="1952"/>
      <c r="GE154" s="1952"/>
      <c r="GF154" s="1952"/>
      <c r="GG154" s="1952"/>
      <c r="GH154" s="1952"/>
      <c r="GI154" s="1952"/>
    </row>
    <row r="155" spans="1:219" s="166" customFormat="1" ht="18" customHeight="1">
      <c r="A155" s="1943" t="s">
        <v>460</v>
      </c>
      <c r="B155" s="1943"/>
      <c r="C155" s="1943"/>
      <c r="D155" s="1943"/>
      <c r="E155" s="1943"/>
      <c r="F155" s="1943"/>
      <c r="G155" s="1943"/>
      <c r="H155" s="1943"/>
      <c r="I155" s="1943"/>
      <c r="J155" s="1943"/>
      <c r="K155" s="1943"/>
      <c r="L155" s="1943"/>
      <c r="M155" s="1943"/>
      <c r="N155" s="1943"/>
      <c r="O155" s="1943"/>
      <c r="P155" s="1943"/>
      <c r="Q155" s="1943"/>
      <c r="R155" s="1943"/>
      <c r="S155" s="1943"/>
      <c r="T155" s="1943"/>
      <c r="U155" s="1943"/>
      <c r="V155" s="1943"/>
      <c r="W155" s="1943"/>
      <c r="X155" s="1943"/>
      <c r="Y155" s="1943"/>
      <c r="Z155" s="1943"/>
      <c r="AA155" s="1943"/>
      <c r="AB155" s="1943"/>
      <c r="AC155" s="1943"/>
      <c r="AD155" s="1943"/>
      <c r="AE155" s="1943"/>
      <c r="AF155" s="1943"/>
      <c r="AG155" s="1943"/>
      <c r="AH155" s="1943"/>
      <c r="AI155" s="1943"/>
      <c r="AJ155" s="1943"/>
      <c r="AK155" s="1943"/>
      <c r="AL155" s="1943"/>
      <c r="AM155" s="1943"/>
      <c r="AN155" s="1943"/>
      <c r="AO155" s="1943"/>
      <c r="AP155" s="1943"/>
      <c r="AQ155" s="1943"/>
      <c r="AR155" s="1943"/>
      <c r="AS155" s="1943"/>
      <c r="AT155" s="1943"/>
      <c r="AU155" s="1943"/>
      <c r="AV155" s="1943"/>
      <c r="AW155" s="1943"/>
      <c r="AX155" s="1943"/>
      <c r="AY155" s="1943"/>
      <c r="AZ155" s="1948">
        <f>AZ154</f>
        <v>3345</v>
      </c>
      <c r="BA155" s="1948"/>
      <c r="BB155" s="1948"/>
      <c r="BC155" s="1948"/>
      <c r="BD155" s="1948"/>
      <c r="BE155" s="1948"/>
      <c r="BF155" s="1948"/>
      <c r="BG155" s="1948"/>
      <c r="BH155" s="1948"/>
      <c r="BI155" s="1948"/>
      <c r="BJ155" s="1948"/>
      <c r="BK155" s="1948"/>
      <c r="BL155" s="1948"/>
      <c r="BM155" s="1948"/>
      <c r="BN155" s="1948"/>
      <c r="BO155" s="1948"/>
      <c r="BP155" s="1948"/>
      <c r="BQ155" s="1948"/>
      <c r="BR155" s="1948"/>
      <c r="BS155" s="1948"/>
      <c r="BT155" s="1948"/>
      <c r="BU155" s="1948"/>
      <c r="BV155" s="1948"/>
      <c r="BW155" s="1949"/>
      <c r="BX155" s="1949"/>
      <c r="BY155" s="1949"/>
      <c r="BZ155" s="1949"/>
      <c r="CA155" s="1949"/>
      <c r="CB155" s="1949"/>
      <c r="CC155" s="1949"/>
      <c r="CD155" s="1949"/>
      <c r="CE155" s="1949"/>
      <c r="CF155" s="1949"/>
      <c r="CG155" s="1949"/>
      <c r="CH155" s="1949"/>
      <c r="CI155" s="1949"/>
      <c r="CJ155" s="1949"/>
      <c r="CK155" s="1949"/>
      <c r="CL155" s="1949"/>
      <c r="CM155" s="1949"/>
      <c r="CN155" s="1949"/>
      <c r="CO155" s="1949"/>
      <c r="CP155" s="1949"/>
      <c r="CQ155" s="1949"/>
      <c r="CR155" s="1949"/>
      <c r="CS155" s="1949"/>
      <c r="CT155" s="1949"/>
      <c r="CU155" s="1949"/>
      <c r="CV155" s="1949"/>
      <c r="CW155" s="1949"/>
      <c r="CX155" s="1949"/>
      <c r="CY155" s="1949"/>
      <c r="CZ155" s="1949"/>
      <c r="DA155" s="1949"/>
      <c r="DB155" s="1949"/>
      <c r="DC155" s="1949"/>
      <c r="DD155" s="1949"/>
      <c r="DE155" s="1949"/>
      <c r="DF155" s="1949"/>
      <c r="DG155" s="1949"/>
      <c r="DH155" s="1949"/>
      <c r="DI155" s="1949"/>
      <c r="DJ155" s="1949"/>
      <c r="DK155" s="1949"/>
      <c r="DL155" s="1949"/>
      <c r="DM155" s="1949"/>
      <c r="DN155" s="1949"/>
      <c r="DO155" s="1949"/>
      <c r="DP155" s="1949"/>
      <c r="DQ155" s="1949"/>
      <c r="DR155" s="1948">
        <f>DR154</f>
        <v>2981</v>
      </c>
      <c r="DS155" s="1948"/>
      <c r="DT155" s="1948"/>
      <c r="DU155" s="1948"/>
      <c r="DV155" s="1948"/>
      <c r="DW155" s="1948"/>
      <c r="DX155" s="1948"/>
      <c r="DY155" s="1948"/>
      <c r="DZ155" s="1948"/>
      <c r="EA155" s="1948"/>
      <c r="EB155" s="1948"/>
      <c r="EC155" s="1948"/>
      <c r="ED155" s="1948"/>
      <c r="EE155" s="1948"/>
      <c r="EF155" s="1948"/>
      <c r="EG155" s="1948"/>
      <c r="EH155" s="1948"/>
      <c r="EI155" s="1948"/>
      <c r="EJ155" s="1948"/>
      <c r="EK155" s="1948"/>
      <c r="EL155" s="1948"/>
      <c r="EM155" s="1948"/>
      <c r="EN155" s="1948"/>
      <c r="EO155" s="1949"/>
      <c r="EP155" s="1949"/>
      <c r="EQ155" s="1949"/>
      <c r="ER155" s="1949"/>
      <c r="ES155" s="1949"/>
      <c r="ET155" s="1949"/>
      <c r="EU155" s="1949"/>
      <c r="EV155" s="1949"/>
      <c r="EW155" s="1949"/>
      <c r="EX155" s="1949"/>
      <c r="EY155" s="1949"/>
      <c r="EZ155" s="1949"/>
      <c r="FA155" s="1949"/>
      <c r="FB155" s="1949"/>
      <c r="FC155" s="1949"/>
      <c r="FD155" s="1949"/>
      <c r="FE155" s="1949"/>
      <c r="FF155" s="1949"/>
      <c r="FG155" s="1949"/>
      <c r="FH155" s="1949"/>
      <c r="FI155" s="1949"/>
      <c r="FJ155" s="1949"/>
      <c r="FK155" s="1949"/>
      <c r="FL155" s="1949"/>
      <c r="FM155" s="1949"/>
      <c r="FN155" s="1949"/>
      <c r="FO155" s="1949"/>
      <c r="FP155" s="1949"/>
      <c r="FQ155" s="1949"/>
      <c r="FR155" s="1949"/>
      <c r="FS155" s="1949"/>
      <c r="FT155" s="1949"/>
      <c r="FU155" s="1949"/>
      <c r="FV155" s="1949"/>
      <c r="FW155" s="1949"/>
      <c r="FX155" s="1949"/>
      <c r="FY155" s="1949"/>
      <c r="FZ155" s="1949"/>
      <c r="GA155" s="1949"/>
      <c r="GB155" s="1949"/>
      <c r="GC155" s="1949"/>
      <c r="GD155" s="1949"/>
      <c r="GE155" s="1949"/>
      <c r="GF155" s="1949"/>
      <c r="GG155" s="1949"/>
      <c r="GH155" s="1949"/>
      <c r="GI155" s="1949"/>
    </row>
    <row r="156" spans="1:219" s="166" customFormat="1" ht="18" customHeight="1">
      <c r="A156" s="1943"/>
      <c r="B156" s="1943"/>
      <c r="C156" s="1943"/>
      <c r="D156" s="1943"/>
      <c r="E156" s="1943"/>
      <c r="F156" s="1943"/>
      <c r="G156" s="1943"/>
      <c r="H156" s="1943"/>
      <c r="I156" s="1943"/>
      <c r="J156" s="1943"/>
      <c r="K156" s="1943"/>
      <c r="L156" s="1943"/>
      <c r="M156" s="1943"/>
      <c r="N156" s="1943"/>
      <c r="O156" s="1943"/>
      <c r="P156" s="1943"/>
      <c r="Q156" s="1943"/>
      <c r="R156" s="1943"/>
      <c r="S156" s="1943"/>
      <c r="T156" s="1943"/>
      <c r="U156" s="1943"/>
      <c r="V156" s="1943"/>
      <c r="W156" s="1943"/>
      <c r="X156" s="1943"/>
      <c r="Y156" s="1943"/>
      <c r="Z156" s="1943"/>
      <c r="AA156" s="1943"/>
      <c r="AB156" s="1943"/>
      <c r="AC156" s="1943"/>
      <c r="AD156" s="1943"/>
      <c r="AE156" s="1943"/>
      <c r="AF156" s="1943"/>
      <c r="AG156" s="1943"/>
      <c r="AH156" s="1943"/>
      <c r="AI156" s="1943"/>
      <c r="AJ156" s="1943"/>
      <c r="AK156" s="1943"/>
      <c r="AL156" s="1943"/>
      <c r="AM156" s="1943"/>
      <c r="AN156" s="1943"/>
      <c r="AO156" s="1943"/>
      <c r="AP156" s="1943"/>
      <c r="AQ156" s="1943"/>
      <c r="AR156" s="1943"/>
      <c r="AS156" s="1943"/>
      <c r="AT156" s="1943"/>
      <c r="AU156" s="1943"/>
      <c r="AV156" s="1943"/>
      <c r="AW156" s="1943"/>
      <c r="AX156" s="1943"/>
      <c r="AY156" s="1943"/>
      <c r="AZ156" s="1950">
        <f>AZ144+AZ153</f>
        <v>305034</v>
      </c>
      <c r="BA156" s="1950"/>
      <c r="BB156" s="1950"/>
      <c r="BC156" s="1950"/>
      <c r="BD156" s="1950"/>
      <c r="BE156" s="1950"/>
      <c r="BF156" s="1950"/>
      <c r="BG156" s="1950"/>
      <c r="BH156" s="1950"/>
      <c r="BI156" s="1950"/>
      <c r="BJ156" s="1950"/>
      <c r="BK156" s="1950"/>
      <c r="BL156" s="1950"/>
      <c r="BM156" s="1950"/>
      <c r="BN156" s="1950"/>
      <c r="BO156" s="1950"/>
      <c r="BP156" s="1950"/>
      <c r="BQ156" s="1950"/>
      <c r="BR156" s="1950"/>
      <c r="BS156" s="1950"/>
      <c r="BT156" s="1950"/>
      <c r="BU156" s="1950"/>
      <c r="BV156" s="1950"/>
      <c r="BW156" s="1950">
        <f>BW144+BW153</f>
        <v>438388</v>
      </c>
      <c r="BX156" s="1950"/>
      <c r="BY156" s="1950"/>
      <c r="BZ156" s="1950"/>
      <c r="CA156" s="1950"/>
      <c r="CB156" s="1950"/>
      <c r="CC156" s="1950"/>
      <c r="CD156" s="1950"/>
      <c r="CE156" s="1950"/>
      <c r="CF156" s="1950"/>
      <c r="CG156" s="1950"/>
      <c r="CH156" s="1950"/>
      <c r="CI156" s="1950"/>
      <c r="CJ156" s="1950"/>
      <c r="CK156" s="1950"/>
      <c r="CL156" s="1950"/>
      <c r="CM156" s="1950"/>
      <c r="CN156" s="1950"/>
      <c r="CO156" s="1950"/>
      <c r="CP156" s="1950">
        <f>CP144+CP153+CP154</f>
        <v>5015752983</v>
      </c>
      <c r="CQ156" s="1950"/>
      <c r="CR156" s="1950"/>
      <c r="CS156" s="1950"/>
      <c r="CT156" s="1950"/>
      <c r="CU156" s="1950"/>
      <c r="CV156" s="1950"/>
      <c r="CW156" s="1950"/>
      <c r="CX156" s="1950"/>
      <c r="CY156" s="1950"/>
      <c r="CZ156" s="1950"/>
      <c r="DA156" s="1950"/>
      <c r="DB156" s="1950"/>
      <c r="DC156" s="1950"/>
      <c r="DD156" s="1950"/>
      <c r="DE156" s="1950"/>
      <c r="DF156" s="1950"/>
      <c r="DG156" s="1950"/>
      <c r="DH156" s="1950"/>
      <c r="DI156" s="1950"/>
      <c r="DJ156" s="1950"/>
      <c r="DK156" s="1950"/>
      <c r="DL156" s="1950"/>
      <c r="DM156" s="1950"/>
      <c r="DN156" s="1950"/>
      <c r="DO156" s="1950"/>
      <c r="DP156" s="1950"/>
      <c r="DQ156" s="1950"/>
      <c r="DR156" s="1950">
        <f>DR144+DR153</f>
        <v>302305</v>
      </c>
      <c r="DS156" s="1950"/>
      <c r="DT156" s="1950"/>
      <c r="DU156" s="1950"/>
      <c r="DV156" s="1950"/>
      <c r="DW156" s="1950"/>
      <c r="DX156" s="1950"/>
      <c r="DY156" s="1950"/>
      <c r="DZ156" s="1950"/>
      <c r="EA156" s="1950"/>
      <c r="EB156" s="1950"/>
      <c r="EC156" s="1950"/>
      <c r="ED156" s="1950"/>
      <c r="EE156" s="1950"/>
      <c r="EF156" s="1950"/>
      <c r="EG156" s="1950"/>
      <c r="EH156" s="1950"/>
      <c r="EI156" s="1950"/>
      <c r="EJ156" s="1950"/>
      <c r="EK156" s="1950"/>
      <c r="EL156" s="1950"/>
      <c r="EM156" s="1950"/>
      <c r="EN156" s="1950"/>
      <c r="EO156" s="1950">
        <f>EO144+EO153</f>
        <v>436043</v>
      </c>
      <c r="EP156" s="1950"/>
      <c r="EQ156" s="1950"/>
      <c r="ER156" s="1950"/>
      <c r="ES156" s="1950"/>
      <c r="ET156" s="1950"/>
      <c r="EU156" s="1950"/>
      <c r="EV156" s="1950"/>
      <c r="EW156" s="1950"/>
      <c r="EX156" s="1950"/>
      <c r="EY156" s="1950"/>
      <c r="EZ156" s="1950"/>
      <c r="FA156" s="1950"/>
      <c r="FB156" s="1950"/>
      <c r="FC156" s="1950"/>
      <c r="FD156" s="1950"/>
      <c r="FE156" s="1950"/>
      <c r="FF156" s="1950"/>
      <c r="FG156" s="1950"/>
      <c r="FH156" s="1950">
        <f>FH144+FH153+FH154</f>
        <v>4807546610</v>
      </c>
      <c r="FI156" s="1950"/>
      <c r="FJ156" s="1950"/>
      <c r="FK156" s="1950"/>
      <c r="FL156" s="1950"/>
      <c r="FM156" s="1950"/>
      <c r="FN156" s="1950"/>
      <c r="FO156" s="1950"/>
      <c r="FP156" s="1950"/>
      <c r="FQ156" s="1950"/>
      <c r="FR156" s="1950"/>
      <c r="FS156" s="1950"/>
      <c r="FT156" s="1950"/>
      <c r="FU156" s="1950"/>
      <c r="FV156" s="1950"/>
      <c r="FW156" s="1950"/>
      <c r="FX156" s="1950"/>
      <c r="FY156" s="1950"/>
      <c r="FZ156" s="1950"/>
      <c r="GA156" s="1950"/>
      <c r="GB156" s="1950"/>
      <c r="GC156" s="1950"/>
      <c r="GD156" s="1950"/>
      <c r="GE156" s="1950"/>
      <c r="GF156" s="1950"/>
      <c r="GG156" s="1950"/>
      <c r="GH156" s="1950"/>
      <c r="GI156" s="1950"/>
    </row>
    <row r="157" spans="1:219" s="166" customFormat="1" ht="18" customHeight="1">
      <c r="A157" s="210" t="s">
        <v>366</v>
      </c>
      <c r="B157" s="176"/>
      <c r="C157" s="176"/>
      <c r="E157" s="176"/>
      <c r="F157" s="176"/>
      <c r="G157" s="176"/>
      <c r="H157" s="176"/>
      <c r="I157" s="176"/>
      <c r="J157" s="176"/>
      <c r="K157" s="176"/>
      <c r="L157" s="176"/>
      <c r="M157" s="210" t="s">
        <v>461</v>
      </c>
      <c r="N157" s="176"/>
      <c r="O157" s="176"/>
      <c r="P157" s="176"/>
      <c r="Q157" s="176"/>
      <c r="R157" s="176"/>
      <c r="S157" s="176"/>
      <c r="T157" s="176"/>
      <c r="U157" s="176"/>
      <c r="V157" s="176"/>
      <c r="W157" s="176"/>
      <c r="X157" s="176"/>
      <c r="Y157" s="176"/>
      <c r="Z157" s="176"/>
      <c r="AA157" s="176"/>
      <c r="AB157" s="176"/>
      <c r="AC157" s="176"/>
      <c r="AD157" s="176"/>
      <c r="AE157" s="176"/>
      <c r="AF157" s="176"/>
      <c r="AG157" s="176"/>
      <c r="AH157" s="176"/>
      <c r="AI157" s="176"/>
      <c r="AJ157" s="176"/>
      <c r="AK157" s="176"/>
      <c r="AL157" s="176"/>
      <c r="AM157" s="176"/>
      <c r="AN157" s="176"/>
      <c r="AO157" s="176"/>
      <c r="AP157" s="176"/>
      <c r="AQ157" s="176"/>
      <c r="AR157" s="176"/>
      <c r="AS157" s="176"/>
      <c r="AT157" s="176"/>
      <c r="AU157" s="176"/>
      <c r="AV157" s="176"/>
      <c r="AW157" s="176"/>
      <c r="AX157" s="176"/>
      <c r="AY157" s="176"/>
      <c r="AZ157" s="176"/>
    </row>
    <row r="158" spans="1:219" s="166" customFormat="1" ht="18" customHeight="1">
      <c r="B158" s="176"/>
      <c r="C158" s="176"/>
      <c r="F158" s="176"/>
      <c r="G158" s="176"/>
      <c r="H158" s="176"/>
      <c r="I158" s="176"/>
      <c r="J158" s="176"/>
      <c r="K158" s="176"/>
      <c r="L158" s="176"/>
      <c r="M158" s="210" t="s">
        <v>462</v>
      </c>
      <c r="N158" s="176"/>
      <c r="O158" s="176"/>
      <c r="P158" s="176"/>
      <c r="Q158" s="176"/>
      <c r="R158" s="176"/>
      <c r="S158" s="176"/>
      <c r="T158" s="176"/>
      <c r="U158" s="176"/>
      <c r="V158" s="176"/>
      <c r="W158" s="176"/>
      <c r="X158" s="176"/>
      <c r="Y158" s="176"/>
      <c r="Z158" s="176"/>
      <c r="AA158" s="176"/>
      <c r="AB158" s="176"/>
      <c r="AC158" s="176"/>
      <c r="AD158" s="176"/>
      <c r="AE158" s="176"/>
      <c r="AF158" s="176"/>
      <c r="AG158" s="176"/>
      <c r="AH158" s="176"/>
      <c r="AI158" s="176"/>
      <c r="AJ158" s="176"/>
      <c r="AK158" s="176"/>
      <c r="AL158" s="176"/>
      <c r="AM158" s="176"/>
      <c r="AN158" s="176"/>
      <c r="AO158" s="176"/>
      <c r="AP158" s="176"/>
      <c r="AQ158" s="176"/>
      <c r="AR158" s="176"/>
      <c r="AS158" s="176"/>
      <c r="AT158" s="176"/>
      <c r="AU158" s="176"/>
      <c r="AV158" s="176"/>
      <c r="AW158" s="176"/>
      <c r="AX158" s="176"/>
      <c r="AY158" s="176"/>
      <c r="AZ158" s="176"/>
      <c r="BA158" s="176"/>
    </row>
    <row r="159" spans="1:219" s="166" customFormat="1" ht="18" customHeight="1">
      <c r="A159" s="210" t="s">
        <v>366</v>
      </c>
      <c r="B159" s="176"/>
      <c r="C159" s="176"/>
      <c r="E159" s="176"/>
      <c r="F159" s="176"/>
      <c r="G159" s="176"/>
      <c r="H159" s="176"/>
      <c r="I159" s="176"/>
      <c r="J159" s="176"/>
      <c r="K159" s="176"/>
      <c r="L159" s="176"/>
      <c r="M159" s="210" t="s">
        <v>463</v>
      </c>
      <c r="N159" s="176"/>
      <c r="O159" s="176"/>
      <c r="P159" s="176"/>
      <c r="Q159" s="176"/>
      <c r="R159" s="176"/>
      <c r="S159" s="176"/>
      <c r="T159" s="176"/>
      <c r="U159" s="176"/>
      <c r="V159" s="176"/>
      <c r="W159" s="176"/>
      <c r="X159" s="176"/>
      <c r="Y159" s="176"/>
      <c r="Z159" s="176"/>
      <c r="AA159" s="176"/>
      <c r="AB159" s="176"/>
      <c r="AC159" s="176"/>
      <c r="AD159" s="176"/>
      <c r="AE159" s="176"/>
      <c r="AF159" s="176"/>
      <c r="AG159" s="176"/>
      <c r="AH159" s="176"/>
      <c r="AI159" s="176"/>
      <c r="AJ159" s="176"/>
      <c r="AK159" s="176"/>
      <c r="AL159" s="176"/>
      <c r="AM159" s="176"/>
      <c r="AN159" s="176"/>
      <c r="AO159" s="176"/>
      <c r="AP159" s="176"/>
      <c r="AQ159" s="176"/>
      <c r="AR159" s="176"/>
      <c r="AS159" s="176"/>
      <c r="AT159" s="176"/>
      <c r="AU159" s="176"/>
      <c r="AV159" s="176"/>
      <c r="AW159" s="176"/>
      <c r="AX159" s="176"/>
      <c r="AY159" s="176"/>
      <c r="AZ159" s="176"/>
    </row>
    <row r="160" spans="1:219" s="166" customFormat="1" ht="18" customHeight="1">
      <c r="B160" s="176"/>
      <c r="C160" s="176"/>
      <c r="F160" s="176"/>
      <c r="G160" s="176"/>
      <c r="H160" s="176"/>
      <c r="I160" s="176"/>
      <c r="J160" s="176"/>
      <c r="K160" s="176"/>
      <c r="L160" s="176"/>
      <c r="M160" s="210" t="s">
        <v>464</v>
      </c>
      <c r="N160" s="176"/>
      <c r="O160" s="176"/>
      <c r="P160" s="176"/>
      <c r="Q160" s="176"/>
      <c r="R160" s="176"/>
      <c r="S160" s="176"/>
      <c r="T160" s="176"/>
      <c r="U160" s="176"/>
      <c r="V160" s="176"/>
      <c r="W160" s="176"/>
      <c r="X160" s="176"/>
      <c r="Y160" s="176"/>
      <c r="Z160" s="176"/>
      <c r="AA160" s="176"/>
      <c r="AB160" s="176"/>
      <c r="AC160" s="176"/>
      <c r="AD160" s="176"/>
      <c r="AE160" s="176"/>
      <c r="AF160" s="176"/>
      <c r="AG160" s="176"/>
      <c r="AH160" s="176"/>
      <c r="AI160" s="176"/>
      <c r="AJ160" s="176"/>
      <c r="AK160" s="176"/>
      <c r="AL160" s="176"/>
      <c r="AM160" s="176"/>
      <c r="AN160" s="176"/>
      <c r="AO160" s="176"/>
      <c r="AP160" s="176"/>
      <c r="AQ160" s="176"/>
      <c r="AR160" s="176"/>
      <c r="AS160" s="176"/>
      <c r="AT160" s="176"/>
      <c r="AU160" s="176"/>
      <c r="AV160" s="176"/>
      <c r="AW160" s="176"/>
      <c r="AX160" s="176"/>
      <c r="AY160" s="176"/>
      <c r="AZ160" s="176"/>
      <c r="BA160" s="176"/>
    </row>
    <row r="162" ht="38.25" customHeight="1"/>
    <row r="175" ht="38.25" customHeight="1"/>
    <row r="188" ht="38.25" customHeight="1"/>
  </sheetData>
  <sheetProtection formatCells="0" formatColumns="0" formatRows="0" insertColumns="0" insertRows="0" insertHyperlinks="0" deleteColumns="0" deleteRows="0" selectLockedCells="1"/>
  <mergeCells count="781">
    <mergeCell ref="FL2:GH2"/>
    <mergeCell ref="A3:AY3"/>
    <mergeCell ref="AZ3:CA4"/>
    <mergeCell ref="CB3:DC4"/>
    <mergeCell ref="DD3:EE4"/>
    <mergeCell ref="EF3:GI3"/>
    <mergeCell ref="A4:AY4"/>
    <mergeCell ref="EF4:FG4"/>
    <mergeCell ref="FH4:GI4"/>
    <mergeCell ref="D5:AV5"/>
    <mergeCell ref="AZ5:CA5"/>
    <mergeCell ref="CB5:DC5"/>
    <mergeCell ref="DD5:EE5"/>
    <mergeCell ref="EF5:FG5"/>
    <mergeCell ref="FH5:GI5"/>
    <mergeCell ref="D6:AV6"/>
    <mergeCell ref="AZ6:CA6"/>
    <mergeCell ref="CB6:DC6"/>
    <mergeCell ref="DD6:EE6"/>
    <mergeCell ref="EF6:FG6"/>
    <mergeCell ref="FH6:GI6"/>
    <mergeCell ref="D7:AV7"/>
    <mergeCell ref="AZ7:CA7"/>
    <mergeCell ref="CB7:DC7"/>
    <mergeCell ref="DD7:EE7"/>
    <mergeCell ref="EF7:FG7"/>
    <mergeCell ref="FH7:GI7"/>
    <mergeCell ref="D8:AV8"/>
    <mergeCell ref="AZ8:CA8"/>
    <mergeCell ref="CB8:DC8"/>
    <mergeCell ref="DD8:EE8"/>
    <mergeCell ref="EF8:FG8"/>
    <mergeCell ref="FH8:GI8"/>
    <mergeCell ref="D9:AV9"/>
    <mergeCell ref="AZ9:CA9"/>
    <mergeCell ref="CB9:DC9"/>
    <mergeCell ref="DD9:EE9"/>
    <mergeCell ref="EF9:FG9"/>
    <mergeCell ref="FH9:GI9"/>
    <mergeCell ref="D10:AV10"/>
    <mergeCell ref="AZ10:CA10"/>
    <mergeCell ref="CB10:DC10"/>
    <mergeCell ref="DD10:EE10"/>
    <mergeCell ref="EF10:FG10"/>
    <mergeCell ref="FH10:GI10"/>
    <mergeCell ref="D11:AV11"/>
    <mergeCell ref="AZ11:CA11"/>
    <mergeCell ref="CB11:DC11"/>
    <mergeCell ref="DD11:EE11"/>
    <mergeCell ref="EF11:FG11"/>
    <mergeCell ref="FH11:GI11"/>
    <mergeCell ref="D12:AV12"/>
    <mergeCell ref="AZ12:CA12"/>
    <mergeCell ref="CB12:DC12"/>
    <mergeCell ref="DD12:EE12"/>
    <mergeCell ref="EF12:FG12"/>
    <mergeCell ref="FH12:GI12"/>
    <mergeCell ref="D13:AV13"/>
    <mergeCell ref="AZ13:CA13"/>
    <mergeCell ref="CB13:DC13"/>
    <mergeCell ref="DD13:EE13"/>
    <mergeCell ref="EF13:FG13"/>
    <mergeCell ref="FH13:GI13"/>
    <mergeCell ref="D14:AV14"/>
    <mergeCell ref="AZ14:CA14"/>
    <mergeCell ref="CB14:DC14"/>
    <mergeCell ref="DD14:EE14"/>
    <mergeCell ref="EF14:FG14"/>
    <mergeCell ref="FH14:GI14"/>
    <mergeCell ref="D15:AV15"/>
    <mergeCell ref="AZ15:CA15"/>
    <mergeCell ref="CB15:DC15"/>
    <mergeCell ref="DD15:EE15"/>
    <mergeCell ref="EF15:FG15"/>
    <mergeCell ref="FH15:GI15"/>
    <mergeCell ref="D16:AV16"/>
    <mergeCell ref="AZ16:CA16"/>
    <mergeCell ref="CB16:DC16"/>
    <mergeCell ref="DD16:EE16"/>
    <mergeCell ref="EF16:FG16"/>
    <mergeCell ref="FH16:GI16"/>
    <mergeCell ref="D17:AV17"/>
    <mergeCell ref="AZ17:CA17"/>
    <mergeCell ref="CB17:DC17"/>
    <mergeCell ref="DD17:EE17"/>
    <mergeCell ref="EF17:FG17"/>
    <mergeCell ref="FH17:GI17"/>
    <mergeCell ref="D18:AV18"/>
    <mergeCell ref="AZ18:CA18"/>
    <mergeCell ref="CB18:DC18"/>
    <mergeCell ref="DD18:EE18"/>
    <mergeCell ref="EF18:FG18"/>
    <mergeCell ref="FH18:GI18"/>
    <mergeCell ref="D19:AV19"/>
    <mergeCell ref="AZ19:CA19"/>
    <mergeCell ref="CB19:DC19"/>
    <mergeCell ref="DD19:EE19"/>
    <mergeCell ref="EF19:FG19"/>
    <mergeCell ref="FH19:GI19"/>
    <mergeCell ref="D20:AV20"/>
    <mergeCell ref="AZ20:CA20"/>
    <mergeCell ref="CB20:DC20"/>
    <mergeCell ref="DD20:EE20"/>
    <mergeCell ref="EF20:FG20"/>
    <mergeCell ref="FH20:GI20"/>
    <mergeCell ref="D21:AV21"/>
    <mergeCell ref="AZ21:CA21"/>
    <mergeCell ref="CB21:DC21"/>
    <mergeCell ref="DD21:EE21"/>
    <mergeCell ref="EF21:FG21"/>
    <mergeCell ref="FH21:GI21"/>
    <mergeCell ref="D22:AV22"/>
    <mergeCell ref="AZ22:CA22"/>
    <mergeCell ref="CB22:DC22"/>
    <mergeCell ref="DD22:EE22"/>
    <mergeCell ref="EF22:FG22"/>
    <mergeCell ref="FH22:GI22"/>
    <mergeCell ref="D23:AV23"/>
    <mergeCell ref="AZ23:CA23"/>
    <mergeCell ref="CB23:DC23"/>
    <mergeCell ref="DD23:EE23"/>
    <mergeCell ref="EF23:FG23"/>
    <mergeCell ref="FH23:GI23"/>
    <mergeCell ref="D24:AV24"/>
    <mergeCell ref="AZ24:CA24"/>
    <mergeCell ref="CB24:DC24"/>
    <mergeCell ref="DD24:EE24"/>
    <mergeCell ref="EF24:FG24"/>
    <mergeCell ref="FH24:GI24"/>
    <mergeCell ref="D25:AV25"/>
    <mergeCell ref="AZ25:CA25"/>
    <mergeCell ref="CB25:DC25"/>
    <mergeCell ref="DD25:EE25"/>
    <mergeCell ref="EF25:FG25"/>
    <mergeCell ref="FH25:GI25"/>
    <mergeCell ref="D26:AV26"/>
    <mergeCell ref="AZ26:CA26"/>
    <mergeCell ref="CB26:DC26"/>
    <mergeCell ref="DD26:EE26"/>
    <mergeCell ref="EF26:FG26"/>
    <mergeCell ref="FH26:GI26"/>
    <mergeCell ref="D27:AV27"/>
    <mergeCell ref="AZ27:CA27"/>
    <mergeCell ref="CB27:DC27"/>
    <mergeCell ref="DD27:EE27"/>
    <mergeCell ref="EF27:FG27"/>
    <mergeCell ref="FH27:GI27"/>
    <mergeCell ref="D28:AV28"/>
    <mergeCell ref="AZ28:CA28"/>
    <mergeCell ref="CB28:DC28"/>
    <mergeCell ref="DD28:EE28"/>
    <mergeCell ref="EF28:FG28"/>
    <mergeCell ref="FH28:GI28"/>
    <mergeCell ref="D29:AV29"/>
    <mergeCell ref="AZ29:CA29"/>
    <mergeCell ref="CB29:DC29"/>
    <mergeCell ref="DD29:EE29"/>
    <mergeCell ref="EF29:FG29"/>
    <mergeCell ref="FH29:GI29"/>
    <mergeCell ref="E30:AU30"/>
    <mergeCell ref="AZ30:CA30"/>
    <mergeCell ref="CB30:DC30"/>
    <mergeCell ref="DD30:EE30"/>
    <mergeCell ref="EF30:FG30"/>
    <mergeCell ref="FH30:GI30"/>
    <mergeCell ref="FG33:GH33"/>
    <mergeCell ref="A34:AY34"/>
    <mergeCell ref="AZ34:CA34"/>
    <mergeCell ref="CB34:DC34"/>
    <mergeCell ref="DD34:EE34"/>
    <mergeCell ref="EF34:GI34"/>
    <mergeCell ref="A35:AY35"/>
    <mergeCell ref="AZ35:CA35"/>
    <mergeCell ref="CB35:DC35"/>
    <mergeCell ref="DD35:EE35"/>
    <mergeCell ref="EF35:FG35"/>
    <mergeCell ref="FH35:GI35"/>
    <mergeCell ref="A36:O37"/>
    <mergeCell ref="U36:AT36"/>
    <mergeCell ref="AZ36:CA36"/>
    <mergeCell ref="CB36:DC36"/>
    <mergeCell ref="DD36:EE36"/>
    <mergeCell ref="EF36:FG36"/>
    <mergeCell ref="FH36:GI36"/>
    <mergeCell ref="U37:AT37"/>
    <mergeCell ref="AZ37:CA37"/>
    <mergeCell ref="CB37:DC37"/>
    <mergeCell ref="DD37:EE37"/>
    <mergeCell ref="EF37:FG37"/>
    <mergeCell ref="FH37:GI37"/>
    <mergeCell ref="A38:O39"/>
    <mergeCell ref="U38:AT38"/>
    <mergeCell ref="AZ38:CA38"/>
    <mergeCell ref="CB38:DC38"/>
    <mergeCell ref="DD38:EE38"/>
    <mergeCell ref="EF38:FG38"/>
    <mergeCell ref="FH38:GI38"/>
    <mergeCell ref="GJ38:HN38"/>
    <mergeCell ref="HO38:IS38"/>
    <mergeCell ref="U39:AT39"/>
    <mergeCell ref="AZ39:CA39"/>
    <mergeCell ref="CB39:DC39"/>
    <mergeCell ref="DD39:EE39"/>
    <mergeCell ref="EF39:FG39"/>
    <mergeCell ref="FH39:GI39"/>
    <mergeCell ref="GJ39:HN39"/>
    <mergeCell ref="A40:O41"/>
    <mergeCell ref="U40:AT40"/>
    <mergeCell ref="AZ40:CA40"/>
    <mergeCell ref="CB40:DC40"/>
    <mergeCell ref="DD40:EE40"/>
    <mergeCell ref="EF40:FG40"/>
    <mergeCell ref="FH40:GI40"/>
    <mergeCell ref="U41:AT41"/>
    <mergeCell ref="AZ41:CA41"/>
    <mergeCell ref="CB41:DC41"/>
    <mergeCell ref="DD41:EE41"/>
    <mergeCell ref="EF41:FG41"/>
    <mergeCell ref="FH41:GI41"/>
    <mergeCell ref="FP46:GH46"/>
    <mergeCell ref="A47:AY47"/>
    <mergeCell ref="AZ47:CA48"/>
    <mergeCell ref="CB47:DC48"/>
    <mergeCell ref="DD47:EE48"/>
    <mergeCell ref="EF47:GI47"/>
    <mergeCell ref="A48:AY48"/>
    <mergeCell ref="EF48:FG48"/>
    <mergeCell ref="FH48:GI48"/>
    <mergeCell ref="A49:E79"/>
    <mergeCell ref="F49:J66"/>
    <mergeCell ref="M49:AW49"/>
    <mergeCell ref="AZ49:CA49"/>
    <mergeCell ref="CB49:DC49"/>
    <mergeCell ref="DD49:EE49"/>
    <mergeCell ref="EF49:FG49"/>
    <mergeCell ref="FH49:GI49"/>
    <mergeCell ref="M50:AW50"/>
    <mergeCell ref="AZ50:CA50"/>
    <mergeCell ref="CB50:DC50"/>
    <mergeCell ref="DD50:EE50"/>
    <mergeCell ref="EF50:FG50"/>
    <mergeCell ref="FH50:GI50"/>
    <mergeCell ref="M51:AW51"/>
    <mergeCell ref="AZ51:CA51"/>
    <mergeCell ref="CB51:DC51"/>
    <mergeCell ref="DD51:EE51"/>
    <mergeCell ref="EF51:FG51"/>
    <mergeCell ref="FH51:GI51"/>
    <mergeCell ref="M52:AW52"/>
    <mergeCell ref="AZ52:CA52"/>
    <mergeCell ref="CB52:DC52"/>
    <mergeCell ref="DD52:EE52"/>
    <mergeCell ref="EF52:FG52"/>
    <mergeCell ref="FH52:GI52"/>
    <mergeCell ref="M53:AW53"/>
    <mergeCell ref="AZ53:CA53"/>
    <mergeCell ref="CB53:DC53"/>
    <mergeCell ref="DD53:EE53"/>
    <mergeCell ref="EF53:FG53"/>
    <mergeCell ref="FH53:GI53"/>
    <mergeCell ref="M54:AW54"/>
    <mergeCell ref="AZ54:CA54"/>
    <mergeCell ref="CB54:DC54"/>
    <mergeCell ref="DD54:EE54"/>
    <mergeCell ref="EF54:FG54"/>
    <mergeCell ref="FH54:GI54"/>
    <mergeCell ref="M55:AW55"/>
    <mergeCell ref="AZ55:CA55"/>
    <mergeCell ref="CB55:DC55"/>
    <mergeCell ref="DD55:EE55"/>
    <mergeCell ref="EF55:FG55"/>
    <mergeCell ref="FH55:GI55"/>
    <mergeCell ref="M56:AW56"/>
    <mergeCell ref="AZ56:CA56"/>
    <mergeCell ref="CB56:DC56"/>
    <mergeCell ref="DD56:EE56"/>
    <mergeCell ref="EF56:FG56"/>
    <mergeCell ref="FH56:GI56"/>
    <mergeCell ref="M57:AW57"/>
    <mergeCell ref="AZ57:CA57"/>
    <mergeCell ref="CB57:DC57"/>
    <mergeCell ref="DD57:EE57"/>
    <mergeCell ref="EF57:FG57"/>
    <mergeCell ref="FH57:GI57"/>
    <mergeCell ref="M58:AW58"/>
    <mergeCell ref="AZ58:CA58"/>
    <mergeCell ref="CB58:DC58"/>
    <mergeCell ref="DD58:EE58"/>
    <mergeCell ref="EF58:FG58"/>
    <mergeCell ref="FH58:GI58"/>
    <mergeCell ref="M59:AW59"/>
    <mergeCell ref="AZ59:CA59"/>
    <mergeCell ref="CB59:DC59"/>
    <mergeCell ref="DD59:EE59"/>
    <mergeCell ref="EF59:FG59"/>
    <mergeCell ref="FH59:GI59"/>
    <mergeCell ref="M60:AW60"/>
    <mergeCell ref="AZ60:CA60"/>
    <mergeCell ref="CB60:DC60"/>
    <mergeCell ref="DD60:EE60"/>
    <mergeCell ref="EF60:FG60"/>
    <mergeCell ref="FH60:GI60"/>
    <mergeCell ref="M61:AW61"/>
    <mergeCell ref="AZ61:CA61"/>
    <mergeCell ref="CB61:DC61"/>
    <mergeCell ref="DD61:EE61"/>
    <mergeCell ref="EF61:FG61"/>
    <mergeCell ref="FH61:GI61"/>
    <mergeCell ref="M62:AW62"/>
    <mergeCell ref="AZ62:CA62"/>
    <mergeCell ref="CB62:DC62"/>
    <mergeCell ref="DD62:EE62"/>
    <mergeCell ref="EF62:FG62"/>
    <mergeCell ref="FH62:GI62"/>
    <mergeCell ref="M63:AW63"/>
    <mergeCell ref="AZ63:CA63"/>
    <mergeCell ref="CB63:DC63"/>
    <mergeCell ref="DD63:EE63"/>
    <mergeCell ref="EF63:FG63"/>
    <mergeCell ref="FH63:GI63"/>
    <mergeCell ref="M64:AW64"/>
    <mergeCell ref="AZ64:CA64"/>
    <mergeCell ref="CB64:DC64"/>
    <mergeCell ref="DD64:EE64"/>
    <mergeCell ref="EF64:FG64"/>
    <mergeCell ref="FH64:GI64"/>
    <mergeCell ref="M65:AW65"/>
    <mergeCell ref="AZ65:CA65"/>
    <mergeCell ref="CB65:DC65"/>
    <mergeCell ref="DD65:EE65"/>
    <mergeCell ref="EF65:FG65"/>
    <mergeCell ref="FH65:GI65"/>
    <mergeCell ref="M66:AW66"/>
    <mergeCell ref="AZ66:CA66"/>
    <mergeCell ref="CB66:DC66"/>
    <mergeCell ref="DD66:EE66"/>
    <mergeCell ref="EF66:FG66"/>
    <mergeCell ref="FH66:GI66"/>
    <mergeCell ref="F67:J74"/>
    <mergeCell ref="M67:AW67"/>
    <mergeCell ref="AZ67:CA67"/>
    <mergeCell ref="CB67:DC67"/>
    <mergeCell ref="DD67:EE67"/>
    <mergeCell ref="EF67:FG67"/>
    <mergeCell ref="FH67:GI67"/>
    <mergeCell ref="M68:AW68"/>
    <mergeCell ref="AZ68:CA68"/>
    <mergeCell ref="CB68:DC68"/>
    <mergeCell ref="DD68:EE68"/>
    <mergeCell ref="EF68:FG68"/>
    <mergeCell ref="FH68:GI68"/>
    <mergeCell ref="M69:AW69"/>
    <mergeCell ref="AZ69:CA69"/>
    <mergeCell ref="CB69:DC69"/>
    <mergeCell ref="DD69:EE69"/>
    <mergeCell ref="EF69:FG69"/>
    <mergeCell ref="FH69:GI69"/>
    <mergeCell ref="M70:AW70"/>
    <mergeCell ref="AZ70:CA70"/>
    <mergeCell ref="CB70:DC70"/>
    <mergeCell ref="DD70:EE70"/>
    <mergeCell ref="EF70:FG70"/>
    <mergeCell ref="FH73:GI73"/>
    <mergeCell ref="M74:AW74"/>
    <mergeCell ref="AZ74:CA74"/>
    <mergeCell ref="CB74:DC74"/>
    <mergeCell ref="DD74:EE74"/>
    <mergeCell ref="EF74:FG74"/>
    <mergeCell ref="FH74:GI74"/>
    <mergeCell ref="FH70:GI70"/>
    <mergeCell ref="M71:AW71"/>
    <mergeCell ref="AZ71:CA71"/>
    <mergeCell ref="CB71:DC71"/>
    <mergeCell ref="DD71:EE71"/>
    <mergeCell ref="EF71:FG71"/>
    <mergeCell ref="FH71:GI71"/>
    <mergeCell ref="M72:AW72"/>
    <mergeCell ref="AZ72:CA72"/>
    <mergeCell ref="CB72:DC72"/>
    <mergeCell ref="DD72:EE72"/>
    <mergeCell ref="EF72:FG72"/>
    <mergeCell ref="FH72:GI72"/>
    <mergeCell ref="M78:AW78"/>
    <mergeCell ref="AZ78:CA78"/>
    <mergeCell ref="CB78:DC78"/>
    <mergeCell ref="DD78:EE78"/>
    <mergeCell ref="EF78:FG78"/>
    <mergeCell ref="M73:AW73"/>
    <mergeCell ref="AZ73:CA73"/>
    <mergeCell ref="CB73:DC73"/>
    <mergeCell ref="DD73:EE73"/>
    <mergeCell ref="EF73:FG73"/>
    <mergeCell ref="CB76:DC76"/>
    <mergeCell ref="DD76:EE76"/>
    <mergeCell ref="EF76:FG76"/>
    <mergeCell ref="FH76:GI76"/>
    <mergeCell ref="M77:AW77"/>
    <mergeCell ref="AZ77:CA77"/>
    <mergeCell ref="CB77:DC77"/>
    <mergeCell ref="DD77:EE77"/>
    <mergeCell ref="EF77:FG77"/>
    <mergeCell ref="FH77:GI77"/>
    <mergeCell ref="FH78:GI78"/>
    <mergeCell ref="F79:AY79"/>
    <mergeCell ref="AZ79:CA79"/>
    <mergeCell ref="CB79:DC79"/>
    <mergeCell ref="DD79:EE79"/>
    <mergeCell ref="EF79:FG79"/>
    <mergeCell ref="FH79:GI79"/>
    <mergeCell ref="A80:AY80"/>
    <mergeCell ref="AZ80:CA81"/>
    <mergeCell ref="CB80:DC81"/>
    <mergeCell ref="DD80:EE81"/>
    <mergeCell ref="EF80:GI80"/>
    <mergeCell ref="A81:AY81"/>
    <mergeCell ref="EF81:FG81"/>
    <mergeCell ref="FH81:GI81"/>
    <mergeCell ref="F75:J78"/>
    <mergeCell ref="M75:AW75"/>
    <mergeCell ref="AZ75:CA75"/>
    <mergeCell ref="CB75:DC75"/>
    <mergeCell ref="DD75:EE75"/>
    <mergeCell ref="EF75:FG75"/>
    <mergeCell ref="FH75:GI75"/>
    <mergeCell ref="M76:AW76"/>
    <mergeCell ref="AZ76:CA76"/>
    <mergeCell ref="A82:E89"/>
    <mergeCell ref="H82:AW82"/>
    <mergeCell ref="AZ82:CA82"/>
    <mergeCell ref="CB82:DC82"/>
    <mergeCell ref="DD82:EE82"/>
    <mergeCell ref="EF82:FG82"/>
    <mergeCell ref="FH82:GI82"/>
    <mergeCell ref="H83:AW83"/>
    <mergeCell ref="AZ83:CA83"/>
    <mergeCell ref="CB83:DC83"/>
    <mergeCell ref="DD83:EE83"/>
    <mergeCell ref="EF83:FG83"/>
    <mergeCell ref="FH83:GI83"/>
    <mergeCell ref="H84:AW84"/>
    <mergeCell ref="AZ84:CA84"/>
    <mergeCell ref="CB84:DC84"/>
    <mergeCell ref="DD84:EE84"/>
    <mergeCell ref="EF84:FG84"/>
    <mergeCell ref="FH84:GI84"/>
    <mergeCell ref="H85:AW85"/>
    <mergeCell ref="AZ85:CA85"/>
    <mergeCell ref="CB85:DC85"/>
    <mergeCell ref="DD85:EE85"/>
    <mergeCell ref="EF85:FG85"/>
    <mergeCell ref="FH85:GI85"/>
    <mergeCell ref="H86:AW86"/>
    <mergeCell ref="AZ86:CA86"/>
    <mergeCell ref="CB86:DC86"/>
    <mergeCell ref="DD86:EE86"/>
    <mergeCell ref="EF86:FG86"/>
    <mergeCell ref="FH86:GI86"/>
    <mergeCell ref="H87:AW87"/>
    <mergeCell ref="AZ87:CA87"/>
    <mergeCell ref="CB87:DC87"/>
    <mergeCell ref="DD87:EE87"/>
    <mergeCell ref="EF87:FG87"/>
    <mergeCell ref="FH87:GI87"/>
    <mergeCell ref="H88:AW88"/>
    <mergeCell ref="AZ88:CA88"/>
    <mergeCell ref="CB88:DC88"/>
    <mergeCell ref="DD88:EE88"/>
    <mergeCell ref="EF88:FG88"/>
    <mergeCell ref="FH88:GI88"/>
    <mergeCell ref="H89:AW89"/>
    <mergeCell ref="AZ89:CA89"/>
    <mergeCell ref="CB89:DC89"/>
    <mergeCell ref="DD89:EE89"/>
    <mergeCell ref="EF89:FG89"/>
    <mergeCell ref="FH89:GI89"/>
    <mergeCell ref="D90:AV90"/>
    <mergeCell ref="AZ90:CA90"/>
    <mergeCell ref="CB90:DC90"/>
    <mergeCell ref="DD90:EE90"/>
    <mergeCell ref="EF90:FG90"/>
    <mergeCell ref="FH90:GI90"/>
    <mergeCell ref="D91:AV91"/>
    <mergeCell ref="AZ91:CA91"/>
    <mergeCell ref="CB91:DC91"/>
    <mergeCell ref="DD91:EE91"/>
    <mergeCell ref="EF91:FG91"/>
    <mergeCell ref="FH91:GI91"/>
    <mergeCell ref="D92:AV92"/>
    <mergeCell ref="AZ92:CA92"/>
    <mergeCell ref="CB92:DC92"/>
    <mergeCell ref="DD92:EE92"/>
    <mergeCell ref="EF92:FG92"/>
    <mergeCell ref="FH92:GI92"/>
    <mergeCell ref="D93:AV93"/>
    <mergeCell ref="AZ93:CA93"/>
    <mergeCell ref="CB93:DC93"/>
    <mergeCell ref="DD93:EE93"/>
    <mergeCell ref="EF93:FG93"/>
    <mergeCell ref="FH93:GI93"/>
    <mergeCell ref="D94:AV94"/>
    <mergeCell ref="AZ94:CA94"/>
    <mergeCell ref="CB94:DC94"/>
    <mergeCell ref="DD94:EE94"/>
    <mergeCell ref="EF94:FG94"/>
    <mergeCell ref="FH94:GI94"/>
    <mergeCell ref="D95:AV95"/>
    <mergeCell ref="AZ95:CA95"/>
    <mergeCell ref="CB95:DC95"/>
    <mergeCell ref="DD95:EE95"/>
    <mergeCell ref="EF95:FG95"/>
    <mergeCell ref="FH95:GI95"/>
    <mergeCell ref="D96:AV96"/>
    <mergeCell ref="AZ96:CA96"/>
    <mergeCell ref="CB96:DC96"/>
    <mergeCell ref="DD96:EE96"/>
    <mergeCell ref="EF96:FG96"/>
    <mergeCell ref="FH96:GI96"/>
    <mergeCell ref="D97:AV97"/>
    <mergeCell ref="AZ97:CA97"/>
    <mergeCell ref="CB97:DC97"/>
    <mergeCell ref="DD97:EE97"/>
    <mergeCell ref="EF97:FG97"/>
    <mergeCell ref="FH97:GI97"/>
    <mergeCell ref="D98:AV98"/>
    <mergeCell ref="AZ98:CA98"/>
    <mergeCell ref="CB98:DC98"/>
    <mergeCell ref="DD98:EE98"/>
    <mergeCell ref="EF98:FG98"/>
    <mergeCell ref="FH98:GI98"/>
    <mergeCell ref="D99:AV99"/>
    <mergeCell ref="AZ99:CA99"/>
    <mergeCell ref="CB99:DC99"/>
    <mergeCell ref="DD99:EE99"/>
    <mergeCell ref="EF99:FG99"/>
    <mergeCell ref="FH99:GI99"/>
    <mergeCell ref="A100:H102"/>
    <mergeCell ref="L100:AV100"/>
    <mergeCell ref="AZ100:CA100"/>
    <mergeCell ref="CB100:DC100"/>
    <mergeCell ref="DD100:EE100"/>
    <mergeCell ref="EF100:FG100"/>
    <mergeCell ref="FH100:GI100"/>
    <mergeCell ref="L101:AV101"/>
    <mergeCell ref="AZ101:CA101"/>
    <mergeCell ref="CB101:DC101"/>
    <mergeCell ref="DD101:EE101"/>
    <mergeCell ref="EF101:FG101"/>
    <mergeCell ref="FH101:GI101"/>
    <mergeCell ref="L102:AV102"/>
    <mergeCell ref="AZ102:CA102"/>
    <mergeCell ref="CB102:DC102"/>
    <mergeCell ref="DD102:EE102"/>
    <mergeCell ref="EF102:FG102"/>
    <mergeCell ref="FH102:GI102"/>
    <mergeCell ref="A103:H105"/>
    <mergeCell ref="L103:AV103"/>
    <mergeCell ref="AZ103:CA103"/>
    <mergeCell ref="CB103:DC103"/>
    <mergeCell ref="DD103:EE103"/>
    <mergeCell ref="EF103:FG103"/>
    <mergeCell ref="FH103:GI103"/>
    <mergeCell ref="L104:AV104"/>
    <mergeCell ref="AZ104:CA104"/>
    <mergeCell ref="CB104:DC104"/>
    <mergeCell ref="DD104:EE104"/>
    <mergeCell ref="EF104:FG104"/>
    <mergeCell ref="FH104:GI104"/>
    <mergeCell ref="L105:AV105"/>
    <mergeCell ref="AZ105:CA105"/>
    <mergeCell ref="CB105:DC105"/>
    <mergeCell ref="DD105:EE105"/>
    <mergeCell ref="EF105:FG105"/>
    <mergeCell ref="FH105:GI105"/>
    <mergeCell ref="D106:AV106"/>
    <mergeCell ref="AZ106:CA106"/>
    <mergeCell ref="CB106:DC106"/>
    <mergeCell ref="DD106:EE106"/>
    <mergeCell ref="EF106:FG106"/>
    <mergeCell ref="FH106:GI106"/>
    <mergeCell ref="D107:AV107"/>
    <mergeCell ref="AZ107:CA107"/>
    <mergeCell ref="CB107:DC107"/>
    <mergeCell ref="DD107:EE107"/>
    <mergeCell ref="EF107:FG107"/>
    <mergeCell ref="FH107:GI107"/>
    <mergeCell ref="D108:AV108"/>
    <mergeCell ref="AZ108:CA108"/>
    <mergeCell ref="CB108:DC108"/>
    <mergeCell ref="DD108:EE108"/>
    <mergeCell ref="EF108:FG108"/>
    <mergeCell ref="FH108:GI108"/>
    <mergeCell ref="D109:AV109"/>
    <mergeCell ref="AZ109:CA109"/>
    <mergeCell ref="CB109:DC109"/>
    <mergeCell ref="DD109:EE109"/>
    <mergeCell ref="EF109:FG109"/>
    <mergeCell ref="FH109:GI109"/>
    <mergeCell ref="D110:AV110"/>
    <mergeCell ref="AZ110:CA110"/>
    <mergeCell ref="CB110:DC110"/>
    <mergeCell ref="DD110:EE110"/>
    <mergeCell ref="EF110:FG110"/>
    <mergeCell ref="FH110:GI110"/>
    <mergeCell ref="D111:AV111"/>
    <mergeCell ref="AZ111:CA111"/>
    <mergeCell ref="CB111:DC111"/>
    <mergeCell ref="DD111:EE111"/>
    <mergeCell ref="EF111:FG111"/>
    <mergeCell ref="FH111:GI111"/>
    <mergeCell ref="FE133:GH133"/>
    <mergeCell ref="A134:AY135"/>
    <mergeCell ref="AZ134:DQ134"/>
    <mergeCell ref="DR134:GI134"/>
    <mergeCell ref="AZ135:BV135"/>
    <mergeCell ref="BW135:CO135"/>
    <mergeCell ref="CP135:DQ135"/>
    <mergeCell ref="DR135:EN135"/>
    <mergeCell ref="EO135:FG135"/>
    <mergeCell ref="FH135:GI135"/>
    <mergeCell ref="A136:B136"/>
    <mergeCell ref="H136:AW136"/>
    <mergeCell ref="AZ136:BV136"/>
    <mergeCell ref="BW136:CO136"/>
    <mergeCell ref="CP136:DQ136"/>
    <mergeCell ref="DR136:EN136"/>
    <mergeCell ref="EO136:FG136"/>
    <mergeCell ref="FH136:GI136"/>
    <mergeCell ref="A137:E137"/>
    <mergeCell ref="H137:AW137"/>
    <mergeCell ref="AZ137:BV137"/>
    <mergeCell ref="BW137:CO137"/>
    <mergeCell ref="CP137:DQ137"/>
    <mergeCell ref="DR137:EN137"/>
    <mergeCell ref="EO137:FG137"/>
    <mergeCell ref="FH137:GI137"/>
    <mergeCell ref="A138:B138"/>
    <mergeCell ref="H138:AW138"/>
    <mergeCell ref="AZ138:BV138"/>
    <mergeCell ref="BW138:CO138"/>
    <mergeCell ref="CP138:DQ138"/>
    <mergeCell ref="DR138:EN138"/>
    <mergeCell ref="EO138:FG138"/>
    <mergeCell ref="FH138:GI138"/>
    <mergeCell ref="A139:B139"/>
    <mergeCell ref="H139:AW139"/>
    <mergeCell ref="AZ139:BV139"/>
    <mergeCell ref="BW139:CO139"/>
    <mergeCell ref="CP139:DQ139"/>
    <mergeCell ref="DR139:EN139"/>
    <mergeCell ref="EO139:FG139"/>
    <mergeCell ref="FH139:GI139"/>
    <mergeCell ref="A140:B140"/>
    <mergeCell ref="H140:AW141"/>
    <mergeCell ref="AZ140:BV140"/>
    <mergeCell ref="BW140:CO140"/>
    <mergeCell ref="CP140:DQ140"/>
    <mergeCell ref="DR140:EN140"/>
    <mergeCell ref="EO140:FG140"/>
    <mergeCell ref="FH140:GI140"/>
    <mergeCell ref="A141:B141"/>
    <mergeCell ref="AZ141:BV141"/>
    <mergeCell ref="BW141:CO141"/>
    <mergeCell ref="CP141:DQ141"/>
    <mergeCell ref="DR141:EN141"/>
    <mergeCell ref="EO141:FG141"/>
    <mergeCell ref="FH141:GI141"/>
    <mergeCell ref="A142:B142"/>
    <mergeCell ref="H142:AW142"/>
    <mergeCell ref="AZ142:BV142"/>
    <mergeCell ref="BW142:CO142"/>
    <mergeCell ref="CP142:DQ142"/>
    <mergeCell ref="DR142:EN142"/>
    <mergeCell ref="EO142:FG142"/>
    <mergeCell ref="FH142:GI142"/>
    <mergeCell ref="A143:E143"/>
    <mergeCell ref="H143:AW143"/>
    <mergeCell ref="AZ143:BV143"/>
    <mergeCell ref="BW143:CO143"/>
    <mergeCell ref="CP143:DQ143"/>
    <mergeCell ref="DR143:EN143"/>
    <mergeCell ref="EO143:FG143"/>
    <mergeCell ref="FH143:GI143"/>
    <mergeCell ref="H144:AW144"/>
    <mergeCell ref="AZ144:BV144"/>
    <mergeCell ref="BW144:CO144"/>
    <mergeCell ref="CP144:DQ144"/>
    <mergeCell ref="DR144:EN144"/>
    <mergeCell ref="EO144:FG144"/>
    <mergeCell ref="FH144:GI144"/>
    <mergeCell ref="A145:B145"/>
    <mergeCell ref="H145:AW145"/>
    <mergeCell ref="AZ145:BV145"/>
    <mergeCell ref="BW145:CO145"/>
    <mergeCell ref="CP145:DQ145"/>
    <mergeCell ref="DR145:EN145"/>
    <mergeCell ref="EO145:FG145"/>
    <mergeCell ref="FH145:GI145"/>
    <mergeCell ref="FD148:FG148"/>
    <mergeCell ref="A146:E146"/>
    <mergeCell ref="H146:AW146"/>
    <mergeCell ref="AZ146:BV146"/>
    <mergeCell ref="BW146:CO146"/>
    <mergeCell ref="CP146:DQ146"/>
    <mergeCell ref="DR146:EN146"/>
    <mergeCell ref="EO146:FG146"/>
    <mergeCell ref="FH146:GI146"/>
    <mergeCell ref="A147:B147"/>
    <mergeCell ref="H147:AW147"/>
    <mergeCell ref="AZ147:BV147"/>
    <mergeCell ref="BW147:CO147"/>
    <mergeCell ref="CP147:DQ147"/>
    <mergeCell ref="DR147:EN147"/>
    <mergeCell ref="EO147:FG147"/>
    <mergeCell ref="FH147:GI147"/>
    <mergeCell ref="FH148:GI148"/>
    <mergeCell ref="A149:B149"/>
    <mergeCell ref="H149:AW150"/>
    <mergeCell ref="AZ149:BV149"/>
    <mergeCell ref="BW149:CO149"/>
    <mergeCell ref="CP149:DQ149"/>
    <mergeCell ref="DR149:EN149"/>
    <mergeCell ref="EO149:FG149"/>
    <mergeCell ref="FH149:GI149"/>
    <mergeCell ref="A150:B150"/>
    <mergeCell ref="AZ150:BV150"/>
    <mergeCell ref="BW150:CO150"/>
    <mergeCell ref="CP150:DQ150"/>
    <mergeCell ref="DR150:EN150"/>
    <mergeCell ref="EO150:FG150"/>
    <mergeCell ref="FH150:GI150"/>
    <mergeCell ref="A148:B148"/>
    <mergeCell ref="H148:AW148"/>
    <mergeCell ref="AZ148:BV148"/>
    <mergeCell ref="BW148:CK148"/>
    <mergeCell ref="CL148:CO148"/>
    <mergeCell ref="CP148:DQ148"/>
    <mergeCell ref="DR148:EN148"/>
    <mergeCell ref="EO148:FC148"/>
    <mergeCell ref="A151:B151"/>
    <mergeCell ref="H151:AW151"/>
    <mergeCell ref="AZ151:BV151"/>
    <mergeCell ref="BW151:CO151"/>
    <mergeCell ref="CP151:DQ151"/>
    <mergeCell ref="DR151:EN151"/>
    <mergeCell ref="EO151:FG151"/>
    <mergeCell ref="FH151:GI151"/>
    <mergeCell ref="A152:E152"/>
    <mergeCell ref="H152:AW152"/>
    <mergeCell ref="AZ152:BV152"/>
    <mergeCell ref="BW152:CO152"/>
    <mergeCell ref="CP152:DQ152"/>
    <mergeCell ref="DR152:EN152"/>
    <mergeCell ref="EO152:FG152"/>
    <mergeCell ref="FH152:GI152"/>
    <mergeCell ref="H153:AW153"/>
    <mergeCell ref="AZ153:BV153"/>
    <mergeCell ref="BW153:CO153"/>
    <mergeCell ref="CP153:DQ153"/>
    <mergeCell ref="DR153:EN153"/>
    <mergeCell ref="EO153:FG153"/>
    <mergeCell ref="FH153:GI153"/>
    <mergeCell ref="C154:AW154"/>
    <mergeCell ref="AZ154:BV154"/>
    <mergeCell ref="BW154:CO154"/>
    <mergeCell ref="CP154:DQ154"/>
    <mergeCell ref="DR154:EN154"/>
    <mergeCell ref="EO154:FG154"/>
    <mergeCell ref="FH154:GI154"/>
    <mergeCell ref="A155:AY156"/>
    <mergeCell ref="AZ155:BV155"/>
    <mergeCell ref="BW155:CO155"/>
    <mergeCell ref="CP155:DQ155"/>
    <mergeCell ref="DR155:EN155"/>
    <mergeCell ref="EO155:FG155"/>
    <mergeCell ref="FH155:GI155"/>
    <mergeCell ref="AZ156:BV156"/>
    <mergeCell ref="BW156:CO156"/>
    <mergeCell ref="CP156:DQ156"/>
    <mergeCell ref="DR156:EN156"/>
    <mergeCell ref="EO156:FG156"/>
    <mergeCell ref="FH156:GI156"/>
  </mergeCells>
  <phoneticPr fontId="155"/>
  <conditionalFormatting sqref="D19 M71 M73 AZ5 AZ6 AZ7 AZ8 AZ9 AZ10 AZ11 AZ12 AZ13 AZ14 AZ15 AZ16 AZ17 AZ18 AZ20 AZ21 AZ22 AZ23 AZ24 AZ25 AZ26 AZ27 AZ28 AZ29 AZ49 AZ50 AZ51 AZ52 AZ53 AZ54 AZ55 AZ56 AZ57 AZ58 AZ59 AZ60 AZ61 AZ62 AZ63 AZ64 AZ65 AZ67 AZ68 AZ69 AZ70 AZ71 AZ72 AZ73 AZ75 AZ76 AZ77 AZ82 AZ83 AZ84 AZ85 AZ86 AZ87 AZ88 AZ90 AZ91 AZ92 AZ93 AZ94 AZ95 AZ96 AZ97 AZ98 AZ99 AZ100 AZ101 AZ103 AZ104 AZ106 AZ108 AZ109 AZ136 AZ137 AZ138 AZ139 AZ141 AZ142 AZ143 AZ145 AZ146 AZ147 AZ148 AZ150 AZ151 AZ152 AZ154 BW136 BW137 BW138 BW139 BW141 BW142 BW145 BW146 BW147 BW148 BW150 BW151 CB6 CB14 CB15 CB16 CB20 CB21 CB22 CB26 CB49 CB50 CB51 CB52 CB53 CB54 CB55 CB56 CB57 CB58 CB59 CB60 CB61 CB62 CB63 CB64 CB65 CB67 CB68 CB69 CB70 CB71 CB72 CB73 CB75 CB76 CB77 CB82 CB83 CB84 CB85 CB86 CB87 CB88 CB100 CB101 CB103 CB104 CP136 CP137 CP138 CP139 CP141 CP143 CP145 CP146 CP147 CP148 CP150 CP152 EF21">
    <cfRule type="expression" dxfId="6" priority="1">
      <formula>AND(入力色表示=1,NOT(_xlfn.ISFORMULA(D19)))</formula>
    </cfRule>
  </conditionalFormatting>
  <dataValidations count="156">
    <dataValidation allowBlank="1" showInputMessage="1" promptTitle="手入力セル" prompt="反映先：報告_短期P7-10 AZ30,DD5&#10;他の帳票：なし" sqref="AZ5"/>
    <dataValidation allowBlank="1" showInputMessage="1" promptTitle="手入力セル" prompt="反映先：報告_短期P7-10 AZ30,DD6&#10;他の帳票：なし" sqref="AZ6"/>
    <dataValidation allowBlank="1" showInputMessage="1" promptTitle="手入力セル" prompt="反映先：報告_短期P7-10 AZ30,DD7&#10;他の帳票：なし" sqref="AZ7"/>
    <dataValidation allowBlank="1" showInputMessage="1" promptTitle="手入力セル" prompt="反映先：報告_短期P7-10 AZ30,DD8&#10;他の帳票：なし" sqref="AZ8"/>
    <dataValidation allowBlank="1" showInputMessage="1" promptTitle="手入力セル" prompt="反映先：報告_短期P7-10 AZ30,DD9&#10;他の帳票：なし" sqref="AZ9"/>
    <dataValidation allowBlank="1" showInputMessage="1" promptTitle="手入力セル" prompt="反映先：報告_短期P7-10 AZ30,DD10&#10;他の帳票：なし" sqref="AZ10"/>
    <dataValidation allowBlank="1" showInputMessage="1" promptTitle="手入力セル" prompt="反映先：報告_短期P7-10 AZ30,DD11&#10;他の帳票：なし" sqref="AZ11"/>
    <dataValidation allowBlank="1" showInputMessage="1" promptTitle="手入力セル" prompt="反映先：報告_短期P7-10 AZ30,DD12&#10;他の帳票：なし" sqref="AZ12"/>
    <dataValidation allowBlank="1" showInputMessage="1" promptTitle="手入力セル" prompt="反映先：報告_短期P7-10 AZ30,DD13&#10;他の帳票：なし" sqref="AZ13"/>
    <dataValidation allowBlank="1" showInputMessage="1" promptTitle="手入力セル" prompt="反映先：報告_短期P7-10 AZ30,DD14&#10;他の帳票：なし" sqref="AZ14"/>
    <dataValidation allowBlank="1" showInputMessage="1" promptTitle="手入力セル" prompt="反映先：報告_短期P7-10 AZ30,DD15&#10;他の帳票：なし" sqref="AZ15"/>
    <dataValidation allowBlank="1" showInputMessage="1" promptTitle="手入力セル" prompt="反映先：報告_短期P7-10 AZ30,DD16&#10;他の帳票：なし" sqref="AZ16"/>
    <dataValidation allowBlank="1" showInputMessage="1" promptTitle="手入力セル" prompt="反映先：報告_短期P7-10 AZ30,DD17&#10;他の帳票：なし" sqref="AZ17"/>
    <dataValidation allowBlank="1" showInputMessage="1" promptTitle="手入力セル" prompt="反映先：報告_短期P7-10 AZ30,DD18&#10;他の帳票：なし" sqref="AZ18"/>
    <dataValidation allowBlank="1" showInputMessage="1" promptTitle="手入力セル" prompt="反映先：報告_短期P7-10 AZ30,DD20&#10;他の帳票：なし" sqref="AZ20"/>
    <dataValidation allowBlank="1" showInputMessage="1" promptTitle="手入力セル" prompt="反映先：報告_短期P7-10 AZ30,DD22&#10;他の帳票：なし" sqref="AZ22"/>
    <dataValidation allowBlank="1" showInputMessage="1" promptTitle="手入力セル" prompt="反映先：報告_短期P7-10 AZ30,DD23&#10;他の帳票：なし" sqref="AZ23"/>
    <dataValidation allowBlank="1" showInputMessage="1" promptTitle="手入力セル" prompt="反映先：報告_短期P7-10 AZ30,DD24&#10;他の帳票：なし" sqref="AZ24"/>
    <dataValidation allowBlank="1" showInputMessage="1" promptTitle="手入力セル" prompt="反映先：報告_短期P7-10 AZ30,DD25&#10;他の帳票：なし" sqref="AZ25"/>
    <dataValidation allowBlank="1" showInputMessage="1" promptTitle="手入力セル" prompt="反映先：報告_短期P7-10 AZ30,DD26&#10;他の帳票：なし" sqref="AZ26"/>
    <dataValidation allowBlank="1" showInputMessage="1" promptTitle="手入力セル" prompt="反映先：報告_短期P7-10 AZ30,DD27&#10;他の帳票：なし" sqref="AZ27"/>
    <dataValidation allowBlank="1" showInputMessage="1" promptTitle="手入力セル" prompt="反映先：報告_短期P7-10 AZ30,DD28&#10;他の帳票：なし" sqref="AZ28"/>
    <dataValidation allowBlank="1" showInputMessage="1" promptTitle="手入力セル" prompt="反映先：報告_短期P7-10 AZ30,DD29&#10;他の帳票：なし" sqref="AZ29"/>
    <dataValidation allowBlank="1" showInputMessage="1" promptTitle="手入力セル" prompt="反映先：報告_短期P7-10 AZ66,DD49&#10;他の帳票：なし" sqref="AZ49"/>
    <dataValidation allowBlank="1" showInputMessage="1" promptTitle="手入力セル" prompt="反映先：報告_短期P7-10 AZ66,DD50&#10;他の帳票：なし" sqref="AZ50"/>
    <dataValidation allowBlank="1" showInputMessage="1" promptTitle="手入力セル" prompt="反映先：報告_短期P7-10 AZ66,DD51&#10;他の帳票：なし" sqref="AZ51"/>
    <dataValidation allowBlank="1" showInputMessage="1" promptTitle="手入力セル" prompt="反映先：報告_短期P7-10 AZ66,DD52&#10;他の帳票：なし" sqref="AZ52"/>
    <dataValidation allowBlank="1" showInputMessage="1" promptTitle="手入力セル" prompt="反映先：報告_短期P7-10 AZ66,DD53&#10;他の帳票：なし" sqref="AZ53"/>
    <dataValidation allowBlank="1" showInputMessage="1" promptTitle="手入力セル" prompt="反映先：報告_短期P7-10 AZ66,DD54&#10;他の帳票：なし" sqref="AZ54"/>
    <dataValidation allowBlank="1" showInputMessage="1" promptTitle="手入力セル" prompt="反映先：報告_短期P7-10 AZ66,DD55&#10;他の帳票：なし" sqref="AZ55"/>
    <dataValidation allowBlank="1" showInputMessage="1" promptTitle="手入力セル" prompt="反映先：報告_短期P7-10 AZ66,DD56&#10;他の帳票：なし" sqref="AZ56"/>
    <dataValidation allowBlank="1" showInputMessage="1" promptTitle="手入力セル" prompt="反映先：報告_短期P7-10 AZ66,DD57&#10;他の帳票：なし" sqref="AZ57"/>
    <dataValidation allowBlank="1" showInputMessage="1" promptTitle="手入力セル" prompt="反映先：報告_短期P7-10 AZ66,DD58&#10;他の帳票：なし" sqref="AZ58"/>
    <dataValidation allowBlank="1" showInputMessage="1" promptTitle="手入力セル" prompt="反映先：報告_短期P7-10 AZ66,DD59&#10;他の帳票：なし" sqref="AZ59"/>
    <dataValidation allowBlank="1" showInputMessage="1" promptTitle="手入力セル" prompt="反映先：報告_短期P7-10 AZ66,DD60&#10;他の帳票：なし" sqref="AZ60"/>
    <dataValidation allowBlank="1" showInputMessage="1" promptTitle="手入力セル" prompt="反映先：報告_短期P7-10 AZ66,DD61&#10;他の帳票：なし" sqref="AZ61"/>
    <dataValidation allowBlank="1" showInputMessage="1" promptTitle="手入力セル" prompt="反映先：報告_短期P7-10 AZ66,DD62&#10;他の帳票：なし" sqref="AZ62"/>
    <dataValidation allowBlank="1" showInputMessage="1" promptTitle="手入力セル" prompt="反映先：報告_短期P7-10 AZ66,DD63&#10;他の帳票：なし" sqref="AZ63"/>
    <dataValidation allowBlank="1" showInputMessage="1" promptTitle="手入力セル" prompt="反映先：報告_短期P7-10 AZ66,DD64&#10;他の帳票：なし" sqref="AZ64"/>
    <dataValidation allowBlank="1" showInputMessage="1" promptTitle="手入力セル" prompt="反映先：報告_短期P7-10 AZ66,DD65&#10;他の帳票：なし" sqref="AZ65"/>
    <dataValidation allowBlank="1" showInputMessage="1" promptTitle="手入力セル" prompt="反映先：報告_短期P7-10 AZ74,DD67&#10;他の帳票：なし" sqref="AZ67"/>
    <dataValidation allowBlank="1" showInputMessage="1" promptTitle="手入力セル" prompt="反映先：報告_短期P7-10 AZ74,DD68&#10;他の帳票：なし" sqref="AZ68"/>
    <dataValidation allowBlank="1" showInputMessage="1" promptTitle="手入力セル" prompt="反映先：報告_短期P7-10 AZ74,DD69&#10;他の帳票：なし" sqref="AZ69"/>
    <dataValidation allowBlank="1" showInputMessage="1" promptTitle="手入力セル" prompt="反映先：報告_短期P7-10 AZ19,AZ74,DD70&#10;他の帳票：なし" sqref="AZ70"/>
    <dataValidation allowBlank="1" showInputMessage="1" promptTitle="手入力セル" prompt="反映先：報告_短期P7-10 AZ19,AZ74,DD71&#10;他の帳票：なし" sqref="AZ71"/>
    <dataValidation allowBlank="1" showInputMessage="1" promptTitle="手入力セル" prompt="反映先：報告_短期P7-10 AZ19,AZ74,DD72&#10;他の帳票：なし" sqref="AZ72"/>
    <dataValidation allowBlank="1" showInputMessage="1" promptTitle="手入力セル" prompt="反映先：報告_短期P7-10 AZ19,AZ74,DD73&#10;他の帳票：なし" sqref="AZ73"/>
    <dataValidation allowBlank="1" showInputMessage="1" promptTitle="手入力セル" prompt="反映先：報告_短期P7-10 AZ78,DD75&#10;他の帳票：なし" sqref="AZ75"/>
    <dataValidation allowBlank="1" showInputMessage="1" promptTitle="手入力セル" prompt="反映先：報告_短期P7-10 AZ78,DD76&#10;他の帳票：なし" sqref="AZ76"/>
    <dataValidation allowBlank="1" showInputMessage="1" promptTitle="手入力セル" prompt="反映先：報告_短期P7-10 AZ78,DD77&#10;他の帳票：なし" sqref="AZ77"/>
    <dataValidation allowBlank="1" showInputMessage="1" promptTitle="手入力セル" prompt="反映先：報告_短期P7-10 AZ89,DD82&#10;他の帳票：なし" sqref="AZ82"/>
    <dataValidation allowBlank="1" showInputMessage="1" promptTitle="手入力セル" prompt="反映先：報告_短期P7-10 AZ89,DD83&#10;他の帳票：なし" sqref="AZ83"/>
    <dataValidation allowBlank="1" showInputMessage="1" promptTitle="手入力セル" prompt="反映先：報告_短期P7-10 AZ89,DD84&#10;他の帳票：なし" sqref="AZ84"/>
    <dataValidation allowBlank="1" showInputMessage="1" promptTitle="手入力セル" prompt="反映先：報告_短期P7-10 AZ89,DD85&#10;他の帳票：なし" sqref="AZ85"/>
    <dataValidation allowBlank="1" showInputMessage="1" promptTitle="手入力セル" prompt="反映先：報告_短期P7-10 AZ89,DD86&#10;他の帳票：なし" sqref="AZ86"/>
    <dataValidation allowBlank="1" showInputMessage="1" promptTitle="手入力セル" prompt="反映先：報告_短期P7-10 AZ89,DD87&#10;他の帳票：なし" sqref="AZ87"/>
    <dataValidation allowBlank="1" showInputMessage="1" promptTitle="手入力セル" prompt="反映先：報告_短期P7-10 AZ89,DD88&#10;他の帳票：なし" sqref="AZ88"/>
    <dataValidation allowBlank="1" showInputMessage="1" promptTitle="手入力セル" prompt="反映先：報告_短期P7-10 AZ107,DD90&#10;他の帳票：なし" sqref="AZ90"/>
    <dataValidation allowBlank="1" showInputMessage="1" promptTitle="手入力セル" prompt="反映先：報告_短期P7-10 AZ107,DD91&#10;他の帳票：なし" sqref="AZ91"/>
    <dataValidation allowBlank="1" showInputMessage="1" promptTitle="手入力セル" prompt="反映先：報告_短期P7-10 AZ107,DD92&#10;他の帳票：なし" sqref="AZ92"/>
    <dataValidation allowBlank="1" showInputMessage="1" promptTitle="手入力セル" prompt="反映先：報告_短期P7-10 AZ107,DD93&#10;他の帳票：なし" sqref="AZ93"/>
    <dataValidation allowBlank="1" showInputMessage="1" promptTitle="手入力セル" prompt="反映先：報告_短期P7-10 AZ107,DD94&#10;他の帳票：なし" sqref="AZ94"/>
    <dataValidation allowBlank="1" showInputMessage="1" promptTitle="手入力セル" prompt="反映先：報告_短期P7-10 AZ107,DD95&#10;他の帳票：なし" sqref="AZ95"/>
    <dataValidation allowBlank="1" showInputMessage="1" promptTitle="手入力セル" prompt="反映先：報告_短期P7-10 AZ107,DD96&#10;他の帳票：なし" sqref="AZ96"/>
    <dataValidation allowBlank="1" showInputMessage="1" promptTitle="手入力セル" prompt="反映先：報告_短期P7-10 AZ107,DD97&#10;他の帳票：なし" sqref="AZ97"/>
    <dataValidation allowBlank="1" showInputMessage="1" promptTitle="手入力セル" prompt="反映先：報告_短期P7-10 AZ107,DD98&#10;他の帳票：なし" sqref="AZ98"/>
    <dataValidation allowBlank="1" showInputMessage="1" promptTitle="手入力セル" prompt="反映先：報告_短期P7-10 AZ107,DD99&#10;他の帳票：なし" sqref="AZ99"/>
    <dataValidation allowBlank="1" showInputMessage="1" promptTitle="手入力セル" prompt="反映先：報告_短期P7-10 AZ102,DD100&#10;他の帳票：なし" sqref="AZ100"/>
    <dataValidation allowBlank="1" showInputMessage="1" promptTitle="手入力セル" prompt="反映先：報告_短期P7-10 AZ102,DD101&#10;他の帳票：なし" sqref="AZ101"/>
    <dataValidation allowBlank="1" showInputMessage="1" promptTitle="手入力セル" prompt="反映先：報告_短期P7-10 AZ105,DD103&#10;他の帳票：なし" sqref="AZ103"/>
    <dataValidation allowBlank="1" showInputMessage="1" promptTitle="手入力セル" prompt="反映先：報告_短期P7-10 AZ105,DD104&#10;他の帳票：なし" sqref="AZ104"/>
    <dataValidation allowBlank="1" showInputMessage="1" promptTitle="手入力セル" prompt="反映先：報告_短期P7-10 AZ107,DD106&#10;他の帳票：なし" sqref="AZ106"/>
    <dataValidation allowBlank="1" showInputMessage="1" promptTitle="手入力セル" prompt="反映先：報告_短期P7-10 AZ110,DD108&#10;他の帳票：なし" sqref="AZ108"/>
    <dataValidation allowBlank="1" showInputMessage="1" promptTitle="手入力セル" prompt="反映先：報告_短期P7-10 AZ110,DD109&#10;他の帳票：なし" sqref="AZ109"/>
    <dataValidation allowBlank="1" showInputMessage="1" promptTitle="手入力セル" prompt="反映先：報告_短期P7-10 AZ144、報告_短期P11-13 DL4,DL43&#10;他の帳票：報告_短期P11-13" sqref="AZ136"/>
    <dataValidation allowBlank="1" showInputMessage="1" promptTitle="手入力セル" prompt="反映先：報告_短期P7-10 AZ144、報告_短期P11-13 DL5,DL44&#10;他の帳票：報告_短期P11-13" sqref="AZ137"/>
    <dataValidation allowBlank="1" showInputMessage="1" promptTitle="手入力セル" prompt="反映先：報告_短期P7-10 AZ144、報告_短期P11-13 DL6,DL45&#10;他の帳票：報告_短期P11-13" sqref="AZ138"/>
    <dataValidation allowBlank="1" showInputMessage="1" promptTitle="手入力セル" prompt="反映先：報告_短期P11-13 DL7,DL46&#10;他の帳票：報告_短期P11-13" sqref="AZ139"/>
    <dataValidation allowBlank="1" showInputMessage="1" promptTitle="手入力セル" prompt="反映先：報告_短期P11-13 DL9,DL48&#10;他の帳票：報告_短期P11-13" sqref="AZ141"/>
    <dataValidation allowBlank="1" showInputMessage="1" promptTitle="手入力セル" prompt="反映先：報告_短期P11-13 DL10,DL49&#10;他の帳票：報告_短期P11-13" sqref="AZ142"/>
    <dataValidation allowBlank="1" showInputMessage="1" promptTitle="手入力セル" prompt="反映先：報告_短期P7-10 AZ144、報告_短期P11-13 DL11,DL50&#10;他の帳票：報告_短期P11-13" sqref="AZ143"/>
    <dataValidation allowBlank="1" showInputMessage="1" promptTitle="手入力セル" prompt="反映先：報告_短期P7-10 AZ153、報告_短期P11-13 DL13,DL52&#10;他の帳票：報告_短期P11-13" sqref="AZ145"/>
    <dataValidation allowBlank="1" showInputMessage="1" promptTitle="手入力セル" prompt="反映先：報告_短期P7-10 AZ153、報告_短期P11-13 DL14,DL53&#10;他の帳票：報告_短期P11-13" sqref="AZ146"/>
    <dataValidation allowBlank="1" showInputMessage="1" promptTitle="手入力セル" prompt="反映先：報告_短期P7-10 AZ153、報告_短期P11-13 DL15,DL54&#10;他の帳票：報告_短期P11-13" sqref="AZ147"/>
    <dataValidation allowBlank="1" showInputMessage="1" promptTitle="手入力セル" prompt="反映先：報告_短期P11-13 DL16,DL55&#10;他の帳票：報告_短期P11-13" sqref="AZ148"/>
    <dataValidation allowBlank="1" showInputMessage="1" promptTitle="手入力セル" prompt="反映先：報告_短期P11-13 DL18,DL57&#10;他の帳票：報告_短期P11-13" sqref="AZ150"/>
    <dataValidation allowBlank="1" showInputMessage="1" promptTitle="手入力セル" prompt="反映先：報告_短期P11-13 DL19,DL58&#10;他の帳票：報告_短期P11-13" sqref="AZ151"/>
    <dataValidation allowBlank="1" showInputMessage="1" promptTitle="手入力セル" prompt="反映先：報告_短期P7-10 AZ153、報告_短期P11-13 DL20,DL59&#10;他の帳票：報告_短期P11-13" sqref="AZ152"/>
    <dataValidation allowBlank="1" showInputMessage="1" promptTitle="手入力セル" prompt="反映先：報告_短期P7-10 AZ155、報告_短期P11-13 DL22,DL61&#10;他の帳票：報告_短期P11-13" sqref="AZ154"/>
    <dataValidation allowBlank="1" showInputMessage="1" promptTitle="手入力セル" prompt="反映先：報告_短期P7-10 BW144、報告_短期P11-13 EI4,EI43&#10;他の帳票：報告_短期P11-13" sqref="BW136"/>
    <dataValidation allowBlank="1" showInputMessage="1" promptTitle="手入力セル" prompt="反映先：報告_短期P7-10 BW144、報告_短期P11-13 EI5,EI44&#10;他の帳票：報告_短期P11-13" sqref="BW137"/>
    <dataValidation allowBlank="1" showInputMessage="1" promptTitle="手入力セル" prompt="反映先：報告_短期P7-10 BW144、報告_短期P11-13 EI6,EI45&#10;他の帳票：報告_短期P11-13" sqref="BW138"/>
    <dataValidation allowBlank="1" showInputMessage="1" promptTitle="手入力セル" prompt="反映先：報告_短期P11-13 EI7,EI46&#10;他の帳票：報告_短期P11-13" sqref="BW139"/>
    <dataValidation allowBlank="1" showInputMessage="1" promptTitle="手入力セル" prompt="反映先：報告_短期P11-13 EI9,EI48&#10;他の帳票：報告_短期P11-13" sqref="BW141"/>
    <dataValidation allowBlank="1" showInputMessage="1" promptTitle="手入力セル" prompt="反映先：報告_短期P7-10 BW144、報告_短期P11-13 EI10,EI49&#10;他の帳票：報告_短期P11-13" sqref="BW142"/>
    <dataValidation allowBlank="1" showInputMessage="1" promptTitle="手入力セル" prompt="反映先：報告_短期P7-10 BW153、報告_短期P11-13 EI13,EI52&#10;他の帳票：報告_短期P11-13" sqref="BW145"/>
    <dataValidation allowBlank="1" showInputMessage="1" promptTitle="手入力セル" prompt="反映先：報告_短期P7-10 BW153、報告_短期P11-13 EI14,EI53&#10;他の帳票：報告_短期P11-13" sqref="BW146"/>
    <dataValidation allowBlank="1" showInputMessage="1" promptTitle="手入力セル" prompt="反映先：報告_短期P7-10 BW153、報告_短期P11-13 EI15,EI54&#10;他の帳票：報告_短期P11-13" sqref="BW147"/>
    <dataValidation allowBlank="1" showInputMessage="1" promptTitle="手入力セル" prompt="反映先：報告_短期P11-13 EI16,EI55&#10;他の帳票：報告_短期P11-13" sqref="BW148"/>
    <dataValidation allowBlank="1" showInputMessage="1" promptTitle="手入力セル" prompt="反映先：報告_短期P11-13 EI18,EI57&#10;他の帳票：報告_短期P11-13" sqref="BW150"/>
    <dataValidation allowBlank="1" showInputMessage="1" promptTitle="手入力セル" prompt="反映先：報告_短期P7-10 BW153、報告_短期P11-13 EI19,EI58&#10;他の帳票：報告_短期P11-13" sqref="BW151"/>
    <dataValidation allowBlank="1" showInputMessage="1" promptTitle="手入力セル" prompt="反映先：報告_短期P7-10 AZ36,CB5,CB30…、報告_P8グラフデータ F5&#10;他の帳票：報告_P8グラフデータ" sqref="CB6"/>
    <dataValidation allowBlank="1" showInputMessage="1" promptTitle="手入力セル" prompt="反映先：報告_短期P7-10 CB30,DD14,FH14&#10;他の帳票：なし" sqref="CB14"/>
    <dataValidation allowBlank="1" showInputMessage="1" promptTitle="手入力セル" prompt="反映先：報告_短期P7-10 CB30,DD15,FH15&#10;他の帳票：なし" sqref="CB15"/>
    <dataValidation allowBlank="1" showInputMessage="1" promptTitle="手入力セル" prompt="反映先：報告_短期P7-10 CB30,DD16,FH16&#10;他の帳票：なし" sqref="CB16"/>
    <dataValidation allowBlank="1" showInputMessage="1" promptTitle="手入力セル" prompt="反映先：報告_短期P7-10 CB30,DD26,FH26&#10;他の帳票：なし" sqref="CB26"/>
    <dataValidation allowBlank="1" showInputMessage="1" promptTitle="手入力セル" prompt="反映先：報告_短期P7-10 CB66,DD49,FH49&#10;他の帳票：報告_短期P11-13、報告_P8グラフデータ、短期_財務諸表、短期_附属明細表 ほか1シート" sqref="CB49"/>
    <dataValidation allowBlank="1" showInputMessage="1" promptTitle="手入力セル" prompt="反映先：報告_短期P7-10 CB66,DD50,FH50&#10;他の帳票：報告_短期P11-13、報告_P8グラフデータ、短期_財務諸表、短期_附属明細表 ほか1シート" sqref="CB50"/>
    <dataValidation allowBlank="1" showInputMessage="1" promptTitle="手入力セル" prompt="反映先：報告_短期P7-10 CB66,CP142,DD51…&#10;他の帳票：報告_短期P11-13、報告_P8グラフデータ、短期_財務諸表、短期_附属明細表 ほか1シート" sqref="CB51"/>
    <dataValidation allowBlank="1" showInputMessage="1" promptTitle="手入力セル" prompt="反映先：報告_短期P7-10 CB66,DD52,FH52&#10;他の帳票：報告_短期P11-13、報告_P8グラフデータ、短期_財務諸表、短期_附属明細表 ほか1シート" sqref="CB52"/>
    <dataValidation allowBlank="1" showInputMessage="1" promptTitle="手入力セル" prompt="反映先：報告_短期P7-10 CB66,CP151,DD53…&#10;他の帳票：報告_短期P11-13、報告_P8グラフデータ、短期_財務諸表、短期_附属明細表 ほか1シート" sqref="CB53"/>
    <dataValidation allowBlank="1" showInputMessage="1" promptTitle="手入力セル" prompt="反映先：報告_短期P7-10 CB66,CP154,DD54…&#10;他の帳票：報告_短期P11-13、報告_P8グラフデータ、短期_財務諸表、短期_附属明細表 ほか1シート" sqref="CB54"/>
    <dataValidation allowBlank="1" showInputMessage="1" promptTitle="手入力セル" prompt="反映先：報告_短期P7-10 CB66,DD55,FH55&#10;他の帳票：報告_短期P11-13、報告_P8グラフデータ、短期_財務諸表、短期_附属明細表 ほか1シート" sqref="CB55"/>
    <dataValidation allowBlank="1" showInputMessage="1" promptTitle="手入力セル" prompt="反映先：報告_短期P7-10 CB66,DD56,FH56&#10;他の帳票：報告_短期P11-13、報告_P8グラフデータ、短期_財務諸表、短期_附属明細表 ほか1シート" sqref="CB56"/>
    <dataValidation allowBlank="1" showInputMessage="1" promptTitle="手入力セル" prompt="反映先：報告_短期P7-10 CB66,CP154,DD57…&#10;他の帳票：報告_短期P11-13、報告_P8グラフデータ、短期_財務諸表、短期_附属明細表 ほか1シート" sqref="CB57"/>
    <dataValidation allowBlank="1" showInputMessage="1" promptTitle="手入力セル" prompt="反映先：報告_短期P7-10 CB66,DD58,FH58&#10;他の帳票：報告_短期P11-13、報告_P8グラフデータ、短期_財務諸表、短期_附属明細表 ほか1シート" sqref="CB58"/>
    <dataValidation allowBlank="1" showInputMessage="1" promptTitle="手入力セル" prompt="反映先：報告_短期P7-10 CB66,DD59,FH59&#10;他の帳票：報告_短期P11-13、報告_P8グラフデータ、短期_財務諸表、短期_附属明細表 ほか1シート" sqref="CB59"/>
    <dataValidation allowBlank="1" showInputMessage="1" promptTitle="手入力セル" prompt="反映先：報告_短期P7-10 CB66,DD60,FH60&#10;他の帳票：報告_短期P11-13、報告_P8グラフデータ、短期_財務諸表、短期_附属明細表 ほか1シート" sqref="CB60"/>
    <dataValidation allowBlank="1" showInputMessage="1" promptTitle="手入力セル" prompt="反映先：報告_短期P7-10 CB66,DD61,FH61&#10;他の帳票：報告_短期P11-13、報告_P8グラフデータ、短期_財務諸表、短期_附属明細表 ほか1シート" sqref="CB61"/>
    <dataValidation allowBlank="1" showInputMessage="1" promptTitle="手入力セル" prompt="反映先：報告_短期P7-10 CB66,DD62,FH62&#10;他の帳票：報告_短期P11-13、報告_P8グラフデータ、短期_財務諸表、短期_附属明細表 ほか1シート" sqref="CB62"/>
    <dataValidation allowBlank="1" showInputMessage="1" promptTitle="手入力セル" prompt="反映先：報告_短期P7-10 CB66,DD63,FH63&#10;他の帳票：報告_短期P11-13、報告_P8グラフデータ、短期_財務諸表、短期_附属明細表 ほか1シート" sqref="CB63"/>
    <dataValidation allowBlank="1" showInputMessage="1" promptTitle="手入力セル" prompt="反映先：報告_短期P7-10 CB66,DD64,FH64&#10;他の帳票：報告_短期P11-13、報告_P8グラフデータ、短期_財務諸表、短期_附属明細表 ほか1シート" sqref="CB64"/>
    <dataValidation allowBlank="1" showInputMessage="1" promptTitle="手入力セル" prompt="反映先：報告_短期P7-10 CB66,DD65,FH65&#10;他の帳票：報告_短期P11-13、報告_P8グラフデータ、短期_財務諸表、短期_附属明細表 ほか1シート" sqref="CB65"/>
    <dataValidation allowBlank="1" showInputMessage="1" promptTitle="手入力セル" prompt="反映先：報告_短期P7-10 CB74,DD67,FH67&#10;他の帳票：報告_短期P11-13、報告_P8グラフデータ、短期_財務諸表、短期_附属明細表 ほか1シート" sqref="CB67"/>
    <dataValidation allowBlank="1" showInputMessage="1" promptTitle="手入力セル" prompt="反映先：報告_短期P7-10 CB74,DD68,FH68&#10;他の帳票：報告_短期P11-13、報告_P8グラフデータ、短期_財務諸表、短期_附属明細表 ほか1シート" sqref="CB68"/>
    <dataValidation allowBlank="1" showInputMessage="1" promptTitle="手入力セル" prompt="反映先：報告_短期P7-10 CB74,DD69,FH69&#10;他の帳票：報告_短期P11-13、報告_P8グラフデータ、短期_財務諸表、短期_附属明細表 ほか1シート" sqref="CB69"/>
    <dataValidation allowBlank="1" showInputMessage="1" promptTitle="手入力セル" prompt="反映先：報告_短期P7-10 CB74,DD70,FH70&#10;他の帳票：報告_短期P11-13、報告_P8グラフデータ、短期_財務諸表、短期_附属明細表 ほか1シート" sqref="CB70"/>
    <dataValidation allowBlank="1" showInputMessage="1" promptTitle="手入力セル" prompt="反映先：報告_短期P7-10 CB74,DD71,FH71&#10;他の帳票：報告_短期P11-13、報告_P8グラフデータ、短期_財務諸表、短期_附属明細表 ほか1シート" sqref="CB71"/>
    <dataValidation allowBlank="1" showInputMessage="1" promptTitle="手入力セル" prompt="反映先：報告_短期P7-10 CB74,DD72,FH72&#10;他の帳票：報告_短期P11-13、報告_P8グラフデータ、短期_財務諸表、短期_附属明細表 ほか1シート" sqref="CB72"/>
    <dataValidation allowBlank="1" showInputMessage="1" promptTitle="手入力セル" prompt="反映先：報告_短期P7-10 CB74,DD73,FH73&#10;他の帳票：報告_短期P11-13、報告_P8グラフデータ、短期_財務諸表、短期_附属明細表 ほか1シート" sqref="CB73"/>
    <dataValidation allowBlank="1" showInputMessage="1" promptTitle="手入力セル" prompt="反映先：報告_短期P7-10 CB78,DD75,FH75&#10;他の帳票：報告_P8グラフデータ" sqref="CB75"/>
    <dataValidation allowBlank="1" showInputMessage="1" promptTitle="手入力セル" prompt="反映先：報告_短期P7-10 CB78,DD76,FH76&#10;他の帳票：報告_P8グラフデータ" sqref="CB76"/>
    <dataValidation allowBlank="1" showInputMessage="1" promptTitle="手入力セル" prompt="反映先：報告_短期P7-10 CB78,DD77,FH77&#10;他の帳票：報告_P8グラフデータ" sqref="CB77"/>
    <dataValidation allowBlank="1" showInputMessage="1" promptTitle="手入力セル" prompt="反映先：報告_短期P7-10 CB89,DD82,FH82&#10;他の帳票：報告_短期P11-13、報告_P8グラフデータ、短期_財務諸表、短期_附属明細表 ほか1シート" sqref="CB82"/>
    <dataValidation allowBlank="1" showInputMessage="1" promptTitle="手入力セル" prompt="反映先：報告_短期P7-10 CB89,DD83,FH83&#10;他の帳票：報告_短期P11-13、報告_P8グラフデータ、短期_財務諸表、短期_附属明細表 ほか1シート" sqref="CB83"/>
    <dataValidation allowBlank="1" showInputMessage="1" promptTitle="手入力セル" prompt="反映先：報告_短期P7-10 CB89,DD84,FH84&#10;他の帳票：報告_短期P11-13、報告_P8グラフデータ、短期_財務諸表、短期_附属明細表 ほか1シート" sqref="CB84"/>
    <dataValidation allowBlank="1" showInputMessage="1" promptTitle="手入力セル" prompt="反映先：報告_短期P7-10 CB89,DD85,FH85&#10;他の帳票：報告_短期P11-13、報告_P8グラフデータ、短期_財務諸表、短期_附属明細表 ほか1シート" sqref="CB85"/>
    <dataValidation allowBlank="1" showInputMessage="1" promptTitle="手入力セル" prompt="反映先：報告_短期P7-10 CB89,DD86,FH86&#10;他の帳票：報告_短期P11-13、報告_P8グラフデータ、短期_財務諸表、短期_附属明細表 ほか1シート" sqref="CB86"/>
    <dataValidation allowBlank="1" showInputMessage="1" promptTitle="手入力セル" prompt="反映先：報告_短期P7-10 CB89,DD87,FH87&#10;他の帳票：報告_短期P11-13、報告_P8グラフデータ、短期_財務諸表、短期_附属明細表 ほか1シート" sqref="CB87"/>
    <dataValidation allowBlank="1" showInputMessage="1" promptTitle="手入力セル" prompt="反映先：報告_短期P7-10 CB89,DD88,FH88&#10;他の帳票：報告_短期P11-13、報告_P8グラフデータ、短期_財務諸表、短期_附属明細表 ほか1シート" sqref="CB88"/>
    <dataValidation allowBlank="1" showInputMessage="1" promptTitle="手入力セル" prompt="反映先：報告_短期P7-10 CB102,DD100,FH100&#10;他の帳票：報告_短期P11-13、報告_P8グラフデータ、短期_財務諸表、短期_附属明細表 ほか1シート" sqref="CB100"/>
    <dataValidation allowBlank="1" showInputMessage="1" promptTitle="手入力セル" prompt="反映先：報告_短期P7-10 CB102,DD101,FH101&#10;他の帳票：報告_短期P11-13、報告_P8グラフデータ、短期_財務諸表、短期_附属明細表 ほか1シート" sqref="CB101"/>
    <dataValidation allowBlank="1" showInputMessage="1" promptTitle="手入力セル" prompt="反映先：報告_短期P7-10 CB105,DD103,FH103&#10;他の帳票：報告_短期P11-13、報告_P8グラフデータ、短期_財務諸表、短期_附属明細表 ほか1シート" sqref="CB103"/>
    <dataValidation allowBlank="1" showInputMessage="1" promptTitle="手入力セル" prompt="反映先：報告_短期P7-10 CB105,DD104,FH104&#10;他の帳票：報告_短期P11-13、報告_P8グラフデータ、短期_財務諸表、短期_附属明細表 ほか1シート" sqref="CB104"/>
    <dataValidation allowBlank="1" showInputMessage="1" promptTitle="手入力セル" prompt="反映先：報告_短期P7-10 CP144、報告_短期P11-13 FB4,FB43&#10;他の帳票：報告_短期P11-13" sqref="CP136"/>
    <dataValidation allowBlank="1" showInputMessage="1" promptTitle="手入力セル" prompt="反映先：報告_短期P7-10 CP144、報告_短期P11-13 FB5,FB44&#10;他の帳票：報告_短期P11-13" sqref="CP137"/>
    <dataValidation allowBlank="1" showInputMessage="1" promptTitle="手入力セル" prompt="反映先：報告_短期P7-10 CP144、報告_短期P11-13 FB6,FB45&#10;他の帳票：報告_短期P11-13" sqref="CP138"/>
    <dataValidation allowBlank="1" showInputMessage="1" promptTitle="手入力セル" prompt="反映先：報告_短期P7-10 CP144、報告_短期P11-13 FB7,FB46&#10;他の帳票：報告_短期P11-13" sqref="CP139"/>
    <dataValidation allowBlank="1" showInputMessage="1" promptTitle="手入力セル" prompt="反映先：報告_短期P7-10 CP144、報告_短期P11-13 FB9,FB48&#10;他の帳票：報告_短期P11-13" sqref="CP141"/>
    <dataValidation allowBlank="1" showInputMessage="1" promptTitle="手入力セル" prompt="反映先：報告_短期P7-10 CP144、報告_短期P11-13 FB11,FB50&#10;他の帳票：報告_短期P11-13" sqref="CP143"/>
    <dataValidation allowBlank="1" showInputMessage="1" promptTitle="手入力セル" prompt="反映先：報告_短期P7-10 CP153、報告_短期P11-13 FB13,FB52&#10;他の帳票：報告_短期P11-13" sqref="CP145"/>
    <dataValidation allowBlank="1" showInputMessage="1" promptTitle="手入力セル" prompt="反映先：報告_短期P7-10 CP153、報告_短期P11-13 FB14,FB53&#10;他の帳票：報告_短期P11-13" sqref="CP146"/>
    <dataValidation allowBlank="1" showInputMessage="1" promptTitle="手入力セル" prompt="反映先：報告_短期P7-10 CP153、報告_短期P11-13 FB15,FB54&#10;他の帳票：報告_短期P11-13" sqref="CP147"/>
    <dataValidation allowBlank="1" showInputMessage="1" promptTitle="手入力セル" prompt="反映先：報告_短期P7-10 CP153、報告_短期P11-13 FB16,FB55&#10;他の帳票：報告_短期P11-13" sqref="CP148"/>
    <dataValidation allowBlank="1" showInputMessage="1" promptTitle="手入力セル" prompt="反映先：報告_短期P7-10 CP153、報告_短期P11-13 FB18,FB57&#10;他の帳票：報告_短期P11-13" sqref="CP150"/>
    <dataValidation allowBlank="1" showInputMessage="1" promptTitle="手入力セル" prompt="反映先：報告_短期P7-10 CP153、報告_短期P11-13 FB20,FB59&#10;他の帳票：報告_短期P11-13" sqref="CP152"/>
  </dataValidations>
  <pageMargins left="0.70833333333333304" right="0.51180555555555596" top="0.78749999999999998" bottom="0.59027777777777801" header="0.511811023622047" footer="0.39374999999999999"/>
  <pageSetup paperSize="9" scale="86" firstPageNumber="7" orientation="portrait" cellComments="atEnd" useFirstPageNumber="1" horizontalDpi="300" verticalDpi="300" r:id="rId1"/>
  <headerFooter>
    <oddFooter>&amp;C&amp;"ＭＳ 明朝,Regular"&amp;12－ &amp;P －</oddFooter>
  </headerFooter>
  <rowBreaks count="3" manualBreakCount="3">
    <brk id="44" max="16383" man="1"/>
    <brk id="79" max="16383" man="1"/>
    <brk id="111" max="16383" man="1"/>
  </row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4AF5F-3A84-457F-B185-65988F91E5A3}">
  <sheetPr codeName="Sheet9">
    <pageSetUpPr fitToPage="1"/>
  </sheetPr>
  <dimension ref="A1:IW124"/>
  <sheetViews>
    <sheetView zoomScaleNormal="100" zoomScalePageLayoutView="60" workbookViewId="0">
      <selection sqref="A1:G1"/>
    </sheetView>
  </sheetViews>
  <sheetFormatPr defaultColWidth="1.6640625" defaultRowHeight="13.2"/>
  <cols>
    <col min="1" max="4" width="1.6640625" style="221"/>
    <col min="5" max="5" width="1.33203125" style="221" customWidth="1"/>
    <col min="6" max="18" width="1.6640625" style="221"/>
    <col min="19" max="19" width="1.33203125" style="221" customWidth="1"/>
    <col min="20" max="23" width="1.6640625" style="221"/>
    <col min="24" max="24" width="1.33203125" style="221" customWidth="1"/>
    <col min="25" max="33" width="1.6640625" style="221"/>
    <col min="34" max="34" width="1.33203125" style="221" customWidth="1"/>
    <col min="35" max="38" width="1.6640625" style="221"/>
    <col min="39" max="39" width="1.33203125" style="221" customWidth="1"/>
    <col min="40" max="64" width="1.6640625" style="221"/>
    <col min="65" max="255" width="0.33203125" style="221" customWidth="1"/>
    <col min="256" max="257" width="1.6640625" style="221"/>
  </cols>
  <sheetData>
    <row r="1" spans="1:255" s="222" customFormat="1" ht="12.75" customHeight="1">
      <c r="AU1" s="2092" t="s">
        <v>465</v>
      </c>
      <c r="AV1" s="2092"/>
      <c r="AW1" s="2092"/>
      <c r="AX1" s="2092"/>
      <c r="AY1" s="2092"/>
      <c r="AZ1" s="2092"/>
      <c r="BA1" s="2092"/>
      <c r="BB1" s="2092"/>
      <c r="BC1" s="2092"/>
      <c r="BD1" s="2092"/>
      <c r="BE1" s="2092"/>
      <c r="BF1" s="2092"/>
      <c r="BG1" s="2092"/>
      <c r="BH1" s="2092"/>
      <c r="BI1" s="2092"/>
    </row>
    <row r="2" spans="1:255" s="222" customFormat="1" ht="15.75" customHeight="1">
      <c r="A2" s="2040" t="s">
        <v>466</v>
      </c>
      <c r="B2" s="2040"/>
      <c r="C2" s="2040"/>
      <c r="D2" s="2040"/>
      <c r="E2" s="2040"/>
      <c r="F2" s="2040"/>
      <c r="G2" s="2040"/>
      <c r="H2" s="2040"/>
      <c r="I2" s="2040"/>
      <c r="J2" s="2040"/>
      <c r="K2" s="2040"/>
      <c r="L2" s="2040"/>
      <c r="M2" s="2040"/>
      <c r="N2" s="2040"/>
      <c r="O2" s="2040"/>
      <c r="P2" s="2091" t="s">
        <v>467</v>
      </c>
      <c r="Q2" s="2091"/>
      <c r="R2" s="2091"/>
      <c r="S2" s="2091"/>
      <c r="T2" s="2091"/>
      <c r="U2" s="2091"/>
      <c r="V2" s="2091"/>
      <c r="W2" s="2091"/>
      <c r="X2" s="2091"/>
      <c r="Y2" s="2091"/>
      <c r="Z2" s="2091" t="s">
        <v>468</v>
      </c>
      <c r="AA2" s="2091"/>
      <c r="AB2" s="2091"/>
      <c r="AC2" s="2091"/>
      <c r="AD2" s="2091"/>
      <c r="AE2" s="2091"/>
      <c r="AF2" s="2091"/>
      <c r="AG2" s="2091"/>
      <c r="AH2" s="2091"/>
      <c r="AI2" s="2091"/>
      <c r="AJ2" s="2091"/>
      <c r="AK2" s="2091"/>
      <c r="AL2" s="2091" t="s">
        <v>469</v>
      </c>
      <c r="AM2" s="2091"/>
      <c r="AN2" s="2091"/>
      <c r="AO2" s="2091"/>
      <c r="AP2" s="2091"/>
      <c r="AQ2" s="2091"/>
      <c r="AR2" s="2091"/>
      <c r="AS2" s="2091"/>
      <c r="AT2" s="2091"/>
      <c r="AU2" s="2091"/>
      <c r="AV2" s="2091"/>
      <c r="AW2" s="2091"/>
      <c r="AX2" s="2091" t="s">
        <v>470</v>
      </c>
      <c r="AY2" s="2091"/>
      <c r="AZ2" s="2091"/>
      <c r="BA2" s="2091"/>
      <c r="BB2" s="2091"/>
      <c r="BC2" s="2091"/>
      <c r="BD2" s="2091"/>
      <c r="BE2" s="2091"/>
      <c r="BF2" s="2091"/>
      <c r="BG2" s="2091"/>
      <c r="BH2" s="2091"/>
      <c r="BI2" s="2091"/>
      <c r="BM2" s="1984" t="s">
        <v>452</v>
      </c>
      <c r="BN2" s="1984"/>
      <c r="BO2" s="1984"/>
      <c r="BP2" s="1984"/>
      <c r="BQ2" s="1984"/>
      <c r="BR2" s="1984"/>
      <c r="BS2" s="1984"/>
      <c r="BT2" s="1984"/>
      <c r="BU2" s="1984"/>
      <c r="BV2" s="1984"/>
      <c r="BW2" s="1984"/>
      <c r="BX2" s="1984"/>
      <c r="BY2" s="1984"/>
      <c r="BZ2" s="1984"/>
      <c r="CA2" s="1984"/>
      <c r="CB2" s="1984"/>
      <c r="CC2" s="1984"/>
      <c r="CD2" s="1984"/>
      <c r="CE2" s="1984"/>
      <c r="CF2" s="1984"/>
      <c r="CG2" s="1984"/>
      <c r="CH2" s="1984"/>
      <c r="CI2" s="1984"/>
      <c r="CJ2" s="1984"/>
      <c r="CK2" s="1984"/>
      <c r="CL2" s="1984"/>
      <c r="CM2" s="1984"/>
      <c r="CN2" s="1984"/>
      <c r="CO2" s="1984"/>
      <c r="CP2" s="1984"/>
      <c r="CQ2" s="1984"/>
      <c r="CR2" s="1984"/>
      <c r="CS2" s="1984"/>
      <c r="CT2" s="1984"/>
      <c r="CU2" s="1984"/>
      <c r="CV2" s="1984"/>
      <c r="CW2" s="1984"/>
      <c r="CX2" s="1984"/>
      <c r="CY2" s="1984"/>
      <c r="CZ2" s="1984"/>
      <c r="DA2" s="1984"/>
      <c r="DB2" s="1984"/>
      <c r="DC2" s="1984"/>
      <c r="DD2" s="1984"/>
      <c r="DE2" s="1984"/>
      <c r="DF2" s="1984"/>
      <c r="DG2" s="1984"/>
      <c r="DH2" s="1984"/>
      <c r="DI2" s="1984"/>
      <c r="DJ2" s="1984"/>
      <c r="DK2" s="1984"/>
      <c r="DL2" s="2094" t="str">
        <f>'報告_短期P7-10'!AZ134</f>
        <v>令和７年度</v>
      </c>
      <c r="DM2" s="2094"/>
      <c r="DN2" s="2094"/>
      <c r="DO2" s="2094"/>
      <c r="DP2" s="2094"/>
      <c r="DQ2" s="2094"/>
      <c r="DR2" s="2094"/>
      <c r="DS2" s="2094"/>
      <c r="DT2" s="2094"/>
      <c r="DU2" s="2094"/>
      <c r="DV2" s="2094"/>
      <c r="DW2" s="2094"/>
      <c r="DX2" s="2094"/>
      <c r="DY2" s="2094"/>
      <c r="DZ2" s="2094"/>
      <c r="EA2" s="2094"/>
      <c r="EB2" s="2094"/>
      <c r="EC2" s="2094"/>
      <c r="ED2" s="2094"/>
      <c r="EE2" s="2094"/>
      <c r="EF2" s="2094"/>
      <c r="EG2" s="2094"/>
      <c r="EH2" s="2094"/>
      <c r="EI2" s="2094"/>
      <c r="EJ2" s="2094"/>
      <c r="EK2" s="2094"/>
      <c r="EL2" s="2094"/>
      <c r="EM2" s="2094"/>
      <c r="EN2" s="2094"/>
      <c r="EO2" s="2094"/>
      <c r="EP2" s="2094"/>
      <c r="EQ2" s="2094"/>
      <c r="ER2" s="2094"/>
      <c r="ES2" s="2094"/>
      <c r="ET2" s="2094"/>
      <c r="EU2" s="2094"/>
      <c r="EV2" s="2094"/>
      <c r="EW2" s="2094"/>
      <c r="EX2" s="2094"/>
      <c r="EY2" s="2094"/>
      <c r="EZ2" s="2094"/>
      <c r="FA2" s="2094"/>
      <c r="FB2" s="2094"/>
      <c r="FC2" s="2094"/>
      <c r="FD2" s="2094"/>
      <c r="FE2" s="2094"/>
      <c r="FF2" s="2094"/>
      <c r="FG2" s="2094"/>
      <c r="FH2" s="2094"/>
      <c r="FI2" s="2094"/>
      <c r="FJ2" s="2094"/>
      <c r="FK2" s="2094"/>
      <c r="FL2" s="2094"/>
      <c r="FM2" s="2094"/>
      <c r="FN2" s="2094"/>
      <c r="FO2" s="2094"/>
      <c r="FP2" s="2094"/>
      <c r="FQ2" s="2094"/>
      <c r="FR2" s="2094"/>
      <c r="FS2" s="2094"/>
      <c r="FT2" s="2094"/>
      <c r="FU2" s="2094"/>
      <c r="FV2" s="2094"/>
      <c r="FW2" s="2094"/>
      <c r="FX2" s="2094"/>
      <c r="FY2" s="2094"/>
      <c r="FZ2" s="2094"/>
      <c r="GA2" s="2094"/>
      <c r="GB2" s="2094"/>
      <c r="GC2" s="2094"/>
      <c r="GD2" s="2094" t="str">
        <f>'報告_短期P7-10'!DR134</f>
        <v>令和６年度</v>
      </c>
      <c r="GE2" s="2094"/>
      <c r="GF2" s="2094"/>
      <c r="GG2" s="2094"/>
      <c r="GH2" s="2094"/>
      <c r="GI2" s="2094"/>
      <c r="GJ2" s="2094"/>
      <c r="GK2" s="2094"/>
      <c r="GL2" s="2094"/>
      <c r="GM2" s="2094"/>
      <c r="GN2" s="2094"/>
      <c r="GO2" s="2094"/>
      <c r="GP2" s="2094"/>
      <c r="GQ2" s="2094"/>
      <c r="GR2" s="2094"/>
      <c r="GS2" s="2094"/>
      <c r="GT2" s="2094"/>
      <c r="GU2" s="2094"/>
      <c r="GV2" s="2094"/>
      <c r="GW2" s="2094"/>
      <c r="GX2" s="2094"/>
      <c r="GY2" s="2094"/>
      <c r="GZ2" s="2094"/>
      <c r="HA2" s="2094"/>
      <c r="HB2" s="2094"/>
      <c r="HC2" s="2094"/>
      <c r="HD2" s="2094"/>
      <c r="HE2" s="2094"/>
      <c r="HF2" s="2094"/>
      <c r="HG2" s="2094"/>
      <c r="HH2" s="2094"/>
      <c r="HI2" s="2094"/>
      <c r="HJ2" s="2094"/>
      <c r="HK2" s="2094"/>
      <c r="HL2" s="2094"/>
      <c r="HM2" s="2094"/>
      <c r="HN2" s="2094"/>
      <c r="HO2" s="2094"/>
      <c r="HP2" s="2094"/>
      <c r="HQ2" s="2094"/>
      <c r="HR2" s="2094"/>
      <c r="HS2" s="2094"/>
      <c r="HT2" s="2094"/>
      <c r="HU2" s="2094"/>
      <c r="HV2" s="2094"/>
      <c r="HW2" s="2094"/>
      <c r="HX2" s="2094"/>
      <c r="HY2" s="2094"/>
      <c r="HZ2" s="2094"/>
      <c r="IA2" s="2094"/>
      <c r="IB2" s="2094"/>
      <c r="IC2" s="2094"/>
      <c r="ID2" s="2094"/>
      <c r="IE2" s="2094"/>
      <c r="IF2" s="2094"/>
      <c r="IG2" s="2094"/>
      <c r="IH2" s="2094"/>
      <c r="II2" s="2094"/>
      <c r="IJ2" s="2094"/>
      <c r="IK2" s="2094"/>
      <c r="IL2" s="2094"/>
      <c r="IM2" s="2094"/>
      <c r="IN2" s="2094"/>
      <c r="IO2" s="2094"/>
      <c r="IP2" s="2094"/>
      <c r="IQ2" s="2094"/>
      <c r="IR2" s="2094"/>
      <c r="IS2" s="2094"/>
      <c r="IT2" s="2094"/>
      <c r="IU2" s="2094"/>
    </row>
    <row r="3" spans="1:255" s="222" customFormat="1" ht="24" customHeight="1">
      <c r="A3" s="2040"/>
      <c r="B3" s="2040"/>
      <c r="C3" s="2040"/>
      <c r="D3" s="2040"/>
      <c r="E3" s="2040"/>
      <c r="F3" s="2040"/>
      <c r="G3" s="2040"/>
      <c r="H3" s="2040"/>
      <c r="I3" s="2040"/>
      <c r="J3" s="2040"/>
      <c r="K3" s="2040"/>
      <c r="L3" s="2040"/>
      <c r="M3" s="2040"/>
      <c r="N3" s="2040"/>
      <c r="O3" s="2040"/>
      <c r="P3" s="2118" t="str">
        <f>IF((入力ガイド!$C$6)&gt;=10,MID("０１２３４５６７８９",INT((入力ガイド!$C$6)/10)+1,1),"")&amp;MID("０１２３４５６７８９",MOD((入力ガイド!$C$6),10)+1,1)&amp;"年度"</f>
        <v>７年度</v>
      </c>
      <c r="Q3" s="2118"/>
      <c r="R3" s="2118"/>
      <c r="S3" s="2118" t="str">
        <f>IF((入力ガイド!$C$6-1)&gt;=10,MID("０１２３４５６７８９",INT((入力ガイド!$C$6-1)/10)+1,1),"")&amp;MID("０１２３４５６７８９",MOD((入力ガイド!$C$6-1),10)+1,1)&amp;"年度"</f>
        <v>６年度</v>
      </c>
      <c r="T3" s="2118"/>
      <c r="U3" s="2118"/>
      <c r="V3" s="2119" t="s">
        <v>471</v>
      </c>
      <c r="W3" s="2119"/>
      <c r="X3" s="2119"/>
      <c r="Y3" s="2119"/>
      <c r="Z3" s="2120" t="str">
        <f>P3</f>
        <v>７年度</v>
      </c>
      <c r="AA3" s="2120"/>
      <c r="AB3" s="2120"/>
      <c r="AC3" s="2120"/>
      <c r="AD3" s="2120" t="str">
        <f>S3</f>
        <v>６年度</v>
      </c>
      <c r="AE3" s="2120"/>
      <c r="AF3" s="2120"/>
      <c r="AG3" s="2120"/>
      <c r="AH3" s="2119" t="s">
        <v>471</v>
      </c>
      <c r="AI3" s="2119"/>
      <c r="AJ3" s="2119"/>
      <c r="AK3" s="2119"/>
      <c r="AL3" s="2120" t="str">
        <f>P3</f>
        <v>７年度</v>
      </c>
      <c r="AM3" s="2120"/>
      <c r="AN3" s="2120"/>
      <c r="AO3" s="2120"/>
      <c r="AP3" s="2120" t="str">
        <f>S3</f>
        <v>６年度</v>
      </c>
      <c r="AQ3" s="2120"/>
      <c r="AR3" s="2120"/>
      <c r="AS3" s="2120"/>
      <c r="AT3" s="2119" t="s">
        <v>471</v>
      </c>
      <c r="AU3" s="2119"/>
      <c r="AV3" s="2119"/>
      <c r="AW3" s="2119"/>
      <c r="AX3" s="2120" t="str">
        <f>P3</f>
        <v>７年度</v>
      </c>
      <c r="AY3" s="2120"/>
      <c r="AZ3" s="2120"/>
      <c r="BA3" s="2120"/>
      <c r="BB3" s="2120" t="str">
        <f>S3</f>
        <v>６年度</v>
      </c>
      <c r="BC3" s="2120"/>
      <c r="BD3" s="2120"/>
      <c r="BE3" s="2120"/>
      <c r="BF3" s="2119" t="s">
        <v>471</v>
      </c>
      <c r="BG3" s="2119"/>
      <c r="BH3" s="2119"/>
      <c r="BI3" s="2119"/>
      <c r="BM3" s="1984"/>
      <c r="BN3" s="1984"/>
      <c r="BO3" s="1984"/>
      <c r="BP3" s="1984"/>
      <c r="BQ3" s="1984"/>
      <c r="BR3" s="1984"/>
      <c r="BS3" s="1984"/>
      <c r="BT3" s="1984"/>
      <c r="BU3" s="1984"/>
      <c r="BV3" s="1984"/>
      <c r="BW3" s="1984"/>
      <c r="BX3" s="1984"/>
      <c r="BY3" s="1984"/>
      <c r="BZ3" s="1984"/>
      <c r="CA3" s="1984"/>
      <c r="CB3" s="1984"/>
      <c r="CC3" s="1984"/>
      <c r="CD3" s="1984"/>
      <c r="CE3" s="1984"/>
      <c r="CF3" s="1984"/>
      <c r="CG3" s="1984"/>
      <c r="CH3" s="1984"/>
      <c r="CI3" s="1984"/>
      <c r="CJ3" s="1984"/>
      <c r="CK3" s="1984"/>
      <c r="CL3" s="1984"/>
      <c r="CM3" s="1984"/>
      <c r="CN3" s="1984"/>
      <c r="CO3" s="1984"/>
      <c r="CP3" s="1984"/>
      <c r="CQ3" s="1984"/>
      <c r="CR3" s="1984"/>
      <c r="CS3" s="1984"/>
      <c r="CT3" s="1984"/>
      <c r="CU3" s="1984"/>
      <c r="CV3" s="1984"/>
      <c r="CW3" s="1984"/>
      <c r="CX3" s="1984"/>
      <c r="CY3" s="1984"/>
      <c r="CZ3" s="1984"/>
      <c r="DA3" s="1984"/>
      <c r="DB3" s="1984"/>
      <c r="DC3" s="1984"/>
      <c r="DD3" s="1984"/>
      <c r="DE3" s="1984"/>
      <c r="DF3" s="1984"/>
      <c r="DG3" s="1984"/>
      <c r="DH3" s="1984"/>
      <c r="DI3" s="1984"/>
      <c r="DJ3" s="1984"/>
      <c r="DK3" s="1984"/>
      <c r="DL3" s="1943" t="s">
        <v>453</v>
      </c>
      <c r="DM3" s="1943"/>
      <c r="DN3" s="1943"/>
      <c r="DO3" s="1943"/>
      <c r="DP3" s="1943"/>
      <c r="DQ3" s="1943"/>
      <c r="DR3" s="1943"/>
      <c r="DS3" s="1943"/>
      <c r="DT3" s="1943"/>
      <c r="DU3" s="1943"/>
      <c r="DV3" s="1943"/>
      <c r="DW3" s="1943"/>
      <c r="DX3" s="1943"/>
      <c r="DY3" s="1943"/>
      <c r="DZ3" s="1943"/>
      <c r="EA3" s="1943"/>
      <c r="EB3" s="1943"/>
      <c r="EC3" s="1943"/>
      <c r="ED3" s="1943"/>
      <c r="EE3" s="1943"/>
      <c r="EF3" s="1943"/>
      <c r="EG3" s="1943"/>
      <c r="EH3" s="1943"/>
      <c r="EI3" s="2000" t="s">
        <v>454</v>
      </c>
      <c r="EJ3" s="2000"/>
      <c r="EK3" s="2000"/>
      <c r="EL3" s="2000"/>
      <c r="EM3" s="2000"/>
      <c r="EN3" s="2000"/>
      <c r="EO3" s="2000"/>
      <c r="EP3" s="2000"/>
      <c r="EQ3" s="2000"/>
      <c r="ER3" s="2000"/>
      <c r="ES3" s="2000"/>
      <c r="ET3" s="2000"/>
      <c r="EU3" s="2000"/>
      <c r="EV3" s="2000"/>
      <c r="EW3" s="2000"/>
      <c r="EX3" s="2000"/>
      <c r="EY3" s="2000"/>
      <c r="EZ3" s="2000"/>
      <c r="FA3" s="2000"/>
      <c r="FB3" s="2000" t="s">
        <v>455</v>
      </c>
      <c r="FC3" s="2000"/>
      <c r="FD3" s="2000"/>
      <c r="FE3" s="2000"/>
      <c r="FF3" s="2000"/>
      <c r="FG3" s="2000"/>
      <c r="FH3" s="2000"/>
      <c r="FI3" s="2000"/>
      <c r="FJ3" s="2000"/>
      <c r="FK3" s="2000"/>
      <c r="FL3" s="2000"/>
      <c r="FM3" s="2000"/>
      <c r="FN3" s="2000"/>
      <c r="FO3" s="2000"/>
      <c r="FP3" s="2000"/>
      <c r="FQ3" s="2000"/>
      <c r="FR3" s="2000"/>
      <c r="FS3" s="2000"/>
      <c r="FT3" s="2000"/>
      <c r="FU3" s="2000"/>
      <c r="FV3" s="2000"/>
      <c r="FW3" s="2000"/>
      <c r="FX3" s="2000"/>
      <c r="FY3" s="2000"/>
      <c r="FZ3" s="2000"/>
      <c r="GA3" s="2000"/>
      <c r="GB3" s="2000"/>
      <c r="GC3" s="2000"/>
      <c r="GD3" s="1943" t="s">
        <v>453</v>
      </c>
      <c r="GE3" s="1943"/>
      <c r="GF3" s="1943"/>
      <c r="GG3" s="1943"/>
      <c r="GH3" s="1943"/>
      <c r="GI3" s="1943"/>
      <c r="GJ3" s="1943"/>
      <c r="GK3" s="1943"/>
      <c r="GL3" s="1943"/>
      <c r="GM3" s="1943"/>
      <c r="GN3" s="1943"/>
      <c r="GO3" s="1943"/>
      <c r="GP3" s="1943"/>
      <c r="GQ3" s="1943"/>
      <c r="GR3" s="1943"/>
      <c r="GS3" s="1943"/>
      <c r="GT3" s="1943"/>
      <c r="GU3" s="1943"/>
      <c r="GV3" s="1943"/>
      <c r="GW3" s="1943"/>
      <c r="GX3" s="1943"/>
      <c r="GY3" s="1943"/>
      <c r="GZ3" s="1943"/>
      <c r="HA3" s="2000" t="s">
        <v>454</v>
      </c>
      <c r="HB3" s="2000"/>
      <c r="HC3" s="2000"/>
      <c r="HD3" s="2000"/>
      <c r="HE3" s="2000"/>
      <c r="HF3" s="2000"/>
      <c r="HG3" s="2000"/>
      <c r="HH3" s="2000"/>
      <c r="HI3" s="2000"/>
      <c r="HJ3" s="2000"/>
      <c r="HK3" s="2000"/>
      <c r="HL3" s="2000"/>
      <c r="HM3" s="2000"/>
      <c r="HN3" s="2000"/>
      <c r="HO3" s="2000"/>
      <c r="HP3" s="2000"/>
      <c r="HQ3" s="2000"/>
      <c r="HR3" s="2000"/>
      <c r="HS3" s="2000"/>
      <c r="HT3" s="2000" t="s">
        <v>455</v>
      </c>
      <c r="HU3" s="2000"/>
      <c r="HV3" s="2000"/>
      <c r="HW3" s="2000"/>
      <c r="HX3" s="2000"/>
      <c r="HY3" s="2000"/>
      <c r="HZ3" s="2000"/>
      <c r="IA3" s="2000"/>
      <c r="IB3" s="2000"/>
      <c r="IC3" s="2000"/>
      <c r="ID3" s="2000"/>
      <c r="IE3" s="2000"/>
      <c r="IF3" s="2000"/>
      <c r="IG3" s="2000"/>
      <c r="IH3" s="2000"/>
      <c r="II3" s="2000"/>
      <c r="IJ3" s="2000"/>
      <c r="IK3" s="2000"/>
      <c r="IL3" s="2000"/>
      <c r="IM3" s="2000"/>
      <c r="IN3" s="2000"/>
      <c r="IO3" s="2000"/>
      <c r="IP3" s="2000"/>
      <c r="IQ3" s="2000"/>
      <c r="IR3" s="2000"/>
      <c r="IS3" s="2000"/>
      <c r="IT3" s="2000"/>
      <c r="IU3" s="2000"/>
    </row>
    <row r="4" spans="1:255" s="222" customFormat="1" ht="24" customHeight="1">
      <c r="A4" s="2035" t="s">
        <v>472</v>
      </c>
      <c r="B4" s="2035"/>
      <c r="C4" s="223"/>
      <c r="D4" s="2073" t="s">
        <v>100</v>
      </c>
      <c r="E4" s="2073"/>
      <c r="F4" s="2073"/>
      <c r="G4" s="2073"/>
      <c r="H4" s="2073"/>
      <c r="I4" s="2073"/>
      <c r="J4" s="2073"/>
      <c r="K4" s="2073"/>
      <c r="L4" s="2073"/>
      <c r="M4" s="2073"/>
      <c r="N4" s="2073"/>
      <c r="O4" s="224"/>
      <c r="P4" s="2113">
        <f>ROUND(EI4/DL4,2)</f>
        <v>7.27</v>
      </c>
      <c r="Q4" s="2113"/>
      <c r="R4" s="2113"/>
      <c r="S4" s="2113">
        <f>ROUND(HA4/GD4,2)</f>
        <v>7.4</v>
      </c>
      <c r="T4" s="2113"/>
      <c r="U4" s="2113"/>
      <c r="V4" s="2098">
        <f>ROUND(P4/S4*100,2)</f>
        <v>98.24</v>
      </c>
      <c r="W4" s="2098"/>
      <c r="X4" s="2098"/>
      <c r="Y4" s="2098"/>
      <c r="Z4" s="2102">
        <f>ROUND(FB4/DL4,0)</f>
        <v>364729</v>
      </c>
      <c r="AA4" s="2102"/>
      <c r="AB4" s="2102"/>
      <c r="AC4" s="2102"/>
      <c r="AD4" s="2102">
        <f>ROUND(HT4/GD4,0)</f>
        <v>380262</v>
      </c>
      <c r="AE4" s="2102"/>
      <c r="AF4" s="2102"/>
      <c r="AG4" s="2102"/>
      <c r="AH4" s="2098">
        <f t="shared" ref="AH4:AH9" si="0">ROUND(Z4/AD4*100,2)</f>
        <v>95.92</v>
      </c>
      <c r="AI4" s="2098"/>
      <c r="AJ4" s="2098"/>
      <c r="AK4" s="2098"/>
      <c r="AL4" s="2102">
        <f>ROUND(FB4/EI4,0)</f>
        <v>50163</v>
      </c>
      <c r="AM4" s="2102"/>
      <c r="AN4" s="2102"/>
      <c r="AO4" s="2102"/>
      <c r="AP4" s="2102">
        <f>ROUND(HT4/HA4,0)</f>
        <v>51375</v>
      </c>
      <c r="AQ4" s="2102"/>
      <c r="AR4" s="2102"/>
      <c r="AS4" s="2102"/>
      <c r="AT4" s="2098">
        <f>ROUND(AL4/AP4*100,2)</f>
        <v>97.64</v>
      </c>
      <c r="AU4" s="2098"/>
      <c r="AV4" s="2098"/>
      <c r="AW4" s="2098"/>
      <c r="AX4" s="2099">
        <f>ROUND(DL4/DE28*100,2)</f>
        <v>0.69</v>
      </c>
      <c r="AY4" s="2099"/>
      <c r="AZ4" s="2099"/>
      <c r="BA4" s="2099"/>
      <c r="BB4" s="2099">
        <f>ROUND(GD4/DE27*100,2)</f>
        <v>0.67</v>
      </c>
      <c r="BC4" s="2099"/>
      <c r="BD4" s="2099"/>
      <c r="BE4" s="2099"/>
      <c r="BF4" s="2098">
        <f>ROUND(AX4/BB4*100,2)</f>
        <v>102.99</v>
      </c>
      <c r="BG4" s="2098"/>
      <c r="BH4" s="2098"/>
      <c r="BI4" s="2098"/>
      <c r="BM4" s="1958"/>
      <c r="BN4" s="1958"/>
      <c r="BO4" s="167"/>
      <c r="BP4" s="167"/>
      <c r="BQ4" s="218"/>
      <c r="BR4" s="190"/>
      <c r="BS4" s="191"/>
      <c r="BT4" s="1982" t="s">
        <v>100</v>
      </c>
      <c r="BU4" s="1982"/>
      <c r="BV4" s="1982"/>
      <c r="BW4" s="1982"/>
      <c r="BX4" s="1982"/>
      <c r="BY4" s="1982"/>
      <c r="BZ4" s="1982"/>
      <c r="CA4" s="1982"/>
      <c r="CB4" s="1982"/>
      <c r="CC4" s="1982"/>
      <c r="CD4" s="1982"/>
      <c r="CE4" s="1982"/>
      <c r="CF4" s="1982"/>
      <c r="CG4" s="1982"/>
      <c r="CH4" s="1982"/>
      <c r="CI4" s="1982"/>
      <c r="CJ4" s="1982"/>
      <c r="CK4" s="1982"/>
      <c r="CL4" s="1982"/>
      <c r="CM4" s="1982"/>
      <c r="CN4" s="1982"/>
      <c r="CO4" s="1982"/>
      <c r="CP4" s="1982"/>
      <c r="CQ4" s="1982"/>
      <c r="CR4" s="1982"/>
      <c r="CS4" s="1982"/>
      <c r="CT4" s="1982"/>
      <c r="CU4" s="1982"/>
      <c r="CV4" s="1982"/>
      <c r="CW4" s="1982"/>
      <c r="CX4" s="1982"/>
      <c r="CY4" s="1982"/>
      <c r="CZ4" s="1982"/>
      <c r="DA4" s="1982"/>
      <c r="DB4" s="1982"/>
      <c r="DC4" s="1982"/>
      <c r="DD4" s="1982"/>
      <c r="DE4" s="1982"/>
      <c r="DF4" s="1982"/>
      <c r="DG4" s="1982"/>
      <c r="DH4" s="1982"/>
      <c r="DI4" s="1982"/>
      <c r="DJ4" s="191"/>
      <c r="DK4" s="214"/>
      <c r="DL4" s="2055">
        <f>'報告_短期P7-10'!AZ136</f>
        <v>1576</v>
      </c>
      <c r="DM4" s="2055"/>
      <c r="DN4" s="2055"/>
      <c r="DO4" s="2055"/>
      <c r="DP4" s="2055"/>
      <c r="DQ4" s="2055"/>
      <c r="DR4" s="2055"/>
      <c r="DS4" s="2055"/>
      <c r="DT4" s="2055"/>
      <c r="DU4" s="2055"/>
      <c r="DV4" s="2055"/>
      <c r="DW4" s="2055"/>
      <c r="DX4" s="2055"/>
      <c r="DY4" s="2055"/>
      <c r="DZ4" s="2055"/>
      <c r="EA4" s="2055"/>
      <c r="EB4" s="2055"/>
      <c r="EC4" s="2055"/>
      <c r="ED4" s="2055"/>
      <c r="EE4" s="2055"/>
      <c r="EF4" s="2055"/>
      <c r="EG4" s="2055"/>
      <c r="EH4" s="2055"/>
      <c r="EI4" s="2055">
        <f>'報告_短期P7-10'!BW136</f>
        <v>11459</v>
      </c>
      <c r="EJ4" s="2055"/>
      <c r="EK4" s="2055"/>
      <c r="EL4" s="2055"/>
      <c r="EM4" s="2055"/>
      <c r="EN4" s="2055"/>
      <c r="EO4" s="2055"/>
      <c r="EP4" s="2055"/>
      <c r="EQ4" s="2055"/>
      <c r="ER4" s="2055"/>
      <c r="ES4" s="2055"/>
      <c r="ET4" s="2055"/>
      <c r="EU4" s="2055"/>
      <c r="EV4" s="2055"/>
      <c r="EW4" s="2055"/>
      <c r="EX4" s="2055"/>
      <c r="EY4" s="2055"/>
      <c r="EZ4" s="2055"/>
      <c r="FA4" s="2055"/>
      <c r="FB4" s="2055">
        <f>'報告_短期P7-10'!CP136</f>
        <v>574813579</v>
      </c>
      <c r="FC4" s="2055"/>
      <c r="FD4" s="2055"/>
      <c r="FE4" s="2055"/>
      <c r="FF4" s="2055"/>
      <c r="FG4" s="2055"/>
      <c r="FH4" s="2055"/>
      <c r="FI4" s="2055"/>
      <c r="FJ4" s="2055"/>
      <c r="FK4" s="2055"/>
      <c r="FL4" s="2055"/>
      <c r="FM4" s="2055"/>
      <c r="FN4" s="2055"/>
      <c r="FO4" s="2055"/>
      <c r="FP4" s="2055"/>
      <c r="FQ4" s="2055"/>
      <c r="FR4" s="2055"/>
      <c r="FS4" s="2055"/>
      <c r="FT4" s="2055"/>
      <c r="FU4" s="2055"/>
      <c r="FV4" s="2055"/>
      <c r="FW4" s="2055"/>
      <c r="FX4" s="2055"/>
      <c r="FY4" s="2055"/>
      <c r="FZ4" s="2055"/>
      <c r="GA4" s="2055"/>
      <c r="GB4" s="2055"/>
      <c r="GC4" s="2055"/>
      <c r="GD4" s="2055">
        <f>'報告_短期P7-10'!DR136</f>
        <v>1511</v>
      </c>
      <c r="GE4" s="2055"/>
      <c r="GF4" s="2055"/>
      <c r="GG4" s="2055"/>
      <c r="GH4" s="2055"/>
      <c r="GI4" s="2055"/>
      <c r="GJ4" s="2055"/>
      <c r="GK4" s="2055"/>
      <c r="GL4" s="2055"/>
      <c r="GM4" s="2055"/>
      <c r="GN4" s="2055"/>
      <c r="GO4" s="2055"/>
      <c r="GP4" s="2055"/>
      <c r="GQ4" s="2055"/>
      <c r="GR4" s="2055"/>
      <c r="GS4" s="2055"/>
      <c r="GT4" s="2055"/>
      <c r="GU4" s="2055"/>
      <c r="GV4" s="2055"/>
      <c r="GW4" s="2055"/>
      <c r="GX4" s="2055"/>
      <c r="GY4" s="2055"/>
      <c r="GZ4" s="2055"/>
      <c r="HA4" s="2055">
        <f>'報告_短期P7-10'!EO136</f>
        <v>11184</v>
      </c>
      <c r="HB4" s="2055"/>
      <c r="HC4" s="2055"/>
      <c r="HD4" s="2055"/>
      <c r="HE4" s="2055"/>
      <c r="HF4" s="2055"/>
      <c r="HG4" s="2055"/>
      <c r="HH4" s="2055"/>
      <c r="HI4" s="2055"/>
      <c r="HJ4" s="2055"/>
      <c r="HK4" s="2055"/>
      <c r="HL4" s="2055"/>
      <c r="HM4" s="2055"/>
      <c r="HN4" s="2055"/>
      <c r="HO4" s="2055"/>
      <c r="HP4" s="2055"/>
      <c r="HQ4" s="2055"/>
      <c r="HR4" s="2055"/>
      <c r="HS4" s="2055"/>
      <c r="HT4" s="2055">
        <f>'報告_短期P7-10'!FH136</f>
        <v>574576335</v>
      </c>
      <c r="HU4" s="2055"/>
      <c r="HV4" s="2055"/>
      <c r="HW4" s="2055"/>
      <c r="HX4" s="2055"/>
      <c r="HY4" s="2055"/>
      <c r="HZ4" s="2055"/>
      <c r="IA4" s="2055"/>
      <c r="IB4" s="2055"/>
      <c r="IC4" s="2055"/>
      <c r="ID4" s="2055"/>
      <c r="IE4" s="2055"/>
      <c r="IF4" s="2055"/>
      <c r="IG4" s="2055"/>
      <c r="IH4" s="2055"/>
      <c r="II4" s="2055"/>
      <c r="IJ4" s="2055"/>
      <c r="IK4" s="2055"/>
      <c r="IL4" s="2055"/>
      <c r="IM4" s="2055"/>
      <c r="IN4" s="2055"/>
      <c r="IO4" s="2055"/>
      <c r="IP4" s="2055"/>
      <c r="IQ4" s="2055"/>
      <c r="IR4" s="2055"/>
      <c r="IS4" s="2055"/>
      <c r="IT4" s="2055"/>
      <c r="IU4" s="2055"/>
    </row>
    <row r="5" spans="1:255" s="222" customFormat="1" ht="24" customHeight="1">
      <c r="A5" s="2035"/>
      <c r="B5" s="2035"/>
      <c r="C5" s="225"/>
      <c r="D5" s="2030" t="s">
        <v>101</v>
      </c>
      <c r="E5" s="2030"/>
      <c r="F5" s="2030"/>
      <c r="G5" s="2030"/>
      <c r="H5" s="2030"/>
      <c r="I5" s="2030"/>
      <c r="J5" s="2030"/>
      <c r="K5" s="2030"/>
      <c r="L5" s="2030"/>
      <c r="M5" s="2030"/>
      <c r="N5" s="2030"/>
      <c r="O5" s="226"/>
      <c r="P5" s="2113">
        <f>ROUND(EI5/DL5,2)</f>
        <v>1.36</v>
      </c>
      <c r="Q5" s="2113"/>
      <c r="R5" s="2113"/>
      <c r="S5" s="2113">
        <f>ROUND(HA5/GD5,2)</f>
        <v>1.36</v>
      </c>
      <c r="T5" s="2113"/>
      <c r="U5" s="2113"/>
      <c r="V5" s="2098">
        <f>ROUND(P5/S5*100,2)</f>
        <v>100</v>
      </c>
      <c r="W5" s="2098"/>
      <c r="X5" s="2098"/>
      <c r="Y5" s="2098"/>
      <c r="Z5" s="2102">
        <f>ROUND(FB5/DL5,0)</f>
        <v>8573</v>
      </c>
      <c r="AA5" s="2102"/>
      <c r="AB5" s="2102"/>
      <c r="AC5" s="2102"/>
      <c r="AD5" s="2102">
        <f>ROUND(HT5/GD5,0)</f>
        <v>8315</v>
      </c>
      <c r="AE5" s="2102"/>
      <c r="AF5" s="2102"/>
      <c r="AG5" s="2102"/>
      <c r="AH5" s="2098">
        <f t="shared" si="0"/>
        <v>103.1</v>
      </c>
      <c r="AI5" s="2098"/>
      <c r="AJ5" s="2098"/>
      <c r="AK5" s="2098"/>
      <c r="AL5" s="2102">
        <f>ROUND(FB5/EI5,0)</f>
        <v>6323</v>
      </c>
      <c r="AM5" s="2102"/>
      <c r="AN5" s="2102"/>
      <c r="AO5" s="2102"/>
      <c r="AP5" s="2102">
        <f>ROUND(HT5/HA5,0)</f>
        <v>6119</v>
      </c>
      <c r="AQ5" s="2102"/>
      <c r="AR5" s="2102"/>
      <c r="AS5" s="2102"/>
      <c r="AT5" s="2098">
        <f>ROUND(AL5/AP5*100,2)</f>
        <v>103.33</v>
      </c>
      <c r="AU5" s="2098"/>
      <c r="AV5" s="2098"/>
      <c r="AW5" s="2098"/>
      <c r="AX5" s="2099">
        <f>ROUND(DL5/DE28*100,2)</f>
        <v>67.12</v>
      </c>
      <c r="AY5" s="2099"/>
      <c r="AZ5" s="2099"/>
      <c r="BA5" s="2099"/>
      <c r="BB5" s="2099">
        <f>ROUND(GD5/DE27*100,2)</f>
        <v>67.34</v>
      </c>
      <c r="BC5" s="2099"/>
      <c r="BD5" s="2099"/>
      <c r="BE5" s="2099"/>
      <c r="BF5" s="2098">
        <f>ROUND(AX5/BB5*100,2)</f>
        <v>99.67</v>
      </c>
      <c r="BG5" s="2098"/>
      <c r="BH5" s="2098"/>
      <c r="BI5" s="2098"/>
      <c r="BM5" s="1962" t="s">
        <v>456</v>
      </c>
      <c r="BN5" s="1962"/>
      <c r="BO5" s="1962"/>
      <c r="BP5" s="1962"/>
      <c r="BQ5" s="1962"/>
      <c r="BR5" s="188"/>
      <c r="BS5" s="189"/>
      <c r="BT5" s="1932" t="s">
        <v>101</v>
      </c>
      <c r="BU5" s="1932"/>
      <c r="BV5" s="1932"/>
      <c r="BW5" s="1932"/>
      <c r="BX5" s="1932"/>
      <c r="BY5" s="1932"/>
      <c r="BZ5" s="1932"/>
      <c r="CA5" s="1932"/>
      <c r="CB5" s="1932"/>
      <c r="CC5" s="1932"/>
      <c r="CD5" s="1932"/>
      <c r="CE5" s="1932"/>
      <c r="CF5" s="1932"/>
      <c r="CG5" s="1932"/>
      <c r="CH5" s="1932"/>
      <c r="CI5" s="1932"/>
      <c r="CJ5" s="1932"/>
      <c r="CK5" s="1932"/>
      <c r="CL5" s="1932"/>
      <c r="CM5" s="1932"/>
      <c r="CN5" s="1932"/>
      <c r="CO5" s="1932"/>
      <c r="CP5" s="1932"/>
      <c r="CQ5" s="1932"/>
      <c r="CR5" s="1932"/>
      <c r="CS5" s="1932"/>
      <c r="CT5" s="1932"/>
      <c r="CU5" s="1932"/>
      <c r="CV5" s="1932"/>
      <c r="CW5" s="1932"/>
      <c r="CX5" s="1932"/>
      <c r="CY5" s="1932"/>
      <c r="CZ5" s="1932"/>
      <c r="DA5" s="1932"/>
      <c r="DB5" s="1932"/>
      <c r="DC5" s="1932"/>
      <c r="DD5" s="1932"/>
      <c r="DE5" s="1932"/>
      <c r="DF5" s="1932"/>
      <c r="DG5" s="1932"/>
      <c r="DH5" s="1932"/>
      <c r="DI5" s="1932"/>
      <c r="DJ5" s="189"/>
      <c r="DK5" s="197"/>
      <c r="DL5" s="2055">
        <f>'報告_短期P7-10'!AZ137</f>
        <v>153520</v>
      </c>
      <c r="DM5" s="2055"/>
      <c r="DN5" s="2055"/>
      <c r="DO5" s="2055"/>
      <c r="DP5" s="2055"/>
      <c r="DQ5" s="2055"/>
      <c r="DR5" s="2055"/>
      <c r="DS5" s="2055"/>
      <c r="DT5" s="2055"/>
      <c r="DU5" s="2055"/>
      <c r="DV5" s="2055"/>
      <c r="DW5" s="2055"/>
      <c r="DX5" s="2055"/>
      <c r="DY5" s="2055"/>
      <c r="DZ5" s="2055"/>
      <c r="EA5" s="2055"/>
      <c r="EB5" s="2055"/>
      <c r="EC5" s="2055"/>
      <c r="ED5" s="2055"/>
      <c r="EE5" s="2055"/>
      <c r="EF5" s="2055"/>
      <c r="EG5" s="2055"/>
      <c r="EH5" s="2055"/>
      <c r="EI5" s="2055">
        <f>'報告_短期P7-10'!BW137</f>
        <v>208152</v>
      </c>
      <c r="EJ5" s="2055"/>
      <c r="EK5" s="2055"/>
      <c r="EL5" s="2055"/>
      <c r="EM5" s="2055"/>
      <c r="EN5" s="2055"/>
      <c r="EO5" s="2055"/>
      <c r="EP5" s="2055"/>
      <c r="EQ5" s="2055"/>
      <c r="ER5" s="2055"/>
      <c r="ES5" s="2055"/>
      <c r="ET5" s="2055"/>
      <c r="EU5" s="2055"/>
      <c r="EV5" s="2055"/>
      <c r="EW5" s="2055"/>
      <c r="EX5" s="2055"/>
      <c r="EY5" s="2055"/>
      <c r="EZ5" s="2055"/>
      <c r="FA5" s="2055"/>
      <c r="FB5" s="2055">
        <f>'報告_短期P7-10'!CP137</f>
        <v>1316199270</v>
      </c>
      <c r="FC5" s="2055"/>
      <c r="FD5" s="2055"/>
      <c r="FE5" s="2055"/>
      <c r="FF5" s="2055"/>
      <c r="FG5" s="2055"/>
      <c r="FH5" s="2055"/>
      <c r="FI5" s="2055"/>
      <c r="FJ5" s="2055"/>
      <c r="FK5" s="2055"/>
      <c r="FL5" s="2055"/>
      <c r="FM5" s="2055"/>
      <c r="FN5" s="2055"/>
      <c r="FO5" s="2055"/>
      <c r="FP5" s="2055"/>
      <c r="FQ5" s="2055"/>
      <c r="FR5" s="2055"/>
      <c r="FS5" s="2055"/>
      <c r="FT5" s="2055"/>
      <c r="FU5" s="2055"/>
      <c r="FV5" s="2055"/>
      <c r="FW5" s="2055"/>
      <c r="FX5" s="2055"/>
      <c r="FY5" s="2055"/>
      <c r="FZ5" s="2055"/>
      <c r="GA5" s="2055"/>
      <c r="GB5" s="2055"/>
      <c r="GC5" s="2055"/>
      <c r="GD5" s="2055">
        <f>'報告_短期P7-10'!DR137</f>
        <v>152883</v>
      </c>
      <c r="GE5" s="2055"/>
      <c r="GF5" s="2055"/>
      <c r="GG5" s="2055"/>
      <c r="GH5" s="2055"/>
      <c r="GI5" s="2055"/>
      <c r="GJ5" s="2055"/>
      <c r="GK5" s="2055"/>
      <c r="GL5" s="2055"/>
      <c r="GM5" s="2055"/>
      <c r="GN5" s="2055"/>
      <c r="GO5" s="2055"/>
      <c r="GP5" s="2055"/>
      <c r="GQ5" s="2055"/>
      <c r="GR5" s="2055"/>
      <c r="GS5" s="2055"/>
      <c r="GT5" s="2055"/>
      <c r="GU5" s="2055"/>
      <c r="GV5" s="2055"/>
      <c r="GW5" s="2055"/>
      <c r="GX5" s="2055"/>
      <c r="GY5" s="2055"/>
      <c r="GZ5" s="2055"/>
      <c r="HA5" s="2055">
        <f>'報告_短期P7-10'!EO137</f>
        <v>207756</v>
      </c>
      <c r="HB5" s="2055"/>
      <c r="HC5" s="2055"/>
      <c r="HD5" s="2055"/>
      <c r="HE5" s="2055"/>
      <c r="HF5" s="2055"/>
      <c r="HG5" s="2055"/>
      <c r="HH5" s="2055"/>
      <c r="HI5" s="2055"/>
      <c r="HJ5" s="2055"/>
      <c r="HK5" s="2055"/>
      <c r="HL5" s="2055"/>
      <c r="HM5" s="2055"/>
      <c r="HN5" s="2055"/>
      <c r="HO5" s="2055"/>
      <c r="HP5" s="2055"/>
      <c r="HQ5" s="2055"/>
      <c r="HR5" s="2055"/>
      <c r="HS5" s="2055"/>
      <c r="HT5" s="2055">
        <f>'報告_短期P7-10'!FH137</f>
        <v>1271252147</v>
      </c>
      <c r="HU5" s="2055"/>
      <c r="HV5" s="2055"/>
      <c r="HW5" s="2055"/>
      <c r="HX5" s="2055"/>
      <c r="HY5" s="2055"/>
      <c r="HZ5" s="2055"/>
      <c r="IA5" s="2055"/>
      <c r="IB5" s="2055"/>
      <c r="IC5" s="2055"/>
      <c r="ID5" s="2055"/>
      <c r="IE5" s="2055"/>
      <c r="IF5" s="2055"/>
      <c r="IG5" s="2055"/>
      <c r="IH5" s="2055"/>
      <c r="II5" s="2055"/>
      <c r="IJ5" s="2055"/>
      <c r="IK5" s="2055"/>
      <c r="IL5" s="2055"/>
      <c r="IM5" s="2055"/>
      <c r="IN5" s="2055"/>
      <c r="IO5" s="2055"/>
      <c r="IP5" s="2055"/>
      <c r="IQ5" s="2055"/>
      <c r="IR5" s="2055"/>
      <c r="IS5" s="2055"/>
      <c r="IT5" s="2055"/>
      <c r="IU5" s="2055"/>
    </row>
    <row r="6" spans="1:255" s="222" customFormat="1" ht="24" customHeight="1">
      <c r="A6" s="2035"/>
      <c r="B6" s="2035"/>
      <c r="C6" s="223"/>
      <c r="D6" s="2073" t="s">
        <v>102</v>
      </c>
      <c r="E6" s="2073"/>
      <c r="F6" s="2073"/>
      <c r="G6" s="2073"/>
      <c r="H6" s="2073"/>
      <c r="I6" s="2073"/>
      <c r="J6" s="2073"/>
      <c r="K6" s="2073"/>
      <c r="L6" s="2073"/>
      <c r="M6" s="2073"/>
      <c r="N6" s="2073"/>
      <c r="O6" s="224"/>
      <c r="P6" s="2113">
        <f>ROUND(EI6/DL6,2)</f>
        <v>1.42</v>
      </c>
      <c r="Q6" s="2113"/>
      <c r="R6" s="2113"/>
      <c r="S6" s="2113">
        <f>ROUND(HA6/GD6,2)</f>
        <v>1.45</v>
      </c>
      <c r="T6" s="2113"/>
      <c r="U6" s="2113"/>
      <c r="V6" s="2098">
        <f>ROUND(P6/S6*100,2)</f>
        <v>97.93</v>
      </c>
      <c r="W6" s="2098"/>
      <c r="X6" s="2098"/>
      <c r="Y6" s="2098"/>
      <c r="Z6" s="2102">
        <f>ROUND(FB6/DL6,0)</f>
        <v>8951</v>
      </c>
      <c r="AA6" s="2102"/>
      <c r="AB6" s="2102"/>
      <c r="AC6" s="2102"/>
      <c r="AD6" s="2102">
        <f>ROUND(HT6/GD6,0)</f>
        <v>8873</v>
      </c>
      <c r="AE6" s="2102"/>
      <c r="AF6" s="2102"/>
      <c r="AG6" s="2102"/>
      <c r="AH6" s="2098">
        <f t="shared" si="0"/>
        <v>100.88</v>
      </c>
      <c r="AI6" s="2098"/>
      <c r="AJ6" s="2098"/>
      <c r="AK6" s="2098"/>
      <c r="AL6" s="2102">
        <f>ROUND(FB6/EI6,0)</f>
        <v>6305</v>
      </c>
      <c r="AM6" s="2102"/>
      <c r="AN6" s="2102"/>
      <c r="AO6" s="2102"/>
      <c r="AP6" s="2102">
        <f>ROUND(HT6/HA6,0)</f>
        <v>6120</v>
      </c>
      <c r="AQ6" s="2102"/>
      <c r="AR6" s="2102"/>
      <c r="AS6" s="2102"/>
      <c r="AT6" s="2098">
        <f>ROUND(AL6/AP6*100,2)</f>
        <v>103.02</v>
      </c>
      <c r="AU6" s="2098"/>
      <c r="AV6" s="2098"/>
      <c r="AW6" s="2098"/>
      <c r="AX6" s="2099">
        <f>ROUND(DL6/DE28*100,2)</f>
        <v>18.39</v>
      </c>
      <c r="AY6" s="2099"/>
      <c r="AZ6" s="2099"/>
      <c r="BA6" s="2099"/>
      <c r="BB6" s="2099">
        <f>ROUND(GD6/DE27*100,2)</f>
        <v>17.77</v>
      </c>
      <c r="BC6" s="2099"/>
      <c r="BD6" s="2099"/>
      <c r="BE6" s="2099"/>
      <c r="BF6" s="2098">
        <f>ROUND(AX6/BB6*100,2)</f>
        <v>103.49</v>
      </c>
      <c r="BG6" s="2098"/>
      <c r="BH6" s="2098"/>
      <c r="BI6" s="2098"/>
      <c r="BM6" s="1958"/>
      <c r="BN6" s="1958"/>
      <c r="BO6" s="167"/>
      <c r="BP6" s="167"/>
      <c r="BQ6" s="218"/>
      <c r="BR6" s="188"/>
      <c r="BS6" s="189"/>
      <c r="BT6" s="1932" t="s">
        <v>102</v>
      </c>
      <c r="BU6" s="1932"/>
      <c r="BV6" s="1932"/>
      <c r="BW6" s="1932"/>
      <c r="BX6" s="1932"/>
      <c r="BY6" s="1932"/>
      <c r="BZ6" s="1932"/>
      <c r="CA6" s="1932"/>
      <c r="CB6" s="1932"/>
      <c r="CC6" s="1932"/>
      <c r="CD6" s="1932"/>
      <c r="CE6" s="1932"/>
      <c r="CF6" s="1932"/>
      <c r="CG6" s="1932"/>
      <c r="CH6" s="1932"/>
      <c r="CI6" s="1932"/>
      <c r="CJ6" s="1932"/>
      <c r="CK6" s="1932"/>
      <c r="CL6" s="1932"/>
      <c r="CM6" s="1932"/>
      <c r="CN6" s="1932"/>
      <c r="CO6" s="1932"/>
      <c r="CP6" s="1932"/>
      <c r="CQ6" s="1932"/>
      <c r="CR6" s="1932"/>
      <c r="CS6" s="1932"/>
      <c r="CT6" s="1932"/>
      <c r="CU6" s="1932"/>
      <c r="CV6" s="1932"/>
      <c r="CW6" s="1932"/>
      <c r="CX6" s="1932"/>
      <c r="CY6" s="1932"/>
      <c r="CZ6" s="1932"/>
      <c r="DA6" s="1932"/>
      <c r="DB6" s="1932"/>
      <c r="DC6" s="1932"/>
      <c r="DD6" s="1932"/>
      <c r="DE6" s="1932"/>
      <c r="DF6" s="1932"/>
      <c r="DG6" s="1932"/>
      <c r="DH6" s="1932"/>
      <c r="DI6" s="1932"/>
      <c r="DJ6" s="189"/>
      <c r="DK6" s="197"/>
      <c r="DL6" s="2055">
        <f>'報告_短期P7-10'!AZ138</f>
        <v>42061</v>
      </c>
      <c r="DM6" s="2055"/>
      <c r="DN6" s="2055"/>
      <c r="DO6" s="2055"/>
      <c r="DP6" s="2055"/>
      <c r="DQ6" s="2055"/>
      <c r="DR6" s="2055"/>
      <c r="DS6" s="2055"/>
      <c r="DT6" s="2055"/>
      <c r="DU6" s="2055"/>
      <c r="DV6" s="2055"/>
      <c r="DW6" s="2055"/>
      <c r="DX6" s="2055"/>
      <c r="DY6" s="2055"/>
      <c r="DZ6" s="2055"/>
      <c r="EA6" s="2055"/>
      <c r="EB6" s="2055"/>
      <c r="EC6" s="2055"/>
      <c r="ED6" s="2055"/>
      <c r="EE6" s="2055"/>
      <c r="EF6" s="2055"/>
      <c r="EG6" s="2055"/>
      <c r="EH6" s="2055"/>
      <c r="EI6" s="2055">
        <f>'報告_短期P7-10'!BW138</f>
        <v>59708</v>
      </c>
      <c r="EJ6" s="2055"/>
      <c r="EK6" s="2055"/>
      <c r="EL6" s="2055"/>
      <c r="EM6" s="2055"/>
      <c r="EN6" s="2055"/>
      <c r="EO6" s="2055"/>
      <c r="EP6" s="2055"/>
      <c r="EQ6" s="2055"/>
      <c r="ER6" s="2055"/>
      <c r="ES6" s="2055"/>
      <c r="ET6" s="2055"/>
      <c r="EU6" s="2055"/>
      <c r="EV6" s="2055"/>
      <c r="EW6" s="2055"/>
      <c r="EX6" s="2055"/>
      <c r="EY6" s="2055"/>
      <c r="EZ6" s="2055"/>
      <c r="FA6" s="2055"/>
      <c r="FB6" s="2055">
        <f>'報告_短期P7-10'!CP138</f>
        <v>376468225</v>
      </c>
      <c r="FC6" s="2055"/>
      <c r="FD6" s="2055"/>
      <c r="FE6" s="2055"/>
      <c r="FF6" s="2055"/>
      <c r="FG6" s="2055"/>
      <c r="FH6" s="2055"/>
      <c r="FI6" s="2055"/>
      <c r="FJ6" s="2055"/>
      <c r="FK6" s="2055"/>
      <c r="FL6" s="2055"/>
      <c r="FM6" s="2055"/>
      <c r="FN6" s="2055"/>
      <c r="FO6" s="2055"/>
      <c r="FP6" s="2055"/>
      <c r="FQ6" s="2055"/>
      <c r="FR6" s="2055"/>
      <c r="FS6" s="2055"/>
      <c r="FT6" s="2055"/>
      <c r="FU6" s="2055"/>
      <c r="FV6" s="2055"/>
      <c r="FW6" s="2055"/>
      <c r="FX6" s="2055"/>
      <c r="FY6" s="2055"/>
      <c r="FZ6" s="2055"/>
      <c r="GA6" s="2055"/>
      <c r="GB6" s="2055"/>
      <c r="GC6" s="2055"/>
      <c r="GD6" s="2055">
        <f>'報告_短期P7-10'!DR138</f>
        <v>40341</v>
      </c>
      <c r="GE6" s="2055"/>
      <c r="GF6" s="2055"/>
      <c r="GG6" s="2055"/>
      <c r="GH6" s="2055"/>
      <c r="GI6" s="2055"/>
      <c r="GJ6" s="2055"/>
      <c r="GK6" s="2055"/>
      <c r="GL6" s="2055"/>
      <c r="GM6" s="2055"/>
      <c r="GN6" s="2055"/>
      <c r="GO6" s="2055"/>
      <c r="GP6" s="2055"/>
      <c r="GQ6" s="2055"/>
      <c r="GR6" s="2055"/>
      <c r="GS6" s="2055"/>
      <c r="GT6" s="2055"/>
      <c r="GU6" s="2055"/>
      <c r="GV6" s="2055"/>
      <c r="GW6" s="2055"/>
      <c r="GX6" s="2055"/>
      <c r="GY6" s="2055"/>
      <c r="GZ6" s="2055"/>
      <c r="HA6" s="2055">
        <f>'報告_短期P7-10'!EO138</f>
        <v>58484</v>
      </c>
      <c r="HB6" s="2055"/>
      <c r="HC6" s="2055"/>
      <c r="HD6" s="2055"/>
      <c r="HE6" s="2055"/>
      <c r="HF6" s="2055"/>
      <c r="HG6" s="2055"/>
      <c r="HH6" s="2055"/>
      <c r="HI6" s="2055"/>
      <c r="HJ6" s="2055"/>
      <c r="HK6" s="2055"/>
      <c r="HL6" s="2055"/>
      <c r="HM6" s="2055"/>
      <c r="HN6" s="2055"/>
      <c r="HO6" s="2055"/>
      <c r="HP6" s="2055"/>
      <c r="HQ6" s="2055"/>
      <c r="HR6" s="2055"/>
      <c r="HS6" s="2055"/>
      <c r="HT6" s="2055">
        <f>'報告_短期P7-10'!FH138</f>
        <v>357934088</v>
      </c>
      <c r="HU6" s="2055"/>
      <c r="HV6" s="2055"/>
      <c r="HW6" s="2055"/>
      <c r="HX6" s="2055"/>
      <c r="HY6" s="2055"/>
      <c r="HZ6" s="2055"/>
      <c r="IA6" s="2055"/>
      <c r="IB6" s="2055"/>
      <c r="IC6" s="2055"/>
      <c r="ID6" s="2055"/>
      <c r="IE6" s="2055"/>
      <c r="IF6" s="2055"/>
      <c r="IG6" s="2055"/>
      <c r="IH6" s="2055"/>
      <c r="II6" s="2055"/>
      <c r="IJ6" s="2055"/>
      <c r="IK6" s="2055"/>
      <c r="IL6" s="2055"/>
      <c r="IM6" s="2055"/>
      <c r="IN6" s="2055"/>
      <c r="IO6" s="2055"/>
      <c r="IP6" s="2055"/>
      <c r="IQ6" s="2055"/>
      <c r="IR6" s="2055"/>
      <c r="IS6" s="2055"/>
      <c r="IT6" s="2055"/>
      <c r="IU6" s="2055"/>
    </row>
    <row r="7" spans="1:255" s="222" customFormat="1" ht="25.5" customHeight="1">
      <c r="A7" s="2035"/>
      <c r="B7" s="2035"/>
      <c r="C7" s="225"/>
      <c r="D7" s="2116" t="s">
        <v>434</v>
      </c>
      <c r="E7" s="2116"/>
      <c r="F7" s="2116"/>
      <c r="G7" s="2116"/>
      <c r="H7" s="2116"/>
      <c r="I7" s="2116"/>
      <c r="J7" s="2116"/>
      <c r="K7" s="2116"/>
      <c r="L7" s="2116"/>
      <c r="M7" s="2116"/>
      <c r="N7" s="2116"/>
      <c r="O7" s="226"/>
      <c r="P7" s="2110"/>
      <c r="Q7" s="2110"/>
      <c r="R7" s="2110"/>
      <c r="S7" s="2110"/>
      <c r="T7" s="2110"/>
      <c r="U7" s="2110"/>
      <c r="V7" s="2107"/>
      <c r="W7" s="2107"/>
      <c r="X7" s="2107"/>
      <c r="Y7" s="2107"/>
      <c r="Z7" s="2102">
        <f>ROUND(FB7/DL7,0)</f>
        <v>3875</v>
      </c>
      <c r="AA7" s="2102"/>
      <c r="AB7" s="2102"/>
      <c r="AC7" s="2102"/>
      <c r="AD7" s="2102">
        <f>ROUND(HT7/GD7,0)</f>
        <v>3913</v>
      </c>
      <c r="AE7" s="2102"/>
      <c r="AF7" s="2102"/>
      <c r="AG7" s="2102"/>
      <c r="AH7" s="2098">
        <f t="shared" si="0"/>
        <v>99.03</v>
      </c>
      <c r="AI7" s="2098"/>
      <c r="AJ7" s="2098"/>
      <c r="AK7" s="2098"/>
      <c r="AL7" s="2102">
        <f>ROUND(FB7/EI7,0)</f>
        <v>209</v>
      </c>
      <c r="AM7" s="2102"/>
      <c r="AN7" s="2102"/>
      <c r="AO7" s="2102"/>
      <c r="AP7" s="2102">
        <f>ROUND(HT7/HA7,0)</f>
        <v>212</v>
      </c>
      <c r="AQ7" s="2102"/>
      <c r="AR7" s="2102"/>
      <c r="AS7" s="2102"/>
      <c r="AT7" s="2098">
        <f>ROUND(AL7/AP7*100,2)</f>
        <v>98.58</v>
      </c>
      <c r="AU7" s="2098"/>
      <c r="AV7" s="2098"/>
      <c r="AW7" s="2098"/>
      <c r="AX7" s="2107"/>
      <c r="AY7" s="2107"/>
      <c r="AZ7" s="2107"/>
      <c r="BA7" s="2107"/>
      <c r="BB7" s="2107"/>
      <c r="BC7" s="2107"/>
      <c r="BD7" s="2107"/>
      <c r="BE7" s="2107"/>
      <c r="BF7" s="2107"/>
      <c r="BG7" s="2107"/>
      <c r="BH7" s="2107"/>
      <c r="BI7" s="2107"/>
      <c r="BM7" s="1958"/>
      <c r="BN7" s="1958"/>
      <c r="BO7" s="167"/>
      <c r="BP7" s="167"/>
      <c r="BQ7" s="218"/>
      <c r="BR7" s="188"/>
      <c r="BS7" s="189"/>
      <c r="BT7" s="2064" t="s">
        <v>434</v>
      </c>
      <c r="BU7" s="2064"/>
      <c r="BV7" s="2064"/>
      <c r="BW7" s="2064"/>
      <c r="BX7" s="2064"/>
      <c r="BY7" s="2064"/>
      <c r="BZ7" s="2064"/>
      <c r="CA7" s="2064"/>
      <c r="CB7" s="2064"/>
      <c r="CC7" s="2064"/>
      <c r="CD7" s="2064"/>
      <c r="CE7" s="2064"/>
      <c r="CF7" s="2064"/>
      <c r="CG7" s="2064"/>
      <c r="CH7" s="2064"/>
      <c r="CI7" s="2064"/>
      <c r="CJ7" s="2064"/>
      <c r="CK7" s="2064"/>
      <c r="CL7" s="2064"/>
      <c r="CM7" s="2064"/>
      <c r="CN7" s="2064"/>
      <c r="CO7" s="2064"/>
      <c r="CP7" s="2064"/>
      <c r="CQ7" s="2064"/>
      <c r="CR7" s="2064"/>
      <c r="CS7" s="2064"/>
      <c r="CT7" s="2064"/>
      <c r="CU7" s="2064"/>
      <c r="CV7" s="2064"/>
      <c r="CW7" s="2064"/>
      <c r="CX7" s="2064"/>
      <c r="CY7" s="2064"/>
      <c r="CZ7" s="2064"/>
      <c r="DA7" s="2064"/>
      <c r="DB7" s="2064"/>
      <c r="DC7" s="2064"/>
      <c r="DD7" s="2064"/>
      <c r="DE7" s="2064"/>
      <c r="DF7" s="2064"/>
      <c r="DG7" s="2064"/>
      <c r="DH7" s="2064"/>
      <c r="DI7" s="2064"/>
      <c r="DJ7" s="189"/>
      <c r="DK7" s="197"/>
      <c r="DL7" s="2074">
        <f>'報告_短期P7-10'!AZ139</f>
        <v>1312</v>
      </c>
      <c r="DM7" s="2074"/>
      <c r="DN7" s="2074"/>
      <c r="DO7" s="2074"/>
      <c r="DP7" s="2074"/>
      <c r="DQ7" s="2074"/>
      <c r="DR7" s="2074"/>
      <c r="DS7" s="2074"/>
      <c r="DT7" s="2074"/>
      <c r="DU7" s="2074"/>
      <c r="DV7" s="2074"/>
      <c r="DW7" s="2074"/>
      <c r="DX7" s="2074"/>
      <c r="DY7" s="2074"/>
      <c r="DZ7" s="2074"/>
      <c r="EA7" s="2074"/>
      <c r="EB7" s="2074"/>
      <c r="EC7" s="2074"/>
      <c r="ED7" s="2074"/>
      <c r="EE7" s="2074"/>
      <c r="EF7" s="2074"/>
      <c r="EG7" s="2074"/>
      <c r="EH7" s="2074"/>
      <c r="EI7" s="2087">
        <f>'報告_短期P7-10'!BW139</f>
        <v>24331</v>
      </c>
      <c r="EJ7" s="2087"/>
      <c r="EK7" s="2087"/>
      <c r="EL7" s="2087"/>
      <c r="EM7" s="2087"/>
      <c r="EN7" s="2087"/>
      <c r="EO7" s="2087"/>
      <c r="EP7" s="2087"/>
      <c r="EQ7" s="2087"/>
      <c r="ER7" s="2087"/>
      <c r="ES7" s="2087"/>
      <c r="ET7" s="2087"/>
      <c r="EU7" s="2087"/>
      <c r="EV7" s="2087"/>
      <c r="EW7" s="2087"/>
      <c r="EX7" s="2087"/>
      <c r="EY7" s="2087"/>
      <c r="EZ7" s="2087"/>
      <c r="FA7" s="2087"/>
      <c r="FB7" s="2055">
        <f>'報告_短期P7-10'!CP139</f>
        <v>5084491</v>
      </c>
      <c r="FC7" s="2055"/>
      <c r="FD7" s="2055"/>
      <c r="FE7" s="2055"/>
      <c r="FF7" s="2055"/>
      <c r="FG7" s="2055"/>
      <c r="FH7" s="2055"/>
      <c r="FI7" s="2055"/>
      <c r="FJ7" s="2055"/>
      <c r="FK7" s="2055"/>
      <c r="FL7" s="2055"/>
      <c r="FM7" s="2055"/>
      <c r="FN7" s="2055"/>
      <c r="FO7" s="2055"/>
      <c r="FP7" s="2055"/>
      <c r="FQ7" s="2055"/>
      <c r="FR7" s="2055"/>
      <c r="FS7" s="2055"/>
      <c r="FT7" s="2055"/>
      <c r="FU7" s="2055"/>
      <c r="FV7" s="2055"/>
      <c r="FW7" s="2055"/>
      <c r="FX7" s="2055"/>
      <c r="FY7" s="2055"/>
      <c r="FZ7" s="2055"/>
      <c r="GA7" s="2055"/>
      <c r="GB7" s="2055"/>
      <c r="GC7" s="2055"/>
      <c r="GD7" s="2074">
        <f>'報告_短期P7-10'!DR139</f>
        <v>1274</v>
      </c>
      <c r="GE7" s="2074"/>
      <c r="GF7" s="2074"/>
      <c r="GG7" s="2074"/>
      <c r="GH7" s="2074"/>
      <c r="GI7" s="2074"/>
      <c r="GJ7" s="2074"/>
      <c r="GK7" s="2074"/>
      <c r="GL7" s="2074"/>
      <c r="GM7" s="2074"/>
      <c r="GN7" s="2074"/>
      <c r="GO7" s="2074"/>
      <c r="GP7" s="2074"/>
      <c r="GQ7" s="2074"/>
      <c r="GR7" s="2074"/>
      <c r="GS7" s="2074"/>
      <c r="GT7" s="2074"/>
      <c r="GU7" s="2074"/>
      <c r="GV7" s="2074"/>
      <c r="GW7" s="2074"/>
      <c r="GX7" s="2074"/>
      <c r="GY7" s="2074"/>
      <c r="GZ7" s="2074"/>
      <c r="HA7" s="2087">
        <f>'報告_短期P7-10'!EO139</f>
        <v>23538</v>
      </c>
      <c r="HB7" s="2087"/>
      <c r="HC7" s="2087"/>
      <c r="HD7" s="2087"/>
      <c r="HE7" s="2087"/>
      <c r="HF7" s="2087"/>
      <c r="HG7" s="2087"/>
      <c r="HH7" s="2087"/>
      <c r="HI7" s="2087"/>
      <c r="HJ7" s="2087"/>
      <c r="HK7" s="2087"/>
      <c r="HL7" s="2087"/>
      <c r="HM7" s="2087"/>
      <c r="HN7" s="2087"/>
      <c r="HO7" s="2087"/>
      <c r="HP7" s="2087"/>
      <c r="HQ7" s="2087"/>
      <c r="HR7" s="2087"/>
      <c r="HS7" s="2087"/>
      <c r="HT7" s="2055">
        <f>'報告_短期P7-10'!FH139</f>
        <v>4984573</v>
      </c>
      <c r="HU7" s="2055"/>
      <c r="HV7" s="2055"/>
      <c r="HW7" s="2055"/>
      <c r="HX7" s="2055"/>
      <c r="HY7" s="2055"/>
      <c r="HZ7" s="2055"/>
      <c r="IA7" s="2055"/>
      <c r="IB7" s="2055"/>
      <c r="IC7" s="2055"/>
      <c r="ID7" s="2055"/>
      <c r="IE7" s="2055"/>
      <c r="IF7" s="2055"/>
      <c r="IG7" s="2055"/>
      <c r="IH7" s="2055"/>
      <c r="II7" s="2055"/>
      <c r="IJ7" s="2055"/>
      <c r="IK7" s="2055"/>
      <c r="IL7" s="2055"/>
      <c r="IM7" s="2055"/>
      <c r="IN7" s="2055"/>
      <c r="IO7" s="2055"/>
      <c r="IP7" s="2055"/>
      <c r="IQ7" s="2055"/>
      <c r="IR7" s="2055"/>
      <c r="IS7" s="2055"/>
      <c r="IT7" s="2055"/>
      <c r="IU7" s="2055"/>
    </row>
    <row r="8" spans="1:255" s="222" customFormat="1" ht="24" customHeight="1">
      <c r="A8" s="2035"/>
      <c r="B8" s="2035"/>
      <c r="C8" s="223"/>
      <c r="D8" s="2073" t="s">
        <v>61</v>
      </c>
      <c r="E8" s="2073"/>
      <c r="F8" s="2073"/>
      <c r="G8" s="2073"/>
      <c r="H8" s="2073"/>
      <c r="I8" s="2073"/>
      <c r="J8" s="2073"/>
      <c r="K8" s="2073"/>
      <c r="L8" s="2073"/>
      <c r="M8" s="2073"/>
      <c r="N8" s="2073"/>
      <c r="O8" s="224"/>
      <c r="P8" s="2110"/>
      <c r="Q8" s="2110"/>
      <c r="R8" s="2110"/>
      <c r="S8" s="2110"/>
      <c r="T8" s="2110"/>
      <c r="U8" s="2110"/>
      <c r="V8" s="2107"/>
      <c r="W8" s="2107"/>
      <c r="X8" s="2107"/>
      <c r="Y8" s="2107"/>
      <c r="Z8" s="2102">
        <f>ROUND(FB9/DL9,0)</f>
        <v>6451</v>
      </c>
      <c r="AA8" s="2102"/>
      <c r="AB8" s="2102"/>
      <c r="AC8" s="2102"/>
      <c r="AD8" s="2102">
        <f>ROUND(HT9/GD9,0)</f>
        <v>5978</v>
      </c>
      <c r="AE8" s="2102"/>
      <c r="AF8" s="2102"/>
      <c r="AG8" s="2102"/>
      <c r="AH8" s="2098">
        <f t="shared" si="0"/>
        <v>107.91</v>
      </c>
      <c r="AI8" s="2098"/>
      <c r="AJ8" s="2098"/>
      <c r="AK8" s="2098"/>
      <c r="AL8" s="2112"/>
      <c r="AM8" s="2112"/>
      <c r="AN8" s="2112"/>
      <c r="AO8" s="2112"/>
      <c r="AP8" s="2112"/>
      <c r="AQ8" s="2112"/>
      <c r="AR8" s="2112"/>
      <c r="AS8" s="2112"/>
      <c r="AT8" s="2107"/>
      <c r="AU8" s="2107"/>
      <c r="AV8" s="2107"/>
      <c r="AW8" s="2107"/>
      <c r="AX8" s="2107"/>
      <c r="AY8" s="2107"/>
      <c r="AZ8" s="2107"/>
      <c r="BA8" s="2107"/>
      <c r="BB8" s="2107"/>
      <c r="BC8" s="2107"/>
      <c r="BD8" s="2107"/>
      <c r="BE8" s="2107"/>
      <c r="BF8" s="2107"/>
      <c r="BG8" s="2107"/>
      <c r="BH8" s="2107"/>
      <c r="BI8" s="2107"/>
      <c r="BM8" s="1958"/>
      <c r="BN8" s="1958"/>
      <c r="BO8" s="167"/>
      <c r="BP8" s="167"/>
      <c r="BQ8" s="218"/>
      <c r="BR8" s="219"/>
      <c r="BS8" s="211"/>
      <c r="BT8" s="1932" t="s">
        <v>61</v>
      </c>
      <c r="BU8" s="1932"/>
      <c r="BV8" s="1932"/>
      <c r="BW8" s="1932"/>
      <c r="BX8" s="1932"/>
      <c r="BY8" s="1932"/>
      <c r="BZ8" s="1932"/>
      <c r="CA8" s="1932"/>
      <c r="CB8" s="1932"/>
      <c r="CC8" s="1932"/>
      <c r="CD8" s="1932"/>
      <c r="CE8" s="1932"/>
      <c r="CF8" s="1932"/>
      <c r="CG8" s="1932"/>
      <c r="CH8" s="1932"/>
      <c r="CI8" s="1932"/>
      <c r="CJ8" s="1932"/>
      <c r="CK8" s="1932"/>
      <c r="CL8" s="1932"/>
      <c r="CM8" s="1932"/>
      <c r="CN8" s="1932"/>
      <c r="CO8" s="1932"/>
      <c r="CP8" s="1932"/>
      <c r="CQ8" s="1932"/>
      <c r="CR8" s="1932"/>
      <c r="CS8" s="1932"/>
      <c r="CT8" s="1932"/>
      <c r="CU8" s="1932"/>
      <c r="CV8" s="1932"/>
      <c r="CW8" s="1932"/>
      <c r="CX8" s="1932"/>
      <c r="CY8" s="1932"/>
      <c r="CZ8" s="1932"/>
      <c r="DA8" s="1932"/>
      <c r="DB8" s="1932"/>
      <c r="DC8" s="1932"/>
      <c r="DD8" s="1932"/>
      <c r="DE8" s="1932"/>
      <c r="DF8" s="1932"/>
      <c r="DG8" s="1932"/>
      <c r="DH8" s="1932"/>
      <c r="DI8" s="1932"/>
      <c r="DJ8" s="211"/>
      <c r="DK8" s="220"/>
      <c r="DL8" s="2084"/>
      <c r="DM8" s="2084"/>
      <c r="DN8" s="2084"/>
      <c r="DO8" s="2084"/>
      <c r="DP8" s="2084"/>
      <c r="DQ8" s="2084"/>
      <c r="DR8" s="2084"/>
      <c r="DS8" s="2084"/>
      <c r="DT8" s="2084"/>
      <c r="DU8" s="2084"/>
      <c r="DV8" s="2084"/>
      <c r="DW8" s="2084"/>
      <c r="DX8" s="2084"/>
      <c r="DY8" s="2084"/>
      <c r="DZ8" s="2084"/>
      <c r="EA8" s="2084"/>
      <c r="EB8" s="2084"/>
      <c r="EC8" s="2084"/>
      <c r="ED8" s="2084"/>
      <c r="EE8" s="2084"/>
      <c r="EF8" s="2084"/>
      <c r="EG8" s="2084"/>
      <c r="EH8" s="2084"/>
      <c r="EI8" s="2084"/>
      <c r="EJ8" s="2084"/>
      <c r="EK8" s="2084"/>
      <c r="EL8" s="2084"/>
      <c r="EM8" s="2084"/>
      <c r="EN8" s="2084"/>
      <c r="EO8" s="2084"/>
      <c r="EP8" s="2084"/>
      <c r="EQ8" s="2084"/>
      <c r="ER8" s="2084"/>
      <c r="ES8" s="2084"/>
      <c r="ET8" s="2084"/>
      <c r="EU8" s="2084"/>
      <c r="EV8" s="2084"/>
      <c r="EW8" s="2084"/>
      <c r="EX8" s="2084"/>
      <c r="EY8" s="2084"/>
      <c r="EZ8" s="2084"/>
      <c r="FA8" s="2084"/>
      <c r="FB8" s="2085"/>
      <c r="FC8" s="2085"/>
      <c r="FD8" s="2085"/>
      <c r="FE8" s="2085"/>
      <c r="FF8" s="2085"/>
      <c r="FG8" s="2085"/>
      <c r="FH8" s="2085"/>
      <c r="FI8" s="2085"/>
      <c r="FJ8" s="2085"/>
      <c r="FK8" s="2085"/>
      <c r="FL8" s="2085"/>
      <c r="FM8" s="2085"/>
      <c r="FN8" s="2085"/>
      <c r="FO8" s="2085"/>
      <c r="FP8" s="2085"/>
      <c r="FQ8" s="2085"/>
      <c r="FR8" s="2085"/>
      <c r="FS8" s="2085"/>
      <c r="FT8" s="2085"/>
      <c r="FU8" s="2085"/>
      <c r="FV8" s="2085"/>
      <c r="FW8" s="2085"/>
      <c r="FX8" s="2085"/>
      <c r="FY8" s="2085"/>
      <c r="FZ8" s="2085"/>
      <c r="GA8" s="2085"/>
      <c r="GB8" s="2085"/>
      <c r="GC8" s="2085"/>
      <c r="GD8" s="2084">
        <f>'報告_短期P7-10'!DR140</f>
        <v>0</v>
      </c>
      <c r="GE8" s="2084"/>
      <c r="GF8" s="2084"/>
      <c r="GG8" s="2084"/>
      <c r="GH8" s="2084"/>
      <c r="GI8" s="2084"/>
      <c r="GJ8" s="2084"/>
      <c r="GK8" s="2084"/>
      <c r="GL8" s="2084"/>
      <c r="GM8" s="2084"/>
      <c r="GN8" s="2084"/>
      <c r="GO8" s="2084"/>
      <c r="GP8" s="2084"/>
      <c r="GQ8" s="2084"/>
      <c r="GR8" s="2084"/>
      <c r="GS8" s="2084"/>
      <c r="GT8" s="2084"/>
      <c r="GU8" s="2084"/>
      <c r="GV8" s="2084"/>
      <c r="GW8" s="2084"/>
      <c r="GX8" s="2084"/>
      <c r="GY8" s="2084"/>
      <c r="GZ8" s="2084"/>
      <c r="HA8" s="2084">
        <f>'報告_短期P7-10'!EO140</f>
        <v>0</v>
      </c>
      <c r="HB8" s="2084"/>
      <c r="HC8" s="2084"/>
      <c r="HD8" s="2084"/>
      <c r="HE8" s="2084"/>
      <c r="HF8" s="2084"/>
      <c r="HG8" s="2084"/>
      <c r="HH8" s="2084"/>
      <c r="HI8" s="2084"/>
      <c r="HJ8" s="2084"/>
      <c r="HK8" s="2084"/>
      <c r="HL8" s="2084"/>
      <c r="HM8" s="2084"/>
      <c r="HN8" s="2084"/>
      <c r="HO8" s="2084"/>
      <c r="HP8" s="2084"/>
      <c r="HQ8" s="2084"/>
      <c r="HR8" s="2084"/>
      <c r="HS8" s="2084"/>
      <c r="HT8" s="2085">
        <f>'報告_短期P7-10'!FH140</f>
        <v>0</v>
      </c>
      <c r="HU8" s="2085"/>
      <c r="HV8" s="2085"/>
      <c r="HW8" s="2085"/>
      <c r="HX8" s="2085"/>
      <c r="HY8" s="2085"/>
      <c r="HZ8" s="2085"/>
      <c r="IA8" s="2085"/>
      <c r="IB8" s="2085"/>
      <c r="IC8" s="2085"/>
      <c r="ID8" s="2085"/>
      <c r="IE8" s="2085"/>
      <c r="IF8" s="2085"/>
      <c r="IG8" s="2085"/>
      <c r="IH8" s="2085"/>
      <c r="II8" s="2085"/>
      <c r="IJ8" s="2085"/>
      <c r="IK8" s="2085"/>
      <c r="IL8" s="2085"/>
      <c r="IM8" s="2085"/>
      <c r="IN8" s="2085"/>
      <c r="IO8" s="2085"/>
      <c r="IP8" s="2085"/>
      <c r="IQ8" s="2085"/>
      <c r="IR8" s="2085"/>
      <c r="IS8" s="2085"/>
      <c r="IT8" s="2085"/>
      <c r="IU8" s="2085"/>
    </row>
    <row r="9" spans="1:255" s="222" customFormat="1" ht="24" customHeight="1">
      <c r="A9" s="2035"/>
      <c r="B9" s="2035"/>
      <c r="C9" s="225"/>
      <c r="D9" s="2117" t="s">
        <v>53</v>
      </c>
      <c r="E9" s="2117"/>
      <c r="F9" s="2117"/>
      <c r="G9" s="2117"/>
      <c r="H9" s="2117"/>
      <c r="I9" s="2117"/>
      <c r="J9" s="2117"/>
      <c r="K9" s="2117"/>
      <c r="L9" s="2117"/>
      <c r="M9" s="2117"/>
      <c r="N9" s="2117"/>
      <c r="O9" s="226"/>
      <c r="P9" s="2113">
        <f>ROUND(EI10/DL10,2)</f>
        <v>5.64</v>
      </c>
      <c r="Q9" s="2113"/>
      <c r="R9" s="2113"/>
      <c r="S9" s="2113">
        <f>ROUND(HA10/GD10,2)</f>
        <v>5.69</v>
      </c>
      <c r="T9" s="2113"/>
      <c r="U9" s="2113"/>
      <c r="V9" s="2098">
        <f>ROUND(P9/S9*100,2)</f>
        <v>99.12</v>
      </c>
      <c r="W9" s="2098"/>
      <c r="X9" s="2098"/>
      <c r="Y9" s="2098"/>
      <c r="Z9" s="2102">
        <f>ROUND(FB10/DL10,0)</f>
        <v>46158</v>
      </c>
      <c r="AA9" s="2102"/>
      <c r="AB9" s="2102"/>
      <c r="AC9" s="2102"/>
      <c r="AD9" s="2102">
        <f>ROUND(HT10/GD10,0)</f>
        <v>66577</v>
      </c>
      <c r="AE9" s="2102"/>
      <c r="AF9" s="2102"/>
      <c r="AG9" s="2102"/>
      <c r="AH9" s="2098">
        <f t="shared" si="0"/>
        <v>69.33</v>
      </c>
      <c r="AI9" s="2098"/>
      <c r="AJ9" s="2098"/>
      <c r="AK9" s="2098"/>
      <c r="AL9" s="2102">
        <f>ROUND(FB10/EI10,0)</f>
        <v>8185</v>
      </c>
      <c r="AM9" s="2102"/>
      <c r="AN9" s="2102"/>
      <c r="AO9" s="2102"/>
      <c r="AP9" s="2102">
        <f>ROUND(HT10/HA10,0)</f>
        <v>11696</v>
      </c>
      <c r="AQ9" s="2102"/>
      <c r="AR9" s="2102"/>
      <c r="AS9" s="2102"/>
      <c r="AT9" s="2098">
        <f>ROUND(AL9/AP9*100,2)</f>
        <v>69.98</v>
      </c>
      <c r="AU9" s="2098"/>
      <c r="AV9" s="2098"/>
      <c r="AW9" s="2098"/>
      <c r="AX9" s="2107"/>
      <c r="AY9" s="2107"/>
      <c r="AZ9" s="2107"/>
      <c r="BA9" s="2107"/>
      <c r="BB9" s="2107"/>
      <c r="BC9" s="2107"/>
      <c r="BD9" s="2107"/>
      <c r="BE9" s="2107"/>
      <c r="BF9" s="2107"/>
      <c r="BG9" s="2107"/>
      <c r="BH9" s="2107"/>
      <c r="BI9" s="2107"/>
      <c r="BM9" s="1958"/>
      <c r="BN9" s="1958"/>
      <c r="BO9" s="167"/>
      <c r="BP9" s="167"/>
      <c r="BQ9" s="218"/>
      <c r="BR9" s="190"/>
      <c r="BS9" s="191"/>
      <c r="BT9" s="1932"/>
      <c r="BU9" s="1932"/>
      <c r="BV9" s="1932"/>
      <c r="BW9" s="1932"/>
      <c r="BX9" s="1932"/>
      <c r="BY9" s="1932"/>
      <c r="BZ9" s="1932"/>
      <c r="CA9" s="1932"/>
      <c r="CB9" s="1932"/>
      <c r="CC9" s="1932"/>
      <c r="CD9" s="1932"/>
      <c r="CE9" s="1932"/>
      <c r="CF9" s="1932"/>
      <c r="CG9" s="1932"/>
      <c r="CH9" s="1932"/>
      <c r="CI9" s="1932"/>
      <c r="CJ9" s="1932"/>
      <c r="CK9" s="1932"/>
      <c r="CL9" s="1932"/>
      <c r="CM9" s="1932"/>
      <c r="CN9" s="1932"/>
      <c r="CO9" s="1932"/>
      <c r="CP9" s="1932"/>
      <c r="CQ9" s="1932"/>
      <c r="CR9" s="1932"/>
      <c r="CS9" s="1932"/>
      <c r="CT9" s="1932"/>
      <c r="CU9" s="1932"/>
      <c r="CV9" s="1932"/>
      <c r="CW9" s="1932"/>
      <c r="CX9" s="1932"/>
      <c r="CY9" s="1932"/>
      <c r="CZ9" s="1932"/>
      <c r="DA9" s="1932"/>
      <c r="DB9" s="1932"/>
      <c r="DC9" s="1932"/>
      <c r="DD9" s="1932"/>
      <c r="DE9" s="1932"/>
      <c r="DF9" s="1932"/>
      <c r="DG9" s="1932"/>
      <c r="DH9" s="1932"/>
      <c r="DI9" s="1932"/>
      <c r="DJ9" s="191"/>
      <c r="DK9" s="214"/>
      <c r="DL9" s="2086">
        <f>'報告_短期P7-10'!AZ141</f>
        <v>106878</v>
      </c>
      <c r="DM9" s="2086"/>
      <c r="DN9" s="2086"/>
      <c r="DO9" s="2086"/>
      <c r="DP9" s="2086"/>
      <c r="DQ9" s="2086"/>
      <c r="DR9" s="2086"/>
      <c r="DS9" s="2086"/>
      <c r="DT9" s="2086"/>
      <c r="DU9" s="2086"/>
      <c r="DV9" s="2086"/>
      <c r="DW9" s="2086"/>
      <c r="DX9" s="2086"/>
      <c r="DY9" s="2086"/>
      <c r="DZ9" s="2086"/>
      <c r="EA9" s="2086"/>
      <c r="EB9" s="2086"/>
      <c r="EC9" s="2086"/>
      <c r="ED9" s="2086"/>
      <c r="EE9" s="2086"/>
      <c r="EF9" s="2086"/>
      <c r="EG9" s="2086"/>
      <c r="EH9" s="2086"/>
      <c r="EI9" s="2086">
        <f>'報告_短期P7-10'!BW141</f>
        <v>122721</v>
      </c>
      <c r="EJ9" s="2086"/>
      <c r="EK9" s="2086"/>
      <c r="EL9" s="2086"/>
      <c r="EM9" s="2086"/>
      <c r="EN9" s="2086"/>
      <c r="EO9" s="2086"/>
      <c r="EP9" s="2086"/>
      <c r="EQ9" s="2086"/>
      <c r="ER9" s="2086"/>
      <c r="ES9" s="2086"/>
      <c r="ET9" s="2086"/>
      <c r="EU9" s="2086"/>
      <c r="EV9" s="2086"/>
      <c r="EW9" s="2086"/>
      <c r="EX9" s="2086"/>
      <c r="EY9" s="2086"/>
      <c r="EZ9" s="2086"/>
      <c r="FA9" s="2086"/>
      <c r="FB9" s="2077">
        <f>'報告_短期P7-10'!CP141</f>
        <v>689489860</v>
      </c>
      <c r="FC9" s="2077"/>
      <c r="FD9" s="2077"/>
      <c r="FE9" s="2077"/>
      <c r="FF9" s="2077"/>
      <c r="FG9" s="2077"/>
      <c r="FH9" s="2077"/>
      <c r="FI9" s="2077"/>
      <c r="FJ9" s="2077"/>
      <c r="FK9" s="2077"/>
      <c r="FL9" s="2077"/>
      <c r="FM9" s="2077"/>
      <c r="FN9" s="2077"/>
      <c r="FO9" s="2077"/>
      <c r="FP9" s="2077"/>
      <c r="FQ9" s="2077"/>
      <c r="FR9" s="2077"/>
      <c r="FS9" s="2077"/>
      <c r="FT9" s="2077"/>
      <c r="FU9" s="2077"/>
      <c r="FV9" s="2077"/>
      <c r="FW9" s="2077"/>
      <c r="FX9" s="2077"/>
      <c r="FY9" s="2077"/>
      <c r="FZ9" s="2077"/>
      <c r="GA9" s="2077"/>
      <c r="GB9" s="2077"/>
      <c r="GC9" s="2077"/>
      <c r="GD9" s="2072">
        <f>'報告_短期P7-10'!DR141</f>
        <v>105406</v>
      </c>
      <c r="GE9" s="2072"/>
      <c r="GF9" s="2072"/>
      <c r="GG9" s="2072"/>
      <c r="GH9" s="2072"/>
      <c r="GI9" s="2072"/>
      <c r="GJ9" s="2072"/>
      <c r="GK9" s="2072"/>
      <c r="GL9" s="2072"/>
      <c r="GM9" s="2072"/>
      <c r="GN9" s="2072"/>
      <c r="GO9" s="2072"/>
      <c r="GP9" s="2072"/>
      <c r="GQ9" s="2072"/>
      <c r="GR9" s="2072"/>
      <c r="GS9" s="2072"/>
      <c r="GT9" s="2072"/>
      <c r="GU9" s="2072"/>
      <c r="GV9" s="2072"/>
      <c r="GW9" s="2072"/>
      <c r="GX9" s="2072"/>
      <c r="GY9" s="2072"/>
      <c r="GZ9" s="2072"/>
      <c r="HA9" s="2072">
        <f>'報告_短期P7-10'!EO141</f>
        <v>121864</v>
      </c>
      <c r="HB9" s="2072"/>
      <c r="HC9" s="2072"/>
      <c r="HD9" s="2072"/>
      <c r="HE9" s="2072"/>
      <c r="HF9" s="2072"/>
      <c r="HG9" s="2072"/>
      <c r="HH9" s="2072"/>
      <c r="HI9" s="2072"/>
      <c r="HJ9" s="2072"/>
      <c r="HK9" s="2072"/>
      <c r="HL9" s="2072"/>
      <c r="HM9" s="2072"/>
      <c r="HN9" s="2072"/>
      <c r="HO9" s="2072"/>
      <c r="HP9" s="2072"/>
      <c r="HQ9" s="2072"/>
      <c r="HR9" s="2072"/>
      <c r="HS9" s="2072"/>
      <c r="HT9" s="2071">
        <f>'報告_短期P7-10'!FH141</f>
        <v>630097278</v>
      </c>
      <c r="HU9" s="2071"/>
      <c r="HV9" s="2071"/>
      <c r="HW9" s="2071"/>
      <c r="HX9" s="2071"/>
      <c r="HY9" s="2071"/>
      <c r="HZ9" s="2071"/>
      <c r="IA9" s="2071"/>
      <c r="IB9" s="2071"/>
      <c r="IC9" s="2071"/>
      <c r="ID9" s="2071"/>
      <c r="IE9" s="2071"/>
      <c r="IF9" s="2071"/>
      <c r="IG9" s="2071"/>
      <c r="IH9" s="2071"/>
      <c r="II9" s="2071"/>
      <c r="IJ9" s="2071"/>
      <c r="IK9" s="2071"/>
      <c r="IL9" s="2071"/>
      <c r="IM9" s="2071"/>
      <c r="IN9" s="2071"/>
      <c r="IO9" s="2071"/>
      <c r="IP9" s="2071"/>
      <c r="IQ9" s="2071"/>
      <c r="IR9" s="2071"/>
      <c r="IS9" s="2071"/>
      <c r="IT9" s="2071"/>
      <c r="IU9" s="2071"/>
    </row>
    <row r="10" spans="1:255" s="222" customFormat="1" ht="24" customHeight="1">
      <c r="A10" s="2035"/>
      <c r="B10" s="2035"/>
      <c r="C10" s="225"/>
      <c r="D10" s="2030" t="s">
        <v>62</v>
      </c>
      <c r="E10" s="2030"/>
      <c r="F10" s="2030"/>
      <c r="G10" s="2030"/>
      <c r="H10" s="2030"/>
      <c r="I10" s="2030"/>
      <c r="J10" s="2030"/>
      <c r="K10" s="2030"/>
      <c r="L10" s="2030"/>
      <c r="M10" s="2030"/>
      <c r="N10" s="2030"/>
      <c r="O10" s="226"/>
      <c r="P10" s="2110"/>
      <c r="Q10" s="2110"/>
      <c r="R10" s="2110"/>
      <c r="S10" s="2110"/>
      <c r="T10" s="2110"/>
      <c r="U10" s="2110"/>
      <c r="V10" s="2107"/>
      <c r="W10" s="2107"/>
      <c r="X10" s="2107"/>
      <c r="Y10" s="2107"/>
      <c r="Z10" s="2112"/>
      <c r="AA10" s="2112"/>
      <c r="AB10" s="2112"/>
      <c r="AC10" s="2112"/>
      <c r="AD10" s="2112"/>
      <c r="AE10" s="2112"/>
      <c r="AF10" s="2112"/>
      <c r="AG10" s="2112"/>
      <c r="AH10" s="2107"/>
      <c r="AI10" s="2107"/>
      <c r="AJ10" s="2107"/>
      <c r="AK10" s="2107"/>
      <c r="AL10" s="2112"/>
      <c r="AM10" s="2112"/>
      <c r="AN10" s="2112"/>
      <c r="AO10" s="2112"/>
      <c r="AP10" s="2112"/>
      <c r="AQ10" s="2112"/>
      <c r="AR10" s="2112"/>
      <c r="AS10" s="2112"/>
      <c r="AT10" s="2107"/>
      <c r="AU10" s="2107"/>
      <c r="AV10" s="2107"/>
      <c r="AW10" s="2107"/>
      <c r="AX10" s="2107"/>
      <c r="AY10" s="2107"/>
      <c r="AZ10" s="2107"/>
      <c r="BA10" s="2107"/>
      <c r="BB10" s="2107"/>
      <c r="BC10" s="2107"/>
      <c r="BD10" s="2107"/>
      <c r="BE10" s="2107"/>
      <c r="BF10" s="2107"/>
      <c r="BG10" s="2107"/>
      <c r="BH10" s="2107"/>
      <c r="BI10" s="2107"/>
      <c r="BM10" s="1958"/>
      <c r="BN10" s="1958"/>
      <c r="BO10" s="167"/>
      <c r="BP10" s="167"/>
      <c r="BQ10" s="218"/>
      <c r="BR10" s="188"/>
      <c r="BS10" s="189"/>
      <c r="BT10" s="1932" t="s">
        <v>53</v>
      </c>
      <c r="BU10" s="1932"/>
      <c r="BV10" s="1932"/>
      <c r="BW10" s="1932"/>
      <c r="BX10" s="1932"/>
      <c r="BY10" s="1932"/>
      <c r="BZ10" s="1932"/>
      <c r="CA10" s="1932"/>
      <c r="CB10" s="1932"/>
      <c r="CC10" s="1932"/>
      <c r="CD10" s="1932"/>
      <c r="CE10" s="1932"/>
      <c r="CF10" s="1932"/>
      <c r="CG10" s="1932"/>
      <c r="CH10" s="1932"/>
      <c r="CI10" s="1932"/>
      <c r="CJ10" s="1932"/>
      <c r="CK10" s="1932"/>
      <c r="CL10" s="1932"/>
      <c r="CM10" s="1932"/>
      <c r="CN10" s="1932"/>
      <c r="CO10" s="1932"/>
      <c r="CP10" s="1932"/>
      <c r="CQ10" s="1932"/>
      <c r="CR10" s="1932"/>
      <c r="CS10" s="1932"/>
      <c r="CT10" s="1932"/>
      <c r="CU10" s="1932"/>
      <c r="CV10" s="1932"/>
      <c r="CW10" s="1932"/>
      <c r="CX10" s="1932"/>
      <c r="CY10" s="1932"/>
      <c r="CZ10" s="1932"/>
      <c r="DA10" s="1932"/>
      <c r="DB10" s="1932"/>
      <c r="DC10" s="1932"/>
      <c r="DD10" s="1932"/>
      <c r="DE10" s="1932"/>
      <c r="DF10" s="1932"/>
      <c r="DG10" s="1932"/>
      <c r="DH10" s="1932"/>
      <c r="DI10" s="1932"/>
      <c r="DJ10" s="189"/>
      <c r="DK10" s="197"/>
      <c r="DL10" s="2074">
        <f>'報告_短期P7-10'!AZ142</f>
        <v>219</v>
      </c>
      <c r="DM10" s="2074"/>
      <c r="DN10" s="2074"/>
      <c r="DO10" s="2074"/>
      <c r="DP10" s="2074"/>
      <c r="DQ10" s="2074"/>
      <c r="DR10" s="2074"/>
      <c r="DS10" s="2074"/>
      <c r="DT10" s="2074"/>
      <c r="DU10" s="2074"/>
      <c r="DV10" s="2074"/>
      <c r="DW10" s="2074"/>
      <c r="DX10" s="2074"/>
      <c r="DY10" s="2074"/>
      <c r="DZ10" s="2074"/>
      <c r="EA10" s="2074"/>
      <c r="EB10" s="2074"/>
      <c r="EC10" s="2074"/>
      <c r="ED10" s="2074"/>
      <c r="EE10" s="2074"/>
      <c r="EF10" s="2074"/>
      <c r="EG10" s="2074"/>
      <c r="EH10" s="2074"/>
      <c r="EI10" s="2055">
        <f>'報告_短期P7-10'!BW142</f>
        <v>1235</v>
      </c>
      <c r="EJ10" s="2055"/>
      <c r="EK10" s="2055"/>
      <c r="EL10" s="2055"/>
      <c r="EM10" s="2055"/>
      <c r="EN10" s="2055"/>
      <c r="EO10" s="2055"/>
      <c r="EP10" s="2055"/>
      <c r="EQ10" s="2055"/>
      <c r="ER10" s="2055"/>
      <c r="ES10" s="2055"/>
      <c r="ET10" s="2055"/>
      <c r="EU10" s="2055"/>
      <c r="EV10" s="2055"/>
      <c r="EW10" s="2055"/>
      <c r="EX10" s="2055"/>
      <c r="EY10" s="2055"/>
      <c r="EZ10" s="2055"/>
      <c r="FA10" s="2055"/>
      <c r="FB10" s="2055">
        <f>'報告_短期P7-10'!CP142</f>
        <v>10108630</v>
      </c>
      <c r="FC10" s="2055"/>
      <c r="FD10" s="2055"/>
      <c r="FE10" s="2055"/>
      <c r="FF10" s="2055"/>
      <c r="FG10" s="2055"/>
      <c r="FH10" s="2055"/>
      <c r="FI10" s="2055"/>
      <c r="FJ10" s="2055"/>
      <c r="FK10" s="2055"/>
      <c r="FL10" s="2055"/>
      <c r="FM10" s="2055"/>
      <c r="FN10" s="2055"/>
      <c r="FO10" s="2055"/>
      <c r="FP10" s="2055"/>
      <c r="FQ10" s="2055"/>
      <c r="FR10" s="2055"/>
      <c r="FS10" s="2055"/>
      <c r="FT10" s="2055"/>
      <c r="FU10" s="2055"/>
      <c r="FV10" s="2055"/>
      <c r="FW10" s="2055"/>
      <c r="FX10" s="2055"/>
      <c r="FY10" s="2055"/>
      <c r="FZ10" s="2055"/>
      <c r="GA10" s="2055"/>
      <c r="GB10" s="2055"/>
      <c r="GC10" s="2055"/>
      <c r="GD10" s="2074">
        <f>'報告_短期P7-10'!DR142</f>
        <v>221</v>
      </c>
      <c r="GE10" s="2074"/>
      <c r="GF10" s="2074"/>
      <c r="GG10" s="2074"/>
      <c r="GH10" s="2074"/>
      <c r="GI10" s="2074"/>
      <c r="GJ10" s="2074"/>
      <c r="GK10" s="2074"/>
      <c r="GL10" s="2074"/>
      <c r="GM10" s="2074"/>
      <c r="GN10" s="2074"/>
      <c r="GO10" s="2074"/>
      <c r="GP10" s="2074"/>
      <c r="GQ10" s="2074"/>
      <c r="GR10" s="2074"/>
      <c r="GS10" s="2074"/>
      <c r="GT10" s="2074"/>
      <c r="GU10" s="2074"/>
      <c r="GV10" s="2074"/>
      <c r="GW10" s="2074"/>
      <c r="GX10" s="2074"/>
      <c r="GY10" s="2074"/>
      <c r="GZ10" s="2074"/>
      <c r="HA10" s="2055">
        <f>'報告_短期P7-10'!EO142</f>
        <v>1258</v>
      </c>
      <c r="HB10" s="2055"/>
      <c r="HC10" s="2055"/>
      <c r="HD10" s="2055"/>
      <c r="HE10" s="2055"/>
      <c r="HF10" s="2055"/>
      <c r="HG10" s="2055"/>
      <c r="HH10" s="2055"/>
      <c r="HI10" s="2055"/>
      <c r="HJ10" s="2055"/>
      <c r="HK10" s="2055"/>
      <c r="HL10" s="2055"/>
      <c r="HM10" s="2055"/>
      <c r="HN10" s="2055"/>
      <c r="HO10" s="2055"/>
      <c r="HP10" s="2055"/>
      <c r="HQ10" s="2055"/>
      <c r="HR10" s="2055"/>
      <c r="HS10" s="2055"/>
      <c r="HT10" s="2055">
        <f>'報告_短期P7-10'!FH142</f>
        <v>14713620</v>
      </c>
      <c r="HU10" s="2055"/>
      <c r="HV10" s="2055"/>
      <c r="HW10" s="2055"/>
      <c r="HX10" s="2055"/>
      <c r="HY10" s="2055"/>
      <c r="HZ10" s="2055"/>
      <c r="IA10" s="2055"/>
      <c r="IB10" s="2055"/>
      <c r="IC10" s="2055"/>
      <c r="ID10" s="2055"/>
      <c r="IE10" s="2055"/>
      <c r="IF10" s="2055"/>
      <c r="IG10" s="2055"/>
      <c r="IH10" s="2055"/>
      <c r="II10" s="2055"/>
      <c r="IJ10" s="2055"/>
      <c r="IK10" s="2055"/>
      <c r="IL10" s="2055"/>
      <c r="IM10" s="2055"/>
      <c r="IN10" s="2055"/>
      <c r="IO10" s="2055"/>
      <c r="IP10" s="2055"/>
      <c r="IQ10" s="2055"/>
      <c r="IR10" s="2055"/>
      <c r="IS10" s="2055"/>
      <c r="IT10" s="2055"/>
      <c r="IU10" s="2055"/>
    </row>
    <row r="11" spans="1:255" s="222" customFormat="1" ht="24" customHeight="1">
      <c r="A11" s="2035"/>
      <c r="B11" s="2035"/>
      <c r="C11" s="227"/>
      <c r="D11" s="2030" t="s">
        <v>351</v>
      </c>
      <c r="E11" s="2030"/>
      <c r="F11" s="2030"/>
      <c r="G11" s="2030"/>
      <c r="H11" s="2030"/>
      <c r="I11" s="2030"/>
      <c r="J11" s="2030"/>
      <c r="K11" s="2030"/>
      <c r="L11" s="2030"/>
      <c r="M11" s="2030"/>
      <c r="N11" s="2030"/>
      <c r="O11" s="226"/>
      <c r="P11" s="2113">
        <f>ROUND(EI12/DL12,2)</f>
        <v>1.42</v>
      </c>
      <c r="Q11" s="2113"/>
      <c r="R11" s="2113"/>
      <c r="S11" s="2113">
        <f>ROUND(HA12/GD12,2)</f>
        <v>1.43</v>
      </c>
      <c r="T11" s="2113"/>
      <c r="U11" s="2113"/>
      <c r="V11" s="2098">
        <f>ROUND(P11/S11*100,2)</f>
        <v>99.3</v>
      </c>
      <c r="W11" s="2098"/>
      <c r="X11" s="2098"/>
      <c r="Y11" s="2098"/>
      <c r="Z11" s="2102">
        <f>ROUND(FB12/DL12,0)</f>
        <v>15075</v>
      </c>
      <c r="AA11" s="2102"/>
      <c r="AB11" s="2102"/>
      <c r="AC11" s="2102"/>
      <c r="AD11" s="2102">
        <f>ROUND(HT12/GD12,0)</f>
        <v>14654</v>
      </c>
      <c r="AE11" s="2102"/>
      <c r="AF11" s="2102"/>
      <c r="AG11" s="2102"/>
      <c r="AH11" s="2098">
        <f t="shared" ref="AH11:AH17" si="1">ROUND(Z11/AD11*100,2)</f>
        <v>102.87</v>
      </c>
      <c r="AI11" s="2098"/>
      <c r="AJ11" s="2098"/>
      <c r="AK11" s="2098"/>
      <c r="AL11" s="2102">
        <f>ROUND(FB12/EI12,0)</f>
        <v>10594</v>
      </c>
      <c r="AM11" s="2102"/>
      <c r="AN11" s="2102"/>
      <c r="AO11" s="2102"/>
      <c r="AP11" s="2102">
        <f>ROUND(HT12/HA12,0)</f>
        <v>10239</v>
      </c>
      <c r="AQ11" s="2102"/>
      <c r="AR11" s="2102"/>
      <c r="AS11" s="2102"/>
      <c r="AT11" s="2098">
        <f>ROUND(AL11/AP11*100,2)</f>
        <v>103.47</v>
      </c>
      <c r="AU11" s="2098"/>
      <c r="AV11" s="2098"/>
      <c r="AW11" s="2098"/>
      <c r="AX11" s="2099">
        <f>ROUND((DL4+DL5+DL6)/DE28*100,2)</f>
        <v>86.2</v>
      </c>
      <c r="AY11" s="2099"/>
      <c r="AZ11" s="2099"/>
      <c r="BA11" s="2099"/>
      <c r="BB11" s="2099">
        <f>ROUND((GD4+GD5+GD6)/DE27*100,2)</f>
        <v>85.78</v>
      </c>
      <c r="BC11" s="2099"/>
      <c r="BD11" s="2099"/>
      <c r="BE11" s="2099"/>
      <c r="BF11" s="2098">
        <f>ROUND(AX11/BB11*100,2)</f>
        <v>100.49</v>
      </c>
      <c r="BG11" s="2098"/>
      <c r="BH11" s="2098"/>
      <c r="BI11" s="2098"/>
      <c r="BM11" s="1962" t="s">
        <v>457</v>
      </c>
      <c r="BN11" s="1962"/>
      <c r="BO11" s="1962"/>
      <c r="BP11" s="1962"/>
      <c r="BQ11" s="1962"/>
      <c r="BR11" s="188"/>
      <c r="BS11" s="189"/>
      <c r="BT11" s="1932" t="s">
        <v>62</v>
      </c>
      <c r="BU11" s="1932"/>
      <c r="BV11" s="1932"/>
      <c r="BW11" s="1932"/>
      <c r="BX11" s="1932"/>
      <c r="BY11" s="1932"/>
      <c r="BZ11" s="1932"/>
      <c r="CA11" s="1932"/>
      <c r="CB11" s="1932"/>
      <c r="CC11" s="1932"/>
      <c r="CD11" s="1932"/>
      <c r="CE11" s="1932"/>
      <c r="CF11" s="1932"/>
      <c r="CG11" s="1932"/>
      <c r="CH11" s="1932"/>
      <c r="CI11" s="1932"/>
      <c r="CJ11" s="1932"/>
      <c r="CK11" s="1932"/>
      <c r="CL11" s="1932"/>
      <c r="CM11" s="1932"/>
      <c r="CN11" s="1932"/>
      <c r="CO11" s="1932"/>
      <c r="CP11" s="1932"/>
      <c r="CQ11" s="1932"/>
      <c r="CR11" s="1932"/>
      <c r="CS11" s="1932"/>
      <c r="CT11" s="1932"/>
      <c r="CU11" s="1932"/>
      <c r="CV11" s="1932"/>
      <c r="CW11" s="1932"/>
      <c r="CX11" s="1932"/>
      <c r="CY11" s="1932"/>
      <c r="CZ11" s="1932"/>
      <c r="DA11" s="1932"/>
      <c r="DB11" s="1932"/>
      <c r="DC11" s="1932"/>
      <c r="DD11" s="1932"/>
      <c r="DE11" s="1932"/>
      <c r="DF11" s="1932"/>
      <c r="DG11" s="1932"/>
      <c r="DH11" s="1932"/>
      <c r="DI11" s="1932"/>
      <c r="DJ11" s="189"/>
      <c r="DK11" s="197"/>
      <c r="DL11" s="2055">
        <f>'報告_短期P7-10'!AZ143</f>
        <v>0</v>
      </c>
      <c r="DM11" s="2055"/>
      <c r="DN11" s="2055"/>
      <c r="DO11" s="2055"/>
      <c r="DP11" s="2055"/>
      <c r="DQ11" s="2055"/>
      <c r="DR11" s="2055"/>
      <c r="DS11" s="2055"/>
      <c r="DT11" s="2055"/>
      <c r="DU11" s="2055"/>
      <c r="DV11" s="2055"/>
      <c r="DW11" s="2055"/>
      <c r="DX11" s="2055"/>
      <c r="DY11" s="2055"/>
      <c r="DZ11" s="2055"/>
      <c r="EA11" s="2055"/>
      <c r="EB11" s="2055"/>
      <c r="EC11" s="2055"/>
      <c r="ED11" s="2055"/>
      <c r="EE11" s="2055"/>
      <c r="EF11" s="2055"/>
      <c r="EG11" s="2055"/>
      <c r="EH11" s="2055"/>
      <c r="EI11" s="2081"/>
      <c r="EJ11" s="2081"/>
      <c r="EK11" s="2081"/>
      <c r="EL11" s="2081"/>
      <c r="EM11" s="2081"/>
      <c r="EN11" s="2081"/>
      <c r="EO11" s="2081"/>
      <c r="EP11" s="2081"/>
      <c r="EQ11" s="2081"/>
      <c r="ER11" s="2081"/>
      <c r="ES11" s="2081"/>
      <c r="ET11" s="2081"/>
      <c r="EU11" s="2081"/>
      <c r="EV11" s="2081"/>
      <c r="EW11" s="2081"/>
      <c r="EX11" s="2081"/>
      <c r="EY11" s="2081"/>
      <c r="EZ11" s="2081"/>
      <c r="FA11" s="2081"/>
      <c r="FB11" s="2055">
        <f>'報告_短期P7-10'!CP143</f>
        <v>0</v>
      </c>
      <c r="FC11" s="2055"/>
      <c r="FD11" s="2055"/>
      <c r="FE11" s="2055"/>
      <c r="FF11" s="2055"/>
      <c r="FG11" s="2055"/>
      <c r="FH11" s="2055"/>
      <c r="FI11" s="2055"/>
      <c r="FJ11" s="2055"/>
      <c r="FK11" s="2055"/>
      <c r="FL11" s="2055"/>
      <c r="FM11" s="2055"/>
      <c r="FN11" s="2055"/>
      <c r="FO11" s="2055"/>
      <c r="FP11" s="2055"/>
      <c r="FQ11" s="2055"/>
      <c r="FR11" s="2055"/>
      <c r="FS11" s="2055"/>
      <c r="FT11" s="2055"/>
      <c r="FU11" s="2055"/>
      <c r="FV11" s="2055"/>
      <c r="FW11" s="2055"/>
      <c r="FX11" s="2055"/>
      <c r="FY11" s="2055"/>
      <c r="FZ11" s="2055"/>
      <c r="GA11" s="2055"/>
      <c r="GB11" s="2055"/>
      <c r="GC11" s="2055"/>
      <c r="GD11" s="2055">
        <f>'報告_短期P7-10'!DR143</f>
        <v>0</v>
      </c>
      <c r="GE11" s="2055"/>
      <c r="GF11" s="2055"/>
      <c r="GG11" s="2055"/>
      <c r="GH11" s="2055"/>
      <c r="GI11" s="2055"/>
      <c r="GJ11" s="2055"/>
      <c r="GK11" s="2055"/>
      <c r="GL11" s="2055"/>
      <c r="GM11" s="2055"/>
      <c r="GN11" s="2055"/>
      <c r="GO11" s="2055"/>
      <c r="GP11" s="2055"/>
      <c r="GQ11" s="2055"/>
      <c r="GR11" s="2055"/>
      <c r="GS11" s="2055"/>
      <c r="GT11" s="2055"/>
      <c r="GU11" s="2055"/>
      <c r="GV11" s="2055"/>
      <c r="GW11" s="2055"/>
      <c r="GX11" s="2055"/>
      <c r="GY11" s="2055"/>
      <c r="GZ11" s="2055"/>
      <c r="HA11" s="2081"/>
      <c r="HB11" s="2081"/>
      <c r="HC11" s="2081"/>
      <c r="HD11" s="2081"/>
      <c r="HE11" s="2081"/>
      <c r="HF11" s="2081"/>
      <c r="HG11" s="2081"/>
      <c r="HH11" s="2081"/>
      <c r="HI11" s="2081"/>
      <c r="HJ11" s="2081"/>
      <c r="HK11" s="2081"/>
      <c r="HL11" s="2081"/>
      <c r="HM11" s="2081"/>
      <c r="HN11" s="2081"/>
      <c r="HO11" s="2081"/>
      <c r="HP11" s="2081"/>
      <c r="HQ11" s="2081"/>
      <c r="HR11" s="2081"/>
      <c r="HS11" s="2081"/>
      <c r="HT11" s="2055">
        <f>'報告_短期P7-10'!FH143</f>
        <v>0</v>
      </c>
      <c r="HU11" s="2055"/>
      <c r="HV11" s="2055"/>
      <c r="HW11" s="2055"/>
      <c r="HX11" s="2055"/>
      <c r="HY11" s="2055"/>
      <c r="HZ11" s="2055"/>
      <c r="IA11" s="2055"/>
      <c r="IB11" s="2055"/>
      <c r="IC11" s="2055"/>
      <c r="ID11" s="2055"/>
      <c r="IE11" s="2055"/>
      <c r="IF11" s="2055"/>
      <c r="IG11" s="2055"/>
      <c r="IH11" s="2055"/>
      <c r="II11" s="2055"/>
      <c r="IJ11" s="2055"/>
      <c r="IK11" s="2055"/>
      <c r="IL11" s="2055"/>
      <c r="IM11" s="2055"/>
      <c r="IN11" s="2055"/>
      <c r="IO11" s="2055"/>
      <c r="IP11" s="2055"/>
      <c r="IQ11" s="2055"/>
      <c r="IR11" s="2055"/>
      <c r="IS11" s="2055"/>
      <c r="IT11" s="2055"/>
      <c r="IU11" s="2055"/>
    </row>
    <row r="12" spans="1:255" s="222" customFormat="1" ht="24" customHeight="1">
      <c r="A12" s="2035" t="s">
        <v>473</v>
      </c>
      <c r="B12" s="2035"/>
      <c r="C12" s="225"/>
      <c r="D12" s="2030" t="s">
        <v>100</v>
      </c>
      <c r="E12" s="2030"/>
      <c r="F12" s="2030"/>
      <c r="G12" s="2030"/>
      <c r="H12" s="2030"/>
      <c r="I12" s="2030"/>
      <c r="J12" s="2030"/>
      <c r="K12" s="2030"/>
      <c r="L12" s="2030"/>
      <c r="M12" s="2030"/>
      <c r="N12" s="2030"/>
      <c r="O12" s="226"/>
      <c r="P12" s="2113">
        <f>ROUND(EI13/DL13,2)</f>
        <v>9.4700000000000006</v>
      </c>
      <c r="Q12" s="2113"/>
      <c r="R12" s="2113"/>
      <c r="S12" s="2113">
        <f>ROUND(HA13/GD13,2)</f>
        <v>9.18</v>
      </c>
      <c r="T12" s="2113"/>
      <c r="U12" s="2113"/>
      <c r="V12" s="2098">
        <f>ROUND(P12/S12*100,2)</f>
        <v>103.16</v>
      </c>
      <c r="W12" s="2098"/>
      <c r="X12" s="2098"/>
      <c r="Y12" s="2098"/>
      <c r="Z12" s="2102">
        <f>ROUND(FB13/DL13,0)</f>
        <v>410891</v>
      </c>
      <c r="AA12" s="2102"/>
      <c r="AB12" s="2102"/>
      <c r="AC12" s="2102"/>
      <c r="AD12" s="2102">
        <f>ROUND(HT13/GD13,0)</f>
        <v>401575</v>
      </c>
      <c r="AE12" s="2102"/>
      <c r="AF12" s="2102"/>
      <c r="AG12" s="2102"/>
      <c r="AH12" s="2098">
        <f t="shared" si="1"/>
        <v>102.32</v>
      </c>
      <c r="AI12" s="2098"/>
      <c r="AJ12" s="2098"/>
      <c r="AK12" s="2098"/>
      <c r="AL12" s="2102">
        <f>ROUND(FB13/EI13,0)</f>
        <v>43368</v>
      </c>
      <c r="AM12" s="2102"/>
      <c r="AN12" s="2102"/>
      <c r="AO12" s="2102"/>
      <c r="AP12" s="2102">
        <f>ROUND(HT13/HA13,0)</f>
        <v>43766</v>
      </c>
      <c r="AQ12" s="2102"/>
      <c r="AR12" s="2102"/>
      <c r="AS12" s="2102"/>
      <c r="AT12" s="2098">
        <f>ROUND(AL12/AP12*100,2)</f>
        <v>99.09</v>
      </c>
      <c r="AU12" s="2098"/>
      <c r="AV12" s="2098"/>
      <c r="AW12" s="2098"/>
      <c r="AX12" s="2099">
        <f>ROUND(DL13/EB28*100,2)</f>
        <v>0.77</v>
      </c>
      <c r="AY12" s="2099"/>
      <c r="AZ12" s="2099"/>
      <c r="BA12" s="2099"/>
      <c r="BB12" s="2099">
        <f>ROUND(GD13/EB27*100,2)</f>
        <v>0.78</v>
      </c>
      <c r="BC12" s="2099"/>
      <c r="BD12" s="2099"/>
      <c r="BE12" s="2099"/>
      <c r="BF12" s="2098">
        <f>ROUND(AX12/BB12*100,2)</f>
        <v>98.72</v>
      </c>
      <c r="BG12" s="2098"/>
      <c r="BH12" s="2098"/>
      <c r="BI12" s="2098"/>
      <c r="BM12" s="190"/>
      <c r="BN12" s="191"/>
      <c r="BO12" s="191"/>
      <c r="BP12" s="191"/>
      <c r="BQ12" s="214"/>
      <c r="BR12" s="188"/>
      <c r="BS12" s="189"/>
      <c r="BT12" s="1951" t="s">
        <v>351</v>
      </c>
      <c r="BU12" s="1951"/>
      <c r="BV12" s="1951"/>
      <c r="BW12" s="1951"/>
      <c r="BX12" s="1951"/>
      <c r="BY12" s="1951"/>
      <c r="BZ12" s="1951"/>
      <c r="CA12" s="1951"/>
      <c r="CB12" s="1951"/>
      <c r="CC12" s="1951"/>
      <c r="CD12" s="1951"/>
      <c r="CE12" s="1951"/>
      <c r="CF12" s="1951"/>
      <c r="CG12" s="1951"/>
      <c r="CH12" s="1951"/>
      <c r="CI12" s="1951"/>
      <c r="CJ12" s="1951"/>
      <c r="CK12" s="1951"/>
      <c r="CL12" s="1951"/>
      <c r="CM12" s="1951"/>
      <c r="CN12" s="1951"/>
      <c r="CO12" s="1951"/>
      <c r="CP12" s="1951"/>
      <c r="CQ12" s="1951"/>
      <c r="CR12" s="1951"/>
      <c r="CS12" s="1951"/>
      <c r="CT12" s="1951"/>
      <c r="CU12" s="1951"/>
      <c r="CV12" s="1951"/>
      <c r="CW12" s="1951"/>
      <c r="CX12" s="1951"/>
      <c r="CY12" s="1951"/>
      <c r="CZ12" s="1951"/>
      <c r="DA12" s="1951"/>
      <c r="DB12" s="1951"/>
      <c r="DC12" s="1951"/>
      <c r="DD12" s="1951"/>
      <c r="DE12" s="1951"/>
      <c r="DF12" s="1951"/>
      <c r="DG12" s="1951"/>
      <c r="DH12" s="1951"/>
      <c r="DI12" s="1951"/>
      <c r="DJ12" s="189"/>
      <c r="DK12" s="197"/>
      <c r="DL12" s="2055">
        <f>SUM(DL4:EH6,DL11)</f>
        <v>197157</v>
      </c>
      <c r="DM12" s="2055"/>
      <c r="DN12" s="2055"/>
      <c r="DO12" s="2055"/>
      <c r="DP12" s="2055"/>
      <c r="DQ12" s="2055"/>
      <c r="DR12" s="2055"/>
      <c r="DS12" s="2055"/>
      <c r="DT12" s="2055"/>
      <c r="DU12" s="2055"/>
      <c r="DV12" s="2055"/>
      <c r="DW12" s="2055"/>
      <c r="DX12" s="2055"/>
      <c r="DY12" s="2055"/>
      <c r="DZ12" s="2055"/>
      <c r="EA12" s="2055"/>
      <c r="EB12" s="2055"/>
      <c r="EC12" s="2055"/>
      <c r="ED12" s="2055"/>
      <c r="EE12" s="2055"/>
      <c r="EF12" s="2055"/>
      <c r="EG12" s="2055"/>
      <c r="EH12" s="2055"/>
      <c r="EI12" s="2055">
        <f>SUM(EI4:FA6,EI10)</f>
        <v>280554</v>
      </c>
      <c r="EJ12" s="2055"/>
      <c r="EK12" s="2055"/>
      <c r="EL12" s="2055"/>
      <c r="EM12" s="2055"/>
      <c r="EN12" s="2055"/>
      <c r="EO12" s="2055"/>
      <c r="EP12" s="2055"/>
      <c r="EQ12" s="2055"/>
      <c r="ER12" s="2055"/>
      <c r="ES12" s="2055"/>
      <c r="ET12" s="2055"/>
      <c r="EU12" s="2055"/>
      <c r="EV12" s="2055"/>
      <c r="EW12" s="2055"/>
      <c r="EX12" s="2055"/>
      <c r="EY12" s="2055"/>
      <c r="EZ12" s="2055"/>
      <c r="FA12" s="2055"/>
      <c r="FB12" s="2055">
        <f>SUM(FB4:GC11)</f>
        <v>2972164055</v>
      </c>
      <c r="FC12" s="2055"/>
      <c r="FD12" s="2055"/>
      <c r="FE12" s="2055"/>
      <c r="FF12" s="2055"/>
      <c r="FG12" s="2055"/>
      <c r="FH12" s="2055"/>
      <c r="FI12" s="2055"/>
      <c r="FJ12" s="2055"/>
      <c r="FK12" s="2055"/>
      <c r="FL12" s="2055"/>
      <c r="FM12" s="2055"/>
      <c r="FN12" s="2055"/>
      <c r="FO12" s="2055"/>
      <c r="FP12" s="2055"/>
      <c r="FQ12" s="2055"/>
      <c r="FR12" s="2055"/>
      <c r="FS12" s="2055"/>
      <c r="FT12" s="2055"/>
      <c r="FU12" s="2055"/>
      <c r="FV12" s="2055"/>
      <c r="FW12" s="2055"/>
      <c r="FX12" s="2055"/>
      <c r="FY12" s="2055"/>
      <c r="FZ12" s="2055"/>
      <c r="GA12" s="2055"/>
      <c r="GB12" s="2055"/>
      <c r="GC12" s="2055"/>
      <c r="GD12" s="2055">
        <f>SUM(GD4:GZ6,GD11)</f>
        <v>194735</v>
      </c>
      <c r="GE12" s="2055"/>
      <c r="GF12" s="2055"/>
      <c r="GG12" s="2055"/>
      <c r="GH12" s="2055"/>
      <c r="GI12" s="2055"/>
      <c r="GJ12" s="2055"/>
      <c r="GK12" s="2055"/>
      <c r="GL12" s="2055"/>
      <c r="GM12" s="2055"/>
      <c r="GN12" s="2055"/>
      <c r="GO12" s="2055"/>
      <c r="GP12" s="2055"/>
      <c r="GQ12" s="2055"/>
      <c r="GR12" s="2055"/>
      <c r="GS12" s="2055"/>
      <c r="GT12" s="2055"/>
      <c r="GU12" s="2055"/>
      <c r="GV12" s="2055"/>
      <c r="GW12" s="2055"/>
      <c r="GX12" s="2055"/>
      <c r="GY12" s="2055"/>
      <c r="GZ12" s="2055"/>
      <c r="HA12" s="2055">
        <f>SUM(HA4:HS6,HA10)</f>
        <v>278682</v>
      </c>
      <c r="HB12" s="2055"/>
      <c r="HC12" s="2055"/>
      <c r="HD12" s="2055"/>
      <c r="HE12" s="2055"/>
      <c r="HF12" s="2055"/>
      <c r="HG12" s="2055"/>
      <c r="HH12" s="2055"/>
      <c r="HI12" s="2055"/>
      <c r="HJ12" s="2055"/>
      <c r="HK12" s="2055"/>
      <c r="HL12" s="2055"/>
      <c r="HM12" s="2055"/>
      <c r="HN12" s="2055"/>
      <c r="HO12" s="2055"/>
      <c r="HP12" s="2055"/>
      <c r="HQ12" s="2055"/>
      <c r="HR12" s="2055"/>
      <c r="HS12" s="2055"/>
      <c r="HT12" s="2055">
        <f>SUM(HT4:IU11)</f>
        <v>2853558041</v>
      </c>
      <c r="HU12" s="2055"/>
      <c r="HV12" s="2055"/>
      <c r="HW12" s="2055"/>
      <c r="HX12" s="2055"/>
      <c r="HY12" s="2055"/>
      <c r="HZ12" s="2055"/>
      <c r="IA12" s="2055"/>
      <c r="IB12" s="2055"/>
      <c r="IC12" s="2055"/>
      <c r="ID12" s="2055"/>
      <c r="IE12" s="2055"/>
      <c r="IF12" s="2055"/>
      <c r="IG12" s="2055"/>
      <c r="IH12" s="2055"/>
      <c r="II12" s="2055"/>
      <c r="IJ12" s="2055"/>
      <c r="IK12" s="2055"/>
      <c r="IL12" s="2055"/>
      <c r="IM12" s="2055"/>
      <c r="IN12" s="2055"/>
      <c r="IO12" s="2055"/>
      <c r="IP12" s="2055"/>
      <c r="IQ12" s="2055"/>
      <c r="IR12" s="2055"/>
      <c r="IS12" s="2055"/>
      <c r="IT12" s="2055"/>
      <c r="IU12" s="2055"/>
    </row>
    <row r="13" spans="1:255" s="222" customFormat="1" ht="24" customHeight="1">
      <c r="A13" s="2035"/>
      <c r="B13" s="2035"/>
      <c r="C13" s="223"/>
      <c r="D13" s="2073" t="s">
        <v>101</v>
      </c>
      <c r="E13" s="2073"/>
      <c r="F13" s="2073"/>
      <c r="G13" s="2073"/>
      <c r="H13" s="2073"/>
      <c r="I13" s="2073"/>
      <c r="J13" s="2073"/>
      <c r="K13" s="2073"/>
      <c r="L13" s="2073"/>
      <c r="M13" s="2073"/>
      <c r="N13" s="2073"/>
      <c r="O13" s="224"/>
      <c r="P13" s="2113">
        <f>ROUND(EI14/DL14,2)</f>
        <v>1.37</v>
      </c>
      <c r="Q13" s="2113"/>
      <c r="R13" s="2113"/>
      <c r="S13" s="2113">
        <f>ROUND(HA14/GD14,2)</f>
        <v>1.38</v>
      </c>
      <c r="T13" s="2113"/>
      <c r="U13" s="2113"/>
      <c r="V13" s="2098">
        <f>ROUND(P13/S13*100,2)</f>
        <v>99.28</v>
      </c>
      <c r="W13" s="2098"/>
      <c r="X13" s="2098"/>
      <c r="Y13" s="2098"/>
      <c r="Z13" s="2102">
        <f>ROUND(FB14/DL14,0)</f>
        <v>7697</v>
      </c>
      <c r="AA13" s="2102"/>
      <c r="AB13" s="2102"/>
      <c r="AC13" s="2102"/>
      <c r="AD13" s="2102">
        <f>ROUND(HT14/GD14,0)</f>
        <v>7540</v>
      </c>
      <c r="AE13" s="2102"/>
      <c r="AF13" s="2102"/>
      <c r="AG13" s="2102"/>
      <c r="AH13" s="2098">
        <f t="shared" si="1"/>
        <v>102.08</v>
      </c>
      <c r="AI13" s="2098"/>
      <c r="AJ13" s="2098"/>
      <c r="AK13" s="2098"/>
      <c r="AL13" s="2102">
        <f>ROUND(FB14/EI14,0)</f>
        <v>5634</v>
      </c>
      <c r="AM13" s="2102"/>
      <c r="AN13" s="2102"/>
      <c r="AO13" s="2102"/>
      <c r="AP13" s="2102">
        <f>ROUND(HT14/HA14,0)</f>
        <v>5475</v>
      </c>
      <c r="AQ13" s="2102"/>
      <c r="AR13" s="2102"/>
      <c r="AS13" s="2102"/>
      <c r="AT13" s="2098">
        <f>ROUND(AL13/AP13*100,2)</f>
        <v>102.9</v>
      </c>
      <c r="AU13" s="2098"/>
      <c r="AV13" s="2098"/>
      <c r="AW13" s="2098"/>
      <c r="AX13" s="2099">
        <f>ROUND(DL14/EB28*100,2)</f>
        <v>67.849999999999994</v>
      </c>
      <c r="AY13" s="2099"/>
      <c r="AZ13" s="2099"/>
      <c r="BA13" s="2099"/>
      <c r="BB13" s="2099">
        <f>ROUND(GD14/EB27*100,2)</f>
        <v>67.290000000000006</v>
      </c>
      <c r="BC13" s="2099"/>
      <c r="BD13" s="2099"/>
      <c r="BE13" s="2099"/>
      <c r="BF13" s="2098">
        <f>ROUND(AX13/BB13*100,2)</f>
        <v>100.83</v>
      </c>
      <c r="BG13" s="2098"/>
      <c r="BH13" s="2098"/>
      <c r="BI13" s="2098"/>
      <c r="BM13" s="1973"/>
      <c r="BN13" s="1973"/>
      <c r="BO13" s="211"/>
      <c r="BP13" s="211"/>
      <c r="BQ13" s="220"/>
      <c r="BR13" s="188"/>
      <c r="BS13" s="189"/>
      <c r="BT13" s="1932" t="s">
        <v>100</v>
      </c>
      <c r="BU13" s="1932"/>
      <c r="BV13" s="1932"/>
      <c r="BW13" s="1932"/>
      <c r="BX13" s="1932"/>
      <c r="BY13" s="1932"/>
      <c r="BZ13" s="1932"/>
      <c r="CA13" s="1932"/>
      <c r="CB13" s="1932"/>
      <c r="CC13" s="1932"/>
      <c r="CD13" s="1932"/>
      <c r="CE13" s="1932"/>
      <c r="CF13" s="1932"/>
      <c r="CG13" s="1932"/>
      <c r="CH13" s="1932"/>
      <c r="CI13" s="1932"/>
      <c r="CJ13" s="1932"/>
      <c r="CK13" s="1932"/>
      <c r="CL13" s="1932"/>
      <c r="CM13" s="1932"/>
      <c r="CN13" s="1932"/>
      <c r="CO13" s="1932"/>
      <c r="CP13" s="1932"/>
      <c r="CQ13" s="1932"/>
      <c r="CR13" s="1932"/>
      <c r="CS13" s="1932"/>
      <c r="CT13" s="1932"/>
      <c r="CU13" s="1932"/>
      <c r="CV13" s="1932"/>
      <c r="CW13" s="1932"/>
      <c r="CX13" s="1932"/>
      <c r="CY13" s="1932"/>
      <c r="CZ13" s="1932"/>
      <c r="DA13" s="1932"/>
      <c r="DB13" s="1932"/>
      <c r="DC13" s="1932"/>
      <c r="DD13" s="1932"/>
      <c r="DE13" s="1932"/>
      <c r="DF13" s="1932"/>
      <c r="DG13" s="1932"/>
      <c r="DH13" s="1932"/>
      <c r="DI13" s="1932"/>
      <c r="DJ13" s="189"/>
      <c r="DK13" s="197"/>
      <c r="DL13" s="2055">
        <f>'報告_短期P7-10'!AZ145</f>
        <v>965</v>
      </c>
      <c r="DM13" s="2055"/>
      <c r="DN13" s="2055"/>
      <c r="DO13" s="2055"/>
      <c r="DP13" s="2055"/>
      <c r="DQ13" s="2055"/>
      <c r="DR13" s="2055"/>
      <c r="DS13" s="2055"/>
      <c r="DT13" s="2055"/>
      <c r="DU13" s="2055"/>
      <c r="DV13" s="2055"/>
      <c r="DW13" s="2055"/>
      <c r="DX13" s="2055"/>
      <c r="DY13" s="2055"/>
      <c r="DZ13" s="2055"/>
      <c r="EA13" s="2055"/>
      <c r="EB13" s="2055"/>
      <c r="EC13" s="2055"/>
      <c r="ED13" s="2055"/>
      <c r="EE13" s="2055"/>
      <c r="EF13" s="2055"/>
      <c r="EG13" s="2055"/>
      <c r="EH13" s="2055"/>
      <c r="EI13" s="2055">
        <f>'報告_短期P7-10'!BW145</f>
        <v>9143</v>
      </c>
      <c r="EJ13" s="2055"/>
      <c r="EK13" s="2055"/>
      <c r="EL13" s="2055"/>
      <c r="EM13" s="2055"/>
      <c r="EN13" s="2055"/>
      <c r="EO13" s="2055"/>
      <c r="EP13" s="2055"/>
      <c r="EQ13" s="2055"/>
      <c r="ER13" s="2055"/>
      <c r="ES13" s="2055"/>
      <c r="ET13" s="2055"/>
      <c r="EU13" s="2055"/>
      <c r="EV13" s="2055"/>
      <c r="EW13" s="2055"/>
      <c r="EX13" s="2055"/>
      <c r="EY13" s="2055"/>
      <c r="EZ13" s="2055"/>
      <c r="FA13" s="2055"/>
      <c r="FB13" s="2055">
        <f>'報告_短期P7-10'!CP145</f>
        <v>396509932</v>
      </c>
      <c r="FC13" s="2055"/>
      <c r="FD13" s="2055"/>
      <c r="FE13" s="2055"/>
      <c r="FF13" s="2055"/>
      <c r="FG13" s="2055"/>
      <c r="FH13" s="2055"/>
      <c r="FI13" s="2055"/>
      <c r="FJ13" s="2055"/>
      <c r="FK13" s="2055"/>
      <c r="FL13" s="2055"/>
      <c r="FM13" s="2055"/>
      <c r="FN13" s="2055"/>
      <c r="FO13" s="2055"/>
      <c r="FP13" s="2055"/>
      <c r="FQ13" s="2055"/>
      <c r="FR13" s="2055"/>
      <c r="FS13" s="2055"/>
      <c r="FT13" s="2055"/>
      <c r="FU13" s="2055"/>
      <c r="FV13" s="2055"/>
      <c r="FW13" s="2055"/>
      <c r="FX13" s="2055"/>
      <c r="FY13" s="2055"/>
      <c r="FZ13" s="2055"/>
      <c r="GA13" s="2055"/>
      <c r="GB13" s="2055"/>
      <c r="GC13" s="2055"/>
      <c r="GD13" s="2055">
        <f>'報告_短期P7-10'!DR145</f>
        <v>986</v>
      </c>
      <c r="GE13" s="2055"/>
      <c r="GF13" s="2055"/>
      <c r="GG13" s="2055"/>
      <c r="GH13" s="2055"/>
      <c r="GI13" s="2055"/>
      <c r="GJ13" s="2055"/>
      <c r="GK13" s="2055"/>
      <c r="GL13" s="2055"/>
      <c r="GM13" s="2055"/>
      <c r="GN13" s="2055"/>
      <c r="GO13" s="2055"/>
      <c r="GP13" s="2055"/>
      <c r="GQ13" s="2055"/>
      <c r="GR13" s="2055"/>
      <c r="GS13" s="2055"/>
      <c r="GT13" s="2055"/>
      <c r="GU13" s="2055"/>
      <c r="GV13" s="2055"/>
      <c r="GW13" s="2055"/>
      <c r="GX13" s="2055"/>
      <c r="GY13" s="2055"/>
      <c r="GZ13" s="2055"/>
      <c r="HA13" s="2055">
        <f>'報告_短期P7-10'!EO145</f>
        <v>9047</v>
      </c>
      <c r="HB13" s="2055"/>
      <c r="HC13" s="2055"/>
      <c r="HD13" s="2055"/>
      <c r="HE13" s="2055"/>
      <c r="HF13" s="2055"/>
      <c r="HG13" s="2055"/>
      <c r="HH13" s="2055"/>
      <c r="HI13" s="2055"/>
      <c r="HJ13" s="2055"/>
      <c r="HK13" s="2055"/>
      <c r="HL13" s="2055"/>
      <c r="HM13" s="2055"/>
      <c r="HN13" s="2055"/>
      <c r="HO13" s="2055"/>
      <c r="HP13" s="2055"/>
      <c r="HQ13" s="2055"/>
      <c r="HR13" s="2055"/>
      <c r="HS13" s="2055"/>
      <c r="HT13" s="2055">
        <f>'報告_短期P7-10'!FH145</f>
        <v>395953163</v>
      </c>
      <c r="HU13" s="2055"/>
      <c r="HV13" s="2055"/>
      <c r="HW13" s="2055"/>
      <c r="HX13" s="2055"/>
      <c r="HY13" s="2055"/>
      <c r="HZ13" s="2055"/>
      <c r="IA13" s="2055"/>
      <c r="IB13" s="2055"/>
      <c r="IC13" s="2055"/>
      <c r="ID13" s="2055"/>
      <c r="IE13" s="2055"/>
      <c r="IF13" s="2055"/>
      <c r="IG13" s="2055"/>
      <c r="IH13" s="2055"/>
      <c r="II13" s="2055"/>
      <c r="IJ13" s="2055"/>
      <c r="IK13" s="2055"/>
      <c r="IL13" s="2055"/>
      <c r="IM13" s="2055"/>
      <c r="IN13" s="2055"/>
      <c r="IO13" s="2055"/>
      <c r="IP13" s="2055"/>
      <c r="IQ13" s="2055"/>
      <c r="IR13" s="2055"/>
      <c r="IS13" s="2055"/>
      <c r="IT13" s="2055"/>
      <c r="IU13" s="2055"/>
    </row>
    <row r="14" spans="1:255" s="222" customFormat="1" ht="24" customHeight="1">
      <c r="A14" s="2035"/>
      <c r="B14" s="2035"/>
      <c r="C14" s="225"/>
      <c r="D14" s="2030" t="s">
        <v>102</v>
      </c>
      <c r="E14" s="2030"/>
      <c r="F14" s="2030"/>
      <c r="G14" s="2030"/>
      <c r="H14" s="2030"/>
      <c r="I14" s="2030"/>
      <c r="J14" s="2030"/>
      <c r="K14" s="2030"/>
      <c r="L14" s="2030"/>
      <c r="M14" s="2030"/>
      <c r="N14" s="2030"/>
      <c r="O14" s="226"/>
      <c r="P14" s="2113">
        <f>ROUND(EI15/DL15,2)</f>
        <v>1.27</v>
      </c>
      <c r="Q14" s="2113"/>
      <c r="R14" s="2113"/>
      <c r="S14" s="2113">
        <f>ROUND(HA15/GD15,2)</f>
        <v>1.29</v>
      </c>
      <c r="T14" s="2113"/>
      <c r="U14" s="2113"/>
      <c r="V14" s="2098">
        <f>ROUND(P14/S14*100,2)</f>
        <v>98.45</v>
      </c>
      <c r="W14" s="2098"/>
      <c r="X14" s="2098"/>
      <c r="Y14" s="2098"/>
      <c r="Z14" s="2102">
        <f>ROUND(FB15/DL15,0)</f>
        <v>8106</v>
      </c>
      <c r="AA14" s="2102"/>
      <c r="AB14" s="2102"/>
      <c r="AC14" s="2102"/>
      <c r="AD14" s="2102">
        <f>ROUND(HT15/GD15,0)</f>
        <v>7862</v>
      </c>
      <c r="AE14" s="2102"/>
      <c r="AF14" s="2102"/>
      <c r="AG14" s="2102"/>
      <c r="AH14" s="2098">
        <f t="shared" si="1"/>
        <v>103.1</v>
      </c>
      <c r="AI14" s="2098"/>
      <c r="AJ14" s="2098"/>
      <c r="AK14" s="2098"/>
      <c r="AL14" s="2102">
        <f>ROUND(FB15/EI15,0)</f>
        <v>6391</v>
      </c>
      <c r="AM14" s="2102"/>
      <c r="AN14" s="2102"/>
      <c r="AO14" s="2102"/>
      <c r="AP14" s="2102">
        <f>ROUND(HT15/HA15,0)</f>
        <v>6072</v>
      </c>
      <c r="AQ14" s="2102"/>
      <c r="AR14" s="2102"/>
      <c r="AS14" s="2102"/>
      <c r="AT14" s="2098">
        <f>ROUND(AL14/AP14*100,2)</f>
        <v>105.25</v>
      </c>
      <c r="AU14" s="2098"/>
      <c r="AV14" s="2098"/>
      <c r="AW14" s="2098"/>
      <c r="AX14" s="2099">
        <f>ROUND(DL15/EB28*100,2)</f>
        <v>17.54</v>
      </c>
      <c r="AY14" s="2099"/>
      <c r="AZ14" s="2099"/>
      <c r="BA14" s="2099"/>
      <c r="BB14" s="2099">
        <f>ROUND(GD15/EB27*100,2)</f>
        <v>16.510000000000002</v>
      </c>
      <c r="BC14" s="2099"/>
      <c r="BD14" s="2099"/>
      <c r="BE14" s="2099"/>
      <c r="BF14" s="2098">
        <f>ROUND(AX14/BB14*100,2)</f>
        <v>106.24</v>
      </c>
      <c r="BG14" s="2098"/>
      <c r="BH14" s="2098"/>
      <c r="BI14" s="2098"/>
      <c r="BM14" s="1962" t="s">
        <v>458</v>
      </c>
      <c r="BN14" s="1962"/>
      <c r="BO14" s="1962"/>
      <c r="BP14" s="1962"/>
      <c r="BQ14" s="1962"/>
      <c r="BR14" s="188"/>
      <c r="BS14" s="189"/>
      <c r="BT14" s="1932" t="s">
        <v>101</v>
      </c>
      <c r="BU14" s="1932"/>
      <c r="BV14" s="1932"/>
      <c r="BW14" s="1932"/>
      <c r="BX14" s="1932"/>
      <c r="BY14" s="1932"/>
      <c r="BZ14" s="1932"/>
      <c r="CA14" s="1932"/>
      <c r="CB14" s="1932"/>
      <c r="CC14" s="1932"/>
      <c r="CD14" s="1932"/>
      <c r="CE14" s="1932"/>
      <c r="CF14" s="1932"/>
      <c r="CG14" s="1932"/>
      <c r="CH14" s="1932"/>
      <c r="CI14" s="1932"/>
      <c r="CJ14" s="1932"/>
      <c r="CK14" s="1932"/>
      <c r="CL14" s="1932"/>
      <c r="CM14" s="1932"/>
      <c r="CN14" s="1932"/>
      <c r="CO14" s="1932"/>
      <c r="CP14" s="1932"/>
      <c r="CQ14" s="1932"/>
      <c r="CR14" s="1932"/>
      <c r="CS14" s="1932"/>
      <c r="CT14" s="1932"/>
      <c r="CU14" s="1932"/>
      <c r="CV14" s="1932"/>
      <c r="CW14" s="1932"/>
      <c r="CX14" s="1932"/>
      <c r="CY14" s="1932"/>
      <c r="CZ14" s="1932"/>
      <c r="DA14" s="1932"/>
      <c r="DB14" s="1932"/>
      <c r="DC14" s="1932"/>
      <c r="DD14" s="1932"/>
      <c r="DE14" s="1932"/>
      <c r="DF14" s="1932"/>
      <c r="DG14" s="1932"/>
      <c r="DH14" s="1932"/>
      <c r="DI14" s="1932"/>
      <c r="DJ14" s="189"/>
      <c r="DK14" s="197"/>
      <c r="DL14" s="2055">
        <f>'報告_短期P7-10'!AZ146</f>
        <v>84951</v>
      </c>
      <c r="DM14" s="2055"/>
      <c r="DN14" s="2055"/>
      <c r="DO14" s="2055"/>
      <c r="DP14" s="2055"/>
      <c r="DQ14" s="2055"/>
      <c r="DR14" s="2055"/>
      <c r="DS14" s="2055"/>
      <c r="DT14" s="2055"/>
      <c r="DU14" s="2055"/>
      <c r="DV14" s="2055"/>
      <c r="DW14" s="2055"/>
      <c r="DX14" s="2055"/>
      <c r="DY14" s="2055"/>
      <c r="DZ14" s="2055"/>
      <c r="EA14" s="2055"/>
      <c r="EB14" s="2055"/>
      <c r="EC14" s="2055"/>
      <c r="ED14" s="2055"/>
      <c r="EE14" s="2055"/>
      <c r="EF14" s="2055"/>
      <c r="EG14" s="2055"/>
      <c r="EH14" s="2055"/>
      <c r="EI14" s="2055">
        <f>'報告_短期P7-10'!BW146</f>
        <v>116061</v>
      </c>
      <c r="EJ14" s="2055"/>
      <c r="EK14" s="2055"/>
      <c r="EL14" s="2055"/>
      <c r="EM14" s="2055"/>
      <c r="EN14" s="2055"/>
      <c r="EO14" s="2055"/>
      <c r="EP14" s="2055"/>
      <c r="EQ14" s="2055"/>
      <c r="ER14" s="2055"/>
      <c r="ES14" s="2055"/>
      <c r="ET14" s="2055"/>
      <c r="EU14" s="2055"/>
      <c r="EV14" s="2055"/>
      <c r="EW14" s="2055"/>
      <c r="EX14" s="2055"/>
      <c r="EY14" s="2055"/>
      <c r="EZ14" s="2055"/>
      <c r="FA14" s="2055"/>
      <c r="FB14" s="2055">
        <f>'報告_短期P7-10'!CP146</f>
        <v>653895303</v>
      </c>
      <c r="FC14" s="2055"/>
      <c r="FD14" s="2055"/>
      <c r="FE14" s="2055"/>
      <c r="FF14" s="2055"/>
      <c r="FG14" s="2055"/>
      <c r="FH14" s="2055"/>
      <c r="FI14" s="2055"/>
      <c r="FJ14" s="2055"/>
      <c r="FK14" s="2055"/>
      <c r="FL14" s="2055"/>
      <c r="FM14" s="2055"/>
      <c r="FN14" s="2055"/>
      <c r="FO14" s="2055"/>
      <c r="FP14" s="2055"/>
      <c r="FQ14" s="2055"/>
      <c r="FR14" s="2055"/>
      <c r="FS14" s="2055"/>
      <c r="FT14" s="2055"/>
      <c r="FU14" s="2055"/>
      <c r="FV14" s="2055"/>
      <c r="FW14" s="2055"/>
      <c r="FX14" s="2055"/>
      <c r="FY14" s="2055"/>
      <c r="FZ14" s="2055"/>
      <c r="GA14" s="2055"/>
      <c r="GB14" s="2055"/>
      <c r="GC14" s="2055"/>
      <c r="GD14" s="2055">
        <f>'報告_短期P7-10'!DR146</f>
        <v>85580</v>
      </c>
      <c r="GE14" s="2055"/>
      <c r="GF14" s="2055"/>
      <c r="GG14" s="2055"/>
      <c r="GH14" s="2055"/>
      <c r="GI14" s="2055"/>
      <c r="GJ14" s="2055"/>
      <c r="GK14" s="2055"/>
      <c r="GL14" s="2055"/>
      <c r="GM14" s="2055"/>
      <c r="GN14" s="2055"/>
      <c r="GO14" s="2055"/>
      <c r="GP14" s="2055"/>
      <c r="GQ14" s="2055"/>
      <c r="GR14" s="2055"/>
      <c r="GS14" s="2055"/>
      <c r="GT14" s="2055"/>
      <c r="GU14" s="2055"/>
      <c r="GV14" s="2055"/>
      <c r="GW14" s="2055"/>
      <c r="GX14" s="2055"/>
      <c r="GY14" s="2055"/>
      <c r="GZ14" s="2055"/>
      <c r="HA14" s="2055">
        <f>'報告_短期P7-10'!EO146</f>
        <v>117869</v>
      </c>
      <c r="HB14" s="2055"/>
      <c r="HC14" s="2055"/>
      <c r="HD14" s="2055"/>
      <c r="HE14" s="2055"/>
      <c r="HF14" s="2055"/>
      <c r="HG14" s="2055"/>
      <c r="HH14" s="2055"/>
      <c r="HI14" s="2055"/>
      <c r="HJ14" s="2055"/>
      <c r="HK14" s="2055"/>
      <c r="HL14" s="2055"/>
      <c r="HM14" s="2055"/>
      <c r="HN14" s="2055"/>
      <c r="HO14" s="2055"/>
      <c r="HP14" s="2055"/>
      <c r="HQ14" s="2055"/>
      <c r="HR14" s="2055"/>
      <c r="HS14" s="2055"/>
      <c r="HT14" s="2055">
        <f>'報告_短期P7-10'!FH146</f>
        <v>645283771</v>
      </c>
      <c r="HU14" s="2055"/>
      <c r="HV14" s="2055"/>
      <c r="HW14" s="2055"/>
      <c r="HX14" s="2055"/>
      <c r="HY14" s="2055"/>
      <c r="HZ14" s="2055"/>
      <c r="IA14" s="2055"/>
      <c r="IB14" s="2055"/>
      <c r="IC14" s="2055"/>
      <c r="ID14" s="2055"/>
      <c r="IE14" s="2055"/>
      <c r="IF14" s="2055"/>
      <c r="IG14" s="2055"/>
      <c r="IH14" s="2055"/>
      <c r="II14" s="2055"/>
      <c r="IJ14" s="2055"/>
      <c r="IK14" s="2055"/>
      <c r="IL14" s="2055"/>
      <c r="IM14" s="2055"/>
      <c r="IN14" s="2055"/>
      <c r="IO14" s="2055"/>
      <c r="IP14" s="2055"/>
      <c r="IQ14" s="2055"/>
      <c r="IR14" s="2055"/>
      <c r="IS14" s="2055"/>
      <c r="IT14" s="2055"/>
      <c r="IU14" s="2055"/>
    </row>
    <row r="15" spans="1:255" s="222" customFormat="1" ht="25.5" customHeight="1">
      <c r="A15" s="2035"/>
      <c r="B15" s="2035"/>
      <c r="C15" s="223"/>
      <c r="D15" s="2116" t="s">
        <v>434</v>
      </c>
      <c r="E15" s="2116"/>
      <c r="F15" s="2116"/>
      <c r="G15" s="2116"/>
      <c r="H15" s="2116"/>
      <c r="I15" s="2116"/>
      <c r="J15" s="2116"/>
      <c r="K15" s="2116"/>
      <c r="L15" s="2116"/>
      <c r="M15" s="2116"/>
      <c r="N15" s="2116"/>
      <c r="O15" s="224"/>
      <c r="P15" s="2110"/>
      <c r="Q15" s="2110"/>
      <c r="R15" s="2110"/>
      <c r="S15" s="2110"/>
      <c r="T15" s="2110"/>
      <c r="U15" s="2110"/>
      <c r="V15" s="2107"/>
      <c r="W15" s="2107"/>
      <c r="X15" s="2107"/>
      <c r="Y15" s="2107"/>
      <c r="Z15" s="2102">
        <f>ROUND(FB16/DL16,0)</f>
        <v>5049</v>
      </c>
      <c r="AA15" s="2102"/>
      <c r="AB15" s="2102"/>
      <c r="AC15" s="2102"/>
      <c r="AD15" s="2102">
        <f>ROUND(HT16/GD16,0)</f>
        <v>5058</v>
      </c>
      <c r="AE15" s="2102"/>
      <c r="AF15" s="2102"/>
      <c r="AG15" s="2102"/>
      <c r="AH15" s="2098">
        <f t="shared" si="1"/>
        <v>99.82</v>
      </c>
      <c r="AI15" s="2098"/>
      <c r="AJ15" s="2098"/>
      <c r="AK15" s="2098"/>
      <c r="AL15" s="2102">
        <f>ROUND(FB16/EI16,0)</f>
        <v>201</v>
      </c>
      <c r="AM15" s="2102"/>
      <c r="AN15" s="2102"/>
      <c r="AO15" s="2102"/>
      <c r="AP15" s="2102">
        <f>ROUND(HT16/HA16,0)</f>
        <v>204</v>
      </c>
      <c r="AQ15" s="2102"/>
      <c r="AR15" s="2102"/>
      <c r="AS15" s="2102"/>
      <c r="AT15" s="2098">
        <f>ROUND(AL15/AP15*100,2)</f>
        <v>98.53</v>
      </c>
      <c r="AU15" s="2098"/>
      <c r="AV15" s="2098"/>
      <c r="AW15" s="2098"/>
      <c r="AX15" s="2110"/>
      <c r="AY15" s="2110"/>
      <c r="AZ15" s="2110"/>
      <c r="BA15" s="2110"/>
      <c r="BB15" s="2110"/>
      <c r="BC15" s="2110"/>
      <c r="BD15" s="2110"/>
      <c r="BE15" s="2110"/>
      <c r="BF15" s="2107"/>
      <c r="BG15" s="2107"/>
      <c r="BH15" s="2107"/>
      <c r="BI15" s="2107"/>
      <c r="BM15" s="1958"/>
      <c r="BN15" s="1958"/>
      <c r="BO15" s="167"/>
      <c r="BP15" s="167"/>
      <c r="BQ15" s="218"/>
      <c r="BR15" s="188"/>
      <c r="BS15" s="189"/>
      <c r="BT15" s="1932" t="s">
        <v>102</v>
      </c>
      <c r="BU15" s="1932"/>
      <c r="BV15" s="1932"/>
      <c r="BW15" s="1932"/>
      <c r="BX15" s="1932"/>
      <c r="BY15" s="1932"/>
      <c r="BZ15" s="1932"/>
      <c r="CA15" s="1932"/>
      <c r="CB15" s="1932"/>
      <c r="CC15" s="1932"/>
      <c r="CD15" s="1932"/>
      <c r="CE15" s="1932"/>
      <c r="CF15" s="1932"/>
      <c r="CG15" s="1932"/>
      <c r="CH15" s="1932"/>
      <c r="CI15" s="1932"/>
      <c r="CJ15" s="1932"/>
      <c r="CK15" s="1932"/>
      <c r="CL15" s="1932"/>
      <c r="CM15" s="1932"/>
      <c r="CN15" s="1932"/>
      <c r="CO15" s="1932"/>
      <c r="CP15" s="1932"/>
      <c r="CQ15" s="1932"/>
      <c r="CR15" s="1932"/>
      <c r="CS15" s="1932"/>
      <c r="CT15" s="1932"/>
      <c r="CU15" s="1932"/>
      <c r="CV15" s="1932"/>
      <c r="CW15" s="1932"/>
      <c r="CX15" s="1932"/>
      <c r="CY15" s="1932"/>
      <c r="CZ15" s="1932"/>
      <c r="DA15" s="1932"/>
      <c r="DB15" s="1932"/>
      <c r="DC15" s="1932"/>
      <c r="DD15" s="1932"/>
      <c r="DE15" s="1932"/>
      <c r="DF15" s="1932"/>
      <c r="DG15" s="1932"/>
      <c r="DH15" s="1932"/>
      <c r="DI15" s="1932"/>
      <c r="DJ15" s="189"/>
      <c r="DK15" s="197"/>
      <c r="DL15" s="2055">
        <f>'報告_短期P7-10'!AZ147</f>
        <v>21961</v>
      </c>
      <c r="DM15" s="2055"/>
      <c r="DN15" s="2055"/>
      <c r="DO15" s="2055"/>
      <c r="DP15" s="2055"/>
      <c r="DQ15" s="2055"/>
      <c r="DR15" s="2055"/>
      <c r="DS15" s="2055"/>
      <c r="DT15" s="2055"/>
      <c r="DU15" s="2055"/>
      <c r="DV15" s="2055"/>
      <c r="DW15" s="2055"/>
      <c r="DX15" s="2055"/>
      <c r="DY15" s="2055"/>
      <c r="DZ15" s="2055"/>
      <c r="EA15" s="2055"/>
      <c r="EB15" s="2055"/>
      <c r="EC15" s="2055"/>
      <c r="ED15" s="2055"/>
      <c r="EE15" s="2055"/>
      <c r="EF15" s="2055"/>
      <c r="EG15" s="2055"/>
      <c r="EH15" s="2055"/>
      <c r="EI15" s="2055">
        <f>'報告_短期P7-10'!BW147</f>
        <v>27855</v>
      </c>
      <c r="EJ15" s="2055"/>
      <c r="EK15" s="2055"/>
      <c r="EL15" s="2055"/>
      <c r="EM15" s="2055"/>
      <c r="EN15" s="2055"/>
      <c r="EO15" s="2055"/>
      <c r="EP15" s="2055"/>
      <c r="EQ15" s="2055"/>
      <c r="ER15" s="2055"/>
      <c r="ES15" s="2055"/>
      <c r="ET15" s="2055"/>
      <c r="EU15" s="2055"/>
      <c r="EV15" s="2055"/>
      <c r="EW15" s="2055"/>
      <c r="EX15" s="2055"/>
      <c r="EY15" s="2055"/>
      <c r="EZ15" s="2055"/>
      <c r="FA15" s="2055"/>
      <c r="FB15" s="2055">
        <f>'報告_短期P7-10'!CP147</f>
        <v>178023048</v>
      </c>
      <c r="FC15" s="2055"/>
      <c r="FD15" s="2055"/>
      <c r="FE15" s="2055"/>
      <c r="FF15" s="2055"/>
      <c r="FG15" s="2055"/>
      <c r="FH15" s="2055"/>
      <c r="FI15" s="2055"/>
      <c r="FJ15" s="2055"/>
      <c r="FK15" s="2055"/>
      <c r="FL15" s="2055"/>
      <c r="FM15" s="2055"/>
      <c r="FN15" s="2055"/>
      <c r="FO15" s="2055"/>
      <c r="FP15" s="2055"/>
      <c r="FQ15" s="2055"/>
      <c r="FR15" s="2055"/>
      <c r="FS15" s="2055"/>
      <c r="FT15" s="2055"/>
      <c r="FU15" s="2055"/>
      <c r="FV15" s="2055"/>
      <c r="FW15" s="2055"/>
      <c r="FX15" s="2055"/>
      <c r="FY15" s="2055"/>
      <c r="FZ15" s="2055"/>
      <c r="GA15" s="2055"/>
      <c r="GB15" s="2055"/>
      <c r="GC15" s="2055"/>
      <c r="GD15" s="2055">
        <f>'報告_短期P7-10'!DR147</f>
        <v>21003</v>
      </c>
      <c r="GE15" s="2055"/>
      <c r="GF15" s="2055"/>
      <c r="GG15" s="2055"/>
      <c r="GH15" s="2055"/>
      <c r="GI15" s="2055"/>
      <c r="GJ15" s="2055"/>
      <c r="GK15" s="2055"/>
      <c r="GL15" s="2055"/>
      <c r="GM15" s="2055"/>
      <c r="GN15" s="2055"/>
      <c r="GO15" s="2055"/>
      <c r="GP15" s="2055"/>
      <c r="GQ15" s="2055"/>
      <c r="GR15" s="2055"/>
      <c r="GS15" s="2055"/>
      <c r="GT15" s="2055"/>
      <c r="GU15" s="2055"/>
      <c r="GV15" s="2055"/>
      <c r="GW15" s="2055"/>
      <c r="GX15" s="2055"/>
      <c r="GY15" s="2055"/>
      <c r="GZ15" s="2055"/>
      <c r="HA15" s="2055">
        <f>'報告_短期P7-10'!EO147</f>
        <v>27197</v>
      </c>
      <c r="HB15" s="2055"/>
      <c r="HC15" s="2055"/>
      <c r="HD15" s="2055"/>
      <c r="HE15" s="2055"/>
      <c r="HF15" s="2055"/>
      <c r="HG15" s="2055"/>
      <c r="HH15" s="2055"/>
      <c r="HI15" s="2055"/>
      <c r="HJ15" s="2055"/>
      <c r="HK15" s="2055"/>
      <c r="HL15" s="2055"/>
      <c r="HM15" s="2055"/>
      <c r="HN15" s="2055"/>
      <c r="HO15" s="2055"/>
      <c r="HP15" s="2055"/>
      <c r="HQ15" s="2055"/>
      <c r="HR15" s="2055"/>
      <c r="HS15" s="2055"/>
      <c r="HT15" s="2055">
        <f>'報告_短期P7-10'!FH147</f>
        <v>165134316</v>
      </c>
      <c r="HU15" s="2055"/>
      <c r="HV15" s="2055"/>
      <c r="HW15" s="2055"/>
      <c r="HX15" s="2055"/>
      <c r="HY15" s="2055"/>
      <c r="HZ15" s="2055"/>
      <c r="IA15" s="2055"/>
      <c r="IB15" s="2055"/>
      <c r="IC15" s="2055"/>
      <c r="ID15" s="2055"/>
      <c r="IE15" s="2055"/>
      <c r="IF15" s="2055"/>
      <c r="IG15" s="2055"/>
      <c r="IH15" s="2055"/>
      <c r="II15" s="2055"/>
      <c r="IJ15" s="2055"/>
      <c r="IK15" s="2055"/>
      <c r="IL15" s="2055"/>
      <c r="IM15" s="2055"/>
      <c r="IN15" s="2055"/>
      <c r="IO15" s="2055"/>
      <c r="IP15" s="2055"/>
      <c r="IQ15" s="2055"/>
      <c r="IR15" s="2055"/>
      <c r="IS15" s="2055"/>
      <c r="IT15" s="2055"/>
      <c r="IU15" s="2055"/>
    </row>
    <row r="16" spans="1:255" s="222" customFormat="1" ht="24" customHeight="1">
      <c r="A16" s="2035"/>
      <c r="B16" s="2035"/>
      <c r="C16" s="225"/>
      <c r="D16" s="2030" t="s">
        <v>61</v>
      </c>
      <c r="E16" s="2030"/>
      <c r="F16" s="2030"/>
      <c r="G16" s="2030"/>
      <c r="H16" s="2030"/>
      <c r="I16" s="2030"/>
      <c r="J16" s="2030"/>
      <c r="K16" s="2030"/>
      <c r="L16" s="2030"/>
      <c r="M16" s="2030"/>
      <c r="N16" s="2030"/>
      <c r="O16" s="226"/>
      <c r="P16" s="2110"/>
      <c r="Q16" s="2110"/>
      <c r="R16" s="2110"/>
      <c r="S16" s="2110"/>
      <c r="T16" s="2110"/>
      <c r="U16" s="2110"/>
      <c r="V16" s="2107"/>
      <c r="W16" s="2107"/>
      <c r="X16" s="2107"/>
      <c r="Y16" s="2107"/>
      <c r="Z16" s="2102">
        <f>ROUND(FB18/DL18,0)</f>
        <v>5998</v>
      </c>
      <c r="AA16" s="2102"/>
      <c r="AB16" s="2102"/>
      <c r="AC16" s="2102"/>
      <c r="AD16" s="2102">
        <f>ROUND(HT18/GD18,0)</f>
        <v>5422</v>
      </c>
      <c r="AE16" s="2102"/>
      <c r="AF16" s="2102"/>
      <c r="AG16" s="2102"/>
      <c r="AH16" s="2098">
        <f t="shared" si="1"/>
        <v>110.62</v>
      </c>
      <c r="AI16" s="2098"/>
      <c r="AJ16" s="2098"/>
      <c r="AK16" s="2098"/>
      <c r="AL16" s="2112"/>
      <c r="AM16" s="2112"/>
      <c r="AN16" s="2112"/>
      <c r="AO16" s="2112"/>
      <c r="AP16" s="2112"/>
      <c r="AQ16" s="2112"/>
      <c r="AR16" s="2112"/>
      <c r="AS16" s="2112"/>
      <c r="AT16" s="2107"/>
      <c r="AU16" s="2107"/>
      <c r="AV16" s="2107"/>
      <c r="AW16" s="2107"/>
      <c r="AX16" s="2110"/>
      <c r="AY16" s="2110"/>
      <c r="AZ16" s="2110"/>
      <c r="BA16" s="2110"/>
      <c r="BB16" s="2110"/>
      <c r="BC16" s="2110"/>
      <c r="BD16" s="2110"/>
      <c r="BE16" s="2110"/>
      <c r="BF16" s="2107"/>
      <c r="BG16" s="2107"/>
      <c r="BH16" s="2107"/>
      <c r="BI16" s="2107"/>
      <c r="BM16" s="1958"/>
      <c r="BN16" s="1958"/>
      <c r="BO16" s="167"/>
      <c r="BP16" s="167"/>
      <c r="BQ16" s="218"/>
      <c r="BR16" s="188"/>
      <c r="BS16" s="189"/>
      <c r="BT16" s="2064" t="s">
        <v>434</v>
      </c>
      <c r="BU16" s="2064"/>
      <c r="BV16" s="2064"/>
      <c r="BW16" s="2064"/>
      <c r="BX16" s="2064"/>
      <c r="BY16" s="2064"/>
      <c r="BZ16" s="2064"/>
      <c r="CA16" s="2064"/>
      <c r="CB16" s="2064"/>
      <c r="CC16" s="2064"/>
      <c r="CD16" s="2064"/>
      <c r="CE16" s="2064"/>
      <c r="CF16" s="2064"/>
      <c r="CG16" s="2064"/>
      <c r="CH16" s="2064"/>
      <c r="CI16" s="2064"/>
      <c r="CJ16" s="2064"/>
      <c r="CK16" s="2064"/>
      <c r="CL16" s="2064"/>
      <c r="CM16" s="2064"/>
      <c r="CN16" s="2064"/>
      <c r="CO16" s="2064"/>
      <c r="CP16" s="2064"/>
      <c r="CQ16" s="2064"/>
      <c r="CR16" s="2064"/>
      <c r="CS16" s="2064"/>
      <c r="CT16" s="2064"/>
      <c r="CU16" s="2064"/>
      <c r="CV16" s="2064"/>
      <c r="CW16" s="2064"/>
      <c r="CX16" s="2064"/>
      <c r="CY16" s="2064"/>
      <c r="CZ16" s="2064"/>
      <c r="DA16" s="2064"/>
      <c r="DB16" s="2064"/>
      <c r="DC16" s="2064"/>
      <c r="DD16" s="2064"/>
      <c r="DE16" s="2064"/>
      <c r="DF16" s="2064"/>
      <c r="DG16" s="2064"/>
      <c r="DH16" s="2064"/>
      <c r="DI16" s="2064"/>
      <c r="DJ16" s="189"/>
      <c r="DK16" s="197"/>
      <c r="DL16" s="2074">
        <f>'報告_短期P7-10'!AZ148</f>
        <v>813</v>
      </c>
      <c r="DM16" s="2074"/>
      <c r="DN16" s="2074"/>
      <c r="DO16" s="2074"/>
      <c r="DP16" s="2074"/>
      <c r="DQ16" s="2074"/>
      <c r="DR16" s="2074"/>
      <c r="DS16" s="2074"/>
      <c r="DT16" s="2074"/>
      <c r="DU16" s="2074"/>
      <c r="DV16" s="2074"/>
      <c r="DW16" s="2074"/>
      <c r="DX16" s="2074"/>
      <c r="DY16" s="2074"/>
      <c r="DZ16" s="2074"/>
      <c r="EA16" s="2074"/>
      <c r="EB16" s="2074"/>
      <c r="EC16" s="2074"/>
      <c r="ED16" s="2074"/>
      <c r="EE16" s="2074"/>
      <c r="EF16" s="2074"/>
      <c r="EG16" s="2074"/>
      <c r="EH16" s="2074"/>
      <c r="EI16" s="2078">
        <f>'報告_短期P7-10'!BW148</f>
        <v>20430</v>
      </c>
      <c r="EJ16" s="2078"/>
      <c r="EK16" s="2078"/>
      <c r="EL16" s="2078"/>
      <c r="EM16" s="2078"/>
      <c r="EN16" s="2078"/>
      <c r="EO16" s="2078"/>
      <c r="EP16" s="2078"/>
      <c r="EQ16" s="2078"/>
      <c r="ER16" s="2078"/>
      <c r="ES16" s="2078"/>
      <c r="ET16" s="2078"/>
      <c r="EU16" s="2078"/>
      <c r="EV16" s="2078"/>
      <c r="EW16" s="2078"/>
      <c r="EX16" s="2075" t="s">
        <v>103</v>
      </c>
      <c r="EY16" s="2075"/>
      <c r="EZ16" s="2075"/>
      <c r="FA16" s="2075"/>
      <c r="FB16" s="2055">
        <f>'報告_短期P7-10'!CP148</f>
        <v>4104640</v>
      </c>
      <c r="FC16" s="2055"/>
      <c r="FD16" s="2055"/>
      <c r="FE16" s="2055"/>
      <c r="FF16" s="2055"/>
      <c r="FG16" s="2055"/>
      <c r="FH16" s="2055"/>
      <c r="FI16" s="2055"/>
      <c r="FJ16" s="2055"/>
      <c r="FK16" s="2055"/>
      <c r="FL16" s="2055"/>
      <c r="FM16" s="2055"/>
      <c r="FN16" s="2055"/>
      <c r="FO16" s="2055"/>
      <c r="FP16" s="2055"/>
      <c r="FQ16" s="2055"/>
      <c r="FR16" s="2055"/>
      <c r="FS16" s="2055"/>
      <c r="FT16" s="2055"/>
      <c r="FU16" s="2055"/>
      <c r="FV16" s="2055"/>
      <c r="FW16" s="2055"/>
      <c r="FX16" s="2055"/>
      <c r="FY16" s="2055"/>
      <c r="FZ16" s="2055"/>
      <c r="GA16" s="2055"/>
      <c r="GB16" s="2055"/>
      <c r="GC16" s="2055"/>
      <c r="GD16" s="2074">
        <f>'報告_短期P7-10'!DR148</f>
        <v>825</v>
      </c>
      <c r="GE16" s="2074"/>
      <c r="GF16" s="2074"/>
      <c r="GG16" s="2074"/>
      <c r="GH16" s="2074"/>
      <c r="GI16" s="2074"/>
      <c r="GJ16" s="2074"/>
      <c r="GK16" s="2074"/>
      <c r="GL16" s="2074"/>
      <c r="GM16" s="2074"/>
      <c r="GN16" s="2074"/>
      <c r="GO16" s="2074"/>
      <c r="GP16" s="2074"/>
      <c r="GQ16" s="2074"/>
      <c r="GR16" s="2074"/>
      <c r="GS16" s="2074"/>
      <c r="GT16" s="2074"/>
      <c r="GU16" s="2074"/>
      <c r="GV16" s="2074"/>
      <c r="GW16" s="2074"/>
      <c r="GX16" s="2074"/>
      <c r="GY16" s="2074"/>
      <c r="GZ16" s="2074"/>
      <c r="HA16" s="2078">
        <f>'報告_短期P7-10'!EO148</f>
        <v>20414</v>
      </c>
      <c r="HB16" s="2078"/>
      <c r="HC16" s="2078"/>
      <c r="HD16" s="2078"/>
      <c r="HE16" s="2078"/>
      <c r="HF16" s="2078"/>
      <c r="HG16" s="2078"/>
      <c r="HH16" s="2078"/>
      <c r="HI16" s="2078"/>
      <c r="HJ16" s="2078"/>
      <c r="HK16" s="2078"/>
      <c r="HL16" s="2078"/>
      <c r="HM16" s="2078"/>
      <c r="HN16" s="2078"/>
      <c r="HO16" s="2078"/>
      <c r="HP16" s="2075" t="s">
        <v>103</v>
      </c>
      <c r="HQ16" s="2075"/>
      <c r="HR16" s="2075"/>
      <c r="HS16" s="2075"/>
      <c r="HT16" s="2055">
        <f>'報告_短期P7-10'!FH148</f>
        <v>4172769</v>
      </c>
      <c r="HU16" s="2055"/>
      <c r="HV16" s="2055"/>
      <c r="HW16" s="2055"/>
      <c r="HX16" s="2055"/>
      <c r="HY16" s="2055"/>
      <c r="HZ16" s="2055"/>
      <c r="IA16" s="2055"/>
      <c r="IB16" s="2055"/>
      <c r="IC16" s="2055"/>
      <c r="ID16" s="2055"/>
      <c r="IE16" s="2055"/>
      <c r="IF16" s="2055"/>
      <c r="IG16" s="2055"/>
      <c r="IH16" s="2055"/>
      <c r="II16" s="2055"/>
      <c r="IJ16" s="2055"/>
      <c r="IK16" s="2055"/>
      <c r="IL16" s="2055"/>
      <c r="IM16" s="2055"/>
      <c r="IN16" s="2055"/>
      <c r="IO16" s="2055"/>
      <c r="IP16" s="2055"/>
      <c r="IQ16" s="2055"/>
      <c r="IR16" s="2055"/>
      <c r="IS16" s="2055"/>
      <c r="IT16" s="2055"/>
      <c r="IU16" s="2055"/>
    </row>
    <row r="17" spans="1:255" s="222" customFormat="1" ht="24" customHeight="1">
      <c r="A17" s="2035"/>
      <c r="B17" s="2035"/>
      <c r="C17" s="225"/>
      <c r="D17" s="2117" t="s">
        <v>53</v>
      </c>
      <c r="E17" s="2117"/>
      <c r="F17" s="2117"/>
      <c r="G17" s="2117"/>
      <c r="H17" s="2117"/>
      <c r="I17" s="2117"/>
      <c r="J17" s="2117"/>
      <c r="K17" s="2117"/>
      <c r="L17" s="2117"/>
      <c r="M17" s="2117"/>
      <c r="N17" s="2117"/>
      <c r="O17" s="226"/>
      <c r="P17" s="2113">
        <f>ROUND(EI19/DL19,2)</f>
        <v>5.7</v>
      </c>
      <c r="Q17" s="2113"/>
      <c r="R17" s="2113"/>
      <c r="S17" s="2113">
        <f>ROUND(HA19/GD19,2)</f>
        <v>5.1100000000000003</v>
      </c>
      <c r="T17" s="2113"/>
      <c r="U17" s="2113"/>
      <c r="V17" s="2098">
        <f>ROUND(P17/S17*100,2)</f>
        <v>111.55</v>
      </c>
      <c r="W17" s="2098"/>
      <c r="X17" s="2098"/>
      <c r="Y17" s="2098"/>
      <c r="Z17" s="2102">
        <f>ROUND(FB19/DL19,0)</f>
        <v>46969</v>
      </c>
      <c r="AA17" s="2102"/>
      <c r="AB17" s="2102"/>
      <c r="AC17" s="2102"/>
      <c r="AD17" s="2102">
        <f>ROUND(HT19/GD19,0)</f>
        <v>43192</v>
      </c>
      <c r="AE17" s="2102"/>
      <c r="AF17" s="2102"/>
      <c r="AG17" s="2102"/>
      <c r="AH17" s="2098">
        <f t="shared" si="1"/>
        <v>108.74</v>
      </c>
      <c r="AI17" s="2098"/>
      <c r="AJ17" s="2098"/>
      <c r="AK17" s="2098"/>
      <c r="AL17" s="2102">
        <f>ROUND(FB19/EI19,0)</f>
        <v>8243</v>
      </c>
      <c r="AM17" s="2102"/>
      <c r="AN17" s="2102"/>
      <c r="AO17" s="2102"/>
      <c r="AP17" s="2102">
        <f>ROUND(HT19/HA19,0)</f>
        <v>8458</v>
      </c>
      <c r="AQ17" s="2102"/>
      <c r="AR17" s="2102"/>
      <c r="AS17" s="2102"/>
      <c r="AT17" s="2098">
        <f>ROUND(AL17/AP17*100,2)</f>
        <v>97.46</v>
      </c>
      <c r="AU17" s="2098"/>
      <c r="AV17" s="2098"/>
      <c r="AW17" s="2098"/>
      <c r="AX17" s="2110"/>
      <c r="AY17" s="2110"/>
      <c r="AZ17" s="2110"/>
      <c r="BA17" s="2110"/>
      <c r="BB17" s="2110"/>
      <c r="BC17" s="2110"/>
      <c r="BD17" s="2110"/>
      <c r="BE17" s="2110"/>
      <c r="BF17" s="2107"/>
      <c r="BG17" s="2107"/>
      <c r="BH17" s="2107"/>
      <c r="BI17" s="2107"/>
      <c r="BM17" s="1958"/>
      <c r="BN17" s="1958"/>
      <c r="BO17" s="167"/>
      <c r="BP17" s="167"/>
      <c r="BQ17" s="218"/>
      <c r="BR17" s="219"/>
      <c r="BS17" s="211"/>
      <c r="BT17" s="1932" t="s">
        <v>61</v>
      </c>
      <c r="BU17" s="1932"/>
      <c r="BV17" s="1932"/>
      <c r="BW17" s="1932"/>
      <c r="BX17" s="1932"/>
      <c r="BY17" s="1932"/>
      <c r="BZ17" s="1932"/>
      <c r="CA17" s="1932"/>
      <c r="CB17" s="1932"/>
      <c r="CC17" s="1932"/>
      <c r="CD17" s="1932"/>
      <c r="CE17" s="1932"/>
      <c r="CF17" s="1932"/>
      <c r="CG17" s="1932"/>
      <c r="CH17" s="1932"/>
      <c r="CI17" s="1932"/>
      <c r="CJ17" s="1932"/>
      <c r="CK17" s="1932"/>
      <c r="CL17" s="1932"/>
      <c r="CM17" s="1932"/>
      <c r="CN17" s="1932"/>
      <c r="CO17" s="1932"/>
      <c r="CP17" s="1932"/>
      <c r="CQ17" s="1932"/>
      <c r="CR17" s="1932"/>
      <c r="CS17" s="1932"/>
      <c r="CT17" s="1932"/>
      <c r="CU17" s="1932"/>
      <c r="CV17" s="1932"/>
      <c r="CW17" s="1932"/>
      <c r="CX17" s="1932"/>
      <c r="CY17" s="1932"/>
      <c r="CZ17" s="1932"/>
      <c r="DA17" s="1932"/>
      <c r="DB17" s="1932"/>
      <c r="DC17" s="1932"/>
      <c r="DD17" s="1932"/>
      <c r="DE17" s="1932"/>
      <c r="DF17" s="1932"/>
      <c r="DG17" s="1932"/>
      <c r="DH17" s="1932"/>
      <c r="DI17" s="1932"/>
      <c r="DJ17" s="211"/>
      <c r="DK17" s="220"/>
      <c r="DL17" s="2076"/>
      <c r="DM17" s="2076"/>
      <c r="DN17" s="2076"/>
      <c r="DO17" s="2076"/>
      <c r="DP17" s="2076"/>
      <c r="DQ17" s="2076"/>
      <c r="DR17" s="2076"/>
      <c r="DS17" s="2076"/>
      <c r="DT17" s="2076"/>
      <c r="DU17" s="2076"/>
      <c r="DV17" s="2076"/>
      <c r="DW17" s="2076"/>
      <c r="DX17" s="2076"/>
      <c r="DY17" s="2076"/>
      <c r="DZ17" s="2076"/>
      <c r="EA17" s="2076"/>
      <c r="EB17" s="2076"/>
      <c r="EC17" s="2076"/>
      <c r="ED17" s="2076"/>
      <c r="EE17" s="2076"/>
      <c r="EF17" s="2076"/>
      <c r="EG17" s="2076"/>
      <c r="EH17" s="2076"/>
      <c r="EI17" s="2076"/>
      <c r="EJ17" s="2076"/>
      <c r="EK17" s="2076"/>
      <c r="EL17" s="2076"/>
      <c r="EM17" s="2076"/>
      <c r="EN17" s="2076"/>
      <c r="EO17" s="2076"/>
      <c r="EP17" s="2076"/>
      <c r="EQ17" s="2076"/>
      <c r="ER17" s="2076"/>
      <c r="ES17" s="2076"/>
      <c r="ET17" s="2076"/>
      <c r="EU17" s="2076"/>
      <c r="EV17" s="2076"/>
      <c r="EW17" s="2076"/>
      <c r="EX17" s="2076"/>
      <c r="EY17" s="2076"/>
      <c r="EZ17" s="2076"/>
      <c r="FA17" s="2076"/>
      <c r="FB17" s="2077"/>
      <c r="FC17" s="2077"/>
      <c r="FD17" s="2077"/>
      <c r="FE17" s="2077"/>
      <c r="FF17" s="2077"/>
      <c r="FG17" s="2077"/>
      <c r="FH17" s="2077"/>
      <c r="FI17" s="2077"/>
      <c r="FJ17" s="2077"/>
      <c r="FK17" s="2077"/>
      <c r="FL17" s="2077"/>
      <c r="FM17" s="2077"/>
      <c r="FN17" s="2077"/>
      <c r="FO17" s="2077"/>
      <c r="FP17" s="2077"/>
      <c r="FQ17" s="2077"/>
      <c r="FR17" s="2077"/>
      <c r="FS17" s="2077"/>
      <c r="FT17" s="2077"/>
      <c r="FU17" s="2077"/>
      <c r="FV17" s="2077"/>
      <c r="FW17" s="2077"/>
      <c r="FX17" s="2077"/>
      <c r="FY17" s="2077"/>
      <c r="FZ17" s="2077"/>
      <c r="GA17" s="2077"/>
      <c r="GB17" s="2077"/>
      <c r="GC17" s="2077"/>
      <c r="GD17" s="2084">
        <f>'報告_短期P7-10'!DR149</f>
        <v>0</v>
      </c>
      <c r="GE17" s="2084"/>
      <c r="GF17" s="2084"/>
      <c r="GG17" s="2084"/>
      <c r="GH17" s="2084"/>
      <c r="GI17" s="2084"/>
      <c r="GJ17" s="2084"/>
      <c r="GK17" s="2084"/>
      <c r="GL17" s="2084"/>
      <c r="GM17" s="2084"/>
      <c r="GN17" s="2084"/>
      <c r="GO17" s="2084"/>
      <c r="GP17" s="2084"/>
      <c r="GQ17" s="2084"/>
      <c r="GR17" s="2084"/>
      <c r="GS17" s="2084"/>
      <c r="GT17" s="2084"/>
      <c r="GU17" s="2084"/>
      <c r="GV17" s="2084"/>
      <c r="GW17" s="2084"/>
      <c r="GX17" s="2084"/>
      <c r="GY17" s="2084"/>
      <c r="GZ17" s="2084"/>
      <c r="HA17" s="2076"/>
      <c r="HB17" s="2076"/>
      <c r="HC17" s="2076"/>
      <c r="HD17" s="2076"/>
      <c r="HE17" s="2076"/>
      <c r="HF17" s="2076"/>
      <c r="HG17" s="2076"/>
      <c r="HH17" s="2076"/>
      <c r="HI17" s="2076"/>
      <c r="HJ17" s="2076"/>
      <c r="HK17" s="2076"/>
      <c r="HL17" s="2076"/>
      <c r="HM17" s="2076"/>
      <c r="HN17" s="2076"/>
      <c r="HO17" s="2076"/>
      <c r="HP17" s="2076"/>
      <c r="HQ17" s="2076"/>
      <c r="HR17" s="2076"/>
      <c r="HS17" s="2076"/>
      <c r="HT17" s="2085">
        <f>'報告_短期P7-10'!FH149</f>
        <v>0</v>
      </c>
      <c r="HU17" s="2085"/>
      <c r="HV17" s="2085"/>
      <c r="HW17" s="2085"/>
      <c r="HX17" s="2085"/>
      <c r="HY17" s="2085"/>
      <c r="HZ17" s="2085"/>
      <c r="IA17" s="2085"/>
      <c r="IB17" s="2085"/>
      <c r="IC17" s="2085"/>
      <c r="ID17" s="2085"/>
      <c r="IE17" s="2085"/>
      <c r="IF17" s="2085"/>
      <c r="IG17" s="2085"/>
      <c r="IH17" s="2085"/>
      <c r="II17" s="2085"/>
      <c r="IJ17" s="2085"/>
      <c r="IK17" s="2085"/>
      <c r="IL17" s="2085"/>
      <c r="IM17" s="2085"/>
      <c r="IN17" s="2085"/>
      <c r="IO17" s="2085"/>
      <c r="IP17" s="2085"/>
      <c r="IQ17" s="2085"/>
      <c r="IR17" s="2085"/>
      <c r="IS17" s="2085"/>
      <c r="IT17" s="2085"/>
      <c r="IU17" s="2085"/>
    </row>
    <row r="18" spans="1:255" s="222" customFormat="1" ht="24" customHeight="1">
      <c r="A18" s="2035"/>
      <c r="B18" s="2035"/>
      <c r="C18" s="223"/>
      <c r="D18" s="2073" t="s">
        <v>62</v>
      </c>
      <c r="E18" s="2073"/>
      <c r="F18" s="2073"/>
      <c r="G18" s="2073"/>
      <c r="H18" s="2073"/>
      <c r="I18" s="2073"/>
      <c r="J18" s="2073"/>
      <c r="K18" s="2073"/>
      <c r="L18" s="2073"/>
      <c r="M18" s="2073"/>
      <c r="N18" s="2073"/>
      <c r="O18" s="224"/>
      <c r="P18" s="2110"/>
      <c r="Q18" s="2110"/>
      <c r="R18" s="2110"/>
      <c r="S18" s="2110"/>
      <c r="T18" s="2110"/>
      <c r="U18" s="2110"/>
      <c r="V18" s="2107"/>
      <c r="W18" s="2107"/>
      <c r="X18" s="2107"/>
      <c r="Y18" s="2107"/>
      <c r="Z18" s="2102">
        <f>IFERROR(ROUND(FB20/DL20,0),0)</f>
        <v>0</v>
      </c>
      <c r="AA18" s="2102"/>
      <c r="AB18" s="2102"/>
      <c r="AC18" s="2102"/>
      <c r="AD18" s="2114">
        <f>IFERROR(ROUND(HT20/GD20,0),0)</f>
        <v>70824</v>
      </c>
      <c r="AE18" s="2102"/>
      <c r="AF18" s="2102"/>
      <c r="AG18" s="2102"/>
      <c r="AH18" s="2115" t="s">
        <v>474</v>
      </c>
      <c r="AI18" s="2115"/>
      <c r="AJ18" s="2115"/>
      <c r="AK18" s="2115"/>
      <c r="AL18" s="2112"/>
      <c r="AM18" s="2112"/>
      <c r="AN18" s="2112"/>
      <c r="AO18" s="2112"/>
      <c r="AP18" s="2112"/>
      <c r="AQ18" s="2112"/>
      <c r="AR18" s="2112"/>
      <c r="AS18" s="2112"/>
      <c r="AT18" s="2107"/>
      <c r="AU18" s="2107"/>
      <c r="AV18" s="2107"/>
      <c r="AW18" s="2107"/>
      <c r="AX18" s="2110"/>
      <c r="AY18" s="2110"/>
      <c r="AZ18" s="2110"/>
      <c r="BA18" s="2110"/>
      <c r="BB18" s="2110"/>
      <c r="BC18" s="2110"/>
      <c r="BD18" s="2110"/>
      <c r="BE18" s="2110"/>
      <c r="BF18" s="2107"/>
      <c r="BG18" s="2107"/>
      <c r="BH18" s="2107"/>
      <c r="BI18" s="2107"/>
      <c r="BM18" s="1958"/>
      <c r="BN18" s="1958"/>
      <c r="BO18" s="167"/>
      <c r="BP18" s="167"/>
      <c r="BQ18" s="218"/>
      <c r="BR18" s="190"/>
      <c r="BS18" s="191"/>
      <c r="BT18" s="1932"/>
      <c r="BU18" s="1932"/>
      <c r="BV18" s="1932"/>
      <c r="BW18" s="1932"/>
      <c r="BX18" s="1932"/>
      <c r="BY18" s="1932"/>
      <c r="BZ18" s="1932"/>
      <c r="CA18" s="1932"/>
      <c r="CB18" s="1932"/>
      <c r="CC18" s="1932"/>
      <c r="CD18" s="1932"/>
      <c r="CE18" s="1932"/>
      <c r="CF18" s="1932"/>
      <c r="CG18" s="1932"/>
      <c r="CH18" s="1932"/>
      <c r="CI18" s="1932"/>
      <c r="CJ18" s="1932"/>
      <c r="CK18" s="1932"/>
      <c r="CL18" s="1932"/>
      <c r="CM18" s="1932"/>
      <c r="CN18" s="1932"/>
      <c r="CO18" s="1932"/>
      <c r="CP18" s="1932"/>
      <c r="CQ18" s="1932"/>
      <c r="CR18" s="1932"/>
      <c r="CS18" s="1932"/>
      <c r="CT18" s="1932"/>
      <c r="CU18" s="1932"/>
      <c r="CV18" s="1932"/>
      <c r="CW18" s="1932"/>
      <c r="CX18" s="1932"/>
      <c r="CY18" s="1932"/>
      <c r="CZ18" s="1932"/>
      <c r="DA18" s="1932"/>
      <c r="DB18" s="1932"/>
      <c r="DC18" s="1932"/>
      <c r="DD18" s="1932"/>
      <c r="DE18" s="1932"/>
      <c r="DF18" s="1932"/>
      <c r="DG18" s="1932"/>
      <c r="DH18" s="1932"/>
      <c r="DI18" s="1932"/>
      <c r="DJ18" s="191"/>
      <c r="DK18" s="214"/>
      <c r="DL18" s="2072">
        <f>'報告_短期P7-10'!AZ150</f>
        <v>61391</v>
      </c>
      <c r="DM18" s="2072"/>
      <c r="DN18" s="2072"/>
      <c r="DO18" s="2072"/>
      <c r="DP18" s="2072"/>
      <c r="DQ18" s="2072"/>
      <c r="DR18" s="2072"/>
      <c r="DS18" s="2072"/>
      <c r="DT18" s="2072"/>
      <c r="DU18" s="2072"/>
      <c r="DV18" s="2072"/>
      <c r="DW18" s="2072"/>
      <c r="DX18" s="2072"/>
      <c r="DY18" s="2072"/>
      <c r="DZ18" s="2072"/>
      <c r="EA18" s="2072"/>
      <c r="EB18" s="2072"/>
      <c r="EC18" s="2072"/>
      <c r="ED18" s="2072"/>
      <c r="EE18" s="2072"/>
      <c r="EF18" s="2072"/>
      <c r="EG18" s="2072"/>
      <c r="EH18" s="2072"/>
      <c r="EI18" s="2072">
        <f>'報告_短期P7-10'!BW150</f>
        <v>73911</v>
      </c>
      <c r="EJ18" s="2072"/>
      <c r="EK18" s="2072"/>
      <c r="EL18" s="2072"/>
      <c r="EM18" s="2072"/>
      <c r="EN18" s="2072"/>
      <c r="EO18" s="2072"/>
      <c r="EP18" s="2072"/>
      <c r="EQ18" s="2072"/>
      <c r="ER18" s="2072"/>
      <c r="ES18" s="2072"/>
      <c r="ET18" s="2072"/>
      <c r="EU18" s="2072"/>
      <c r="EV18" s="2072"/>
      <c r="EW18" s="2072"/>
      <c r="EX18" s="2072"/>
      <c r="EY18" s="2072"/>
      <c r="EZ18" s="2072"/>
      <c r="FA18" s="2072"/>
      <c r="FB18" s="2071">
        <f>'報告_短期P7-10'!CP150</f>
        <v>368226435</v>
      </c>
      <c r="FC18" s="2071"/>
      <c r="FD18" s="2071"/>
      <c r="FE18" s="2071"/>
      <c r="FF18" s="2071"/>
      <c r="FG18" s="2071"/>
      <c r="FH18" s="2071"/>
      <c r="FI18" s="2071"/>
      <c r="FJ18" s="2071"/>
      <c r="FK18" s="2071"/>
      <c r="FL18" s="2071"/>
      <c r="FM18" s="2071"/>
      <c r="FN18" s="2071"/>
      <c r="FO18" s="2071"/>
      <c r="FP18" s="2071"/>
      <c r="FQ18" s="2071"/>
      <c r="FR18" s="2071"/>
      <c r="FS18" s="2071"/>
      <c r="FT18" s="2071"/>
      <c r="FU18" s="2071"/>
      <c r="FV18" s="2071"/>
      <c r="FW18" s="2071"/>
      <c r="FX18" s="2071"/>
      <c r="FY18" s="2071"/>
      <c r="FZ18" s="2071"/>
      <c r="GA18" s="2071"/>
      <c r="GB18" s="2071"/>
      <c r="GC18" s="2071"/>
      <c r="GD18" s="2072">
        <f>'報告_短期P7-10'!DR150</f>
        <v>61457</v>
      </c>
      <c r="GE18" s="2072"/>
      <c r="GF18" s="2072"/>
      <c r="GG18" s="2072"/>
      <c r="GH18" s="2072"/>
      <c r="GI18" s="2072"/>
      <c r="GJ18" s="2072"/>
      <c r="GK18" s="2072"/>
      <c r="GL18" s="2072"/>
      <c r="GM18" s="2072"/>
      <c r="GN18" s="2072"/>
      <c r="GO18" s="2072"/>
      <c r="GP18" s="2072"/>
      <c r="GQ18" s="2072"/>
      <c r="GR18" s="2072"/>
      <c r="GS18" s="2072"/>
      <c r="GT18" s="2072"/>
      <c r="GU18" s="2072"/>
      <c r="GV18" s="2072"/>
      <c r="GW18" s="2072"/>
      <c r="GX18" s="2072"/>
      <c r="GY18" s="2072"/>
      <c r="GZ18" s="2072"/>
      <c r="HA18" s="2055">
        <f>'報告_短期P7-10'!EO150</f>
        <v>74865</v>
      </c>
      <c r="HB18" s="2055"/>
      <c r="HC18" s="2055"/>
      <c r="HD18" s="2055"/>
      <c r="HE18" s="2055"/>
      <c r="HF18" s="2055"/>
      <c r="HG18" s="2055"/>
      <c r="HH18" s="2055"/>
      <c r="HI18" s="2055"/>
      <c r="HJ18" s="2055"/>
      <c r="HK18" s="2055"/>
      <c r="HL18" s="2055"/>
      <c r="HM18" s="2055"/>
      <c r="HN18" s="2055"/>
      <c r="HO18" s="2055"/>
      <c r="HP18" s="2055"/>
      <c r="HQ18" s="2055"/>
      <c r="HR18" s="2055"/>
      <c r="HS18" s="2055"/>
      <c r="HT18" s="2071">
        <f>'報告_短期P7-10'!FH150</f>
        <v>333232347</v>
      </c>
      <c r="HU18" s="2071"/>
      <c r="HV18" s="2071"/>
      <c r="HW18" s="2071"/>
      <c r="HX18" s="2071"/>
      <c r="HY18" s="2071"/>
      <c r="HZ18" s="2071"/>
      <c r="IA18" s="2071"/>
      <c r="IB18" s="2071"/>
      <c r="IC18" s="2071"/>
      <c r="ID18" s="2071"/>
      <c r="IE18" s="2071"/>
      <c r="IF18" s="2071"/>
      <c r="IG18" s="2071"/>
      <c r="IH18" s="2071"/>
      <c r="II18" s="2071"/>
      <c r="IJ18" s="2071"/>
      <c r="IK18" s="2071"/>
      <c r="IL18" s="2071"/>
      <c r="IM18" s="2071"/>
      <c r="IN18" s="2071"/>
      <c r="IO18" s="2071"/>
      <c r="IP18" s="2071"/>
      <c r="IQ18" s="2071"/>
      <c r="IR18" s="2071"/>
      <c r="IS18" s="2071"/>
      <c r="IT18" s="2071"/>
      <c r="IU18" s="2071"/>
    </row>
    <row r="19" spans="1:255" s="222" customFormat="1" ht="24" customHeight="1">
      <c r="A19" s="2035"/>
      <c r="B19" s="2035"/>
      <c r="C19" s="227"/>
      <c r="D19" s="2030" t="s">
        <v>351</v>
      </c>
      <c r="E19" s="2030"/>
      <c r="F19" s="2030"/>
      <c r="G19" s="2030"/>
      <c r="H19" s="2030"/>
      <c r="I19" s="2030"/>
      <c r="J19" s="2030"/>
      <c r="K19" s="2030"/>
      <c r="L19" s="2030"/>
      <c r="M19" s="2030"/>
      <c r="N19" s="2030"/>
      <c r="O19" s="226"/>
      <c r="P19" s="2113">
        <f>ROUND(EI21/DL21,2)</f>
        <v>1.46</v>
      </c>
      <c r="Q19" s="2113"/>
      <c r="R19" s="2113"/>
      <c r="S19" s="2113">
        <f>ROUND(HA21/GD21,2)</f>
        <v>1.46</v>
      </c>
      <c r="T19" s="2113"/>
      <c r="U19" s="2113"/>
      <c r="V19" s="2098">
        <f>ROUND(P19/S19*100,2)</f>
        <v>100</v>
      </c>
      <c r="W19" s="2098"/>
      <c r="X19" s="2098"/>
      <c r="Y19" s="2098"/>
      <c r="Z19" s="2102">
        <f>ROUND(FB21/DL21,0)</f>
        <v>15204</v>
      </c>
      <c r="AA19" s="2102"/>
      <c r="AB19" s="2102"/>
      <c r="AC19" s="2102"/>
      <c r="AD19" s="2102">
        <f>ROUND(HT21/GD21,0)</f>
        <v>14607</v>
      </c>
      <c r="AE19" s="2102"/>
      <c r="AF19" s="2102"/>
      <c r="AG19" s="2102"/>
      <c r="AH19" s="2098">
        <f>ROUND(Z19/AD19*100,2)</f>
        <v>104.09</v>
      </c>
      <c r="AI19" s="2098"/>
      <c r="AJ19" s="2098"/>
      <c r="AK19" s="2098"/>
      <c r="AL19" s="2102">
        <f>ROUND(FB21/EI21,0)</f>
        <v>10391</v>
      </c>
      <c r="AM19" s="2102"/>
      <c r="AN19" s="2102"/>
      <c r="AO19" s="2102"/>
      <c r="AP19" s="2102">
        <f>ROUND(HT21/HA21,0)</f>
        <v>9985</v>
      </c>
      <c r="AQ19" s="2102"/>
      <c r="AR19" s="2102"/>
      <c r="AS19" s="2102"/>
      <c r="AT19" s="2098">
        <f>ROUND(AL19/AP19*100,2)</f>
        <v>104.07</v>
      </c>
      <c r="AU19" s="2098"/>
      <c r="AV19" s="2098"/>
      <c r="AW19" s="2098"/>
      <c r="AX19" s="2099">
        <f>ROUND((DL13+DL14+DL15)/EB28*100,2)</f>
        <v>86.16</v>
      </c>
      <c r="AY19" s="2099"/>
      <c r="AZ19" s="2099"/>
      <c r="BA19" s="2099"/>
      <c r="BB19" s="2099">
        <f>ROUND((GD13+GD14+GD15)/EB27*100,2)</f>
        <v>84.57</v>
      </c>
      <c r="BC19" s="2099"/>
      <c r="BD19" s="2099"/>
      <c r="BE19" s="2099"/>
      <c r="BF19" s="2098">
        <f>ROUND(AX19/BB19*100,2)</f>
        <v>101.88</v>
      </c>
      <c r="BG19" s="2098"/>
      <c r="BH19" s="2098"/>
      <c r="BI19" s="2098"/>
      <c r="BM19" s="1958"/>
      <c r="BN19" s="1958"/>
      <c r="BO19" s="167"/>
      <c r="BP19" s="167"/>
      <c r="BQ19" s="218"/>
      <c r="BR19" s="188"/>
      <c r="BS19" s="189"/>
      <c r="BT19" s="1932" t="s">
        <v>53</v>
      </c>
      <c r="BU19" s="1932"/>
      <c r="BV19" s="1932"/>
      <c r="BW19" s="1932"/>
      <c r="BX19" s="1932"/>
      <c r="BY19" s="1932"/>
      <c r="BZ19" s="1932"/>
      <c r="CA19" s="1932"/>
      <c r="CB19" s="1932"/>
      <c r="CC19" s="1932"/>
      <c r="CD19" s="1932"/>
      <c r="CE19" s="1932"/>
      <c r="CF19" s="1932"/>
      <c r="CG19" s="1932"/>
      <c r="CH19" s="1932"/>
      <c r="CI19" s="1932"/>
      <c r="CJ19" s="1932"/>
      <c r="CK19" s="1932"/>
      <c r="CL19" s="1932"/>
      <c r="CM19" s="1932"/>
      <c r="CN19" s="1932"/>
      <c r="CO19" s="1932"/>
      <c r="CP19" s="1932"/>
      <c r="CQ19" s="1932"/>
      <c r="CR19" s="1932"/>
      <c r="CS19" s="1932"/>
      <c r="CT19" s="1932"/>
      <c r="CU19" s="1932"/>
      <c r="CV19" s="1932"/>
      <c r="CW19" s="1932"/>
      <c r="CX19" s="1932"/>
      <c r="CY19" s="1932"/>
      <c r="CZ19" s="1932"/>
      <c r="DA19" s="1932"/>
      <c r="DB19" s="1932"/>
      <c r="DC19" s="1932"/>
      <c r="DD19" s="1932"/>
      <c r="DE19" s="1932"/>
      <c r="DF19" s="1932"/>
      <c r="DG19" s="1932"/>
      <c r="DH19" s="1932"/>
      <c r="DI19" s="1932"/>
      <c r="DJ19" s="189"/>
      <c r="DK19" s="197"/>
      <c r="DL19" s="2074">
        <f>'報告_短期P7-10'!AZ151</f>
        <v>838</v>
      </c>
      <c r="DM19" s="2074"/>
      <c r="DN19" s="2074"/>
      <c r="DO19" s="2074"/>
      <c r="DP19" s="2074"/>
      <c r="DQ19" s="2074"/>
      <c r="DR19" s="2074"/>
      <c r="DS19" s="2074"/>
      <c r="DT19" s="2074"/>
      <c r="DU19" s="2074"/>
      <c r="DV19" s="2074"/>
      <c r="DW19" s="2074"/>
      <c r="DX19" s="2074"/>
      <c r="DY19" s="2074"/>
      <c r="DZ19" s="2074"/>
      <c r="EA19" s="2074"/>
      <c r="EB19" s="2074"/>
      <c r="EC19" s="2074"/>
      <c r="ED19" s="2074"/>
      <c r="EE19" s="2074"/>
      <c r="EF19" s="2074"/>
      <c r="EG19" s="2074"/>
      <c r="EH19" s="2074"/>
      <c r="EI19" s="2055">
        <f>'報告_短期P7-10'!BW151</f>
        <v>4775</v>
      </c>
      <c r="EJ19" s="2055"/>
      <c r="EK19" s="2055"/>
      <c r="EL19" s="2055"/>
      <c r="EM19" s="2055"/>
      <c r="EN19" s="2055"/>
      <c r="EO19" s="2055"/>
      <c r="EP19" s="2055"/>
      <c r="EQ19" s="2055"/>
      <c r="ER19" s="2055"/>
      <c r="ES19" s="2055"/>
      <c r="ET19" s="2055"/>
      <c r="EU19" s="2055"/>
      <c r="EV19" s="2055"/>
      <c r="EW19" s="2055"/>
      <c r="EX19" s="2055"/>
      <c r="EY19" s="2055"/>
      <c r="EZ19" s="2055"/>
      <c r="FA19" s="2055"/>
      <c r="FB19" s="2055">
        <f>'報告_短期P7-10'!CP151</f>
        <v>39360367</v>
      </c>
      <c r="FC19" s="2055"/>
      <c r="FD19" s="2055"/>
      <c r="FE19" s="2055"/>
      <c r="FF19" s="2055"/>
      <c r="FG19" s="2055"/>
      <c r="FH19" s="2055"/>
      <c r="FI19" s="2055"/>
      <c r="FJ19" s="2055"/>
      <c r="FK19" s="2055"/>
      <c r="FL19" s="2055"/>
      <c r="FM19" s="2055"/>
      <c r="FN19" s="2055"/>
      <c r="FO19" s="2055"/>
      <c r="FP19" s="2055"/>
      <c r="FQ19" s="2055"/>
      <c r="FR19" s="2055"/>
      <c r="FS19" s="2055"/>
      <c r="FT19" s="2055"/>
      <c r="FU19" s="2055"/>
      <c r="FV19" s="2055"/>
      <c r="FW19" s="2055"/>
      <c r="FX19" s="2055"/>
      <c r="FY19" s="2055"/>
      <c r="FZ19" s="2055"/>
      <c r="GA19" s="2055"/>
      <c r="GB19" s="2055"/>
      <c r="GC19" s="2055"/>
      <c r="GD19" s="2074">
        <f>'報告_短期P7-10'!DR151</f>
        <v>636</v>
      </c>
      <c r="GE19" s="2074"/>
      <c r="GF19" s="2074"/>
      <c r="GG19" s="2074"/>
      <c r="GH19" s="2074"/>
      <c r="GI19" s="2074"/>
      <c r="GJ19" s="2074"/>
      <c r="GK19" s="2074"/>
      <c r="GL19" s="2074"/>
      <c r="GM19" s="2074"/>
      <c r="GN19" s="2074"/>
      <c r="GO19" s="2074"/>
      <c r="GP19" s="2074"/>
      <c r="GQ19" s="2074"/>
      <c r="GR19" s="2074"/>
      <c r="GS19" s="2074"/>
      <c r="GT19" s="2074"/>
      <c r="GU19" s="2074"/>
      <c r="GV19" s="2074"/>
      <c r="GW19" s="2074"/>
      <c r="GX19" s="2074"/>
      <c r="GY19" s="2074"/>
      <c r="GZ19" s="2074"/>
      <c r="HA19" s="2055">
        <f>'報告_短期P7-10'!EO151</f>
        <v>3248</v>
      </c>
      <c r="HB19" s="2055"/>
      <c r="HC19" s="2055"/>
      <c r="HD19" s="2055"/>
      <c r="HE19" s="2055"/>
      <c r="HF19" s="2055"/>
      <c r="HG19" s="2055"/>
      <c r="HH19" s="2055"/>
      <c r="HI19" s="2055"/>
      <c r="HJ19" s="2055"/>
      <c r="HK19" s="2055"/>
      <c r="HL19" s="2055"/>
      <c r="HM19" s="2055"/>
      <c r="HN19" s="2055"/>
      <c r="HO19" s="2055"/>
      <c r="HP19" s="2055"/>
      <c r="HQ19" s="2055"/>
      <c r="HR19" s="2055"/>
      <c r="HS19" s="2055"/>
      <c r="HT19" s="2055">
        <f>'報告_短期P7-10'!FH151</f>
        <v>27470107</v>
      </c>
      <c r="HU19" s="2055"/>
      <c r="HV19" s="2055"/>
      <c r="HW19" s="2055"/>
      <c r="HX19" s="2055"/>
      <c r="HY19" s="2055"/>
      <c r="HZ19" s="2055"/>
      <c r="IA19" s="2055"/>
      <c r="IB19" s="2055"/>
      <c r="IC19" s="2055"/>
      <c r="ID19" s="2055"/>
      <c r="IE19" s="2055"/>
      <c r="IF19" s="2055"/>
      <c r="IG19" s="2055"/>
      <c r="IH19" s="2055"/>
      <c r="II19" s="2055"/>
      <c r="IJ19" s="2055"/>
      <c r="IK19" s="2055"/>
      <c r="IL19" s="2055"/>
      <c r="IM19" s="2055"/>
      <c r="IN19" s="2055"/>
      <c r="IO19" s="2055"/>
      <c r="IP19" s="2055"/>
      <c r="IQ19" s="2055"/>
      <c r="IR19" s="2055"/>
      <c r="IS19" s="2055"/>
      <c r="IT19" s="2055"/>
      <c r="IU19" s="2055"/>
    </row>
    <row r="20" spans="1:255" s="222" customFormat="1" ht="15.75" customHeight="1">
      <c r="A20" s="228"/>
      <c r="B20" s="2073" t="s">
        <v>56</v>
      </c>
      <c r="C20" s="2073"/>
      <c r="D20" s="2073"/>
      <c r="E20" s="2073"/>
      <c r="F20" s="2073"/>
      <c r="G20" s="2073"/>
      <c r="H20" s="2073"/>
      <c r="I20" s="2073"/>
      <c r="J20" s="2073"/>
      <c r="K20" s="2073"/>
      <c r="L20" s="2073"/>
      <c r="M20" s="2073"/>
      <c r="N20" s="2073"/>
      <c r="O20" s="224"/>
      <c r="P20" s="2110"/>
      <c r="Q20" s="2110"/>
      <c r="R20" s="2110"/>
      <c r="S20" s="2110"/>
      <c r="T20" s="2110"/>
      <c r="U20" s="2110"/>
      <c r="V20" s="2107"/>
      <c r="W20" s="2107"/>
      <c r="X20" s="2107"/>
      <c r="Y20" s="2107"/>
      <c r="Z20" s="2111"/>
      <c r="AA20" s="2111"/>
      <c r="AB20" s="2111"/>
      <c r="AC20" s="2111"/>
      <c r="AD20" s="2111"/>
      <c r="AE20" s="2111"/>
      <c r="AF20" s="2111"/>
      <c r="AG20" s="2111"/>
      <c r="AH20" s="2109"/>
      <c r="AI20" s="2109"/>
      <c r="AJ20" s="2109"/>
      <c r="AK20" s="2109"/>
      <c r="AL20" s="2112"/>
      <c r="AM20" s="2112"/>
      <c r="AN20" s="2112"/>
      <c r="AO20" s="2112"/>
      <c r="AP20" s="2112"/>
      <c r="AQ20" s="2112"/>
      <c r="AR20" s="2112"/>
      <c r="AS20" s="2112"/>
      <c r="AT20" s="2107"/>
      <c r="AU20" s="2107"/>
      <c r="AV20" s="2107"/>
      <c r="AW20" s="2107"/>
      <c r="AX20" s="2108"/>
      <c r="AY20" s="2108"/>
      <c r="AZ20" s="2108"/>
      <c r="BA20" s="2108"/>
      <c r="BB20" s="2108"/>
      <c r="BC20" s="2108"/>
      <c r="BD20" s="2108"/>
      <c r="BE20" s="2108"/>
      <c r="BF20" s="2109"/>
      <c r="BG20" s="2109"/>
      <c r="BH20" s="2109"/>
      <c r="BI20" s="2109"/>
      <c r="BM20" s="1962" t="s">
        <v>459</v>
      </c>
      <c r="BN20" s="1962"/>
      <c r="BO20" s="1962"/>
      <c r="BP20" s="1962"/>
      <c r="BQ20" s="1962"/>
      <c r="BR20" s="188"/>
      <c r="BS20" s="189"/>
      <c r="BT20" s="1932" t="s">
        <v>62</v>
      </c>
      <c r="BU20" s="1932"/>
      <c r="BV20" s="1932"/>
      <c r="BW20" s="1932"/>
      <c r="BX20" s="1932"/>
      <c r="BY20" s="1932"/>
      <c r="BZ20" s="1932"/>
      <c r="CA20" s="1932"/>
      <c r="CB20" s="1932"/>
      <c r="CC20" s="1932"/>
      <c r="CD20" s="1932"/>
      <c r="CE20" s="1932"/>
      <c r="CF20" s="1932"/>
      <c r="CG20" s="1932"/>
      <c r="CH20" s="1932"/>
      <c r="CI20" s="1932"/>
      <c r="CJ20" s="1932"/>
      <c r="CK20" s="1932"/>
      <c r="CL20" s="1932"/>
      <c r="CM20" s="1932"/>
      <c r="CN20" s="1932"/>
      <c r="CO20" s="1932"/>
      <c r="CP20" s="1932"/>
      <c r="CQ20" s="1932"/>
      <c r="CR20" s="1932"/>
      <c r="CS20" s="1932"/>
      <c r="CT20" s="1932"/>
      <c r="CU20" s="1932"/>
      <c r="CV20" s="1932"/>
      <c r="CW20" s="1932"/>
      <c r="CX20" s="1932"/>
      <c r="CY20" s="1932"/>
      <c r="CZ20" s="1932"/>
      <c r="DA20" s="1932"/>
      <c r="DB20" s="1932"/>
      <c r="DC20" s="1932"/>
      <c r="DD20" s="1932"/>
      <c r="DE20" s="1932"/>
      <c r="DF20" s="1932"/>
      <c r="DG20" s="1932"/>
      <c r="DH20" s="1932"/>
      <c r="DI20" s="1932"/>
      <c r="DJ20" s="189"/>
      <c r="DK20" s="197"/>
      <c r="DL20" s="2055">
        <f>'報告_短期P7-10'!AZ152</f>
        <v>0</v>
      </c>
      <c r="DM20" s="2055"/>
      <c r="DN20" s="2055"/>
      <c r="DO20" s="2055"/>
      <c r="DP20" s="2055"/>
      <c r="DQ20" s="2055"/>
      <c r="DR20" s="2055"/>
      <c r="DS20" s="2055"/>
      <c r="DT20" s="2055"/>
      <c r="DU20" s="2055"/>
      <c r="DV20" s="2055"/>
      <c r="DW20" s="2055"/>
      <c r="DX20" s="2055"/>
      <c r="DY20" s="2055"/>
      <c r="DZ20" s="2055"/>
      <c r="EA20" s="2055"/>
      <c r="EB20" s="2055"/>
      <c r="EC20" s="2055"/>
      <c r="ED20" s="2055"/>
      <c r="EE20" s="2055"/>
      <c r="EF20" s="2055"/>
      <c r="EG20" s="2055"/>
      <c r="EH20" s="2055"/>
      <c r="EI20" s="2066"/>
      <c r="EJ20" s="2066"/>
      <c r="EK20" s="2066"/>
      <c r="EL20" s="2066"/>
      <c r="EM20" s="2066"/>
      <c r="EN20" s="2066"/>
      <c r="EO20" s="2066"/>
      <c r="EP20" s="2066"/>
      <c r="EQ20" s="2066"/>
      <c r="ER20" s="2066"/>
      <c r="ES20" s="2066"/>
      <c r="ET20" s="2066"/>
      <c r="EU20" s="2066"/>
      <c r="EV20" s="2066"/>
      <c r="EW20" s="2066"/>
      <c r="EX20" s="2066"/>
      <c r="EY20" s="2066"/>
      <c r="EZ20" s="2066"/>
      <c r="FA20" s="2066"/>
      <c r="FB20" s="2055">
        <f>'報告_短期P7-10'!CP152</f>
        <v>0</v>
      </c>
      <c r="FC20" s="2055"/>
      <c r="FD20" s="2055"/>
      <c r="FE20" s="2055"/>
      <c r="FF20" s="2055"/>
      <c r="FG20" s="2055"/>
      <c r="FH20" s="2055"/>
      <c r="FI20" s="2055"/>
      <c r="FJ20" s="2055"/>
      <c r="FK20" s="2055"/>
      <c r="FL20" s="2055"/>
      <c r="FM20" s="2055"/>
      <c r="FN20" s="2055"/>
      <c r="FO20" s="2055"/>
      <c r="FP20" s="2055"/>
      <c r="FQ20" s="2055"/>
      <c r="FR20" s="2055"/>
      <c r="FS20" s="2055"/>
      <c r="FT20" s="2055"/>
      <c r="FU20" s="2055"/>
      <c r="FV20" s="2055"/>
      <c r="FW20" s="2055"/>
      <c r="FX20" s="2055"/>
      <c r="FY20" s="2055"/>
      <c r="FZ20" s="2055"/>
      <c r="GA20" s="2055"/>
      <c r="GB20" s="2055"/>
      <c r="GC20" s="2055"/>
      <c r="GD20" s="2055">
        <f>'報告_短期P7-10'!DR152</f>
        <v>1</v>
      </c>
      <c r="GE20" s="2055"/>
      <c r="GF20" s="2055"/>
      <c r="GG20" s="2055"/>
      <c r="GH20" s="2055"/>
      <c r="GI20" s="2055"/>
      <c r="GJ20" s="2055"/>
      <c r="GK20" s="2055"/>
      <c r="GL20" s="2055"/>
      <c r="GM20" s="2055"/>
      <c r="GN20" s="2055"/>
      <c r="GO20" s="2055"/>
      <c r="GP20" s="2055"/>
      <c r="GQ20" s="2055"/>
      <c r="GR20" s="2055"/>
      <c r="GS20" s="2055"/>
      <c r="GT20" s="2055"/>
      <c r="GU20" s="2055"/>
      <c r="GV20" s="2055"/>
      <c r="GW20" s="2055"/>
      <c r="GX20" s="2055"/>
      <c r="GY20" s="2055"/>
      <c r="GZ20" s="2055"/>
      <c r="HA20" s="2066"/>
      <c r="HB20" s="2066"/>
      <c r="HC20" s="2066"/>
      <c r="HD20" s="2066"/>
      <c r="HE20" s="2066"/>
      <c r="HF20" s="2066"/>
      <c r="HG20" s="2066"/>
      <c r="HH20" s="2066"/>
      <c r="HI20" s="2066"/>
      <c r="HJ20" s="2066"/>
      <c r="HK20" s="2066"/>
      <c r="HL20" s="2066"/>
      <c r="HM20" s="2066"/>
      <c r="HN20" s="2066"/>
      <c r="HO20" s="2066"/>
      <c r="HP20" s="2066"/>
      <c r="HQ20" s="2066"/>
      <c r="HR20" s="2066"/>
      <c r="HS20" s="2066"/>
      <c r="HT20" s="2055">
        <f>'報告_短期P7-10'!FH152</f>
        <v>70824</v>
      </c>
      <c r="HU20" s="2055"/>
      <c r="HV20" s="2055"/>
      <c r="HW20" s="2055"/>
      <c r="HX20" s="2055"/>
      <c r="HY20" s="2055"/>
      <c r="HZ20" s="2055"/>
      <c r="IA20" s="2055"/>
      <c r="IB20" s="2055"/>
      <c r="IC20" s="2055"/>
      <c r="ID20" s="2055"/>
      <c r="IE20" s="2055"/>
      <c r="IF20" s="2055"/>
      <c r="IG20" s="2055"/>
      <c r="IH20" s="2055"/>
      <c r="II20" s="2055"/>
      <c r="IJ20" s="2055"/>
      <c r="IK20" s="2055"/>
      <c r="IL20" s="2055"/>
      <c r="IM20" s="2055"/>
      <c r="IN20" s="2055"/>
      <c r="IO20" s="2055"/>
      <c r="IP20" s="2055"/>
      <c r="IQ20" s="2055"/>
      <c r="IR20" s="2055"/>
      <c r="IS20" s="2055"/>
      <c r="IT20" s="2055"/>
      <c r="IU20" s="2055"/>
    </row>
    <row r="21" spans="1:255" s="222" customFormat="1" ht="15.75" customHeight="1">
      <c r="A21" s="229"/>
      <c r="B21" s="2103" t="s">
        <v>475</v>
      </c>
      <c r="C21" s="2103"/>
      <c r="D21" s="2103"/>
      <c r="E21" s="2103"/>
      <c r="F21" s="2103"/>
      <c r="G21" s="2103"/>
      <c r="H21" s="2103"/>
      <c r="I21" s="2103"/>
      <c r="J21" s="2103"/>
      <c r="K21" s="2103"/>
      <c r="L21" s="2103"/>
      <c r="M21" s="2103"/>
      <c r="N21" s="2103"/>
      <c r="O21" s="230"/>
      <c r="P21" s="2110"/>
      <c r="Q21" s="2110"/>
      <c r="R21" s="2110"/>
      <c r="S21" s="2110"/>
      <c r="T21" s="2110"/>
      <c r="U21" s="2110"/>
      <c r="V21" s="2107"/>
      <c r="W21" s="2107"/>
      <c r="X21" s="2107"/>
      <c r="Y21" s="2107"/>
      <c r="Z21" s="2104">
        <f>ROUND(FB22/DL22,0)</f>
        <v>120619</v>
      </c>
      <c r="AA21" s="2104"/>
      <c r="AB21" s="2104"/>
      <c r="AC21" s="2104"/>
      <c r="AD21" s="2104">
        <f>ROUND(HT22/GD22,0)</f>
        <v>128370</v>
      </c>
      <c r="AE21" s="2104"/>
      <c r="AF21" s="2104"/>
      <c r="AG21" s="2104"/>
      <c r="AH21" s="2105">
        <f>ROUND(Z21/AD21*100,2)</f>
        <v>93.96</v>
      </c>
      <c r="AI21" s="2105"/>
      <c r="AJ21" s="2105"/>
      <c r="AK21" s="2105"/>
      <c r="AL21" s="2112"/>
      <c r="AM21" s="2112"/>
      <c r="AN21" s="2112"/>
      <c r="AO21" s="2112"/>
      <c r="AP21" s="2112"/>
      <c r="AQ21" s="2112"/>
      <c r="AR21" s="2112"/>
      <c r="AS21" s="2112"/>
      <c r="AT21" s="2107"/>
      <c r="AU21" s="2107"/>
      <c r="AV21" s="2107"/>
      <c r="AW21" s="2107"/>
      <c r="AX21" s="2106">
        <f>ROUND(DL22/EY28*100,2)</f>
        <v>0.95</v>
      </c>
      <c r="AY21" s="2106"/>
      <c r="AZ21" s="2106"/>
      <c r="BA21" s="2106"/>
      <c r="BB21" s="2106">
        <f>ROUND(GD22/EY27*100,2)</f>
        <v>0.84</v>
      </c>
      <c r="BC21" s="2106"/>
      <c r="BD21" s="2106"/>
      <c r="BE21" s="2106"/>
      <c r="BF21" s="2105">
        <f>ROUND(AX21/BB21*100,2)</f>
        <v>113.1</v>
      </c>
      <c r="BG21" s="2105"/>
      <c r="BH21" s="2105"/>
      <c r="BI21" s="2105"/>
      <c r="BM21" s="187"/>
      <c r="BN21" s="167"/>
      <c r="BO21" s="167"/>
      <c r="BP21" s="167"/>
      <c r="BQ21" s="218"/>
      <c r="BR21" s="188"/>
      <c r="BS21" s="189"/>
      <c r="BT21" s="1951" t="s">
        <v>351</v>
      </c>
      <c r="BU21" s="1951"/>
      <c r="BV21" s="1951"/>
      <c r="BW21" s="1951"/>
      <c r="BX21" s="1951"/>
      <c r="BY21" s="1951"/>
      <c r="BZ21" s="1951"/>
      <c r="CA21" s="1951"/>
      <c r="CB21" s="1951"/>
      <c r="CC21" s="1951"/>
      <c r="CD21" s="1951"/>
      <c r="CE21" s="1951"/>
      <c r="CF21" s="1951"/>
      <c r="CG21" s="1951"/>
      <c r="CH21" s="1951"/>
      <c r="CI21" s="1951"/>
      <c r="CJ21" s="1951"/>
      <c r="CK21" s="1951"/>
      <c r="CL21" s="1951"/>
      <c r="CM21" s="1951"/>
      <c r="CN21" s="1951"/>
      <c r="CO21" s="1951"/>
      <c r="CP21" s="1951"/>
      <c r="CQ21" s="1951"/>
      <c r="CR21" s="1951"/>
      <c r="CS21" s="1951"/>
      <c r="CT21" s="1951"/>
      <c r="CU21" s="1951"/>
      <c r="CV21" s="1951"/>
      <c r="CW21" s="1951"/>
      <c r="CX21" s="1951"/>
      <c r="CY21" s="1951"/>
      <c r="CZ21" s="1951"/>
      <c r="DA21" s="1951"/>
      <c r="DB21" s="1951"/>
      <c r="DC21" s="1951"/>
      <c r="DD21" s="1951"/>
      <c r="DE21" s="1951"/>
      <c r="DF21" s="1951"/>
      <c r="DG21" s="1951"/>
      <c r="DH21" s="1951"/>
      <c r="DI21" s="1951"/>
      <c r="DJ21" s="189"/>
      <c r="DK21" s="197"/>
      <c r="DL21" s="2055">
        <f>SUM(DL13:EH15,DL20)</f>
        <v>107877</v>
      </c>
      <c r="DM21" s="2055"/>
      <c r="DN21" s="2055"/>
      <c r="DO21" s="2055"/>
      <c r="DP21" s="2055"/>
      <c r="DQ21" s="2055"/>
      <c r="DR21" s="2055"/>
      <c r="DS21" s="2055"/>
      <c r="DT21" s="2055"/>
      <c r="DU21" s="2055"/>
      <c r="DV21" s="2055"/>
      <c r="DW21" s="2055"/>
      <c r="DX21" s="2055"/>
      <c r="DY21" s="2055"/>
      <c r="DZ21" s="2055"/>
      <c r="EA21" s="2055"/>
      <c r="EB21" s="2055"/>
      <c r="EC21" s="2055"/>
      <c r="ED21" s="2055"/>
      <c r="EE21" s="2055"/>
      <c r="EF21" s="2055"/>
      <c r="EG21" s="2055"/>
      <c r="EH21" s="2055"/>
      <c r="EI21" s="2055">
        <f>SUM(EI13:FA15,EI19)</f>
        <v>157834</v>
      </c>
      <c r="EJ21" s="2055"/>
      <c r="EK21" s="2055"/>
      <c r="EL21" s="2055"/>
      <c r="EM21" s="2055"/>
      <c r="EN21" s="2055"/>
      <c r="EO21" s="2055"/>
      <c r="EP21" s="2055"/>
      <c r="EQ21" s="2055"/>
      <c r="ER21" s="2055"/>
      <c r="ES21" s="2055"/>
      <c r="ET21" s="2055"/>
      <c r="EU21" s="2055"/>
      <c r="EV21" s="2055"/>
      <c r="EW21" s="2055"/>
      <c r="EX21" s="2055"/>
      <c r="EY21" s="2055"/>
      <c r="EZ21" s="2055"/>
      <c r="FA21" s="2055"/>
      <c r="FB21" s="2055">
        <f>SUM(FB13:GC20)</f>
        <v>1640119725</v>
      </c>
      <c r="FC21" s="2055"/>
      <c r="FD21" s="2055"/>
      <c r="FE21" s="2055"/>
      <c r="FF21" s="2055"/>
      <c r="FG21" s="2055"/>
      <c r="FH21" s="2055"/>
      <c r="FI21" s="2055"/>
      <c r="FJ21" s="2055"/>
      <c r="FK21" s="2055"/>
      <c r="FL21" s="2055"/>
      <c r="FM21" s="2055"/>
      <c r="FN21" s="2055"/>
      <c r="FO21" s="2055"/>
      <c r="FP21" s="2055"/>
      <c r="FQ21" s="2055"/>
      <c r="FR21" s="2055"/>
      <c r="FS21" s="2055"/>
      <c r="FT21" s="2055"/>
      <c r="FU21" s="2055"/>
      <c r="FV21" s="2055"/>
      <c r="FW21" s="2055"/>
      <c r="FX21" s="2055"/>
      <c r="FY21" s="2055"/>
      <c r="FZ21" s="2055"/>
      <c r="GA21" s="2055"/>
      <c r="GB21" s="2055"/>
      <c r="GC21" s="2055"/>
      <c r="GD21" s="2055">
        <f>SUM(GD13:GZ15,GD20)</f>
        <v>107570</v>
      </c>
      <c r="GE21" s="2055"/>
      <c r="GF21" s="2055"/>
      <c r="GG21" s="2055"/>
      <c r="GH21" s="2055"/>
      <c r="GI21" s="2055"/>
      <c r="GJ21" s="2055"/>
      <c r="GK21" s="2055"/>
      <c r="GL21" s="2055"/>
      <c r="GM21" s="2055"/>
      <c r="GN21" s="2055"/>
      <c r="GO21" s="2055"/>
      <c r="GP21" s="2055"/>
      <c r="GQ21" s="2055"/>
      <c r="GR21" s="2055"/>
      <c r="GS21" s="2055"/>
      <c r="GT21" s="2055"/>
      <c r="GU21" s="2055"/>
      <c r="GV21" s="2055"/>
      <c r="GW21" s="2055"/>
      <c r="GX21" s="2055"/>
      <c r="GY21" s="2055"/>
      <c r="GZ21" s="2055"/>
      <c r="HA21" s="2055">
        <f>SUM(HA13:HS15,HA19)</f>
        <v>157361</v>
      </c>
      <c r="HB21" s="2055"/>
      <c r="HC21" s="2055"/>
      <c r="HD21" s="2055"/>
      <c r="HE21" s="2055"/>
      <c r="HF21" s="2055"/>
      <c r="HG21" s="2055"/>
      <c r="HH21" s="2055"/>
      <c r="HI21" s="2055"/>
      <c r="HJ21" s="2055"/>
      <c r="HK21" s="2055"/>
      <c r="HL21" s="2055"/>
      <c r="HM21" s="2055"/>
      <c r="HN21" s="2055"/>
      <c r="HO21" s="2055"/>
      <c r="HP21" s="2055"/>
      <c r="HQ21" s="2055"/>
      <c r="HR21" s="2055"/>
      <c r="HS21" s="2055"/>
      <c r="HT21" s="2055">
        <f>SUM(HT13:IU20)</f>
        <v>1571317297</v>
      </c>
      <c r="HU21" s="2055"/>
      <c r="HV21" s="2055"/>
      <c r="HW21" s="2055"/>
      <c r="HX21" s="2055"/>
      <c r="HY21" s="2055"/>
      <c r="HZ21" s="2055"/>
      <c r="IA21" s="2055"/>
      <c r="IB21" s="2055"/>
      <c r="IC21" s="2055"/>
      <c r="ID21" s="2055"/>
      <c r="IE21" s="2055"/>
      <c r="IF21" s="2055"/>
      <c r="IG21" s="2055"/>
      <c r="IH21" s="2055"/>
      <c r="II21" s="2055"/>
      <c r="IJ21" s="2055"/>
      <c r="IK21" s="2055"/>
      <c r="IL21" s="2055"/>
      <c r="IM21" s="2055"/>
      <c r="IN21" s="2055"/>
      <c r="IO21" s="2055"/>
      <c r="IP21" s="2055"/>
      <c r="IQ21" s="2055"/>
      <c r="IR21" s="2055"/>
      <c r="IS21" s="2055"/>
      <c r="IT21" s="2055"/>
      <c r="IU21" s="2055"/>
    </row>
    <row r="22" spans="1:255" s="222" customFormat="1" ht="24" customHeight="1">
      <c r="A22" s="229"/>
      <c r="B22" s="2100" t="s">
        <v>476</v>
      </c>
      <c r="C22" s="2100"/>
      <c r="D22" s="2100"/>
      <c r="E22" s="2100"/>
      <c r="F22" s="2100"/>
      <c r="G22" s="2100"/>
      <c r="H22" s="2100"/>
      <c r="I22" s="2100"/>
      <c r="J22" s="2100"/>
      <c r="K22" s="2100"/>
      <c r="L22" s="2100"/>
      <c r="M22" s="2100"/>
      <c r="N22" s="2100"/>
      <c r="O22" s="230"/>
      <c r="P22" s="2101">
        <f>ROUND(EI24/DL24,2)</f>
        <v>1.44</v>
      </c>
      <c r="Q22" s="2101"/>
      <c r="R22" s="2101"/>
      <c r="S22" s="2101">
        <f>ROUND(HA24/GD24,2)</f>
        <v>1.44</v>
      </c>
      <c r="T22" s="2101"/>
      <c r="U22" s="2101"/>
      <c r="V22" s="2098">
        <f>ROUND(P22/S22*100,2)</f>
        <v>100</v>
      </c>
      <c r="W22" s="2098"/>
      <c r="X22" s="2098"/>
      <c r="Y22" s="2098"/>
      <c r="Z22" s="2102">
        <f>ROUND(FB24/DL24,2)</f>
        <v>16443.259999999998</v>
      </c>
      <c r="AA22" s="2102"/>
      <c r="AB22" s="2102"/>
      <c r="AC22" s="2102"/>
      <c r="AD22" s="2102">
        <f>ROUND(HT24/GD24,2)</f>
        <v>15902.97</v>
      </c>
      <c r="AE22" s="2102"/>
      <c r="AF22" s="2102"/>
      <c r="AG22" s="2102"/>
      <c r="AH22" s="2098">
        <f>ROUND(Z22/AD22*100,2)</f>
        <v>103.4</v>
      </c>
      <c r="AI22" s="2098"/>
      <c r="AJ22" s="2098"/>
      <c r="AK22" s="2098"/>
      <c r="AL22" s="2102">
        <f>ROUND(FB24/EI24,2)</f>
        <v>11441.36</v>
      </c>
      <c r="AM22" s="2102"/>
      <c r="AN22" s="2102"/>
      <c r="AO22" s="2102"/>
      <c r="AP22" s="2102">
        <f>ROUND(HT24/HA24,2)</f>
        <v>11025.4</v>
      </c>
      <c r="AQ22" s="2102"/>
      <c r="AR22" s="2102"/>
      <c r="AS22" s="2102"/>
      <c r="AT22" s="2098">
        <f>ROUND(AL22/AP22*100,2)</f>
        <v>103.77</v>
      </c>
      <c r="AU22" s="2098"/>
      <c r="AV22" s="2098"/>
      <c r="AW22" s="2098"/>
      <c r="AX22" s="2099">
        <f>ROUND((DL4+DL5+DL6+DL13+DL14+DL15)/EY28*100,2)</f>
        <v>86.19</v>
      </c>
      <c r="AY22" s="2099"/>
      <c r="AZ22" s="2099"/>
      <c r="BA22" s="2099"/>
      <c r="BB22" s="2099">
        <f>ROUND((GD4+GD5+GD6+GD13+GD14+GD15)/EY27*100,2)</f>
        <v>85.34</v>
      </c>
      <c r="BC22" s="2099"/>
      <c r="BD22" s="2099"/>
      <c r="BE22" s="2099"/>
      <c r="BF22" s="2098">
        <f>ROUND(AX22/BB22*100,2)</f>
        <v>101</v>
      </c>
      <c r="BG22" s="2098"/>
      <c r="BH22" s="2098"/>
      <c r="BI22" s="2098"/>
      <c r="BM22" s="219"/>
      <c r="BN22" s="211"/>
      <c r="BO22" s="1953" t="s">
        <v>104</v>
      </c>
      <c r="BP22" s="1953"/>
      <c r="BQ22" s="1953"/>
      <c r="BR22" s="1953"/>
      <c r="BS22" s="1953"/>
      <c r="BT22" s="1953"/>
      <c r="BU22" s="1953"/>
      <c r="BV22" s="1953"/>
      <c r="BW22" s="1953"/>
      <c r="BX22" s="1953"/>
      <c r="BY22" s="1953"/>
      <c r="BZ22" s="1953"/>
      <c r="CA22" s="1953"/>
      <c r="CB22" s="1953"/>
      <c r="CC22" s="1953"/>
      <c r="CD22" s="1953"/>
      <c r="CE22" s="1953"/>
      <c r="CF22" s="1953"/>
      <c r="CG22" s="1953"/>
      <c r="CH22" s="1953"/>
      <c r="CI22" s="1953"/>
      <c r="CJ22" s="1953"/>
      <c r="CK22" s="1953"/>
      <c r="CL22" s="1953"/>
      <c r="CM22" s="1953"/>
      <c r="CN22" s="1953"/>
      <c r="CO22" s="1953"/>
      <c r="CP22" s="1953"/>
      <c r="CQ22" s="1953"/>
      <c r="CR22" s="1953"/>
      <c r="CS22" s="1953"/>
      <c r="CT22" s="1953"/>
      <c r="CU22" s="1953"/>
      <c r="CV22" s="1953"/>
      <c r="CW22" s="1953"/>
      <c r="CX22" s="1953"/>
      <c r="CY22" s="1953"/>
      <c r="CZ22" s="1953"/>
      <c r="DA22" s="1953"/>
      <c r="DB22" s="1953"/>
      <c r="DC22" s="1953"/>
      <c r="DD22" s="1953"/>
      <c r="DE22" s="1953"/>
      <c r="DF22" s="1953"/>
      <c r="DG22" s="1953"/>
      <c r="DH22" s="1953"/>
      <c r="DI22" s="1953"/>
      <c r="DJ22" s="211"/>
      <c r="DK22" s="220"/>
      <c r="DL22" s="2065">
        <f>'報告_短期P7-10'!AZ154</f>
        <v>3345</v>
      </c>
      <c r="DM22" s="2065"/>
      <c r="DN22" s="2065"/>
      <c r="DO22" s="2065"/>
      <c r="DP22" s="2065"/>
      <c r="DQ22" s="2065"/>
      <c r="DR22" s="2065"/>
      <c r="DS22" s="2065"/>
      <c r="DT22" s="2065"/>
      <c r="DU22" s="2065"/>
      <c r="DV22" s="2065"/>
      <c r="DW22" s="2065"/>
      <c r="DX22" s="2065"/>
      <c r="DY22" s="2065"/>
      <c r="DZ22" s="2065"/>
      <c r="EA22" s="2065"/>
      <c r="EB22" s="2065"/>
      <c r="EC22" s="2065"/>
      <c r="ED22" s="2065"/>
      <c r="EE22" s="2065"/>
      <c r="EF22" s="2065"/>
      <c r="EG22" s="2065"/>
      <c r="EH22" s="2065"/>
      <c r="EI22" s="2066"/>
      <c r="EJ22" s="2066"/>
      <c r="EK22" s="2066"/>
      <c r="EL22" s="2066"/>
      <c r="EM22" s="2066"/>
      <c r="EN22" s="2066"/>
      <c r="EO22" s="2066"/>
      <c r="EP22" s="2066"/>
      <c r="EQ22" s="2066"/>
      <c r="ER22" s="2066"/>
      <c r="ES22" s="2066"/>
      <c r="ET22" s="2066"/>
      <c r="EU22" s="2066"/>
      <c r="EV22" s="2066"/>
      <c r="EW22" s="2066"/>
      <c r="EX22" s="2066"/>
      <c r="EY22" s="2066"/>
      <c r="EZ22" s="2066"/>
      <c r="FA22" s="2066"/>
      <c r="FB22" s="2055">
        <f>'報告_短期P7-10'!CP154</f>
        <v>403469203</v>
      </c>
      <c r="FC22" s="2055"/>
      <c r="FD22" s="2055"/>
      <c r="FE22" s="2055"/>
      <c r="FF22" s="2055"/>
      <c r="FG22" s="2055"/>
      <c r="FH22" s="2055"/>
      <c r="FI22" s="2055"/>
      <c r="FJ22" s="2055"/>
      <c r="FK22" s="2055"/>
      <c r="FL22" s="2055"/>
      <c r="FM22" s="2055"/>
      <c r="FN22" s="2055"/>
      <c r="FO22" s="2055"/>
      <c r="FP22" s="2055"/>
      <c r="FQ22" s="2055"/>
      <c r="FR22" s="2055"/>
      <c r="FS22" s="2055"/>
      <c r="FT22" s="2055"/>
      <c r="FU22" s="2055"/>
      <c r="FV22" s="2055"/>
      <c r="FW22" s="2055"/>
      <c r="FX22" s="2055"/>
      <c r="FY22" s="2055"/>
      <c r="FZ22" s="2055"/>
      <c r="GA22" s="2055"/>
      <c r="GB22" s="2055"/>
      <c r="GC22" s="2055"/>
      <c r="GD22" s="2065">
        <f>'報告_短期P7-10'!DR154</f>
        <v>2981</v>
      </c>
      <c r="GE22" s="2065"/>
      <c r="GF22" s="2065"/>
      <c r="GG22" s="2065"/>
      <c r="GH22" s="2065"/>
      <c r="GI22" s="2065"/>
      <c r="GJ22" s="2065"/>
      <c r="GK22" s="2065"/>
      <c r="GL22" s="2065"/>
      <c r="GM22" s="2065"/>
      <c r="GN22" s="2065"/>
      <c r="GO22" s="2065"/>
      <c r="GP22" s="2065"/>
      <c r="GQ22" s="2065"/>
      <c r="GR22" s="2065"/>
      <c r="GS22" s="2065"/>
      <c r="GT22" s="2065"/>
      <c r="GU22" s="2065"/>
      <c r="GV22" s="2065"/>
      <c r="GW22" s="2065"/>
      <c r="GX22" s="2065"/>
      <c r="GY22" s="2065"/>
      <c r="GZ22" s="2065"/>
      <c r="HA22" s="2066"/>
      <c r="HB22" s="2066"/>
      <c r="HC22" s="2066"/>
      <c r="HD22" s="2066"/>
      <c r="HE22" s="2066"/>
      <c r="HF22" s="2066"/>
      <c r="HG22" s="2066"/>
      <c r="HH22" s="2066"/>
      <c r="HI22" s="2066"/>
      <c r="HJ22" s="2066"/>
      <c r="HK22" s="2066"/>
      <c r="HL22" s="2066"/>
      <c r="HM22" s="2066"/>
      <c r="HN22" s="2066"/>
      <c r="HO22" s="2066"/>
      <c r="HP22" s="2066"/>
      <c r="HQ22" s="2066"/>
      <c r="HR22" s="2066"/>
      <c r="HS22" s="2066"/>
      <c r="HT22" s="2055">
        <f>'報告_短期P7-10'!FH154</f>
        <v>382671272</v>
      </c>
      <c r="HU22" s="2055"/>
      <c r="HV22" s="2055"/>
      <c r="HW22" s="2055"/>
      <c r="HX22" s="2055"/>
      <c r="HY22" s="2055"/>
      <c r="HZ22" s="2055"/>
      <c r="IA22" s="2055"/>
      <c r="IB22" s="2055"/>
      <c r="IC22" s="2055"/>
      <c r="ID22" s="2055"/>
      <c r="IE22" s="2055"/>
      <c r="IF22" s="2055"/>
      <c r="IG22" s="2055"/>
      <c r="IH22" s="2055"/>
      <c r="II22" s="2055"/>
      <c r="IJ22" s="2055"/>
      <c r="IK22" s="2055"/>
      <c r="IL22" s="2055"/>
      <c r="IM22" s="2055"/>
      <c r="IN22" s="2055"/>
      <c r="IO22" s="2055"/>
      <c r="IP22" s="2055"/>
      <c r="IQ22" s="2055"/>
      <c r="IR22" s="2055"/>
      <c r="IS22" s="2055"/>
      <c r="IT22" s="2055"/>
      <c r="IU22" s="2055"/>
    </row>
    <row r="23" spans="1:255" s="222" customFormat="1" ht="18" customHeight="1">
      <c r="BM23" s="1943" t="s">
        <v>460</v>
      </c>
      <c r="BN23" s="1943"/>
      <c r="BO23" s="1943"/>
      <c r="BP23" s="1943"/>
      <c r="BQ23" s="1943"/>
      <c r="BR23" s="1943"/>
      <c r="BS23" s="1943"/>
      <c r="BT23" s="1943"/>
      <c r="BU23" s="1943"/>
      <c r="BV23" s="1943"/>
      <c r="BW23" s="1943"/>
      <c r="BX23" s="1943"/>
      <c r="BY23" s="1943"/>
      <c r="BZ23" s="1943"/>
      <c r="CA23" s="1943"/>
      <c r="CB23" s="1943"/>
      <c r="CC23" s="1943"/>
      <c r="CD23" s="1943"/>
      <c r="CE23" s="1943"/>
      <c r="CF23" s="1943"/>
      <c r="CG23" s="1943"/>
      <c r="CH23" s="1943"/>
      <c r="CI23" s="1943"/>
      <c r="CJ23" s="1943"/>
      <c r="CK23" s="1943"/>
      <c r="CL23" s="1943"/>
      <c r="CM23" s="1943"/>
      <c r="CN23" s="1943"/>
      <c r="CO23" s="1943"/>
      <c r="CP23" s="1943"/>
      <c r="CQ23" s="1943"/>
      <c r="CR23" s="1943"/>
      <c r="CS23" s="1943"/>
      <c r="CT23" s="1943"/>
      <c r="CU23" s="1943"/>
      <c r="CV23" s="1943"/>
      <c r="CW23" s="1943"/>
      <c r="CX23" s="1943"/>
      <c r="CY23" s="1943"/>
      <c r="CZ23" s="1943"/>
      <c r="DA23" s="1943"/>
      <c r="DB23" s="1943"/>
      <c r="DC23" s="1943"/>
      <c r="DD23" s="1943"/>
      <c r="DE23" s="1943"/>
      <c r="DF23" s="1943"/>
      <c r="DG23" s="1943"/>
      <c r="DH23" s="1943"/>
      <c r="DI23" s="1943"/>
      <c r="DJ23" s="1943"/>
      <c r="DK23" s="1943"/>
      <c r="DL23" s="1948">
        <f>DL22</f>
        <v>3345</v>
      </c>
      <c r="DM23" s="1948"/>
      <c r="DN23" s="1948"/>
      <c r="DO23" s="1948"/>
      <c r="DP23" s="1948"/>
      <c r="DQ23" s="1948"/>
      <c r="DR23" s="1948"/>
      <c r="DS23" s="1948"/>
      <c r="DT23" s="1948"/>
      <c r="DU23" s="1948"/>
      <c r="DV23" s="1948"/>
      <c r="DW23" s="1948"/>
      <c r="DX23" s="1948"/>
      <c r="DY23" s="1948"/>
      <c r="DZ23" s="1948"/>
      <c r="EA23" s="1948"/>
      <c r="EB23" s="1948"/>
      <c r="EC23" s="1948"/>
      <c r="ED23" s="1948"/>
      <c r="EE23" s="1948"/>
      <c r="EF23" s="1948"/>
      <c r="EG23" s="1948"/>
      <c r="EH23" s="1948"/>
      <c r="EI23" s="1949"/>
      <c r="EJ23" s="1949"/>
      <c r="EK23" s="1949"/>
      <c r="EL23" s="1949"/>
      <c r="EM23" s="1949"/>
      <c r="EN23" s="1949"/>
      <c r="EO23" s="1949"/>
      <c r="EP23" s="1949"/>
      <c r="EQ23" s="1949"/>
      <c r="ER23" s="1949"/>
      <c r="ES23" s="1949"/>
      <c r="ET23" s="1949"/>
      <c r="EU23" s="1949"/>
      <c r="EV23" s="1949"/>
      <c r="EW23" s="1949"/>
      <c r="EX23" s="1949"/>
      <c r="EY23" s="1949"/>
      <c r="EZ23" s="1949"/>
      <c r="FA23" s="1949"/>
      <c r="FB23" s="1949"/>
      <c r="FC23" s="1949"/>
      <c r="FD23" s="1949"/>
      <c r="FE23" s="1949"/>
      <c r="FF23" s="1949"/>
      <c r="FG23" s="1949"/>
      <c r="FH23" s="1949"/>
      <c r="FI23" s="1949"/>
      <c r="FJ23" s="1949"/>
      <c r="FK23" s="1949"/>
      <c r="FL23" s="1949"/>
      <c r="FM23" s="1949"/>
      <c r="FN23" s="1949"/>
      <c r="FO23" s="1949"/>
      <c r="FP23" s="1949"/>
      <c r="FQ23" s="1949"/>
      <c r="FR23" s="1949"/>
      <c r="FS23" s="1949"/>
      <c r="FT23" s="1949"/>
      <c r="FU23" s="1949"/>
      <c r="FV23" s="1949"/>
      <c r="FW23" s="1949"/>
      <c r="FX23" s="1949"/>
      <c r="FY23" s="1949"/>
      <c r="FZ23" s="1949"/>
      <c r="GA23" s="1949"/>
      <c r="GB23" s="1949"/>
      <c r="GC23" s="1949"/>
      <c r="GD23" s="1948">
        <f>GD22</f>
        <v>2981</v>
      </c>
      <c r="GE23" s="1948"/>
      <c r="GF23" s="1948"/>
      <c r="GG23" s="1948"/>
      <c r="GH23" s="1948"/>
      <c r="GI23" s="1948"/>
      <c r="GJ23" s="1948"/>
      <c r="GK23" s="1948"/>
      <c r="GL23" s="1948"/>
      <c r="GM23" s="1948"/>
      <c r="GN23" s="1948"/>
      <c r="GO23" s="1948"/>
      <c r="GP23" s="1948"/>
      <c r="GQ23" s="1948"/>
      <c r="GR23" s="1948"/>
      <c r="GS23" s="1948"/>
      <c r="GT23" s="1948"/>
      <c r="GU23" s="1948"/>
      <c r="GV23" s="1948"/>
      <c r="GW23" s="1948"/>
      <c r="GX23" s="1948"/>
      <c r="GY23" s="1948"/>
      <c r="GZ23" s="1948"/>
      <c r="HA23" s="1949"/>
      <c r="HB23" s="1949"/>
      <c r="HC23" s="1949"/>
      <c r="HD23" s="1949"/>
      <c r="HE23" s="1949"/>
      <c r="HF23" s="1949"/>
      <c r="HG23" s="1949"/>
      <c r="HH23" s="1949"/>
      <c r="HI23" s="1949"/>
      <c r="HJ23" s="1949"/>
      <c r="HK23" s="1949"/>
      <c r="HL23" s="1949"/>
      <c r="HM23" s="1949"/>
      <c r="HN23" s="1949"/>
      <c r="HO23" s="1949"/>
      <c r="HP23" s="1949"/>
      <c r="HQ23" s="1949"/>
      <c r="HR23" s="1949"/>
      <c r="HS23" s="1949"/>
      <c r="HT23" s="1949"/>
      <c r="HU23" s="1949"/>
      <c r="HV23" s="1949"/>
      <c r="HW23" s="1949"/>
      <c r="HX23" s="1949"/>
      <c r="HY23" s="1949"/>
      <c r="HZ23" s="1949"/>
      <c r="IA23" s="1949"/>
      <c r="IB23" s="1949"/>
      <c r="IC23" s="1949"/>
      <c r="ID23" s="1949"/>
      <c r="IE23" s="1949"/>
      <c r="IF23" s="1949"/>
      <c r="IG23" s="1949"/>
      <c r="IH23" s="1949"/>
      <c r="II23" s="1949"/>
      <c r="IJ23" s="1949"/>
      <c r="IK23" s="1949"/>
      <c r="IL23" s="1949"/>
      <c r="IM23" s="1949"/>
      <c r="IN23" s="1949"/>
      <c r="IO23" s="1949"/>
      <c r="IP23" s="1949"/>
      <c r="IQ23" s="1949"/>
      <c r="IR23" s="1949"/>
      <c r="IS23" s="1949"/>
      <c r="IT23" s="1949"/>
      <c r="IU23" s="1949"/>
    </row>
    <row r="24" spans="1:255" s="222" customFormat="1" ht="18" customHeight="1">
      <c r="B24" s="2045" t="s">
        <v>477</v>
      </c>
      <c r="C24" s="2045"/>
      <c r="D24" s="2045"/>
      <c r="E24" s="2045"/>
      <c r="F24" s="2045"/>
      <c r="G24" s="2045"/>
      <c r="H24" s="2045"/>
      <c r="I24" s="2045"/>
      <c r="J24" s="2045"/>
      <c r="K24" s="2045"/>
      <c r="L24" s="2045"/>
      <c r="M24" s="2045"/>
      <c r="N24" s="2045"/>
      <c r="O24" s="2045"/>
      <c r="P24" s="2045"/>
      <c r="Q24" s="2045"/>
      <c r="R24" s="2045"/>
      <c r="S24" s="2045"/>
      <c r="T24" s="2045"/>
      <c r="U24" s="231"/>
      <c r="V24" s="2046" t="s">
        <v>478</v>
      </c>
      <c r="W24" s="2046"/>
      <c r="X24" s="2046"/>
      <c r="Y24" s="2046"/>
      <c r="Z24" s="2046"/>
      <c r="AA24" s="2046"/>
      <c r="AB24" s="2046"/>
      <c r="AC24" s="2046"/>
      <c r="AD24" s="2046"/>
      <c r="AE24" s="2046"/>
      <c r="AF24" s="2046"/>
      <c r="AG24" s="2046"/>
      <c r="AH24" s="2046"/>
      <c r="AI24" s="2046"/>
      <c r="AJ24" s="2046"/>
      <c r="AK24" s="2046"/>
      <c r="AL24" s="2046"/>
      <c r="AM24" s="2046"/>
      <c r="AN24" s="2046"/>
      <c r="AO24" s="2046"/>
      <c r="AP24" s="2046"/>
      <c r="AQ24" s="2046"/>
      <c r="AR24" s="2046"/>
      <c r="AS24" s="2046"/>
      <c r="AT24" s="2046"/>
      <c r="AU24" s="2046"/>
      <c r="AV24" s="2046"/>
      <c r="AW24" s="2046"/>
      <c r="AX24" s="2046"/>
      <c r="AY24" s="232"/>
      <c r="AZ24" s="232"/>
      <c r="BA24" s="232"/>
      <c r="BB24" s="232"/>
      <c r="BC24" s="232"/>
      <c r="BD24" s="232"/>
      <c r="BE24" s="232"/>
      <c r="BF24" s="232"/>
      <c r="BG24" s="232"/>
      <c r="BH24" s="232"/>
      <c r="BI24" s="232"/>
      <c r="BM24" s="1943"/>
      <c r="BN24" s="1943"/>
      <c r="BO24" s="1943"/>
      <c r="BP24" s="1943"/>
      <c r="BQ24" s="1943"/>
      <c r="BR24" s="1943"/>
      <c r="BS24" s="1943"/>
      <c r="BT24" s="1943"/>
      <c r="BU24" s="1943"/>
      <c r="BV24" s="1943"/>
      <c r="BW24" s="1943"/>
      <c r="BX24" s="1943"/>
      <c r="BY24" s="1943"/>
      <c r="BZ24" s="1943"/>
      <c r="CA24" s="1943"/>
      <c r="CB24" s="1943"/>
      <c r="CC24" s="1943"/>
      <c r="CD24" s="1943"/>
      <c r="CE24" s="1943"/>
      <c r="CF24" s="1943"/>
      <c r="CG24" s="1943"/>
      <c r="CH24" s="1943"/>
      <c r="CI24" s="1943"/>
      <c r="CJ24" s="1943"/>
      <c r="CK24" s="1943"/>
      <c r="CL24" s="1943"/>
      <c r="CM24" s="1943"/>
      <c r="CN24" s="1943"/>
      <c r="CO24" s="1943"/>
      <c r="CP24" s="1943"/>
      <c r="CQ24" s="1943"/>
      <c r="CR24" s="1943"/>
      <c r="CS24" s="1943"/>
      <c r="CT24" s="1943"/>
      <c r="CU24" s="1943"/>
      <c r="CV24" s="1943"/>
      <c r="CW24" s="1943"/>
      <c r="CX24" s="1943"/>
      <c r="CY24" s="1943"/>
      <c r="CZ24" s="1943"/>
      <c r="DA24" s="1943"/>
      <c r="DB24" s="1943"/>
      <c r="DC24" s="1943"/>
      <c r="DD24" s="1943"/>
      <c r="DE24" s="1943"/>
      <c r="DF24" s="1943"/>
      <c r="DG24" s="1943"/>
      <c r="DH24" s="1943"/>
      <c r="DI24" s="1943"/>
      <c r="DJ24" s="1943"/>
      <c r="DK24" s="1943"/>
      <c r="DL24" s="1950">
        <f>DL12+DL21</f>
        <v>305034</v>
      </c>
      <c r="DM24" s="1950"/>
      <c r="DN24" s="1950"/>
      <c r="DO24" s="1950"/>
      <c r="DP24" s="1950"/>
      <c r="DQ24" s="1950"/>
      <c r="DR24" s="1950"/>
      <c r="DS24" s="1950"/>
      <c r="DT24" s="1950"/>
      <c r="DU24" s="1950"/>
      <c r="DV24" s="1950"/>
      <c r="DW24" s="1950"/>
      <c r="DX24" s="1950"/>
      <c r="DY24" s="1950"/>
      <c r="DZ24" s="1950"/>
      <c r="EA24" s="1950"/>
      <c r="EB24" s="1950"/>
      <c r="EC24" s="1950"/>
      <c r="ED24" s="1950"/>
      <c r="EE24" s="1950"/>
      <c r="EF24" s="1950"/>
      <c r="EG24" s="1950"/>
      <c r="EH24" s="1950"/>
      <c r="EI24" s="1950">
        <f>EI12+EI21</f>
        <v>438388</v>
      </c>
      <c r="EJ24" s="1950"/>
      <c r="EK24" s="1950"/>
      <c r="EL24" s="1950"/>
      <c r="EM24" s="1950"/>
      <c r="EN24" s="1950"/>
      <c r="EO24" s="1950"/>
      <c r="EP24" s="1950"/>
      <c r="EQ24" s="1950"/>
      <c r="ER24" s="1950"/>
      <c r="ES24" s="1950"/>
      <c r="ET24" s="1950"/>
      <c r="EU24" s="1950"/>
      <c r="EV24" s="1950"/>
      <c r="EW24" s="1950"/>
      <c r="EX24" s="1950"/>
      <c r="EY24" s="1950"/>
      <c r="EZ24" s="1950"/>
      <c r="FA24" s="1950"/>
      <c r="FB24" s="1950">
        <f>FB12+FB21+FB22</f>
        <v>5015752983</v>
      </c>
      <c r="FC24" s="1950"/>
      <c r="FD24" s="1950"/>
      <c r="FE24" s="1950"/>
      <c r="FF24" s="1950"/>
      <c r="FG24" s="1950"/>
      <c r="FH24" s="1950"/>
      <c r="FI24" s="1950"/>
      <c r="FJ24" s="1950"/>
      <c r="FK24" s="1950"/>
      <c r="FL24" s="1950"/>
      <c r="FM24" s="1950"/>
      <c r="FN24" s="1950"/>
      <c r="FO24" s="1950"/>
      <c r="FP24" s="1950"/>
      <c r="FQ24" s="1950"/>
      <c r="FR24" s="1950"/>
      <c r="FS24" s="1950"/>
      <c r="FT24" s="1950"/>
      <c r="FU24" s="1950"/>
      <c r="FV24" s="1950"/>
      <c r="FW24" s="1950"/>
      <c r="FX24" s="1950"/>
      <c r="FY24" s="1950"/>
      <c r="FZ24" s="1950"/>
      <c r="GA24" s="1950"/>
      <c r="GB24" s="1950"/>
      <c r="GC24" s="1950"/>
      <c r="GD24" s="1950">
        <f>GD12+GD21</f>
        <v>302305</v>
      </c>
      <c r="GE24" s="1950"/>
      <c r="GF24" s="1950"/>
      <c r="GG24" s="1950"/>
      <c r="GH24" s="1950"/>
      <c r="GI24" s="1950"/>
      <c r="GJ24" s="1950"/>
      <c r="GK24" s="1950"/>
      <c r="GL24" s="1950"/>
      <c r="GM24" s="1950"/>
      <c r="GN24" s="1950"/>
      <c r="GO24" s="1950"/>
      <c r="GP24" s="1950"/>
      <c r="GQ24" s="1950"/>
      <c r="GR24" s="1950"/>
      <c r="GS24" s="1950"/>
      <c r="GT24" s="1950"/>
      <c r="GU24" s="1950"/>
      <c r="GV24" s="1950"/>
      <c r="GW24" s="1950"/>
      <c r="GX24" s="1950"/>
      <c r="GY24" s="1950"/>
      <c r="GZ24" s="1950"/>
      <c r="HA24" s="1950">
        <f>HA12+HA21</f>
        <v>436043</v>
      </c>
      <c r="HB24" s="1950"/>
      <c r="HC24" s="1950"/>
      <c r="HD24" s="1950"/>
      <c r="HE24" s="1950"/>
      <c r="HF24" s="1950"/>
      <c r="HG24" s="1950"/>
      <c r="HH24" s="1950"/>
      <c r="HI24" s="1950"/>
      <c r="HJ24" s="1950"/>
      <c r="HK24" s="1950"/>
      <c r="HL24" s="1950"/>
      <c r="HM24" s="1950"/>
      <c r="HN24" s="1950"/>
      <c r="HO24" s="1950"/>
      <c r="HP24" s="1950"/>
      <c r="HQ24" s="1950"/>
      <c r="HR24" s="1950"/>
      <c r="HS24" s="1950"/>
      <c r="HT24" s="1950">
        <f>HT12+HT21+HT22</f>
        <v>4807546610</v>
      </c>
      <c r="HU24" s="1950"/>
      <c r="HV24" s="1950"/>
      <c r="HW24" s="1950"/>
      <c r="HX24" s="1950"/>
      <c r="HY24" s="1950"/>
      <c r="HZ24" s="1950"/>
      <c r="IA24" s="1950"/>
      <c r="IB24" s="1950"/>
      <c r="IC24" s="1950"/>
      <c r="ID24" s="1950"/>
      <c r="IE24" s="1950"/>
      <c r="IF24" s="1950"/>
      <c r="IG24" s="1950"/>
      <c r="IH24" s="1950"/>
      <c r="II24" s="1950"/>
      <c r="IJ24" s="1950"/>
      <c r="IK24" s="1950"/>
      <c r="IL24" s="1950"/>
      <c r="IM24" s="1950"/>
      <c r="IN24" s="1950"/>
      <c r="IO24" s="1950"/>
      <c r="IP24" s="1950"/>
      <c r="IQ24" s="1950"/>
      <c r="IR24" s="1950"/>
      <c r="IS24" s="1950"/>
      <c r="IT24" s="1950"/>
      <c r="IU24" s="1950"/>
    </row>
    <row r="25" spans="1:255" s="222" customFormat="1" ht="18" customHeight="1">
      <c r="B25" s="2045"/>
      <c r="C25" s="2045"/>
      <c r="D25" s="2045"/>
      <c r="E25" s="2045"/>
      <c r="F25" s="2045"/>
      <c r="G25" s="2045"/>
      <c r="H25" s="2045"/>
      <c r="I25" s="2045"/>
      <c r="J25" s="2045"/>
      <c r="K25" s="2045"/>
      <c r="L25" s="2045"/>
      <c r="M25" s="2045"/>
      <c r="N25" s="2045"/>
      <c r="O25" s="2045"/>
      <c r="P25" s="2045"/>
      <c r="Q25" s="2045"/>
      <c r="R25" s="2045"/>
      <c r="S25" s="2045"/>
      <c r="T25" s="2045"/>
      <c r="U25" s="231"/>
      <c r="V25" s="2047" t="s">
        <v>479</v>
      </c>
      <c r="W25" s="2047"/>
      <c r="X25" s="2047"/>
      <c r="Y25" s="2047"/>
      <c r="Z25" s="2047"/>
      <c r="AA25" s="2047"/>
      <c r="AB25" s="2047"/>
      <c r="AC25" s="2047"/>
      <c r="AD25" s="2047"/>
      <c r="AE25" s="2047"/>
      <c r="AF25" s="2047"/>
      <c r="AG25" s="2047"/>
      <c r="AH25" s="2047"/>
      <c r="AI25" s="2047"/>
      <c r="AJ25" s="2047"/>
      <c r="AK25" s="2047"/>
      <c r="AL25" s="2047"/>
      <c r="AM25" s="2047"/>
      <c r="AN25" s="2047"/>
      <c r="AO25" s="2047"/>
      <c r="AP25" s="2047"/>
      <c r="AQ25" s="2047"/>
      <c r="AR25" s="2047"/>
      <c r="AS25" s="2047"/>
      <c r="AT25" s="2047"/>
      <c r="AU25" s="2047"/>
      <c r="AV25" s="2047"/>
      <c r="AW25" s="2047"/>
      <c r="AX25" s="2047"/>
      <c r="AY25" s="232"/>
      <c r="AZ25" s="232"/>
      <c r="BA25" s="232"/>
      <c r="BB25" s="232"/>
      <c r="BC25" s="232"/>
      <c r="BD25" s="232"/>
      <c r="BE25" s="232"/>
      <c r="BF25" s="232"/>
      <c r="BG25" s="232"/>
      <c r="BH25" s="232"/>
      <c r="BI25" s="232"/>
    </row>
    <row r="26" spans="1:255" s="222" customFormat="1" ht="18" customHeight="1">
      <c r="B26" s="2045" t="s">
        <v>480</v>
      </c>
      <c r="C26" s="2045"/>
      <c r="D26" s="2045"/>
      <c r="E26" s="2045"/>
      <c r="F26" s="2045"/>
      <c r="G26" s="2045"/>
      <c r="H26" s="2045"/>
      <c r="I26" s="2045"/>
      <c r="J26" s="2045"/>
      <c r="K26" s="2045"/>
      <c r="L26" s="2045"/>
      <c r="M26" s="2045"/>
      <c r="N26" s="2045"/>
      <c r="O26" s="2045"/>
      <c r="P26" s="2045"/>
      <c r="Q26" s="2045"/>
      <c r="R26" s="2045"/>
      <c r="S26" s="2045"/>
      <c r="T26" s="2045"/>
      <c r="U26" s="231"/>
      <c r="V26" s="2046" t="s">
        <v>481</v>
      </c>
      <c r="W26" s="2046"/>
      <c r="X26" s="2046"/>
      <c r="Y26" s="2046"/>
      <c r="Z26" s="2046"/>
      <c r="AA26" s="2046"/>
      <c r="AB26" s="2046"/>
      <c r="AC26" s="2046"/>
      <c r="AD26" s="2046"/>
      <c r="AE26" s="2046"/>
      <c r="AF26" s="2046"/>
      <c r="AG26" s="2046"/>
      <c r="AH26" s="2046"/>
      <c r="AI26" s="2046"/>
      <c r="AJ26" s="2046"/>
      <c r="AK26" s="2046"/>
      <c r="AL26" s="2046"/>
      <c r="AM26" s="2046"/>
      <c r="AN26" s="2046"/>
      <c r="AO26" s="2046"/>
      <c r="AP26" s="2046"/>
      <c r="AQ26" s="2046"/>
      <c r="AR26" s="2046"/>
      <c r="AS26" s="2046"/>
      <c r="AT26" s="2046"/>
      <c r="AU26" s="2046"/>
      <c r="AV26" s="2046"/>
      <c r="AW26" s="2046"/>
      <c r="AX26" s="2046"/>
      <c r="AY26" s="232"/>
      <c r="AZ26" s="232"/>
      <c r="BA26" s="232"/>
      <c r="BB26" s="232"/>
      <c r="BC26" s="232"/>
      <c r="BD26" s="232"/>
      <c r="BE26" s="232"/>
      <c r="BF26" s="232"/>
      <c r="BG26" s="232"/>
      <c r="BH26" s="232"/>
      <c r="BI26" s="232"/>
      <c r="BM26" s="1982"/>
      <c r="BN26" s="1982"/>
      <c r="BO26" s="1982"/>
      <c r="BP26" s="1982"/>
      <c r="BQ26" s="1982"/>
      <c r="BR26" s="1982"/>
      <c r="BS26" s="1982"/>
      <c r="BT26" s="1982"/>
      <c r="BU26" s="1982"/>
      <c r="BV26" s="1982"/>
      <c r="BW26" s="1982"/>
      <c r="BX26" s="1982"/>
      <c r="BY26" s="1982"/>
      <c r="BZ26" s="1982"/>
      <c r="CA26" s="1982"/>
      <c r="CB26" s="1982"/>
      <c r="CC26" s="1982"/>
      <c r="CD26" s="1982"/>
      <c r="CE26" s="1982"/>
      <c r="CF26" s="1982"/>
      <c r="CG26" s="1982"/>
      <c r="CH26" s="1982"/>
      <c r="CI26" s="1982"/>
      <c r="CJ26" s="1982"/>
      <c r="CK26" s="1982"/>
      <c r="CL26" s="1982"/>
      <c r="CM26" s="1982"/>
      <c r="CN26" s="1982"/>
      <c r="CO26" s="1982"/>
      <c r="CP26" s="1982"/>
      <c r="CQ26" s="1982"/>
      <c r="CR26" s="1982"/>
      <c r="CS26" s="1982"/>
      <c r="CT26" s="1982"/>
      <c r="CU26" s="1982"/>
      <c r="CV26" s="1982"/>
      <c r="CW26" s="1982"/>
      <c r="CX26" s="1982"/>
      <c r="CY26" s="1982"/>
      <c r="CZ26" s="1982"/>
      <c r="DA26" s="1982"/>
      <c r="DB26" s="1982"/>
      <c r="DC26" s="191"/>
      <c r="DD26" s="191"/>
      <c r="DE26" s="2097" t="s">
        <v>482</v>
      </c>
      <c r="DF26" s="2097"/>
      <c r="DG26" s="2097"/>
      <c r="DH26" s="2097"/>
      <c r="DI26" s="2097"/>
      <c r="DJ26" s="2097"/>
      <c r="DK26" s="2097"/>
      <c r="DL26" s="2097"/>
      <c r="DM26" s="2097"/>
      <c r="DN26" s="2097"/>
      <c r="DO26" s="2097"/>
      <c r="DP26" s="2097"/>
      <c r="DQ26" s="2097"/>
      <c r="DR26" s="2097"/>
      <c r="DS26" s="2097"/>
      <c r="DT26" s="2097"/>
      <c r="DU26" s="2097"/>
      <c r="DV26" s="2097"/>
      <c r="DW26" s="2097"/>
      <c r="DX26" s="2097"/>
      <c r="DY26" s="2097"/>
      <c r="DZ26" s="2097"/>
      <c r="EA26" s="2097"/>
      <c r="EB26" s="2097" t="s">
        <v>483</v>
      </c>
      <c r="EC26" s="2097"/>
      <c r="ED26" s="2097"/>
      <c r="EE26" s="2097"/>
      <c r="EF26" s="2097"/>
      <c r="EG26" s="2097"/>
      <c r="EH26" s="2097"/>
      <c r="EI26" s="2097"/>
      <c r="EJ26" s="2097"/>
      <c r="EK26" s="2097"/>
      <c r="EL26" s="2097"/>
      <c r="EM26" s="2097"/>
      <c r="EN26" s="2097"/>
      <c r="EO26" s="2097"/>
      <c r="EP26" s="2097"/>
      <c r="EQ26" s="2097"/>
      <c r="ER26" s="2097"/>
      <c r="ES26" s="2097"/>
      <c r="ET26" s="2097"/>
      <c r="EU26" s="233"/>
      <c r="EV26" s="233"/>
      <c r="EW26" s="233"/>
      <c r="EX26" s="2097" t="s">
        <v>413</v>
      </c>
      <c r="EY26" s="2097"/>
      <c r="EZ26" s="2097"/>
      <c r="FA26" s="2097"/>
      <c r="FB26" s="2097"/>
      <c r="FC26" s="2097"/>
      <c r="FD26" s="2097"/>
      <c r="FE26" s="2097"/>
      <c r="FF26" s="2097"/>
      <c r="FG26" s="2097"/>
      <c r="FH26" s="2097"/>
      <c r="FI26" s="2097"/>
      <c r="FJ26" s="2097"/>
      <c r="FK26" s="2097"/>
      <c r="FL26" s="2097"/>
      <c r="FM26" s="2097"/>
      <c r="FN26" s="2097"/>
      <c r="FO26" s="2097"/>
      <c r="FP26" s="2097"/>
      <c r="FQ26" s="2097"/>
      <c r="FR26" s="2097"/>
      <c r="FS26" s="2097"/>
      <c r="FT26" s="2097"/>
    </row>
    <row r="27" spans="1:255" s="222" customFormat="1" ht="18" customHeight="1">
      <c r="B27" s="2045"/>
      <c r="C27" s="2045"/>
      <c r="D27" s="2045"/>
      <c r="E27" s="2045"/>
      <c r="F27" s="2045"/>
      <c r="G27" s="2045"/>
      <c r="H27" s="2045"/>
      <c r="I27" s="2045"/>
      <c r="J27" s="2045"/>
      <c r="K27" s="2045"/>
      <c r="L27" s="2045"/>
      <c r="M27" s="2045"/>
      <c r="N27" s="2045"/>
      <c r="O27" s="2045"/>
      <c r="P27" s="2045"/>
      <c r="Q27" s="2045"/>
      <c r="R27" s="2045"/>
      <c r="S27" s="2045"/>
      <c r="T27" s="2045"/>
      <c r="U27" s="231"/>
      <c r="V27" s="2047" t="s">
        <v>479</v>
      </c>
      <c r="W27" s="2047"/>
      <c r="X27" s="2047"/>
      <c r="Y27" s="2047"/>
      <c r="Z27" s="2047"/>
      <c r="AA27" s="2047"/>
      <c r="AB27" s="2047"/>
      <c r="AC27" s="2047"/>
      <c r="AD27" s="2047"/>
      <c r="AE27" s="2047"/>
      <c r="AF27" s="2047"/>
      <c r="AG27" s="2047"/>
      <c r="AH27" s="2047"/>
      <c r="AI27" s="2047"/>
      <c r="AJ27" s="2047"/>
      <c r="AK27" s="2047"/>
      <c r="AL27" s="2047"/>
      <c r="AM27" s="2047"/>
      <c r="AN27" s="2047"/>
      <c r="AO27" s="2047"/>
      <c r="AP27" s="2047"/>
      <c r="AQ27" s="2047"/>
      <c r="AR27" s="2047"/>
      <c r="AS27" s="2047"/>
      <c r="AT27" s="2047"/>
      <c r="AU27" s="2047"/>
      <c r="AV27" s="2047"/>
      <c r="AW27" s="2047"/>
      <c r="AX27" s="2047"/>
      <c r="AY27" s="232"/>
      <c r="AZ27" s="232"/>
      <c r="BA27" s="232"/>
      <c r="BB27" s="232"/>
      <c r="BC27" s="232"/>
      <c r="BD27" s="232"/>
      <c r="BE27" s="232"/>
      <c r="BF27" s="232"/>
      <c r="BG27" s="232"/>
      <c r="BH27" s="232"/>
      <c r="BI27" s="232"/>
      <c r="BM27" s="2054" t="s">
        <v>484</v>
      </c>
      <c r="BN27" s="2054"/>
      <c r="BO27" s="2054"/>
      <c r="BP27" s="2054"/>
      <c r="BQ27" s="2054"/>
      <c r="BR27" s="2054"/>
      <c r="BS27" s="2054"/>
      <c r="BT27" s="2054"/>
      <c r="BU27" s="2054"/>
      <c r="BV27" s="2054"/>
      <c r="BW27" s="2054"/>
      <c r="BX27" s="2054"/>
      <c r="BY27" s="2054"/>
      <c r="BZ27" s="2054"/>
      <c r="CA27" s="2054"/>
      <c r="CB27" s="2054"/>
      <c r="CC27" s="2054"/>
      <c r="CD27" s="2054"/>
      <c r="CE27" s="2054"/>
      <c r="CF27" s="2054"/>
      <c r="CG27" s="2054"/>
      <c r="CH27" s="2054"/>
      <c r="CI27" s="2054"/>
      <c r="CJ27" s="2054"/>
      <c r="CK27" s="2054"/>
      <c r="CL27" s="2054"/>
      <c r="CM27" s="2054"/>
      <c r="CN27" s="2054"/>
      <c r="CO27" s="2054"/>
      <c r="CP27" s="2054"/>
      <c r="CQ27" s="2054"/>
      <c r="CR27" s="2054"/>
      <c r="CS27" s="2054"/>
      <c r="CT27" s="2054"/>
      <c r="CU27" s="2054"/>
      <c r="CV27" s="2054"/>
      <c r="CW27" s="2054"/>
      <c r="CX27" s="2054"/>
      <c r="CY27" s="2054"/>
      <c r="CZ27" s="2054"/>
      <c r="DA27" s="2054"/>
      <c r="DB27" s="2054"/>
      <c r="DC27" s="189"/>
      <c r="DD27" s="197"/>
      <c r="DE27" s="2055">
        <f>前年度貼付!$E$175</f>
        <v>227028</v>
      </c>
      <c r="DF27" s="2055"/>
      <c r="DG27" s="2055"/>
      <c r="DH27" s="2055"/>
      <c r="DI27" s="2055"/>
      <c r="DJ27" s="2055"/>
      <c r="DK27" s="2055"/>
      <c r="DL27" s="2055"/>
      <c r="DM27" s="2055"/>
      <c r="DN27" s="2055"/>
      <c r="DO27" s="2055"/>
      <c r="DP27" s="2055"/>
      <c r="DQ27" s="2055"/>
      <c r="DR27" s="2055"/>
      <c r="DS27" s="2055"/>
      <c r="DT27" s="2055"/>
      <c r="DU27" s="2055"/>
      <c r="DV27" s="2055"/>
      <c r="DW27" s="2055"/>
      <c r="DX27" s="2055"/>
      <c r="DY27" s="2055"/>
      <c r="DZ27" s="2055"/>
      <c r="EA27" s="2055"/>
      <c r="EB27" s="2055">
        <f>前年度貼付!$E$176</f>
        <v>127188</v>
      </c>
      <c r="EC27" s="2055"/>
      <c r="ED27" s="2055"/>
      <c r="EE27" s="2055"/>
      <c r="EF27" s="2055"/>
      <c r="EG27" s="2055"/>
      <c r="EH27" s="2055"/>
      <c r="EI27" s="2055"/>
      <c r="EJ27" s="2055"/>
      <c r="EK27" s="2055"/>
      <c r="EL27" s="2055"/>
      <c r="EM27" s="2055"/>
      <c r="EN27" s="2055"/>
      <c r="EO27" s="2055"/>
      <c r="EP27" s="2055"/>
      <c r="EQ27" s="2055"/>
      <c r="ER27" s="2055"/>
      <c r="ES27" s="2055"/>
      <c r="ET27" s="2055"/>
      <c r="EU27" s="2055"/>
      <c r="EV27" s="2055"/>
      <c r="EW27" s="2055"/>
      <c r="EX27" s="2055"/>
      <c r="EY27" s="2055">
        <f>SUM(DE27:EX27)</f>
        <v>354216</v>
      </c>
      <c r="EZ27" s="2055"/>
      <c r="FA27" s="2055"/>
      <c r="FB27" s="2055"/>
      <c r="FC27" s="2055"/>
      <c r="FD27" s="2055"/>
      <c r="FE27" s="2055"/>
      <c r="FF27" s="2055"/>
      <c r="FG27" s="2055"/>
      <c r="FH27" s="2055"/>
      <c r="FI27" s="2055"/>
      <c r="FJ27" s="2055"/>
      <c r="FK27" s="2055"/>
      <c r="FL27" s="2055"/>
      <c r="FM27" s="2055"/>
      <c r="FN27" s="2055"/>
      <c r="FO27" s="2055"/>
      <c r="FP27" s="2055"/>
      <c r="FQ27" s="2055"/>
      <c r="FR27" s="2055"/>
      <c r="FS27" s="2055"/>
      <c r="FT27" s="2055"/>
      <c r="FU27" s="2055"/>
    </row>
    <row r="28" spans="1:255" s="222" customFormat="1" ht="18" customHeight="1">
      <c r="B28" s="2045" t="s">
        <v>485</v>
      </c>
      <c r="C28" s="2045"/>
      <c r="D28" s="2045"/>
      <c r="E28" s="2045"/>
      <c r="F28" s="2045"/>
      <c r="G28" s="2045"/>
      <c r="H28" s="2045"/>
      <c r="I28" s="2045"/>
      <c r="J28" s="2045"/>
      <c r="K28" s="2045"/>
      <c r="L28" s="2045"/>
      <c r="M28" s="2045"/>
      <c r="N28" s="2045"/>
      <c r="O28" s="2045"/>
      <c r="P28" s="2045"/>
      <c r="Q28" s="2045"/>
      <c r="R28" s="2045"/>
      <c r="S28" s="2045"/>
      <c r="T28" s="2045"/>
      <c r="U28" s="231"/>
      <c r="V28" s="2046" t="s">
        <v>481</v>
      </c>
      <c r="W28" s="2046"/>
      <c r="X28" s="2046"/>
      <c r="Y28" s="2046"/>
      <c r="Z28" s="2046"/>
      <c r="AA28" s="2046"/>
      <c r="AB28" s="2046"/>
      <c r="AC28" s="2046"/>
      <c r="AD28" s="2046"/>
      <c r="AE28" s="2046"/>
      <c r="AF28" s="2046"/>
      <c r="AG28" s="2046"/>
      <c r="AH28" s="2046"/>
      <c r="AI28" s="2046"/>
      <c r="AJ28" s="2046"/>
      <c r="AK28" s="2046"/>
      <c r="AL28" s="2046"/>
      <c r="AM28" s="2046"/>
      <c r="AN28" s="2046"/>
      <c r="AO28" s="2046"/>
      <c r="AP28" s="2046"/>
      <c r="AQ28" s="2046"/>
      <c r="AR28" s="2046"/>
      <c r="AS28" s="2046"/>
      <c r="AT28" s="2046"/>
      <c r="AU28" s="2046"/>
      <c r="AV28" s="2046"/>
      <c r="AW28" s="2046"/>
      <c r="AX28" s="2046"/>
      <c r="AY28" s="232"/>
      <c r="AZ28" s="232"/>
      <c r="BA28" s="232"/>
      <c r="BB28" s="232"/>
      <c r="BC28" s="232"/>
      <c r="BD28" s="232"/>
      <c r="BE28" s="232"/>
      <c r="BF28" s="232"/>
      <c r="BG28" s="232"/>
      <c r="BH28" s="232"/>
      <c r="BI28" s="232"/>
      <c r="BM28" s="2054" t="s">
        <v>486</v>
      </c>
      <c r="BN28" s="2054"/>
      <c r="BO28" s="2054"/>
      <c r="BP28" s="2054"/>
      <c r="BQ28" s="2054"/>
      <c r="BR28" s="2054"/>
      <c r="BS28" s="2054"/>
      <c r="BT28" s="2054"/>
      <c r="BU28" s="2054"/>
      <c r="BV28" s="2054"/>
      <c r="BW28" s="2054"/>
      <c r="BX28" s="2054"/>
      <c r="BY28" s="2054"/>
      <c r="BZ28" s="2054"/>
      <c r="CA28" s="2054"/>
      <c r="CB28" s="2054"/>
      <c r="CC28" s="2054"/>
      <c r="CD28" s="2054"/>
      <c r="CE28" s="2054"/>
      <c r="CF28" s="2054"/>
      <c r="CG28" s="2054"/>
      <c r="CH28" s="2054"/>
      <c r="CI28" s="2054"/>
      <c r="CJ28" s="2054"/>
      <c r="CK28" s="2054"/>
      <c r="CL28" s="2054"/>
      <c r="CM28" s="2054"/>
      <c r="CN28" s="2054"/>
      <c r="CO28" s="2054"/>
      <c r="CP28" s="2054"/>
      <c r="CQ28" s="2054"/>
      <c r="CR28" s="2054"/>
      <c r="CS28" s="2054"/>
      <c r="CT28" s="2054"/>
      <c r="CU28" s="2054"/>
      <c r="CV28" s="2054"/>
      <c r="CW28" s="2054"/>
      <c r="CX28" s="2054"/>
      <c r="CY28" s="2054"/>
      <c r="CZ28" s="2054"/>
      <c r="DA28" s="2054"/>
      <c r="DB28" s="2054"/>
      <c r="DC28" s="189"/>
      <c r="DD28" s="197"/>
      <c r="DE28" s="2056">
        <v>228717</v>
      </c>
      <c r="DF28" s="2055"/>
      <c r="DG28" s="2055"/>
      <c r="DH28" s="2055"/>
      <c r="DI28" s="2055"/>
      <c r="DJ28" s="2055"/>
      <c r="DK28" s="2055"/>
      <c r="DL28" s="2055"/>
      <c r="DM28" s="2055"/>
      <c r="DN28" s="2055"/>
      <c r="DO28" s="2055"/>
      <c r="DP28" s="2055"/>
      <c r="DQ28" s="2055"/>
      <c r="DR28" s="2055"/>
      <c r="DS28" s="2055"/>
      <c r="DT28" s="2055"/>
      <c r="DU28" s="2055"/>
      <c r="DV28" s="2055"/>
      <c r="DW28" s="2055"/>
      <c r="DX28" s="2055"/>
      <c r="DY28" s="2055"/>
      <c r="DZ28" s="2055"/>
      <c r="EA28" s="2055"/>
      <c r="EB28" s="2056">
        <v>125206</v>
      </c>
      <c r="EC28" s="2055"/>
      <c r="ED28" s="2055"/>
      <c r="EE28" s="2055"/>
      <c r="EF28" s="2055"/>
      <c r="EG28" s="2055"/>
      <c r="EH28" s="2055"/>
      <c r="EI28" s="2055"/>
      <c r="EJ28" s="2055"/>
      <c r="EK28" s="2055"/>
      <c r="EL28" s="2055"/>
      <c r="EM28" s="2055"/>
      <c r="EN28" s="2055"/>
      <c r="EO28" s="2055"/>
      <c r="EP28" s="2055"/>
      <c r="EQ28" s="2055"/>
      <c r="ER28" s="2055"/>
      <c r="ES28" s="2055"/>
      <c r="ET28" s="2055"/>
      <c r="EU28" s="2055"/>
      <c r="EV28" s="2055"/>
      <c r="EW28" s="2055"/>
      <c r="EX28" s="2055"/>
      <c r="EY28" s="2055">
        <f>SUM(DE28:EX28)</f>
        <v>353923</v>
      </c>
      <c r="EZ28" s="2055"/>
      <c r="FA28" s="2055"/>
      <c r="FB28" s="2055"/>
      <c r="FC28" s="2055"/>
      <c r="FD28" s="2055"/>
      <c r="FE28" s="2055"/>
      <c r="FF28" s="2055"/>
      <c r="FG28" s="2055"/>
      <c r="FH28" s="2055"/>
      <c r="FI28" s="2055"/>
      <c r="FJ28" s="2055"/>
      <c r="FK28" s="2055"/>
      <c r="FL28" s="2055"/>
      <c r="FM28" s="2055"/>
      <c r="FN28" s="2055"/>
      <c r="FO28" s="2055"/>
      <c r="FP28" s="2055"/>
      <c r="FQ28" s="2055"/>
      <c r="FR28" s="2055"/>
      <c r="FS28" s="2055"/>
      <c r="FT28" s="2055"/>
      <c r="FU28" s="2055"/>
    </row>
    <row r="29" spans="1:255" s="222" customFormat="1" ht="18" customHeight="1">
      <c r="B29" s="2045"/>
      <c r="C29" s="2045"/>
      <c r="D29" s="2045"/>
      <c r="E29" s="2045"/>
      <c r="F29" s="2045"/>
      <c r="G29" s="2045"/>
      <c r="H29" s="2045"/>
      <c r="I29" s="2045"/>
      <c r="J29" s="2045"/>
      <c r="K29" s="2045"/>
      <c r="L29" s="2045"/>
      <c r="M29" s="2045"/>
      <c r="N29" s="2045"/>
      <c r="O29" s="2045"/>
      <c r="P29" s="2045"/>
      <c r="Q29" s="2045"/>
      <c r="R29" s="2045"/>
      <c r="S29" s="2045"/>
      <c r="T29" s="2045"/>
      <c r="U29" s="231"/>
      <c r="V29" s="2047" t="s">
        <v>478</v>
      </c>
      <c r="W29" s="2047"/>
      <c r="X29" s="2047"/>
      <c r="Y29" s="2047"/>
      <c r="Z29" s="2047"/>
      <c r="AA29" s="2047"/>
      <c r="AB29" s="2047"/>
      <c r="AC29" s="2047"/>
      <c r="AD29" s="2047"/>
      <c r="AE29" s="2047"/>
      <c r="AF29" s="2047"/>
      <c r="AG29" s="2047"/>
      <c r="AH29" s="2047"/>
      <c r="AI29" s="2047"/>
      <c r="AJ29" s="2047"/>
      <c r="AK29" s="2047"/>
      <c r="AL29" s="2047"/>
      <c r="AM29" s="2047"/>
      <c r="AN29" s="2047"/>
      <c r="AO29" s="2047"/>
      <c r="AP29" s="2047"/>
      <c r="AQ29" s="2047"/>
      <c r="AR29" s="2047"/>
      <c r="AS29" s="2047"/>
      <c r="AT29" s="2047"/>
      <c r="AU29" s="2047"/>
      <c r="AV29" s="2047"/>
      <c r="AW29" s="2047"/>
      <c r="AX29" s="2047"/>
      <c r="AY29" s="232"/>
      <c r="AZ29" s="232"/>
      <c r="BA29" s="232"/>
      <c r="BB29" s="232"/>
      <c r="BC29" s="232"/>
      <c r="BD29" s="232"/>
      <c r="BE29" s="232"/>
      <c r="BF29" s="232"/>
      <c r="BG29" s="232"/>
      <c r="BH29" s="232"/>
      <c r="BI29" s="232"/>
    </row>
    <row r="30" spans="1:255" s="222" customFormat="1" ht="18" customHeight="1">
      <c r="B30" s="2045" t="s">
        <v>487</v>
      </c>
      <c r="C30" s="2045"/>
      <c r="D30" s="2045"/>
      <c r="E30" s="2045"/>
      <c r="F30" s="2045"/>
      <c r="G30" s="2045"/>
      <c r="H30" s="2045"/>
      <c r="I30" s="2045"/>
      <c r="J30" s="2045"/>
      <c r="K30" s="2045"/>
      <c r="L30" s="2045"/>
      <c r="M30" s="2045"/>
      <c r="N30" s="2045"/>
      <c r="O30" s="2045"/>
      <c r="P30" s="2045"/>
      <c r="Q30" s="2045"/>
      <c r="R30" s="2045"/>
      <c r="S30" s="2045"/>
      <c r="T30" s="2045"/>
      <c r="U30" s="231"/>
      <c r="V30" s="2046" t="s">
        <v>479</v>
      </c>
      <c r="W30" s="2046"/>
      <c r="X30" s="2046"/>
      <c r="Y30" s="2046"/>
      <c r="Z30" s="2046"/>
      <c r="AA30" s="2046"/>
      <c r="AB30" s="2046"/>
      <c r="AC30" s="2046"/>
      <c r="AD30" s="2046"/>
      <c r="AE30" s="2046"/>
      <c r="AF30" s="2046"/>
      <c r="AG30" s="2046"/>
      <c r="AH30" s="2046"/>
      <c r="AI30" s="2046"/>
      <c r="AJ30" s="2046"/>
      <c r="AK30" s="2046"/>
      <c r="AL30" s="2046"/>
      <c r="AM30" s="2046"/>
      <c r="AN30" s="2046"/>
      <c r="AO30" s="2046"/>
      <c r="AP30" s="2046"/>
      <c r="AQ30" s="2046"/>
      <c r="AR30" s="2046"/>
      <c r="AS30" s="2046"/>
      <c r="AT30" s="2046"/>
      <c r="AU30" s="2046"/>
      <c r="AV30" s="2046"/>
      <c r="AW30" s="2046"/>
      <c r="AX30" s="2046"/>
      <c r="AY30" s="232"/>
      <c r="AZ30" s="232"/>
      <c r="BA30" s="232"/>
      <c r="BB30" s="232"/>
      <c r="BC30" s="232"/>
      <c r="BD30" s="232"/>
      <c r="BE30" s="232"/>
      <c r="BF30" s="232"/>
      <c r="BG30" s="232"/>
      <c r="BH30" s="232"/>
      <c r="BI30" s="232"/>
    </row>
    <row r="31" spans="1:255" s="222" customFormat="1" ht="18" customHeight="1">
      <c r="B31" s="2045"/>
      <c r="C31" s="2045"/>
      <c r="D31" s="2045"/>
      <c r="E31" s="2045"/>
      <c r="F31" s="2045"/>
      <c r="G31" s="2045"/>
      <c r="H31" s="2045"/>
      <c r="I31" s="2045"/>
      <c r="J31" s="2045"/>
      <c r="K31" s="2045"/>
      <c r="L31" s="2045"/>
      <c r="M31" s="2045"/>
      <c r="N31" s="2045"/>
      <c r="O31" s="2045"/>
      <c r="P31" s="2045"/>
      <c r="Q31" s="2045"/>
      <c r="R31" s="2045"/>
      <c r="S31" s="2045"/>
      <c r="T31" s="2045"/>
      <c r="U31" s="231"/>
      <c r="V31" s="2047" t="s">
        <v>488</v>
      </c>
      <c r="W31" s="2047"/>
      <c r="X31" s="2047"/>
      <c r="Y31" s="2047"/>
      <c r="Z31" s="2047"/>
      <c r="AA31" s="2047"/>
      <c r="AB31" s="2047"/>
      <c r="AC31" s="2047"/>
      <c r="AD31" s="2047"/>
      <c r="AE31" s="2047"/>
      <c r="AF31" s="2047"/>
      <c r="AG31" s="2047"/>
      <c r="AH31" s="2047"/>
      <c r="AI31" s="2047"/>
      <c r="AJ31" s="2047"/>
      <c r="AK31" s="2047"/>
      <c r="AL31" s="2047"/>
      <c r="AM31" s="2047"/>
      <c r="AN31" s="2047"/>
      <c r="AO31" s="2047"/>
      <c r="AP31" s="2047"/>
      <c r="AQ31" s="2047"/>
      <c r="AR31" s="2047"/>
      <c r="AS31" s="2047"/>
      <c r="AT31" s="2047"/>
      <c r="AU31" s="2047"/>
      <c r="AV31" s="2047"/>
      <c r="AW31" s="2047"/>
      <c r="AX31" s="2047"/>
      <c r="AY31" s="232"/>
      <c r="AZ31" s="232"/>
      <c r="BA31" s="232"/>
      <c r="BB31" s="232"/>
      <c r="BC31" s="232"/>
      <c r="BD31" s="232"/>
      <c r="BE31" s="232"/>
      <c r="BF31" s="232"/>
      <c r="BG31" s="232"/>
      <c r="BH31" s="232"/>
      <c r="BI31" s="232"/>
    </row>
    <row r="32" spans="1:255" s="222" customFormat="1" ht="18" customHeight="1">
      <c r="B32" s="2045" t="s">
        <v>489</v>
      </c>
      <c r="C32" s="2045"/>
      <c r="D32" s="2045"/>
      <c r="E32" s="2045"/>
      <c r="F32" s="2045"/>
      <c r="G32" s="2045"/>
      <c r="H32" s="2045"/>
      <c r="I32" s="2045"/>
      <c r="J32" s="2045"/>
      <c r="K32" s="2045"/>
      <c r="L32" s="2045"/>
      <c r="M32" s="2045"/>
      <c r="N32" s="2045"/>
      <c r="O32" s="2045"/>
      <c r="P32" s="2045"/>
      <c r="Q32" s="2045"/>
      <c r="R32" s="2045"/>
      <c r="S32" s="2045"/>
      <c r="T32" s="2045"/>
      <c r="U32" s="231"/>
      <c r="V32" s="2046" t="s">
        <v>490</v>
      </c>
      <c r="W32" s="2046"/>
      <c r="X32" s="2046"/>
      <c r="Y32" s="2046"/>
      <c r="Z32" s="2046"/>
      <c r="AA32" s="2046"/>
      <c r="AB32" s="2046"/>
      <c r="AC32" s="2046"/>
      <c r="AD32" s="2046"/>
      <c r="AE32" s="2046"/>
      <c r="AF32" s="2046"/>
      <c r="AG32" s="2046"/>
      <c r="AH32" s="2046"/>
      <c r="AI32" s="2046"/>
      <c r="AJ32" s="2046"/>
      <c r="AK32" s="2046"/>
      <c r="AL32" s="2046"/>
      <c r="AM32" s="2046"/>
      <c r="AN32" s="2046"/>
      <c r="AO32" s="2046"/>
      <c r="AP32" s="2046"/>
      <c r="AQ32" s="2046"/>
      <c r="AR32" s="2046"/>
      <c r="AS32" s="2046"/>
      <c r="AT32" s="2046"/>
      <c r="AU32" s="2046"/>
      <c r="AV32" s="2046"/>
      <c r="AW32" s="2046"/>
      <c r="AX32" s="2046"/>
      <c r="AY32" s="232"/>
      <c r="AZ32" s="232"/>
      <c r="BA32" s="232"/>
      <c r="BB32" s="232"/>
      <c r="BC32" s="232"/>
      <c r="BD32" s="232"/>
      <c r="BE32" s="232"/>
      <c r="BF32" s="232"/>
      <c r="BG32" s="232"/>
      <c r="BH32" s="232"/>
      <c r="BI32" s="232"/>
    </row>
    <row r="33" spans="1:256" s="222" customFormat="1" ht="18" customHeight="1">
      <c r="B33" s="2045"/>
      <c r="C33" s="2045"/>
      <c r="D33" s="2045"/>
      <c r="E33" s="2045"/>
      <c r="F33" s="2045"/>
      <c r="G33" s="2045"/>
      <c r="H33" s="2045"/>
      <c r="I33" s="2045"/>
      <c r="J33" s="2045"/>
      <c r="K33" s="2045"/>
      <c r="L33" s="2045"/>
      <c r="M33" s="2045"/>
      <c r="N33" s="2045"/>
      <c r="O33" s="2045"/>
      <c r="P33" s="2045"/>
      <c r="Q33" s="2045"/>
      <c r="R33" s="2045"/>
      <c r="S33" s="2045"/>
      <c r="T33" s="2045"/>
      <c r="U33" s="231"/>
      <c r="V33" s="2047" t="s">
        <v>491</v>
      </c>
      <c r="W33" s="2047"/>
      <c r="X33" s="2047"/>
      <c r="Y33" s="2047"/>
      <c r="Z33" s="2047"/>
      <c r="AA33" s="2047"/>
      <c r="AB33" s="2047"/>
      <c r="AC33" s="2047"/>
      <c r="AD33" s="2047"/>
      <c r="AE33" s="2047"/>
      <c r="AF33" s="2047"/>
      <c r="AG33" s="2047"/>
      <c r="AH33" s="2047"/>
      <c r="AI33" s="2047"/>
      <c r="AJ33" s="2047"/>
      <c r="AK33" s="2047"/>
      <c r="AL33" s="2047"/>
      <c r="AM33" s="2047"/>
      <c r="AN33" s="2047"/>
      <c r="AO33" s="2047"/>
      <c r="AP33" s="2047"/>
      <c r="AQ33" s="2047"/>
      <c r="AR33" s="2047"/>
      <c r="AS33" s="2047"/>
      <c r="AT33" s="2047"/>
      <c r="AU33" s="2047"/>
      <c r="AV33" s="2047"/>
      <c r="AW33" s="2047"/>
      <c r="AX33" s="2047"/>
      <c r="AY33" s="232"/>
      <c r="AZ33" s="232"/>
      <c r="BA33" s="232"/>
      <c r="BB33" s="232"/>
      <c r="BC33" s="232"/>
      <c r="BD33" s="232"/>
      <c r="BE33" s="232"/>
      <c r="BF33" s="232"/>
      <c r="BG33" s="232"/>
      <c r="BH33" s="232"/>
      <c r="BI33" s="232"/>
    </row>
    <row r="34" spans="1:256" s="222" customFormat="1" ht="18" customHeight="1">
      <c r="B34" s="2045" t="s">
        <v>492</v>
      </c>
      <c r="C34" s="2045"/>
      <c r="D34" s="2045"/>
      <c r="E34" s="2045"/>
      <c r="F34" s="2045"/>
      <c r="G34" s="2045"/>
      <c r="H34" s="2045"/>
      <c r="I34" s="2045"/>
      <c r="J34" s="2045"/>
      <c r="K34" s="2045"/>
      <c r="L34" s="2045"/>
      <c r="M34" s="2045"/>
      <c r="N34" s="2045"/>
      <c r="O34" s="2045"/>
      <c r="P34" s="2045"/>
      <c r="Q34" s="2045"/>
      <c r="R34" s="2045"/>
      <c r="S34" s="2045"/>
      <c r="T34" s="2045"/>
      <c r="U34" s="231"/>
      <c r="V34" s="2095" t="s">
        <v>493</v>
      </c>
      <c r="W34" s="2095"/>
      <c r="X34" s="2095"/>
      <c r="Y34" s="2095"/>
      <c r="Z34" s="2095"/>
      <c r="AA34" s="2095"/>
      <c r="AB34" s="2095"/>
      <c r="AC34" s="2095"/>
      <c r="AD34" s="2095"/>
      <c r="AE34" s="2095"/>
      <c r="AF34" s="2095"/>
      <c r="AG34" s="2095"/>
      <c r="AH34" s="2095"/>
      <c r="AI34" s="2095"/>
      <c r="AJ34" s="2095"/>
      <c r="AK34" s="2095"/>
      <c r="AL34" s="2095"/>
      <c r="AM34" s="2095"/>
      <c r="AN34" s="2095"/>
      <c r="AO34" s="2095"/>
      <c r="AP34" s="2095"/>
      <c r="AQ34" s="2095"/>
      <c r="AR34" s="2095"/>
      <c r="AS34" s="2095"/>
      <c r="AT34" s="2095"/>
      <c r="AU34" s="2095"/>
      <c r="AV34" s="2095"/>
      <c r="AW34" s="2095"/>
      <c r="AX34" s="2095"/>
      <c r="AY34" s="2095"/>
      <c r="AZ34" s="2095"/>
      <c r="BA34" s="2095"/>
      <c r="BB34" s="2095"/>
      <c r="BC34" s="2095"/>
      <c r="BD34" s="2095"/>
      <c r="BE34" s="2095"/>
      <c r="BF34" s="2095"/>
      <c r="BG34" s="2095"/>
      <c r="BH34" s="2095"/>
      <c r="BI34" s="2095"/>
    </row>
    <row r="35" spans="1:256" s="222" customFormat="1" ht="18" customHeight="1">
      <c r="B35" s="2045"/>
      <c r="C35" s="2045"/>
      <c r="D35" s="2045"/>
      <c r="E35" s="2045"/>
      <c r="F35" s="2045"/>
      <c r="G35" s="2045"/>
      <c r="H35" s="2045"/>
      <c r="I35" s="2045"/>
      <c r="J35" s="2045"/>
      <c r="K35" s="2045"/>
      <c r="L35" s="2045"/>
      <c r="M35" s="2045"/>
      <c r="N35" s="2045"/>
      <c r="O35" s="2045"/>
      <c r="P35" s="2045"/>
      <c r="Q35" s="2045"/>
      <c r="R35" s="2045"/>
      <c r="S35" s="2045"/>
      <c r="T35" s="2045"/>
      <c r="U35" s="231"/>
      <c r="V35" s="2096" t="s">
        <v>491</v>
      </c>
      <c r="W35" s="2096"/>
      <c r="X35" s="2096"/>
      <c r="Y35" s="2096"/>
      <c r="Z35" s="2096"/>
      <c r="AA35" s="2096"/>
      <c r="AB35" s="2096"/>
      <c r="AC35" s="2096"/>
      <c r="AD35" s="2096"/>
      <c r="AE35" s="2096"/>
      <c r="AF35" s="2096"/>
      <c r="AG35" s="2096"/>
      <c r="AH35" s="2096"/>
      <c r="AI35" s="2096"/>
      <c r="AJ35" s="2096"/>
      <c r="AK35" s="2096"/>
      <c r="AL35" s="2096"/>
      <c r="AM35" s="2096"/>
      <c r="AN35" s="2096"/>
      <c r="AO35" s="2096"/>
      <c r="AP35" s="2096"/>
      <c r="AQ35" s="2096"/>
      <c r="AR35" s="2096"/>
      <c r="AS35" s="2096"/>
      <c r="AT35" s="2096"/>
      <c r="AU35" s="2096"/>
      <c r="AV35" s="2096"/>
      <c r="AW35" s="2096"/>
      <c r="AX35" s="2096"/>
      <c r="AY35" s="2096"/>
      <c r="AZ35" s="2096"/>
      <c r="BA35" s="2096"/>
      <c r="BB35" s="2096"/>
      <c r="BC35" s="2096"/>
      <c r="BD35" s="2096"/>
      <c r="BE35" s="2096"/>
      <c r="BF35" s="2096"/>
      <c r="BG35" s="2096"/>
      <c r="BH35" s="2096"/>
      <c r="BI35" s="2096"/>
    </row>
    <row r="36" spans="1:256" s="222" customFormat="1" ht="18" customHeight="1">
      <c r="B36" s="2045" t="s">
        <v>494</v>
      </c>
      <c r="C36" s="2045"/>
      <c r="D36" s="2045"/>
      <c r="E36" s="2045"/>
      <c r="F36" s="2045"/>
      <c r="G36" s="2045"/>
      <c r="H36" s="2045"/>
      <c r="I36" s="2045"/>
      <c r="J36" s="2045"/>
      <c r="K36" s="2045"/>
      <c r="L36" s="2045"/>
      <c r="M36" s="2045"/>
      <c r="N36" s="2045"/>
      <c r="O36" s="2045"/>
      <c r="P36" s="2045"/>
      <c r="Q36" s="2045"/>
      <c r="R36" s="2045"/>
      <c r="S36" s="2045"/>
      <c r="T36" s="2045"/>
      <c r="U36" s="231"/>
      <c r="V36" s="2095" t="s">
        <v>493</v>
      </c>
      <c r="W36" s="2095"/>
      <c r="X36" s="2095"/>
      <c r="Y36" s="2095"/>
      <c r="Z36" s="2095"/>
      <c r="AA36" s="2095"/>
      <c r="AB36" s="2095"/>
      <c r="AC36" s="2095"/>
      <c r="AD36" s="2095"/>
      <c r="AE36" s="2095"/>
      <c r="AF36" s="2095"/>
      <c r="AG36" s="2095"/>
      <c r="AH36" s="2095"/>
      <c r="AI36" s="2095"/>
      <c r="AJ36" s="2095"/>
      <c r="AK36" s="2095"/>
      <c r="AL36" s="2095"/>
      <c r="AM36" s="2095"/>
      <c r="AN36" s="2095"/>
      <c r="AO36" s="2095"/>
      <c r="AP36" s="2095"/>
      <c r="AQ36" s="2095"/>
      <c r="AR36" s="2095"/>
      <c r="AS36" s="2095"/>
      <c r="AT36" s="2095"/>
      <c r="AU36" s="2095"/>
      <c r="AV36" s="2095"/>
      <c r="AW36" s="2095"/>
      <c r="AX36" s="2095"/>
      <c r="AY36" s="2095"/>
      <c r="AZ36" s="2095"/>
      <c r="BA36" s="2095"/>
      <c r="BB36" s="2095"/>
      <c r="BC36" s="2095"/>
      <c r="BD36" s="2095"/>
      <c r="BE36" s="2095"/>
      <c r="BF36" s="2095"/>
      <c r="BG36" s="2095"/>
      <c r="BH36" s="2095"/>
      <c r="BI36" s="2095"/>
    </row>
    <row r="37" spans="1:256" s="222" customFormat="1" ht="18" customHeight="1">
      <c r="B37" s="2045"/>
      <c r="C37" s="2045"/>
      <c r="D37" s="2045"/>
      <c r="E37" s="2045"/>
      <c r="F37" s="2045"/>
      <c r="G37" s="2045"/>
      <c r="H37" s="2045"/>
      <c r="I37" s="2045"/>
      <c r="J37" s="2045"/>
      <c r="K37" s="2045"/>
      <c r="L37" s="2045"/>
      <c r="M37" s="2045"/>
      <c r="N37" s="2045"/>
      <c r="O37" s="2045"/>
      <c r="P37" s="2045"/>
      <c r="Q37" s="2045"/>
      <c r="R37" s="2045"/>
      <c r="S37" s="2045"/>
      <c r="T37" s="2045"/>
      <c r="U37" s="231"/>
      <c r="V37" s="2096" t="s">
        <v>490</v>
      </c>
      <c r="W37" s="2096"/>
      <c r="X37" s="2096"/>
      <c r="Y37" s="2096"/>
      <c r="Z37" s="2096"/>
      <c r="AA37" s="2096"/>
      <c r="AB37" s="2096"/>
      <c r="AC37" s="2096"/>
      <c r="AD37" s="2096"/>
      <c r="AE37" s="2096"/>
      <c r="AF37" s="2096"/>
      <c r="AG37" s="2096"/>
      <c r="AH37" s="2096"/>
      <c r="AI37" s="2096"/>
      <c r="AJ37" s="2096"/>
      <c r="AK37" s="2096"/>
      <c r="AL37" s="2096"/>
      <c r="AM37" s="2096"/>
      <c r="AN37" s="2096"/>
      <c r="AO37" s="2096"/>
      <c r="AP37" s="2096"/>
      <c r="AQ37" s="2096"/>
      <c r="AR37" s="2096"/>
      <c r="AS37" s="2096"/>
      <c r="AT37" s="2096"/>
      <c r="AU37" s="2096"/>
      <c r="AV37" s="2096"/>
      <c r="AW37" s="2096"/>
      <c r="AX37" s="2096"/>
      <c r="AY37" s="2096"/>
      <c r="AZ37" s="2096"/>
      <c r="BA37" s="2096"/>
      <c r="BB37" s="2096"/>
      <c r="BC37" s="2096"/>
      <c r="BD37" s="2096"/>
      <c r="BE37" s="2096"/>
      <c r="BF37" s="2096"/>
      <c r="BG37" s="2096"/>
      <c r="BH37" s="2096"/>
      <c r="BI37" s="2096"/>
    </row>
    <row r="38" spans="1:256" s="222" customFormat="1" ht="18" customHeight="1">
      <c r="B38" s="2045" t="s">
        <v>495</v>
      </c>
      <c r="C38" s="2045"/>
      <c r="D38" s="2045"/>
      <c r="E38" s="2045"/>
      <c r="F38" s="2045"/>
      <c r="G38" s="2045"/>
      <c r="H38" s="2045"/>
      <c r="I38" s="2045"/>
      <c r="J38" s="2045"/>
      <c r="K38" s="2045"/>
      <c r="L38" s="2045"/>
      <c r="M38" s="2045"/>
      <c r="N38" s="2045"/>
      <c r="O38" s="2045"/>
      <c r="P38" s="2045"/>
      <c r="Q38" s="2045"/>
      <c r="R38" s="2045"/>
      <c r="S38" s="2045"/>
      <c r="T38" s="2045"/>
      <c r="U38" s="231"/>
      <c r="V38" s="2046" t="s">
        <v>491</v>
      </c>
      <c r="W38" s="2046"/>
      <c r="X38" s="2046"/>
      <c r="Y38" s="2046"/>
      <c r="Z38" s="2046"/>
      <c r="AA38" s="2046"/>
      <c r="AB38" s="2046"/>
      <c r="AC38" s="2046"/>
      <c r="AD38" s="2046"/>
      <c r="AE38" s="2046"/>
      <c r="AF38" s="2046"/>
      <c r="AG38" s="2046"/>
      <c r="AH38" s="2046"/>
      <c r="AI38" s="2046"/>
      <c r="AJ38" s="2046"/>
      <c r="AK38" s="2046"/>
      <c r="AL38" s="2046"/>
      <c r="AM38" s="2046"/>
      <c r="AN38" s="2046"/>
      <c r="AO38" s="2046"/>
      <c r="AP38" s="2046"/>
      <c r="AQ38" s="2046"/>
      <c r="AR38" s="2046"/>
      <c r="AS38" s="2046"/>
      <c r="AT38" s="2046"/>
      <c r="AU38" s="2046"/>
      <c r="AV38" s="2046"/>
      <c r="AW38" s="2046"/>
      <c r="AX38" s="2046"/>
      <c r="AY38" s="232"/>
      <c r="AZ38" s="232"/>
      <c r="BA38" s="232"/>
      <c r="BB38" s="232"/>
      <c r="BC38" s="232"/>
      <c r="BD38" s="232"/>
      <c r="BE38" s="232"/>
      <c r="BF38" s="232"/>
      <c r="BG38" s="232"/>
      <c r="BH38" s="232"/>
      <c r="BI38" s="232"/>
    </row>
    <row r="39" spans="1:256" s="222" customFormat="1" ht="18" customHeight="1">
      <c r="B39" s="2045"/>
      <c r="C39" s="2045"/>
      <c r="D39" s="2045"/>
      <c r="E39" s="2045"/>
      <c r="F39" s="2045"/>
      <c r="G39" s="2045"/>
      <c r="H39" s="2045"/>
      <c r="I39" s="2045"/>
      <c r="J39" s="2045"/>
      <c r="K39" s="2045"/>
      <c r="L39" s="2045"/>
      <c r="M39" s="2045"/>
      <c r="N39" s="2045"/>
      <c r="O39" s="2045"/>
      <c r="P39" s="2045"/>
      <c r="Q39" s="2045"/>
      <c r="R39" s="2045"/>
      <c r="S39" s="2045"/>
      <c r="T39" s="2045"/>
      <c r="U39" s="231"/>
      <c r="V39" s="2047" t="s">
        <v>488</v>
      </c>
      <c r="W39" s="2047"/>
      <c r="X39" s="2047"/>
      <c r="Y39" s="2047"/>
      <c r="Z39" s="2047"/>
      <c r="AA39" s="2047"/>
      <c r="AB39" s="2047"/>
      <c r="AC39" s="2047"/>
      <c r="AD39" s="2047"/>
      <c r="AE39" s="2047"/>
      <c r="AF39" s="2047"/>
      <c r="AG39" s="2047"/>
      <c r="AH39" s="2047"/>
      <c r="AI39" s="2047"/>
      <c r="AJ39" s="2047"/>
      <c r="AK39" s="2047"/>
      <c r="AL39" s="2047"/>
      <c r="AM39" s="2047"/>
      <c r="AN39" s="2047"/>
      <c r="AO39" s="2047"/>
      <c r="AP39" s="2047"/>
      <c r="AQ39" s="2047"/>
      <c r="AR39" s="2047"/>
      <c r="AS39" s="2047"/>
      <c r="AT39" s="2047"/>
      <c r="AU39" s="2047"/>
      <c r="AV39" s="2047"/>
      <c r="AW39" s="2047"/>
      <c r="AX39" s="2047"/>
      <c r="AY39" s="232"/>
      <c r="AZ39" s="232"/>
      <c r="BA39" s="232"/>
      <c r="BB39" s="232"/>
      <c r="BC39" s="232"/>
      <c r="BD39" s="232"/>
      <c r="BE39" s="232"/>
      <c r="BF39" s="232"/>
      <c r="BG39" s="232"/>
      <c r="BH39" s="232"/>
      <c r="BI39" s="232"/>
    </row>
    <row r="40" spans="1:256" ht="18" customHeight="1">
      <c r="A40" s="222"/>
      <c r="B40" s="222"/>
      <c r="C40" s="222"/>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092" t="s">
        <v>496</v>
      </c>
      <c r="AU40" s="2092"/>
      <c r="AV40" s="2092"/>
      <c r="AW40" s="2092"/>
      <c r="AX40" s="2092"/>
      <c r="AY40" s="2092"/>
      <c r="AZ40" s="2092"/>
      <c r="BA40" s="2092"/>
      <c r="BB40" s="2092"/>
      <c r="BC40" s="2092"/>
      <c r="BD40" s="2092"/>
      <c r="BE40" s="2092"/>
      <c r="BF40" s="2092"/>
      <c r="BG40" s="2092"/>
      <c r="BH40" s="2092"/>
      <c r="BI40" s="2092"/>
    </row>
    <row r="41" spans="1:256" ht="18.75" customHeight="1">
      <c r="A41" s="2050" t="s">
        <v>497</v>
      </c>
      <c r="B41" s="2050"/>
      <c r="C41" s="2050"/>
      <c r="D41" s="2050"/>
      <c r="E41" s="2050"/>
      <c r="F41" s="2050"/>
      <c r="G41" s="2050"/>
      <c r="H41" s="2050"/>
      <c r="I41" s="2050"/>
      <c r="J41" s="2050"/>
      <c r="K41" s="2050"/>
      <c r="L41" s="2050"/>
      <c r="M41" s="2050"/>
      <c r="N41" s="2050"/>
      <c r="O41" s="2050"/>
      <c r="P41" s="2050"/>
      <c r="Q41" s="2093" t="s">
        <v>498</v>
      </c>
      <c r="R41" s="2093"/>
      <c r="S41" s="2093"/>
      <c r="T41" s="2093"/>
      <c r="U41" s="2093"/>
      <c r="V41" s="2093"/>
      <c r="W41" s="2093"/>
      <c r="X41" s="2093"/>
      <c r="Y41" s="2093"/>
      <c r="Z41" s="2093"/>
      <c r="AA41" s="2093"/>
      <c r="AB41" s="2093"/>
      <c r="AC41" s="2093"/>
      <c r="AD41" s="2093"/>
      <c r="AE41" s="2093"/>
      <c r="AF41" s="2093"/>
      <c r="AG41" s="2093"/>
      <c r="AH41" s="2093"/>
      <c r="AI41" s="2093"/>
      <c r="AJ41" s="2093"/>
      <c r="AK41" s="2093"/>
      <c r="AL41" s="2093"/>
      <c r="AM41" s="2093"/>
      <c r="AN41" s="2093"/>
      <c r="AO41" s="2093"/>
      <c r="AP41" s="2093"/>
      <c r="AQ41" s="2093"/>
      <c r="AR41" s="2093"/>
      <c r="AS41" s="2093"/>
      <c r="AT41" s="2093"/>
      <c r="AU41" s="2093"/>
      <c r="AV41" s="2093"/>
      <c r="AW41" s="2093"/>
      <c r="AX41" s="2093"/>
      <c r="AY41" s="2093"/>
      <c r="AZ41" s="2093"/>
      <c r="BA41" s="2093"/>
      <c r="BB41" s="2093"/>
      <c r="BC41" s="2093"/>
      <c r="BD41" s="2093"/>
      <c r="BE41" s="2093"/>
      <c r="BF41" s="2093"/>
      <c r="BG41" s="2093"/>
      <c r="BH41" s="2093"/>
      <c r="BI41" s="2093"/>
      <c r="BM41" s="1943" t="s">
        <v>452</v>
      </c>
      <c r="BN41" s="1943"/>
      <c r="BO41" s="1943"/>
      <c r="BP41" s="1943"/>
      <c r="BQ41" s="1943"/>
      <c r="BR41" s="1943"/>
      <c r="BS41" s="1943"/>
      <c r="BT41" s="1943"/>
      <c r="BU41" s="1943"/>
      <c r="BV41" s="1943"/>
      <c r="BW41" s="1943"/>
      <c r="BX41" s="1943"/>
      <c r="BY41" s="1943"/>
      <c r="BZ41" s="1943"/>
      <c r="CA41" s="1943"/>
      <c r="CB41" s="1943"/>
      <c r="CC41" s="1943"/>
      <c r="CD41" s="1943"/>
      <c r="CE41" s="1943"/>
      <c r="CF41" s="1943"/>
      <c r="CG41" s="1943"/>
      <c r="CH41" s="1943"/>
      <c r="CI41" s="1943"/>
      <c r="CJ41" s="1943"/>
      <c r="CK41" s="1943"/>
      <c r="CL41" s="1943"/>
      <c r="CM41" s="1943"/>
      <c r="CN41" s="1943"/>
      <c r="CO41" s="1943"/>
      <c r="CP41" s="1943"/>
      <c r="CQ41" s="1943"/>
      <c r="CR41" s="1943"/>
      <c r="CS41" s="1943"/>
      <c r="CT41" s="1943"/>
      <c r="CU41" s="1943"/>
      <c r="CV41" s="1943"/>
      <c r="CW41" s="1943"/>
      <c r="CX41" s="1943"/>
      <c r="CY41" s="1943"/>
      <c r="CZ41" s="1943"/>
      <c r="DA41" s="1943"/>
      <c r="DB41" s="1943"/>
      <c r="DC41" s="1943"/>
      <c r="DD41" s="1943"/>
      <c r="DE41" s="1943"/>
      <c r="DF41" s="1943"/>
      <c r="DG41" s="1943"/>
      <c r="DH41" s="1943"/>
      <c r="DI41" s="1943"/>
      <c r="DJ41" s="1943"/>
      <c r="DK41" s="1943"/>
      <c r="DL41" s="2094" t="str">
        <f>DL2</f>
        <v>令和７年度</v>
      </c>
      <c r="DM41" s="2094"/>
      <c r="DN41" s="2094"/>
      <c r="DO41" s="2094"/>
      <c r="DP41" s="2094"/>
      <c r="DQ41" s="2094"/>
      <c r="DR41" s="2094"/>
      <c r="DS41" s="2094"/>
      <c r="DT41" s="2094"/>
      <c r="DU41" s="2094"/>
      <c r="DV41" s="2094"/>
      <c r="DW41" s="2094"/>
      <c r="DX41" s="2094"/>
      <c r="DY41" s="2094"/>
      <c r="DZ41" s="2094"/>
      <c r="EA41" s="2094"/>
      <c r="EB41" s="2094"/>
      <c r="EC41" s="2094"/>
      <c r="ED41" s="2094"/>
      <c r="EE41" s="2094"/>
      <c r="EF41" s="2094"/>
      <c r="EG41" s="2094"/>
      <c r="EH41" s="2094"/>
      <c r="EI41" s="2094"/>
      <c r="EJ41" s="2094"/>
      <c r="EK41" s="2094"/>
      <c r="EL41" s="2094"/>
      <c r="EM41" s="2094"/>
      <c r="EN41" s="2094"/>
      <c r="EO41" s="2094"/>
      <c r="EP41" s="2094"/>
      <c r="EQ41" s="2094"/>
      <c r="ER41" s="2094"/>
      <c r="ES41" s="2094"/>
      <c r="ET41" s="2094"/>
      <c r="EU41" s="2094"/>
      <c r="EV41" s="2094"/>
      <c r="EW41" s="2094"/>
      <c r="EX41" s="2094"/>
      <c r="EY41" s="2094"/>
      <c r="EZ41" s="2094"/>
      <c r="FA41" s="2094"/>
      <c r="FB41" s="2094"/>
      <c r="FC41" s="2094"/>
      <c r="FD41" s="2094"/>
      <c r="FE41" s="2094"/>
      <c r="FF41" s="2094"/>
      <c r="FG41" s="2094"/>
      <c r="FH41" s="2094"/>
      <c r="FI41" s="2094"/>
      <c r="FJ41" s="2094"/>
      <c r="FK41" s="2094"/>
      <c r="FL41" s="2094"/>
      <c r="FM41" s="2094"/>
      <c r="FN41" s="2094"/>
      <c r="FO41" s="2094"/>
      <c r="FP41" s="2094"/>
      <c r="FQ41" s="2094"/>
      <c r="FR41" s="2094"/>
      <c r="FS41" s="2094"/>
      <c r="FT41" s="2094"/>
      <c r="FU41" s="2094"/>
      <c r="FV41" s="2094"/>
      <c r="FW41" s="2094"/>
      <c r="FX41" s="2094"/>
      <c r="FY41" s="2094"/>
      <c r="FZ41" s="2094"/>
      <c r="GA41" s="2094"/>
      <c r="GB41" s="2094"/>
      <c r="GC41" s="2094"/>
      <c r="GD41" s="2094" t="str">
        <f>GD2</f>
        <v>令和６年度</v>
      </c>
      <c r="GE41" s="2094"/>
      <c r="GF41" s="2094"/>
      <c r="GG41" s="2094"/>
      <c r="GH41" s="2094"/>
      <c r="GI41" s="2094"/>
      <c r="GJ41" s="2094"/>
      <c r="GK41" s="2094"/>
      <c r="GL41" s="2094"/>
      <c r="GM41" s="2094"/>
      <c r="GN41" s="2094"/>
      <c r="GO41" s="2094"/>
      <c r="GP41" s="2094"/>
      <c r="GQ41" s="2094"/>
      <c r="GR41" s="2094"/>
      <c r="GS41" s="2094"/>
      <c r="GT41" s="2094"/>
      <c r="GU41" s="2094"/>
      <c r="GV41" s="2094"/>
      <c r="GW41" s="2094"/>
      <c r="GX41" s="2094"/>
      <c r="GY41" s="2094"/>
      <c r="GZ41" s="2094"/>
      <c r="HA41" s="2094"/>
      <c r="HB41" s="2094"/>
      <c r="HC41" s="2094"/>
      <c r="HD41" s="2094"/>
      <c r="HE41" s="2094"/>
      <c r="HF41" s="2094"/>
      <c r="HG41" s="2094"/>
      <c r="HH41" s="2094"/>
      <c r="HI41" s="2094"/>
      <c r="HJ41" s="2094"/>
      <c r="HK41" s="2094"/>
      <c r="HL41" s="2094"/>
      <c r="HM41" s="2094"/>
      <c r="HN41" s="2094"/>
      <c r="HO41" s="2094"/>
      <c r="HP41" s="2094"/>
      <c r="HQ41" s="2094"/>
      <c r="HR41" s="2094"/>
      <c r="HS41" s="2094"/>
      <c r="HT41" s="2094"/>
      <c r="HU41" s="2094"/>
      <c r="HV41" s="2094"/>
      <c r="HW41" s="2094"/>
      <c r="HX41" s="2094"/>
      <c r="HY41" s="2094"/>
      <c r="HZ41" s="2094"/>
      <c r="IA41" s="2094"/>
      <c r="IB41" s="2094"/>
      <c r="IC41" s="2094"/>
      <c r="ID41" s="2094"/>
      <c r="IE41" s="2094"/>
      <c r="IF41" s="2094"/>
      <c r="IG41" s="2094"/>
      <c r="IH41" s="2094"/>
      <c r="II41" s="2094"/>
      <c r="IJ41" s="2094"/>
      <c r="IK41" s="2094"/>
      <c r="IL41" s="2094"/>
      <c r="IM41" s="2094"/>
      <c r="IN41" s="2094"/>
      <c r="IO41" s="2094"/>
      <c r="IP41" s="2094"/>
      <c r="IQ41" s="2094"/>
      <c r="IR41" s="2094"/>
      <c r="IS41" s="2094"/>
      <c r="IT41" s="2094"/>
      <c r="IU41" s="2094"/>
      <c r="IV41" s="222"/>
    </row>
    <row r="42" spans="1:256" ht="18.75" customHeight="1">
      <c r="A42" s="2050"/>
      <c r="B42" s="2050"/>
      <c r="C42" s="2050"/>
      <c r="D42" s="2050"/>
      <c r="E42" s="2050"/>
      <c r="F42" s="2050"/>
      <c r="G42" s="2050"/>
      <c r="H42" s="2050"/>
      <c r="I42" s="2050"/>
      <c r="J42" s="2050"/>
      <c r="K42" s="2050"/>
      <c r="L42" s="2050"/>
      <c r="M42" s="2050"/>
      <c r="N42" s="2050"/>
      <c r="O42" s="2050"/>
      <c r="P42" s="2050"/>
      <c r="Q42" s="2040" t="s">
        <v>499</v>
      </c>
      <c r="R42" s="2040"/>
      <c r="S42" s="2040"/>
      <c r="T42" s="2040"/>
      <c r="U42" s="2040"/>
      <c r="V42" s="2040"/>
      <c r="W42" s="2040"/>
      <c r="X42" s="2040"/>
      <c r="Y42" s="2040"/>
      <c r="Z42" s="2040"/>
      <c r="AA42" s="2040"/>
      <c r="AB42" s="2040"/>
      <c r="AC42" s="2040"/>
      <c r="AD42" s="2040"/>
      <c r="AE42" s="2040"/>
      <c r="AF42" s="2040" t="s">
        <v>500</v>
      </c>
      <c r="AG42" s="2040"/>
      <c r="AH42" s="2040"/>
      <c r="AI42" s="2040"/>
      <c r="AJ42" s="2040"/>
      <c r="AK42" s="2040"/>
      <c r="AL42" s="2040"/>
      <c r="AM42" s="2040"/>
      <c r="AN42" s="2040"/>
      <c r="AO42" s="2040"/>
      <c r="AP42" s="2040"/>
      <c r="AQ42" s="2040"/>
      <c r="AR42" s="2040"/>
      <c r="AS42" s="2040"/>
      <c r="AT42" s="2040"/>
      <c r="AU42" s="2040" t="s">
        <v>501</v>
      </c>
      <c r="AV42" s="2040"/>
      <c r="AW42" s="2040"/>
      <c r="AX42" s="2040"/>
      <c r="AY42" s="2040"/>
      <c r="AZ42" s="2040"/>
      <c r="BA42" s="2040"/>
      <c r="BB42" s="2040"/>
      <c r="BC42" s="2040"/>
      <c r="BD42" s="2040"/>
      <c r="BE42" s="2040"/>
      <c r="BF42" s="2040"/>
      <c r="BG42" s="2040"/>
      <c r="BH42" s="2040"/>
      <c r="BI42" s="2040"/>
      <c r="BM42" s="1943"/>
      <c r="BN42" s="1943"/>
      <c r="BO42" s="1943"/>
      <c r="BP42" s="1943"/>
      <c r="BQ42" s="1943"/>
      <c r="BR42" s="1943"/>
      <c r="BS42" s="1943"/>
      <c r="BT42" s="1943"/>
      <c r="BU42" s="1943"/>
      <c r="BV42" s="1943"/>
      <c r="BW42" s="1943"/>
      <c r="BX42" s="1943"/>
      <c r="BY42" s="1943"/>
      <c r="BZ42" s="1943"/>
      <c r="CA42" s="1943"/>
      <c r="CB42" s="1943"/>
      <c r="CC42" s="1943"/>
      <c r="CD42" s="1943"/>
      <c r="CE42" s="1943"/>
      <c r="CF42" s="1943"/>
      <c r="CG42" s="1943"/>
      <c r="CH42" s="1943"/>
      <c r="CI42" s="1943"/>
      <c r="CJ42" s="1943"/>
      <c r="CK42" s="1943"/>
      <c r="CL42" s="1943"/>
      <c r="CM42" s="1943"/>
      <c r="CN42" s="1943"/>
      <c r="CO42" s="1943"/>
      <c r="CP42" s="1943"/>
      <c r="CQ42" s="1943"/>
      <c r="CR42" s="1943"/>
      <c r="CS42" s="1943"/>
      <c r="CT42" s="1943"/>
      <c r="CU42" s="1943"/>
      <c r="CV42" s="1943"/>
      <c r="CW42" s="1943"/>
      <c r="CX42" s="1943"/>
      <c r="CY42" s="1943"/>
      <c r="CZ42" s="1943"/>
      <c r="DA42" s="1943"/>
      <c r="DB42" s="1943"/>
      <c r="DC42" s="1943"/>
      <c r="DD42" s="1943"/>
      <c r="DE42" s="1943"/>
      <c r="DF42" s="1943"/>
      <c r="DG42" s="1943"/>
      <c r="DH42" s="1943"/>
      <c r="DI42" s="1943"/>
      <c r="DJ42" s="1943"/>
      <c r="DK42" s="1943"/>
      <c r="DL42" s="1943" t="s">
        <v>453</v>
      </c>
      <c r="DM42" s="1943"/>
      <c r="DN42" s="1943"/>
      <c r="DO42" s="1943"/>
      <c r="DP42" s="1943"/>
      <c r="DQ42" s="1943"/>
      <c r="DR42" s="1943"/>
      <c r="DS42" s="1943"/>
      <c r="DT42" s="1943"/>
      <c r="DU42" s="1943"/>
      <c r="DV42" s="1943"/>
      <c r="DW42" s="1943"/>
      <c r="DX42" s="1943"/>
      <c r="DY42" s="1943"/>
      <c r="DZ42" s="1943"/>
      <c r="EA42" s="1943"/>
      <c r="EB42" s="1943"/>
      <c r="EC42" s="1943"/>
      <c r="ED42" s="1943"/>
      <c r="EE42" s="1943"/>
      <c r="EF42" s="1943"/>
      <c r="EG42" s="1943"/>
      <c r="EH42" s="1943"/>
      <c r="EI42" s="1943" t="s">
        <v>454</v>
      </c>
      <c r="EJ42" s="1943"/>
      <c r="EK42" s="1943"/>
      <c r="EL42" s="1943"/>
      <c r="EM42" s="1943"/>
      <c r="EN42" s="1943"/>
      <c r="EO42" s="1943"/>
      <c r="EP42" s="1943"/>
      <c r="EQ42" s="1943"/>
      <c r="ER42" s="1943"/>
      <c r="ES42" s="1943"/>
      <c r="ET42" s="1943"/>
      <c r="EU42" s="1943"/>
      <c r="EV42" s="1943"/>
      <c r="EW42" s="1943"/>
      <c r="EX42" s="1943"/>
      <c r="EY42" s="1943"/>
      <c r="EZ42" s="1943"/>
      <c r="FA42" s="1943"/>
      <c r="FB42" s="1943" t="s">
        <v>455</v>
      </c>
      <c r="FC42" s="1943"/>
      <c r="FD42" s="1943"/>
      <c r="FE42" s="1943"/>
      <c r="FF42" s="1943"/>
      <c r="FG42" s="1943"/>
      <c r="FH42" s="1943"/>
      <c r="FI42" s="1943"/>
      <c r="FJ42" s="1943"/>
      <c r="FK42" s="1943"/>
      <c r="FL42" s="1943"/>
      <c r="FM42" s="1943"/>
      <c r="FN42" s="1943"/>
      <c r="FO42" s="1943"/>
      <c r="FP42" s="1943"/>
      <c r="FQ42" s="1943"/>
      <c r="FR42" s="1943"/>
      <c r="FS42" s="1943"/>
      <c r="FT42" s="1943"/>
      <c r="FU42" s="1943"/>
      <c r="FV42" s="1943"/>
      <c r="FW42" s="1943"/>
      <c r="FX42" s="1943"/>
      <c r="FY42" s="1943"/>
      <c r="FZ42" s="1943"/>
      <c r="GA42" s="1943"/>
      <c r="GB42" s="1943"/>
      <c r="GC42" s="1943"/>
      <c r="GD42" s="1943" t="s">
        <v>453</v>
      </c>
      <c r="GE42" s="1943"/>
      <c r="GF42" s="1943"/>
      <c r="GG42" s="1943"/>
      <c r="GH42" s="1943"/>
      <c r="GI42" s="1943"/>
      <c r="GJ42" s="1943"/>
      <c r="GK42" s="1943"/>
      <c r="GL42" s="1943"/>
      <c r="GM42" s="1943"/>
      <c r="GN42" s="1943"/>
      <c r="GO42" s="1943"/>
      <c r="GP42" s="1943"/>
      <c r="GQ42" s="1943"/>
      <c r="GR42" s="1943"/>
      <c r="GS42" s="1943"/>
      <c r="GT42" s="1943"/>
      <c r="GU42" s="1943"/>
      <c r="GV42" s="1943"/>
      <c r="GW42" s="1943"/>
      <c r="GX42" s="1943"/>
      <c r="GY42" s="1943"/>
      <c r="GZ42" s="1943"/>
      <c r="HA42" s="1943" t="s">
        <v>454</v>
      </c>
      <c r="HB42" s="1943"/>
      <c r="HC42" s="1943"/>
      <c r="HD42" s="1943"/>
      <c r="HE42" s="1943"/>
      <c r="HF42" s="1943"/>
      <c r="HG42" s="1943"/>
      <c r="HH42" s="1943"/>
      <c r="HI42" s="1943"/>
      <c r="HJ42" s="1943"/>
      <c r="HK42" s="1943"/>
      <c r="HL42" s="1943"/>
      <c r="HM42" s="1943"/>
      <c r="HN42" s="1943"/>
      <c r="HO42" s="1943"/>
      <c r="HP42" s="1943"/>
      <c r="HQ42" s="1943"/>
      <c r="HR42" s="1943"/>
      <c r="HS42" s="1943"/>
      <c r="HT42" s="1943" t="s">
        <v>455</v>
      </c>
      <c r="HU42" s="1943"/>
      <c r="HV42" s="1943"/>
      <c r="HW42" s="1943"/>
      <c r="HX42" s="1943"/>
      <c r="HY42" s="1943"/>
      <c r="HZ42" s="1943"/>
      <c r="IA42" s="1943"/>
      <c r="IB42" s="1943"/>
      <c r="IC42" s="1943"/>
      <c r="ID42" s="1943"/>
      <c r="IE42" s="1943"/>
      <c r="IF42" s="1943"/>
      <c r="IG42" s="1943"/>
      <c r="IH42" s="1943"/>
      <c r="II42" s="1943"/>
      <c r="IJ42" s="1943"/>
      <c r="IK42" s="1943"/>
      <c r="IL42" s="1943"/>
      <c r="IM42" s="1943"/>
      <c r="IN42" s="1943"/>
      <c r="IO42" s="1943"/>
      <c r="IP42" s="1943"/>
      <c r="IQ42" s="1943"/>
      <c r="IR42" s="1943"/>
      <c r="IS42" s="1943"/>
      <c r="IT42" s="1943"/>
      <c r="IU42" s="1943"/>
      <c r="IV42" s="222"/>
    </row>
    <row r="43" spans="1:256" ht="18.75" customHeight="1">
      <c r="A43" s="2050"/>
      <c r="B43" s="2050"/>
      <c r="C43" s="2050"/>
      <c r="D43" s="2050"/>
      <c r="E43" s="2050"/>
      <c r="F43" s="2050"/>
      <c r="G43" s="2050"/>
      <c r="H43" s="2050"/>
      <c r="I43" s="2050"/>
      <c r="J43" s="2050"/>
      <c r="K43" s="2050"/>
      <c r="L43" s="2050"/>
      <c r="M43" s="2050"/>
      <c r="N43" s="2050"/>
      <c r="O43" s="2050"/>
      <c r="P43" s="2050"/>
      <c r="Q43" s="2090" t="str">
        <f>P3</f>
        <v>７年度</v>
      </c>
      <c r="R43" s="2090"/>
      <c r="S43" s="2090"/>
      <c r="T43" s="2090"/>
      <c r="U43" s="2090"/>
      <c r="V43" s="2090" t="str">
        <f>S3</f>
        <v>６年度</v>
      </c>
      <c r="W43" s="2090"/>
      <c r="X43" s="2090"/>
      <c r="Y43" s="2090"/>
      <c r="Z43" s="2090"/>
      <c r="AA43" s="2091" t="s">
        <v>502</v>
      </c>
      <c r="AB43" s="2091"/>
      <c r="AC43" s="2091"/>
      <c r="AD43" s="2091"/>
      <c r="AE43" s="2091"/>
      <c r="AF43" s="2090" t="str">
        <f>P3</f>
        <v>７年度</v>
      </c>
      <c r="AG43" s="2090"/>
      <c r="AH43" s="2090"/>
      <c r="AI43" s="2090"/>
      <c r="AJ43" s="2090"/>
      <c r="AK43" s="2090" t="str">
        <f>S3</f>
        <v>６年度</v>
      </c>
      <c r="AL43" s="2090"/>
      <c r="AM43" s="2090"/>
      <c r="AN43" s="2090"/>
      <c r="AO43" s="2090"/>
      <c r="AP43" s="2091" t="s">
        <v>502</v>
      </c>
      <c r="AQ43" s="2091"/>
      <c r="AR43" s="2091"/>
      <c r="AS43" s="2091"/>
      <c r="AT43" s="2091"/>
      <c r="AU43" s="2090" t="str">
        <f>P3</f>
        <v>７年度</v>
      </c>
      <c r="AV43" s="2090"/>
      <c r="AW43" s="2090"/>
      <c r="AX43" s="2090"/>
      <c r="AY43" s="2090"/>
      <c r="AZ43" s="2090" t="str">
        <f>S3</f>
        <v>６年度</v>
      </c>
      <c r="BA43" s="2090"/>
      <c r="BB43" s="2090"/>
      <c r="BC43" s="2090"/>
      <c r="BD43" s="2090"/>
      <c r="BE43" s="2091" t="s">
        <v>502</v>
      </c>
      <c r="BF43" s="2091"/>
      <c r="BG43" s="2091"/>
      <c r="BH43" s="2091"/>
      <c r="BI43" s="2091"/>
      <c r="BM43" s="1973"/>
      <c r="BN43" s="1973"/>
      <c r="BO43" s="167"/>
      <c r="BP43" s="167"/>
      <c r="BQ43" s="218"/>
      <c r="BR43" s="190"/>
      <c r="BS43" s="191"/>
      <c r="BT43" s="1932" t="s">
        <v>100</v>
      </c>
      <c r="BU43" s="1932"/>
      <c r="BV43" s="1932"/>
      <c r="BW43" s="1932"/>
      <c r="BX43" s="1932"/>
      <c r="BY43" s="1932"/>
      <c r="BZ43" s="1932"/>
      <c r="CA43" s="1932"/>
      <c r="CB43" s="1932"/>
      <c r="CC43" s="1932"/>
      <c r="CD43" s="1932"/>
      <c r="CE43" s="1932"/>
      <c r="CF43" s="1932"/>
      <c r="CG43" s="1932"/>
      <c r="CH43" s="1932"/>
      <c r="CI43" s="1932"/>
      <c r="CJ43" s="1932"/>
      <c r="CK43" s="1932"/>
      <c r="CL43" s="1932"/>
      <c r="CM43" s="1932"/>
      <c r="CN43" s="1932"/>
      <c r="CO43" s="1932"/>
      <c r="CP43" s="1932"/>
      <c r="CQ43" s="1932"/>
      <c r="CR43" s="1932"/>
      <c r="CS43" s="1932"/>
      <c r="CT43" s="1932"/>
      <c r="CU43" s="1932"/>
      <c r="CV43" s="1932"/>
      <c r="CW43" s="1932"/>
      <c r="CX43" s="1932"/>
      <c r="CY43" s="1932"/>
      <c r="CZ43" s="1932"/>
      <c r="DA43" s="1932"/>
      <c r="DB43" s="1932"/>
      <c r="DC43" s="1932"/>
      <c r="DD43" s="1932"/>
      <c r="DE43" s="1932"/>
      <c r="DF43" s="1932"/>
      <c r="DG43" s="1932"/>
      <c r="DH43" s="1932"/>
      <c r="DI43" s="1932"/>
      <c r="DJ43" s="191"/>
      <c r="DK43" s="214"/>
      <c r="DL43" s="2055">
        <f>'報告_短期P7-10'!AZ136</f>
        <v>1576</v>
      </c>
      <c r="DM43" s="2055"/>
      <c r="DN43" s="2055"/>
      <c r="DO43" s="2055"/>
      <c r="DP43" s="2055"/>
      <c r="DQ43" s="2055"/>
      <c r="DR43" s="2055"/>
      <c r="DS43" s="2055"/>
      <c r="DT43" s="2055"/>
      <c r="DU43" s="2055"/>
      <c r="DV43" s="2055"/>
      <c r="DW43" s="2055"/>
      <c r="DX43" s="2055"/>
      <c r="DY43" s="2055"/>
      <c r="DZ43" s="2055"/>
      <c r="EA43" s="2055"/>
      <c r="EB43" s="2055"/>
      <c r="EC43" s="2055"/>
      <c r="ED43" s="2055"/>
      <c r="EE43" s="2055"/>
      <c r="EF43" s="2055"/>
      <c r="EG43" s="2055"/>
      <c r="EH43" s="2055"/>
      <c r="EI43" s="2055">
        <f>'報告_短期P7-10'!BW136</f>
        <v>11459</v>
      </c>
      <c r="EJ43" s="2055"/>
      <c r="EK43" s="2055"/>
      <c r="EL43" s="2055"/>
      <c r="EM43" s="2055"/>
      <c r="EN43" s="2055"/>
      <c r="EO43" s="2055"/>
      <c r="EP43" s="2055"/>
      <c r="EQ43" s="2055"/>
      <c r="ER43" s="2055"/>
      <c r="ES43" s="2055"/>
      <c r="ET43" s="2055"/>
      <c r="EU43" s="2055"/>
      <c r="EV43" s="2055"/>
      <c r="EW43" s="2055"/>
      <c r="EX43" s="2055"/>
      <c r="EY43" s="2055"/>
      <c r="EZ43" s="2055"/>
      <c r="FA43" s="2055"/>
      <c r="FB43" s="2055">
        <f>'報告_短期P7-10'!CP136</f>
        <v>574813579</v>
      </c>
      <c r="FC43" s="2055"/>
      <c r="FD43" s="2055"/>
      <c r="FE43" s="2055"/>
      <c r="FF43" s="2055"/>
      <c r="FG43" s="2055"/>
      <c r="FH43" s="2055"/>
      <c r="FI43" s="2055"/>
      <c r="FJ43" s="2055"/>
      <c r="FK43" s="2055"/>
      <c r="FL43" s="2055"/>
      <c r="FM43" s="2055"/>
      <c r="FN43" s="2055"/>
      <c r="FO43" s="2055"/>
      <c r="FP43" s="2055"/>
      <c r="FQ43" s="2055"/>
      <c r="FR43" s="2055"/>
      <c r="FS43" s="2055"/>
      <c r="FT43" s="2055"/>
      <c r="FU43" s="2055"/>
      <c r="FV43" s="2055"/>
      <c r="FW43" s="2055"/>
      <c r="FX43" s="2055"/>
      <c r="FY43" s="2055"/>
      <c r="FZ43" s="2055"/>
      <c r="GA43" s="2055"/>
      <c r="GB43" s="2055"/>
      <c r="GC43" s="2055"/>
      <c r="GD43" s="2055">
        <f t="shared" ref="GD43:GD63" si="2">GD4</f>
        <v>1511</v>
      </c>
      <c r="GE43" s="2055"/>
      <c r="GF43" s="2055"/>
      <c r="GG43" s="2055"/>
      <c r="GH43" s="2055"/>
      <c r="GI43" s="2055"/>
      <c r="GJ43" s="2055"/>
      <c r="GK43" s="2055"/>
      <c r="GL43" s="2055"/>
      <c r="GM43" s="2055"/>
      <c r="GN43" s="2055"/>
      <c r="GO43" s="2055"/>
      <c r="GP43" s="2055"/>
      <c r="GQ43" s="2055"/>
      <c r="GR43" s="2055"/>
      <c r="GS43" s="2055"/>
      <c r="GT43" s="2055"/>
      <c r="GU43" s="2055"/>
      <c r="GV43" s="2055"/>
      <c r="GW43" s="2055"/>
      <c r="GX43" s="2055"/>
      <c r="GY43" s="2055"/>
      <c r="GZ43" s="2055"/>
      <c r="HA43" s="2055">
        <f t="shared" ref="HA43:HA63" si="3">HA4</f>
        <v>11184</v>
      </c>
      <c r="HB43" s="2055"/>
      <c r="HC43" s="2055"/>
      <c r="HD43" s="2055"/>
      <c r="HE43" s="2055"/>
      <c r="HF43" s="2055"/>
      <c r="HG43" s="2055"/>
      <c r="HH43" s="2055"/>
      <c r="HI43" s="2055"/>
      <c r="HJ43" s="2055"/>
      <c r="HK43" s="2055"/>
      <c r="HL43" s="2055"/>
      <c r="HM43" s="2055"/>
      <c r="HN43" s="2055"/>
      <c r="HO43" s="2055"/>
      <c r="HP43" s="2055"/>
      <c r="HQ43" s="2055"/>
      <c r="HR43" s="2055"/>
      <c r="HS43" s="2055"/>
      <c r="HT43" s="2055">
        <f t="shared" ref="HT43:HT63" si="4">HT4</f>
        <v>574576335</v>
      </c>
      <c r="HU43" s="2055"/>
      <c r="HV43" s="2055"/>
      <c r="HW43" s="2055"/>
      <c r="HX43" s="2055"/>
      <c r="HY43" s="2055"/>
      <c r="HZ43" s="2055"/>
      <c r="IA43" s="2055"/>
      <c r="IB43" s="2055"/>
      <c r="IC43" s="2055"/>
      <c r="ID43" s="2055"/>
      <c r="IE43" s="2055"/>
      <c r="IF43" s="2055"/>
      <c r="IG43" s="2055"/>
      <c r="IH43" s="2055"/>
      <c r="II43" s="2055"/>
      <c r="IJ43" s="2055"/>
      <c r="IK43" s="2055"/>
      <c r="IL43" s="2055"/>
      <c r="IM43" s="2055"/>
      <c r="IN43" s="2055"/>
      <c r="IO43" s="2055"/>
      <c r="IP43" s="2055"/>
      <c r="IQ43" s="2055"/>
      <c r="IR43" s="2055"/>
      <c r="IS43" s="2055"/>
      <c r="IT43" s="2055"/>
      <c r="IU43" s="2055"/>
      <c r="IV43" s="222"/>
    </row>
    <row r="44" spans="1:256" ht="20.25" customHeight="1">
      <c r="A44" s="2035" t="s">
        <v>472</v>
      </c>
      <c r="B44" s="2035"/>
      <c r="C44" s="234"/>
      <c r="D44" s="2088" t="s">
        <v>100</v>
      </c>
      <c r="E44" s="2088"/>
      <c r="F44" s="2088"/>
      <c r="G44" s="2088"/>
      <c r="H44" s="2088"/>
      <c r="I44" s="2088"/>
      <c r="J44" s="2088"/>
      <c r="K44" s="2088"/>
      <c r="L44" s="2088"/>
      <c r="M44" s="2088"/>
      <c r="N44" s="2088"/>
      <c r="O44" s="2088"/>
      <c r="P44" s="235"/>
      <c r="Q44" s="2089">
        <f>ROUND(DL43/L80,2)</f>
        <v>0.08</v>
      </c>
      <c r="R44" s="2089"/>
      <c r="S44" s="2089"/>
      <c r="T44" s="2089"/>
      <c r="U44" s="2089"/>
      <c r="V44" s="2089">
        <f>ROUND(GD43/DE65,2)</f>
        <v>0.08</v>
      </c>
      <c r="W44" s="2089"/>
      <c r="X44" s="2089"/>
      <c r="Y44" s="2089"/>
      <c r="Z44" s="2089"/>
      <c r="AA44" s="2068">
        <f>ROUNDDOWN(Q44/V44*100,2)</f>
        <v>100</v>
      </c>
      <c r="AB44" s="2068"/>
      <c r="AC44" s="2068"/>
      <c r="AD44" s="2068"/>
      <c r="AE44" s="2068"/>
      <c r="AF44" s="2060">
        <f>ROUND(EI43/DE66,2)</f>
        <v>0.6</v>
      </c>
      <c r="AG44" s="2060"/>
      <c r="AH44" s="2060"/>
      <c r="AI44" s="2060"/>
      <c r="AJ44" s="2060"/>
      <c r="AK44" s="2060">
        <f>ROUND(HA43/DE65,2)</f>
        <v>0.59</v>
      </c>
      <c r="AL44" s="2060"/>
      <c r="AM44" s="2060"/>
      <c r="AN44" s="2060"/>
      <c r="AO44" s="2060"/>
      <c r="AP44" s="2060">
        <f>ROUNDDOWN((AF44/AK44)*100,2)</f>
        <v>101.69</v>
      </c>
      <c r="AQ44" s="2060"/>
      <c r="AR44" s="2060"/>
      <c r="AS44" s="2060"/>
      <c r="AT44" s="2060"/>
      <c r="AU44" s="2070">
        <f>ROUND(FB43/DE66,0)</f>
        <v>30158</v>
      </c>
      <c r="AV44" s="2070"/>
      <c r="AW44" s="2070"/>
      <c r="AX44" s="2070"/>
      <c r="AY44" s="2070"/>
      <c r="AZ44" s="2070">
        <f>ROUND(HT43/DE65,0)</f>
        <v>30370</v>
      </c>
      <c r="BA44" s="2070"/>
      <c r="BB44" s="2070"/>
      <c r="BC44" s="2070"/>
      <c r="BD44" s="2070"/>
      <c r="BE44" s="2060">
        <f t="shared" ref="BE44:BE49" si="5">ROUNDDOWN((AU44/AZ44)*100,2)</f>
        <v>99.3</v>
      </c>
      <c r="BF44" s="2060"/>
      <c r="BG44" s="2060"/>
      <c r="BH44" s="2060"/>
      <c r="BI44" s="2060"/>
      <c r="BM44" s="1962" t="s">
        <v>456</v>
      </c>
      <c r="BN44" s="1962"/>
      <c r="BO44" s="1962"/>
      <c r="BP44" s="1962"/>
      <c r="BQ44" s="1962"/>
      <c r="BR44" s="188"/>
      <c r="BS44" s="189"/>
      <c r="BT44" s="1932" t="s">
        <v>101</v>
      </c>
      <c r="BU44" s="1932"/>
      <c r="BV44" s="1932"/>
      <c r="BW44" s="1932"/>
      <c r="BX44" s="1932"/>
      <c r="BY44" s="1932"/>
      <c r="BZ44" s="1932"/>
      <c r="CA44" s="1932"/>
      <c r="CB44" s="1932"/>
      <c r="CC44" s="1932"/>
      <c r="CD44" s="1932"/>
      <c r="CE44" s="1932"/>
      <c r="CF44" s="1932"/>
      <c r="CG44" s="1932"/>
      <c r="CH44" s="1932"/>
      <c r="CI44" s="1932"/>
      <c r="CJ44" s="1932"/>
      <c r="CK44" s="1932"/>
      <c r="CL44" s="1932"/>
      <c r="CM44" s="1932"/>
      <c r="CN44" s="1932"/>
      <c r="CO44" s="1932"/>
      <c r="CP44" s="1932"/>
      <c r="CQ44" s="1932"/>
      <c r="CR44" s="1932"/>
      <c r="CS44" s="1932"/>
      <c r="CT44" s="1932"/>
      <c r="CU44" s="1932"/>
      <c r="CV44" s="1932"/>
      <c r="CW44" s="1932"/>
      <c r="CX44" s="1932"/>
      <c r="CY44" s="1932"/>
      <c r="CZ44" s="1932"/>
      <c r="DA44" s="1932"/>
      <c r="DB44" s="1932"/>
      <c r="DC44" s="1932"/>
      <c r="DD44" s="1932"/>
      <c r="DE44" s="1932"/>
      <c r="DF44" s="1932"/>
      <c r="DG44" s="1932"/>
      <c r="DH44" s="1932"/>
      <c r="DI44" s="1932"/>
      <c r="DJ44" s="189"/>
      <c r="DK44" s="197"/>
      <c r="DL44" s="2055">
        <f>'報告_短期P7-10'!AZ137</f>
        <v>153520</v>
      </c>
      <c r="DM44" s="2055"/>
      <c r="DN44" s="2055"/>
      <c r="DO44" s="2055"/>
      <c r="DP44" s="2055"/>
      <c r="DQ44" s="2055"/>
      <c r="DR44" s="2055"/>
      <c r="DS44" s="2055"/>
      <c r="DT44" s="2055"/>
      <c r="DU44" s="2055"/>
      <c r="DV44" s="2055"/>
      <c r="DW44" s="2055"/>
      <c r="DX44" s="2055"/>
      <c r="DY44" s="2055"/>
      <c r="DZ44" s="2055"/>
      <c r="EA44" s="2055"/>
      <c r="EB44" s="2055"/>
      <c r="EC44" s="2055"/>
      <c r="ED44" s="2055"/>
      <c r="EE44" s="2055"/>
      <c r="EF44" s="2055"/>
      <c r="EG44" s="2055"/>
      <c r="EH44" s="2055"/>
      <c r="EI44" s="2055">
        <f>'報告_短期P7-10'!BW137</f>
        <v>208152</v>
      </c>
      <c r="EJ44" s="2055"/>
      <c r="EK44" s="2055"/>
      <c r="EL44" s="2055"/>
      <c r="EM44" s="2055"/>
      <c r="EN44" s="2055"/>
      <c r="EO44" s="2055"/>
      <c r="EP44" s="2055"/>
      <c r="EQ44" s="2055"/>
      <c r="ER44" s="2055"/>
      <c r="ES44" s="2055"/>
      <c r="ET44" s="2055"/>
      <c r="EU44" s="2055"/>
      <c r="EV44" s="2055"/>
      <c r="EW44" s="2055"/>
      <c r="EX44" s="2055"/>
      <c r="EY44" s="2055"/>
      <c r="EZ44" s="2055"/>
      <c r="FA44" s="2055"/>
      <c r="FB44" s="2055">
        <f>'報告_短期P7-10'!CP137</f>
        <v>1316199270</v>
      </c>
      <c r="FC44" s="2055"/>
      <c r="FD44" s="2055"/>
      <c r="FE44" s="2055"/>
      <c r="FF44" s="2055"/>
      <c r="FG44" s="2055"/>
      <c r="FH44" s="2055"/>
      <c r="FI44" s="2055"/>
      <c r="FJ44" s="2055"/>
      <c r="FK44" s="2055"/>
      <c r="FL44" s="2055"/>
      <c r="FM44" s="2055"/>
      <c r="FN44" s="2055"/>
      <c r="FO44" s="2055"/>
      <c r="FP44" s="2055"/>
      <c r="FQ44" s="2055"/>
      <c r="FR44" s="2055"/>
      <c r="FS44" s="2055"/>
      <c r="FT44" s="2055"/>
      <c r="FU44" s="2055"/>
      <c r="FV44" s="2055"/>
      <c r="FW44" s="2055"/>
      <c r="FX44" s="2055"/>
      <c r="FY44" s="2055"/>
      <c r="FZ44" s="2055"/>
      <c r="GA44" s="2055"/>
      <c r="GB44" s="2055"/>
      <c r="GC44" s="2055"/>
      <c r="GD44" s="2055">
        <f t="shared" si="2"/>
        <v>152883</v>
      </c>
      <c r="GE44" s="2055"/>
      <c r="GF44" s="2055"/>
      <c r="GG44" s="2055"/>
      <c r="GH44" s="2055"/>
      <c r="GI44" s="2055"/>
      <c r="GJ44" s="2055"/>
      <c r="GK44" s="2055"/>
      <c r="GL44" s="2055"/>
      <c r="GM44" s="2055"/>
      <c r="GN44" s="2055"/>
      <c r="GO44" s="2055"/>
      <c r="GP44" s="2055"/>
      <c r="GQ44" s="2055"/>
      <c r="GR44" s="2055"/>
      <c r="GS44" s="2055"/>
      <c r="GT44" s="2055"/>
      <c r="GU44" s="2055"/>
      <c r="GV44" s="2055"/>
      <c r="GW44" s="2055"/>
      <c r="GX44" s="2055"/>
      <c r="GY44" s="2055"/>
      <c r="GZ44" s="2055"/>
      <c r="HA44" s="2055">
        <f t="shared" si="3"/>
        <v>207756</v>
      </c>
      <c r="HB44" s="2055"/>
      <c r="HC44" s="2055"/>
      <c r="HD44" s="2055"/>
      <c r="HE44" s="2055"/>
      <c r="HF44" s="2055"/>
      <c r="HG44" s="2055"/>
      <c r="HH44" s="2055"/>
      <c r="HI44" s="2055"/>
      <c r="HJ44" s="2055"/>
      <c r="HK44" s="2055"/>
      <c r="HL44" s="2055"/>
      <c r="HM44" s="2055"/>
      <c r="HN44" s="2055"/>
      <c r="HO44" s="2055"/>
      <c r="HP44" s="2055"/>
      <c r="HQ44" s="2055"/>
      <c r="HR44" s="2055"/>
      <c r="HS44" s="2055"/>
      <c r="HT44" s="2055">
        <f t="shared" si="4"/>
        <v>1271252147</v>
      </c>
      <c r="HU44" s="2055"/>
      <c r="HV44" s="2055"/>
      <c r="HW44" s="2055"/>
      <c r="HX44" s="2055"/>
      <c r="HY44" s="2055"/>
      <c r="HZ44" s="2055"/>
      <c r="IA44" s="2055"/>
      <c r="IB44" s="2055"/>
      <c r="IC44" s="2055"/>
      <c r="ID44" s="2055"/>
      <c r="IE44" s="2055"/>
      <c r="IF44" s="2055"/>
      <c r="IG44" s="2055"/>
      <c r="IH44" s="2055"/>
      <c r="II44" s="2055"/>
      <c r="IJ44" s="2055"/>
      <c r="IK44" s="2055"/>
      <c r="IL44" s="2055"/>
      <c r="IM44" s="2055"/>
      <c r="IN44" s="2055"/>
      <c r="IO44" s="2055"/>
      <c r="IP44" s="2055"/>
      <c r="IQ44" s="2055"/>
      <c r="IR44" s="2055"/>
      <c r="IS44" s="2055"/>
      <c r="IT44" s="2055"/>
      <c r="IU44" s="2055"/>
      <c r="IV44" s="222"/>
    </row>
    <row r="45" spans="1:256" ht="20.25" customHeight="1">
      <c r="A45" s="2035"/>
      <c r="B45" s="2035"/>
      <c r="C45" s="236"/>
      <c r="D45" s="2030" t="s">
        <v>101</v>
      </c>
      <c r="E45" s="2030"/>
      <c r="F45" s="2030"/>
      <c r="G45" s="2030"/>
      <c r="H45" s="2030"/>
      <c r="I45" s="2030"/>
      <c r="J45" s="2030"/>
      <c r="K45" s="2030"/>
      <c r="L45" s="2030"/>
      <c r="M45" s="2030"/>
      <c r="N45" s="2030"/>
      <c r="O45" s="2030"/>
      <c r="P45" s="237"/>
      <c r="Q45" s="2060">
        <f>ROUND(DL44/L80,2)</f>
        <v>8.0500000000000007</v>
      </c>
      <c r="R45" s="2060"/>
      <c r="S45" s="2060"/>
      <c r="T45" s="2060"/>
      <c r="U45" s="2060"/>
      <c r="V45" s="2060">
        <f>ROUND(GD44/DE65,2)</f>
        <v>8.08</v>
      </c>
      <c r="W45" s="2060"/>
      <c r="X45" s="2060"/>
      <c r="Y45" s="2060"/>
      <c r="Z45" s="2060"/>
      <c r="AA45" s="2068">
        <f>ROUNDDOWN(Q45/V45*100,2)</f>
        <v>99.62</v>
      </c>
      <c r="AB45" s="2068"/>
      <c r="AC45" s="2068"/>
      <c r="AD45" s="2068"/>
      <c r="AE45" s="2068"/>
      <c r="AF45" s="2060">
        <f>ROUND(EI44/DE66,2)</f>
        <v>10.92</v>
      </c>
      <c r="AG45" s="2060"/>
      <c r="AH45" s="2060"/>
      <c r="AI45" s="2060"/>
      <c r="AJ45" s="2060"/>
      <c r="AK45" s="2060">
        <f>ROUND(HA44/DE65,2)</f>
        <v>10.98</v>
      </c>
      <c r="AL45" s="2060"/>
      <c r="AM45" s="2060"/>
      <c r="AN45" s="2060"/>
      <c r="AO45" s="2060"/>
      <c r="AP45" s="2060">
        <f>ROUNDDOWN((AF45/AK45)*100,2)</f>
        <v>99.45</v>
      </c>
      <c r="AQ45" s="2060"/>
      <c r="AR45" s="2060"/>
      <c r="AS45" s="2060"/>
      <c r="AT45" s="2060"/>
      <c r="AU45" s="2070">
        <f>ROUND(FB44/DE66,0)</f>
        <v>69056</v>
      </c>
      <c r="AV45" s="2070"/>
      <c r="AW45" s="2070"/>
      <c r="AX45" s="2070"/>
      <c r="AY45" s="2070"/>
      <c r="AZ45" s="2070">
        <f>ROUND(HT44/DE65,0)</f>
        <v>67194</v>
      </c>
      <c r="BA45" s="2070"/>
      <c r="BB45" s="2070"/>
      <c r="BC45" s="2070"/>
      <c r="BD45" s="2070"/>
      <c r="BE45" s="2060">
        <f t="shared" si="5"/>
        <v>102.77</v>
      </c>
      <c r="BF45" s="2060"/>
      <c r="BG45" s="2060"/>
      <c r="BH45" s="2060"/>
      <c r="BI45" s="2060"/>
      <c r="BM45" s="1958"/>
      <c r="BN45" s="1958"/>
      <c r="BO45" s="167"/>
      <c r="BP45" s="167"/>
      <c r="BQ45" s="218"/>
      <c r="BR45" s="188"/>
      <c r="BS45" s="189"/>
      <c r="BT45" s="1932" t="s">
        <v>102</v>
      </c>
      <c r="BU45" s="1932"/>
      <c r="BV45" s="1932"/>
      <c r="BW45" s="1932"/>
      <c r="BX45" s="1932"/>
      <c r="BY45" s="1932"/>
      <c r="BZ45" s="1932"/>
      <c r="CA45" s="1932"/>
      <c r="CB45" s="1932"/>
      <c r="CC45" s="1932"/>
      <c r="CD45" s="1932"/>
      <c r="CE45" s="1932"/>
      <c r="CF45" s="1932"/>
      <c r="CG45" s="1932"/>
      <c r="CH45" s="1932"/>
      <c r="CI45" s="1932"/>
      <c r="CJ45" s="1932"/>
      <c r="CK45" s="1932"/>
      <c r="CL45" s="1932"/>
      <c r="CM45" s="1932"/>
      <c r="CN45" s="1932"/>
      <c r="CO45" s="1932"/>
      <c r="CP45" s="1932"/>
      <c r="CQ45" s="1932"/>
      <c r="CR45" s="1932"/>
      <c r="CS45" s="1932"/>
      <c r="CT45" s="1932"/>
      <c r="CU45" s="1932"/>
      <c r="CV45" s="1932"/>
      <c r="CW45" s="1932"/>
      <c r="CX45" s="1932"/>
      <c r="CY45" s="1932"/>
      <c r="CZ45" s="1932"/>
      <c r="DA45" s="1932"/>
      <c r="DB45" s="1932"/>
      <c r="DC45" s="1932"/>
      <c r="DD45" s="1932"/>
      <c r="DE45" s="1932"/>
      <c r="DF45" s="1932"/>
      <c r="DG45" s="1932"/>
      <c r="DH45" s="1932"/>
      <c r="DI45" s="1932"/>
      <c r="DJ45" s="189"/>
      <c r="DK45" s="197"/>
      <c r="DL45" s="2055">
        <f>'報告_短期P7-10'!AZ138</f>
        <v>42061</v>
      </c>
      <c r="DM45" s="2055"/>
      <c r="DN45" s="2055"/>
      <c r="DO45" s="2055"/>
      <c r="DP45" s="2055"/>
      <c r="DQ45" s="2055"/>
      <c r="DR45" s="2055"/>
      <c r="DS45" s="2055"/>
      <c r="DT45" s="2055"/>
      <c r="DU45" s="2055"/>
      <c r="DV45" s="2055"/>
      <c r="DW45" s="2055"/>
      <c r="DX45" s="2055"/>
      <c r="DY45" s="2055"/>
      <c r="DZ45" s="2055"/>
      <c r="EA45" s="2055"/>
      <c r="EB45" s="2055"/>
      <c r="EC45" s="2055"/>
      <c r="ED45" s="2055"/>
      <c r="EE45" s="2055"/>
      <c r="EF45" s="2055"/>
      <c r="EG45" s="2055"/>
      <c r="EH45" s="2055"/>
      <c r="EI45" s="2055">
        <f>'報告_短期P7-10'!BW138</f>
        <v>59708</v>
      </c>
      <c r="EJ45" s="2055"/>
      <c r="EK45" s="2055"/>
      <c r="EL45" s="2055"/>
      <c r="EM45" s="2055"/>
      <c r="EN45" s="2055"/>
      <c r="EO45" s="2055"/>
      <c r="EP45" s="2055"/>
      <c r="EQ45" s="2055"/>
      <c r="ER45" s="2055"/>
      <c r="ES45" s="2055"/>
      <c r="ET45" s="2055"/>
      <c r="EU45" s="2055"/>
      <c r="EV45" s="2055"/>
      <c r="EW45" s="2055"/>
      <c r="EX45" s="2055"/>
      <c r="EY45" s="2055"/>
      <c r="EZ45" s="2055"/>
      <c r="FA45" s="2055"/>
      <c r="FB45" s="2055">
        <f>'報告_短期P7-10'!CP138</f>
        <v>376468225</v>
      </c>
      <c r="FC45" s="2055"/>
      <c r="FD45" s="2055"/>
      <c r="FE45" s="2055"/>
      <c r="FF45" s="2055"/>
      <c r="FG45" s="2055"/>
      <c r="FH45" s="2055"/>
      <c r="FI45" s="2055"/>
      <c r="FJ45" s="2055"/>
      <c r="FK45" s="2055"/>
      <c r="FL45" s="2055"/>
      <c r="FM45" s="2055"/>
      <c r="FN45" s="2055"/>
      <c r="FO45" s="2055"/>
      <c r="FP45" s="2055"/>
      <c r="FQ45" s="2055"/>
      <c r="FR45" s="2055"/>
      <c r="FS45" s="2055"/>
      <c r="FT45" s="2055"/>
      <c r="FU45" s="2055"/>
      <c r="FV45" s="2055"/>
      <c r="FW45" s="2055"/>
      <c r="FX45" s="2055"/>
      <c r="FY45" s="2055"/>
      <c r="FZ45" s="2055"/>
      <c r="GA45" s="2055"/>
      <c r="GB45" s="2055"/>
      <c r="GC45" s="2055"/>
      <c r="GD45" s="2055">
        <f t="shared" si="2"/>
        <v>40341</v>
      </c>
      <c r="GE45" s="2055"/>
      <c r="GF45" s="2055"/>
      <c r="GG45" s="2055"/>
      <c r="GH45" s="2055"/>
      <c r="GI45" s="2055"/>
      <c r="GJ45" s="2055"/>
      <c r="GK45" s="2055"/>
      <c r="GL45" s="2055"/>
      <c r="GM45" s="2055"/>
      <c r="GN45" s="2055"/>
      <c r="GO45" s="2055"/>
      <c r="GP45" s="2055"/>
      <c r="GQ45" s="2055"/>
      <c r="GR45" s="2055"/>
      <c r="GS45" s="2055"/>
      <c r="GT45" s="2055"/>
      <c r="GU45" s="2055"/>
      <c r="GV45" s="2055"/>
      <c r="GW45" s="2055"/>
      <c r="GX45" s="2055"/>
      <c r="GY45" s="2055"/>
      <c r="GZ45" s="2055"/>
      <c r="HA45" s="2055">
        <f t="shared" si="3"/>
        <v>58484</v>
      </c>
      <c r="HB45" s="2055"/>
      <c r="HC45" s="2055"/>
      <c r="HD45" s="2055"/>
      <c r="HE45" s="2055"/>
      <c r="HF45" s="2055"/>
      <c r="HG45" s="2055"/>
      <c r="HH45" s="2055"/>
      <c r="HI45" s="2055"/>
      <c r="HJ45" s="2055"/>
      <c r="HK45" s="2055"/>
      <c r="HL45" s="2055"/>
      <c r="HM45" s="2055"/>
      <c r="HN45" s="2055"/>
      <c r="HO45" s="2055"/>
      <c r="HP45" s="2055"/>
      <c r="HQ45" s="2055"/>
      <c r="HR45" s="2055"/>
      <c r="HS45" s="2055"/>
      <c r="HT45" s="2055">
        <f t="shared" si="4"/>
        <v>357934088</v>
      </c>
      <c r="HU45" s="2055"/>
      <c r="HV45" s="2055"/>
      <c r="HW45" s="2055"/>
      <c r="HX45" s="2055"/>
      <c r="HY45" s="2055"/>
      <c r="HZ45" s="2055"/>
      <c r="IA45" s="2055"/>
      <c r="IB45" s="2055"/>
      <c r="IC45" s="2055"/>
      <c r="ID45" s="2055"/>
      <c r="IE45" s="2055"/>
      <c r="IF45" s="2055"/>
      <c r="IG45" s="2055"/>
      <c r="IH45" s="2055"/>
      <c r="II45" s="2055"/>
      <c r="IJ45" s="2055"/>
      <c r="IK45" s="2055"/>
      <c r="IL45" s="2055"/>
      <c r="IM45" s="2055"/>
      <c r="IN45" s="2055"/>
      <c r="IO45" s="2055"/>
      <c r="IP45" s="2055"/>
      <c r="IQ45" s="2055"/>
      <c r="IR45" s="2055"/>
      <c r="IS45" s="2055"/>
      <c r="IT45" s="2055"/>
      <c r="IU45" s="2055"/>
      <c r="IV45" s="222"/>
    </row>
    <row r="46" spans="1:256" ht="20.25" customHeight="1">
      <c r="A46" s="2035"/>
      <c r="B46" s="2035"/>
      <c r="C46" s="238"/>
      <c r="D46" s="2073" t="s">
        <v>102</v>
      </c>
      <c r="E46" s="2073"/>
      <c r="F46" s="2073"/>
      <c r="G46" s="2073"/>
      <c r="H46" s="2073"/>
      <c r="I46" s="2073"/>
      <c r="J46" s="2073"/>
      <c r="K46" s="2073"/>
      <c r="L46" s="2073"/>
      <c r="M46" s="2073"/>
      <c r="N46" s="2073"/>
      <c r="O46" s="2073"/>
      <c r="P46" s="239"/>
      <c r="Q46" s="2060">
        <f>ROUND(DL45/L80,2)</f>
        <v>2.21</v>
      </c>
      <c r="R46" s="2060"/>
      <c r="S46" s="2060"/>
      <c r="T46" s="2060"/>
      <c r="U46" s="2060"/>
      <c r="V46" s="2060">
        <f>ROUND(GD45/DE65,2)</f>
        <v>2.13</v>
      </c>
      <c r="W46" s="2060"/>
      <c r="X46" s="2060"/>
      <c r="Y46" s="2060"/>
      <c r="Z46" s="2060"/>
      <c r="AA46" s="2068">
        <f>ROUNDDOWN(Q46/V46*100,2)</f>
        <v>103.75</v>
      </c>
      <c r="AB46" s="2068"/>
      <c r="AC46" s="2068"/>
      <c r="AD46" s="2068"/>
      <c r="AE46" s="2068"/>
      <c r="AF46" s="2060">
        <f>ROUND(EI45/DE66,2)</f>
        <v>3.13</v>
      </c>
      <c r="AG46" s="2060"/>
      <c r="AH46" s="2060"/>
      <c r="AI46" s="2060"/>
      <c r="AJ46" s="2060"/>
      <c r="AK46" s="2060">
        <f>ROUND(HA45/DE65,2)</f>
        <v>3.09</v>
      </c>
      <c r="AL46" s="2060"/>
      <c r="AM46" s="2060"/>
      <c r="AN46" s="2060"/>
      <c r="AO46" s="2060"/>
      <c r="AP46" s="2061">
        <f>ROUNDDOWN((AF46/AK46)*100,2)</f>
        <v>101.29</v>
      </c>
      <c r="AQ46" s="2061"/>
      <c r="AR46" s="2061"/>
      <c r="AS46" s="2061"/>
      <c r="AT46" s="2061"/>
      <c r="AU46" s="2070">
        <f>ROUND(FB45/DE66,0)</f>
        <v>19752</v>
      </c>
      <c r="AV46" s="2070"/>
      <c r="AW46" s="2070"/>
      <c r="AX46" s="2070"/>
      <c r="AY46" s="2070"/>
      <c r="AZ46" s="2070">
        <f>ROUND(HT45/DE65,0)</f>
        <v>18919</v>
      </c>
      <c r="BA46" s="2070"/>
      <c r="BB46" s="2070"/>
      <c r="BC46" s="2070"/>
      <c r="BD46" s="2070"/>
      <c r="BE46" s="2060">
        <f t="shared" si="5"/>
        <v>104.4</v>
      </c>
      <c r="BF46" s="2060"/>
      <c r="BG46" s="2060"/>
      <c r="BH46" s="2060"/>
      <c r="BI46" s="2060"/>
      <c r="BM46" s="1958"/>
      <c r="BN46" s="1958"/>
      <c r="BO46" s="167"/>
      <c r="BP46" s="167"/>
      <c r="BQ46" s="218"/>
      <c r="BR46" s="188"/>
      <c r="BS46" s="189"/>
      <c r="BT46" s="2064" t="s">
        <v>434</v>
      </c>
      <c r="BU46" s="2064"/>
      <c r="BV46" s="2064"/>
      <c r="BW46" s="2064"/>
      <c r="BX46" s="2064"/>
      <c r="BY46" s="2064"/>
      <c r="BZ46" s="2064"/>
      <c r="CA46" s="2064"/>
      <c r="CB46" s="2064"/>
      <c r="CC46" s="2064"/>
      <c r="CD46" s="2064"/>
      <c r="CE46" s="2064"/>
      <c r="CF46" s="2064"/>
      <c r="CG46" s="2064"/>
      <c r="CH46" s="2064"/>
      <c r="CI46" s="2064"/>
      <c r="CJ46" s="2064"/>
      <c r="CK46" s="2064"/>
      <c r="CL46" s="2064"/>
      <c r="CM46" s="2064"/>
      <c r="CN46" s="2064"/>
      <c r="CO46" s="2064"/>
      <c r="CP46" s="2064"/>
      <c r="CQ46" s="2064"/>
      <c r="CR46" s="2064"/>
      <c r="CS46" s="2064"/>
      <c r="CT46" s="2064"/>
      <c r="CU46" s="2064"/>
      <c r="CV46" s="2064"/>
      <c r="CW46" s="2064"/>
      <c r="CX46" s="2064"/>
      <c r="CY46" s="2064"/>
      <c r="CZ46" s="2064"/>
      <c r="DA46" s="2064"/>
      <c r="DB46" s="2064"/>
      <c r="DC46" s="2064"/>
      <c r="DD46" s="2064"/>
      <c r="DE46" s="2064"/>
      <c r="DF46" s="2064"/>
      <c r="DG46" s="2064"/>
      <c r="DH46" s="2064"/>
      <c r="DI46" s="2064"/>
      <c r="DJ46" s="189"/>
      <c r="DK46" s="197"/>
      <c r="DL46" s="2074">
        <f>'報告_短期P7-10'!AZ139</f>
        <v>1312</v>
      </c>
      <c r="DM46" s="2074"/>
      <c r="DN46" s="2074"/>
      <c r="DO46" s="2074"/>
      <c r="DP46" s="2074"/>
      <c r="DQ46" s="2074"/>
      <c r="DR46" s="2074"/>
      <c r="DS46" s="2074"/>
      <c r="DT46" s="2074"/>
      <c r="DU46" s="2074"/>
      <c r="DV46" s="2074"/>
      <c r="DW46" s="2074"/>
      <c r="DX46" s="2074"/>
      <c r="DY46" s="2074"/>
      <c r="DZ46" s="2074"/>
      <c r="EA46" s="2074"/>
      <c r="EB46" s="2074"/>
      <c r="EC46" s="2074"/>
      <c r="ED46" s="2074"/>
      <c r="EE46" s="2074"/>
      <c r="EF46" s="2074"/>
      <c r="EG46" s="2074"/>
      <c r="EH46" s="2074"/>
      <c r="EI46" s="2087">
        <f>'報告_短期P7-10'!BW139</f>
        <v>24331</v>
      </c>
      <c r="EJ46" s="2087"/>
      <c r="EK46" s="2087"/>
      <c r="EL46" s="2087"/>
      <c r="EM46" s="2087"/>
      <c r="EN46" s="2087"/>
      <c r="EO46" s="2087"/>
      <c r="EP46" s="2087"/>
      <c r="EQ46" s="2087"/>
      <c r="ER46" s="2087"/>
      <c r="ES46" s="2087"/>
      <c r="ET46" s="2087"/>
      <c r="EU46" s="2087"/>
      <c r="EV46" s="2087"/>
      <c r="EW46" s="2087"/>
      <c r="EX46" s="2087"/>
      <c r="EY46" s="2087"/>
      <c r="EZ46" s="2087"/>
      <c r="FA46" s="2087"/>
      <c r="FB46" s="2055">
        <f>'報告_短期P7-10'!CP139</f>
        <v>5084491</v>
      </c>
      <c r="FC46" s="2055"/>
      <c r="FD46" s="2055"/>
      <c r="FE46" s="2055"/>
      <c r="FF46" s="2055"/>
      <c r="FG46" s="2055"/>
      <c r="FH46" s="2055"/>
      <c r="FI46" s="2055"/>
      <c r="FJ46" s="2055"/>
      <c r="FK46" s="2055"/>
      <c r="FL46" s="2055"/>
      <c r="FM46" s="2055"/>
      <c r="FN46" s="2055"/>
      <c r="FO46" s="2055"/>
      <c r="FP46" s="2055"/>
      <c r="FQ46" s="2055"/>
      <c r="FR46" s="2055"/>
      <c r="FS46" s="2055"/>
      <c r="FT46" s="2055"/>
      <c r="FU46" s="2055"/>
      <c r="FV46" s="2055"/>
      <c r="FW46" s="2055"/>
      <c r="FX46" s="2055"/>
      <c r="FY46" s="2055"/>
      <c r="FZ46" s="2055"/>
      <c r="GA46" s="2055"/>
      <c r="GB46" s="2055"/>
      <c r="GC46" s="2055"/>
      <c r="GD46" s="2074">
        <f t="shared" si="2"/>
        <v>1274</v>
      </c>
      <c r="GE46" s="2074"/>
      <c r="GF46" s="2074"/>
      <c r="GG46" s="2074"/>
      <c r="GH46" s="2074"/>
      <c r="GI46" s="2074"/>
      <c r="GJ46" s="2074"/>
      <c r="GK46" s="2074"/>
      <c r="GL46" s="2074"/>
      <c r="GM46" s="2074"/>
      <c r="GN46" s="2074"/>
      <c r="GO46" s="2074"/>
      <c r="GP46" s="2074"/>
      <c r="GQ46" s="2074"/>
      <c r="GR46" s="2074"/>
      <c r="GS46" s="2074"/>
      <c r="GT46" s="2074"/>
      <c r="GU46" s="2074"/>
      <c r="GV46" s="2074"/>
      <c r="GW46" s="2074"/>
      <c r="GX46" s="2074"/>
      <c r="GY46" s="2074"/>
      <c r="GZ46" s="2074"/>
      <c r="HA46" s="2087">
        <f t="shared" si="3"/>
        <v>23538</v>
      </c>
      <c r="HB46" s="2087"/>
      <c r="HC46" s="2087"/>
      <c r="HD46" s="2087"/>
      <c r="HE46" s="2087"/>
      <c r="HF46" s="2087"/>
      <c r="HG46" s="2087"/>
      <c r="HH46" s="2087"/>
      <c r="HI46" s="2087"/>
      <c r="HJ46" s="2087"/>
      <c r="HK46" s="2087"/>
      <c r="HL46" s="2087"/>
      <c r="HM46" s="2087"/>
      <c r="HN46" s="2087"/>
      <c r="HO46" s="2087"/>
      <c r="HP46" s="2087"/>
      <c r="HQ46" s="2087"/>
      <c r="HR46" s="2087"/>
      <c r="HS46" s="2087"/>
      <c r="HT46" s="2055">
        <f t="shared" si="4"/>
        <v>4984573</v>
      </c>
      <c r="HU46" s="2055"/>
      <c r="HV46" s="2055"/>
      <c r="HW46" s="2055"/>
      <c r="HX46" s="2055"/>
      <c r="HY46" s="2055"/>
      <c r="HZ46" s="2055"/>
      <c r="IA46" s="2055"/>
      <c r="IB46" s="2055"/>
      <c r="IC46" s="2055"/>
      <c r="ID46" s="2055"/>
      <c r="IE46" s="2055"/>
      <c r="IF46" s="2055"/>
      <c r="IG46" s="2055"/>
      <c r="IH46" s="2055"/>
      <c r="II46" s="2055"/>
      <c r="IJ46" s="2055"/>
      <c r="IK46" s="2055"/>
      <c r="IL46" s="2055"/>
      <c r="IM46" s="2055"/>
      <c r="IN46" s="2055"/>
      <c r="IO46" s="2055"/>
      <c r="IP46" s="2055"/>
      <c r="IQ46" s="2055"/>
      <c r="IR46" s="2055"/>
      <c r="IS46" s="2055"/>
      <c r="IT46" s="2055"/>
      <c r="IU46" s="2055"/>
      <c r="IV46" s="222"/>
    </row>
    <row r="47" spans="1:256" ht="24.75" customHeight="1">
      <c r="A47" s="2035"/>
      <c r="B47" s="2035"/>
      <c r="C47" s="236"/>
      <c r="D47" s="2079" t="s">
        <v>434</v>
      </c>
      <c r="E47" s="2079"/>
      <c r="F47" s="2079"/>
      <c r="G47" s="2079"/>
      <c r="H47" s="2079"/>
      <c r="I47" s="2079"/>
      <c r="J47" s="2079"/>
      <c r="K47" s="2079"/>
      <c r="L47" s="2079"/>
      <c r="M47" s="2079"/>
      <c r="N47" s="2079"/>
      <c r="O47" s="2079"/>
      <c r="P47" s="237"/>
      <c r="Q47" s="2060">
        <f>ROUND(DL46/L80,2)</f>
        <v>7.0000000000000007E-2</v>
      </c>
      <c r="R47" s="2060"/>
      <c r="S47" s="2060"/>
      <c r="T47" s="2060"/>
      <c r="U47" s="2060"/>
      <c r="V47" s="2060">
        <f>ROUND(GD46/DE65,2)</f>
        <v>7.0000000000000007E-2</v>
      </c>
      <c r="W47" s="2060"/>
      <c r="X47" s="2060"/>
      <c r="Y47" s="2060"/>
      <c r="Z47" s="2060"/>
      <c r="AA47" s="2068">
        <f>ROUNDDOWN(Q47/V47*100,2)</f>
        <v>100</v>
      </c>
      <c r="AB47" s="2068"/>
      <c r="AC47" s="2068"/>
      <c r="AD47" s="2068"/>
      <c r="AE47" s="2068"/>
      <c r="AF47" s="2080"/>
      <c r="AG47" s="2080"/>
      <c r="AH47" s="2080"/>
      <c r="AI47" s="2080"/>
      <c r="AJ47" s="2080"/>
      <c r="AK47" s="2080"/>
      <c r="AL47" s="2080"/>
      <c r="AM47" s="2080"/>
      <c r="AN47" s="2080"/>
      <c r="AO47" s="2080"/>
      <c r="AP47" s="2069"/>
      <c r="AQ47" s="2069"/>
      <c r="AR47" s="2069"/>
      <c r="AS47" s="2069"/>
      <c r="AT47" s="2069"/>
      <c r="AU47" s="2070">
        <f>ROUND(FB46/DE66,0)</f>
        <v>267</v>
      </c>
      <c r="AV47" s="2070"/>
      <c r="AW47" s="2070"/>
      <c r="AX47" s="2070"/>
      <c r="AY47" s="2070"/>
      <c r="AZ47" s="2070">
        <f>ROUND(HT46/DE65,0)</f>
        <v>263</v>
      </c>
      <c r="BA47" s="2070"/>
      <c r="BB47" s="2070"/>
      <c r="BC47" s="2070"/>
      <c r="BD47" s="2070"/>
      <c r="BE47" s="2060">
        <f t="shared" si="5"/>
        <v>101.52</v>
      </c>
      <c r="BF47" s="2060"/>
      <c r="BG47" s="2060"/>
      <c r="BH47" s="2060"/>
      <c r="BI47" s="2060"/>
      <c r="BM47" s="1958"/>
      <c r="BN47" s="1958"/>
      <c r="BO47" s="167"/>
      <c r="BP47" s="167"/>
      <c r="BQ47" s="218"/>
      <c r="BR47" s="219"/>
      <c r="BS47" s="211"/>
      <c r="BT47" s="1932" t="s">
        <v>61</v>
      </c>
      <c r="BU47" s="1932"/>
      <c r="BV47" s="1932"/>
      <c r="BW47" s="1932"/>
      <c r="BX47" s="1932"/>
      <c r="BY47" s="1932"/>
      <c r="BZ47" s="1932"/>
      <c r="CA47" s="1932"/>
      <c r="CB47" s="1932"/>
      <c r="CC47" s="1932"/>
      <c r="CD47" s="1932"/>
      <c r="CE47" s="1932"/>
      <c r="CF47" s="1932"/>
      <c r="CG47" s="1932"/>
      <c r="CH47" s="1932"/>
      <c r="CI47" s="1932"/>
      <c r="CJ47" s="1932"/>
      <c r="CK47" s="1932"/>
      <c r="CL47" s="1932"/>
      <c r="CM47" s="1932"/>
      <c r="CN47" s="1932"/>
      <c r="CO47" s="1932"/>
      <c r="CP47" s="1932"/>
      <c r="CQ47" s="1932"/>
      <c r="CR47" s="1932"/>
      <c r="CS47" s="1932"/>
      <c r="CT47" s="1932"/>
      <c r="CU47" s="1932"/>
      <c r="CV47" s="1932"/>
      <c r="CW47" s="1932"/>
      <c r="CX47" s="1932"/>
      <c r="CY47" s="1932"/>
      <c r="CZ47" s="1932"/>
      <c r="DA47" s="1932"/>
      <c r="DB47" s="1932"/>
      <c r="DC47" s="1932"/>
      <c r="DD47" s="1932"/>
      <c r="DE47" s="1932"/>
      <c r="DF47" s="1932"/>
      <c r="DG47" s="1932"/>
      <c r="DH47" s="1932"/>
      <c r="DI47" s="1932"/>
      <c r="DJ47" s="211"/>
      <c r="DK47" s="220"/>
      <c r="DL47" s="2084"/>
      <c r="DM47" s="2084"/>
      <c r="DN47" s="2084"/>
      <c r="DO47" s="2084"/>
      <c r="DP47" s="2084"/>
      <c r="DQ47" s="2084"/>
      <c r="DR47" s="2084"/>
      <c r="DS47" s="2084"/>
      <c r="DT47" s="2084"/>
      <c r="DU47" s="2084"/>
      <c r="DV47" s="2084"/>
      <c r="DW47" s="2084"/>
      <c r="DX47" s="2084"/>
      <c r="DY47" s="2084"/>
      <c r="DZ47" s="2084"/>
      <c r="EA47" s="2084"/>
      <c r="EB47" s="2084"/>
      <c r="EC47" s="2084"/>
      <c r="ED47" s="2084"/>
      <c r="EE47" s="2084"/>
      <c r="EF47" s="2084"/>
      <c r="EG47" s="2084"/>
      <c r="EH47" s="2084"/>
      <c r="EI47" s="2084"/>
      <c r="EJ47" s="2084"/>
      <c r="EK47" s="2084"/>
      <c r="EL47" s="2084"/>
      <c r="EM47" s="2084"/>
      <c r="EN47" s="2084"/>
      <c r="EO47" s="2084"/>
      <c r="EP47" s="2084"/>
      <c r="EQ47" s="2084"/>
      <c r="ER47" s="2084"/>
      <c r="ES47" s="2084"/>
      <c r="ET47" s="2084"/>
      <c r="EU47" s="2084"/>
      <c r="EV47" s="2084"/>
      <c r="EW47" s="2084"/>
      <c r="EX47" s="2084"/>
      <c r="EY47" s="2084"/>
      <c r="EZ47" s="2084"/>
      <c r="FA47" s="2084"/>
      <c r="FB47" s="2085"/>
      <c r="FC47" s="2085"/>
      <c r="FD47" s="2085"/>
      <c r="FE47" s="2085"/>
      <c r="FF47" s="2085"/>
      <c r="FG47" s="2085"/>
      <c r="FH47" s="2085"/>
      <c r="FI47" s="2085"/>
      <c r="FJ47" s="2085"/>
      <c r="FK47" s="2085"/>
      <c r="FL47" s="2085"/>
      <c r="FM47" s="2085"/>
      <c r="FN47" s="2085"/>
      <c r="FO47" s="2085"/>
      <c r="FP47" s="2085"/>
      <c r="FQ47" s="2085"/>
      <c r="FR47" s="2085"/>
      <c r="FS47" s="2085"/>
      <c r="FT47" s="2085"/>
      <c r="FU47" s="2085"/>
      <c r="FV47" s="2085"/>
      <c r="FW47" s="2085"/>
      <c r="FX47" s="2085"/>
      <c r="FY47" s="2085"/>
      <c r="FZ47" s="2085"/>
      <c r="GA47" s="2085"/>
      <c r="GB47" s="2085"/>
      <c r="GC47" s="2085"/>
      <c r="GD47" s="2084">
        <f t="shared" si="2"/>
        <v>0</v>
      </c>
      <c r="GE47" s="2084"/>
      <c r="GF47" s="2084"/>
      <c r="GG47" s="2084"/>
      <c r="GH47" s="2084"/>
      <c r="GI47" s="2084"/>
      <c r="GJ47" s="2084"/>
      <c r="GK47" s="2084"/>
      <c r="GL47" s="2084"/>
      <c r="GM47" s="2084"/>
      <c r="GN47" s="2084"/>
      <c r="GO47" s="2084"/>
      <c r="GP47" s="2084"/>
      <c r="GQ47" s="2084"/>
      <c r="GR47" s="2084"/>
      <c r="GS47" s="2084"/>
      <c r="GT47" s="2084"/>
      <c r="GU47" s="2084"/>
      <c r="GV47" s="2084"/>
      <c r="GW47" s="2084"/>
      <c r="GX47" s="2084"/>
      <c r="GY47" s="2084"/>
      <c r="GZ47" s="2084"/>
      <c r="HA47" s="2084">
        <f t="shared" si="3"/>
        <v>0</v>
      </c>
      <c r="HB47" s="2084"/>
      <c r="HC47" s="2084"/>
      <c r="HD47" s="2084"/>
      <c r="HE47" s="2084"/>
      <c r="HF47" s="2084"/>
      <c r="HG47" s="2084"/>
      <c r="HH47" s="2084"/>
      <c r="HI47" s="2084"/>
      <c r="HJ47" s="2084"/>
      <c r="HK47" s="2084"/>
      <c r="HL47" s="2084"/>
      <c r="HM47" s="2084"/>
      <c r="HN47" s="2084"/>
      <c r="HO47" s="2084"/>
      <c r="HP47" s="2084"/>
      <c r="HQ47" s="2084"/>
      <c r="HR47" s="2084"/>
      <c r="HS47" s="2084"/>
      <c r="HT47" s="2085">
        <f t="shared" si="4"/>
        <v>0</v>
      </c>
      <c r="HU47" s="2085"/>
      <c r="HV47" s="2085"/>
      <c r="HW47" s="2085"/>
      <c r="HX47" s="2085"/>
      <c r="HY47" s="2085"/>
      <c r="HZ47" s="2085"/>
      <c r="IA47" s="2085"/>
      <c r="IB47" s="2085"/>
      <c r="IC47" s="2085"/>
      <c r="ID47" s="2085"/>
      <c r="IE47" s="2085"/>
      <c r="IF47" s="2085"/>
      <c r="IG47" s="2085"/>
      <c r="IH47" s="2085"/>
      <c r="II47" s="2085"/>
      <c r="IJ47" s="2085"/>
      <c r="IK47" s="2085"/>
      <c r="IL47" s="2085"/>
      <c r="IM47" s="2085"/>
      <c r="IN47" s="2085"/>
      <c r="IO47" s="2085"/>
      <c r="IP47" s="2085"/>
      <c r="IQ47" s="2085"/>
      <c r="IR47" s="2085"/>
      <c r="IS47" s="2085"/>
      <c r="IT47" s="2085"/>
      <c r="IU47" s="2085"/>
      <c r="IV47" s="222"/>
    </row>
    <row r="48" spans="1:256" ht="20.25" customHeight="1">
      <c r="A48" s="2035"/>
      <c r="B48" s="2035"/>
      <c r="C48" s="238"/>
      <c r="D48" s="2073" t="s">
        <v>61</v>
      </c>
      <c r="E48" s="2073"/>
      <c r="F48" s="2073"/>
      <c r="G48" s="2073"/>
      <c r="H48" s="2073"/>
      <c r="I48" s="2073"/>
      <c r="J48" s="2073"/>
      <c r="K48" s="2073"/>
      <c r="L48" s="2073"/>
      <c r="M48" s="2073"/>
      <c r="N48" s="2073"/>
      <c r="O48" s="2073"/>
      <c r="P48" s="239"/>
      <c r="Q48" s="2060">
        <f>ROUND(DL48/L80,2)</f>
        <v>5.61</v>
      </c>
      <c r="R48" s="2060"/>
      <c r="S48" s="2060"/>
      <c r="T48" s="2060"/>
      <c r="U48" s="2060"/>
      <c r="V48" s="2060">
        <f>ROUND(GD48/DE65,2)</f>
        <v>5.57</v>
      </c>
      <c r="W48" s="2060"/>
      <c r="X48" s="2060"/>
      <c r="Y48" s="2060"/>
      <c r="Z48" s="2060"/>
      <c r="AA48" s="2068">
        <f>ROUNDDOWN(Q48/V48*100,2)</f>
        <v>100.71</v>
      </c>
      <c r="AB48" s="2068"/>
      <c r="AC48" s="2068"/>
      <c r="AD48" s="2068"/>
      <c r="AE48" s="2068"/>
      <c r="AF48" s="2069"/>
      <c r="AG48" s="2069"/>
      <c r="AH48" s="2069"/>
      <c r="AI48" s="2069"/>
      <c r="AJ48" s="2069"/>
      <c r="AK48" s="2069"/>
      <c r="AL48" s="2069"/>
      <c r="AM48" s="2069"/>
      <c r="AN48" s="2069"/>
      <c r="AO48" s="2069"/>
      <c r="AP48" s="2069"/>
      <c r="AQ48" s="2069"/>
      <c r="AR48" s="2069"/>
      <c r="AS48" s="2069"/>
      <c r="AT48" s="2069"/>
      <c r="AU48" s="2070">
        <f>ROUND(FB48/DE66,0)</f>
        <v>36175</v>
      </c>
      <c r="AV48" s="2070"/>
      <c r="AW48" s="2070"/>
      <c r="AX48" s="2070"/>
      <c r="AY48" s="2070"/>
      <c r="AZ48" s="2070">
        <f>ROUND(HT48/DE65,0)</f>
        <v>33305</v>
      </c>
      <c r="BA48" s="2070"/>
      <c r="BB48" s="2070"/>
      <c r="BC48" s="2070"/>
      <c r="BD48" s="2070"/>
      <c r="BE48" s="2060">
        <f t="shared" si="5"/>
        <v>108.61</v>
      </c>
      <c r="BF48" s="2060"/>
      <c r="BG48" s="2060"/>
      <c r="BH48" s="2060"/>
      <c r="BI48" s="2060"/>
      <c r="BM48" s="1958"/>
      <c r="BN48" s="1958"/>
      <c r="BO48" s="167"/>
      <c r="BP48" s="167"/>
      <c r="BQ48" s="218"/>
      <c r="BR48" s="190"/>
      <c r="BS48" s="191"/>
      <c r="BT48" s="1932"/>
      <c r="BU48" s="1932"/>
      <c r="BV48" s="1932"/>
      <c r="BW48" s="1932"/>
      <c r="BX48" s="1932"/>
      <c r="BY48" s="1932"/>
      <c r="BZ48" s="1932"/>
      <c r="CA48" s="1932"/>
      <c r="CB48" s="1932"/>
      <c r="CC48" s="1932"/>
      <c r="CD48" s="1932"/>
      <c r="CE48" s="1932"/>
      <c r="CF48" s="1932"/>
      <c r="CG48" s="1932"/>
      <c r="CH48" s="1932"/>
      <c r="CI48" s="1932"/>
      <c r="CJ48" s="1932"/>
      <c r="CK48" s="1932"/>
      <c r="CL48" s="1932"/>
      <c r="CM48" s="1932"/>
      <c r="CN48" s="1932"/>
      <c r="CO48" s="1932"/>
      <c r="CP48" s="1932"/>
      <c r="CQ48" s="1932"/>
      <c r="CR48" s="1932"/>
      <c r="CS48" s="1932"/>
      <c r="CT48" s="1932"/>
      <c r="CU48" s="1932"/>
      <c r="CV48" s="1932"/>
      <c r="CW48" s="1932"/>
      <c r="CX48" s="1932"/>
      <c r="CY48" s="1932"/>
      <c r="CZ48" s="1932"/>
      <c r="DA48" s="1932"/>
      <c r="DB48" s="1932"/>
      <c r="DC48" s="1932"/>
      <c r="DD48" s="1932"/>
      <c r="DE48" s="1932"/>
      <c r="DF48" s="1932"/>
      <c r="DG48" s="1932"/>
      <c r="DH48" s="1932"/>
      <c r="DI48" s="1932"/>
      <c r="DJ48" s="191"/>
      <c r="DK48" s="214"/>
      <c r="DL48" s="2086">
        <f>'報告_短期P7-10'!AZ141</f>
        <v>106878</v>
      </c>
      <c r="DM48" s="2086"/>
      <c r="DN48" s="2086"/>
      <c r="DO48" s="2086"/>
      <c r="DP48" s="2086"/>
      <c r="DQ48" s="2086"/>
      <c r="DR48" s="2086"/>
      <c r="DS48" s="2086"/>
      <c r="DT48" s="2086"/>
      <c r="DU48" s="2086"/>
      <c r="DV48" s="2086"/>
      <c r="DW48" s="2086"/>
      <c r="DX48" s="2086"/>
      <c r="DY48" s="2086"/>
      <c r="DZ48" s="2086"/>
      <c r="EA48" s="2086"/>
      <c r="EB48" s="2086"/>
      <c r="EC48" s="2086"/>
      <c r="ED48" s="2086"/>
      <c r="EE48" s="2086"/>
      <c r="EF48" s="2086"/>
      <c r="EG48" s="2086"/>
      <c r="EH48" s="2086"/>
      <c r="EI48" s="2086">
        <f>'報告_短期P7-10'!BW141</f>
        <v>122721</v>
      </c>
      <c r="EJ48" s="2086"/>
      <c r="EK48" s="2086"/>
      <c r="EL48" s="2086"/>
      <c r="EM48" s="2086"/>
      <c r="EN48" s="2086"/>
      <c r="EO48" s="2086"/>
      <c r="EP48" s="2086"/>
      <c r="EQ48" s="2086"/>
      <c r="ER48" s="2086"/>
      <c r="ES48" s="2086"/>
      <c r="ET48" s="2086"/>
      <c r="EU48" s="2086"/>
      <c r="EV48" s="2086"/>
      <c r="EW48" s="2086"/>
      <c r="EX48" s="2086"/>
      <c r="EY48" s="2086"/>
      <c r="EZ48" s="2086"/>
      <c r="FA48" s="2086"/>
      <c r="FB48" s="2077">
        <f>'報告_短期P7-10'!CP141</f>
        <v>689489860</v>
      </c>
      <c r="FC48" s="2077"/>
      <c r="FD48" s="2077"/>
      <c r="FE48" s="2077"/>
      <c r="FF48" s="2077"/>
      <c r="FG48" s="2077"/>
      <c r="FH48" s="2077"/>
      <c r="FI48" s="2077"/>
      <c r="FJ48" s="2077"/>
      <c r="FK48" s="2077"/>
      <c r="FL48" s="2077"/>
      <c r="FM48" s="2077"/>
      <c r="FN48" s="2077"/>
      <c r="FO48" s="2077"/>
      <c r="FP48" s="2077"/>
      <c r="FQ48" s="2077"/>
      <c r="FR48" s="2077"/>
      <c r="FS48" s="2077"/>
      <c r="FT48" s="2077"/>
      <c r="FU48" s="2077"/>
      <c r="FV48" s="2077"/>
      <c r="FW48" s="2077"/>
      <c r="FX48" s="2077"/>
      <c r="FY48" s="2077"/>
      <c r="FZ48" s="2077"/>
      <c r="GA48" s="2077"/>
      <c r="GB48" s="2077"/>
      <c r="GC48" s="2077"/>
      <c r="GD48" s="2086">
        <f t="shared" si="2"/>
        <v>105406</v>
      </c>
      <c r="GE48" s="2086"/>
      <c r="GF48" s="2086"/>
      <c r="GG48" s="2086"/>
      <c r="GH48" s="2086"/>
      <c r="GI48" s="2086"/>
      <c r="GJ48" s="2086"/>
      <c r="GK48" s="2086"/>
      <c r="GL48" s="2086"/>
      <c r="GM48" s="2086"/>
      <c r="GN48" s="2086"/>
      <c r="GO48" s="2086"/>
      <c r="GP48" s="2086"/>
      <c r="GQ48" s="2086"/>
      <c r="GR48" s="2086"/>
      <c r="GS48" s="2086"/>
      <c r="GT48" s="2086"/>
      <c r="GU48" s="2086"/>
      <c r="GV48" s="2086"/>
      <c r="GW48" s="2086"/>
      <c r="GX48" s="2086"/>
      <c r="GY48" s="2086"/>
      <c r="GZ48" s="2086"/>
      <c r="HA48" s="2086">
        <f t="shared" si="3"/>
        <v>121864</v>
      </c>
      <c r="HB48" s="2086"/>
      <c r="HC48" s="2086"/>
      <c r="HD48" s="2086"/>
      <c r="HE48" s="2086"/>
      <c r="HF48" s="2086"/>
      <c r="HG48" s="2086"/>
      <c r="HH48" s="2086"/>
      <c r="HI48" s="2086"/>
      <c r="HJ48" s="2086"/>
      <c r="HK48" s="2086"/>
      <c r="HL48" s="2086"/>
      <c r="HM48" s="2086"/>
      <c r="HN48" s="2086"/>
      <c r="HO48" s="2086"/>
      <c r="HP48" s="2086"/>
      <c r="HQ48" s="2086"/>
      <c r="HR48" s="2086"/>
      <c r="HS48" s="2086"/>
      <c r="HT48" s="2077">
        <f t="shared" si="4"/>
        <v>630097278</v>
      </c>
      <c r="HU48" s="2077"/>
      <c r="HV48" s="2077"/>
      <c r="HW48" s="2077"/>
      <c r="HX48" s="2077"/>
      <c r="HY48" s="2077"/>
      <c r="HZ48" s="2077"/>
      <c r="IA48" s="2077"/>
      <c r="IB48" s="2077"/>
      <c r="IC48" s="2077"/>
      <c r="ID48" s="2077"/>
      <c r="IE48" s="2077"/>
      <c r="IF48" s="2077"/>
      <c r="IG48" s="2077"/>
      <c r="IH48" s="2077"/>
      <c r="II48" s="2077"/>
      <c r="IJ48" s="2077"/>
      <c r="IK48" s="2077"/>
      <c r="IL48" s="2077"/>
      <c r="IM48" s="2077"/>
      <c r="IN48" s="2077"/>
      <c r="IO48" s="2077"/>
      <c r="IP48" s="2077"/>
      <c r="IQ48" s="2077"/>
      <c r="IR48" s="2077"/>
      <c r="IS48" s="2077"/>
      <c r="IT48" s="2077"/>
      <c r="IU48" s="2077"/>
      <c r="IV48" s="222"/>
    </row>
    <row r="49" spans="1:256" ht="20.25" customHeight="1">
      <c r="A49" s="2035"/>
      <c r="B49" s="2035"/>
      <c r="C49" s="236"/>
      <c r="D49" s="2030" t="s">
        <v>53</v>
      </c>
      <c r="E49" s="2030"/>
      <c r="F49" s="2030"/>
      <c r="G49" s="2030"/>
      <c r="H49" s="2030"/>
      <c r="I49" s="2030"/>
      <c r="J49" s="2030"/>
      <c r="K49" s="2030"/>
      <c r="L49" s="2030"/>
      <c r="M49" s="2030"/>
      <c r="N49" s="2030"/>
      <c r="O49" s="2030"/>
      <c r="P49" s="237"/>
      <c r="Q49" s="2061">
        <f>ROUND(DL49/L80,2)</f>
        <v>0.01</v>
      </c>
      <c r="R49" s="2061"/>
      <c r="S49" s="2061"/>
      <c r="T49" s="2061"/>
      <c r="U49" s="2061"/>
      <c r="V49" s="2061">
        <f>ROUND(GD49/DE65,2)</f>
        <v>0.01</v>
      </c>
      <c r="W49" s="2061"/>
      <c r="X49" s="2061"/>
      <c r="Y49" s="2061"/>
      <c r="Z49" s="2061"/>
      <c r="AA49" s="2082">
        <f>IFERROR(ROUNDDOWN(Q49/V49*100,2),0)</f>
        <v>100</v>
      </c>
      <c r="AB49" s="2062"/>
      <c r="AC49" s="2062"/>
      <c r="AD49" s="2062"/>
      <c r="AE49" s="2062"/>
      <c r="AF49" s="2061">
        <f>ROUND(EI49/DE66,2)</f>
        <v>0.06</v>
      </c>
      <c r="AG49" s="2061"/>
      <c r="AH49" s="2061"/>
      <c r="AI49" s="2061"/>
      <c r="AJ49" s="2061"/>
      <c r="AK49" s="2061">
        <f>ROUND(HA49/DE65,2)</f>
        <v>7.0000000000000007E-2</v>
      </c>
      <c r="AL49" s="2061"/>
      <c r="AM49" s="2061"/>
      <c r="AN49" s="2061"/>
      <c r="AO49" s="2061"/>
      <c r="AP49" s="2083">
        <f>IFERROR(ROUNDDOWN((AF49/AK49)*100,2),0)</f>
        <v>85.71</v>
      </c>
      <c r="AQ49" s="2061"/>
      <c r="AR49" s="2061"/>
      <c r="AS49" s="2061"/>
      <c r="AT49" s="2061"/>
      <c r="AU49" s="2063">
        <f>ROUND(FB49/DE66,0)</f>
        <v>530</v>
      </c>
      <c r="AV49" s="2063"/>
      <c r="AW49" s="2063"/>
      <c r="AX49" s="2063"/>
      <c r="AY49" s="2063"/>
      <c r="AZ49" s="2063">
        <f>ROUND(HT49/DE65,0)</f>
        <v>778</v>
      </c>
      <c r="BA49" s="2063"/>
      <c r="BB49" s="2063"/>
      <c r="BC49" s="2063"/>
      <c r="BD49" s="2063"/>
      <c r="BE49" s="2061">
        <f t="shared" si="5"/>
        <v>68.12</v>
      </c>
      <c r="BF49" s="2061"/>
      <c r="BG49" s="2061"/>
      <c r="BH49" s="2061"/>
      <c r="BI49" s="2061"/>
      <c r="BM49" s="1958"/>
      <c r="BN49" s="1958"/>
      <c r="BO49" s="167"/>
      <c r="BP49" s="167"/>
      <c r="BQ49" s="218"/>
      <c r="BR49" s="188"/>
      <c r="BS49" s="189"/>
      <c r="BT49" s="1932" t="s">
        <v>53</v>
      </c>
      <c r="BU49" s="1932"/>
      <c r="BV49" s="1932"/>
      <c r="BW49" s="1932"/>
      <c r="BX49" s="1932"/>
      <c r="BY49" s="1932"/>
      <c r="BZ49" s="1932"/>
      <c r="CA49" s="1932"/>
      <c r="CB49" s="1932"/>
      <c r="CC49" s="1932"/>
      <c r="CD49" s="1932"/>
      <c r="CE49" s="1932"/>
      <c r="CF49" s="1932"/>
      <c r="CG49" s="1932"/>
      <c r="CH49" s="1932"/>
      <c r="CI49" s="1932"/>
      <c r="CJ49" s="1932"/>
      <c r="CK49" s="1932"/>
      <c r="CL49" s="1932"/>
      <c r="CM49" s="1932"/>
      <c r="CN49" s="1932"/>
      <c r="CO49" s="1932"/>
      <c r="CP49" s="1932"/>
      <c r="CQ49" s="1932"/>
      <c r="CR49" s="1932"/>
      <c r="CS49" s="1932"/>
      <c r="CT49" s="1932"/>
      <c r="CU49" s="1932"/>
      <c r="CV49" s="1932"/>
      <c r="CW49" s="1932"/>
      <c r="CX49" s="1932"/>
      <c r="CY49" s="1932"/>
      <c r="CZ49" s="1932"/>
      <c r="DA49" s="1932"/>
      <c r="DB49" s="1932"/>
      <c r="DC49" s="1932"/>
      <c r="DD49" s="1932"/>
      <c r="DE49" s="1932"/>
      <c r="DF49" s="1932"/>
      <c r="DG49" s="1932"/>
      <c r="DH49" s="1932"/>
      <c r="DI49" s="1932"/>
      <c r="DJ49" s="189"/>
      <c r="DK49" s="197"/>
      <c r="DL49" s="2074">
        <f>'報告_短期P7-10'!AZ142</f>
        <v>219</v>
      </c>
      <c r="DM49" s="2074"/>
      <c r="DN49" s="2074"/>
      <c r="DO49" s="2074"/>
      <c r="DP49" s="2074"/>
      <c r="DQ49" s="2074"/>
      <c r="DR49" s="2074"/>
      <c r="DS49" s="2074"/>
      <c r="DT49" s="2074"/>
      <c r="DU49" s="2074"/>
      <c r="DV49" s="2074"/>
      <c r="DW49" s="2074"/>
      <c r="DX49" s="2074"/>
      <c r="DY49" s="2074"/>
      <c r="DZ49" s="2074"/>
      <c r="EA49" s="2074"/>
      <c r="EB49" s="2074"/>
      <c r="EC49" s="2074"/>
      <c r="ED49" s="2074"/>
      <c r="EE49" s="2074"/>
      <c r="EF49" s="2074"/>
      <c r="EG49" s="2074"/>
      <c r="EH49" s="2074"/>
      <c r="EI49" s="2055">
        <f>'報告_短期P7-10'!BW142</f>
        <v>1235</v>
      </c>
      <c r="EJ49" s="2055"/>
      <c r="EK49" s="2055"/>
      <c r="EL49" s="2055"/>
      <c r="EM49" s="2055"/>
      <c r="EN49" s="2055"/>
      <c r="EO49" s="2055"/>
      <c r="EP49" s="2055"/>
      <c r="EQ49" s="2055"/>
      <c r="ER49" s="2055"/>
      <c r="ES49" s="2055"/>
      <c r="ET49" s="2055"/>
      <c r="EU49" s="2055"/>
      <c r="EV49" s="2055"/>
      <c r="EW49" s="2055"/>
      <c r="EX49" s="2055"/>
      <c r="EY49" s="2055"/>
      <c r="EZ49" s="2055"/>
      <c r="FA49" s="2055"/>
      <c r="FB49" s="2055">
        <f>'報告_短期P7-10'!CP142</f>
        <v>10108630</v>
      </c>
      <c r="FC49" s="2055"/>
      <c r="FD49" s="2055"/>
      <c r="FE49" s="2055"/>
      <c r="FF49" s="2055"/>
      <c r="FG49" s="2055"/>
      <c r="FH49" s="2055"/>
      <c r="FI49" s="2055"/>
      <c r="FJ49" s="2055"/>
      <c r="FK49" s="2055"/>
      <c r="FL49" s="2055"/>
      <c r="FM49" s="2055"/>
      <c r="FN49" s="2055"/>
      <c r="FO49" s="2055"/>
      <c r="FP49" s="2055"/>
      <c r="FQ49" s="2055"/>
      <c r="FR49" s="2055"/>
      <c r="FS49" s="2055"/>
      <c r="FT49" s="2055"/>
      <c r="FU49" s="2055"/>
      <c r="FV49" s="2055"/>
      <c r="FW49" s="2055"/>
      <c r="FX49" s="2055"/>
      <c r="FY49" s="2055"/>
      <c r="FZ49" s="2055"/>
      <c r="GA49" s="2055"/>
      <c r="GB49" s="2055"/>
      <c r="GC49" s="2055"/>
      <c r="GD49" s="2074">
        <f t="shared" si="2"/>
        <v>221</v>
      </c>
      <c r="GE49" s="2074"/>
      <c r="GF49" s="2074"/>
      <c r="GG49" s="2074"/>
      <c r="GH49" s="2074"/>
      <c r="GI49" s="2074"/>
      <c r="GJ49" s="2074"/>
      <c r="GK49" s="2074"/>
      <c r="GL49" s="2074"/>
      <c r="GM49" s="2074"/>
      <c r="GN49" s="2074"/>
      <c r="GO49" s="2074"/>
      <c r="GP49" s="2074"/>
      <c r="GQ49" s="2074"/>
      <c r="GR49" s="2074"/>
      <c r="GS49" s="2074"/>
      <c r="GT49" s="2074"/>
      <c r="GU49" s="2074"/>
      <c r="GV49" s="2074"/>
      <c r="GW49" s="2074"/>
      <c r="GX49" s="2074"/>
      <c r="GY49" s="2074"/>
      <c r="GZ49" s="2074"/>
      <c r="HA49" s="2055">
        <f t="shared" si="3"/>
        <v>1258</v>
      </c>
      <c r="HB49" s="2055"/>
      <c r="HC49" s="2055"/>
      <c r="HD49" s="2055"/>
      <c r="HE49" s="2055"/>
      <c r="HF49" s="2055"/>
      <c r="HG49" s="2055"/>
      <c r="HH49" s="2055"/>
      <c r="HI49" s="2055"/>
      <c r="HJ49" s="2055"/>
      <c r="HK49" s="2055"/>
      <c r="HL49" s="2055"/>
      <c r="HM49" s="2055"/>
      <c r="HN49" s="2055"/>
      <c r="HO49" s="2055"/>
      <c r="HP49" s="2055"/>
      <c r="HQ49" s="2055"/>
      <c r="HR49" s="2055"/>
      <c r="HS49" s="2055"/>
      <c r="HT49" s="2055">
        <f t="shared" si="4"/>
        <v>14713620</v>
      </c>
      <c r="HU49" s="2055"/>
      <c r="HV49" s="2055"/>
      <c r="HW49" s="2055"/>
      <c r="HX49" s="2055"/>
      <c r="HY49" s="2055"/>
      <c r="HZ49" s="2055"/>
      <c r="IA49" s="2055"/>
      <c r="IB49" s="2055"/>
      <c r="IC49" s="2055"/>
      <c r="ID49" s="2055"/>
      <c r="IE49" s="2055"/>
      <c r="IF49" s="2055"/>
      <c r="IG49" s="2055"/>
      <c r="IH49" s="2055"/>
      <c r="II49" s="2055"/>
      <c r="IJ49" s="2055"/>
      <c r="IK49" s="2055"/>
      <c r="IL49" s="2055"/>
      <c r="IM49" s="2055"/>
      <c r="IN49" s="2055"/>
      <c r="IO49" s="2055"/>
      <c r="IP49" s="2055"/>
      <c r="IQ49" s="2055"/>
      <c r="IR49" s="2055"/>
      <c r="IS49" s="2055"/>
      <c r="IT49" s="2055"/>
      <c r="IU49" s="2055"/>
      <c r="IV49" s="222"/>
    </row>
    <row r="50" spans="1:256" ht="20.25" customHeight="1">
      <c r="A50" s="2035"/>
      <c r="B50" s="2035"/>
      <c r="C50" s="236"/>
      <c r="D50" s="2030" t="s">
        <v>62</v>
      </c>
      <c r="E50" s="2030"/>
      <c r="F50" s="2030"/>
      <c r="G50" s="2030"/>
      <c r="H50" s="2030"/>
      <c r="I50" s="2030"/>
      <c r="J50" s="2030"/>
      <c r="K50" s="2030"/>
      <c r="L50" s="2030"/>
      <c r="M50" s="2030"/>
      <c r="N50" s="2030"/>
      <c r="O50" s="2030"/>
      <c r="P50" s="237"/>
      <c r="Q50" s="2069"/>
      <c r="R50" s="2069"/>
      <c r="S50" s="2069"/>
      <c r="T50" s="2069"/>
      <c r="U50" s="2069"/>
      <c r="V50" s="2069"/>
      <c r="W50" s="2069"/>
      <c r="X50" s="2069"/>
      <c r="Y50" s="2069"/>
      <c r="Z50" s="2069"/>
      <c r="AA50" s="2069"/>
      <c r="AB50" s="2069"/>
      <c r="AC50" s="2069"/>
      <c r="AD50" s="2069"/>
      <c r="AE50" s="2069"/>
      <c r="AF50" s="2069"/>
      <c r="AG50" s="2069"/>
      <c r="AH50" s="2069"/>
      <c r="AI50" s="2069"/>
      <c r="AJ50" s="2069"/>
      <c r="AK50" s="2069"/>
      <c r="AL50" s="2069"/>
      <c r="AM50" s="2069"/>
      <c r="AN50" s="2069"/>
      <c r="AO50" s="2069"/>
      <c r="AP50" s="2069"/>
      <c r="AQ50" s="2069"/>
      <c r="AR50" s="2069"/>
      <c r="AS50" s="2069"/>
      <c r="AT50" s="2069"/>
      <c r="AU50" s="2069"/>
      <c r="AV50" s="2069"/>
      <c r="AW50" s="2069"/>
      <c r="AX50" s="2069"/>
      <c r="AY50" s="2069"/>
      <c r="AZ50" s="2069"/>
      <c r="BA50" s="2069"/>
      <c r="BB50" s="2069"/>
      <c r="BC50" s="2069"/>
      <c r="BD50" s="2069"/>
      <c r="BE50" s="2069"/>
      <c r="BF50" s="2069"/>
      <c r="BG50" s="2069"/>
      <c r="BH50" s="2069"/>
      <c r="BI50" s="2069"/>
      <c r="BM50" s="1962" t="s">
        <v>457</v>
      </c>
      <c r="BN50" s="1962"/>
      <c r="BO50" s="1962"/>
      <c r="BP50" s="1962"/>
      <c r="BQ50" s="1962"/>
      <c r="BR50" s="188"/>
      <c r="BS50" s="189"/>
      <c r="BT50" s="1932" t="s">
        <v>62</v>
      </c>
      <c r="BU50" s="1932"/>
      <c r="BV50" s="1932"/>
      <c r="BW50" s="1932"/>
      <c r="BX50" s="1932"/>
      <c r="BY50" s="1932"/>
      <c r="BZ50" s="1932"/>
      <c r="CA50" s="1932"/>
      <c r="CB50" s="1932"/>
      <c r="CC50" s="1932"/>
      <c r="CD50" s="1932"/>
      <c r="CE50" s="1932"/>
      <c r="CF50" s="1932"/>
      <c r="CG50" s="1932"/>
      <c r="CH50" s="1932"/>
      <c r="CI50" s="1932"/>
      <c r="CJ50" s="1932"/>
      <c r="CK50" s="1932"/>
      <c r="CL50" s="1932"/>
      <c r="CM50" s="1932"/>
      <c r="CN50" s="1932"/>
      <c r="CO50" s="1932"/>
      <c r="CP50" s="1932"/>
      <c r="CQ50" s="1932"/>
      <c r="CR50" s="1932"/>
      <c r="CS50" s="1932"/>
      <c r="CT50" s="1932"/>
      <c r="CU50" s="1932"/>
      <c r="CV50" s="1932"/>
      <c r="CW50" s="1932"/>
      <c r="CX50" s="1932"/>
      <c r="CY50" s="1932"/>
      <c r="CZ50" s="1932"/>
      <c r="DA50" s="1932"/>
      <c r="DB50" s="1932"/>
      <c r="DC50" s="1932"/>
      <c r="DD50" s="1932"/>
      <c r="DE50" s="1932"/>
      <c r="DF50" s="1932"/>
      <c r="DG50" s="1932"/>
      <c r="DH50" s="1932"/>
      <c r="DI50" s="1932"/>
      <c r="DJ50" s="189"/>
      <c r="DK50" s="197"/>
      <c r="DL50" s="2055">
        <f>'報告_短期P7-10'!AZ143</f>
        <v>0</v>
      </c>
      <c r="DM50" s="2055"/>
      <c r="DN50" s="2055"/>
      <c r="DO50" s="2055"/>
      <c r="DP50" s="2055"/>
      <c r="DQ50" s="2055"/>
      <c r="DR50" s="2055"/>
      <c r="DS50" s="2055"/>
      <c r="DT50" s="2055"/>
      <c r="DU50" s="2055"/>
      <c r="DV50" s="2055"/>
      <c r="DW50" s="2055"/>
      <c r="DX50" s="2055"/>
      <c r="DY50" s="2055"/>
      <c r="DZ50" s="2055"/>
      <c r="EA50" s="2055"/>
      <c r="EB50" s="2055"/>
      <c r="EC50" s="2055"/>
      <c r="ED50" s="2055"/>
      <c r="EE50" s="2055"/>
      <c r="EF50" s="2055"/>
      <c r="EG50" s="2055"/>
      <c r="EH50" s="2055"/>
      <c r="EI50" s="2081"/>
      <c r="EJ50" s="2081"/>
      <c r="EK50" s="2081"/>
      <c r="EL50" s="2081"/>
      <c r="EM50" s="2081"/>
      <c r="EN50" s="2081"/>
      <c r="EO50" s="2081"/>
      <c r="EP50" s="2081"/>
      <c r="EQ50" s="2081"/>
      <c r="ER50" s="2081"/>
      <c r="ES50" s="2081"/>
      <c r="ET50" s="2081"/>
      <c r="EU50" s="2081"/>
      <c r="EV50" s="2081"/>
      <c r="EW50" s="2081"/>
      <c r="EX50" s="2081"/>
      <c r="EY50" s="2081"/>
      <c r="EZ50" s="2081"/>
      <c r="FA50" s="2081"/>
      <c r="FB50" s="2055">
        <f>'報告_短期P7-10'!CP143</f>
        <v>0</v>
      </c>
      <c r="FC50" s="2055"/>
      <c r="FD50" s="2055"/>
      <c r="FE50" s="2055"/>
      <c r="FF50" s="2055"/>
      <c r="FG50" s="2055"/>
      <c r="FH50" s="2055"/>
      <c r="FI50" s="2055"/>
      <c r="FJ50" s="2055"/>
      <c r="FK50" s="2055"/>
      <c r="FL50" s="2055"/>
      <c r="FM50" s="2055"/>
      <c r="FN50" s="2055"/>
      <c r="FO50" s="2055"/>
      <c r="FP50" s="2055"/>
      <c r="FQ50" s="2055"/>
      <c r="FR50" s="2055"/>
      <c r="FS50" s="2055"/>
      <c r="FT50" s="2055"/>
      <c r="FU50" s="2055"/>
      <c r="FV50" s="2055"/>
      <c r="FW50" s="2055"/>
      <c r="FX50" s="2055"/>
      <c r="FY50" s="2055"/>
      <c r="FZ50" s="2055"/>
      <c r="GA50" s="2055"/>
      <c r="GB50" s="2055"/>
      <c r="GC50" s="2055"/>
      <c r="GD50" s="2055">
        <f t="shared" si="2"/>
        <v>0</v>
      </c>
      <c r="GE50" s="2055"/>
      <c r="GF50" s="2055"/>
      <c r="GG50" s="2055"/>
      <c r="GH50" s="2055"/>
      <c r="GI50" s="2055"/>
      <c r="GJ50" s="2055"/>
      <c r="GK50" s="2055"/>
      <c r="GL50" s="2055"/>
      <c r="GM50" s="2055"/>
      <c r="GN50" s="2055"/>
      <c r="GO50" s="2055"/>
      <c r="GP50" s="2055"/>
      <c r="GQ50" s="2055"/>
      <c r="GR50" s="2055"/>
      <c r="GS50" s="2055"/>
      <c r="GT50" s="2055"/>
      <c r="GU50" s="2055"/>
      <c r="GV50" s="2055"/>
      <c r="GW50" s="2055"/>
      <c r="GX50" s="2055"/>
      <c r="GY50" s="2055"/>
      <c r="GZ50" s="2055"/>
      <c r="HA50" s="2081">
        <f t="shared" si="3"/>
        <v>0</v>
      </c>
      <c r="HB50" s="2081"/>
      <c r="HC50" s="2081"/>
      <c r="HD50" s="2081"/>
      <c r="HE50" s="2081"/>
      <c r="HF50" s="2081"/>
      <c r="HG50" s="2081"/>
      <c r="HH50" s="2081"/>
      <c r="HI50" s="2081"/>
      <c r="HJ50" s="2081"/>
      <c r="HK50" s="2081"/>
      <c r="HL50" s="2081"/>
      <c r="HM50" s="2081"/>
      <c r="HN50" s="2081"/>
      <c r="HO50" s="2081"/>
      <c r="HP50" s="2081"/>
      <c r="HQ50" s="2081"/>
      <c r="HR50" s="2081"/>
      <c r="HS50" s="2081"/>
      <c r="HT50" s="2055">
        <f t="shared" si="4"/>
        <v>0</v>
      </c>
      <c r="HU50" s="2055"/>
      <c r="HV50" s="2055"/>
      <c r="HW50" s="2055"/>
      <c r="HX50" s="2055"/>
      <c r="HY50" s="2055"/>
      <c r="HZ50" s="2055"/>
      <c r="IA50" s="2055"/>
      <c r="IB50" s="2055"/>
      <c r="IC50" s="2055"/>
      <c r="ID50" s="2055"/>
      <c r="IE50" s="2055"/>
      <c r="IF50" s="2055"/>
      <c r="IG50" s="2055"/>
      <c r="IH50" s="2055"/>
      <c r="II50" s="2055"/>
      <c r="IJ50" s="2055"/>
      <c r="IK50" s="2055"/>
      <c r="IL50" s="2055"/>
      <c r="IM50" s="2055"/>
      <c r="IN50" s="2055"/>
      <c r="IO50" s="2055"/>
      <c r="IP50" s="2055"/>
      <c r="IQ50" s="2055"/>
      <c r="IR50" s="2055"/>
      <c r="IS50" s="2055"/>
      <c r="IT50" s="2055"/>
      <c r="IU50" s="2055"/>
      <c r="IV50" s="222"/>
    </row>
    <row r="51" spans="1:256" ht="20.25" customHeight="1">
      <c r="A51" s="2035"/>
      <c r="B51" s="2035"/>
      <c r="C51" s="238"/>
      <c r="D51" s="2073" t="s">
        <v>351</v>
      </c>
      <c r="E51" s="2073"/>
      <c r="F51" s="2073"/>
      <c r="G51" s="2073"/>
      <c r="H51" s="2073"/>
      <c r="I51" s="2073"/>
      <c r="J51" s="2073"/>
      <c r="K51" s="2073"/>
      <c r="L51" s="2073"/>
      <c r="M51" s="2073"/>
      <c r="N51" s="2073"/>
      <c r="O51" s="2073"/>
      <c r="P51" s="239"/>
      <c r="Q51" s="2060">
        <f>ROUND((DL43+DL44+DL45)/L80,2)</f>
        <v>10.34</v>
      </c>
      <c r="R51" s="2060"/>
      <c r="S51" s="2060"/>
      <c r="T51" s="2060"/>
      <c r="U51" s="2060"/>
      <c r="V51" s="2060">
        <f>ROUND((GD43+GD44+GD45)/DE65,2)</f>
        <v>10.29</v>
      </c>
      <c r="W51" s="2060"/>
      <c r="X51" s="2060"/>
      <c r="Y51" s="2060"/>
      <c r="Z51" s="2060"/>
      <c r="AA51" s="2068">
        <f t="shared" ref="AA51:AA57" si="6">ROUNDDOWN(Q51/V51*100,2)</f>
        <v>100.48</v>
      </c>
      <c r="AB51" s="2068"/>
      <c r="AC51" s="2068"/>
      <c r="AD51" s="2068"/>
      <c r="AE51" s="2068"/>
      <c r="AF51" s="2060">
        <f>ROUND(EI51/DE66,2)</f>
        <v>14.72</v>
      </c>
      <c r="AG51" s="2060"/>
      <c r="AH51" s="2060"/>
      <c r="AI51" s="2060"/>
      <c r="AJ51" s="2060"/>
      <c r="AK51" s="2060">
        <f>ROUND(HA51/DE65,2)</f>
        <v>14.73</v>
      </c>
      <c r="AL51" s="2060"/>
      <c r="AM51" s="2060"/>
      <c r="AN51" s="2060"/>
      <c r="AO51" s="2060"/>
      <c r="AP51" s="2060">
        <f>ROUNDDOWN((AF51/AK51)*100,2)</f>
        <v>99.93</v>
      </c>
      <c r="AQ51" s="2060"/>
      <c r="AR51" s="2060"/>
      <c r="AS51" s="2060"/>
      <c r="AT51" s="2060"/>
      <c r="AU51" s="2070">
        <f>ROUND((FB43+FB44+FB45+FB46+FB48+FB49+FB50)/DE66,0)</f>
        <v>155937</v>
      </c>
      <c r="AV51" s="2070"/>
      <c r="AW51" s="2070"/>
      <c r="AX51" s="2070"/>
      <c r="AY51" s="2070"/>
      <c r="AZ51" s="2070">
        <f>ROUND((HT43+HT44+HT45+HT46+HT48+HT49+HT50)/DE65,0)</f>
        <v>150830</v>
      </c>
      <c r="BA51" s="2070"/>
      <c r="BB51" s="2070"/>
      <c r="BC51" s="2070"/>
      <c r="BD51" s="2070"/>
      <c r="BE51" s="2060">
        <f t="shared" ref="BE51:BE57" si="7">ROUNDDOWN((AU51/AZ51)*100,2)</f>
        <v>103.38</v>
      </c>
      <c r="BF51" s="2060"/>
      <c r="BG51" s="2060"/>
      <c r="BH51" s="2060"/>
      <c r="BI51" s="2060"/>
      <c r="BM51" s="190"/>
      <c r="BN51" s="191"/>
      <c r="BO51" s="191"/>
      <c r="BP51" s="191"/>
      <c r="BQ51" s="214"/>
      <c r="BR51" s="188"/>
      <c r="BS51" s="189"/>
      <c r="BT51" s="1951" t="s">
        <v>351</v>
      </c>
      <c r="BU51" s="1951"/>
      <c r="BV51" s="1951"/>
      <c r="BW51" s="1951"/>
      <c r="BX51" s="1951"/>
      <c r="BY51" s="1951"/>
      <c r="BZ51" s="1951"/>
      <c r="CA51" s="1951"/>
      <c r="CB51" s="1951"/>
      <c r="CC51" s="1951"/>
      <c r="CD51" s="1951"/>
      <c r="CE51" s="1951"/>
      <c r="CF51" s="1951"/>
      <c r="CG51" s="1951"/>
      <c r="CH51" s="1951"/>
      <c r="CI51" s="1951"/>
      <c r="CJ51" s="1951"/>
      <c r="CK51" s="1951"/>
      <c r="CL51" s="1951"/>
      <c r="CM51" s="1951"/>
      <c r="CN51" s="1951"/>
      <c r="CO51" s="1951"/>
      <c r="CP51" s="1951"/>
      <c r="CQ51" s="1951"/>
      <c r="CR51" s="1951"/>
      <c r="CS51" s="1951"/>
      <c r="CT51" s="1951"/>
      <c r="CU51" s="1951"/>
      <c r="CV51" s="1951"/>
      <c r="CW51" s="1951"/>
      <c r="CX51" s="1951"/>
      <c r="CY51" s="1951"/>
      <c r="CZ51" s="1951"/>
      <c r="DA51" s="1951"/>
      <c r="DB51" s="1951"/>
      <c r="DC51" s="1951"/>
      <c r="DD51" s="1951"/>
      <c r="DE51" s="1951"/>
      <c r="DF51" s="1951"/>
      <c r="DG51" s="1951"/>
      <c r="DH51" s="1951"/>
      <c r="DI51" s="1951"/>
      <c r="DJ51" s="189"/>
      <c r="DK51" s="197"/>
      <c r="DL51" s="2055">
        <f>SUM(DL43:EH45,DL50)</f>
        <v>197157</v>
      </c>
      <c r="DM51" s="2055"/>
      <c r="DN51" s="2055"/>
      <c r="DO51" s="2055"/>
      <c r="DP51" s="2055"/>
      <c r="DQ51" s="2055"/>
      <c r="DR51" s="2055"/>
      <c r="DS51" s="2055"/>
      <c r="DT51" s="2055"/>
      <c r="DU51" s="2055"/>
      <c r="DV51" s="2055"/>
      <c r="DW51" s="2055"/>
      <c r="DX51" s="2055"/>
      <c r="DY51" s="2055"/>
      <c r="DZ51" s="2055"/>
      <c r="EA51" s="2055"/>
      <c r="EB51" s="2055"/>
      <c r="EC51" s="2055"/>
      <c r="ED51" s="2055"/>
      <c r="EE51" s="2055"/>
      <c r="EF51" s="2055"/>
      <c r="EG51" s="2055"/>
      <c r="EH51" s="2055"/>
      <c r="EI51" s="2055">
        <f>SUM(EI43:FA45,EI49)</f>
        <v>280554</v>
      </c>
      <c r="EJ51" s="2055"/>
      <c r="EK51" s="2055"/>
      <c r="EL51" s="2055"/>
      <c r="EM51" s="2055"/>
      <c r="EN51" s="2055"/>
      <c r="EO51" s="2055"/>
      <c r="EP51" s="2055"/>
      <c r="EQ51" s="2055"/>
      <c r="ER51" s="2055"/>
      <c r="ES51" s="2055"/>
      <c r="ET51" s="2055"/>
      <c r="EU51" s="2055"/>
      <c r="EV51" s="2055"/>
      <c r="EW51" s="2055"/>
      <c r="EX51" s="2055"/>
      <c r="EY51" s="2055"/>
      <c r="EZ51" s="2055"/>
      <c r="FA51" s="2055"/>
      <c r="FB51" s="2055">
        <f>SUM(FB43:GC50)</f>
        <v>2972164055</v>
      </c>
      <c r="FC51" s="2055"/>
      <c r="FD51" s="2055"/>
      <c r="FE51" s="2055"/>
      <c r="FF51" s="2055"/>
      <c r="FG51" s="2055"/>
      <c r="FH51" s="2055"/>
      <c r="FI51" s="2055"/>
      <c r="FJ51" s="2055"/>
      <c r="FK51" s="2055"/>
      <c r="FL51" s="2055"/>
      <c r="FM51" s="2055"/>
      <c r="FN51" s="2055"/>
      <c r="FO51" s="2055"/>
      <c r="FP51" s="2055"/>
      <c r="FQ51" s="2055"/>
      <c r="FR51" s="2055"/>
      <c r="FS51" s="2055"/>
      <c r="FT51" s="2055"/>
      <c r="FU51" s="2055"/>
      <c r="FV51" s="2055"/>
      <c r="FW51" s="2055"/>
      <c r="FX51" s="2055"/>
      <c r="FY51" s="2055"/>
      <c r="FZ51" s="2055"/>
      <c r="GA51" s="2055"/>
      <c r="GB51" s="2055"/>
      <c r="GC51" s="2055"/>
      <c r="GD51" s="2055">
        <f t="shared" si="2"/>
        <v>194735</v>
      </c>
      <c r="GE51" s="2055"/>
      <c r="GF51" s="2055"/>
      <c r="GG51" s="2055"/>
      <c r="GH51" s="2055"/>
      <c r="GI51" s="2055"/>
      <c r="GJ51" s="2055"/>
      <c r="GK51" s="2055"/>
      <c r="GL51" s="2055"/>
      <c r="GM51" s="2055"/>
      <c r="GN51" s="2055"/>
      <c r="GO51" s="2055"/>
      <c r="GP51" s="2055"/>
      <c r="GQ51" s="2055"/>
      <c r="GR51" s="2055"/>
      <c r="GS51" s="2055"/>
      <c r="GT51" s="2055"/>
      <c r="GU51" s="2055"/>
      <c r="GV51" s="2055"/>
      <c r="GW51" s="2055"/>
      <c r="GX51" s="2055"/>
      <c r="GY51" s="2055"/>
      <c r="GZ51" s="2055"/>
      <c r="HA51" s="2055">
        <f t="shared" si="3"/>
        <v>278682</v>
      </c>
      <c r="HB51" s="2055"/>
      <c r="HC51" s="2055"/>
      <c r="HD51" s="2055"/>
      <c r="HE51" s="2055"/>
      <c r="HF51" s="2055"/>
      <c r="HG51" s="2055"/>
      <c r="HH51" s="2055"/>
      <c r="HI51" s="2055"/>
      <c r="HJ51" s="2055"/>
      <c r="HK51" s="2055"/>
      <c r="HL51" s="2055"/>
      <c r="HM51" s="2055"/>
      <c r="HN51" s="2055"/>
      <c r="HO51" s="2055"/>
      <c r="HP51" s="2055"/>
      <c r="HQ51" s="2055"/>
      <c r="HR51" s="2055"/>
      <c r="HS51" s="2055"/>
      <c r="HT51" s="2055">
        <f t="shared" si="4"/>
        <v>2853558041</v>
      </c>
      <c r="HU51" s="2055"/>
      <c r="HV51" s="2055"/>
      <c r="HW51" s="2055"/>
      <c r="HX51" s="2055"/>
      <c r="HY51" s="2055"/>
      <c r="HZ51" s="2055"/>
      <c r="IA51" s="2055"/>
      <c r="IB51" s="2055"/>
      <c r="IC51" s="2055"/>
      <c r="ID51" s="2055"/>
      <c r="IE51" s="2055"/>
      <c r="IF51" s="2055"/>
      <c r="IG51" s="2055"/>
      <c r="IH51" s="2055"/>
      <c r="II51" s="2055"/>
      <c r="IJ51" s="2055"/>
      <c r="IK51" s="2055"/>
      <c r="IL51" s="2055"/>
      <c r="IM51" s="2055"/>
      <c r="IN51" s="2055"/>
      <c r="IO51" s="2055"/>
      <c r="IP51" s="2055"/>
      <c r="IQ51" s="2055"/>
      <c r="IR51" s="2055"/>
      <c r="IS51" s="2055"/>
      <c r="IT51" s="2055"/>
      <c r="IU51" s="2055"/>
      <c r="IV51" s="222"/>
    </row>
    <row r="52" spans="1:256" ht="20.25" customHeight="1">
      <c r="A52" s="2035" t="s">
        <v>473</v>
      </c>
      <c r="B52" s="2035"/>
      <c r="C52" s="236"/>
      <c r="D52" s="2030" t="s">
        <v>100</v>
      </c>
      <c r="E52" s="2030"/>
      <c r="F52" s="2030"/>
      <c r="G52" s="2030"/>
      <c r="H52" s="2030"/>
      <c r="I52" s="2030"/>
      <c r="J52" s="2030"/>
      <c r="K52" s="2030"/>
      <c r="L52" s="2030"/>
      <c r="M52" s="2030"/>
      <c r="N52" s="2030"/>
      <c r="O52" s="2030"/>
      <c r="P52" s="237"/>
      <c r="Q52" s="2060">
        <f>ROUND(DL52/L80,2)</f>
        <v>0.05</v>
      </c>
      <c r="R52" s="2060"/>
      <c r="S52" s="2060"/>
      <c r="T52" s="2060"/>
      <c r="U52" s="2060"/>
      <c r="V52" s="2060">
        <f>ROUND(GD52/DE65,2)</f>
        <v>0.05</v>
      </c>
      <c r="W52" s="2060"/>
      <c r="X52" s="2060"/>
      <c r="Y52" s="2060"/>
      <c r="Z52" s="2060"/>
      <c r="AA52" s="2068">
        <f t="shared" si="6"/>
        <v>100</v>
      </c>
      <c r="AB52" s="2068"/>
      <c r="AC52" s="2068"/>
      <c r="AD52" s="2068"/>
      <c r="AE52" s="2068"/>
      <c r="AF52" s="2061">
        <f>ROUND(EI52/DE66,2)</f>
        <v>0.48</v>
      </c>
      <c r="AG52" s="2061"/>
      <c r="AH52" s="2061"/>
      <c r="AI52" s="2061"/>
      <c r="AJ52" s="2061"/>
      <c r="AK52" s="2061">
        <f>ROUND(HA52/DE65,2)</f>
        <v>0.48</v>
      </c>
      <c r="AL52" s="2061"/>
      <c r="AM52" s="2061"/>
      <c r="AN52" s="2061"/>
      <c r="AO52" s="2061"/>
      <c r="AP52" s="2061">
        <f>ROUNDDOWN((AF52/AK52)*100,2)</f>
        <v>100</v>
      </c>
      <c r="AQ52" s="2061"/>
      <c r="AR52" s="2061"/>
      <c r="AS52" s="2061"/>
      <c r="AT52" s="2061"/>
      <c r="AU52" s="2070">
        <f>ROUND(FB52/DE66,0)</f>
        <v>20803</v>
      </c>
      <c r="AV52" s="2070"/>
      <c r="AW52" s="2070"/>
      <c r="AX52" s="2070"/>
      <c r="AY52" s="2070"/>
      <c r="AZ52" s="2070">
        <f>ROUND(HT52/DE65,0)</f>
        <v>20929</v>
      </c>
      <c r="BA52" s="2070"/>
      <c r="BB52" s="2070"/>
      <c r="BC52" s="2070"/>
      <c r="BD52" s="2070"/>
      <c r="BE52" s="2060">
        <f t="shared" si="7"/>
        <v>99.39</v>
      </c>
      <c r="BF52" s="2060"/>
      <c r="BG52" s="2060"/>
      <c r="BH52" s="2060"/>
      <c r="BI52" s="2060"/>
      <c r="BM52" s="1973"/>
      <c r="BN52" s="1973"/>
      <c r="BO52" s="211"/>
      <c r="BP52" s="211"/>
      <c r="BQ52" s="220"/>
      <c r="BR52" s="188"/>
      <c r="BS52" s="189"/>
      <c r="BT52" s="1932" t="s">
        <v>100</v>
      </c>
      <c r="BU52" s="1932"/>
      <c r="BV52" s="1932"/>
      <c r="BW52" s="1932"/>
      <c r="BX52" s="1932"/>
      <c r="BY52" s="1932"/>
      <c r="BZ52" s="1932"/>
      <c r="CA52" s="1932"/>
      <c r="CB52" s="1932"/>
      <c r="CC52" s="1932"/>
      <c r="CD52" s="1932"/>
      <c r="CE52" s="1932"/>
      <c r="CF52" s="1932"/>
      <c r="CG52" s="1932"/>
      <c r="CH52" s="1932"/>
      <c r="CI52" s="1932"/>
      <c r="CJ52" s="1932"/>
      <c r="CK52" s="1932"/>
      <c r="CL52" s="1932"/>
      <c r="CM52" s="1932"/>
      <c r="CN52" s="1932"/>
      <c r="CO52" s="1932"/>
      <c r="CP52" s="1932"/>
      <c r="CQ52" s="1932"/>
      <c r="CR52" s="1932"/>
      <c r="CS52" s="1932"/>
      <c r="CT52" s="1932"/>
      <c r="CU52" s="1932"/>
      <c r="CV52" s="1932"/>
      <c r="CW52" s="1932"/>
      <c r="CX52" s="1932"/>
      <c r="CY52" s="1932"/>
      <c r="CZ52" s="1932"/>
      <c r="DA52" s="1932"/>
      <c r="DB52" s="1932"/>
      <c r="DC52" s="1932"/>
      <c r="DD52" s="1932"/>
      <c r="DE52" s="1932"/>
      <c r="DF52" s="1932"/>
      <c r="DG52" s="1932"/>
      <c r="DH52" s="1932"/>
      <c r="DI52" s="1932"/>
      <c r="DJ52" s="189"/>
      <c r="DK52" s="197"/>
      <c r="DL52" s="2055">
        <f>'報告_短期P7-10'!AZ145</f>
        <v>965</v>
      </c>
      <c r="DM52" s="2055"/>
      <c r="DN52" s="2055"/>
      <c r="DO52" s="2055"/>
      <c r="DP52" s="2055"/>
      <c r="DQ52" s="2055"/>
      <c r="DR52" s="2055"/>
      <c r="DS52" s="2055"/>
      <c r="DT52" s="2055"/>
      <c r="DU52" s="2055"/>
      <c r="DV52" s="2055"/>
      <c r="DW52" s="2055"/>
      <c r="DX52" s="2055"/>
      <c r="DY52" s="2055"/>
      <c r="DZ52" s="2055"/>
      <c r="EA52" s="2055"/>
      <c r="EB52" s="2055"/>
      <c r="EC52" s="2055"/>
      <c r="ED52" s="2055"/>
      <c r="EE52" s="2055"/>
      <c r="EF52" s="2055"/>
      <c r="EG52" s="2055"/>
      <c r="EH52" s="2055"/>
      <c r="EI52" s="2055">
        <f>'報告_短期P7-10'!BW145</f>
        <v>9143</v>
      </c>
      <c r="EJ52" s="2055"/>
      <c r="EK52" s="2055"/>
      <c r="EL52" s="2055"/>
      <c r="EM52" s="2055"/>
      <c r="EN52" s="2055"/>
      <c r="EO52" s="2055"/>
      <c r="EP52" s="2055"/>
      <c r="EQ52" s="2055"/>
      <c r="ER52" s="2055"/>
      <c r="ES52" s="2055"/>
      <c r="ET52" s="2055"/>
      <c r="EU52" s="2055"/>
      <c r="EV52" s="2055"/>
      <c r="EW52" s="2055"/>
      <c r="EX52" s="2055"/>
      <c r="EY52" s="2055"/>
      <c r="EZ52" s="2055"/>
      <c r="FA52" s="2055"/>
      <c r="FB52" s="2055">
        <f>'報告_短期P7-10'!CP145</f>
        <v>396509932</v>
      </c>
      <c r="FC52" s="2055"/>
      <c r="FD52" s="2055"/>
      <c r="FE52" s="2055"/>
      <c r="FF52" s="2055"/>
      <c r="FG52" s="2055"/>
      <c r="FH52" s="2055"/>
      <c r="FI52" s="2055"/>
      <c r="FJ52" s="2055"/>
      <c r="FK52" s="2055"/>
      <c r="FL52" s="2055"/>
      <c r="FM52" s="2055"/>
      <c r="FN52" s="2055"/>
      <c r="FO52" s="2055"/>
      <c r="FP52" s="2055"/>
      <c r="FQ52" s="2055"/>
      <c r="FR52" s="2055"/>
      <c r="FS52" s="2055"/>
      <c r="FT52" s="2055"/>
      <c r="FU52" s="2055"/>
      <c r="FV52" s="2055"/>
      <c r="FW52" s="2055"/>
      <c r="FX52" s="2055"/>
      <c r="FY52" s="2055"/>
      <c r="FZ52" s="2055"/>
      <c r="GA52" s="2055"/>
      <c r="GB52" s="2055"/>
      <c r="GC52" s="2055"/>
      <c r="GD52" s="2055">
        <f t="shared" si="2"/>
        <v>986</v>
      </c>
      <c r="GE52" s="2055"/>
      <c r="GF52" s="2055"/>
      <c r="GG52" s="2055"/>
      <c r="GH52" s="2055"/>
      <c r="GI52" s="2055"/>
      <c r="GJ52" s="2055"/>
      <c r="GK52" s="2055"/>
      <c r="GL52" s="2055"/>
      <c r="GM52" s="2055"/>
      <c r="GN52" s="2055"/>
      <c r="GO52" s="2055"/>
      <c r="GP52" s="2055"/>
      <c r="GQ52" s="2055"/>
      <c r="GR52" s="2055"/>
      <c r="GS52" s="2055"/>
      <c r="GT52" s="2055"/>
      <c r="GU52" s="2055"/>
      <c r="GV52" s="2055"/>
      <c r="GW52" s="2055"/>
      <c r="GX52" s="2055"/>
      <c r="GY52" s="2055"/>
      <c r="GZ52" s="2055"/>
      <c r="HA52" s="2055">
        <f t="shared" si="3"/>
        <v>9047</v>
      </c>
      <c r="HB52" s="2055"/>
      <c r="HC52" s="2055"/>
      <c r="HD52" s="2055"/>
      <c r="HE52" s="2055"/>
      <c r="HF52" s="2055"/>
      <c r="HG52" s="2055"/>
      <c r="HH52" s="2055"/>
      <c r="HI52" s="2055"/>
      <c r="HJ52" s="2055"/>
      <c r="HK52" s="2055"/>
      <c r="HL52" s="2055"/>
      <c r="HM52" s="2055"/>
      <c r="HN52" s="2055"/>
      <c r="HO52" s="2055"/>
      <c r="HP52" s="2055"/>
      <c r="HQ52" s="2055"/>
      <c r="HR52" s="2055"/>
      <c r="HS52" s="2055"/>
      <c r="HT52" s="2055">
        <f t="shared" si="4"/>
        <v>395953163</v>
      </c>
      <c r="HU52" s="2055"/>
      <c r="HV52" s="2055"/>
      <c r="HW52" s="2055"/>
      <c r="HX52" s="2055"/>
      <c r="HY52" s="2055"/>
      <c r="HZ52" s="2055"/>
      <c r="IA52" s="2055"/>
      <c r="IB52" s="2055"/>
      <c r="IC52" s="2055"/>
      <c r="ID52" s="2055"/>
      <c r="IE52" s="2055"/>
      <c r="IF52" s="2055"/>
      <c r="IG52" s="2055"/>
      <c r="IH52" s="2055"/>
      <c r="II52" s="2055"/>
      <c r="IJ52" s="2055"/>
      <c r="IK52" s="2055"/>
      <c r="IL52" s="2055"/>
      <c r="IM52" s="2055"/>
      <c r="IN52" s="2055"/>
      <c r="IO52" s="2055"/>
      <c r="IP52" s="2055"/>
      <c r="IQ52" s="2055"/>
      <c r="IR52" s="2055"/>
      <c r="IS52" s="2055"/>
      <c r="IT52" s="2055"/>
      <c r="IU52" s="2055"/>
      <c r="IV52" s="222"/>
    </row>
    <row r="53" spans="1:256" ht="20.25" customHeight="1">
      <c r="A53" s="2035"/>
      <c r="B53" s="2035"/>
      <c r="C53" s="238"/>
      <c r="D53" s="2073" t="s">
        <v>101</v>
      </c>
      <c r="E53" s="2073"/>
      <c r="F53" s="2073"/>
      <c r="G53" s="2073"/>
      <c r="H53" s="2073"/>
      <c r="I53" s="2073"/>
      <c r="J53" s="2073"/>
      <c r="K53" s="2073"/>
      <c r="L53" s="2073"/>
      <c r="M53" s="2073"/>
      <c r="N53" s="2073"/>
      <c r="O53" s="2073"/>
      <c r="P53" s="239"/>
      <c r="Q53" s="2060">
        <f>ROUND(DL53/L80,2)</f>
        <v>4.46</v>
      </c>
      <c r="R53" s="2060"/>
      <c r="S53" s="2060"/>
      <c r="T53" s="2060"/>
      <c r="U53" s="2060"/>
      <c r="V53" s="2060">
        <f>ROUND(GD53/DE65,2)</f>
        <v>4.5199999999999996</v>
      </c>
      <c r="W53" s="2060"/>
      <c r="X53" s="2060"/>
      <c r="Y53" s="2060"/>
      <c r="Z53" s="2060"/>
      <c r="AA53" s="2068">
        <f t="shared" si="6"/>
        <v>98.67</v>
      </c>
      <c r="AB53" s="2068"/>
      <c r="AC53" s="2068"/>
      <c r="AD53" s="2068"/>
      <c r="AE53" s="2068"/>
      <c r="AF53" s="2061">
        <f>ROUND(EI53/DE66,2)</f>
        <v>6.09</v>
      </c>
      <c r="AG53" s="2061"/>
      <c r="AH53" s="2061"/>
      <c r="AI53" s="2061"/>
      <c r="AJ53" s="2061"/>
      <c r="AK53" s="2061">
        <f>ROUND(HA53/DE65,2)</f>
        <v>6.23</v>
      </c>
      <c r="AL53" s="2061"/>
      <c r="AM53" s="2061"/>
      <c r="AN53" s="2061"/>
      <c r="AO53" s="2061"/>
      <c r="AP53" s="2061">
        <f>ROUNDDOWN((AF53/AK53)*100,2)</f>
        <v>97.75</v>
      </c>
      <c r="AQ53" s="2061"/>
      <c r="AR53" s="2061"/>
      <c r="AS53" s="2061"/>
      <c r="AT53" s="2061"/>
      <c r="AU53" s="2070">
        <f>ROUND(FB53/DE66,0)</f>
        <v>34307</v>
      </c>
      <c r="AV53" s="2070"/>
      <c r="AW53" s="2070"/>
      <c r="AX53" s="2070"/>
      <c r="AY53" s="2070"/>
      <c r="AZ53" s="2070">
        <f>ROUND(HT53/DE65,0)</f>
        <v>34108</v>
      </c>
      <c r="BA53" s="2070"/>
      <c r="BB53" s="2070"/>
      <c r="BC53" s="2070"/>
      <c r="BD53" s="2070"/>
      <c r="BE53" s="2060">
        <f t="shared" si="7"/>
        <v>100.58</v>
      </c>
      <c r="BF53" s="2060"/>
      <c r="BG53" s="2060"/>
      <c r="BH53" s="2060"/>
      <c r="BI53" s="2060"/>
      <c r="BM53" s="1962" t="s">
        <v>458</v>
      </c>
      <c r="BN53" s="1962"/>
      <c r="BO53" s="1962"/>
      <c r="BP53" s="1962"/>
      <c r="BQ53" s="1962"/>
      <c r="BR53" s="188"/>
      <c r="BS53" s="189"/>
      <c r="BT53" s="1932" t="s">
        <v>101</v>
      </c>
      <c r="BU53" s="1932"/>
      <c r="BV53" s="1932"/>
      <c r="BW53" s="1932"/>
      <c r="BX53" s="1932"/>
      <c r="BY53" s="1932"/>
      <c r="BZ53" s="1932"/>
      <c r="CA53" s="1932"/>
      <c r="CB53" s="1932"/>
      <c r="CC53" s="1932"/>
      <c r="CD53" s="1932"/>
      <c r="CE53" s="1932"/>
      <c r="CF53" s="1932"/>
      <c r="CG53" s="1932"/>
      <c r="CH53" s="1932"/>
      <c r="CI53" s="1932"/>
      <c r="CJ53" s="1932"/>
      <c r="CK53" s="1932"/>
      <c r="CL53" s="1932"/>
      <c r="CM53" s="1932"/>
      <c r="CN53" s="1932"/>
      <c r="CO53" s="1932"/>
      <c r="CP53" s="1932"/>
      <c r="CQ53" s="1932"/>
      <c r="CR53" s="1932"/>
      <c r="CS53" s="1932"/>
      <c r="CT53" s="1932"/>
      <c r="CU53" s="1932"/>
      <c r="CV53" s="1932"/>
      <c r="CW53" s="1932"/>
      <c r="CX53" s="1932"/>
      <c r="CY53" s="1932"/>
      <c r="CZ53" s="1932"/>
      <c r="DA53" s="1932"/>
      <c r="DB53" s="1932"/>
      <c r="DC53" s="1932"/>
      <c r="DD53" s="1932"/>
      <c r="DE53" s="1932"/>
      <c r="DF53" s="1932"/>
      <c r="DG53" s="1932"/>
      <c r="DH53" s="1932"/>
      <c r="DI53" s="1932"/>
      <c r="DJ53" s="189"/>
      <c r="DK53" s="197"/>
      <c r="DL53" s="2055">
        <f>'報告_短期P7-10'!AZ146</f>
        <v>84951</v>
      </c>
      <c r="DM53" s="2055"/>
      <c r="DN53" s="2055"/>
      <c r="DO53" s="2055"/>
      <c r="DP53" s="2055"/>
      <c r="DQ53" s="2055"/>
      <c r="DR53" s="2055"/>
      <c r="DS53" s="2055"/>
      <c r="DT53" s="2055"/>
      <c r="DU53" s="2055"/>
      <c r="DV53" s="2055"/>
      <c r="DW53" s="2055"/>
      <c r="DX53" s="2055"/>
      <c r="DY53" s="2055"/>
      <c r="DZ53" s="2055"/>
      <c r="EA53" s="2055"/>
      <c r="EB53" s="2055"/>
      <c r="EC53" s="2055"/>
      <c r="ED53" s="2055"/>
      <c r="EE53" s="2055"/>
      <c r="EF53" s="2055"/>
      <c r="EG53" s="2055"/>
      <c r="EH53" s="2055"/>
      <c r="EI53" s="2055">
        <f>'報告_短期P7-10'!BW146</f>
        <v>116061</v>
      </c>
      <c r="EJ53" s="2055"/>
      <c r="EK53" s="2055"/>
      <c r="EL53" s="2055"/>
      <c r="EM53" s="2055"/>
      <c r="EN53" s="2055"/>
      <c r="EO53" s="2055"/>
      <c r="EP53" s="2055"/>
      <c r="EQ53" s="2055"/>
      <c r="ER53" s="2055"/>
      <c r="ES53" s="2055"/>
      <c r="ET53" s="2055"/>
      <c r="EU53" s="2055"/>
      <c r="EV53" s="2055"/>
      <c r="EW53" s="2055"/>
      <c r="EX53" s="2055"/>
      <c r="EY53" s="2055"/>
      <c r="EZ53" s="2055"/>
      <c r="FA53" s="2055"/>
      <c r="FB53" s="2055">
        <f>'報告_短期P7-10'!CP146</f>
        <v>653895303</v>
      </c>
      <c r="FC53" s="2055"/>
      <c r="FD53" s="2055"/>
      <c r="FE53" s="2055"/>
      <c r="FF53" s="2055"/>
      <c r="FG53" s="2055"/>
      <c r="FH53" s="2055"/>
      <c r="FI53" s="2055"/>
      <c r="FJ53" s="2055"/>
      <c r="FK53" s="2055"/>
      <c r="FL53" s="2055"/>
      <c r="FM53" s="2055"/>
      <c r="FN53" s="2055"/>
      <c r="FO53" s="2055"/>
      <c r="FP53" s="2055"/>
      <c r="FQ53" s="2055"/>
      <c r="FR53" s="2055"/>
      <c r="FS53" s="2055"/>
      <c r="FT53" s="2055"/>
      <c r="FU53" s="2055"/>
      <c r="FV53" s="2055"/>
      <c r="FW53" s="2055"/>
      <c r="FX53" s="2055"/>
      <c r="FY53" s="2055"/>
      <c r="FZ53" s="2055"/>
      <c r="GA53" s="2055"/>
      <c r="GB53" s="2055"/>
      <c r="GC53" s="2055"/>
      <c r="GD53" s="2055">
        <f t="shared" si="2"/>
        <v>85580</v>
      </c>
      <c r="GE53" s="2055"/>
      <c r="GF53" s="2055"/>
      <c r="GG53" s="2055"/>
      <c r="GH53" s="2055"/>
      <c r="GI53" s="2055"/>
      <c r="GJ53" s="2055"/>
      <c r="GK53" s="2055"/>
      <c r="GL53" s="2055"/>
      <c r="GM53" s="2055"/>
      <c r="GN53" s="2055"/>
      <c r="GO53" s="2055"/>
      <c r="GP53" s="2055"/>
      <c r="GQ53" s="2055"/>
      <c r="GR53" s="2055"/>
      <c r="GS53" s="2055"/>
      <c r="GT53" s="2055"/>
      <c r="GU53" s="2055"/>
      <c r="GV53" s="2055"/>
      <c r="GW53" s="2055"/>
      <c r="GX53" s="2055"/>
      <c r="GY53" s="2055"/>
      <c r="GZ53" s="2055"/>
      <c r="HA53" s="2055">
        <f t="shared" si="3"/>
        <v>117869</v>
      </c>
      <c r="HB53" s="2055"/>
      <c r="HC53" s="2055"/>
      <c r="HD53" s="2055"/>
      <c r="HE53" s="2055"/>
      <c r="HF53" s="2055"/>
      <c r="HG53" s="2055"/>
      <c r="HH53" s="2055"/>
      <c r="HI53" s="2055"/>
      <c r="HJ53" s="2055"/>
      <c r="HK53" s="2055"/>
      <c r="HL53" s="2055"/>
      <c r="HM53" s="2055"/>
      <c r="HN53" s="2055"/>
      <c r="HO53" s="2055"/>
      <c r="HP53" s="2055"/>
      <c r="HQ53" s="2055"/>
      <c r="HR53" s="2055"/>
      <c r="HS53" s="2055"/>
      <c r="HT53" s="2055">
        <f t="shared" si="4"/>
        <v>645283771</v>
      </c>
      <c r="HU53" s="2055"/>
      <c r="HV53" s="2055"/>
      <c r="HW53" s="2055"/>
      <c r="HX53" s="2055"/>
      <c r="HY53" s="2055"/>
      <c r="HZ53" s="2055"/>
      <c r="IA53" s="2055"/>
      <c r="IB53" s="2055"/>
      <c r="IC53" s="2055"/>
      <c r="ID53" s="2055"/>
      <c r="IE53" s="2055"/>
      <c r="IF53" s="2055"/>
      <c r="IG53" s="2055"/>
      <c r="IH53" s="2055"/>
      <c r="II53" s="2055"/>
      <c r="IJ53" s="2055"/>
      <c r="IK53" s="2055"/>
      <c r="IL53" s="2055"/>
      <c r="IM53" s="2055"/>
      <c r="IN53" s="2055"/>
      <c r="IO53" s="2055"/>
      <c r="IP53" s="2055"/>
      <c r="IQ53" s="2055"/>
      <c r="IR53" s="2055"/>
      <c r="IS53" s="2055"/>
      <c r="IT53" s="2055"/>
      <c r="IU53" s="2055"/>
      <c r="IV53" s="222"/>
    </row>
    <row r="54" spans="1:256" ht="20.25" customHeight="1">
      <c r="A54" s="2035"/>
      <c r="B54" s="2035"/>
      <c r="C54" s="236"/>
      <c r="D54" s="2030" t="s">
        <v>102</v>
      </c>
      <c r="E54" s="2030"/>
      <c r="F54" s="2030"/>
      <c r="G54" s="2030"/>
      <c r="H54" s="2030"/>
      <c r="I54" s="2030"/>
      <c r="J54" s="2030"/>
      <c r="K54" s="2030"/>
      <c r="L54" s="2030"/>
      <c r="M54" s="2030"/>
      <c r="N54" s="2030"/>
      <c r="O54" s="2030"/>
      <c r="P54" s="237"/>
      <c r="Q54" s="2060">
        <f>ROUND(DL54/L80,2)</f>
        <v>1.1499999999999999</v>
      </c>
      <c r="R54" s="2060"/>
      <c r="S54" s="2060"/>
      <c r="T54" s="2060"/>
      <c r="U54" s="2060"/>
      <c r="V54" s="2060">
        <f>ROUND(GD54/DE65,2)</f>
        <v>1.1100000000000001</v>
      </c>
      <c r="W54" s="2060"/>
      <c r="X54" s="2060"/>
      <c r="Y54" s="2060"/>
      <c r="Z54" s="2060"/>
      <c r="AA54" s="2068">
        <f t="shared" si="6"/>
        <v>103.6</v>
      </c>
      <c r="AB54" s="2068"/>
      <c r="AC54" s="2068"/>
      <c r="AD54" s="2068"/>
      <c r="AE54" s="2068"/>
      <c r="AF54" s="2061">
        <f>ROUND(EI54/DE66,2)</f>
        <v>1.46</v>
      </c>
      <c r="AG54" s="2061"/>
      <c r="AH54" s="2061"/>
      <c r="AI54" s="2061"/>
      <c r="AJ54" s="2061"/>
      <c r="AK54" s="2061">
        <f>ROUND(HA54/DE65,2)</f>
        <v>1.44</v>
      </c>
      <c r="AL54" s="2061"/>
      <c r="AM54" s="2061"/>
      <c r="AN54" s="2061"/>
      <c r="AO54" s="2061"/>
      <c r="AP54" s="2061">
        <f>ROUNDDOWN((AF54/AK54)*100,2)</f>
        <v>101.38</v>
      </c>
      <c r="AQ54" s="2061"/>
      <c r="AR54" s="2061"/>
      <c r="AS54" s="2061"/>
      <c r="AT54" s="2061"/>
      <c r="AU54" s="2070">
        <f>ROUND(FB54/DE66,0)</f>
        <v>9340</v>
      </c>
      <c r="AV54" s="2070"/>
      <c r="AW54" s="2070"/>
      <c r="AX54" s="2070"/>
      <c r="AY54" s="2070"/>
      <c r="AZ54" s="2070">
        <f>ROUND(HT54/DE65,0)</f>
        <v>8728</v>
      </c>
      <c r="BA54" s="2070"/>
      <c r="BB54" s="2070"/>
      <c r="BC54" s="2070"/>
      <c r="BD54" s="2070"/>
      <c r="BE54" s="2060">
        <f t="shared" si="7"/>
        <v>107.01</v>
      </c>
      <c r="BF54" s="2060"/>
      <c r="BG54" s="2060"/>
      <c r="BH54" s="2060"/>
      <c r="BI54" s="2060"/>
      <c r="BM54" s="1958"/>
      <c r="BN54" s="1958"/>
      <c r="BO54" s="167"/>
      <c r="BP54" s="167"/>
      <c r="BQ54" s="218"/>
      <c r="BR54" s="188"/>
      <c r="BS54" s="189"/>
      <c r="BT54" s="1932" t="s">
        <v>102</v>
      </c>
      <c r="BU54" s="1932"/>
      <c r="BV54" s="1932"/>
      <c r="BW54" s="1932"/>
      <c r="BX54" s="1932"/>
      <c r="BY54" s="1932"/>
      <c r="BZ54" s="1932"/>
      <c r="CA54" s="1932"/>
      <c r="CB54" s="1932"/>
      <c r="CC54" s="1932"/>
      <c r="CD54" s="1932"/>
      <c r="CE54" s="1932"/>
      <c r="CF54" s="1932"/>
      <c r="CG54" s="1932"/>
      <c r="CH54" s="1932"/>
      <c r="CI54" s="1932"/>
      <c r="CJ54" s="1932"/>
      <c r="CK54" s="1932"/>
      <c r="CL54" s="1932"/>
      <c r="CM54" s="1932"/>
      <c r="CN54" s="1932"/>
      <c r="CO54" s="1932"/>
      <c r="CP54" s="1932"/>
      <c r="CQ54" s="1932"/>
      <c r="CR54" s="1932"/>
      <c r="CS54" s="1932"/>
      <c r="CT54" s="1932"/>
      <c r="CU54" s="1932"/>
      <c r="CV54" s="1932"/>
      <c r="CW54" s="1932"/>
      <c r="CX54" s="1932"/>
      <c r="CY54" s="1932"/>
      <c r="CZ54" s="1932"/>
      <c r="DA54" s="1932"/>
      <c r="DB54" s="1932"/>
      <c r="DC54" s="1932"/>
      <c r="DD54" s="1932"/>
      <c r="DE54" s="1932"/>
      <c r="DF54" s="1932"/>
      <c r="DG54" s="1932"/>
      <c r="DH54" s="1932"/>
      <c r="DI54" s="1932"/>
      <c r="DJ54" s="189"/>
      <c r="DK54" s="197"/>
      <c r="DL54" s="2055">
        <f>'報告_短期P7-10'!AZ147</f>
        <v>21961</v>
      </c>
      <c r="DM54" s="2055"/>
      <c r="DN54" s="2055"/>
      <c r="DO54" s="2055"/>
      <c r="DP54" s="2055"/>
      <c r="DQ54" s="2055"/>
      <c r="DR54" s="2055"/>
      <c r="DS54" s="2055"/>
      <c r="DT54" s="2055"/>
      <c r="DU54" s="2055"/>
      <c r="DV54" s="2055"/>
      <c r="DW54" s="2055"/>
      <c r="DX54" s="2055"/>
      <c r="DY54" s="2055"/>
      <c r="DZ54" s="2055"/>
      <c r="EA54" s="2055"/>
      <c r="EB54" s="2055"/>
      <c r="EC54" s="2055"/>
      <c r="ED54" s="2055"/>
      <c r="EE54" s="2055"/>
      <c r="EF54" s="2055"/>
      <c r="EG54" s="2055"/>
      <c r="EH54" s="2055"/>
      <c r="EI54" s="2055">
        <f>'報告_短期P7-10'!BW147</f>
        <v>27855</v>
      </c>
      <c r="EJ54" s="2055"/>
      <c r="EK54" s="2055"/>
      <c r="EL54" s="2055"/>
      <c r="EM54" s="2055"/>
      <c r="EN54" s="2055"/>
      <c r="EO54" s="2055"/>
      <c r="EP54" s="2055"/>
      <c r="EQ54" s="2055"/>
      <c r="ER54" s="2055"/>
      <c r="ES54" s="2055"/>
      <c r="ET54" s="2055"/>
      <c r="EU54" s="2055"/>
      <c r="EV54" s="2055"/>
      <c r="EW54" s="2055"/>
      <c r="EX54" s="2055"/>
      <c r="EY54" s="2055"/>
      <c r="EZ54" s="2055"/>
      <c r="FA54" s="2055"/>
      <c r="FB54" s="2055">
        <f>'報告_短期P7-10'!CP147</f>
        <v>178023048</v>
      </c>
      <c r="FC54" s="2055"/>
      <c r="FD54" s="2055"/>
      <c r="FE54" s="2055"/>
      <c r="FF54" s="2055"/>
      <c r="FG54" s="2055"/>
      <c r="FH54" s="2055"/>
      <c r="FI54" s="2055"/>
      <c r="FJ54" s="2055"/>
      <c r="FK54" s="2055"/>
      <c r="FL54" s="2055"/>
      <c r="FM54" s="2055"/>
      <c r="FN54" s="2055"/>
      <c r="FO54" s="2055"/>
      <c r="FP54" s="2055"/>
      <c r="FQ54" s="2055"/>
      <c r="FR54" s="2055"/>
      <c r="FS54" s="2055"/>
      <c r="FT54" s="2055"/>
      <c r="FU54" s="2055"/>
      <c r="FV54" s="2055"/>
      <c r="FW54" s="2055"/>
      <c r="FX54" s="2055"/>
      <c r="FY54" s="2055"/>
      <c r="FZ54" s="2055"/>
      <c r="GA54" s="2055"/>
      <c r="GB54" s="2055"/>
      <c r="GC54" s="2055"/>
      <c r="GD54" s="2055">
        <f t="shared" si="2"/>
        <v>21003</v>
      </c>
      <c r="GE54" s="2055"/>
      <c r="GF54" s="2055"/>
      <c r="GG54" s="2055"/>
      <c r="GH54" s="2055"/>
      <c r="GI54" s="2055"/>
      <c r="GJ54" s="2055"/>
      <c r="GK54" s="2055"/>
      <c r="GL54" s="2055"/>
      <c r="GM54" s="2055"/>
      <c r="GN54" s="2055"/>
      <c r="GO54" s="2055"/>
      <c r="GP54" s="2055"/>
      <c r="GQ54" s="2055"/>
      <c r="GR54" s="2055"/>
      <c r="GS54" s="2055"/>
      <c r="GT54" s="2055"/>
      <c r="GU54" s="2055"/>
      <c r="GV54" s="2055"/>
      <c r="GW54" s="2055"/>
      <c r="GX54" s="2055"/>
      <c r="GY54" s="2055"/>
      <c r="GZ54" s="2055"/>
      <c r="HA54" s="2055">
        <f t="shared" si="3"/>
        <v>27197</v>
      </c>
      <c r="HB54" s="2055"/>
      <c r="HC54" s="2055"/>
      <c r="HD54" s="2055"/>
      <c r="HE54" s="2055"/>
      <c r="HF54" s="2055"/>
      <c r="HG54" s="2055"/>
      <c r="HH54" s="2055"/>
      <c r="HI54" s="2055"/>
      <c r="HJ54" s="2055"/>
      <c r="HK54" s="2055"/>
      <c r="HL54" s="2055"/>
      <c r="HM54" s="2055"/>
      <c r="HN54" s="2055"/>
      <c r="HO54" s="2055"/>
      <c r="HP54" s="2055"/>
      <c r="HQ54" s="2055"/>
      <c r="HR54" s="2055"/>
      <c r="HS54" s="2055"/>
      <c r="HT54" s="2055">
        <f t="shared" si="4"/>
        <v>165134316</v>
      </c>
      <c r="HU54" s="2055"/>
      <c r="HV54" s="2055"/>
      <c r="HW54" s="2055"/>
      <c r="HX54" s="2055"/>
      <c r="HY54" s="2055"/>
      <c r="HZ54" s="2055"/>
      <c r="IA54" s="2055"/>
      <c r="IB54" s="2055"/>
      <c r="IC54" s="2055"/>
      <c r="ID54" s="2055"/>
      <c r="IE54" s="2055"/>
      <c r="IF54" s="2055"/>
      <c r="IG54" s="2055"/>
      <c r="IH54" s="2055"/>
      <c r="II54" s="2055"/>
      <c r="IJ54" s="2055"/>
      <c r="IK54" s="2055"/>
      <c r="IL54" s="2055"/>
      <c r="IM54" s="2055"/>
      <c r="IN54" s="2055"/>
      <c r="IO54" s="2055"/>
      <c r="IP54" s="2055"/>
      <c r="IQ54" s="2055"/>
      <c r="IR54" s="2055"/>
      <c r="IS54" s="2055"/>
      <c r="IT54" s="2055"/>
      <c r="IU54" s="2055"/>
      <c r="IV54" s="222"/>
    </row>
    <row r="55" spans="1:256" ht="24.75" customHeight="1">
      <c r="A55" s="2035"/>
      <c r="B55" s="2035"/>
      <c r="C55" s="238"/>
      <c r="D55" s="2079" t="s">
        <v>434</v>
      </c>
      <c r="E55" s="2079"/>
      <c r="F55" s="2079"/>
      <c r="G55" s="2079"/>
      <c r="H55" s="2079"/>
      <c r="I55" s="2079"/>
      <c r="J55" s="2079"/>
      <c r="K55" s="2079"/>
      <c r="L55" s="2079"/>
      <c r="M55" s="2079"/>
      <c r="N55" s="2079"/>
      <c r="O55" s="2079"/>
      <c r="P55" s="239"/>
      <c r="Q55" s="2060">
        <f>ROUND(DL55/L80,2)</f>
        <v>0.04</v>
      </c>
      <c r="R55" s="2060"/>
      <c r="S55" s="2060"/>
      <c r="T55" s="2060"/>
      <c r="U55" s="2060"/>
      <c r="V55" s="2060">
        <f>ROUND(GD55/DE65,2)</f>
        <v>0.04</v>
      </c>
      <c r="W55" s="2060"/>
      <c r="X55" s="2060"/>
      <c r="Y55" s="2060"/>
      <c r="Z55" s="2060"/>
      <c r="AA55" s="2068">
        <f t="shared" si="6"/>
        <v>100</v>
      </c>
      <c r="AB55" s="2068"/>
      <c r="AC55" s="2068"/>
      <c r="AD55" s="2068"/>
      <c r="AE55" s="2068"/>
      <c r="AF55" s="2080"/>
      <c r="AG55" s="2080"/>
      <c r="AH55" s="2080"/>
      <c r="AI55" s="2080"/>
      <c r="AJ55" s="2080"/>
      <c r="AK55" s="2080"/>
      <c r="AL55" s="2080"/>
      <c r="AM55" s="2080"/>
      <c r="AN55" s="2080"/>
      <c r="AO55" s="2080"/>
      <c r="AP55" s="2069"/>
      <c r="AQ55" s="2069"/>
      <c r="AR55" s="2069"/>
      <c r="AS55" s="2069"/>
      <c r="AT55" s="2069"/>
      <c r="AU55" s="2070">
        <f>ROUND(FB55/DE66,0)</f>
        <v>215</v>
      </c>
      <c r="AV55" s="2070"/>
      <c r="AW55" s="2070"/>
      <c r="AX55" s="2070"/>
      <c r="AY55" s="2070"/>
      <c r="AZ55" s="2070">
        <f>ROUND(HT55/DE65,0)</f>
        <v>221</v>
      </c>
      <c r="BA55" s="2070"/>
      <c r="BB55" s="2070"/>
      <c r="BC55" s="2070"/>
      <c r="BD55" s="2070"/>
      <c r="BE55" s="2060">
        <f t="shared" si="7"/>
        <v>97.28</v>
      </c>
      <c r="BF55" s="2060"/>
      <c r="BG55" s="2060"/>
      <c r="BH55" s="2060"/>
      <c r="BI55" s="2060"/>
      <c r="BM55" s="1958"/>
      <c r="BN55" s="1958"/>
      <c r="BO55" s="167"/>
      <c r="BP55" s="167"/>
      <c r="BQ55" s="218"/>
      <c r="BR55" s="188"/>
      <c r="BS55" s="189"/>
      <c r="BT55" s="2064" t="s">
        <v>434</v>
      </c>
      <c r="BU55" s="2064"/>
      <c r="BV55" s="2064"/>
      <c r="BW55" s="2064"/>
      <c r="BX55" s="2064"/>
      <c r="BY55" s="2064"/>
      <c r="BZ55" s="2064"/>
      <c r="CA55" s="2064"/>
      <c r="CB55" s="2064"/>
      <c r="CC55" s="2064"/>
      <c r="CD55" s="2064"/>
      <c r="CE55" s="2064"/>
      <c r="CF55" s="2064"/>
      <c r="CG55" s="2064"/>
      <c r="CH55" s="2064"/>
      <c r="CI55" s="2064"/>
      <c r="CJ55" s="2064"/>
      <c r="CK55" s="2064"/>
      <c r="CL55" s="2064"/>
      <c r="CM55" s="2064"/>
      <c r="CN55" s="2064"/>
      <c r="CO55" s="2064"/>
      <c r="CP55" s="2064"/>
      <c r="CQ55" s="2064"/>
      <c r="CR55" s="2064"/>
      <c r="CS55" s="2064"/>
      <c r="CT55" s="2064"/>
      <c r="CU55" s="2064"/>
      <c r="CV55" s="2064"/>
      <c r="CW55" s="2064"/>
      <c r="CX55" s="2064"/>
      <c r="CY55" s="2064"/>
      <c r="CZ55" s="2064"/>
      <c r="DA55" s="2064"/>
      <c r="DB55" s="2064"/>
      <c r="DC55" s="2064"/>
      <c r="DD55" s="2064"/>
      <c r="DE55" s="2064"/>
      <c r="DF55" s="2064"/>
      <c r="DG55" s="2064"/>
      <c r="DH55" s="2064"/>
      <c r="DI55" s="2064"/>
      <c r="DJ55" s="189"/>
      <c r="DK55" s="197"/>
      <c r="DL55" s="2074">
        <f>'報告_短期P7-10'!AZ148</f>
        <v>813</v>
      </c>
      <c r="DM55" s="2074"/>
      <c r="DN55" s="2074"/>
      <c r="DO55" s="2074"/>
      <c r="DP55" s="2074"/>
      <c r="DQ55" s="2074"/>
      <c r="DR55" s="2074"/>
      <c r="DS55" s="2074"/>
      <c r="DT55" s="2074"/>
      <c r="DU55" s="2074"/>
      <c r="DV55" s="2074"/>
      <c r="DW55" s="2074"/>
      <c r="DX55" s="2074"/>
      <c r="DY55" s="2074"/>
      <c r="DZ55" s="2074"/>
      <c r="EA55" s="2074"/>
      <c r="EB55" s="2074"/>
      <c r="EC55" s="2074"/>
      <c r="ED55" s="2074"/>
      <c r="EE55" s="2074"/>
      <c r="EF55" s="2074"/>
      <c r="EG55" s="2074"/>
      <c r="EH55" s="2074"/>
      <c r="EI55" s="2078">
        <f>'報告_短期P7-10'!BW148</f>
        <v>20430</v>
      </c>
      <c r="EJ55" s="2078"/>
      <c r="EK55" s="2078"/>
      <c r="EL55" s="2078"/>
      <c r="EM55" s="2078"/>
      <c r="EN55" s="2078"/>
      <c r="EO55" s="2078"/>
      <c r="EP55" s="2078"/>
      <c r="EQ55" s="2078"/>
      <c r="ER55" s="2078"/>
      <c r="ES55" s="2078"/>
      <c r="ET55" s="2078"/>
      <c r="EU55" s="2078"/>
      <c r="EV55" s="2078"/>
      <c r="EW55" s="2078"/>
      <c r="EX55" s="2075" t="s">
        <v>103</v>
      </c>
      <c r="EY55" s="2075"/>
      <c r="EZ55" s="2075"/>
      <c r="FA55" s="2075"/>
      <c r="FB55" s="2055">
        <f>'報告_短期P7-10'!CP148</f>
        <v>4104640</v>
      </c>
      <c r="FC55" s="2055"/>
      <c r="FD55" s="2055"/>
      <c r="FE55" s="2055"/>
      <c r="FF55" s="2055"/>
      <c r="FG55" s="2055"/>
      <c r="FH55" s="2055"/>
      <c r="FI55" s="2055"/>
      <c r="FJ55" s="2055"/>
      <c r="FK55" s="2055"/>
      <c r="FL55" s="2055"/>
      <c r="FM55" s="2055"/>
      <c r="FN55" s="2055"/>
      <c r="FO55" s="2055"/>
      <c r="FP55" s="2055"/>
      <c r="FQ55" s="2055"/>
      <c r="FR55" s="2055"/>
      <c r="FS55" s="2055"/>
      <c r="FT55" s="2055"/>
      <c r="FU55" s="2055"/>
      <c r="FV55" s="2055"/>
      <c r="FW55" s="2055"/>
      <c r="FX55" s="2055"/>
      <c r="FY55" s="2055"/>
      <c r="FZ55" s="2055"/>
      <c r="GA55" s="2055"/>
      <c r="GB55" s="2055"/>
      <c r="GC55" s="2055"/>
      <c r="GD55" s="2074">
        <f t="shared" si="2"/>
        <v>825</v>
      </c>
      <c r="GE55" s="2074"/>
      <c r="GF55" s="2074"/>
      <c r="GG55" s="2074"/>
      <c r="GH55" s="2074"/>
      <c r="GI55" s="2074"/>
      <c r="GJ55" s="2074"/>
      <c r="GK55" s="2074"/>
      <c r="GL55" s="2074"/>
      <c r="GM55" s="2074"/>
      <c r="GN55" s="2074"/>
      <c r="GO55" s="2074"/>
      <c r="GP55" s="2074"/>
      <c r="GQ55" s="2074"/>
      <c r="GR55" s="2074"/>
      <c r="GS55" s="2074"/>
      <c r="GT55" s="2074"/>
      <c r="GU55" s="2074"/>
      <c r="GV55" s="2074"/>
      <c r="GW55" s="2074"/>
      <c r="GX55" s="2074"/>
      <c r="GY55" s="2074"/>
      <c r="GZ55" s="2074"/>
      <c r="HA55" s="2078">
        <f t="shared" si="3"/>
        <v>20414</v>
      </c>
      <c r="HB55" s="2078"/>
      <c r="HC55" s="2078"/>
      <c r="HD55" s="2078"/>
      <c r="HE55" s="2078"/>
      <c r="HF55" s="2078"/>
      <c r="HG55" s="2078"/>
      <c r="HH55" s="2078"/>
      <c r="HI55" s="2078"/>
      <c r="HJ55" s="2078"/>
      <c r="HK55" s="2078"/>
      <c r="HL55" s="2078"/>
      <c r="HM55" s="2078"/>
      <c r="HN55" s="2078"/>
      <c r="HO55" s="2078"/>
      <c r="HP55" s="2075" t="str">
        <f>HP16</f>
        <v>回</v>
      </c>
      <c r="HQ55" s="2075"/>
      <c r="HR55" s="2075"/>
      <c r="HS55" s="2075"/>
      <c r="HT55" s="2055">
        <f t="shared" si="4"/>
        <v>4172769</v>
      </c>
      <c r="HU55" s="2055"/>
      <c r="HV55" s="2055"/>
      <c r="HW55" s="2055"/>
      <c r="HX55" s="2055"/>
      <c r="HY55" s="2055"/>
      <c r="HZ55" s="2055"/>
      <c r="IA55" s="2055"/>
      <c r="IB55" s="2055"/>
      <c r="IC55" s="2055"/>
      <c r="ID55" s="2055"/>
      <c r="IE55" s="2055"/>
      <c r="IF55" s="2055"/>
      <c r="IG55" s="2055"/>
      <c r="IH55" s="2055"/>
      <c r="II55" s="2055"/>
      <c r="IJ55" s="2055"/>
      <c r="IK55" s="2055"/>
      <c r="IL55" s="2055"/>
      <c r="IM55" s="2055"/>
      <c r="IN55" s="2055"/>
      <c r="IO55" s="2055"/>
      <c r="IP55" s="2055"/>
      <c r="IQ55" s="2055"/>
      <c r="IR55" s="2055"/>
      <c r="IS55" s="2055"/>
      <c r="IT55" s="2055"/>
      <c r="IU55" s="2055"/>
      <c r="IV55" s="222"/>
    </row>
    <row r="56" spans="1:256" ht="20.25" customHeight="1">
      <c r="A56" s="2035"/>
      <c r="B56" s="2035"/>
      <c r="C56" s="236"/>
      <c r="D56" s="2030" t="s">
        <v>61</v>
      </c>
      <c r="E56" s="2030"/>
      <c r="F56" s="2030"/>
      <c r="G56" s="2030"/>
      <c r="H56" s="2030"/>
      <c r="I56" s="2030"/>
      <c r="J56" s="2030"/>
      <c r="K56" s="2030"/>
      <c r="L56" s="2030"/>
      <c r="M56" s="2030"/>
      <c r="N56" s="2030"/>
      <c r="O56" s="2030"/>
      <c r="P56" s="237"/>
      <c r="Q56" s="2060">
        <f>ROUND(DL57/L80,2)</f>
        <v>3.22</v>
      </c>
      <c r="R56" s="2060"/>
      <c r="S56" s="2060"/>
      <c r="T56" s="2060"/>
      <c r="U56" s="2060"/>
      <c r="V56" s="2060">
        <f>ROUND(GD57/DE65,2)</f>
        <v>3.25</v>
      </c>
      <c r="W56" s="2060"/>
      <c r="X56" s="2060"/>
      <c r="Y56" s="2060"/>
      <c r="Z56" s="2060"/>
      <c r="AA56" s="2068">
        <f t="shared" si="6"/>
        <v>99.07</v>
      </c>
      <c r="AB56" s="2068"/>
      <c r="AC56" s="2068"/>
      <c r="AD56" s="2068"/>
      <c r="AE56" s="2068"/>
      <c r="AF56" s="2069"/>
      <c r="AG56" s="2069"/>
      <c r="AH56" s="2069"/>
      <c r="AI56" s="2069"/>
      <c r="AJ56" s="2069"/>
      <c r="AK56" s="2069"/>
      <c r="AL56" s="2069"/>
      <c r="AM56" s="2069"/>
      <c r="AN56" s="2069"/>
      <c r="AO56" s="2069"/>
      <c r="AP56" s="2069"/>
      <c r="AQ56" s="2069"/>
      <c r="AR56" s="2069"/>
      <c r="AS56" s="2069"/>
      <c r="AT56" s="2069"/>
      <c r="AU56" s="2070">
        <f>ROUND(FB57/DE66,0)</f>
        <v>19319</v>
      </c>
      <c r="AV56" s="2070"/>
      <c r="AW56" s="2070"/>
      <c r="AX56" s="2070"/>
      <c r="AY56" s="2070"/>
      <c r="AZ56" s="2070">
        <f>ROUND(HT57/DE65,0)</f>
        <v>17614</v>
      </c>
      <c r="BA56" s="2070"/>
      <c r="BB56" s="2070"/>
      <c r="BC56" s="2070"/>
      <c r="BD56" s="2070"/>
      <c r="BE56" s="2060">
        <f t="shared" si="7"/>
        <v>109.67</v>
      </c>
      <c r="BF56" s="2060"/>
      <c r="BG56" s="2060"/>
      <c r="BH56" s="2060"/>
      <c r="BI56" s="2060"/>
      <c r="BM56" s="1958"/>
      <c r="BN56" s="1958"/>
      <c r="BO56" s="167"/>
      <c r="BP56" s="167"/>
      <c r="BQ56" s="218"/>
      <c r="BR56" s="219"/>
      <c r="BS56" s="211"/>
      <c r="BT56" s="1932" t="s">
        <v>61</v>
      </c>
      <c r="BU56" s="1932"/>
      <c r="BV56" s="1932"/>
      <c r="BW56" s="1932"/>
      <c r="BX56" s="1932"/>
      <c r="BY56" s="1932"/>
      <c r="BZ56" s="1932"/>
      <c r="CA56" s="1932"/>
      <c r="CB56" s="1932"/>
      <c r="CC56" s="1932"/>
      <c r="CD56" s="1932"/>
      <c r="CE56" s="1932"/>
      <c r="CF56" s="1932"/>
      <c r="CG56" s="1932"/>
      <c r="CH56" s="1932"/>
      <c r="CI56" s="1932"/>
      <c r="CJ56" s="1932"/>
      <c r="CK56" s="1932"/>
      <c r="CL56" s="1932"/>
      <c r="CM56" s="1932"/>
      <c r="CN56" s="1932"/>
      <c r="CO56" s="1932"/>
      <c r="CP56" s="1932"/>
      <c r="CQ56" s="1932"/>
      <c r="CR56" s="1932"/>
      <c r="CS56" s="1932"/>
      <c r="CT56" s="1932"/>
      <c r="CU56" s="1932"/>
      <c r="CV56" s="1932"/>
      <c r="CW56" s="1932"/>
      <c r="CX56" s="1932"/>
      <c r="CY56" s="1932"/>
      <c r="CZ56" s="1932"/>
      <c r="DA56" s="1932"/>
      <c r="DB56" s="1932"/>
      <c r="DC56" s="1932"/>
      <c r="DD56" s="1932"/>
      <c r="DE56" s="1932"/>
      <c r="DF56" s="1932"/>
      <c r="DG56" s="1932"/>
      <c r="DH56" s="1932"/>
      <c r="DI56" s="1932"/>
      <c r="DJ56" s="211"/>
      <c r="DK56" s="220"/>
      <c r="DL56" s="2076"/>
      <c r="DM56" s="2076"/>
      <c r="DN56" s="2076"/>
      <c r="DO56" s="2076"/>
      <c r="DP56" s="2076"/>
      <c r="DQ56" s="2076"/>
      <c r="DR56" s="2076"/>
      <c r="DS56" s="2076"/>
      <c r="DT56" s="2076"/>
      <c r="DU56" s="2076"/>
      <c r="DV56" s="2076"/>
      <c r="DW56" s="2076"/>
      <c r="DX56" s="2076"/>
      <c r="DY56" s="2076"/>
      <c r="DZ56" s="2076"/>
      <c r="EA56" s="2076"/>
      <c r="EB56" s="2076"/>
      <c r="EC56" s="2076"/>
      <c r="ED56" s="2076"/>
      <c r="EE56" s="2076"/>
      <c r="EF56" s="2076"/>
      <c r="EG56" s="2076"/>
      <c r="EH56" s="2076"/>
      <c r="EI56" s="2076"/>
      <c r="EJ56" s="2076"/>
      <c r="EK56" s="2076"/>
      <c r="EL56" s="2076"/>
      <c r="EM56" s="2076"/>
      <c r="EN56" s="2076"/>
      <c r="EO56" s="2076"/>
      <c r="EP56" s="2076"/>
      <c r="EQ56" s="2076"/>
      <c r="ER56" s="2076"/>
      <c r="ES56" s="2076"/>
      <c r="ET56" s="2076"/>
      <c r="EU56" s="2076"/>
      <c r="EV56" s="2076"/>
      <c r="EW56" s="2076"/>
      <c r="EX56" s="2076"/>
      <c r="EY56" s="2076"/>
      <c r="EZ56" s="2076"/>
      <c r="FA56" s="2076"/>
      <c r="FB56" s="2077"/>
      <c r="FC56" s="2077"/>
      <c r="FD56" s="2077"/>
      <c r="FE56" s="2077"/>
      <c r="FF56" s="2077"/>
      <c r="FG56" s="2077"/>
      <c r="FH56" s="2077"/>
      <c r="FI56" s="2077"/>
      <c r="FJ56" s="2077"/>
      <c r="FK56" s="2077"/>
      <c r="FL56" s="2077"/>
      <c r="FM56" s="2077"/>
      <c r="FN56" s="2077"/>
      <c r="FO56" s="2077"/>
      <c r="FP56" s="2077"/>
      <c r="FQ56" s="2077"/>
      <c r="FR56" s="2077"/>
      <c r="FS56" s="2077"/>
      <c r="FT56" s="2077"/>
      <c r="FU56" s="2077"/>
      <c r="FV56" s="2077"/>
      <c r="FW56" s="2077"/>
      <c r="FX56" s="2077"/>
      <c r="FY56" s="2077"/>
      <c r="FZ56" s="2077"/>
      <c r="GA56" s="2077"/>
      <c r="GB56" s="2077"/>
      <c r="GC56" s="2077"/>
      <c r="GD56" s="2076">
        <f t="shared" si="2"/>
        <v>0</v>
      </c>
      <c r="GE56" s="2076"/>
      <c r="GF56" s="2076"/>
      <c r="GG56" s="2076"/>
      <c r="GH56" s="2076"/>
      <c r="GI56" s="2076"/>
      <c r="GJ56" s="2076"/>
      <c r="GK56" s="2076"/>
      <c r="GL56" s="2076"/>
      <c r="GM56" s="2076"/>
      <c r="GN56" s="2076"/>
      <c r="GO56" s="2076"/>
      <c r="GP56" s="2076"/>
      <c r="GQ56" s="2076"/>
      <c r="GR56" s="2076"/>
      <c r="GS56" s="2076"/>
      <c r="GT56" s="2076"/>
      <c r="GU56" s="2076"/>
      <c r="GV56" s="2076"/>
      <c r="GW56" s="2076"/>
      <c r="GX56" s="2076"/>
      <c r="GY56" s="2076"/>
      <c r="GZ56" s="2076"/>
      <c r="HA56" s="2076">
        <f t="shared" si="3"/>
        <v>0</v>
      </c>
      <c r="HB56" s="2076"/>
      <c r="HC56" s="2076"/>
      <c r="HD56" s="2076"/>
      <c r="HE56" s="2076"/>
      <c r="HF56" s="2076"/>
      <c r="HG56" s="2076"/>
      <c r="HH56" s="2076"/>
      <c r="HI56" s="2076"/>
      <c r="HJ56" s="2076"/>
      <c r="HK56" s="2076"/>
      <c r="HL56" s="2076"/>
      <c r="HM56" s="2076"/>
      <c r="HN56" s="2076"/>
      <c r="HO56" s="2076"/>
      <c r="HP56" s="2076"/>
      <c r="HQ56" s="2076"/>
      <c r="HR56" s="2076"/>
      <c r="HS56" s="2076"/>
      <c r="HT56" s="2077">
        <f t="shared" si="4"/>
        <v>0</v>
      </c>
      <c r="HU56" s="2077"/>
      <c r="HV56" s="2077"/>
      <c r="HW56" s="2077"/>
      <c r="HX56" s="2077"/>
      <c r="HY56" s="2077"/>
      <c r="HZ56" s="2077"/>
      <c r="IA56" s="2077"/>
      <c r="IB56" s="2077"/>
      <c r="IC56" s="2077"/>
      <c r="ID56" s="2077"/>
      <c r="IE56" s="2077"/>
      <c r="IF56" s="2077"/>
      <c r="IG56" s="2077"/>
      <c r="IH56" s="2077"/>
      <c r="II56" s="2077"/>
      <c r="IJ56" s="2077"/>
      <c r="IK56" s="2077"/>
      <c r="IL56" s="2077"/>
      <c r="IM56" s="2077"/>
      <c r="IN56" s="2077"/>
      <c r="IO56" s="2077"/>
      <c r="IP56" s="2077"/>
      <c r="IQ56" s="2077"/>
      <c r="IR56" s="2077"/>
      <c r="IS56" s="2077"/>
      <c r="IT56" s="2077"/>
      <c r="IU56" s="2077"/>
      <c r="IV56" s="222"/>
    </row>
    <row r="57" spans="1:256" ht="20.25" customHeight="1">
      <c r="A57" s="2035"/>
      <c r="B57" s="2035"/>
      <c r="C57" s="236"/>
      <c r="D57" s="2030" t="s">
        <v>53</v>
      </c>
      <c r="E57" s="2030"/>
      <c r="F57" s="2030"/>
      <c r="G57" s="2030"/>
      <c r="H57" s="2030"/>
      <c r="I57" s="2030"/>
      <c r="J57" s="2030"/>
      <c r="K57" s="2030"/>
      <c r="L57" s="2030"/>
      <c r="M57" s="2030"/>
      <c r="N57" s="2030"/>
      <c r="O57" s="2030"/>
      <c r="P57" s="237"/>
      <c r="Q57" s="2060">
        <f>ROUND(DL58/L80,2)</f>
        <v>0.04</v>
      </c>
      <c r="R57" s="2060"/>
      <c r="S57" s="2060"/>
      <c r="T57" s="2060"/>
      <c r="U57" s="2060"/>
      <c r="V57" s="2060">
        <f>ROUND(GD58/DE65,2)</f>
        <v>0.03</v>
      </c>
      <c r="W57" s="2060"/>
      <c r="X57" s="2060"/>
      <c r="Y57" s="2060"/>
      <c r="Z57" s="2060"/>
      <c r="AA57" s="2068">
        <f t="shared" si="6"/>
        <v>133.33000000000001</v>
      </c>
      <c r="AB57" s="2068"/>
      <c r="AC57" s="2068"/>
      <c r="AD57" s="2068"/>
      <c r="AE57" s="2068"/>
      <c r="AF57" s="2061">
        <f>ROUND(EI58/DE66,2)</f>
        <v>0.25</v>
      </c>
      <c r="AG57" s="2061"/>
      <c r="AH57" s="2061"/>
      <c r="AI57" s="2061"/>
      <c r="AJ57" s="2061"/>
      <c r="AK57" s="2061">
        <f>ROUND(HA58/DE65,2)</f>
        <v>0.17</v>
      </c>
      <c r="AL57" s="2061"/>
      <c r="AM57" s="2061"/>
      <c r="AN57" s="2061"/>
      <c r="AO57" s="2061"/>
      <c r="AP57" s="2061">
        <f>ROUNDDOWN((AF57/AK57)*100,2)</f>
        <v>147.05000000000001</v>
      </c>
      <c r="AQ57" s="2061"/>
      <c r="AR57" s="2061"/>
      <c r="AS57" s="2061"/>
      <c r="AT57" s="2061"/>
      <c r="AU57" s="2070">
        <f>ROUND(FB58/DE66,0)</f>
        <v>2065</v>
      </c>
      <c r="AV57" s="2070"/>
      <c r="AW57" s="2070"/>
      <c r="AX57" s="2070"/>
      <c r="AY57" s="2070"/>
      <c r="AZ57" s="2070">
        <f>ROUND(HT58/DE65,0)</f>
        <v>1452</v>
      </c>
      <c r="BA57" s="2070"/>
      <c r="BB57" s="2070"/>
      <c r="BC57" s="2070"/>
      <c r="BD57" s="2070"/>
      <c r="BE57" s="2060">
        <f t="shared" si="7"/>
        <v>142.21</v>
      </c>
      <c r="BF57" s="2060"/>
      <c r="BG57" s="2060"/>
      <c r="BH57" s="2060"/>
      <c r="BI57" s="2060"/>
      <c r="BM57" s="1958"/>
      <c r="BN57" s="1958"/>
      <c r="BO57" s="167"/>
      <c r="BP57" s="167"/>
      <c r="BQ57" s="218"/>
      <c r="BR57" s="190"/>
      <c r="BS57" s="191"/>
      <c r="BT57" s="1932"/>
      <c r="BU57" s="1932"/>
      <c r="BV57" s="1932"/>
      <c r="BW57" s="1932"/>
      <c r="BX57" s="1932"/>
      <c r="BY57" s="1932"/>
      <c r="BZ57" s="1932"/>
      <c r="CA57" s="1932"/>
      <c r="CB57" s="1932"/>
      <c r="CC57" s="1932"/>
      <c r="CD57" s="1932"/>
      <c r="CE57" s="1932"/>
      <c r="CF57" s="1932"/>
      <c r="CG57" s="1932"/>
      <c r="CH57" s="1932"/>
      <c r="CI57" s="1932"/>
      <c r="CJ57" s="1932"/>
      <c r="CK57" s="1932"/>
      <c r="CL57" s="1932"/>
      <c r="CM57" s="1932"/>
      <c r="CN57" s="1932"/>
      <c r="CO57" s="1932"/>
      <c r="CP57" s="1932"/>
      <c r="CQ57" s="1932"/>
      <c r="CR57" s="1932"/>
      <c r="CS57" s="1932"/>
      <c r="CT57" s="1932"/>
      <c r="CU57" s="1932"/>
      <c r="CV57" s="1932"/>
      <c r="CW57" s="1932"/>
      <c r="CX57" s="1932"/>
      <c r="CY57" s="1932"/>
      <c r="CZ57" s="1932"/>
      <c r="DA57" s="1932"/>
      <c r="DB57" s="1932"/>
      <c r="DC57" s="1932"/>
      <c r="DD57" s="1932"/>
      <c r="DE57" s="1932"/>
      <c r="DF57" s="1932"/>
      <c r="DG57" s="1932"/>
      <c r="DH57" s="1932"/>
      <c r="DI57" s="1932"/>
      <c r="DJ57" s="191"/>
      <c r="DK57" s="214"/>
      <c r="DL57" s="2072">
        <f>'報告_短期P7-10'!AZ150</f>
        <v>61391</v>
      </c>
      <c r="DM57" s="2072"/>
      <c r="DN57" s="2072"/>
      <c r="DO57" s="2072"/>
      <c r="DP57" s="2072"/>
      <c r="DQ57" s="2072"/>
      <c r="DR57" s="2072"/>
      <c r="DS57" s="2072"/>
      <c r="DT57" s="2072"/>
      <c r="DU57" s="2072"/>
      <c r="DV57" s="2072"/>
      <c r="DW57" s="2072"/>
      <c r="DX57" s="2072"/>
      <c r="DY57" s="2072"/>
      <c r="DZ57" s="2072"/>
      <c r="EA57" s="2072"/>
      <c r="EB57" s="2072"/>
      <c r="EC57" s="2072"/>
      <c r="ED57" s="2072"/>
      <c r="EE57" s="2072"/>
      <c r="EF57" s="2072"/>
      <c r="EG57" s="2072"/>
      <c r="EH57" s="2072"/>
      <c r="EI57" s="2072">
        <f>'報告_短期P7-10'!BW150</f>
        <v>73911</v>
      </c>
      <c r="EJ57" s="2072"/>
      <c r="EK57" s="2072"/>
      <c r="EL57" s="2072"/>
      <c r="EM57" s="2072"/>
      <c r="EN57" s="2072"/>
      <c r="EO57" s="2072"/>
      <c r="EP57" s="2072"/>
      <c r="EQ57" s="2072"/>
      <c r="ER57" s="2072"/>
      <c r="ES57" s="2072"/>
      <c r="ET57" s="2072"/>
      <c r="EU57" s="2072"/>
      <c r="EV57" s="2072"/>
      <c r="EW57" s="2072"/>
      <c r="EX57" s="2072"/>
      <c r="EY57" s="2072"/>
      <c r="EZ57" s="2072"/>
      <c r="FA57" s="2072"/>
      <c r="FB57" s="2071">
        <f>'報告_短期P7-10'!CP150</f>
        <v>368226435</v>
      </c>
      <c r="FC57" s="2071"/>
      <c r="FD57" s="2071"/>
      <c r="FE57" s="2071"/>
      <c r="FF57" s="2071"/>
      <c r="FG57" s="2071"/>
      <c r="FH57" s="2071"/>
      <c r="FI57" s="2071"/>
      <c r="FJ57" s="2071"/>
      <c r="FK57" s="2071"/>
      <c r="FL57" s="2071"/>
      <c r="FM57" s="2071"/>
      <c r="FN57" s="2071"/>
      <c r="FO57" s="2071"/>
      <c r="FP57" s="2071"/>
      <c r="FQ57" s="2071"/>
      <c r="FR57" s="2071"/>
      <c r="FS57" s="2071"/>
      <c r="FT57" s="2071"/>
      <c r="FU57" s="2071"/>
      <c r="FV57" s="2071"/>
      <c r="FW57" s="2071"/>
      <c r="FX57" s="2071"/>
      <c r="FY57" s="2071"/>
      <c r="FZ57" s="2071"/>
      <c r="GA57" s="2071"/>
      <c r="GB57" s="2071"/>
      <c r="GC57" s="2071"/>
      <c r="GD57" s="2072">
        <f t="shared" si="2"/>
        <v>61457</v>
      </c>
      <c r="GE57" s="2072"/>
      <c r="GF57" s="2072"/>
      <c r="GG57" s="2072"/>
      <c r="GH57" s="2072"/>
      <c r="GI57" s="2072"/>
      <c r="GJ57" s="2072"/>
      <c r="GK57" s="2072"/>
      <c r="GL57" s="2072"/>
      <c r="GM57" s="2072"/>
      <c r="GN57" s="2072"/>
      <c r="GO57" s="2072"/>
      <c r="GP57" s="2072"/>
      <c r="GQ57" s="2072"/>
      <c r="GR57" s="2072"/>
      <c r="GS57" s="2072"/>
      <c r="GT57" s="2072"/>
      <c r="GU57" s="2072"/>
      <c r="GV57" s="2072"/>
      <c r="GW57" s="2072"/>
      <c r="GX57" s="2072"/>
      <c r="GY57" s="2072"/>
      <c r="GZ57" s="2072"/>
      <c r="HA57" s="2072">
        <f t="shared" si="3"/>
        <v>74865</v>
      </c>
      <c r="HB57" s="2072"/>
      <c r="HC57" s="2072"/>
      <c r="HD57" s="2072"/>
      <c r="HE57" s="2072"/>
      <c r="HF57" s="2072"/>
      <c r="HG57" s="2072"/>
      <c r="HH57" s="2072"/>
      <c r="HI57" s="2072"/>
      <c r="HJ57" s="2072"/>
      <c r="HK57" s="2072"/>
      <c r="HL57" s="2072"/>
      <c r="HM57" s="2072"/>
      <c r="HN57" s="2072"/>
      <c r="HO57" s="2072"/>
      <c r="HP57" s="2072"/>
      <c r="HQ57" s="2072"/>
      <c r="HR57" s="2072"/>
      <c r="HS57" s="2072"/>
      <c r="HT57" s="2071">
        <f t="shared" si="4"/>
        <v>333232347</v>
      </c>
      <c r="HU57" s="2071"/>
      <c r="HV57" s="2071"/>
      <c r="HW57" s="2071"/>
      <c r="HX57" s="2071"/>
      <c r="HY57" s="2071"/>
      <c r="HZ57" s="2071"/>
      <c r="IA57" s="2071"/>
      <c r="IB57" s="2071"/>
      <c r="IC57" s="2071"/>
      <c r="ID57" s="2071"/>
      <c r="IE57" s="2071"/>
      <c r="IF57" s="2071"/>
      <c r="IG57" s="2071"/>
      <c r="IH57" s="2071"/>
      <c r="II57" s="2071"/>
      <c r="IJ57" s="2071"/>
      <c r="IK57" s="2071"/>
      <c r="IL57" s="2071"/>
      <c r="IM57" s="2071"/>
      <c r="IN57" s="2071"/>
      <c r="IO57" s="2071"/>
      <c r="IP57" s="2071"/>
      <c r="IQ57" s="2071"/>
      <c r="IR57" s="2071"/>
      <c r="IS57" s="2071"/>
      <c r="IT57" s="2071"/>
      <c r="IU57" s="2071"/>
      <c r="IV57" s="222"/>
    </row>
    <row r="58" spans="1:256" ht="20.25" customHeight="1">
      <c r="A58" s="2035"/>
      <c r="B58" s="2035"/>
      <c r="C58" s="238"/>
      <c r="D58" s="2073" t="s">
        <v>62</v>
      </c>
      <c r="E58" s="2073"/>
      <c r="F58" s="2073"/>
      <c r="G58" s="2073"/>
      <c r="H58" s="2073"/>
      <c r="I58" s="2073"/>
      <c r="J58" s="2073"/>
      <c r="K58" s="2073"/>
      <c r="L58" s="2073"/>
      <c r="M58" s="2073"/>
      <c r="N58" s="2073"/>
      <c r="O58" s="2073"/>
      <c r="P58" s="239"/>
      <c r="Q58" s="2060">
        <f>ROUND(DL59/L80,2)</f>
        <v>0</v>
      </c>
      <c r="R58" s="2060"/>
      <c r="S58" s="2060"/>
      <c r="T58" s="2060"/>
      <c r="U58" s="2060"/>
      <c r="V58" s="2060">
        <f>ROUND(GD59/DE66,2)</f>
        <v>0</v>
      </c>
      <c r="W58" s="2060"/>
      <c r="X58" s="2060"/>
      <c r="Y58" s="2060"/>
      <c r="Z58" s="2060"/>
      <c r="AA58" s="2068">
        <f>IFERROR(ROUNDDOWN(Q58/V58*100,2),0)</f>
        <v>0</v>
      </c>
      <c r="AB58" s="2068"/>
      <c r="AC58" s="2068"/>
      <c r="AD58" s="2068"/>
      <c r="AE58" s="2068"/>
      <c r="AF58" s="2069"/>
      <c r="AG58" s="2069"/>
      <c r="AH58" s="2069"/>
      <c r="AI58" s="2069"/>
      <c r="AJ58" s="2069"/>
      <c r="AK58" s="2069"/>
      <c r="AL58" s="2069"/>
      <c r="AM58" s="2069"/>
      <c r="AN58" s="2069"/>
      <c r="AO58" s="2069"/>
      <c r="AP58" s="2069"/>
      <c r="AQ58" s="2069"/>
      <c r="AR58" s="2069"/>
      <c r="AS58" s="2069"/>
      <c r="AT58" s="2069"/>
      <c r="AU58" s="2070">
        <f>ROUND(FB59/DE66,0)</f>
        <v>0</v>
      </c>
      <c r="AV58" s="2070"/>
      <c r="AW58" s="2070"/>
      <c r="AX58" s="2070"/>
      <c r="AY58" s="2070"/>
      <c r="AZ58" s="2070">
        <f>ROUND(HT59/DE65,0)</f>
        <v>4</v>
      </c>
      <c r="BA58" s="2070"/>
      <c r="BB58" s="2070"/>
      <c r="BC58" s="2070"/>
      <c r="BD58" s="2070"/>
      <c r="BE58" s="2060">
        <f>IFERROR(ROUNDDOWN((AU58/AZ58)*100,2),0)</f>
        <v>0</v>
      </c>
      <c r="BF58" s="2060"/>
      <c r="BG58" s="2060"/>
      <c r="BH58" s="2060"/>
      <c r="BI58" s="2060"/>
      <c r="BM58" s="1958"/>
      <c r="BN58" s="1958"/>
      <c r="BO58" s="167"/>
      <c r="BP58" s="167"/>
      <c r="BQ58" s="218"/>
      <c r="BR58" s="188"/>
      <c r="BS58" s="189"/>
      <c r="BT58" s="1932" t="s">
        <v>53</v>
      </c>
      <c r="BU58" s="1932"/>
      <c r="BV58" s="1932"/>
      <c r="BW58" s="1932"/>
      <c r="BX58" s="1932"/>
      <c r="BY58" s="1932"/>
      <c r="BZ58" s="1932"/>
      <c r="CA58" s="1932"/>
      <c r="CB58" s="1932"/>
      <c r="CC58" s="1932"/>
      <c r="CD58" s="1932"/>
      <c r="CE58" s="1932"/>
      <c r="CF58" s="1932"/>
      <c r="CG58" s="1932"/>
      <c r="CH58" s="1932"/>
      <c r="CI58" s="1932"/>
      <c r="CJ58" s="1932"/>
      <c r="CK58" s="1932"/>
      <c r="CL58" s="1932"/>
      <c r="CM58" s="1932"/>
      <c r="CN58" s="1932"/>
      <c r="CO58" s="1932"/>
      <c r="CP58" s="1932"/>
      <c r="CQ58" s="1932"/>
      <c r="CR58" s="1932"/>
      <c r="CS58" s="1932"/>
      <c r="CT58" s="1932"/>
      <c r="CU58" s="1932"/>
      <c r="CV58" s="1932"/>
      <c r="CW58" s="1932"/>
      <c r="CX58" s="1932"/>
      <c r="CY58" s="1932"/>
      <c r="CZ58" s="1932"/>
      <c r="DA58" s="1932"/>
      <c r="DB58" s="1932"/>
      <c r="DC58" s="1932"/>
      <c r="DD58" s="1932"/>
      <c r="DE58" s="1932"/>
      <c r="DF58" s="1932"/>
      <c r="DG58" s="1932"/>
      <c r="DH58" s="1932"/>
      <c r="DI58" s="1932"/>
      <c r="DJ58" s="189"/>
      <c r="DK58" s="197"/>
      <c r="DL58" s="2074">
        <f>'報告_短期P7-10'!AZ151</f>
        <v>838</v>
      </c>
      <c r="DM58" s="2074"/>
      <c r="DN58" s="2074"/>
      <c r="DO58" s="2074"/>
      <c r="DP58" s="2074"/>
      <c r="DQ58" s="2074"/>
      <c r="DR58" s="2074"/>
      <c r="DS58" s="2074"/>
      <c r="DT58" s="2074"/>
      <c r="DU58" s="2074"/>
      <c r="DV58" s="2074"/>
      <c r="DW58" s="2074"/>
      <c r="DX58" s="2074"/>
      <c r="DY58" s="2074"/>
      <c r="DZ58" s="2074"/>
      <c r="EA58" s="2074"/>
      <c r="EB58" s="2074"/>
      <c r="EC58" s="2074"/>
      <c r="ED58" s="2074"/>
      <c r="EE58" s="2074"/>
      <c r="EF58" s="2074"/>
      <c r="EG58" s="2074"/>
      <c r="EH58" s="2074"/>
      <c r="EI58" s="2055">
        <f>'報告_短期P7-10'!BW151</f>
        <v>4775</v>
      </c>
      <c r="EJ58" s="2055"/>
      <c r="EK58" s="2055"/>
      <c r="EL58" s="2055"/>
      <c r="EM58" s="2055"/>
      <c r="EN58" s="2055"/>
      <c r="EO58" s="2055"/>
      <c r="EP58" s="2055"/>
      <c r="EQ58" s="2055"/>
      <c r="ER58" s="2055"/>
      <c r="ES58" s="2055"/>
      <c r="ET58" s="2055"/>
      <c r="EU58" s="2055"/>
      <c r="EV58" s="2055"/>
      <c r="EW58" s="2055"/>
      <c r="EX58" s="2055"/>
      <c r="EY58" s="2055"/>
      <c r="EZ58" s="2055"/>
      <c r="FA58" s="2055"/>
      <c r="FB58" s="2055">
        <f>'報告_短期P7-10'!CP151</f>
        <v>39360367</v>
      </c>
      <c r="FC58" s="2055"/>
      <c r="FD58" s="2055"/>
      <c r="FE58" s="2055"/>
      <c r="FF58" s="2055"/>
      <c r="FG58" s="2055"/>
      <c r="FH58" s="2055"/>
      <c r="FI58" s="2055"/>
      <c r="FJ58" s="2055"/>
      <c r="FK58" s="2055"/>
      <c r="FL58" s="2055"/>
      <c r="FM58" s="2055"/>
      <c r="FN58" s="2055"/>
      <c r="FO58" s="2055"/>
      <c r="FP58" s="2055"/>
      <c r="FQ58" s="2055"/>
      <c r="FR58" s="2055"/>
      <c r="FS58" s="2055"/>
      <c r="FT58" s="2055"/>
      <c r="FU58" s="2055"/>
      <c r="FV58" s="2055"/>
      <c r="FW58" s="2055"/>
      <c r="FX58" s="2055"/>
      <c r="FY58" s="2055"/>
      <c r="FZ58" s="2055"/>
      <c r="GA58" s="2055"/>
      <c r="GB58" s="2055"/>
      <c r="GC58" s="2055"/>
      <c r="GD58" s="2074">
        <f t="shared" si="2"/>
        <v>636</v>
      </c>
      <c r="GE58" s="2074"/>
      <c r="GF58" s="2074"/>
      <c r="GG58" s="2074"/>
      <c r="GH58" s="2074"/>
      <c r="GI58" s="2074"/>
      <c r="GJ58" s="2074"/>
      <c r="GK58" s="2074"/>
      <c r="GL58" s="2074"/>
      <c r="GM58" s="2074"/>
      <c r="GN58" s="2074"/>
      <c r="GO58" s="2074"/>
      <c r="GP58" s="2074"/>
      <c r="GQ58" s="2074"/>
      <c r="GR58" s="2074"/>
      <c r="GS58" s="2074"/>
      <c r="GT58" s="2074"/>
      <c r="GU58" s="2074"/>
      <c r="GV58" s="2074"/>
      <c r="GW58" s="2074"/>
      <c r="GX58" s="2074"/>
      <c r="GY58" s="2074"/>
      <c r="GZ58" s="2074"/>
      <c r="HA58" s="2055">
        <f t="shared" si="3"/>
        <v>3248</v>
      </c>
      <c r="HB58" s="2055"/>
      <c r="HC58" s="2055"/>
      <c r="HD58" s="2055"/>
      <c r="HE58" s="2055"/>
      <c r="HF58" s="2055"/>
      <c r="HG58" s="2055"/>
      <c r="HH58" s="2055"/>
      <c r="HI58" s="2055"/>
      <c r="HJ58" s="2055"/>
      <c r="HK58" s="2055"/>
      <c r="HL58" s="2055"/>
      <c r="HM58" s="2055"/>
      <c r="HN58" s="2055"/>
      <c r="HO58" s="2055"/>
      <c r="HP58" s="2055"/>
      <c r="HQ58" s="2055"/>
      <c r="HR58" s="2055"/>
      <c r="HS58" s="2055"/>
      <c r="HT58" s="2055">
        <f t="shared" si="4"/>
        <v>27470107</v>
      </c>
      <c r="HU58" s="2055"/>
      <c r="HV58" s="2055"/>
      <c r="HW58" s="2055"/>
      <c r="HX58" s="2055"/>
      <c r="HY58" s="2055"/>
      <c r="HZ58" s="2055"/>
      <c r="IA58" s="2055"/>
      <c r="IB58" s="2055"/>
      <c r="IC58" s="2055"/>
      <c r="ID58" s="2055"/>
      <c r="IE58" s="2055"/>
      <c r="IF58" s="2055"/>
      <c r="IG58" s="2055"/>
      <c r="IH58" s="2055"/>
      <c r="II58" s="2055"/>
      <c r="IJ58" s="2055"/>
      <c r="IK58" s="2055"/>
      <c r="IL58" s="2055"/>
      <c r="IM58" s="2055"/>
      <c r="IN58" s="2055"/>
      <c r="IO58" s="2055"/>
      <c r="IP58" s="2055"/>
      <c r="IQ58" s="2055"/>
      <c r="IR58" s="2055"/>
      <c r="IS58" s="2055"/>
      <c r="IT58" s="2055"/>
      <c r="IU58" s="2055"/>
      <c r="IV58" s="222"/>
    </row>
    <row r="59" spans="1:256" ht="20.25" customHeight="1">
      <c r="A59" s="2035"/>
      <c r="B59" s="2035"/>
      <c r="C59" s="236"/>
      <c r="D59" s="2030" t="s">
        <v>351</v>
      </c>
      <c r="E59" s="2030"/>
      <c r="F59" s="2030"/>
      <c r="G59" s="2030"/>
      <c r="H59" s="2030"/>
      <c r="I59" s="2030" t="s">
        <v>351</v>
      </c>
      <c r="J59" s="2030"/>
      <c r="K59" s="2030"/>
      <c r="L59" s="2030"/>
      <c r="M59" s="2030"/>
      <c r="N59" s="2030"/>
      <c r="O59" s="2030"/>
      <c r="P59" s="237"/>
      <c r="Q59" s="2060">
        <f>ROUND((DL52+DL53+DL54)/L80,2)</f>
        <v>5.66</v>
      </c>
      <c r="R59" s="2060"/>
      <c r="S59" s="2060"/>
      <c r="T59" s="2060"/>
      <c r="U59" s="2060"/>
      <c r="V59" s="2060">
        <f>ROUND((GD52+GD53+GD54)/DE65,2)</f>
        <v>5.69</v>
      </c>
      <c r="W59" s="2060"/>
      <c r="X59" s="2060"/>
      <c r="Y59" s="2060"/>
      <c r="Z59" s="2060"/>
      <c r="AA59" s="2068">
        <f>ROUNDDOWN(Q59/V59*100,2)</f>
        <v>99.47</v>
      </c>
      <c r="AB59" s="2068"/>
      <c r="AC59" s="2068"/>
      <c r="AD59" s="2068"/>
      <c r="AE59" s="2068"/>
      <c r="AF59" s="2061">
        <f>ROUND(EI60/DE66,2)</f>
        <v>8.2799999999999994</v>
      </c>
      <c r="AG59" s="2061"/>
      <c r="AH59" s="2061"/>
      <c r="AI59" s="2061"/>
      <c r="AJ59" s="2061"/>
      <c r="AK59" s="2061">
        <f>ROUND(HA60/DE65,2)</f>
        <v>8.32</v>
      </c>
      <c r="AL59" s="2061"/>
      <c r="AM59" s="2061"/>
      <c r="AN59" s="2061"/>
      <c r="AO59" s="2061"/>
      <c r="AP59" s="2061">
        <f>ROUNDDOWN((AF59/AK59)*100,2)</f>
        <v>99.51</v>
      </c>
      <c r="AQ59" s="2061"/>
      <c r="AR59" s="2061"/>
      <c r="AS59" s="2061"/>
      <c r="AT59" s="2061"/>
      <c r="AU59" s="2063">
        <f>ROUND((FB52+FB53+FB54+FB55+FB56+FB57+FB58+FB59)/DE66,0)</f>
        <v>86050</v>
      </c>
      <c r="AV59" s="2063"/>
      <c r="AW59" s="2063"/>
      <c r="AX59" s="2063"/>
      <c r="AY59" s="2063"/>
      <c r="AZ59" s="2063">
        <f>ROUND((HT52+HT53+HT54+HT55+HT57+HT58+HT59)/DE65,0)</f>
        <v>83055</v>
      </c>
      <c r="BA59" s="2063"/>
      <c r="BB59" s="2063"/>
      <c r="BC59" s="2063"/>
      <c r="BD59" s="2063"/>
      <c r="BE59" s="2061">
        <f>ROUNDDOWN((AU59/AZ59)*100,2)</f>
        <v>103.6</v>
      </c>
      <c r="BF59" s="2061"/>
      <c r="BG59" s="2061"/>
      <c r="BH59" s="2061"/>
      <c r="BI59" s="2061"/>
      <c r="BM59" s="1962" t="s">
        <v>459</v>
      </c>
      <c r="BN59" s="1962"/>
      <c r="BO59" s="1962"/>
      <c r="BP59" s="1962"/>
      <c r="BQ59" s="1962"/>
      <c r="BR59" s="188"/>
      <c r="BS59" s="189"/>
      <c r="BT59" s="1932" t="s">
        <v>62</v>
      </c>
      <c r="BU59" s="1932"/>
      <c r="BV59" s="1932"/>
      <c r="BW59" s="1932"/>
      <c r="BX59" s="1932"/>
      <c r="BY59" s="1932"/>
      <c r="BZ59" s="1932"/>
      <c r="CA59" s="1932"/>
      <c r="CB59" s="1932"/>
      <c r="CC59" s="1932"/>
      <c r="CD59" s="1932"/>
      <c r="CE59" s="1932"/>
      <c r="CF59" s="1932"/>
      <c r="CG59" s="1932"/>
      <c r="CH59" s="1932"/>
      <c r="CI59" s="1932"/>
      <c r="CJ59" s="1932"/>
      <c r="CK59" s="1932"/>
      <c r="CL59" s="1932"/>
      <c r="CM59" s="1932"/>
      <c r="CN59" s="1932"/>
      <c r="CO59" s="1932"/>
      <c r="CP59" s="1932"/>
      <c r="CQ59" s="1932"/>
      <c r="CR59" s="1932"/>
      <c r="CS59" s="1932"/>
      <c r="CT59" s="1932"/>
      <c r="CU59" s="1932"/>
      <c r="CV59" s="1932"/>
      <c r="CW59" s="1932"/>
      <c r="CX59" s="1932"/>
      <c r="CY59" s="1932"/>
      <c r="CZ59" s="1932"/>
      <c r="DA59" s="1932"/>
      <c r="DB59" s="1932"/>
      <c r="DC59" s="1932"/>
      <c r="DD59" s="1932"/>
      <c r="DE59" s="1932"/>
      <c r="DF59" s="1932"/>
      <c r="DG59" s="1932"/>
      <c r="DH59" s="1932"/>
      <c r="DI59" s="1932"/>
      <c r="DJ59" s="189"/>
      <c r="DK59" s="197"/>
      <c r="DL59" s="2055">
        <f>'報告_短期P7-10'!AZ152</f>
        <v>0</v>
      </c>
      <c r="DM59" s="2055"/>
      <c r="DN59" s="2055"/>
      <c r="DO59" s="2055"/>
      <c r="DP59" s="2055"/>
      <c r="DQ59" s="2055"/>
      <c r="DR59" s="2055"/>
      <c r="DS59" s="2055"/>
      <c r="DT59" s="2055"/>
      <c r="DU59" s="2055"/>
      <c r="DV59" s="2055"/>
      <c r="DW59" s="2055"/>
      <c r="DX59" s="2055"/>
      <c r="DY59" s="2055"/>
      <c r="DZ59" s="2055"/>
      <c r="EA59" s="2055"/>
      <c r="EB59" s="2055"/>
      <c r="EC59" s="2055"/>
      <c r="ED59" s="2055"/>
      <c r="EE59" s="2055"/>
      <c r="EF59" s="2055"/>
      <c r="EG59" s="2055"/>
      <c r="EH59" s="2055"/>
      <c r="EI59" s="2066"/>
      <c r="EJ59" s="2066"/>
      <c r="EK59" s="2066"/>
      <c r="EL59" s="2066"/>
      <c r="EM59" s="2066"/>
      <c r="EN59" s="2066"/>
      <c r="EO59" s="2066"/>
      <c r="EP59" s="2066"/>
      <c r="EQ59" s="2066"/>
      <c r="ER59" s="2066"/>
      <c r="ES59" s="2066"/>
      <c r="ET59" s="2066"/>
      <c r="EU59" s="2066"/>
      <c r="EV59" s="2066"/>
      <c r="EW59" s="2066"/>
      <c r="EX59" s="2066"/>
      <c r="EY59" s="2066"/>
      <c r="EZ59" s="2066"/>
      <c r="FA59" s="2066"/>
      <c r="FB59" s="2055">
        <f>'報告_短期P7-10'!CP152</f>
        <v>0</v>
      </c>
      <c r="FC59" s="2055"/>
      <c r="FD59" s="2055"/>
      <c r="FE59" s="2055"/>
      <c r="FF59" s="2055"/>
      <c r="FG59" s="2055"/>
      <c r="FH59" s="2055"/>
      <c r="FI59" s="2055"/>
      <c r="FJ59" s="2055"/>
      <c r="FK59" s="2055"/>
      <c r="FL59" s="2055"/>
      <c r="FM59" s="2055"/>
      <c r="FN59" s="2055"/>
      <c r="FO59" s="2055"/>
      <c r="FP59" s="2055"/>
      <c r="FQ59" s="2055"/>
      <c r="FR59" s="2055"/>
      <c r="FS59" s="2055"/>
      <c r="FT59" s="2055"/>
      <c r="FU59" s="2055"/>
      <c r="FV59" s="2055"/>
      <c r="FW59" s="2055"/>
      <c r="FX59" s="2055"/>
      <c r="FY59" s="2055"/>
      <c r="FZ59" s="2055"/>
      <c r="GA59" s="2055"/>
      <c r="GB59" s="2055"/>
      <c r="GC59" s="2055"/>
      <c r="GD59" s="2055">
        <f t="shared" si="2"/>
        <v>1</v>
      </c>
      <c r="GE59" s="2055"/>
      <c r="GF59" s="2055"/>
      <c r="GG59" s="2055"/>
      <c r="GH59" s="2055"/>
      <c r="GI59" s="2055"/>
      <c r="GJ59" s="2055"/>
      <c r="GK59" s="2055"/>
      <c r="GL59" s="2055"/>
      <c r="GM59" s="2055"/>
      <c r="GN59" s="2055"/>
      <c r="GO59" s="2055"/>
      <c r="GP59" s="2055"/>
      <c r="GQ59" s="2055"/>
      <c r="GR59" s="2055"/>
      <c r="GS59" s="2055"/>
      <c r="GT59" s="2055"/>
      <c r="GU59" s="2055"/>
      <c r="GV59" s="2055"/>
      <c r="GW59" s="2055"/>
      <c r="GX59" s="2055"/>
      <c r="GY59" s="2055"/>
      <c r="GZ59" s="2055"/>
      <c r="HA59" s="2066">
        <f t="shared" si="3"/>
        <v>0</v>
      </c>
      <c r="HB59" s="2066"/>
      <c r="HC59" s="2066"/>
      <c r="HD59" s="2066"/>
      <c r="HE59" s="2066"/>
      <c r="HF59" s="2066"/>
      <c r="HG59" s="2066"/>
      <c r="HH59" s="2066"/>
      <c r="HI59" s="2066"/>
      <c r="HJ59" s="2066"/>
      <c r="HK59" s="2066"/>
      <c r="HL59" s="2066"/>
      <c r="HM59" s="2066"/>
      <c r="HN59" s="2066"/>
      <c r="HO59" s="2066"/>
      <c r="HP59" s="2066"/>
      <c r="HQ59" s="2066"/>
      <c r="HR59" s="2066"/>
      <c r="HS59" s="2066"/>
      <c r="HT59" s="2055">
        <f t="shared" si="4"/>
        <v>70824</v>
      </c>
      <c r="HU59" s="2055"/>
      <c r="HV59" s="2055"/>
      <c r="HW59" s="2055"/>
      <c r="HX59" s="2055"/>
      <c r="HY59" s="2055"/>
      <c r="HZ59" s="2055"/>
      <c r="IA59" s="2055"/>
      <c r="IB59" s="2055"/>
      <c r="IC59" s="2055"/>
      <c r="ID59" s="2055"/>
      <c r="IE59" s="2055"/>
      <c r="IF59" s="2055"/>
      <c r="IG59" s="2055"/>
      <c r="IH59" s="2055"/>
      <c r="II59" s="2055"/>
      <c r="IJ59" s="2055"/>
      <c r="IK59" s="2055"/>
      <c r="IL59" s="2055"/>
      <c r="IM59" s="2055"/>
      <c r="IN59" s="2055"/>
      <c r="IO59" s="2055"/>
      <c r="IP59" s="2055"/>
      <c r="IQ59" s="2055"/>
      <c r="IR59" s="2055"/>
      <c r="IS59" s="2055"/>
      <c r="IT59" s="2055"/>
      <c r="IU59" s="2055"/>
      <c r="IV59" s="222"/>
    </row>
    <row r="60" spans="1:256" ht="20.25" customHeight="1">
      <c r="A60" s="240"/>
      <c r="B60" s="2067" t="s">
        <v>104</v>
      </c>
      <c r="C60" s="2067"/>
      <c r="D60" s="2067"/>
      <c r="E60" s="2067"/>
      <c r="F60" s="2067"/>
      <c r="G60" s="2067"/>
      <c r="H60" s="2067"/>
      <c r="I60" s="2067"/>
      <c r="J60" s="2067"/>
      <c r="K60" s="2067"/>
      <c r="L60" s="2067"/>
      <c r="M60" s="2067"/>
      <c r="N60" s="2067"/>
      <c r="O60" s="2067"/>
      <c r="P60" s="241"/>
      <c r="Q60" s="2060">
        <f>ROUND(DL61/L80,2)</f>
        <v>0.18</v>
      </c>
      <c r="R60" s="2060"/>
      <c r="S60" s="2060"/>
      <c r="T60" s="2060"/>
      <c r="U60" s="2060"/>
      <c r="V60" s="2060">
        <f>ROUND(GD61/DE65,2)</f>
        <v>0.16</v>
      </c>
      <c r="W60" s="2060"/>
      <c r="X60" s="2060"/>
      <c r="Y60" s="2060"/>
      <c r="Z60" s="2060"/>
      <c r="AA60" s="2068">
        <f>ROUNDDOWN(Q60/V60*100,2)</f>
        <v>112.5</v>
      </c>
      <c r="AB60" s="2068"/>
      <c r="AC60" s="2068"/>
      <c r="AD60" s="2068"/>
      <c r="AE60" s="2068"/>
      <c r="AF60" s="2069"/>
      <c r="AG60" s="2069"/>
      <c r="AH60" s="2069"/>
      <c r="AI60" s="2069"/>
      <c r="AJ60" s="2069"/>
      <c r="AK60" s="2069"/>
      <c r="AL60" s="2069"/>
      <c r="AM60" s="2069"/>
      <c r="AN60" s="2069"/>
      <c r="AO60" s="2069"/>
      <c r="AP60" s="2069"/>
      <c r="AQ60" s="2069"/>
      <c r="AR60" s="2069"/>
      <c r="AS60" s="2069"/>
      <c r="AT60" s="2069"/>
      <c r="AU60" s="2070">
        <f>ROUND(FB61/DE66,0)</f>
        <v>21168</v>
      </c>
      <c r="AV60" s="2070"/>
      <c r="AW60" s="2070"/>
      <c r="AX60" s="2070"/>
      <c r="AY60" s="2070"/>
      <c r="AZ60" s="2070">
        <f>ROUND(HT61/DE65,5)</f>
        <v>20226.823410000001</v>
      </c>
      <c r="BA60" s="2070"/>
      <c r="BB60" s="2070"/>
      <c r="BC60" s="2070"/>
      <c r="BD60" s="2070"/>
      <c r="BE60" s="2060">
        <f>ROUNDDOWN((AU60/AZ60)*100,2)</f>
        <v>104.65</v>
      </c>
      <c r="BF60" s="2060"/>
      <c r="BG60" s="2060"/>
      <c r="BH60" s="2060"/>
      <c r="BI60" s="2060"/>
      <c r="BM60" s="187"/>
      <c r="BN60" s="167"/>
      <c r="BO60" s="167"/>
      <c r="BP60" s="167"/>
      <c r="BQ60" s="218"/>
      <c r="BR60" s="188"/>
      <c r="BS60" s="189"/>
      <c r="BT60" s="1951" t="s">
        <v>351</v>
      </c>
      <c r="BU60" s="1951"/>
      <c r="BV60" s="1951"/>
      <c r="BW60" s="1951"/>
      <c r="BX60" s="1951"/>
      <c r="BY60" s="1951"/>
      <c r="BZ60" s="1951"/>
      <c r="CA60" s="1951"/>
      <c r="CB60" s="1951"/>
      <c r="CC60" s="1951"/>
      <c r="CD60" s="1951"/>
      <c r="CE60" s="1951"/>
      <c r="CF60" s="1951"/>
      <c r="CG60" s="1951"/>
      <c r="CH60" s="1951"/>
      <c r="CI60" s="1951"/>
      <c r="CJ60" s="1951"/>
      <c r="CK60" s="1951"/>
      <c r="CL60" s="1951"/>
      <c r="CM60" s="1951"/>
      <c r="CN60" s="1951"/>
      <c r="CO60" s="1951"/>
      <c r="CP60" s="1951"/>
      <c r="CQ60" s="1951"/>
      <c r="CR60" s="1951"/>
      <c r="CS60" s="1951"/>
      <c r="CT60" s="1951"/>
      <c r="CU60" s="1951"/>
      <c r="CV60" s="1951"/>
      <c r="CW60" s="1951"/>
      <c r="CX60" s="1951"/>
      <c r="CY60" s="1951"/>
      <c r="CZ60" s="1951"/>
      <c r="DA60" s="1951"/>
      <c r="DB60" s="1951"/>
      <c r="DC60" s="1951"/>
      <c r="DD60" s="1951"/>
      <c r="DE60" s="1951"/>
      <c r="DF60" s="1951"/>
      <c r="DG60" s="1951"/>
      <c r="DH60" s="1951"/>
      <c r="DI60" s="1951"/>
      <c r="DJ60" s="189"/>
      <c r="DK60" s="197"/>
      <c r="DL60" s="2055">
        <f>SUM(DL52:EH54,DL59)</f>
        <v>107877</v>
      </c>
      <c r="DM60" s="2055"/>
      <c r="DN60" s="2055"/>
      <c r="DO60" s="2055"/>
      <c r="DP60" s="2055"/>
      <c r="DQ60" s="2055"/>
      <c r="DR60" s="2055"/>
      <c r="DS60" s="2055"/>
      <c r="DT60" s="2055"/>
      <c r="DU60" s="2055"/>
      <c r="DV60" s="2055"/>
      <c r="DW60" s="2055"/>
      <c r="DX60" s="2055"/>
      <c r="DY60" s="2055"/>
      <c r="DZ60" s="2055"/>
      <c r="EA60" s="2055"/>
      <c r="EB60" s="2055"/>
      <c r="EC60" s="2055"/>
      <c r="ED60" s="2055"/>
      <c r="EE60" s="2055"/>
      <c r="EF60" s="2055"/>
      <c r="EG60" s="2055"/>
      <c r="EH60" s="2055"/>
      <c r="EI60" s="2055">
        <f>SUM(EI52:FA54,EI58)</f>
        <v>157834</v>
      </c>
      <c r="EJ60" s="2055"/>
      <c r="EK60" s="2055"/>
      <c r="EL60" s="2055"/>
      <c r="EM60" s="2055"/>
      <c r="EN60" s="2055"/>
      <c r="EO60" s="2055"/>
      <c r="EP60" s="2055"/>
      <c r="EQ60" s="2055"/>
      <c r="ER60" s="2055"/>
      <c r="ES60" s="2055"/>
      <c r="ET60" s="2055"/>
      <c r="EU60" s="2055"/>
      <c r="EV60" s="2055"/>
      <c r="EW60" s="2055"/>
      <c r="EX60" s="2055"/>
      <c r="EY60" s="2055"/>
      <c r="EZ60" s="2055"/>
      <c r="FA60" s="2055"/>
      <c r="FB60" s="2055">
        <f>SUM(FB52:GC59)</f>
        <v>1640119725</v>
      </c>
      <c r="FC60" s="2055"/>
      <c r="FD60" s="2055"/>
      <c r="FE60" s="2055"/>
      <c r="FF60" s="2055"/>
      <c r="FG60" s="2055"/>
      <c r="FH60" s="2055"/>
      <c r="FI60" s="2055"/>
      <c r="FJ60" s="2055"/>
      <c r="FK60" s="2055"/>
      <c r="FL60" s="2055"/>
      <c r="FM60" s="2055"/>
      <c r="FN60" s="2055"/>
      <c r="FO60" s="2055"/>
      <c r="FP60" s="2055"/>
      <c r="FQ60" s="2055"/>
      <c r="FR60" s="2055"/>
      <c r="FS60" s="2055"/>
      <c r="FT60" s="2055"/>
      <c r="FU60" s="2055"/>
      <c r="FV60" s="2055"/>
      <c r="FW60" s="2055"/>
      <c r="FX60" s="2055"/>
      <c r="FY60" s="2055"/>
      <c r="FZ60" s="2055"/>
      <c r="GA60" s="2055"/>
      <c r="GB60" s="2055"/>
      <c r="GC60" s="2055"/>
      <c r="GD60" s="2055">
        <f t="shared" si="2"/>
        <v>107570</v>
      </c>
      <c r="GE60" s="2055"/>
      <c r="GF60" s="2055"/>
      <c r="GG60" s="2055"/>
      <c r="GH60" s="2055"/>
      <c r="GI60" s="2055"/>
      <c r="GJ60" s="2055"/>
      <c r="GK60" s="2055"/>
      <c r="GL60" s="2055"/>
      <c r="GM60" s="2055"/>
      <c r="GN60" s="2055"/>
      <c r="GO60" s="2055"/>
      <c r="GP60" s="2055"/>
      <c r="GQ60" s="2055"/>
      <c r="GR60" s="2055"/>
      <c r="GS60" s="2055"/>
      <c r="GT60" s="2055"/>
      <c r="GU60" s="2055"/>
      <c r="GV60" s="2055"/>
      <c r="GW60" s="2055"/>
      <c r="GX60" s="2055"/>
      <c r="GY60" s="2055"/>
      <c r="GZ60" s="2055"/>
      <c r="HA60" s="2055">
        <f t="shared" si="3"/>
        <v>157361</v>
      </c>
      <c r="HB60" s="2055"/>
      <c r="HC60" s="2055"/>
      <c r="HD60" s="2055"/>
      <c r="HE60" s="2055"/>
      <c r="HF60" s="2055"/>
      <c r="HG60" s="2055"/>
      <c r="HH60" s="2055"/>
      <c r="HI60" s="2055"/>
      <c r="HJ60" s="2055"/>
      <c r="HK60" s="2055"/>
      <c r="HL60" s="2055"/>
      <c r="HM60" s="2055"/>
      <c r="HN60" s="2055"/>
      <c r="HO60" s="2055"/>
      <c r="HP60" s="2055"/>
      <c r="HQ60" s="2055"/>
      <c r="HR60" s="2055"/>
      <c r="HS60" s="2055"/>
      <c r="HT60" s="2055">
        <f t="shared" si="4"/>
        <v>1571317297</v>
      </c>
      <c r="HU60" s="2055"/>
      <c r="HV60" s="2055"/>
      <c r="HW60" s="2055"/>
      <c r="HX60" s="2055"/>
      <c r="HY60" s="2055"/>
      <c r="HZ60" s="2055"/>
      <c r="IA60" s="2055"/>
      <c r="IB60" s="2055"/>
      <c r="IC60" s="2055"/>
      <c r="ID60" s="2055"/>
      <c r="IE60" s="2055"/>
      <c r="IF60" s="2055"/>
      <c r="IG60" s="2055"/>
      <c r="IH60" s="2055"/>
      <c r="II60" s="2055"/>
      <c r="IJ60" s="2055"/>
      <c r="IK60" s="2055"/>
      <c r="IL60" s="2055"/>
      <c r="IM60" s="2055"/>
      <c r="IN60" s="2055"/>
      <c r="IO60" s="2055"/>
      <c r="IP60" s="2055"/>
      <c r="IQ60" s="2055"/>
      <c r="IR60" s="2055"/>
      <c r="IS60" s="2055"/>
      <c r="IT60" s="2055"/>
      <c r="IU60" s="2055"/>
      <c r="IV60" s="222"/>
    </row>
    <row r="61" spans="1:256" ht="18" customHeight="1">
      <c r="A61" s="234"/>
      <c r="B61" s="2036" t="s">
        <v>476</v>
      </c>
      <c r="C61" s="2036"/>
      <c r="D61" s="2036"/>
      <c r="E61" s="2036"/>
      <c r="F61" s="2036"/>
      <c r="G61" s="2036"/>
      <c r="H61" s="2036"/>
      <c r="I61" s="2036"/>
      <c r="J61" s="2036"/>
      <c r="K61" s="2036"/>
      <c r="L61" s="2036"/>
      <c r="M61" s="2036"/>
      <c r="N61" s="2036"/>
      <c r="O61" s="2036"/>
      <c r="P61" s="235"/>
      <c r="Q61" s="2061">
        <f>ROUND((DL43+DL44+DL45+DL52+DL53+DL54)/DE66,2)</f>
        <v>16</v>
      </c>
      <c r="R61" s="2061"/>
      <c r="S61" s="2061"/>
      <c r="T61" s="2061"/>
      <c r="U61" s="2061"/>
      <c r="V61" s="2061">
        <f>ROUND((GD43+GD44+GD45+GD52+GD53+GD54)/DE65,2)</f>
        <v>15.98</v>
      </c>
      <c r="W61" s="2061"/>
      <c r="X61" s="2061"/>
      <c r="Y61" s="2061"/>
      <c r="Z61" s="2061"/>
      <c r="AA61" s="2062">
        <f>ROUNDDOWN(Q61/V61*100,2)</f>
        <v>100.12</v>
      </c>
      <c r="AB61" s="2062"/>
      <c r="AC61" s="2062"/>
      <c r="AD61" s="2062"/>
      <c r="AE61" s="2062"/>
      <c r="AF61" s="2061">
        <f>ROUND((EI51+EI60)/DE66,2)</f>
        <v>23</v>
      </c>
      <c r="AG61" s="2061"/>
      <c r="AH61" s="2061"/>
      <c r="AI61" s="2061"/>
      <c r="AJ61" s="2061"/>
      <c r="AK61" s="2061">
        <f>ROUND((HA51+HA60)/DE65,2)</f>
        <v>23.05</v>
      </c>
      <c r="AL61" s="2061"/>
      <c r="AM61" s="2061"/>
      <c r="AN61" s="2061"/>
      <c r="AO61" s="2061"/>
      <c r="AP61" s="2061">
        <f>ROUNDDOWN((AF61/AK61)*100,2)</f>
        <v>99.78</v>
      </c>
      <c r="AQ61" s="2061"/>
      <c r="AR61" s="2061"/>
      <c r="AS61" s="2061"/>
      <c r="AT61" s="2061"/>
      <c r="AU61" s="2063">
        <f>ROUND((FB43+FB44+FB45+FB46+FB48+FB49+FB50+FB52+FB53+FB54+FB55+FB57+FB58+FB59)/DE66,0)</f>
        <v>241988</v>
      </c>
      <c r="AV61" s="2063"/>
      <c r="AW61" s="2063"/>
      <c r="AX61" s="2063"/>
      <c r="AY61" s="2063"/>
      <c r="AZ61" s="2063">
        <f>ROUND((HT43+HT44+HT45+HT46+HT48+HT49+HT50+HT52+HT53+HT54+HT55+HT57+HT58+HT59)/DE65,0)</f>
        <v>233885</v>
      </c>
      <c r="BA61" s="2063"/>
      <c r="BB61" s="2063"/>
      <c r="BC61" s="2063"/>
      <c r="BD61" s="2063"/>
      <c r="BE61" s="2061">
        <f>ROUNDDOWN((AU61/AZ61)*100,2)</f>
        <v>103.46</v>
      </c>
      <c r="BF61" s="2061"/>
      <c r="BG61" s="2061"/>
      <c r="BH61" s="2061"/>
      <c r="BI61" s="2061"/>
      <c r="BM61" s="219"/>
      <c r="BN61" s="211"/>
      <c r="BO61" s="2064" t="s">
        <v>104</v>
      </c>
      <c r="BP61" s="2064"/>
      <c r="BQ61" s="2064"/>
      <c r="BR61" s="2064"/>
      <c r="BS61" s="2064"/>
      <c r="BT61" s="2064"/>
      <c r="BU61" s="2064"/>
      <c r="BV61" s="2064"/>
      <c r="BW61" s="2064"/>
      <c r="BX61" s="2064"/>
      <c r="BY61" s="2064"/>
      <c r="BZ61" s="2064"/>
      <c r="CA61" s="2064"/>
      <c r="CB61" s="2064"/>
      <c r="CC61" s="2064"/>
      <c r="CD61" s="2064"/>
      <c r="CE61" s="2064"/>
      <c r="CF61" s="2064"/>
      <c r="CG61" s="2064"/>
      <c r="CH61" s="2064"/>
      <c r="CI61" s="2064"/>
      <c r="CJ61" s="2064"/>
      <c r="CK61" s="2064"/>
      <c r="CL61" s="2064"/>
      <c r="CM61" s="2064"/>
      <c r="CN61" s="2064"/>
      <c r="CO61" s="2064"/>
      <c r="CP61" s="2064"/>
      <c r="CQ61" s="2064"/>
      <c r="CR61" s="2064"/>
      <c r="CS61" s="2064"/>
      <c r="CT61" s="2064"/>
      <c r="CU61" s="2064"/>
      <c r="CV61" s="2064"/>
      <c r="CW61" s="2064"/>
      <c r="CX61" s="2064"/>
      <c r="CY61" s="2064"/>
      <c r="CZ61" s="2064"/>
      <c r="DA61" s="2064"/>
      <c r="DB61" s="2064"/>
      <c r="DC61" s="2064"/>
      <c r="DD61" s="2064"/>
      <c r="DE61" s="2064"/>
      <c r="DF61" s="2064"/>
      <c r="DG61" s="2064"/>
      <c r="DH61" s="2064"/>
      <c r="DI61" s="2064"/>
      <c r="DJ61" s="211"/>
      <c r="DK61" s="220"/>
      <c r="DL61" s="2065">
        <f>'報告_短期P7-10'!AZ154</f>
        <v>3345</v>
      </c>
      <c r="DM61" s="2065"/>
      <c r="DN61" s="2065"/>
      <c r="DO61" s="2065"/>
      <c r="DP61" s="2065"/>
      <c r="DQ61" s="2065"/>
      <c r="DR61" s="2065"/>
      <c r="DS61" s="2065"/>
      <c r="DT61" s="2065"/>
      <c r="DU61" s="2065"/>
      <c r="DV61" s="2065"/>
      <c r="DW61" s="2065"/>
      <c r="DX61" s="2065"/>
      <c r="DY61" s="2065"/>
      <c r="DZ61" s="2065"/>
      <c r="EA61" s="2065"/>
      <c r="EB61" s="2065"/>
      <c r="EC61" s="2065"/>
      <c r="ED61" s="2065"/>
      <c r="EE61" s="2065"/>
      <c r="EF61" s="2065"/>
      <c r="EG61" s="2065"/>
      <c r="EH61" s="2065"/>
      <c r="EI61" s="2066"/>
      <c r="EJ61" s="2066"/>
      <c r="EK61" s="2066"/>
      <c r="EL61" s="2066"/>
      <c r="EM61" s="2066"/>
      <c r="EN61" s="2066"/>
      <c r="EO61" s="2066"/>
      <c r="EP61" s="2066"/>
      <c r="EQ61" s="2066"/>
      <c r="ER61" s="2066"/>
      <c r="ES61" s="2066"/>
      <c r="ET61" s="2066"/>
      <c r="EU61" s="2066"/>
      <c r="EV61" s="2066"/>
      <c r="EW61" s="2066"/>
      <c r="EX61" s="2066"/>
      <c r="EY61" s="2066"/>
      <c r="EZ61" s="2066"/>
      <c r="FA61" s="2066"/>
      <c r="FB61" s="2055">
        <f>'報告_短期P7-10'!CP154</f>
        <v>403469203</v>
      </c>
      <c r="FC61" s="2055"/>
      <c r="FD61" s="2055"/>
      <c r="FE61" s="2055"/>
      <c r="FF61" s="2055"/>
      <c r="FG61" s="2055"/>
      <c r="FH61" s="2055"/>
      <c r="FI61" s="2055"/>
      <c r="FJ61" s="2055"/>
      <c r="FK61" s="2055"/>
      <c r="FL61" s="2055"/>
      <c r="FM61" s="2055"/>
      <c r="FN61" s="2055"/>
      <c r="FO61" s="2055"/>
      <c r="FP61" s="2055"/>
      <c r="FQ61" s="2055"/>
      <c r="FR61" s="2055"/>
      <c r="FS61" s="2055"/>
      <c r="FT61" s="2055"/>
      <c r="FU61" s="2055"/>
      <c r="FV61" s="2055"/>
      <c r="FW61" s="2055"/>
      <c r="FX61" s="2055"/>
      <c r="FY61" s="2055"/>
      <c r="FZ61" s="2055"/>
      <c r="GA61" s="2055"/>
      <c r="GB61" s="2055"/>
      <c r="GC61" s="2055"/>
      <c r="GD61" s="2065">
        <f t="shared" si="2"/>
        <v>2981</v>
      </c>
      <c r="GE61" s="2065"/>
      <c r="GF61" s="2065"/>
      <c r="GG61" s="2065"/>
      <c r="GH61" s="2065"/>
      <c r="GI61" s="2065"/>
      <c r="GJ61" s="2065"/>
      <c r="GK61" s="2065"/>
      <c r="GL61" s="2065"/>
      <c r="GM61" s="2065"/>
      <c r="GN61" s="2065"/>
      <c r="GO61" s="2065"/>
      <c r="GP61" s="2065"/>
      <c r="GQ61" s="2065"/>
      <c r="GR61" s="2065"/>
      <c r="GS61" s="2065"/>
      <c r="GT61" s="2065"/>
      <c r="GU61" s="2065"/>
      <c r="GV61" s="2065"/>
      <c r="GW61" s="2065"/>
      <c r="GX61" s="2065"/>
      <c r="GY61" s="2065"/>
      <c r="GZ61" s="2065"/>
      <c r="HA61" s="2066">
        <f t="shared" si="3"/>
        <v>0</v>
      </c>
      <c r="HB61" s="2066"/>
      <c r="HC61" s="2066"/>
      <c r="HD61" s="2066"/>
      <c r="HE61" s="2066"/>
      <c r="HF61" s="2066"/>
      <c r="HG61" s="2066"/>
      <c r="HH61" s="2066"/>
      <c r="HI61" s="2066"/>
      <c r="HJ61" s="2066"/>
      <c r="HK61" s="2066"/>
      <c r="HL61" s="2066"/>
      <c r="HM61" s="2066"/>
      <c r="HN61" s="2066"/>
      <c r="HO61" s="2066"/>
      <c r="HP61" s="2066"/>
      <c r="HQ61" s="2066"/>
      <c r="HR61" s="2066"/>
      <c r="HS61" s="2066"/>
      <c r="HT61" s="2055">
        <f t="shared" si="4"/>
        <v>382671272</v>
      </c>
      <c r="HU61" s="2055"/>
      <c r="HV61" s="2055"/>
      <c r="HW61" s="2055"/>
      <c r="HX61" s="2055"/>
      <c r="HY61" s="2055"/>
      <c r="HZ61" s="2055"/>
      <c r="IA61" s="2055"/>
      <c r="IB61" s="2055"/>
      <c r="IC61" s="2055"/>
      <c r="ID61" s="2055"/>
      <c r="IE61" s="2055"/>
      <c r="IF61" s="2055"/>
      <c r="IG61" s="2055"/>
      <c r="IH61" s="2055"/>
      <c r="II61" s="2055"/>
      <c r="IJ61" s="2055"/>
      <c r="IK61" s="2055"/>
      <c r="IL61" s="2055"/>
      <c r="IM61" s="2055"/>
      <c r="IN61" s="2055"/>
      <c r="IO61" s="2055"/>
      <c r="IP61" s="2055"/>
      <c r="IQ61" s="2055"/>
      <c r="IR61" s="2055"/>
      <c r="IS61" s="2055"/>
      <c r="IT61" s="2055"/>
      <c r="IU61" s="2055"/>
      <c r="IV61" s="222"/>
    </row>
    <row r="62" spans="1:256" ht="18" customHeight="1">
      <c r="A62" s="240"/>
      <c r="B62" s="2036"/>
      <c r="C62" s="2036"/>
      <c r="D62" s="2036"/>
      <c r="E62" s="2036"/>
      <c r="F62" s="2036"/>
      <c r="G62" s="2036"/>
      <c r="H62" s="2036"/>
      <c r="I62" s="2036"/>
      <c r="J62" s="2036"/>
      <c r="K62" s="2036"/>
      <c r="L62" s="2036"/>
      <c r="M62" s="2036"/>
      <c r="N62" s="2036"/>
      <c r="O62" s="2036"/>
      <c r="P62" s="241"/>
      <c r="Q62" s="2061"/>
      <c r="R62" s="2061"/>
      <c r="S62" s="2061"/>
      <c r="T62" s="2061"/>
      <c r="U62" s="2061"/>
      <c r="V62" s="2061"/>
      <c r="W62" s="2061"/>
      <c r="X62" s="2061"/>
      <c r="Y62" s="2061"/>
      <c r="Z62" s="2061"/>
      <c r="AA62" s="2062"/>
      <c r="AB62" s="2062"/>
      <c r="AC62" s="2062"/>
      <c r="AD62" s="2062"/>
      <c r="AE62" s="2062"/>
      <c r="AF62" s="2061"/>
      <c r="AG62" s="2061"/>
      <c r="AH62" s="2061"/>
      <c r="AI62" s="2061"/>
      <c r="AJ62" s="2061"/>
      <c r="AK62" s="2061"/>
      <c r="AL62" s="2061"/>
      <c r="AM62" s="2061"/>
      <c r="AN62" s="2061"/>
      <c r="AO62" s="2061"/>
      <c r="AP62" s="2061"/>
      <c r="AQ62" s="2061"/>
      <c r="AR62" s="2061"/>
      <c r="AS62" s="2061"/>
      <c r="AT62" s="2061"/>
      <c r="AU62" s="2063"/>
      <c r="AV62" s="2063"/>
      <c r="AW62" s="2063"/>
      <c r="AX62" s="2063"/>
      <c r="AY62" s="2063"/>
      <c r="AZ62" s="2063"/>
      <c r="BA62" s="2063"/>
      <c r="BB62" s="2063"/>
      <c r="BC62" s="2063"/>
      <c r="BD62" s="2063"/>
      <c r="BE62" s="2061"/>
      <c r="BF62" s="2061"/>
      <c r="BG62" s="2061"/>
      <c r="BH62" s="2061"/>
      <c r="BI62" s="2061"/>
      <c r="BM62" s="1943" t="s">
        <v>460</v>
      </c>
      <c r="BN62" s="1943"/>
      <c r="BO62" s="1943"/>
      <c r="BP62" s="1943"/>
      <c r="BQ62" s="1943"/>
      <c r="BR62" s="1943"/>
      <c r="BS62" s="1943"/>
      <c r="BT62" s="1943"/>
      <c r="BU62" s="1943"/>
      <c r="BV62" s="1943"/>
      <c r="BW62" s="1943"/>
      <c r="BX62" s="1943"/>
      <c r="BY62" s="1943"/>
      <c r="BZ62" s="1943"/>
      <c r="CA62" s="1943"/>
      <c r="CB62" s="1943"/>
      <c r="CC62" s="1943"/>
      <c r="CD62" s="1943"/>
      <c r="CE62" s="1943"/>
      <c r="CF62" s="1943"/>
      <c r="CG62" s="1943"/>
      <c r="CH62" s="1943"/>
      <c r="CI62" s="1943"/>
      <c r="CJ62" s="1943"/>
      <c r="CK62" s="1943"/>
      <c r="CL62" s="1943"/>
      <c r="CM62" s="1943"/>
      <c r="CN62" s="1943"/>
      <c r="CO62" s="1943"/>
      <c r="CP62" s="1943"/>
      <c r="CQ62" s="1943"/>
      <c r="CR62" s="1943"/>
      <c r="CS62" s="1943"/>
      <c r="CT62" s="1943"/>
      <c r="CU62" s="1943"/>
      <c r="CV62" s="1943"/>
      <c r="CW62" s="1943"/>
      <c r="CX62" s="1943"/>
      <c r="CY62" s="1943"/>
      <c r="CZ62" s="1943"/>
      <c r="DA62" s="1943"/>
      <c r="DB62" s="1943"/>
      <c r="DC62" s="1943"/>
      <c r="DD62" s="1943"/>
      <c r="DE62" s="1943"/>
      <c r="DF62" s="1943"/>
      <c r="DG62" s="1943"/>
      <c r="DH62" s="1943"/>
      <c r="DI62" s="1943"/>
      <c r="DJ62" s="1943"/>
      <c r="DK62" s="1943"/>
      <c r="DL62" s="2057">
        <f>DL61</f>
        <v>3345</v>
      </c>
      <c r="DM62" s="2057"/>
      <c r="DN62" s="2057"/>
      <c r="DO62" s="2057"/>
      <c r="DP62" s="2057"/>
      <c r="DQ62" s="2057"/>
      <c r="DR62" s="2057"/>
      <c r="DS62" s="2057"/>
      <c r="DT62" s="2057"/>
      <c r="DU62" s="2057"/>
      <c r="DV62" s="2057"/>
      <c r="DW62" s="2057"/>
      <c r="DX62" s="2057"/>
      <c r="DY62" s="2057"/>
      <c r="DZ62" s="2057"/>
      <c r="EA62" s="2057"/>
      <c r="EB62" s="2057"/>
      <c r="EC62" s="2057"/>
      <c r="ED62" s="2057"/>
      <c r="EE62" s="2057"/>
      <c r="EF62" s="2057"/>
      <c r="EG62" s="2057"/>
      <c r="EH62" s="2057"/>
      <c r="EI62" s="2058"/>
      <c r="EJ62" s="2058"/>
      <c r="EK62" s="2058"/>
      <c r="EL62" s="2058"/>
      <c r="EM62" s="2058"/>
      <c r="EN62" s="2058"/>
      <c r="EO62" s="2058"/>
      <c r="EP62" s="2058"/>
      <c r="EQ62" s="2058"/>
      <c r="ER62" s="2058"/>
      <c r="ES62" s="2058"/>
      <c r="ET62" s="2058"/>
      <c r="EU62" s="2058"/>
      <c r="EV62" s="2058"/>
      <c r="EW62" s="2058"/>
      <c r="EX62" s="2058"/>
      <c r="EY62" s="2058"/>
      <c r="EZ62" s="2058"/>
      <c r="FA62" s="2058"/>
      <c r="FB62" s="2058"/>
      <c r="FC62" s="2058"/>
      <c r="FD62" s="2058"/>
      <c r="FE62" s="2058"/>
      <c r="FF62" s="2058"/>
      <c r="FG62" s="2058"/>
      <c r="FH62" s="2058"/>
      <c r="FI62" s="2058"/>
      <c r="FJ62" s="2058"/>
      <c r="FK62" s="2058"/>
      <c r="FL62" s="2058"/>
      <c r="FM62" s="2058"/>
      <c r="FN62" s="2058"/>
      <c r="FO62" s="2058"/>
      <c r="FP62" s="2058"/>
      <c r="FQ62" s="2058"/>
      <c r="FR62" s="2058"/>
      <c r="FS62" s="2058"/>
      <c r="FT62" s="2058"/>
      <c r="FU62" s="2058"/>
      <c r="FV62" s="2058"/>
      <c r="FW62" s="2058"/>
      <c r="FX62" s="2058"/>
      <c r="FY62" s="2058"/>
      <c r="FZ62" s="2058"/>
      <c r="GA62" s="2058"/>
      <c r="GB62" s="2058"/>
      <c r="GC62" s="2058"/>
      <c r="GD62" s="2057">
        <f t="shared" si="2"/>
        <v>2981</v>
      </c>
      <c r="GE62" s="2057"/>
      <c r="GF62" s="2057"/>
      <c r="GG62" s="2057"/>
      <c r="GH62" s="2057"/>
      <c r="GI62" s="2057"/>
      <c r="GJ62" s="2057"/>
      <c r="GK62" s="2057"/>
      <c r="GL62" s="2057"/>
      <c r="GM62" s="2057"/>
      <c r="GN62" s="2057"/>
      <c r="GO62" s="2057"/>
      <c r="GP62" s="2057"/>
      <c r="GQ62" s="2057"/>
      <c r="GR62" s="2057"/>
      <c r="GS62" s="2057"/>
      <c r="GT62" s="2057"/>
      <c r="GU62" s="2057"/>
      <c r="GV62" s="2057"/>
      <c r="GW62" s="2057"/>
      <c r="GX62" s="2057"/>
      <c r="GY62" s="2057"/>
      <c r="GZ62" s="2057"/>
      <c r="HA62" s="2059">
        <f t="shared" si="3"/>
        <v>0</v>
      </c>
      <c r="HB62" s="2059"/>
      <c r="HC62" s="2059"/>
      <c r="HD62" s="2059"/>
      <c r="HE62" s="2059"/>
      <c r="HF62" s="2059"/>
      <c r="HG62" s="2059"/>
      <c r="HH62" s="2059"/>
      <c r="HI62" s="2059"/>
      <c r="HJ62" s="2059"/>
      <c r="HK62" s="2059"/>
      <c r="HL62" s="2059"/>
      <c r="HM62" s="2059"/>
      <c r="HN62" s="2059"/>
      <c r="HO62" s="2059"/>
      <c r="HP62" s="2059"/>
      <c r="HQ62" s="2059"/>
      <c r="HR62" s="2059"/>
      <c r="HS62" s="2059"/>
      <c r="HT62" s="2059">
        <f t="shared" si="4"/>
        <v>0</v>
      </c>
      <c r="HU62" s="2059"/>
      <c r="HV62" s="2059"/>
      <c r="HW62" s="2059"/>
      <c r="HX62" s="2059"/>
      <c r="HY62" s="2059"/>
      <c r="HZ62" s="2059"/>
      <c r="IA62" s="2059"/>
      <c r="IB62" s="2059"/>
      <c r="IC62" s="2059"/>
      <c r="ID62" s="2059"/>
      <c r="IE62" s="2059"/>
      <c r="IF62" s="2059"/>
      <c r="IG62" s="2059"/>
      <c r="IH62" s="2059"/>
      <c r="II62" s="2059"/>
      <c r="IJ62" s="2059"/>
      <c r="IK62" s="2059"/>
      <c r="IL62" s="2059"/>
      <c r="IM62" s="2059"/>
      <c r="IN62" s="2059"/>
      <c r="IO62" s="2059"/>
      <c r="IP62" s="2059"/>
      <c r="IQ62" s="2059"/>
      <c r="IR62" s="2059"/>
      <c r="IS62" s="2059"/>
      <c r="IT62" s="2059"/>
      <c r="IU62" s="2059"/>
      <c r="IV62" s="222"/>
    </row>
    <row r="63" spans="1:256" ht="9" customHeight="1">
      <c r="A63" s="239"/>
      <c r="B63" s="239"/>
      <c r="C63" s="239"/>
      <c r="D63" s="239"/>
      <c r="E63" s="239"/>
      <c r="F63" s="239"/>
      <c r="G63" s="239"/>
      <c r="H63" s="239"/>
      <c r="I63" s="239"/>
      <c r="J63" s="239"/>
      <c r="K63" s="239"/>
      <c r="L63" s="239"/>
      <c r="M63" s="239"/>
      <c r="N63" s="239"/>
      <c r="O63" s="239"/>
      <c r="P63" s="239"/>
      <c r="Q63" s="242"/>
      <c r="R63" s="242"/>
      <c r="S63" s="242"/>
      <c r="T63" s="242"/>
      <c r="U63" s="242"/>
      <c r="V63" s="242"/>
      <c r="W63" s="242"/>
      <c r="X63" s="242"/>
      <c r="Y63" s="242"/>
      <c r="Z63" s="242"/>
      <c r="AA63" s="243"/>
      <c r="AB63" s="243"/>
      <c r="AC63" s="243"/>
      <c r="AD63" s="243"/>
      <c r="AE63" s="243"/>
      <c r="AF63" s="242"/>
      <c r="AG63" s="242"/>
      <c r="AH63" s="242"/>
      <c r="AI63" s="242"/>
      <c r="AJ63" s="242"/>
      <c r="AK63" s="242"/>
      <c r="AL63" s="242"/>
      <c r="AM63" s="242"/>
      <c r="AN63" s="242"/>
      <c r="AO63" s="242"/>
      <c r="AP63" s="242"/>
      <c r="AQ63" s="242"/>
      <c r="AR63" s="242"/>
      <c r="AS63" s="242"/>
      <c r="AT63" s="242"/>
      <c r="AU63" s="244"/>
      <c r="AV63" s="244"/>
      <c r="AW63" s="244"/>
      <c r="AX63" s="244"/>
      <c r="AY63" s="244"/>
      <c r="AZ63" s="244"/>
      <c r="BA63" s="244"/>
      <c r="BB63" s="244"/>
      <c r="BC63" s="244"/>
      <c r="BD63" s="244"/>
      <c r="BE63" s="242"/>
      <c r="BF63" s="242"/>
      <c r="BG63" s="242"/>
      <c r="BH63" s="242"/>
      <c r="BI63" s="242"/>
      <c r="BM63" s="1943"/>
      <c r="BN63" s="1943"/>
      <c r="BO63" s="1943"/>
      <c r="BP63" s="1943"/>
      <c r="BQ63" s="1943"/>
      <c r="BR63" s="1943"/>
      <c r="BS63" s="1943"/>
      <c r="BT63" s="1943"/>
      <c r="BU63" s="1943"/>
      <c r="BV63" s="1943"/>
      <c r="BW63" s="1943"/>
      <c r="BX63" s="1943"/>
      <c r="BY63" s="1943"/>
      <c r="BZ63" s="1943"/>
      <c r="CA63" s="1943"/>
      <c r="CB63" s="1943"/>
      <c r="CC63" s="1943"/>
      <c r="CD63" s="1943"/>
      <c r="CE63" s="1943"/>
      <c r="CF63" s="1943"/>
      <c r="CG63" s="1943"/>
      <c r="CH63" s="1943"/>
      <c r="CI63" s="1943"/>
      <c r="CJ63" s="1943"/>
      <c r="CK63" s="1943"/>
      <c r="CL63" s="1943"/>
      <c r="CM63" s="1943"/>
      <c r="CN63" s="1943"/>
      <c r="CO63" s="1943"/>
      <c r="CP63" s="1943"/>
      <c r="CQ63" s="1943"/>
      <c r="CR63" s="1943"/>
      <c r="CS63" s="1943"/>
      <c r="CT63" s="1943"/>
      <c r="CU63" s="1943"/>
      <c r="CV63" s="1943"/>
      <c r="CW63" s="1943"/>
      <c r="CX63" s="1943"/>
      <c r="CY63" s="1943"/>
      <c r="CZ63" s="1943"/>
      <c r="DA63" s="1943"/>
      <c r="DB63" s="1943"/>
      <c r="DC63" s="1943"/>
      <c r="DD63" s="1943"/>
      <c r="DE63" s="1943"/>
      <c r="DF63" s="1943"/>
      <c r="DG63" s="1943"/>
      <c r="DH63" s="1943"/>
      <c r="DI63" s="1943"/>
      <c r="DJ63" s="1943"/>
      <c r="DK63" s="1943"/>
      <c r="DL63" s="1950">
        <f>DL51+DL60</f>
        <v>305034</v>
      </c>
      <c r="DM63" s="1950"/>
      <c r="DN63" s="1950"/>
      <c r="DO63" s="1950"/>
      <c r="DP63" s="1950"/>
      <c r="DQ63" s="1950"/>
      <c r="DR63" s="1950"/>
      <c r="DS63" s="1950"/>
      <c r="DT63" s="1950"/>
      <c r="DU63" s="1950"/>
      <c r="DV63" s="1950"/>
      <c r="DW63" s="1950"/>
      <c r="DX63" s="1950"/>
      <c r="DY63" s="1950"/>
      <c r="DZ63" s="1950"/>
      <c r="EA63" s="1950"/>
      <c r="EB63" s="1950"/>
      <c r="EC63" s="1950"/>
      <c r="ED63" s="1950"/>
      <c r="EE63" s="1950"/>
      <c r="EF63" s="1950"/>
      <c r="EG63" s="1950"/>
      <c r="EH63" s="1950"/>
      <c r="EI63" s="1950">
        <f>EI51+EI60</f>
        <v>438388</v>
      </c>
      <c r="EJ63" s="1950"/>
      <c r="EK63" s="1950"/>
      <c r="EL63" s="1950"/>
      <c r="EM63" s="1950"/>
      <c r="EN63" s="1950"/>
      <c r="EO63" s="1950"/>
      <c r="EP63" s="1950"/>
      <c r="EQ63" s="1950"/>
      <c r="ER63" s="1950"/>
      <c r="ES63" s="1950"/>
      <c r="ET63" s="1950"/>
      <c r="EU63" s="1950"/>
      <c r="EV63" s="1950"/>
      <c r="EW63" s="1950"/>
      <c r="EX63" s="1950"/>
      <c r="EY63" s="1950"/>
      <c r="EZ63" s="1950"/>
      <c r="FA63" s="1950"/>
      <c r="FB63" s="1950">
        <f>FB51+FB60+FB61</f>
        <v>5015752983</v>
      </c>
      <c r="FC63" s="1950"/>
      <c r="FD63" s="1950"/>
      <c r="FE63" s="1950"/>
      <c r="FF63" s="1950"/>
      <c r="FG63" s="1950"/>
      <c r="FH63" s="1950"/>
      <c r="FI63" s="1950"/>
      <c r="FJ63" s="1950"/>
      <c r="FK63" s="1950"/>
      <c r="FL63" s="1950"/>
      <c r="FM63" s="1950"/>
      <c r="FN63" s="1950"/>
      <c r="FO63" s="1950"/>
      <c r="FP63" s="1950"/>
      <c r="FQ63" s="1950"/>
      <c r="FR63" s="1950"/>
      <c r="FS63" s="1950"/>
      <c r="FT63" s="1950"/>
      <c r="FU63" s="1950"/>
      <c r="FV63" s="1950"/>
      <c r="FW63" s="1950"/>
      <c r="FX63" s="1950"/>
      <c r="FY63" s="1950"/>
      <c r="FZ63" s="1950"/>
      <c r="GA63" s="1950"/>
      <c r="GB63" s="1950"/>
      <c r="GC63" s="1950"/>
      <c r="GD63" s="1950">
        <f t="shared" si="2"/>
        <v>302305</v>
      </c>
      <c r="GE63" s="1950"/>
      <c r="GF63" s="1950"/>
      <c r="GG63" s="1950"/>
      <c r="GH63" s="1950"/>
      <c r="GI63" s="1950"/>
      <c r="GJ63" s="1950"/>
      <c r="GK63" s="1950"/>
      <c r="GL63" s="1950"/>
      <c r="GM63" s="1950"/>
      <c r="GN63" s="1950"/>
      <c r="GO63" s="1950"/>
      <c r="GP63" s="1950"/>
      <c r="GQ63" s="1950"/>
      <c r="GR63" s="1950"/>
      <c r="GS63" s="1950"/>
      <c r="GT63" s="1950"/>
      <c r="GU63" s="1950"/>
      <c r="GV63" s="1950"/>
      <c r="GW63" s="1950"/>
      <c r="GX63" s="1950"/>
      <c r="GY63" s="1950"/>
      <c r="GZ63" s="1950"/>
      <c r="HA63" s="1950">
        <f t="shared" si="3"/>
        <v>436043</v>
      </c>
      <c r="HB63" s="1950"/>
      <c r="HC63" s="1950"/>
      <c r="HD63" s="1950"/>
      <c r="HE63" s="1950"/>
      <c r="HF63" s="1950"/>
      <c r="HG63" s="1950"/>
      <c r="HH63" s="1950"/>
      <c r="HI63" s="1950"/>
      <c r="HJ63" s="1950"/>
      <c r="HK63" s="1950"/>
      <c r="HL63" s="1950"/>
      <c r="HM63" s="1950"/>
      <c r="HN63" s="1950"/>
      <c r="HO63" s="1950"/>
      <c r="HP63" s="1950"/>
      <c r="HQ63" s="1950"/>
      <c r="HR63" s="1950"/>
      <c r="HS63" s="1950"/>
      <c r="HT63" s="1950">
        <f t="shared" si="4"/>
        <v>4807546610</v>
      </c>
      <c r="HU63" s="1950"/>
      <c r="HV63" s="1950"/>
      <c r="HW63" s="1950"/>
      <c r="HX63" s="1950"/>
      <c r="HY63" s="1950"/>
      <c r="HZ63" s="1950"/>
      <c r="IA63" s="1950"/>
      <c r="IB63" s="1950"/>
      <c r="IC63" s="1950"/>
      <c r="ID63" s="1950"/>
      <c r="IE63" s="1950"/>
      <c r="IF63" s="1950"/>
      <c r="IG63" s="1950"/>
      <c r="IH63" s="1950"/>
      <c r="II63" s="1950"/>
      <c r="IJ63" s="1950"/>
      <c r="IK63" s="1950"/>
      <c r="IL63" s="1950"/>
      <c r="IM63" s="1950"/>
      <c r="IN63" s="1950"/>
      <c r="IO63" s="1950"/>
      <c r="IP63" s="1950"/>
      <c r="IQ63" s="1950"/>
      <c r="IR63" s="1950"/>
      <c r="IS63" s="1950"/>
      <c r="IT63" s="1950"/>
      <c r="IU63" s="1950"/>
      <c r="IV63" s="222"/>
    </row>
    <row r="64" spans="1:256" ht="16.5" customHeight="1">
      <c r="A64" s="215" t="s">
        <v>366</v>
      </c>
      <c r="B64" s="172"/>
      <c r="C64" s="172"/>
      <c r="D64" s="215" t="s">
        <v>503</v>
      </c>
      <c r="E64" s="245"/>
      <c r="F64" s="245"/>
      <c r="G64" s="245"/>
      <c r="H64" s="245"/>
      <c r="I64" s="245"/>
      <c r="J64" s="245"/>
      <c r="K64" s="245"/>
      <c r="L64" s="245"/>
      <c r="M64" s="245"/>
      <c r="N64" s="245"/>
      <c r="O64" s="245"/>
      <c r="P64" s="245"/>
      <c r="Q64" s="245"/>
      <c r="R64" s="245"/>
      <c r="S64" s="245"/>
      <c r="T64" s="245"/>
      <c r="U64" s="245"/>
      <c r="V64" s="245"/>
      <c r="W64" s="245"/>
      <c r="X64" s="245"/>
      <c r="Y64" s="245"/>
      <c r="Z64" s="245"/>
      <c r="AA64" s="245"/>
      <c r="AB64" s="245"/>
      <c r="AC64" s="245"/>
      <c r="AD64" s="245"/>
      <c r="AE64" s="245"/>
      <c r="AF64" s="245"/>
      <c r="AG64" s="245"/>
      <c r="AH64" s="245"/>
      <c r="AI64" s="245"/>
      <c r="AJ64" s="245"/>
      <c r="AK64" s="245"/>
      <c r="AL64" s="245"/>
      <c r="AM64" s="245"/>
      <c r="AN64" s="245"/>
      <c r="AO64" s="245"/>
      <c r="AP64" s="245"/>
      <c r="AQ64" s="245"/>
      <c r="AR64" s="245"/>
      <c r="AS64" s="245"/>
      <c r="AT64" s="245"/>
      <c r="AU64" s="245"/>
      <c r="AV64" s="245"/>
      <c r="AW64" s="245"/>
      <c r="AX64" s="245"/>
      <c r="AY64" s="245"/>
      <c r="AZ64" s="245"/>
      <c r="BA64" s="245"/>
      <c r="BB64" s="245"/>
      <c r="BC64" s="245"/>
      <c r="BD64" s="245"/>
      <c r="BE64" s="245"/>
      <c r="BF64" s="245"/>
      <c r="BG64" s="245"/>
      <c r="BH64" s="245"/>
      <c r="BI64" s="246"/>
    </row>
    <row r="65" spans="1:177" ht="16.5" customHeight="1">
      <c r="A65" s="247"/>
      <c r="B65" s="172"/>
      <c r="C65" s="172"/>
      <c r="D65" s="248" t="s">
        <v>504</v>
      </c>
      <c r="E65" s="245"/>
      <c r="F65" s="245"/>
      <c r="G65" s="245"/>
      <c r="H65" s="245"/>
      <c r="I65" s="245"/>
      <c r="J65" s="245"/>
      <c r="K65" s="245"/>
      <c r="L65" s="245"/>
      <c r="M65" s="245"/>
      <c r="N65" s="245"/>
      <c r="O65" s="245"/>
      <c r="P65" s="245"/>
      <c r="Q65" s="245"/>
      <c r="R65" s="245"/>
      <c r="S65" s="245"/>
      <c r="T65" s="245"/>
      <c r="U65" s="245"/>
      <c r="V65" s="245"/>
      <c r="W65" s="245"/>
      <c r="X65" s="245"/>
      <c r="Y65" s="245"/>
      <c r="Z65" s="245"/>
      <c r="AA65" s="245"/>
      <c r="AB65" s="245"/>
      <c r="AC65" s="245"/>
      <c r="AD65" s="245"/>
      <c r="AE65" s="245"/>
      <c r="AF65" s="245"/>
      <c r="AG65" s="245"/>
      <c r="AH65" s="245"/>
      <c r="AI65" s="245"/>
      <c r="AJ65" s="245"/>
      <c r="AK65" s="245"/>
      <c r="AL65" s="245"/>
      <c r="AM65" s="245"/>
      <c r="AN65" s="245"/>
      <c r="AO65" s="245"/>
      <c r="AP65" s="245"/>
      <c r="AQ65" s="245"/>
      <c r="AR65" s="245"/>
      <c r="AS65" s="245"/>
      <c r="AT65" s="245"/>
      <c r="AU65" s="245"/>
      <c r="AV65" s="245"/>
      <c r="AW65" s="245"/>
      <c r="AX65" s="245"/>
      <c r="AY65" s="245"/>
      <c r="AZ65" s="245"/>
      <c r="BA65" s="245"/>
      <c r="BB65" s="245"/>
      <c r="BC65" s="245"/>
      <c r="BD65" s="245"/>
      <c r="BE65" s="245"/>
      <c r="BF65" s="245"/>
      <c r="BG65" s="245"/>
      <c r="BH65" s="245"/>
      <c r="BI65" s="245"/>
      <c r="BM65" s="2054" t="s">
        <v>505</v>
      </c>
      <c r="BN65" s="2054"/>
      <c r="BO65" s="2054"/>
      <c r="BP65" s="2054"/>
      <c r="BQ65" s="2054"/>
      <c r="BR65" s="2054"/>
      <c r="BS65" s="2054"/>
      <c r="BT65" s="2054"/>
      <c r="BU65" s="2054"/>
      <c r="BV65" s="2054"/>
      <c r="BW65" s="2054"/>
      <c r="BX65" s="2054"/>
      <c r="BY65" s="2054"/>
      <c r="BZ65" s="2054"/>
      <c r="CA65" s="2054"/>
      <c r="CB65" s="2054"/>
      <c r="CC65" s="2054"/>
      <c r="CD65" s="2054"/>
      <c r="CE65" s="2054"/>
      <c r="CF65" s="2054"/>
      <c r="CG65" s="2054"/>
      <c r="CH65" s="2054"/>
      <c r="CI65" s="2054"/>
      <c r="CJ65" s="2054"/>
      <c r="CK65" s="2054"/>
      <c r="CL65" s="2054"/>
      <c r="CM65" s="2054"/>
      <c r="CN65" s="2054"/>
      <c r="CO65" s="2054"/>
      <c r="CP65" s="2054"/>
      <c r="CQ65" s="2054"/>
      <c r="CR65" s="2054"/>
      <c r="CS65" s="2054"/>
      <c r="CT65" s="2054"/>
      <c r="CU65" s="2054"/>
      <c r="CV65" s="2054"/>
      <c r="CW65" s="2054"/>
      <c r="CX65" s="2054"/>
      <c r="CY65" s="2054"/>
      <c r="CZ65" s="2054"/>
      <c r="DA65" s="2054"/>
      <c r="DB65" s="2054"/>
      <c r="DC65" s="189"/>
      <c r="DD65" s="197"/>
      <c r="DE65" s="2055">
        <f>前年度貼付!$E$177</f>
        <v>18919</v>
      </c>
      <c r="DF65" s="2055"/>
      <c r="DG65" s="2055"/>
      <c r="DH65" s="2055"/>
      <c r="DI65" s="2055"/>
      <c r="DJ65" s="2055"/>
      <c r="DK65" s="2055"/>
      <c r="DL65" s="2055"/>
      <c r="DM65" s="2055"/>
      <c r="DN65" s="2055"/>
      <c r="DO65" s="2055"/>
      <c r="DP65" s="2055"/>
      <c r="DQ65" s="2055"/>
      <c r="DR65" s="2055"/>
      <c r="DS65" s="2055"/>
      <c r="DT65" s="2055"/>
      <c r="DU65" s="2055"/>
      <c r="DV65" s="2055"/>
      <c r="DW65" s="2055"/>
      <c r="DX65" s="2055"/>
      <c r="DY65" s="2055"/>
      <c r="DZ65" s="2055"/>
      <c r="EA65" s="2055"/>
      <c r="EB65" s="2055">
        <f>前年度貼付!$E$178</f>
        <v>10599</v>
      </c>
      <c r="EC65" s="2055"/>
      <c r="ED65" s="2055"/>
      <c r="EE65" s="2055"/>
      <c r="EF65" s="2055"/>
      <c r="EG65" s="2055"/>
      <c r="EH65" s="2055"/>
      <c r="EI65" s="2055"/>
      <c r="EJ65" s="2055"/>
      <c r="EK65" s="2055"/>
      <c r="EL65" s="2055"/>
      <c r="EM65" s="2055"/>
      <c r="EN65" s="2055"/>
      <c r="EO65" s="2055"/>
      <c r="EP65" s="2055"/>
      <c r="EQ65" s="2055"/>
      <c r="ER65" s="2055"/>
      <c r="ES65" s="2055"/>
      <c r="ET65" s="2055"/>
      <c r="EU65" s="2055"/>
      <c r="EV65" s="2055"/>
      <c r="EW65" s="2055"/>
      <c r="EX65" s="2055"/>
      <c r="EY65" s="2055">
        <f>SUM(DE65:EX65)</f>
        <v>29518</v>
      </c>
      <c r="EZ65" s="2055"/>
      <c r="FA65" s="2055"/>
      <c r="FB65" s="2055"/>
      <c r="FC65" s="2055"/>
      <c r="FD65" s="2055"/>
      <c r="FE65" s="2055"/>
      <c r="FF65" s="2055"/>
      <c r="FG65" s="2055"/>
      <c r="FH65" s="2055"/>
      <c r="FI65" s="2055"/>
      <c r="FJ65" s="2055"/>
      <c r="FK65" s="2055"/>
      <c r="FL65" s="2055"/>
      <c r="FM65" s="2055"/>
      <c r="FN65" s="2055"/>
      <c r="FO65" s="2055"/>
      <c r="FP65" s="2055"/>
      <c r="FQ65" s="2055"/>
      <c r="FR65" s="2055"/>
      <c r="FS65" s="2055"/>
      <c r="FT65" s="2055"/>
      <c r="FU65" s="2055"/>
    </row>
    <row r="66" spans="1:177" ht="16.5" customHeight="1">
      <c r="A66" s="208"/>
      <c r="B66" s="208"/>
      <c r="C66" s="208"/>
      <c r="D66" s="173"/>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c r="AC66" s="249"/>
      <c r="AD66" s="249"/>
      <c r="AE66" s="249"/>
      <c r="AF66" s="249"/>
      <c r="AG66" s="249"/>
      <c r="AH66" s="249"/>
      <c r="AI66" s="249"/>
      <c r="AJ66" s="249"/>
      <c r="AK66" s="249"/>
      <c r="AL66" s="249"/>
      <c r="AM66" s="249"/>
      <c r="AN66" s="222"/>
      <c r="AO66" s="222"/>
      <c r="AP66" s="222"/>
      <c r="AQ66" s="222"/>
      <c r="AR66" s="222"/>
      <c r="AS66" s="222"/>
      <c r="AT66" s="222"/>
      <c r="AU66" s="222"/>
      <c r="AV66" s="222"/>
      <c r="AW66" s="222"/>
      <c r="AX66" s="222"/>
      <c r="AY66" s="222"/>
      <c r="AZ66" s="222"/>
      <c r="BA66" s="222"/>
      <c r="BB66" s="222"/>
      <c r="BC66" s="222"/>
      <c r="BD66" s="222"/>
      <c r="BE66" s="222"/>
      <c r="BF66" s="222"/>
      <c r="BG66" s="222"/>
      <c r="BH66" s="222"/>
      <c r="BM66" s="2054" t="s">
        <v>506</v>
      </c>
      <c r="BN66" s="2054"/>
      <c r="BO66" s="2054"/>
      <c r="BP66" s="2054"/>
      <c r="BQ66" s="2054"/>
      <c r="BR66" s="2054"/>
      <c r="BS66" s="2054"/>
      <c r="BT66" s="2054"/>
      <c r="BU66" s="2054"/>
      <c r="BV66" s="2054"/>
      <c r="BW66" s="2054"/>
      <c r="BX66" s="2054"/>
      <c r="BY66" s="2054"/>
      <c r="BZ66" s="2054"/>
      <c r="CA66" s="2054"/>
      <c r="CB66" s="2054"/>
      <c r="CC66" s="2054"/>
      <c r="CD66" s="2054"/>
      <c r="CE66" s="2054"/>
      <c r="CF66" s="2054"/>
      <c r="CG66" s="2054"/>
      <c r="CH66" s="2054"/>
      <c r="CI66" s="2054"/>
      <c r="CJ66" s="2054"/>
      <c r="CK66" s="2054"/>
      <c r="CL66" s="2054"/>
      <c r="CM66" s="2054"/>
      <c r="CN66" s="2054"/>
      <c r="CO66" s="2054"/>
      <c r="CP66" s="2054"/>
      <c r="CQ66" s="2054"/>
      <c r="CR66" s="2054"/>
      <c r="CS66" s="2054"/>
      <c r="CT66" s="2054"/>
      <c r="CU66" s="2054"/>
      <c r="CV66" s="2054"/>
      <c r="CW66" s="2054"/>
      <c r="CX66" s="2054"/>
      <c r="CY66" s="2054"/>
      <c r="CZ66" s="2054"/>
      <c r="DA66" s="2054"/>
      <c r="DB66" s="2054"/>
      <c r="DC66" s="189"/>
      <c r="DD66" s="197"/>
      <c r="DE66" s="2056">
        <v>19060</v>
      </c>
      <c r="DF66" s="2055"/>
      <c r="DG66" s="2055"/>
      <c r="DH66" s="2055"/>
      <c r="DI66" s="2055"/>
      <c r="DJ66" s="2055"/>
      <c r="DK66" s="2055"/>
      <c r="DL66" s="2055"/>
      <c r="DM66" s="2055"/>
      <c r="DN66" s="2055"/>
      <c r="DO66" s="2055"/>
      <c r="DP66" s="2055"/>
      <c r="DQ66" s="2055"/>
      <c r="DR66" s="2055"/>
      <c r="DS66" s="2055"/>
      <c r="DT66" s="2055"/>
      <c r="DU66" s="2055"/>
      <c r="DV66" s="2055"/>
      <c r="DW66" s="2055"/>
      <c r="DX66" s="2055"/>
      <c r="DY66" s="2055"/>
      <c r="DZ66" s="2055"/>
      <c r="EA66" s="2055"/>
      <c r="EB66" s="2056">
        <v>10434</v>
      </c>
      <c r="EC66" s="2055"/>
      <c r="ED66" s="2055"/>
      <c r="EE66" s="2055"/>
      <c r="EF66" s="2055"/>
      <c r="EG66" s="2055"/>
      <c r="EH66" s="2055"/>
      <c r="EI66" s="2055"/>
      <c r="EJ66" s="2055"/>
      <c r="EK66" s="2055"/>
      <c r="EL66" s="2055"/>
      <c r="EM66" s="2055"/>
      <c r="EN66" s="2055"/>
      <c r="EO66" s="2055"/>
      <c r="EP66" s="2055"/>
      <c r="EQ66" s="2055"/>
      <c r="ER66" s="2055"/>
      <c r="ES66" s="2055"/>
      <c r="ET66" s="2055"/>
      <c r="EU66" s="2055"/>
      <c r="EV66" s="2055"/>
      <c r="EW66" s="2055"/>
      <c r="EX66" s="2055"/>
      <c r="EY66" s="2055">
        <f>SUM(DE66:EX66)</f>
        <v>29494</v>
      </c>
      <c r="EZ66" s="2055"/>
      <c r="FA66" s="2055"/>
      <c r="FB66" s="2055"/>
      <c r="FC66" s="2055"/>
      <c r="FD66" s="2055"/>
      <c r="FE66" s="2055"/>
      <c r="FF66" s="2055"/>
      <c r="FG66" s="2055"/>
      <c r="FH66" s="2055"/>
      <c r="FI66" s="2055"/>
      <c r="FJ66" s="2055"/>
      <c r="FK66" s="2055"/>
      <c r="FL66" s="2055"/>
      <c r="FM66" s="2055"/>
      <c r="FN66" s="2055"/>
      <c r="FO66" s="2055"/>
      <c r="FP66" s="2055"/>
      <c r="FQ66" s="2055"/>
      <c r="FR66" s="2055"/>
      <c r="FS66" s="2055"/>
      <c r="FT66" s="2055"/>
      <c r="FU66" s="2055"/>
    </row>
    <row r="67" spans="1:177" s="232" customFormat="1" ht="16.5" customHeight="1">
      <c r="B67" s="2045" t="s">
        <v>507</v>
      </c>
      <c r="C67" s="2045"/>
      <c r="D67" s="2045"/>
      <c r="E67" s="2045"/>
      <c r="F67" s="2045"/>
      <c r="G67" s="2045"/>
      <c r="H67" s="2045"/>
      <c r="I67" s="2045"/>
      <c r="J67" s="2045"/>
      <c r="K67" s="2045"/>
      <c r="L67" s="2045"/>
      <c r="M67" s="2045"/>
      <c r="N67" s="2045"/>
      <c r="O67" s="2045"/>
      <c r="P67" s="2045"/>
      <c r="Q67" s="2045"/>
      <c r="R67" s="2045"/>
      <c r="S67" s="2045"/>
      <c r="T67" s="2045"/>
      <c r="U67" s="2045"/>
      <c r="V67" s="2045"/>
      <c r="W67" s="2045"/>
      <c r="X67" s="2045"/>
      <c r="Z67" s="2046" t="s">
        <v>479</v>
      </c>
      <c r="AA67" s="2046"/>
      <c r="AB67" s="2046"/>
      <c r="AC67" s="2046"/>
      <c r="AD67" s="2046"/>
      <c r="AE67" s="2046"/>
      <c r="AF67" s="2046"/>
      <c r="AG67" s="2046"/>
      <c r="AH67" s="2046"/>
      <c r="AI67" s="2046"/>
      <c r="AJ67" s="2046"/>
      <c r="AK67" s="2046"/>
      <c r="AL67" s="2046"/>
      <c r="AM67" s="2046"/>
      <c r="AN67" s="2046"/>
      <c r="AO67" s="2046"/>
      <c r="AP67" s="2046"/>
      <c r="AQ67" s="2046"/>
      <c r="AR67" s="2046"/>
      <c r="AS67" s="2046"/>
      <c r="AT67" s="2046"/>
      <c r="AU67" s="2046"/>
      <c r="AV67" s="2046"/>
      <c r="AW67" s="2046"/>
      <c r="AX67" s="2046"/>
      <c r="AY67" s="2046"/>
      <c r="AZ67" s="2046"/>
    </row>
    <row r="68" spans="1:177" s="232" customFormat="1" ht="16.5" customHeight="1">
      <c r="B68" s="2045"/>
      <c r="C68" s="2045"/>
      <c r="D68" s="2045"/>
      <c r="E68" s="2045"/>
      <c r="F68" s="2045"/>
      <c r="G68" s="2045"/>
      <c r="H68" s="2045"/>
      <c r="I68" s="2045"/>
      <c r="J68" s="2045"/>
      <c r="K68" s="2045"/>
      <c r="L68" s="2045"/>
      <c r="M68" s="2045"/>
      <c r="N68" s="2045"/>
      <c r="O68" s="2045"/>
      <c r="P68" s="2045"/>
      <c r="Q68" s="2045"/>
      <c r="R68" s="2045"/>
      <c r="S68" s="2045"/>
      <c r="T68" s="2045"/>
      <c r="U68" s="2045"/>
      <c r="V68" s="2045"/>
      <c r="W68" s="2045"/>
      <c r="X68" s="2045"/>
      <c r="Z68" s="2053" t="s">
        <v>508</v>
      </c>
      <c r="AA68" s="2053"/>
      <c r="AB68" s="2053"/>
      <c r="AC68" s="2053"/>
      <c r="AD68" s="2053"/>
      <c r="AE68" s="2053"/>
      <c r="AF68" s="2053"/>
      <c r="AG68" s="2053"/>
      <c r="AH68" s="2053"/>
      <c r="AI68" s="2053"/>
      <c r="AJ68" s="2053"/>
      <c r="AK68" s="2053"/>
      <c r="AL68" s="2053"/>
      <c r="AM68" s="2053"/>
      <c r="AN68" s="2053"/>
      <c r="AO68" s="2053"/>
      <c r="AP68" s="2053"/>
      <c r="AQ68" s="2053"/>
      <c r="AR68" s="2053"/>
      <c r="AS68" s="2053"/>
      <c r="AT68" s="2053"/>
      <c r="AU68" s="2053"/>
      <c r="AV68" s="2053"/>
      <c r="AW68" s="2053"/>
      <c r="AX68" s="2053"/>
      <c r="AY68" s="2053"/>
      <c r="AZ68" s="2053"/>
      <c r="BA68" s="250"/>
      <c r="BB68" s="250"/>
      <c r="BC68" s="250"/>
      <c r="BD68" s="250"/>
      <c r="BE68" s="250"/>
      <c r="BF68" s="250"/>
      <c r="BG68" s="250"/>
      <c r="BH68" s="250"/>
      <c r="BI68" s="250"/>
    </row>
    <row r="69" spans="1:177" s="232" customFormat="1" ht="16.5" customHeight="1">
      <c r="B69" s="2045" t="s">
        <v>509</v>
      </c>
      <c r="C69" s="2045"/>
      <c r="D69" s="2045"/>
      <c r="E69" s="2045"/>
      <c r="F69" s="2045"/>
      <c r="G69" s="2045"/>
      <c r="H69" s="2045"/>
      <c r="I69" s="2045"/>
      <c r="J69" s="2045"/>
      <c r="K69" s="2045"/>
      <c r="L69" s="2045"/>
      <c r="M69" s="2045"/>
      <c r="N69" s="2045"/>
      <c r="O69" s="2045"/>
      <c r="P69" s="2045"/>
      <c r="Q69" s="2045"/>
      <c r="R69" s="2045"/>
      <c r="S69" s="2045"/>
      <c r="T69" s="2045"/>
      <c r="U69" s="2045"/>
      <c r="V69" s="2045"/>
      <c r="W69" s="2045"/>
      <c r="X69" s="2045"/>
      <c r="Z69" s="2046" t="s">
        <v>478</v>
      </c>
      <c r="AA69" s="2046"/>
      <c r="AB69" s="2046"/>
      <c r="AC69" s="2046"/>
      <c r="AD69" s="2046"/>
      <c r="AE69" s="2046"/>
      <c r="AF69" s="2046"/>
      <c r="AG69" s="2046"/>
      <c r="AH69" s="2046"/>
      <c r="AI69" s="2046"/>
      <c r="AJ69" s="2046"/>
      <c r="AK69" s="2046"/>
      <c r="AL69" s="2046"/>
      <c r="AM69" s="2046"/>
      <c r="AN69" s="2046"/>
      <c r="AO69" s="2046"/>
      <c r="AP69" s="2046"/>
      <c r="AQ69" s="2046"/>
      <c r="AR69" s="2046"/>
      <c r="AS69" s="2046"/>
      <c r="AT69" s="2046"/>
      <c r="AU69" s="2046"/>
      <c r="AV69" s="2046"/>
      <c r="AW69" s="2046"/>
      <c r="AX69" s="2046"/>
      <c r="AY69" s="2046"/>
      <c r="AZ69" s="2046"/>
    </row>
    <row r="70" spans="1:177" s="232" customFormat="1" ht="16.5" customHeight="1">
      <c r="B70" s="2045"/>
      <c r="C70" s="2045"/>
      <c r="D70" s="2045"/>
      <c r="E70" s="2045"/>
      <c r="F70" s="2045"/>
      <c r="G70" s="2045"/>
      <c r="H70" s="2045"/>
      <c r="I70" s="2045"/>
      <c r="J70" s="2045"/>
      <c r="K70" s="2045"/>
      <c r="L70" s="2045"/>
      <c r="M70" s="2045"/>
      <c r="N70" s="2045"/>
      <c r="O70" s="2045"/>
      <c r="P70" s="2045"/>
      <c r="Q70" s="2045"/>
      <c r="R70" s="2045"/>
      <c r="S70" s="2045"/>
      <c r="T70" s="2045"/>
      <c r="U70" s="2045"/>
      <c r="V70" s="2045"/>
      <c r="W70" s="2045"/>
      <c r="X70" s="2045"/>
      <c r="Z70" s="2053" t="s">
        <v>508</v>
      </c>
      <c r="AA70" s="2053"/>
      <c r="AB70" s="2053"/>
      <c r="AC70" s="2053"/>
      <c r="AD70" s="2053"/>
      <c r="AE70" s="2053"/>
      <c r="AF70" s="2053"/>
      <c r="AG70" s="2053"/>
      <c r="AH70" s="2053"/>
      <c r="AI70" s="2053"/>
      <c r="AJ70" s="2053"/>
      <c r="AK70" s="2053"/>
      <c r="AL70" s="2053"/>
      <c r="AM70" s="2053"/>
      <c r="AN70" s="2053"/>
      <c r="AO70" s="2053"/>
      <c r="AP70" s="2053"/>
      <c r="AQ70" s="2053"/>
      <c r="AR70" s="2053"/>
      <c r="AS70" s="2053"/>
      <c r="AT70" s="2053"/>
      <c r="AU70" s="2053"/>
      <c r="AV70" s="2053"/>
      <c r="AW70" s="2053"/>
      <c r="AX70" s="2053"/>
      <c r="AY70" s="2053"/>
      <c r="AZ70" s="2053"/>
      <c r="BA70" s="250"/>
      <c r="BB70" s="250"/>
      <c r="BC70" s="250"/>
      <c r="BD70" s="250"/>
      <c r="BE70" s="250"/>
      <c r="BF70" s="250"/>
      <c r="BG70" s="250"/>
      <c r="BH70" s="250"/>
      <c r="BI70" s="250"/>
    </row>
    <row r="71" spans="1:177" s="232" customFormat="1" ht="16.5" customHeight="1">
      <c r="B71" s="2045" t="s">
        <v>510</v>
      </c>
      <c r="C71" s="2045"/>
      <c r="D71" s="2045"/>
      <c r="E71" s="2045"/>
      <c r="F71" s="2045"/>
      <c r="G71" s="2045"/>
      <c r="H71" s="2045"/>
      <c r="I71" s="2045"/>
      <c r="J71" s="2045"/>
      <c r="K71" s="2045"/>
      <c r="L71" s="2045"/>
      <c r="M71" s="2045"/>
      <c r="N71" s="2045"/>
      <c r="O71" s="2045"/>
      <c r="P71" s="2045"/>
      <c r="Q71" s="2045"/>
      <c r="R71" s="2045"/>
      <c r="S71" s="2045"/>
      <c r="T71" s="2045"/>
      <c r="U71" s="2045"/>
      <c r="V71" s="2045"/>
      <c r="W71" s="2045"/>
      <c r="X71" s="2045"/>
      <c r="Z71" s="2046" t="s">
        <v>481</v>
      </c>
      <c r="AA71" s="2046"/>
      <c r="AB71" s="2046"/>
      <c r="AC71" s="2046"/>
      <c r="AD71" s="2046"/>
      <c r="AE71" s="2046"/>
      <c r="AF71" s="2046"/>
      <c r="AG71" s="2046"/>
      <c r="AH71" s="2046"/>
      <c r="AI71" s="2046"/>
      <c r="AJ71" s="2046"/>
      <c r="AK71" s="2046"/>
      <c r="AL71" s="2046"/>
      <c r="AM71" s="2046"/>
      <c r="AN71" s="2046"/>
      <c r="AO71" s="2046"/>
      <c r="AP71" s="2046"/>
      <c r="AQ71" s="2046"/>
      <c r="AR71" s="2046"/>
      <c r="AS71" s="2046"/>
      <c r="AT71" s="2046"/>
      <c r="AU71" s="2046"/>
      <c r="AV71" s="2046"/>
      <c r="AW71" s="2046"/>
      <c r="AX71" s="2046"/>
      <c r="AY71" s="2046"/>
      <c r="AZ71" s="2046"/>
    </row>
    <row r="72" spans="1:177" s="232" customFormat="1" ht="16.5" customHeight="1">
      <c r="B72" s="2045"/>
      <c r="C72" s="2045"/>
      <c r="D72" s="2045"/>
      <c r="E72" s="2045"/>
      <c r="F72" s="2045"/>
      <c r="G72" s="2045"/>
      <c r="H72" s="2045"/>
      <c r="I72" s="2045"/>
      <c r="J72" s="2045"/>
      <c r="K72" s="2045"/>
      <c r="L72" s="2045"/>
      <c r="M72" s="2045"/>
      <c r="N72" s="2045"/>
      <c r="O72" s="2045"/>
      <c r="P72" s="2045"/>
      <c r="Q72" s="2045"/>
      <c r="R72" s="2045"/>
      <c r="S72" s="2045"/>
      <c r="T72" s="2045"/>
      <c r="U72" s="2045"/>
      <c r="V72" s="2045"/>
      <c r="W72" s="2045"/>
      <c r="X72" s="2045"/>
      <c r="Z72" s="2053" t="s">
        <v>508</v>
      </c>
      <c r="AA72" s="2053"/>
      <c r="AB72" s="2053"/>
      <c r="AC72" s="2053"/>
      <c r="AD72" s="2053"/>
      <c r="AE72" s="2053"/>
      <c r="AF72" s="2053"/>
      <c r="AG72" s="2053"/>
      <c r="AH72" s="2053"/>
      <c r="AI72" s="2053"/>
      <c r="AJ72" s="2053"/>
      <c r="AK72" s="2053"/>
      <c r="AL72" s="2053"/>
      <c r="AM72" s="2053"/>
      <c r="AN72" s="2053"/>
      <c r="AO72" s="2053"/>
      <c r="AP72" s="2053"/>
      <c r="AQ72" s="2053"/>
      <c r="AR72" s="2053"/>
      <c r="AS72" s="2053"/>
      <c r="AT72" s="2053"/>
      <c r="AU72" s="2053"/>
      <c r="AV72" s="2053"/>
      <c r="AW72" s="2053"/>
      <c r="AX72" s="2053"/>
      <c r="AY72" s="2053"/>
      <c r="AZ72" s="2053"/>
      <c r="BA72" s="250"/>
      <c r="BB72" s="250"/>
      <c r="BC72" s="250"/>
      <c r="BD72" s="250"/>
      <c r="BE72" s="250"/>
      <c r="BF72" s="250"/>
      <c r="BG72" s="250"/>
      <c r="BH72" s="250"/>
      <c r="BI72" s="250"/>
    </row>
    <row r="73" spans="1:177" s="232" customFormat="1" ht="16.5" customHeight="1">
      <c r="B73" s="2045" t="s">
        <v>511</v>
      </c>
      <c r="C73" s="2045"/>
      <c r="D73" s="2045"/>
      <c r="E73" s="2045"/>
      <c r="F73" s="2045"/>
      <c r="G73" s="2045"/>
      <c r="H73" s="2045"/>
      <c r="I73" s="2045"/>
      <c r="J73" s="2045"/>
      <c r="K73" s="2045"/>
      <c r="L73" s="2045"/>
      <c r="M73" s="2045"/>
      <c r="N73" s="2045"/>
      <c r="O73" s="2045"/>
      <c r="P73" s="2045"/>
      <c r="Q73" s="2045"/>
      <c r="R73" s="2045"/>
      <c r="S73" s="2045"/>
      <c r="T73" s="2045"/>
      <c r="U73" s="2045"/>
      <c r="V73" s="2045"/>
      <c r="W73" s="2045"/>
      <c r="X73" s="2045"/>
      <c r="Z73" s="2046" t="s">
        <v>512</v>
      </c>
      <c r="AA73" s="2046"/>
      <c r="AB73" s="2046"/>
      <c r="AC73" s="2046"/>
      <c r="AD73" s="2046"/>
      <c r="AE73" s="2046"/>
      <c r="AF73" s="2046"/>
      <c r="AG73" s="2046"/>
      <c r="AH73" s="2046"/>
      <c r="AI73" s="2046"/>
      <c r="AJ73" s="2046"/>
      <c r="AK73" s="2046"/>
      <c r="AL73" s="2046"/>
      <c r="AM73" s="2046"/>
      <c r="AN73" s="2046"/>
      <c r="AO73" s="2046"/>
      <c r="AP73" s="2046"/>
      <c r="AQ73" s="2046"/>
      <c r="AR73" s="2046"/>
      <c r="AS73" s="2046"/>
      <c r="AT73" s="2046"/>
      <c r="AU73" s="2046"/>
      <c r="AV73" s="2046"/>
      <c r="AW73" s="2046"/>
      <c r="AX73" s="2046"/>
      <c r="AY73" s="2046"/>
      <c r="AZ73" s="2046"/>
      <c r="BA73" s="2046"/>
      <c r="BB73" s="2046"/>
      <c r="BC73" s="2046"/>
      <c r="BD73" s="2046"/>
      <c r="BE73" s="2046"/>
      <c r="BF73" s="2046"/>
      <c r="BG73" s="2046"/>
      <c r="BH73" s="2046"/>
      <c r="BI73" s="2046"/>
    </row>
    <row r="74" spans="1:177" s="232" customFormat="1" ht="16.5" customHeight="1">
      <c r="B74" s="2045"/>
      <c r="C74" s="2045"/>
      <c r="D74" s="2045"/>
      <c r="E74" s="2045"/>
      <c r="F74" s="2045"/>
      <c r="G74" s="2045"/>
      <c r="H74" s="2045"/>
      <c r="I74" s="2045"/>
      <c r="J74" s="2045"/>
      <c r="K74" s="2045"/>
      <c r="L74" s="2045"/>
      <c r="M74" s="2045"/>
      <c r="N74" s="2045"/>
      <c r="O74" s="2045"/>
      <c r="P74" s="2045"/>
      <c r="Q74" s="2045"/>
      <c r="R74" s="2045"/>
      <c r="S74" s="2045"/>
      <c r="T74" s="2045"/>
      <c r="U74" s="2045"/>
      <c r="V74" s="2045"/>
      <c r="W74" s="2045"/>
      <c r="X74" s="2045"/>
      <c r="Z74" s="251"/>
      <c r="AA74" s="252"/>
      <c r="AB74" s="252"/>
      <c r="AC74" s="252"/>
      <c r="AD74" s="2047" t="s">
        <v>508</v>
      </c>
      <c r="AE74" s="2047"/>
      <c r="AF74" s="2047"/>
      <c r="AG74" s="2047"/>
      <c r="AH74" s="2047"/>
      <c r="AI74" s="2047"/>
      <c r="AJ74" s="2047"/>
      <c r="AK74" s="2047"/>
      <c r="AL74" s="2047"/>
      <c r="AM74" s="2047"/>
      <c r="AN74" s="2047"/>
      <c r="AO74" s="2047"/>
      <c r="AP74" s="2047"/>
      <c r="AQ74" s="2047"/>
      <c r="AR74" s="2047"/>
      <c r="AS74" s="2047"/>
      <c r="AT74" s="2047"/>
      <c r="AU74" s="2047"/>
      <c r="AV74" s="2047"/>
      <c r="AW74" s="2047"/>
      <c r="AX74" s="2047"/>
      <c r="AY74" s="2047"/>
      <c r="AZ74" s="2047"/>
      <c r="BA74" s="2047"/>
      <c r="BB74" s="2047"/>
      <c r="BC74" s="2047"/>
      <c r="BD74" s="2047"/>
      <c r="BE74" s="2047"/>
      <c r="BF74" s="253"/>
      <c r="BG74" s="253"/>
      <c r="BH74" s="253"/>
      <c r="BI74" s="253"/>
    </row>
    <row r="75" spans="1:177" s="232" customFormat="1" ht="16.5" customHeight="1">
      <c r="B75" s="2045" t="s">
        <v>513</v>
      </c>
      <c r="C75" s="2045"/>
      <c r="D75" s="2045"/>
      <c r="E75" s="2045"/>
      <c r="F75" s="2045"/>
      <c r="G75" s="2045"/>
      <c r="H75" s="2045"/>
      <c r="I75" s="2045"/>
      <c r="J75" s="2045"/>
      <c r="K75" s="2045"/>
      <c r="L75" s="2045"/>
      <c r="M75" s="2045"/>
      <c r="N75" s="2045"/>
      <c r="O75" s="2045"/>
      <c r="P75" s="2045"/>
      <c r="Q75" s="2045"/>
      <c r="R75" s="2045"/>
      <c r="S75" s="2045"/>
      <c r="T75" s="2045"/>
      <c r="U75" s="2045"/>
      <c r="V75" s="2045"/>
      <c r="W75" s="2045"/>
      <c r="X75" s="2045"/>
      <c r="Z75" s="2046" t="s">
        <v>514</v>
      </c>
      <c r="AA75" s="2046"/>
      <c r="AB75" s="2046"/>
      <c r="AC75" s="2046"/>
      <c r="AD75" s="2046"/>
      <c r="AE75" s="2046"/>
      <c r="AF75" s="2046"/>
      <c r="AG75" s="2046"/>
      <c r="AH75" s="2046"/>
      <c r="AI75" s="2046"/>
      <c r="AJ75" s="2046"/>
      <c r="AK75" s="2046"/>
      <c r="AL75" s="2046"/>
      <c r="AM75" s="2046"/>
      <c r="AN75" s="2046"/>
      <c r="AO75" s="2046"/>
      <c r="AP75" s="2046"/>
      <c r="AQ75" s="2046"/>
      <c r="AR75" s="2046"/>
      <c r="AS75" s="2046"/>
      <c r="AT75" s="2046"/>
      <c r="AU75" s="2046"/>
      <c r="AV75" s="2046"/>
      <c r="AW75" s="2046"/>
      <c r="AX75" s="2046"/>
      <c r="AY75" s="2046"/>
      <c r="AZ75" s="2046"/>
      <c r="BA75" s="2046"/>
      <c r="BB75" s="2046"/>
      <c r="BC75" s="2046"/>
      <c r="BD75" s="2046"/>
      <c r="BE75" s="2046"/>
      <c r="BF75" s="2046"/>
      <c r="BG75" s="2046"/>
      <c r="BH75" s="2046"/>
      <c r="BI75" s="2046"/>
    </row>
    <row r="76" spans="1:177" s="232" customFormat="1" ht="16.5" customHeight="1">
      <c r="B76" s="2045"/>
      <c r="C76" s="2045"/>
      <c r="D76" s="2045"/>
      <c r="E76" s="2045"/>
      <c r="F76" s="2045"/>
      <c r="G76" s="2045"/>
      <c r="H76" s="2045"/>
      <c r="I76" s="2045"/>
      <c r="J76" s="2045"/>
      <c r="K76" s="2045"/>
      <c r="L76" s="2045"/>
      <c r="M76" s="2045"/>
      <c r="N76" s="2045"/>
      <c r="O76" s="2045"/>
      <c r="P76" s="2045"/>
      <c r="Q76" s="2045"/>
      <c r="R76" s="2045"/>
      <c r="S76" s="2045"/>
      <c r="T76" s="2045"/>
      <c r="U76" s="2045"/>
      <c r="V76" s="2045"/>
      <c r="W76" s="2045"/>
      <c r="X76" s="2045"/>
      <c r="AD76" s="2047" t="s">
        <v>508</v>
      </c>
      <c r="AE76" s="2047"/>
      <c r="AF76" s="2047"/>
      <c r="AG76" s="2047"/>
      <c r="AH76" s="2047"/>
      <c r="AI76" s="2047"/>
      <c r="AJ76" s="2047"/>
      <c r="AK76" s="2047"/>
      <c r="AL76" s="2047"/>
      <c r="AM76" s="2047"/>
      <c r="AN76" s="2047"/>
      <c r="AO76" s="2047"/>
      <c r="AP76" s="2047"/>
      <c r="AQ76" s="2047"/>
      <c r="AR76" s="2047"/>
      <c r="AS76" s="2047"/>
      <c r="AT76" s="2047"/>
      <c r="AU76" s="2047"/>
      <c r="AV76" s="2047"/>
      <c r="AW76" s="2047"/>
      <c r="AX76" s="2047"/>
      <c r="AY76" s="2047"/>
      <c r="AZ76" s="2047"/>
      <c r="BA76" s="2047"/>
      <c r="BB76" s="2047"/>
      <c r="BC76" s="2047"/>
      <c r="BD76" s="2047"/>
      <c r="BE76" s="2047"/>
    </row>
    <row r="77" spans="1:177" s="232" customFormat="1" ht="19.5" customHeight="1">
      <c r="B77" s="2045" t="s">
        <v>515</v>
      </c>
      <c r="C77" s="2045"/>
      <c r="D77" s="2045"/>
      <c r="E77" s="2045"/>
      <c r="F77" s="2045"/>
      <c r="G77" s="2045"/>
      <c r="H77" s="2045"/>
      <c r="I77" s="2045"/>
      <c r="J77" s="2045"/>
      <c r="K77" s="2045"/>
      <c r="L77" s="2045"/>
      <c r="M77" s="2045"/>
      <c r="N77" s="2045"/>
      <c r="O77" s="2045"/>
      <c r="P77" s="2045"/>
      <c r="Q77" s="2045"/>
      <c r="R77" s="2048" t="s">
        <v>516</v>
      </c>
      <c r="S77" s="2048"/>
      <c r="T77" s="2048"/>
      <c r="U77" s="2048"/>
      <c r="V77" s="2048"/>
      <c r="W77" s="2048"/>
      <c r="X77" s="2048"/>
      <c r="Y77" s="2048"/>
      <c r="Z77" s="2048"/>
      <c r="AA77" s="2048"/>
      <c r="AB77" s="2048"/>
      <c r="AC77" s="2048"/>
      <c r="AD77" s="2048"/>
      <c r="AE77" s="2048"/>
      <c r="AF77" s="2048"/>
      <c r="AG77" s="2048"/>
      <c r="AH77" s="2048"/>
      <c r="AI77" s="2048"/>
      <c r="AJ77" s="2048"/>
      <c r="AK77" s="2048"/>
      <c r="AL77" s="2048"/>
      <c r="AM77" s="2048"/>
      <c r="AN77" s="2048"/>
      <c r="AO77" s="2048"/>
      <c r="AP77" s="2048"/>
      <c r="AQ77" s="2048"/>
      <c r="AR77" s="2048"/>
      <c r="AS77" s="2048"/>
      <c r="AT77" s="2048"/>
      <c r="AU77" s="2048"/>
      <c r="AV77" s="2048"/>
      <c r="AW77" s="2048"/>
      <c r="AX77" s="2048"/>
      <c r="AY77" s="2048"/>
      <c r="AZ77" s="2048"/>
      <c r="BA77" s="2048"/>
      <c r="BB77" s="2048"/>
      <c r="BC77" s="2048"/>
      <c r="BD77" s="2048"/>
      <c r="BE77" s="2048"/>
      <c r="BF77" s="2048"/>
      <c r="BG77" s="2048"/>
      <c r="BH77" s="2048"/>
      <c r="BI77" s="2048"/>
    </row>
    <row r="78" spans="1:177" s="232" customFormat="1" ht="19.5" customHeight="1">
      <c r="B78" s="2049" t="s">
        <v>517</v>
      </c>
      <c r="C78" s="2049"/>
      <c r="D78" s="2049"/>
      <c r="E78" s="2049"/>
      <c r="F78" s="2049"/>
      <c r="G78" s="2049"/>
      <c r="H78" s="2049"/>
      <c r="I78" s="2049"/>
      <c r="J78" s="2049"/>
      <c r="K78" s="2049"/>
      <c r="L78" s="2049"/>
      <c r="M78" s="2049"/>
      <c r="N78" s="2049"/>
      <c r="O78" s="2049"/>
      <c r="P78" s="2049"/>
      <c r="Q78" s="2049"/>
      <c r="R78" s="2048" t="s">
        <v>518</v>
      </c>
      <c r="S78" s="2048"/>
      <c r="T78" s="2048"/>
      <c r="U78" s="2048"/>
      <c r="V78" s="2048"/>
      <c r="W78" s="2048"/>
      <c r="X78" s="2048"/>
      <c r="Y78" s="2048"/>
      <c r="Z78" s="2048"/>
      <c r="AA78" s="2048"/>
      <c r="AB78" s="2048"/>
      <c r="AC78" s="2048"/>
      <c r="AD78" s="2048"/>
      <c r="AE78" s="2048"/>
      <c r="AF78" s="2048"/>
      <c r="AG78" s="2048"/>
      <c r="AH78" s="2048"/>
      <c r="AI78" s="2048"/>
      <c r="AJ78" s="2048"/>
      <c r="AK78" s="2048"/>
      <c r="AL78" s="2048"/>
      <c r="AM78" s="2048"/>
      <c r="AN78" s="2048"/>
      <c r="AO78" s="2048"/>
      <c r="AP78" s="2048"/>
      <c r="AQ78" s="2048"/>
      <c r="AR78" s="2048"/>
      <c r="AS78" s="2048"/>
      <c r="AT78" s="2048"/>
      <c r="AU78" s="2048"/>
      <c r="AV78" s="2048"/>
      <c r="AW78" s="2048"/>
      <c r="AX78" s="2048"/>
      <c r="AY78" s="2048"/>
      <c r="AZ78" s="2048"/>
      <c r="BA78" s="2048"/>
      <c r="BB78" s="2048"/>
      <c r="BC78" s="2048"/>
      <c r="BD78" s="2048"/>
      <c r="BE78" s="2048"/>
      <c r="BF78" s="2048"/>
      <c r="BG78" s="2048"/>
      <c r="BH78" s="2048"/>
      <c r="BI78" s="2048"/>
    </row>
    <row r="79" spans="1:177" s="222" customFormat="1" ht="19.5" customHeight="1">
      <c r="A79" s="2050" t="s">
        <v>519</v>
      </c>
      <c r="B79" s="2050"/>
      <c r="C79" s="2050"/>
      <c r="D79" s="2050"/>
      <c r="E79" s="2050"/>
      <c r="F79" s="2050"/>
      <c r="G79" s="2050"/>
      <c r="H79" s="2050"/>
      <c r="I79" s="2050"/>
      <c r="J79" s="2050"/>
      <c r="K79" s="254"/>
      <c r="L79" s="2030" t="s">
        <v>520</v>
      </c>
      <c r="M79" s="2030"/>
      <c r="N79" s="2030"/>
      <c r="O79" s="2030"/>
      <c r="P79" s="2030"/>
      <c r="Q79" s="2030"/>
      <c r="R79" s="2030"/>
      <c r="S79" s="2030"/>
      <c r="T79" s="2030"/>
      <c r="U79" s="2030"/>
      <c r="V79" s="2030"/>
      <c r="W79" s="2030"/>
      <c r="X79" s="226"/>
      <c r="Y79" s="254"/>
      <c r="Z79" s="2030" t="s">
        <v>521</v>
      </c>
      <c r="AA79" s="2030"/>
      <c r="AB79" s="2030"/>
      <c r="AC79" s="2030"/>
      <c r="AD79" s="2030"/>
      <c r="AE79" s="2030"/>
      <c r="AF79" s="2030"/>
      <c r="AG79" s="2030"/>
      <c r="AH79" s="2030"/>
      <c r="AI79" s="2030"/>
      <c r="AJ79" s="2030"/>
      <c r="AK79" s="2030"/>
      <c r="AL79" s="226"/>
      <c r="AM79" s="255"/>
      <c r="AN79" s="2030" t="s">
        <v>522</v>
      </c>
      <c r="AO79" s="2030"/>
      <c r="AP79" s="2030"/>
      <c r="AQ79" s="2030"/>
      <c r="AR79" s="2030"/>
      <c r="AS79" s="2030"/>
      <c r="AT79" s="2030"/>
      <c r="AU79" s="2030"/>
      <c r="AV79" s="2030"/>
      <c r="AW79" s="2030"/>
      <c r="AX79" s="2030"/>
      <c r="AY79" s="2030"/>
      <c r="AZ79" s="226"/>
    </row>
    <row r="80" spans="1:177" s="222" customFormat="1" ht="19.5" customHeight="1">
      <c r="A80" s="2050"/>
      <c r="B80" s="2050"/>
      <c r="C80" s="2050"/>
      <c r="D80" s="2050"/>
      <c r="E80" s="2050"/>
      <c r="F80" s="2050"/>
      <c r="G80" s="2050"/>
      <c r="H80" s="2050"/>
      <c r="I80" s="2050"/>
      <c r="J80" s="2050"/>
      <c r="K80" s="229"/>
      <c r="L80" s="2044">
        <f>DE66</f>
        <v>19060</v>
      </c>
      <c r="M80" s="2044"/>
      <c r="N80" s="2044"/>
      <c r="O80" s="2044"/>
      <c r="P80" s="2044"/>
      <c r="Q80" s="2044"/>
      <c r="R80" s="2044"/>
      <c r="S80" s="2044"/>
      <c r="T80" s="2044"/>
      <c r="U80" s="2044"/>
      <c r="V80" s="2044"/>
      <c r="W80" s="2044"/>
      <c r="X80" s="257"/>
      <c r="Y80" s="258"/>
      <c r="Z80" s="2051">
        <f>EB66</f>
        <v>10434</v>
      </c>
      <c r="AA80" s="2051"/>
      <c r="AB80" s="2051"/>
      <c r="AC80" s="2051"/>
      <c r="AD80" s="2051"/>
      <c r="AE80" s="2051"/>
      <c r="AF80" s="2051"/>
      <c r="AG80" s="2051"/>
      <c r="AH80" s="2051"/>
      <c r="AI80" s="2051"/>
      <c r="AJ80" s="2051"/>
      <c r="AK80" s="2051"/>
      <c r="AL80" s="230"/>
      <c r="AM80" s="260"/>
      <c r="AN80" s="2052">
        <f>Z80/L80</f>
        <v>0.54742917103882471</v>
      </c>
      <c r="AO80" s="2052"/>
      <c r="AP80" s="2052"/>
      <c r="AQ80" s="2052"/>
      <c r="AR80" s="2052"/>
      <c r="AS80" s="2052"/>
      <c r="AT80" s="2052"/>
      <c r="AU80" s="2052"/>
      <c r="AV80" s="2052"/>
      <c r="AW80" s="2052"/>
      <c r="AX80" s="2052"/>
      <c r="AY80" s="2052"/>
      <c r="AZ80" s="230"/>
    </row>
    <row r="81" spans="1:80" s="222" customFormat="1" ht="4.5" customHeight="1">
      <c r="A81" s="239"/>
      <c r="B81" s="239"/>
      <c r="C81" s="239"/>
      <c r="D81" s="239"/>
      <c r="E81" s="239"/>
      <c r="F81" s="239"/>
      <c r="G81" s="239"/>
      <c r="H81" s="239"/>
      <c r="I81" s="239"/>
      <c r="J81" s="239"/>
      <c r="K81" s="261"/>
      <c r="L81" s="262"/>
      <c r="M81" s="262"/>
      <c r="N81" s="262"/>
      <c r="O81" s="262"/>
      <c r="P81" s="262"/>
      <c r="Q81" s="262"/>
      <c r="R81" s="262"/>
      <c r="S81" s="262"/>
      <c r="T81" s="262"/>
      <c r="U81" s="244"/>
      <c r="V81" s="244"/>
      <c r="W81" s="244"/>
      <c r="X81" s="263"/>
      <c r="Y81" s="263"/>
      <c r="Z81" s="244"/>
      <c r="AA81" s="264"/>
      <c r="AB81" s="264"/>
      <c r="AC81" s="264"/>
      <c r="AD81" s="264"/>
      <c r="AE81" s="264"/>
      <c r="AF81" s="264"/>
      <c r="AG81" s="264"/>
      <c r="AH81" s="264"/>
      <c r="AI81" s="264"/>
      <c r="AJ81" s="264"/>
      <c r="AK81" s="264"/>
      <c r="AL81" s="261"/>
      <c r="AM81" s="261"/>
      <c r="AN81" s="265"/>
      <c r="AO81" s="266"/>
      <c r="AP81" s="266"/>
      <c r="AQ81" s="266"/>
      <c r="AR81" s="266"/>
      <c r="AS81" s="266"/>
      <c r="AT81" s="266"/>
      <c r="AU81" s="266"/>
      <c r="AV81" s="266"/>
      <c r="AW81" s="266"/>
      <c r="AX81" s="266"/>
      <c r="AY81" s="266"/>
      <c r="AZ81" s="261"/>
    </row>
    <row r="82" spans="1:80" s="222" customFormat="1" ht="21.75" hidden="1" customHeight="1">
      <c r="A82" s="2038" t="s">
        <v>523</v>
      </c>
      <c r="B82" s="2038"/>
      <c r="C82" s="2038"/>
      <c r="D82" s="2038"/>
      <c r="E82" s="2038"/>
      <c r="F82" s="2038"/>
      <c r="G82" s="2038"/>
      <c r="H82" s="2038"/>
      <c r="I82" s="2038"/>
      <c r="J82" s="2038"/>
      <c r="K82" s="2038"/>
      <c r="L82" s="2038"/>
      <c r="M82" s="2038"/>
      <c r="N82" s="2038"/>
      <c r="O82" s="2038"/>
      <c r="P82" s="2038"/>
      <c r="Q82" s="2038"/>
      <c r="R82" s="2038"/>
      <c r="S82" s="2038"/>
      <c r="T82" s="2038"/>
    </row>
    <row r="83" spans="1:80" s="222" customFormat="1" ht="15" hidden="1" customHeight="1">
      <c r="AT83" s="2041" t="s">
        <v>408</v>
      </c>
      <c r="AU83" s="2041"/>
      <c r="AV83" s="2041"/>
      <c r="AW83" s="2041"/>
      <c r="AX83" s="2041"/>
      <c r="AY83" s="2041"/>
      <c r="AZ83" s="2041"/>
      <c r="BA83" s="2041"/>
      <c r="BB83" s="2041"/>
      <c r="BC83" s="2041"/>
      <c r="BD83" s="2041"/>
      <c r="BE83" s="2041"/>
    </row>
    <row r="84" spans="1:80" s="222" customFormat="1" ht="21.9" hidden="1" customHeight="1">
      <c r="A84" s="2042" t="s">
        <v>524</v>
      </c>
      <c r="B84" s="2042"/>
      <c r="C84" s="2042"/>
      <c r="D84" s="2042"/>
      <c r="E84" s="2042"/>
      <c r="F84" s="2042"/>
      <c r="G84" s="2040" t="s">
        <v>525</v>
      </c>
      <c r="H84" s="2040"/>
      <c r="I84" s="2040"/>
      <c r="J84" s="2040"/>
      <c r="K84" s="2040"/>
      <c r="L84" s="2040"/>
      <c r="M84" s="2040"/>
      <c r="N84" s="2040"/>
      <c r="O84" s="2040"/>
      <c r="P84" s="2040"/>
      <c r="Q84" s="2040"/>
      <c r="R84" s="267"/>
      <c r="S84" s="2036" t="s">
        <v>526</v>
      </c>
      <c r="T84" s="2036"/>
      <c r="U84" s="2036"/>
      <c r="V84" s="2036"/>
      <c r="W84" s="2036"/>
      <c r="X84" s="2036"/>
      <c r="Y84" s="2036"/>
      <c r="Z84" s="2036"/>
      <c r="AA84" s="2036"/>
      <c r="AB84" s="268"/>
      <c r="AC84" s="269"/>
      <c r="AD84" s="2036" t="s">
        <v>527</v>
      </c>
      <c r="AE84" s="2036"/>
      <c r="AF84" s="2036"/>
      <c r="AG84" s="2036"/>
      <c r="AH84" s="2036"/>
      <c r="AI84" s="2036"/>
      <c r="AJ84" s="2036"/>
      <c r="AK84" s="2036"/>
      <c r="AL84" s="2036"/>
      <c r="AM84" s="269"/>
      <c r="AN84" s="2040" t="s">
        <v>528</v>
      </c>
      <c r="AO84" s="2040"/>
      <c r="AP84" s="2040"/>
      <c r="AQ84" s="2040"/>
      <c r="AR84" s="2040"/>
      <c r="AS84" s="2040"/>
      <c r="AT84" s="2040"/>
      <c r="AU84" s="2040"/>
      <c r="AV84" s="2040"/>
      <c r="AW84" s="2040"/>
      <c r="AX84" s="2040"/>
      <c r="AY84" s="2040" t="s">
        <v>529</v>
      </c>
      <c r="AZ84" s="2040"/>
      <c r="BA84" s="2040"/>
      <c r="BB84" s="2040"/>
      <c r="BC84" s="2040"/>
      <c r="BD84" s="2040"/>
      <c r="BE84" s="2040"/>
    </row>
    <row r="85" spans="1:80" s="222" customFormat="1" ht="21.9" hidden="1" customHeight="1">
      <c r="A85" s="2040" t="s">
        <v>14</v>
      </c>
      <c r="B85" s="2040"/>
      <c r="C85" s="2040"/>
      <c r="D85" s="2040"/>
      <c r="E85" s="2040"/>
      <c r="F85" s="2040"/>
      <c r="G85" s="240"/>
      <c r="H85" s="2043">
        <v>0</v>
      </c>
      <c r="I85" s="2044"/>
      <c r="J85" s="2044"/>
      <c r="K85" s="2044"/>
      <c r="L85" s="2044"/>
      <c r="M85" s="2044"/>
      <c r="N85" s="2044"/>
      <c r="O85" s="2044"/>
      <c r="P85" s="2044"/>
      <c r="Q85" s="259"/>
      <c r="R85" s="270"/>
      <c r="S85" s="2043">
        <v>0</v>
      </c>
      <c r="T85" s="2044"/>
      <c r="U85" s="2044"/>
      <c r="V85" s="2044"/>
      <c r="W85" s="2044"/>
      <c r="X85" s="2044"/>
      <c r="Y85" s="2044"/>
      <c r="Z85" s="2044"/>
      <c r="AA85" s="2044"/>
      <c r="AB85" s="271"/>
      <c r="AC85" s="259"/>
      <c r="AD85" s="2043">
        <v>0</v>
      </c>
      <c r="AE85" s="2044"/>
      <c r="AF85" s="2044"/>
      <c r="AG85" s="2044"/>
      <c r="AH85" s="2044"/>
      <c r="AI85" s="2044"/>
      <c r="AJ85" s="2044"/>
      <c r="AK85" s="2044"/>
      <c r="AL85" s="2044"/>
      <c r="AM85" s="259"/>
      <c r="AN85" s="270"/>
      <c r="AO85" s="2044">
        <f>H85+S85-AD85</f>
        <v>0</v>
      </c>
      <c r="AP85" s="2044"/>
      <c r="AQ85" s="2044"/>
      <c r="AR85" s="2044"/>
      <c r="AS85" s="2044"/>
      <c r="AT85" s="2044"/>
      <c r="AU85" s="2044"/>
      <c r="AV85" s="2044"/>
      <c r="AW85" s="2044"/>
      <c r="AX85" s="272"/>
      <c r="AY85" s="2040"/>
      <c r="AZ85" s="2040"/>
      <c r="BA85" s="2040"/>
      <c r="BB85" s="2040"/>
      <c r="BC85" s="2040"/>
      <c r="BD85" s="2040"/>
      <c r="BE85" s="2040"/>
    </row>
    <row r="86" spans="1:80" s="222" customFormat="1" ht="21" hidden="1" customHeight="1">
      <c r="A86" s="235"/>
      <c r="B86" s="273"/>
      <c r="C86" s="273"/>
      <c r="D86" s="273"/>
      <c r="E86" s="273"/>
      <c r="F86" s="273"/>
      <c r="G86" s="239"/>
      <c r="H86" s="262"/>
      <c r="I86" s="274"/>
      <c r="J86" s="274"/>
      <c r="K86" s="274"/>
      <c r="L86" s="274"/>
      <c r="M86" s="274"/>
      <c r="N86" s="274"/>
      <c r="O86" s="274"/>
      <c r="P86" s="274"/>
      <c r="Q86" s="274"/>
      <c r="R86" s="244"/>
      <c r="S86" s="244"/>
      <c r="T86" s="262"/>
      <c r="U86" s="274"/>
      <c r="V86" s="274"/>
      <c r="W86" s="274"/>
      <c r="X86" s="274"/>
      <c r="Y86" s="274"/>
      <c r="Z86" s="274"/>
      <c r="AA86" s="274"/>
      <c r="AB86" s="274"/>
      <c r="AC86" s="274"/>
      <c r="AD86" s="244"/>
      <c r="AE86" s="244"/>
      <c r="AF86" s="262"/>
      <c r="AG86" s="274"/>
      <c r="AH86" s="274"/>
      <c r="AI86" s="274"/>
      <c r="AJ86" s="274"/>
      <c r="AK86" s="274"/>
      <c r="AL86" s="274"/>
      <c r="AM86" s="274"/>
      <c r="AN86" s="274"/>
      <c r="AO86" s="274"/>
      <c r="AP86" s="244"/>
      <c r="AQ86" s="244"/>
      <c r="AR86" s="262"/>
      <c r="AS86" s="274"/>
      <c r="AT86" s="274"/>
      <c r="AU86" s="274"/>
      <c r="AV86" s="274"/>
      <c r="AW86" s="274"/>
      <c r="AX86" s="274"/>
      <c r="AY86" s="275"/>
      <c r="AZ86" s="275"/>
      <c r="BA86" s="275"/>
      <c r="BB86" s="276"/>
      <c r="BC86" s="239"/>
      <c r="BD86" s="277"/>
      <c r="BE86" s="277"/>
      <c r="BF86" s="277"/>
      <c r="BG86" s="277"/>
      <c r="BH86" s="277"/>
      <c r="BI86" s="245"/>
    </row>
    <row r="87" spans="1:80" s="222" customFormat="1" ht="21.75" customHeight="1">
      <c r="A87" s="2038" t="s">
        <v>530</v>
      </c>
      <c r="B87" s="2038"/>
      <c r="C87" s="2038"/>
      <c r="D87" s="2038"/>
      <c r="E87" s="2038"/>
      <c r="F87" s="2038"/>
      <c r="G87" s="2038"/>
      <c r="H87" s="2038"/>
      <c r="I87" s="2038"/>
      <c r="J87" s="2038"/>
      <c r="K87" s="2038"/>
      <c r="L87" s="2038"/>
      <c r="M87" s="2038"/>
      <c r="N87" s="2038"/>
      <c r="O87" s="2038"/>
      <c r="P87" s="2038"/>
      <c r="Q87" s="2038"/>
      <c r="R87" s="2038"/>
      <c r="S87" s="2038"/>
      <c r="T87" s="2038"/>
      <c r="U87" s="2038"/>
      <c r="V87" s="2038"/>
      <c r="W87" s="2038"/>
      <c r="X87" s="2038"/>
      <c r="Y87" s="2038"/>
      <c r="Z87" s="2038"/>
      <c r="AA87" s="2038"/>
      <c r="AB87" s="2038"/>
      <c r="AC87" s="2038"/>
      <c r="AD87" s="2038"/>
      <c r="AE87" s="2038"/>
      <c r="AF87" s="2038"/>
      <c r="AG87" s="2038"/>
      <c r="AH87" s="2038"/>
      <c r="AI87" s="2038"/>
      <c r="AJ87" s="2038"/>
      <c r="AK87" s="2038"/>
      <c r="AL87" s="2038"/>
      <c r="AM87" s="2038"/>
      <c r="AN87" s="2038"/>
      <c r="AO87" s="2038"/>
      <c r="AP87" s="2038"/>
      <c r="AQ87" s="2038"/>
      <c r="AR87" s="2038"/>
      <c r="AS87" s="2038"/>
      <c r="AT87" s="2038"/>
      <c r="AU87" s="2038"/>
      <c r="AV87" s="2038"/>
      <c r="AW87" s="2038"/>
      <c r="AX87" s="2038"/>
      <c r="AY87" s="261"/>
      <c r="AZ87" s="261"/>
      <c r="BA87" s="261"/>
      <c r="BB87" s="261"/>
      <c r="BC87" s="261"/>
      <c r="BD87" s="261"/>
      <c r="BE87" s="261"/>
      <c r="BF87" s="261"/>
      <c r="BG87" s="261"/>
      <c r="BH87" s="261"/>
      <c r="BI87" s="261"/>
    </row>
    <row r="88" spans="1:80" s="222" customFormat="1" ht="15" customHeight="1">
      <c r="AR88" s="2039" t="s">
        <v>408</v>
      </c>
      <c r="AS88" s="2039"/>
      <c r="AT88" s="2039"/>
      <c r="AU88" s="2039"/>
      <c r="AV88" s="2039"/>
      <c r="AW88" s="2039"/>
      <c r="AX88" s="2039"/>
      <c r="AY88" s="2039"/>
      <c r="AZ88" s="2039"/>
      <c r="BA88" s="2039"/>
      <c r="BB88" s="2039"/>
      <c r="BC88" s="2039"/>
    </row>
    <row r="89" spans="1:80" s="222" customFormat="1" ht="21.9" customHeight="1">
      <c r="A89" s="2040" t="s">
        <v>531</v>
      </c>
      <c r="B89" s="2040"/>
      <c r="C89" s="2040"/>
      <c r="D89" s="2040"/>
      <c r="E89" s="2040"/>
      <c r="F89" s="2040"/>
      <c r="G89" s="2040"/>
      <c r="H89" s="2040"/>
      <c r="I89" s="2040"/>
      <c r="J89" s="2040"/>
      <c r="K89" s="2040"/>
      <c r="L89" s="2040"/>
      <c r="M89" s="2040"/>
      <c r="N89" s="2040"/>
      <c r="O89" s="2040"/>
      <c r="P89" s="2040"/>
      <c r="Q89" s="2040"/>
      <c r="R89" s="2040"/>
      <c r="S89" s="2040"/>
      <c r="T89" s="2040"/>
      <c r="U89" s="2040"/>
      <c r="V89" s="2040"/>
      <c r="W89" s="2040"/>
      <c r="X89" s="2040" t="str">
        <f>"令和"&amp;IF((入力ガイド!$C$6)&gt;=10,MID("０１２３４５６７８９",INT((入力ガイド!$C$6)/10)+1,1),"")&amp;MID("０１２３４５６７８９",MOD((入力ガイド!$C$6),10)+1,1)&amp;"年度"</f>
        <v>令和７年度</v>
      </c>
      <c r="Y89" s="2040"/>
      <c r="Z89" s="2040"/>
      <c r="AA89" s="2040"/>
      <c r="AB89" s="2040"/>
      <c r="AC89" s="2040"/>
      <c r="AD89" s="2040"/>
      <c r="AE89" s="2040"/>
      <c r="AF89" s="2040"/>
      <c r="AG89" s="2040"/>
      <c r="AH89" s="2040"/>
      <c r="AI89" s="2040"/>
      <c r="AJ89" s="2040"/>
      <c r="AK89" s="2040"/>
      <c r="AL89" s="2040"/>
      <c r="AM89" s="2040"/>
      <c r="AN89" s="2040" t="str">
        <f>"令和"&amp;IF((入力ガイド!$C$6-1)&gt;=10,MID("０１２３４５６７８９",INT((入力ガイド!$C$6-1)/10)+1,1),"")&amp;MID("０１２３４５６７８９",MOD((入力ガイド!$C$6-1),10)+1,1)&amp;"年度"</f>
        <v>令和６年度</v>
      </c>
      <c r="AO89" s="2040"/>
      <c r="AP89" s="2040"/>
      <c r="AQ89" s="2040"/>
      <c r="AR89" s="2040"/>
      <c r="AS89" s="2040"/>
      <c r="AT89" s="2040"/>
      <c r="AU89" s="2040"/>
      <c r="AV89" s="2040"/>
      <c r="AW89" s="2040"/>
      <c r="AX89" s="2040"/>
      <c r="AY89" s="2040"/>
      <c r="AZ89" s="2040"/>
      <c r="BA89" s="2040"/>
      <c r="BB89" s="2040"/>
      <c r="BC89" s="2040"/>
      <c r="BJ89" s="239"/>
      <c r="BK89" s="239"/>
      <c r="BL89" s="239"/>
      <c r="BM89" s="239"/>
      <c r="BN89" s="239"/>
      <c r="BO89" s="239"/>
      <c r="BP89" s="239"/>
      <c r="BQ89" s="239"/>
      <c r="BR89" s="239"/>
      <c r="BS89" s="239"/>
      <c r="BT89" s="239"/>
      <c r="BU89" s="239"/>
      <c r="BV89" s="239"/>
      <c r="BW89" s="239"/>
      <c r="BX89" s="239"/>
      <c r="BY89" s="239"/>
      <c r="BZ89" s="239"/>
      <c r="CA89" s="239"/>
      <c r="CB89" s="239"/>
    </row>
    <row r="90" spans="1:80" s="222" customFormat="1" ht="21.9" customHeight="1">
      <c r="A90" s="2035" t="s">
        <v>532</v>
      </c>
      <c r="B90" s="2035"/>
      <c r="C90" s="2035"/>
      <c r="D90" s="261"/>
      <c r="E90" s="2030" t="s">
        <v>204</v>
      </c>
      <c r="F90" s="2030"/>
      <c r="G90" s="2030"/>
      <c r="H90" s="2030"/>
      <c r="I90" s="2030"/>
      <c r="J90" s="2030"/>
      <c r="K90" s="2030"/>
      <c r="L90" s="2030"/>
      <c r="M90" s="2030"/>
      <c r="N90" s="2030"/>
      <c r="O90" s="2030"/>
      <c r="P90" s="2030"/>
      <c r="Q90" s="2030"/>
      <c r="R90" s="2030"/>
      <c r="S90" s="2030"/>
      <c r="T90" s="2030"/>
      <c r="U90" s="2030"/>
      <c r="V90" s="2030"/>
      <c r="W90" s="244"/>
      <c r="X90" s="2032">
        <f>短期_財務諸表!G13</f>
        <v>907739421</v>
      </c>
      <c r="Y90" s="2032"/>
      <c r="Z90" s="2032"/>
      <c r="AA90" s="2032"/>
      <c r="AB90" s="2032"/>
      <c r="AC90" s="2032"/>
      <c r="AD90" s="2032"/>
      <c r="AE90" s="2032"/>
      <c r="AF90" s="2032"/>
      <c r="AG90" s="2032"/>
      <c r="AH90" s="2032"/>
      <c r="AI90" s="2032"/>
      <c r="AJ90" s="2032"/>
      <c r="AK90" s="2032"/>
      <c r="AL90" s="2032"/>
      <c r="AM90" s="226"/>
      <c r="AN90" s="2032">
        <f>短期_財務諸表!H56</f>
        <v>876229790</v>
      </c>
      <c r="AO90" s="2032"/>
      <c r="AP90" s="2032"/>
      <c r="AQ90" s="2032"/>
      <c r="AR90" s="2032"/>
      <c r="AS90" s="2032"/>
      <c r="AT90" s="2032"/>
      <c r="AU90" s="2032"/>
      <c r="AV90" s="2032"/>
      <c r="AW90" s="2032"/>
      <c r="AX90" s="2032"/>
      <c r="AY90" s="2032"/>
      <c r="AZ90" s="2032"/>
      <c r="BA90" s="2032"/>
      <c r="BB90" s="2032"/>
      <c r="BC90" s="226"/>
      <c r="BJ90" s="244"/>
      <c r="BK90" s="244"/>
      <c r="BL90" s="244"/>
      <c r="BM90" s="261"/>
      <c r="BN90" s="244"/>
      <c r="BO90" s="244"/>
      <c r="BP90" s="244"/>
      <c r="BQ90" s="244"/>
      <c r="BR90" s="244"/>
      <c r="BS90" s="244"/>
      <c r="BT90" s="244"/>
      <c r="BU90" s="244"/>
      <c r="BV90" s="244"/>
      <c r="BW90" s="244"/>
      <c r="BX90" s="244"/>
      <c r="BY90" s="244"/>
      <c r="BZ90" s="244"/>
      <c r="CA90" s="244"/>
      <c r="CB90" s="261"/>
    </row>
    <row r="91" spans="1:80" s="222" customFormat="1" ht="21.9" customHeight="1">
      <c r="A91" s="2035"/>
      <c r="B91" s="2035"/>
      <c r="C91" s="2035"/>
      <c r="D91" s="254"/>
      <c r="E91" s="2030" t="s">
        <v>201</v>
      </c>
      <c r="F91" s="2030"/>
      <c r="G91" s="2030"/>
      <c r="H91" s="2030"/>
      <c r="I91" s="2030"/>
      <c r="J91" s="2030"/>
      <c r="K91" s="2030"/>
      <c r="L91" s="2030"/>
      <c r="M91" s="2030"/>
      <c r="N91" s="2030"/>
      <c r="O91" s="2030"/>
      <c r="P91" s="2030"/>
      <c r="Q91" s="2030"/>
      <c r="R91" s="2030"/>
      <c r="S91" s="2030"/>
      <c r="T91" s="2030"/>
      <c r="U91" s="2030"/>
      <c r="V91" s="2030"/>
      <c r="W91" s="256"/>
      <c r="X91" s="2032">
        <f>短期_財務諸表!F19</f>
        <v>533584212</v>
      </c>
      <c r="Y91" s="2032"/>
      <c r="Z91" s="2032"/>
      <c r="AA91" s="2032"/>
      <c r="AB91" s="2032"/>
      <c r="AC91" s="2032"/>
      <c r="AD91" s="2032"/>
      <c r="AE91" s="2032"/>
      <c r="AF91" s="2032"/>
      <c r="AG91" s="2032"/>
      <c r="AH91" s="2032"/>
      <c r="AI91" s="2032"/>
      <c r="AJ91" s="2032"/>
      <c r="AK91" s="2032"/>
      <c r="AL91" s="2032"/>
      <c r="AM91" s="226"/>
      <c r="AN91" s="2032">
        <f>短期_附属明細表!E99</f>
        <v>480287584</v>
      </c>
      <c r="AO91" s="2032"/>
      <c r="AP91" s="2032"/>
      <c r="AQ91" s="2032"/>
      <c r="AR91" s="2032"/>
      <c r="AS91" s="2032"/>
      <c r="AT91" s="2032"/>
      <c r="AU91" s="2032"/>
      <c r="AV91" s="2032"/>
      <c r="AW91" s="2032"/>
      <c r="AX91" s="2032"/>
      <c r="AY91" s="2032"/>
      <c r="AZ91" s="2032"/>
      <c r="BA91" s="2032"/>
      <c r="BB91" s="2032"/>
      <c r="BC91" s="226"/>
      <c r="BJ91" s="244"/>
      <c r="BK91" s="244"/>
      <c r="BL91" s="244"/>
      <c r="BM91" s="261"/>
      <c r="BN91" s="244"/>
      <c r="BO91" s="244"/>
      <c r="BP91" s="244"/>
      <c r="BQ91" s="244"/>
      <c r="BR91" s="244"/>
      <c r="BS91" s="244"/>
      <c r="BT91" s="244"/>
      <c r="BU91" s="244"/>
      <c r="BV91" s="244"/>
      <c r="BW91" s="244"/>
      <c r="BX91" s="244"/>
      <c r="BY91" s="244"/>
      <c r="BZ91" s="244"/>
      <c r="CA91" s="244"/>
      <c r="CB91" s="261"/>
    </row>
    <row r="92" spans="1:80" s="222" customFormat="1" ht="21.9" customHeight="1">
      <c r="A92" s="2035"/>
      <c r="B92" s="2035"/>
      <c r="C92" s="2035"/>
      <c r="D92" s="261"/>
      <c r="E92" s="2036" t="s">
        <v>533</v>
      </c>
      <c r="F92" s="2036"/>
      <c r="G92" s="2036"/>
      <c r="H92" s="2036"/>
      <c r="I92" s="2036"/>
      <c r="J92" s="2036"/>
      <c r="K92" s="2036"/>
      <c r="L92" s="2036"/>
      <c r="M92" s="2036"/>
      <c r="N92" s="2036"/>
      <c r="O92" s="2036"/>
      <c r="P92" s="2036"/>
      <c r="Q92" s="2036"/>
      <c r="R92" s="2036"/>
      <c r="S92" s="2036"/>
      <c r="T92" s="2036"/>
      <c r="U92" s="2033" t="s">
        <v>534</v>
      </c>
      <c r="V92" s="2033"/>
      <c r="W92" s="244"/>
      <c r="X92" s="2032">
        <f>SUM(X90:AK91)</f>
        <v>1441323633</v>
      </c>
      <c r="Y92" s="2032"/>
      <c r="Z92" s="2032"/>
      <c r="AA92" s="2032"/>
      <c r="AB92" s="2032"/>
      <c r="AC92" s="2032"/>
      <c r="AD92" s="2032"/>
      <c r="AE92" s="2032"/>
      <c r="AF92" s="2032"/>
      <c r="AG92" s="2032"/>
      <c r="AH92" s="2032"/>
      <c r="AI92" s="2032"/>
      <c r="AJ92" s="2032"/>
      <c r="AK92" s="2032"/>
      <c r="AL92" s="2032"/>
      <c r="AM92" s="226"/>
      <c r="AN92" s="2032">
        <f>SUM(AN90:BA91)</f>
        <v>1356517374</v>
      </c>
      <c r="AO92" s="2032"/>
      <c r="AP92" s="2032"/>
      <c r="AQ92" s="2032"/>
      <c r="AR92" s="2032"/>
      <c r="AS92" s="2032"/>
      <c r="AT92" s="2032"/>
      <c r="AU92" s="2032"/>
      <c r="AV92" s="2032"/>
      <c r="AW92" s="2032"/>
      <c r="AX92" s="2032"/>
      <c r="AY92" s="2032"/>
      <c r="AZ92" s="2032"/>
      <c r="BA92" s="2032"/>
      <c r="BB92" s="2032"/>
      <c r="BC92" s="226"/>
      <c r="BJ92" s="244"/>
      <c r="BK92" s="244"/>
      <c r="BL92" s="244"/>
      <c r="BM92" s="261"/>
      <c r="BN92" s="244"/>
      <c r="BO92" s="244"/>
      <c r="BP92" s="244"/>
      <c r="BQ92" s="244"/>
      <c r="BR92" s="244"/>
      <c r="BS92" s="244"/>
      <c r="BT92" s="244"/>
      <c r="BU92" s="244"/>
      <c r="BV92" s="244"/>
      <c r="BW92" s="244"/>
      <c r="BX92" s="244"/>
      <c r="BY92" s="244"/>
      <c r="BZ92" s="244"/>
      <c r="CA92" s="244"/>
      <c r="CB92" s="261"/>
    </row>
    <row r="93" spans="1:80" s="222" customFormat="1" ht="21.9" customHeight="1">
      <c r="A93" s="2035" t="s">
        <v>535</v>
      </c>
      <c r="B93" s="2035"/>
      <c r="C93" s="2035"/>
      <c r="D93" s="255"/>
      <c r="E93" s="2030" t="s">
        <v>204</v>
      </c>
      <c r="F93" s="2030"/>
      <c r="G93" s="2030"/>
      <c r="H93" s="2030"/>
      <c r="I93" s="2030"/>
      <c r="J93" s="2030"/>
      <c r="K93" s="2030"/>
      <c r="L93" s="2030"/>
      <c r="M93" s="2030"/>
      <c r="N93" s="2030"/>
      <c r="O93" s="2030"/>
      <c r="P93" s="2030"/>
      <c r="Q93" s="2030"/>
      <c r="R93" s="2030"/>
      <c r="S93" s="2030"/>
      <c r="T93" s="2030"/>
      <c r="U93" s="2030"/>
      <c r="V93" s="2030"/>
      <c r="W93" s="256"/>
      <c r="X93" s="2032">
        <f>X90</f>
        <v>907739421</v>
      </c>
      <c r="Y93" s="2032"/>
      <c r="Z93" s="2032"/>
      <c r="AA93" s="2032"/>
      <c r="AB93" s="2032"/>
      <c r="AC93" s="2032"/>
      <c r="AD93" s="2032"/>
      <c r="AE93" s="2032"/>
      <c r="AF93" s="2032"/>
      <c r="AG93" s="2032"/>
      <c r="AH93" s="2032"/>
      <c r="AI93" s="2032"/>
      <c r="AJ93" s="2032"/>
      <c r="AK93" s="2032"/>
      <c r="AL93" s="2032"/>
      <c r="AM93" s="226"/>
      <c r="AN93" s="2032">
        <f>AN90</f>
        <v>876229790</v>
      </c>
      <c r="AO93" s="2032"/>
      <c r="AP93" s="2032"/>
      <c r="AQ93" s="2032"/>
      <c r="AR93" s="2032"/>
      <c r="AS93" s="2032"/>
      <c r="AT93" s="2032"/>
      <c r="AU93" s="2032"/>
      <c r="AV93" s="2032"/>
      <c r="AW93" s="2032"/>
      <c r="AX93" s="2032"/>
      <c r="AY93" s="2032"/>
      <c r="AZ93" s="2032"/>
      <c r="BA93" s="2032"/>
      <c r="BB93" s="2032"/>
      <c r="BC93" s="226"/>
      <c r="BJ93" s="244"/>
      <c r="BK93" s="244"/>
      <c r="BL93" s="244"/>
      <c r="BM93" s="261"/>
      <c r="BN93" s="244"/>
      <c r="BO93" s="244"/>
      <c r="BP93" s="244"/>
      <c r="BQ93" s="244"/>
      <c r="BR93" s="244"/>
      <c r="BS93" s="244"/>
      <c r="BT93" s="244"/>
      <c r="BU93" s="244"/>
      <c r="BV93" s="244"/>
      <c r="BW93" s="244"/>
      <c r="BX93" s="244"/>
      <c r="BY93" s="244"/>
      <c r="BZ93" s="244"/>
      <c r="CA93" s="244"/>
      <c r="CB93" s="261"/>
    </row>
    <row r="94" spans="1:80" s="222" customFormat="1" ht="21.9" customHeight="1">
      <c r="A94" s="2035"/>
      <c r="B94" s="2035"/>
      <c r="C94" s="2035"/>
      <c r="D94" s="261"/>
      <c r="E94" s="2030" t="s">
        <v>201</v>
      </c>
      <c r="F94" s="2030"/>
      <c r="G94" s="2030"/>
      <c r="H94" s="2030"/>
      <c r="I94" s="2030"/>
      <c r="J94" s="2030"/>
      <c r="K94" s="2030"/>
      <c r="L94" s="2030"/>
      <c r="M94" s="2030"/>
      <c r="N94" s="2030"/>
      <c r="O94" s="2030"/>
      <c r="P94" s="2030"/>
      <c r="Q94" s="2030"/>
      <c r="R94" s="2030"/>
      <c r="S94" s="2030"/>
      <c r="T94" s="2030"/>
      <c r="U94" s="2030"/>
      <c r="V94" s="2030"/>
      <c r="W94" s="244"/>
      <c r="X94" s="2032">
        <f>X91</f>
        <v>533584212</v>
      </c>
      <c r="Y94" s="2032"/>
      <c r="Z94" s="2032"/>
      <c r="AA94" s="2032"/>
      <c r="AB94" s="2032"/>
      <c r="AC94" s="2032"/>
      <c r="AD94" s="2032"/>
      <c r="AE94" s="2032"/>
      <c r="AF94" s="2032"/>
      <c r="AG94" s="2032"/>
      <c r="AH94" s="2032"/>
      <c r="AI94" s="2032"/>
      <c r="AJ94" s="2032"/>
      <c r="AK94" s="2032"/>
      <c r="AL94" s="2032"/>
      <c r="AM94" s="226"/>
      <c r="AN94" s="2032">
        <f>AN91</f>
        <v>480287584</v>
      </c>
      <c r="AO94" s="2032"/>
      <c r="AP94" s="2032"/>
      <c r="AQ94" s="2032"/>
      <c r="AR94" s="2032"/>
      <c r="AS94" s="2032"/>
      <c r="AT94" s="2032"/>
      <c r="AU94" s="2032"/>
      <c r="AV94" s="2032"/>
      <c r="AW94" s="2032"/>
      <c r="AX94" s="2032"/>
      <c r="AY94" s="2032"/>
      <c r="AZ94" s="2032"/>
      <c r="BA94" s="2032"/>
      <c r="BB94" s="2032"/>
      <c r="BC94" s="226"/>
      <c r="BJ94" s="244"/>
      <c r="BK94" s="244"/>
      <c r="BL94" s="244"/>
      <c r="BM94" s="261"/>
      <c r="BN94" s="244"/>
      <c r="BO94" s="244"/>
      <c r="BP94" s="244"/>
      <c r="BQ94" s="244"/>
      <c r="BR94" s="244"/>
      <c r="BS94" s="244"/>
      <c r="BT94" s="244"/>
      <c r="BU94" s="244"/>
      <c r="BV94" s="244"/>
      <c r="BW94" s="244"/>
      <c r="BX94" s="244"/>
      <c r="BY94" s="244"/>
      <c r="BZ94" s="244"/>
      <c r="CA94" s="244"/>
      <c r="CB94" s="261"/>
    </row>
    <row r="95" spans="1:80" s="222" customFormat="1" ht="21.9" customHeight="1">
      <c r="A95" s="2035"/>
      <c r="B95" s="2035"/>
      <c r="C95" s="2035"/>
      <c r="D95" s="255"/>
      <c r="E95" s="2030" t="s">
        <v>202</v>
      </c>
      <c r="F95" s="2030"/>
      <c r="G95" s="2030"/>
      <c r="H95" s="2030"/>
      <c r="I95" s="2030"/>
      <c r="J95" s="2030"/>
      <c r="K95" s="2030"/>
      <c r="L95" s="2030"/>
      <c r="M95" s="2030"/>
      <c r="N95" s="2030"/>
      <c r="O95" s="2030"/>
      <c r="P95" s="2030"/>
      <c r="Q95" s="2030"/>
      <c r="R95" s="2030"/>
      <c r="S95" s="2030"/>
      <c r="T95" s="2030"/>
      <c r="U95" s="2030"/>
      <c r="V95" s="2030"/>
      <c r="W95" s="256"/>
      <c r="X95" s="2032">
        <f>短期_財務諸表!F20</f>
        <v>2358068031</v>
      </c>
      <c r="Y95" s="2032"/>
      <c r="Z95" s="2032"/>
      <c r="AA95" s="2032"/>
      <c r="AB95" s="2032"/>
      <c r="AC95" s="2032"/>
      <c r="AD95" s="2032"/>
      <c r="AE95" s="2032"/>
      <c r="AF95" s="2032"/>
      <c r="AG95" s="2032"/>
      <c r="AH95" s="2032"/>
      <c r="AI95" s="2032"/>
      <c r="AJ95" s="2032"/>
      <c r="AK95" s="2032"/>
      <c r="AL95" s="2032"/>
      <c r="AM95" s="226"/>
      <c r="AN95" s="2032">
        <f>短期_附属明細表!K109</f>
        <v>1646038250</v>
      </c>
      <c r="AO95" s="2032"/>
      <c r="AP95" s="2032"/>
      <c r="AQ95" s="2032"/>
      <c r="AR95" s="2032"/>
      <c r="AS95" s="2032"/>
      <c r="AT95" s="2032"/>
      <c r="AU95" s="2032"/>
      <c r="AV95" s="2032"/>
      <c r="AW95" s="2032"/>
      <c r="AX95" s="2032"/>
      <c r="AY95" s="2032"/>
      <c r="AZ95" s="2032"/>
      <c r="BA95" s="2032"/>
      <c r="BB95" s="2032"/>
      <c r="BC95" s="226"/>
      <c r="BJ95" s="244"/>
      <c r="BK95" s="244"/>
      <c r="BL95" s="244"/>
      <c r="BM95" s="261"/>
      <c r="BN95" s="244"/>
      <c r="BO95" s="244"/>
      <c r="BP95" s="244"/>
      <c r="BQ95" s="244"/>
      <c r="BR95" s="244"/>
      <c r="BS95" s="244"/>
      <c r="BT95" s="244"/>
      <c r="BU95" s="244"/>
      <c r="BV95" s="244"/>
      <c r="BW95" s="244"/>
      <c r="BX95" s="244"/>
      <c r="BY95" s="244"/>
      <c r="BZ95" s="244"/>
      <c r="CA95" s="244"/>
      <c r="CB95" s="261"/>
    </row>
    <row r="96" spans="1:80" s="222" customFormat="1" ht="21.9" customHeight="1">
      <c r="A96" s="2035"/>
      <c r="B96" s="2035"/>
      <c r="C96" s="2035"/>
      <c r="D96" s="261"/>
      <c r="E96" s="2036" t="s">
        <v>533</v>
      </c>
      <c r="F96" s="2036"/>
      <c r="G96" s="2036"/>
      <c r="H96" s="2036"/>
      <c r="I96" s="2036"/>
      <c r="J96" s="2036"/>
      <c r="K96" s="2036"/>
      <c r="L96" s="2036"/>
      <c r="M96" s="2036"/>
      <c r="N96" s="2036"/>
      <c r="O96" s="2036"/>
      <c r="P96" s="2036"/>
      <c r="Q96" s="2036"/>
      <c r="R96" s="2036"/>
      <c r="S96" s="2036"/>
      <c r="T96" s="2036"/>
      <c r="U96" s="2033" t="s">
        <v>536</v>
      </c>
      <c r="V96" s="2033"/>
      <c r="W96" s="244"/>
      <c r="X96" s="2032">
        <f>SUM(X93:X95)</f>
        <v>3799391664</v>
      </c>
      <c r="Y96" s="2032"/>
      <c r="Z96" s="2032"/>
      <c r="AA96" s="2032"/>
      <c r="AB96" s="2032"/>
      <c r="AC96" s="2032"/>
      <c r="AD96" s="2032"/>
      <c r="AE96" s="2032"/>
      <c r="AF96" s="2032"/>
      <c r="AG96" s="2032"/>
      <c r="AH96" s="2032"/>
      <c r="AI96" s="2032"/>
      <c r="AJ96" s="2032"/>
      <c r="AK96" s="2032"/>
      <c r="AL96" s="2032"/>
      <c r="AM96" s="226"/>
      <c r="AN96" s="2032">
        <f>SUM(AN93:AN95)</f>
        <v>3002555624</v>
      </c>
      <c r="AO96" s="2032"/>
      <c r="AP96" s="2032"/>
      <c r="AQ96" s="2032"/>
      <c r="AR96" s="2032"/>
      <c r="AS96" s="2032"/>
      <c r="AT96" s="2032"/>
      <c r="AU96" s="2032"/>
      <c r="AV96" s="2032"/>
      <c r="AW96" s="2032"/>
      <c r="AX96" s="2032"/>
      <c r="AY96" s="2032"/>
      <c r="AZ96" s="2032"/>
      <c r="BA96" s="2032"/>
      <c r="BB96" s="2032"/>
      <c r="BC96" s="226"/>
      <c r="BJ96" s="244"/>
      <c r="BK96" s="244"/>
      <c r="BL96" s="244"/>
      <c r="BM96" s="261"/>
      <c r="BN96" s="244"/>
      <c r="BO96" s="244"/>
      <c r="BP96" s="244"/>
      <c r="BQ96" s="244"/>
      <c r="BR96" s="244"/>
      <c r="BS96" s="244"/>
      <c r="BT96" s="244"/>
      <c r="BU96" s="244"/>
      <c r="BV96" s="244"/>
      <c r="BW96" s="244"/>
      <c r="BX96" s="244"/>
      <c r="BY96" s="244"/>
      <c r="BZ96" s="244"/>
      <c r="CA96" s="244"/>
      <c r="CB96" s="261"/>
    </row>
    <row r="97" spans="1:80" s="222" customFormat="1" ht="21.9" customHeight="1">
      <c r="A97" s="2035"/>
      <c r="B97" s="2035"/>
      <c r="C97" s="2035"/>
      <c r="D97" s="255"/>
      <c r="E97" s="2030" t="s">
        <v>203</v>
      </c>
      <c r="F97" s="2030"/>
      <c r="G97" s="2030"/>
      <c r="H97" s="2030"/>
      <c r="I97" s="2030"/>
      <c r="J97" s="2030"/>
      <c r="K97" s="2030"/>
      <c r="L97" s="2030"/>
      <c r="M97" s="2030"/>
      <c r="N97" s="2030"/>
      <c r="O97" s="2030"/>
      <c r="P97" s="2030"/>
      <c r="Q97" s="2030"/>
      <c r="R97" s="2030"/>
      <c r="S97" s="2030"/>
      <c r="T97" s="2030"/>
      <c r="U97" s="2030"/>
      <c r="V97" s="2030"/>
      <c r="W97" s="256"/>
      <c r="X97" s="2037">
        <f>短期_財務諸表!F21</f>
        <v>158483531</v>
      </c>
      <c r="Y97" s="2037"/>
      <c r="Z97" s="2037"/>
      <c r="AA97" s="2037"/>
      <c r="AB97" s="2037"/>
      <c r="AC97" s="2037"/>
      <c r="AD97" s="2037"/>
      <c r="AE97" s="2037"/>
      <c r="AF97" s="2037"/>
      <c r="AG97" s="2037"/>
      <c r="AH97" s="2037"/>
      <c r="AI97" s="2037"/>
      <c r="AJ97" s="2037"/>
      <c r="AK97" s="2037"/>
      <c r="AL97" s="2037"/>
      <c r="AM97" s="226"/>
      <c r="AN97" s="2037">
        <f>短期_附属明細表!E101</f>
        <v>111039759</v>
      </c>
      <c r="AO97" s="2037"/>
      <c r="AP97" s="2037"/>
      <c r="AQ97" s="2037"/>
      <c r="AR97" s="2037"/>
      <c r="AS97" s="2037"/>
      <c r="AT97" s="2037"/>
      <c r="AU97" s="2037"/>
      <c r="AV97" s="2037"/>
      <c r="AW97" s="2037"/>
      <c r="AX97" s="2037"/>
      <c r="AY97" s="2037"/>
      <c r="AZ97" s="2037"/>
      <c r="BA97" s="2037"/>
      <c r="BB97" s="2037"/>
      <c r="BC97" s="226"/>
      <c r="BJ97" s="244"/>
      <c r="BK97" s="244"/>
      <c r="BL97" s="244"/>
      <c r="BM97" s="261"/>
      <c r="BN97" s="244"/>
      <c r="BO97" s="244"/>
      <c r="BP97" s="244"/>
      <c r="BQ97" s="244"/>
      <c r="BR97" s="244"/>
      <c r="BS97" s="244"/>
      <c r="BT97" s="244"/>
      <c r="BU97" s="244"/>
      <c r="BV97" s="244"/>
      <c r="BW97" s="244"/>
      <c r="BX97" s="244"/>
      <c r="BY97" s="244"/>
      <c r="BZ97" s="244"/>
      <c r="CA97" s="244"/>
      <c r="CB97" s="261"/>
    </row>
    <row r="98" spans="1:80" s="222" customFormat="1" ht="21.9" customHeight="1">
      <c r="A98" s="254"/>
      <c r="B98" s="2030" t="s">
        <v>537</v>
      </c>
      <c r="C98" s="2030"/>
      <c r="D98" s="2030"/>
      <c r="E98" s="2030"/>
      <c r="F98" s="2030"/>
      <c r="G98" s="2030"/>
      <c r="H98" s="2030"/>
      <c r="I98" s="2030"/>
      <c r="J98" s="2030"/>
      <c r="K98" s="2030"/>
      <c r="L98" s="2030"/>
      <c r="M98" s="2030"/>
      <c r="N98" s="2030"/>
      <c r="O98" s="278"/>
      <c r="P98" s="2031" t="s">
        <v>538</v>
      </c>
      <c r="Q98" s="2031"/>
      <c r="R98" s="2031"/>
      <c r="S98" s="2031"/>
      <c r="T98" s="2031"/>
      <c r="U98" s="2031"/>
      <c r="V98" s="2031"/>
      <c r="W98" s="256"/>
      <c r="X98" s="2032">
        <f>X96-X92</f>
        <v>2358068031</v>
      </c>
      <c r="Y98" s="2032"/>
      <c r="Z98" s="2032"/>
      <c r="AA98" s="2032"/>
      <c r="AB98" s="2032"/>
      <c r="AC98" s="2032"/>
      <c r="AD98" s="2032"/>
      <c r="AE98" s="2032"/>
      <c r="AF98" s="2032"/>
      <c r="AG98" s="2032"/>
      <c r="AH98" s="2032"/>
      <c r="AI98" s="2032"/>
      <c r="AJ98" s="2032"/>
      <c r="AK98" s="2032"/>
      <c r="AL98" s="2032"/>
      <c r="AM98" s="226"/>
      <c r="AN98" s="2032">
        <f>AN96-AN92</f>
        <v>1646038250</v>
      </c>
      <c r="AO98" s="2032"/>
      <c r="AP98" s="2032"/>
      <c r="AQ98" s="2032"/>
      <c r="AR98" s="2032"/>
      <c r="AS98" s="2032"/>
      <c r="AT98" s="2032"/>
      <c r="AU98" s="2032"/>
      <c r="AV98" s="2032"/>
      <c r="AW98" s="2032"/>
      <c r="AX98" s="2032"/>
      <c r="AY98" s="2032"/>
      <c r="AZ98" s="2032"/>
      <c r="BA98" s="2032"/>
      <c r="BB98" s="2032"/>
      <c r="BC98" s="226"/>
      <c r="BJ98" s="244"/>
      <c r="BK98" s="244"/>
      <c r="BL98" s="244"/>
      <c r="BM98" s="261"/>
      <c r="BN98" s="244"/>
      <c r="BO98" s="244"/>
      <c r="BP98" s="244"/>
      <c r="BQ98" s="244"/>
      <c r="BR98" s="244"/>
      <c r="BS98" s="244"/>
      <c r="BT98" s="244"/>
      <c r="BU98" s="244"/>
      <c r="BV98" s="244"/>
      <c r="BW98" s="244"/>
      <c r="BX98" s="244"/>
      <c r="BY98" s="244"/>
      <c r="BZ98" s="244"/>
      <c r="CA98" s="244"/>
      <c r="CB98" s="261"/>
    </row>
    <row r="99" spans="1:80" s="222" customFormat="1" ht="21.9" customHeight="1">
      <c r="A99" s="254"/>
      <c r="B99" s="2030" t="s">
        <v>539</v>
      </c>
      <c r="C99" s="2030"/>
      <c r="D99" s="2030"/>
      <c r="E99" s="2030"/>
      <c r="F99" s="2030"/>
      <c r="G99" s="2030"/>
      <c r="H99" s="2030"/>
      <c r="I99" s="2030"/>
      <c r="J99" s="2030"/>
      <c r="K99" s="2030"/>
      <c r="L99" s="2030"/>
      <c r="M99" s="2030"/>
      <c r="N99" s="2030"/>
      <c r="O99" s="278"/>
      <c r="P99" s="2033" t="s">
        <v>540</v>
      </c>
      <c r="Q99" s="2033"/>
      <c r="R99" s="2033"/>
      <c r="S99" s="2033"/>
      <c r="T99" s="2033"/>
      <c r="U99" s="2033"/>
      <c r="V99" s="2033"/>
      <c r="W99" s="279"/>
      <c r="X99" s="2034">
        <f>X96/X92</f>
        <v>2.6360434096899317</v>
      </c>
      <c r="Y99" s="2034"/>
      <c r="Z99" s="2034"/>
      <c r="AA99" s="2034"/>
      <c r="AB99" s="2034"/>
      <c r="AC99" s="2034"/>
      <c r="AD99" s="2034"/>
      <c r="AE99" s="2034"/>
      <c r="AF99" s="2034"/>
      <c r="AG99" s="2034"/>
      <c r="AH99" s="2034"/>
      <c r="AI99" s="2034"/>
      <c r="AJ99" s="2034"/>
      <c r="AK99" s="2034"/>
      <c r="AL99" s="2034"/>
      <c r="AM99" s="226"/>
      <c r="AN99" s="2034">
        <f>AN96/AN92</f>
        <v>2.2134295376890618</v>
      </c>
      <c r="AO99" s="2034"/>
      <c r="AP99" s="2034"/>
      <c r="AQ99" s="2034"/>
      <c r="AR99" s="2034"/>
      <c r="AS99" s="2034"/>
      <c r="AT99" s="2034"/>
      <c r="AU99" s="2034"/>
      <c r="AV99" s="2034"/>
      <c r="AW99" s="2034"/>
      <c r="AX99" s="2034"/>
      <c r="AY99" s="2034"/>
      <c r="AZ99" s="2034"/>
      <c r="BA99" s="2034"/>
      <c r="BB99" s="2034"/>
      <c r="BC99" s="226"/>
      <c r="BJ99" s="280"/>
      <c r="BK99" s="280"/>
      <c r="BL99" s="280"/>
      <c r="BM99" s="261"/>
      <c r="BN99" s="280"/>
      <c r="BO99" s="280"/>
      <c r="BP99" s="280"/>
      <c r="BQ99" s="280"/>
      <c r="BR99" s="280"/>
      <c r="BS99" s="280"/>
      <c r="BT99" s="280"/>
      <c r="BU99" s="280"/>
      <c r="BV99" s="280"/>
      <c r="BW99" s="280"/>
      <c r="BX99" s="280"/>
      <c r="BY99" s="280"/>
      <c r="BZ99" s="280"/>
      <c r="CA99" s="280"/>
      <c r="CB99" s="261"/>
    </row>
    <row r="100" spans="1:80" s="222" customFormat="1" ht="21.9" customHeight="1">
      <c r="A100" s="254"/>
      <c r="B100" s="2030" t="s">
        <v>541</v>
      </c>
      <c r="C100" s="2030"/>
      <c r="D100" s="2030"/>
      <c r="E100" s="2030"/>
      <c r="F100" s="2030"/>
      <c r="G100" s="2030"/>
      <c r="H100" s="2030"/>
      <c r="I100" s="2030"/>
      <c r="J100" s="2030"/>
      <c r="K100" s="2030"/>
      <c r="L100" s="2030"/>
      <c r="M100" s="2030"/>
      <c r="N100" s="2030"/>
      <c r="O100" s="281"/>
      <c r="P100" s="2033" t="s">
        <v>542</v>
      </c>
      <c r="Q100" s="2033"/>
      <c r="R100" s="2033"/>
      <c r="S100" s="2033"/>
      <c r="T100" s="2033"/>
      <c r="U100" s="2033"/>
      <c r="V100" s="2033"/>
      <c r="W100" s="282"/>
      <c r="X100" s="2032">
        <f>X96/L80</f>
        <v>199338.49233997901</v>
      </c>
      <c r="Y100" s="2032"/>
      <c r="Z100" s="2032"/>
      <c r="AA100" s="2032"/>
      <c r="AB100" s="2032"/>
      <c r="AC100" s="2032"/>
      <c r="AD100" s="2032"/>
      <c r="AE100" s="2032"/>
      <c r="AF100" s="2032"/>
      <c r="AG100" s="2032"/>
      <c r="AH100" s="2032"/>
      <c r="AI100" s="2032"/>
      <c r="AJ100" s="2032"/>
      <c r="AK100" s="2032"/>
      <c r="AL100" s="2032"/>
      <c r="AM100" s="226"/>
      <c r="AN100" s="2032">
        <f>AN96/DE65</f>
        <v>158705.83138643691</v>
      </c>
      <c r="AO100" s="2032"/>
      <c r="AP100" s="2032"/>
      <c r="AQ100" s="2032"/>
      <c r="AR100" s="2032"/>
      <c r="AS100" s="2032"/>
      <c r="AT100" s="2032"/>
      <c r="AU100" s="2032"/>
      <c r="AV100" s="2032"/>
      <c r="AW100" s="2032"/>
      <c r="AX100" s="2032"/>
      <c r="AY100" s="2032"/>
      <c r="AZ100" s="2032"/>
      <c r="BA100" s="2032"/>
      <c r="BB100" s="2032"/>
      <c r="BC100" s="226"/>
      <c r="BJ100" s="244"/>
      <c r="BK100" s="244"/>
      <c r="BL100" s="244"/>
      <c r="BM100" s="261"/>
      <c r="BN100" s="244"/>
      <c r="BO100" s="244"/>
      <c r="BP100" s="244"/>
      <c r="BQ100" s="244"/>
      <c r="BR100" s="244"/>
      <c r="BS100" s="244"/>
      <c r="BT100" s="244"/>
      <c r="BU100" s="244"/>
      <c r="BV100" s="244"/>
      <c r="BW100" s="244"/>
      <c r="BX100" s="244"/>
      <c r="BY100" s="244"/>
      <c r="BZ100" s="244"/>
      <c r="CA100" s="244"/>
      <c r="CB100" s="261"/>
    </row>
    <row r="101" spans="1:80" s="222" customFormat="1" ht="21" customHeight="1">
      <c r="A101" s="283" t="s">
        <v>366</v>
      </c>
      <c r="B101" s="283"/>
      <c r="C101" s="283"/>
      <c r="D101" s="173" t="s">
        <v>543</v>
      </c>
      <c r="E101" s="200"/>
      <c r="F101" s="200"/>
      <c r="G101" s="200"/>
      <c r="H101" s="200"/>
      <c r="I101" s="200"/>
      <c r="J101" s="200"/>
      <c r="K101" s="200"/>
      <c r="L101" s="200"/>
      <c r="M101" s="200"/>
      <c r="N101" s="200"/>
      <c r="O101" s="200"/>
      <c r="P101" s="200"/>
      <c r="Q101" s="200"/>
      <c r="R101" s="200"/>
      <c r="S101" s="200"/>
      <c r="T101" s="200"/>
      <c r="U101" s="200"/>
      <c r="V101" s="200"/>
      <c r="W101" s="200"/>
      <c r="X101" s="200"/>
      <c r="Y101" s="200"/>
      <c r="Z101" s="200"/>
      <c r="AA101" s="200"/>
      <c r="AB101" s="200"/>
      <c r="AC101" s="200"/>
      <c r="AD101" s="200"/>
      <c r="AE101" s="200"/>
      <c r="AF101" s="200"/>
      <c r="AG101" s="200"/>
      <c r="AH101" s="200"/>
      <c r="AI101" s="200"/>
      <c r="AJ101" s="200"/>
      <c r="AK101" s="200"/>
      <c r="AL101" s="200"/>
      <c r="AM101" s="200"/>
      <c r="AN101" s="200"/>
      <c r="AO101" s="200"/>
      <c r="AP101" s="200"/>
      <c r="AQ101" s="200"/>
      <c r="AR101" s="200"/>
      <c r="AS101" s="200"/>
      <c r="AT101" s="200"/>
      <c r="AU101" s="200"/>
      <c r="AV101" s="200"/>
      <c r="AW101" s="200"/>
      <c r="AX101" s="200"/>
      <c r="AY101" s="200"/>
      <c r="AZ101" s="200"/>
      <c r="BA101" s="200"/>
      <c r="BB101" s="200"/>
      <c r="BC101" s="200"/>
      <c r="BD101" s="200"/>
      <c r="BE101" s="284"/>
      <c r="BF101" s="285"/>
      <c r="BG101" s="285"/>
      <c r="BH101" s="285"/>
      <c r="BI101" s="285"/>
    </row>
    <row r="102" spans="1:80" s="222" customFormat="1" ht="21" customHeight="1">
      <c r="A102" s="172"/>
      <c r="B102" s="172"/>
      <c r="C102" s="172"/>
      <c r="D102" s="173" t="s">
        <v>544</v>
      </c>
      <c r="E102" s="200"/>
      <c r="F102" s="200"/>
      <c r="G102" s="200"/>
      <c r="H102" s="200"/>
      <c r="I102" s="200"/>
      <c r="J102" s="200"/>
      <c r="K102" s="200"/>
      <c r="L102" s="200"/>
      <c r="M102" s="200"/>
      <c r="N102" s="200"/>
      <c r="O102" s="200"/>
      <c r="P102" s="200"/>
      <c r="Q102" s="200"/>
      <c r="R102" s="200"/>
      <c r="S102" s="200"/>
      <c r="T102" s="200"/>
      <c r="U102" s="200"/>
      <c r="V102" s="200"/>
      <c r="W102" s="200"/>
      <c r="X102" s="200"/>
      <c r="Y102" s="200"/>
      <c r="Z102" s="200"/>
      <c r="AA102" s="200"/>
      <c r="AB102" s="200"/>
      <c r="AC102" s="200"/>
      <c r="AD102" s="200"/>
      <c r="AE102" s="200"/>
      <c r="AF102" s="200"/>
      <c r="AG102" s="200"/>
      <c r="AH102" s="200"/>
      <c r="AI102" s="200"/>
      <c r="AJ102" s="200"/>
      <c r="AK102" s="200"/>
      <c r="AL102" s="200"/>
      <c r="AM102" s="200"/>
      <c r="AN102" s="200"/>
      <c r="AO102" s="200"/>
      <c r="AP102" s="200"/>
      <c r="AQ102" s="200"/>
      <c r="AR102" s="200"/>
      <c r="AS102" s="200"/>
      <c r="AT102" s="200"/>
      <c r="AU102" s="200"/>
      <c r="AV102" s="200"/>
      <c r="AW102" s="200"/>
      <c r="AX102" s="200"/>
      <c r="AY102" s="200"/>
      <c r="AZ102" s="200"/>
      <c r="BA102" s="200"/>
      <c r="BB102" s="200"/>
      <c r="BC102" s="200"/>
      <c r="BD102" s="200"/>
      <c r="BE102" s="284"/>
      <c r="BF102" s="285"/>
      <c r="BG102" s="285"/>
      <c r="BH102" s="285"/>
      <c r="BI102" s="285"/>
    </row>
    <row r="103" spans="1:80" s="222" customFormat="1" ht="15" customHeight="1">
      <c r="A103" s="208"/>
      <c r="B103" s="208"/>
      <c r="C103" s="208"/>
      <c r="D103" s="208"/>
      <c r="E103" s="208"/>
      <c r="F103" s="208"/>
      <c r="G103" s="208"/>
      <c r="H103" s="208"/>
      <c r="I103" s="208"/>
      <c r="J103" s="208"/>
      <c r="K103" s="208"/>
      <c r="L103" s="208"/>
      <c r="M103" s="208"/>
      <c r="N103" s="208"/>
      <c r="O103" s="208"/>
      <c r="P103" s="208"/>
      <c r="Q103" s="208"/>
      <c r="R103" s="208"/>
      <c r="S103" s="208"/>
      <c r="T103" s="208"/>
      <c r="U103" s="208"/>
      <c r="V103" s="208"/>
      <c r="W103" s="208"/>
      <c r="X103" s="208"/>
      <c r="Y103" s="208"/>
      <c r="Z103" s="208"/>
      <c r="AA103" s="208"/>
      <c r="AB103" s="208"/>
      <c r="AC103" s="208"/>
      <c r="AD103" s="208"/>
      <c r="AE103" s="208"/>
      <c r="AF103" s="208"/>
      <c r="AG103" s="208"/>
      <c r="AH103" s="208"/>
      <c r="AI103" s="208"/>
      <c r="AJ103" s="208"/>
      <c r="AK103" s="208"/>
      <c r="AL103" s="208"/>
      <c r="AM103" s="208"/>
      <c r="AN103" s="208"/>
      <c r="AO103" s="208"/>
      <c r="AP103" s="208"/>
      <c r="AQ103" s="208"/>
      <c r="AR103" s="208"/>
      <c r="AS103" s="208"/>
      <c r="AT103" s="208"/>
      <c r="AU103" s="208"/>
      <c r="AV103" s="208"/>
      <c r="AW103" s="208"/>
      <c r="AX103" s="208"/>
      <c r="AY103" s="208"/>
      <c r="AZ103" s="208"/>
      <c r="BA103" s="208"/>
      <c r="BB103" s="208"/>
      <c r="BC103" s="208"/>
      <c r="BD103" s="208"/>
      <c r="BE103" s="208"/>
    </row>
    <row r="104" spans="1:80" s="287" customFormat="1" ht="13.5" customHeight="1">
      <c r="A104" s="286" t="s">
        <v>545</v>
      </c>
      <c r="B104" s="286"/>
      <c r="C104" s="286"/>
      <c r="D104" s="286"/>
      <c r="E104" s="286"/>
      <c r="F104" s="286"/>
      <c r="G104" s="286"/>
      <c r="H104" s="286"/>
      <c r="I104" s="286"/>
      <c r="J104" s="286"/>
      <c r="K104" s="286"/>
      <c r="L104" s="286"/>
      <c r="M104" s="286"/>
      <c r="N104" s="286"/>
      <c r="O104" s="286"/>
      <c r="P104" s="286"/>
      <c r="Q104" s="286"/>
      <c r="R104" s="286"/>
      <c r="S104" s="286"/>
      <c r="T104" s="286"/>
      <c r="U104" s="286"/>
      <c r="V104" s="286"/>
      <c r="W104" s="286"/>
      <c r="X104" s="286"/>
      <c r="Y104" s="286"/>
      <c r="Z104" s="286"/>
      <c r="AA104" s="286"/>
      <c r="AB104" s="286"/>
      <c r="AC104" s="286"/>
      <c r="AD104" s="286"/>
      <c r="AE104" s="286"/>
      <c r="AF104" s="286"/>
      <c r="AG104" s="286"/>
      <c r="AH104" s="286"/>
      <c r="AI104" s="286"/>
      <c r="AJ104" s="286"/>
      <c r="AK104" s="286"/>
      <c r="AL104" s="286"/>
      <c r="AM104" s="286"/>
      <c r="AN104" s="286"/>
      <c r="AO104" s="286"/>
      <c r="AP104" s="286"/>
      <c r="AQ104" s="286"/>
      <c r="AR104" s="286"/>
      <c r="AS104" s="286"/>
      <c r="AT104" s="286"/>
      <c r="AU104" s="286"/>
      <c r="AV104" s="286"/>
      <c r="AW104" s="286"/>
      <c r="AX104" s="286"/>
      <c r="AY104" s="286"/>
      <c r="AZ104" s="286"/>
      <c r="BA104" s="286"/>
      <c r="BB104" s="286"/>
      <c r="BC104" s="286"/>
      <c r="BD104" s="286"/>
      <c r="BE104" s="286"/>
      <c r="BF104" s="286"/>
      <c r="BG104" s="286"/>
      <c r="BH104" s="286"/>
      <c r="BI104" s="286"/>
      <c r="BJ104" s="286"/>
    </row>
    <row r="105" spans="1:80" s="287" customFormat="1" ht="13.5" customHeight="1">
      <c r="A105" s="286"/>
      <c r="B105" s="286"/>
      <c r="C105" s="286"/>
      <c r="D105" s="286"/>
      <c r="E105" s="286"/>
      <c r="F105" s="286"/>
      <c r="G105" s="286"/>
      <c r="H105" s="286"/>
      <c r="I105" s="286"/>
      <c r="J105" s="286"/>
      <c r="K105" s="286"/>
      <c r="L105" s="286"/>
      <c r="M105" s="286"/>
      <c r="N105" s="286"/>
      <c r="O105" s="286"/>
      <c r="P105" s="286"/>
      <c r="Q105" s="286"/>
      <c r="R105" s="286"/>
      <c r="S105" s="286"/>
      <c r="T105" s="286"/>
      <c r="U105" s="286"/>
      <c r="V105" s="286"/>
      <c r="W105" s="286"/>
      <c r="X105" s="286"/>
      <c r="Y105" s="286"/>
      <c r="Z105" s="286"/>
      <c r="AA105" s="286"/>
      <c r="AB105" s="286"/>
      <c r="AC105" s="286"/>
      <c r="AD105" s="286"/>
      <c r="AE105" s="286"/>
      <c r="AF105" s="286"/>
      <c r="AG105" s="286"/>
      <c r="AH105" s="286"/>
      <c r="AI105" s="286"/>
      <c r="AJ105" s="286"/>
      <c r="AK105" s="286"/>
      <c r="AL105" s="286"/>
      <c r="AM105" s="286"/>
      <c r="AN105" s="286"/>
      <c r="AO105" s="286"/>
      <c r="AP105" s="286"/>
      <c r="AQ105" s="286"/>
      <c r="AR105" s="286"/>
      <c r="AS105" s="286"/>
      <c r="AT105" s="286"/>
      <c r="AU105" s="286"/>
      <c r="AV105" s="286"/>
      <c r="AW105" s="286"/>
      <c r="AX105" s="286"/>
      <c r="AY105" s="286"/>
      <c r="AZ105" s="286"/>
      <c r="BA105" s="286"/>
      <c r="BB105" s="286"/>
      <c r="BC105" s="286"/>
      <c r="BD105" s="286"/>
      <c r="BE105" s="286"/>
      <c r="BF105" s="286"/>
      <c r="BG105" s="286"/>
      <c r="BH105" s="286"/>
      <c r="BI105" s="286"/>
      <c r="BJ105" s="286"/>
    </row>
    <row r="106" spans="1:80" s="287" customFormat="1" ht="13.5" customHeight="1">
      <c r="A106" s="288" t="s">
        <v>546</v>
      </c>
      <c r="B106" s="288"/>
      <c r="C106" s="288"/>
      <c r="D106" s="288"/>
      <c r="E106" s="288"/>
      <c r="F106" s="288"/>
      <c r="G106" s="288"/>
      <c r="H106" s="288"/>
      <c r="I106" s="288"/>
      <c r="J106" s="288"/>
      <c r="K106" s="288"/>
      <c r="L106" s="288"/>
      <c r="M106" s="288"/>
      <c r="N106" s="288"/>
      <c r="O106" s="288"/>
      <c r="P106" s="288"/>
      <c r="Q106" s="288"/>
      <c r="R106" s="288"/>
      <c r="S106" s="288"/>
      <c r="T106" s="288"/>
      <c r="U106" s="288"/>
      <c r="V106" s="288"/>
      <c r="W106" s="288"/>
      <c r="X106" s="288"/>
      <c r="Y106" s="288"/>
      <c r="Z106" s="288"/>
      <c r="AA106" s="288"/>
      <c r="AB106" s="288"/>
      <c r="AC106" s="288"/>
      <c r="AD106" s="288"/>
      <c r="AE106" s="288"/>
      <c r="AF106" s="288"/>
      <c r="AG106" s="288"/>
      <c r="AH106" s="288"/>
      <c r="AI106" s="288"/>
      <c r="AJ106" s="288"/>
      <c r="AK106" s="288"/>
      <c r="AL106" s="288"/>
      <c r="AM106" s="288"/>
      <c r="AN106" s="288"/>
      <c r="AO106" s="288"/>
      <c r="AP106" s="288"/>
      <c r="AQ106" s="288"/>
      <c r="AR106" s="288"/>
      <c r="AS106" s="288"/>
      <c r="AT106" s="288"/>
      <c r="AU106" s="288"/>
      <c r="AV106" s="288"/>
      <c r="AW106" s="288"/>
      <c r="AX106" s="288"/>
      <c r="AY106" s="288"/>
      <c r="AZ106" s="288"/>
      <c r="BA106" s="288"/>
      <c r="BB106" s="288"/>
      <c r="BC106" s="288"/>
      <c r="BD106" s="288"/>
      <c r="BE106" s="288"/>
      <c r="BF106" s="288"/>
      <c r="BG106" s="288"/>
      <c r="BH106" s="288"/>
      <c r="BI106" s="288"/>
      <c r="BJ106" s="286"/>
    </row>
    <row r="107" spans="1:80" s="287" customFormat="1" ht="13.5" customHeight="1">
      <c r="A107" s="288"/>
      <c r="B107" s="288"/>
      <c r="C107" s="288" t="str">
        <f>"   本年度における収支決算を行った結果、当期短期利益金として"&amp;IF(短期_財務諸表!C63=0,"0",IF(短期_財務諸表!C63&gt;=100000000,TEXT(INT(短期_財務諸表!C63/100000000),"#,##0")&amp;"億","")&amp;IF(MOD(INT(短期_財務諸表!C63/10000),10000)&gt;0,TEXT(MOD(INT(短期_財務諸表!C63/10000),10000),"#,##0")&amp;"万","")&amp;IF(MOD(短期_財務諸表!C63,10000)&gt;0,TEXT(MOD(短期_財務諸表!C63,10000),"#,##0"),""))&amp;"円"&amp;"を生じた。"</f>
        <v xml:space="preserve">   本年度における収支決算を行った結果、当期短期利益金として7億6,532万6,409円を生じた。</v>
      </c>
      <c r="D107" s="288"/>
      <c r="E107" s="288"/>
      <c r="F107" s="288"/>
      <c r="G107" s="288"/>
      <c r="H107" s="288"/>
      <c r="I107" s="288"/>
      <c r="J107" s="288"/>
      <c r="K107" s="288"/>
      <c r="L107" s="288"/>
      <c r="M107" s="288"/>
      <c r="N107" s="288"/>
      <c r="O107" s="288"/>
      <c r="P107" s="288"/>
      <c r="Q107" s="288"/>
      <c r="R107" s="288"/>
      <c r="S107" s="288"/>
      <c r="T107" s="288"/>
      <c r="U107" s="288"/>
      <c r="V107" s="288"/>
      <c r="W107" s="288"/>
      <c r="X107" s="288"/>
      <c r="Y107" s="288"/>
      <c r="Z107" s="288"/>
      <c r="AA107" s="288"/>
      <c r="AB107" s="288"/>
      <c r="AC107" s="288"/>
      <c r="AD107" s="288"/>
      <c r="AE107" s="288"/>
      <c r="AF107" s="288"/>
      <c r="AG107" s="288"/>
      <c r="AH107" s="288"/>
      <c r="AI107" s="288"/>
      <c r="AJ107" s="288"/>
      <c r="AK107" s="288"/>
      <c r="AL107" s="288"/>
      <c r="AM107" s="288"/>
      <c r="AN107" s="288"/>
      <c r="AO107" s="288"/>
      <c r="AP107" s="288"/>
      <c r="AQ107" s="288"/>
      <c r="AR107" s="288"/>
      <c r="AS107" s="288"/>
      <c r="AT107" s="288"/>
      <c r="AU107" s="288"/>
      <c r="AV107" s="288"/>
      <c r="AW107" s="288"/>
      <c r="AX107" s="288"/>
      <c r="AY107" s="288"/>
      <c r="AZ107" s="288"/>
      <c r="BA107" s="288"/>
      <c r="BB107" s="288"/>
      <c r="BC107" s="288"/>
      <c r="BD107" s="288"/>
      <c r="BE107" s="288"/>
      <c r="BF107" s="288"/>
      <c r="BG107" s="288"/>
      <c r="BH107" s="288"/>
      <c r="BI107" s="288"/>
      <c r="BJ107" s="286"/>
    </row>
    <row r="108" spans="1:80" s="287" customFormat="1" ht="13.5" customHeight="1">
      <c r="A108" s="288"/>
      <c r="B108" s="288"/>
      <c r="C108" s="288" t="str">
        <f>"   利益金のうち、欠損金補てん積立金へ"&amp;IF(短期_附属明細表!I99=0,"0",IF(短期_附属明細表!I99&gt;=100000000,TEXT(INT(短期_附属明細表!I99/100000000),"#,##0")&amp;"億","")&amp;IF(MOD(INT(短期_附属明細表!I99/10000),10000)&gt;0,TEXT(MOD(INT(短期_附属明細表!I99/10000),10000),"#,##0")&amp;"万","")&amp;IF(MOD(短期_附属明細表!I99,10000)&gt;0,TEXT(MOD(短期_附属明細表!I99,10000),"#,##0"),""))&amp;"円"&amp;"を積み立て法定額とし、"&amp;IF(短期_附属明細表!I100=0,"0",IF(短期_附属明細表!I100&gt;=100000000,TEXT(INT(短期_附属明細表!I100/100000000),"#,##0")&amp;"億","")&amp;IF(MOD(INT(短期_附属明細表!I100/10000),10000)&gt;0,TEXT(MOD(INT(短期_附属明細表!I100/10000),10000),"#,##0")&amp;"万","")&amp;IF(MOD(短期_附属明細表!I100,10000)&gt;0,TEXT(MOD(短期_附属明細表!I100,10000),"#,##0"),""))&amp;"円"&amp;"を短期"</f>
        <v xml:space="preserve">   利益金のうち、欠損金補てん積立金へ5,329万6,628円を積み立て法定額とし、7億1,202万9,781円を短期</v>
      </c>
      <c r="D108" s="288"/>
      <c r="E108" s="288"/>
      <c r="F108" s="288"/>
      <c r="G108" s="288"/>
      <c r="H108" s="288"/>
      <c r="I108" s="288"/>
      <c r="J108" s="288"/>
      <c r="K108" s="288"/>
      <c r="L108" s="288"/>
      <c r="M108" s="288"/>
      <c r="N108" s="288"/>
      <c r="O108" s="288"/>
      <c r="P108" s="288"/>
      <c r="Q108" s="288"/>
      <c r="R108" s="288"/>
      <c r="S108" s="288"/>
      <c r="T108" s="288"/>
      <c r="U108" s="288"/>
      <c r="V108" s="288"/>
      <c r="W108" s="288"/>
      <c r="X108" s="288"/>
      <c r="Y108" s="288"/>
      <c r="Z108" s="288"/>
      <c r="AA108" s="288"/>
      <c r="AB108" s="288"/>
      <c r="AC108" s="288"/>
      <c r="AD108" s="288"/>
      <c r="AE108" s="288"/>
      <c r="AF108" s="288"/>
      <c r="AG108" s="288"/>
      <c r="AH108" s="288"/>
      <c r="AI108" s="288"/>
      <c r="AJ108" s="288"/>
      <c r="AK108" s="288"/>
      <c r="AL108" s="288"/>
      <c r="AM108" s="288"/>
      <c r="AN108" s="288"/>
      <c r="AO108" s="288"/>
      <c r="AP108" s="288"/>
      <c r="AQ108" s="288"/>
      <c r="AR108" s="288"/>
      <c r="AS108" s="288"/>
      <c r="AT108" s="288"/>
      <c r="AU108" s="288"/>
      <c r="AV108" s="288"/>
      <c r="AW108" s="288"/>
      <c r="AX108" s="288"/>
      <c r="AY108" s="288"/>
      <c r="AZ108" s="288"/>
      <c r="BA108" s="288"/>
      <c r="BB108" s="288"/>
      <c r="BC108" s="288"/>
      <c r="BD108" s="288"/>
      <c r="BE108" s="288"/>
      <c r="BF108" s="288"/>
      <c r="BG108" s="288"/>
      <c r="BH108" s="288"/>
      <c r="BI108" s="288"/>
      <c r="BJ108" s="286"/>
    </row>
    <row r="109" spans="1:80" s="287" customFormat="1" ht="13.5" customHeight="1">
      <c r="A109" s="288"/>
      <c r="B109" s="288"/>
      <c r="C109" s="288" t="s">
        <v>547</v>
      </c>
      <c r="D109" s="288"/>
      <c r="E109" s="288"/>
      <c r="F109" s="288"/>
      <c r="G109" s="288"/>
      <c r="H109" s="288"/>
      <c r="I109" s="288"/>
      <c r="J109" s="288"/>
      <c r="K109" s="288"/>
      <c r="L109" s="288"/>
      <c r="M109" s="288"/>
      <c r="N109" s="288"/>
      <c r="O109" s="288"/>
      <c r="P109" s="288"/>
      <c r="Q109" s="288"/>
      <c r="R109" s="288"/>
      <c r="S109" s="288"/>
      <c r="T109" s="288"/>
      <c r="U109" s="288"/>
      <c r="V109" s="288"/>
      <c r="W109" s="288"/>
      <c r="X109" s="288"/>
      <c r="Y109" s="288"/>
      <c r="Z109" s="288"/>
      <c r="AA109" s="288"/>
      <c r="AB109" s="288"/>
      <c r="AC109" s="288"/>
      <c r="AD109" s="288"/>
      <c r="AE109" s="288"/>
      <c r="AF109" s="288"/>
      <c r="AG109" s="288"/>
      <c r="AH109" s="288"/>
      <c r="AI109" s="288"/>
      <c r="AJ109" s="288"/>
      <c r="AK109" s="288"/>
      <c r="AL109" s="288"/>
      <c r="AM109" s="288"/>
      <c r="AN109" s="288"/>
      <c r="AO109" s="288"/>
      <c r="AP109" s="288"/>
      <c r="AQ109" s="288"/>
      <c r="AR109" s="288"/>
      <c r="AS109" s="288"/>
      <c r="AT109" s="288"/>
      <c r="AU109" s="288"/>
      <c r="AV109" s="288"/>
      <c r="AW109" s="288"/>
      <c r="AX109" s="288"/>
      <c r="AY109" s="288"/>
      <c r="AZ109" s="288"/>
      <c r="BA109" s="288"/>
      <c r="BB109" s="288"/>
      <c r="BC109" s="288"/>
      <c r="BD109" s="288"/>
      <c r="BE109" s="288"/>
      <c r="BF109" s="288"/>
      <c r="BG109" s="288"/>
      <c r="BH109" s="288"/>
      <c r="BI109" s="288"/>
      <c r="BJ109" s="286"/>
    </row>
    <row r="110" spans="1:80" s="287" customFormat="1" ht="13.5" customHeight="1">
      <c r="A110" s="288"/>
      <c r="B110" s="288"/>
      <c r="C110" s="288" t="str">
        <f>" 　したがって、前年度より繰り越した欠損金補てん積立金"&amp;IF(短期_附属明細表!E99=0,"0",IF(短期_附属明細表!E99&gt;=100000000,TEXT(INT(短期_附属明細表!E99/100000000),"#,##0")&amp;"億","")&amp;IF(MOD(INT(短期_附属明細表!E99/10000),10000)&gt;0,TEXT(MOD(INT(短期_附属明細表!E99/10000),10000),"#,##0")&amp;"万","")&amp;IF(MOD(短期_附属明細表!E99,10000)&gt;0,TEXT(MOD(短期_附属明細表!E99,10000),"#,##0"),""))&amp;"円"&amp;"を合わせ、翌年度に繰り越す"</f>
        <v xml:space="preserve"> 　したがって、前年度より繰り越した欠損金補てん積立金4億8,028万7,584円を合わせ、翌年度に繰り越す</v>
      </c>
      <c r="D110" s="288"/>
      <c r="E110" s="288"/>
      <c r="F110" s="288"/>
      <c r="G110" s="288"/>
      <c r="H110" s="288"/>
      <c r="I110" s="288"/>
      <c r="J110" s="288"/>
      <c r="K110" s="288"/>
      <c r="L110" s="288"/>
      <c r="M110" s="288"/>
      <c r="N110" s="288"/>
      <c r="O110" s="288"/>
      <c r="P110" s="288"/>
      <c r="Q110" s="288"/>
      <c r="R110" s="288"/>
      <c r="S110" s="288"/>
      <c r="T110" s="288"/>
      <c r="U110" s="288"/>
      <c r="V110" s="288"/>
      <c r="W110" s="288"/>
      <c r="X110" s="288"/>
      <c r="Y110" s="288"/>
      <c r="Z110" s="288"/>
      <c r="AA110" s="288"/>
      <c r="AB110" s="288"/>
      <c r="AC110" s="288"/>
      <c r="AD110" s="288"/>
      <c r="AE110" s="288"/>
      <c r="AF110" s="288"/>
      <c r="AG110" s="288"/>
      <c r="AH110" s="288"/>
      <c r="AI110" s="288"/>
      <c r="AJ110" s="288"/>
      <c r="AK110" s="288"/>
      <c r="AL110" s="288"/>
      <c r="AM110" s="288"/>
      <c r="AN110" s="288"/>
      <c r="AO110" s="288"/>
      <c r="AP110" s="288"/>
      <c r="AQ110" s="288"/>
      <c r="AR110" s="288"/>
      <c r="AS110" s="288"/>
      <c r="AT110" s="288"/>
      <c r="AU110" s="288"/>
      <c r="AV110" s="288"/>
      <c r="AW110" s="288"/>
      <c r="AX110" s="288"/>
      <c r="AY110" s="288"/>
      <c r="AZ110" s="288"/>
      <c r="BA110" s="288"/>
      <c r="BB110" s="288"/>
      <c r="BC110" s="288"/>
      <c r="BD110" s="288"/>
      <c r="BE110" s="288"/>
      <c r="BF110" s="288"/>
      <c r="BG110" s="288"/>
      <c r="BH110" s="288"/>
      <c r="BI110" s="288"/>
      <c r="BJ110" s="286"/>
    </row>
    <row r="111" spans="1:80" s="287" customFormat="1" ht="13.5" customHeight="1">
      <c r="A111" s="288"/>
      <c r="B111" s="288"/>
      <c r="C111" s="288" t="str">
        <f>" 欠損金補てん積立金は"&amp;IF(短期_附属明細表!Q99=0,"0",IF(短期_附属明細表!Q99&gt;=100000000,TEXT(INT(短期_附属明細表!Q99/100000000),"#,##0")&amp;"億","")&amp;IF(MOD(INT(短期_附属明細表!Q99/10000),10000)&gt;0,TEXT(MOD(INT(短期_附属明細表!Q99/10000),10000),"#,##0")&amp;"万","")&amp;IF(MOD(短期_附属明細表!Q99,10000)&gt;0,TEXT(MOD(短期_附属明細表!Q99,10000),"#,##0"),""))&amp;"円"&amp;"となり、また、前年度より繰り越した短期積立金"&amp;IF(短期_附属明細表!E100=0,"0",IF(短期_附属明細表!E100&gt;=100000000,TEXT(INT(短期_附属明細表!E100/100000000),"#,##0")&amp;"億","")&amp;IF(MOD(INT(短期_附属明細表!E100/10000),10000)&gt;0,TEXT(MOD(INT(短期_附属明細表!E100/10000),10000),"#,##0")&amp;"万","")&amp;IF(MOD(短期_附属明細表!E100,10000)&gt;0,TEXT(MOD(短期_附属明細表!E100,10000),"#,##0"),""))&amp;"円"</f>
        <v xml:space="preserve"> 欠損金補てん積立金は5億3,358万4,212円となり、また、前年度より繰り越した短期積立金16億4,603万8,250円</v>
      </c>
      <c r="D111" s="288"/>
      <c r="E111" s="288"/>
      <c r="F111" s="288"/>
      <c r="G111" s="288"/>
      <c r="H111" s="288"/>
      <c r="I111" s="288"/>
      <c r="J111" s="288"/>
      <c r="K111" s="288"/>
      <c r="L111" s="288"/>
      <c r="M111" s="288"/>
      <c r="N111" s="288"/>
      <c r="O111" s="288"/>
      <c r="P111" s="288"/>
      <c r="Q111" s="288"/>
      <c r="R111" s="288"/>
      <c r="S111" s="288"/>
      <c r="T111" s="288"/>
      <c r="U111" s="288"/>
      <c r="V111" s="288"/>
      <c r="W111" s="288"/>
      <c r="X111" s="288"/>
      <c r="Y111" s="288"/>
      <c r="Z111" s="288"/>
      <c r="AA111" s="288"/>
      <c r="AB111" s="288"/>
      <c r="AC111" s="288"/>
      <c r="AD111" s="288"/>
      <c r="AE111" s="288"/>
      <c r="AF111" s="288"/>
      <c r="AG111" s="288"/>
      <c r="AH111" s="288"/>
      <c r="AI111" s="288"/>
      <c r="AJ111" s="288"/>
      <c r="AK111" s="288"/>
      <c r="AL111" s="288"/>
      <c r="AM111" s="288"/>
      <c r="AN111" s="288"/>
      <c r="AO111" s="288"/>
      <c r="AP111" s="288"/>
      <c r="AQ111" s="288"/>
      <c r="AR111" s="288"/>
      <c r="AS111" s="288"/>
      <c r="AT111" s="288"/>
      <c r="AU111" s="288"/>
      <c r="AV111" s="288"/>
      <c r="AW111" s="288"/>
      <c r="AX111" s="288"/>
      <c r="AY111" s="288"/>
      <c r="AZ111" s="288"/>
      <c r="BA111" s="288"/>
      <c r="BB111" s="288"/>
      <c r="BC111" s="288"/>
      <c r="BD111" s="288"/>
      <c r="BE111" s="288"/>
      <c r="BF111" s="288"/>
      <c r="BG111" s="288"/>
      <c r="BH111" s="288"/>
      <c r="BI111" s="288"/>
      <c r="BJ111" s="286"/>
    </row>
    <row r="112" spans="1:80" s="287" customFormat="1" ht="13.5" customHeight="1">
      <c r="A112" s="288"/>
      <c r="B112" s="288"/>
      <c r="C112" s="288" t="str">
        <f>" を合わせ、翌年度に繰り越す短期積立金は"&amp;IF(短期_附属明細表!Q100=0,"0",IF(短期_附属明細表!Q100&gt;=100000000,TEXT(INT(短期_附属明細表!Q100/100000000),"#,##0")&amp;"億","")&amp;IF(MOD(INT(短期_附属明細表!Q100/10000),10000)&gt;0,TEXT(MOD(INT(短期_附属明細表!Q100/10000),10000),"#,##0")&amp;"万","")&amp;IF(MOD(短期_附属明細表!Q100,10000)&gt;0,TEXT(MOD(短期_附属明細表!Q100,10000),"#,##0"),""))&amp;"円"&amp;"となる。"</f>
        <v xml:space="preserve"> を合わせ、翌年度に繰り越す短期積立金は23億5,806万8,031円となる。</v>
      </c>
      <c r="D112" s="288"/>
      <c r="E112" s="288"/>
      <c r="F112" s="288"/>
      <c r="G112" s="288"/>
      <c r="H112" s="288"/>
      <c r="I112" s="288"/>
      <c r="J112" s="288"/>
      <c r="K112" s="288"/>
      <c r="L112" s="288"/>
      <c r="M112" s="288"/>
      <c r="N112" s="288"/>
      <c r="O112" s="288"/>
      <c r="P112" s="288"/>
      <c r="Q112" s="288"/>
      <c r="R112" s="288"/>
      <c r="S112" s="288"/>
      <c r="T112" s="288"/>
      <c r="U112" s="288"/>
      <c r="V112" s="288"/>
      <c r="W112" s="288"/>
      <c r="X112" s="288"/>
      <c r="Y112" s="288"/>
      <c r="Z112" s="288"/>
      <c r="AA112" s="288"/>
      <c r="AB112" s="288"/>
      <c r="AC112" s="288"/>
      <c r="AD112" s="288"/>
      <c r="AE112" s="288"/>
      <c r="AF112" s="288"/>
      <c r="AG112" s="288"/>
      <c r="AH112" s="288"/>
      <c r="AI112" s="288"/>
      <c r="AJ112" s="288"/>
      <c r="AK112" s="288"/>
      <c r="AL112" s="288"/>
      <c r="AM112" s="288"/>
      <c r="AN112" s="288"/>
      <c r="AO112" s="288"/>
      <c r="AP112" s="288"/>
      <c r="AQ112" s="288"/>
      <c r="AR112" s="288"/>
      <c r="AS112" s="288"/>
      <c r="AT112" s="288"/>
      <c r="AU112" s="288"/>
      <c r="AV112" s="288"/>
      <c r="AW112" s="288"/>
      <c r="AX112" s="288"/>
      <c r="AY112" s="288"/>
      <c r="AZ112" s="288"/>
      <c r="BA112" s="288"/>
      <c r="BB112" s="288"/>
      <c r="BC112" s="288"/>
      <c r="BD112" s="288"/>
      <c r="BE112" s="288"/>
      <c r="BF112" s="288"/>
      <c r="BG112" s="288"/>
      <c r="BH112" s="288"/>
      <c r="BI112" s="288"/>
      <c r="BJ112" s="286"/>
    </row>
    <row r="113" spans="1:62" s="287" customFormat="1" ht="13.5" customHeight="1">
      <c r="A113" s="288" t="s">
        <v>548</v>
      </c>
      <c r="B113" s="288"/>
      <c r="C113" s="288"/>
      <c r="D113" s="288"/>
      <c r="E113" s="288"/>
      <c r="F113" s="288"/>
      <c r="G113" s="288"/>
      <c r="H113" s="288"/>
      <c r="I113" s="288"/>
      <c r="J113" s="288"/>
      <c r="K113" s="288"/>
      <c r="L113" s="288"/>
      <c r="M113" s="288"/>
      <c r="N113" s="288"/>
      <c r="O113" s="288"/>
      <c r="P113" s="288"/>
      <c r="Q113" s="288"/>
      <c r="R113" s="288"/>
      <c r="S113" s="288"/>
      <c r="T113" s="288"/>
      <c r="U113" s="288"/>
      <c r="V113" s="288"/>
      <c r="W113" s="288"/>
      <c r="X113" s="288"/>
      <c r="Y113" s="288"/>
      <c r="Z113" s="288"/>
      <c r="AA113" s="288"/>
      <c r="AB113" s="288"/>
      <c r="AC113" s="288"/>
      <c r="AD113" s="288"/>
      <c r="AE113" s="288"/>
      <c r="AF113" s="288"/>
      <c r="AG113" s="288"/>
      <c r="AH113" s="288"/>
      <c r="AI113" s="288"/>
      <c r="AJ113" s="288"/>
      <c r="AK113" s="288"/>
      <c r="AL113" s="288"/>
      <c r="AM113" s="288"/>
      <c r="AN113" s="288"/>
      <c r="AO113" s="288"/>
      <c r="AP113" s="288"/>
      <c r="AQ113" s="288"/>
      <c r="AR113" s="288"/>
      <c r="AS113" s="288"/>
      <c r="AT113" s="288"/>
      <c r="AU113" s="288"/>
      <c r="AV113" s="288"/>
      <c r="AW113" s="288"/>
      <c r="AX113" s="288"/>
      <c r="AY113" s="288"/>
      <c r="AZ113" s="288"/>
      <c r="BA113" s="288"/>
      <c r="BB113" s="288"/>
      <c r="BC113" s="288"/>
      <c r="BD113" s="288"/>
      <c r="BE113" s="288"/>
      <c r="BF113" s="288"/>
      <c r="BG113" s="288"/>
      <c r="BH113" s="288"/>
      <c r="BI113" s="288"/>
      <c r="BJ113" s="286"/>
    </row>
    <row r="114" spans="1:62" s="287" customFormat="1" ht="13.5" customHeight="1">
      <c r="A114" s="288"/>
      <c r="B114" s="288"/>
      <c r="C114" s="288" t="str">
        <f>"　 本年度における収支決算を行った結果、当期介護利益金として"&amp;IF(短期_財務諸表!C64=0,"0",IF(短期_財務諸表!C64&gt;=100000000,TEXT(INT(短期_財務諸表!C64/100000000),"#,##0")&amp;"億","")&amp;IF(MOD(INT(短期_財務諸表!C64/10000),10000)&gt;0,TEXT(MOD(INT(短期_財務諸表!C64/10000),10000),"#,##0")&amp;"万","")&amp;IF(MOD(短期_財務諸表!C64,10000)&gt;0,TEXT(MOD(短期_財務諸表!C64,10000),"#,##0"),""))&amp;"円"&amp;"を生じた。"</f>
        <v>　 本年度における収支決算を行った結果、当期介護利益金として4,744万3,772円を生じた。</v>
      </c>
      <c r="D114" s="288"/>
      <c r="E114" s="288"/>
      <c r="F114" s="288"/>
      <c r="G114" s="288"/>
      <c r="H114" s="288"/>
      <c r="I114" s="288"/>
      <c r="J114" s="288"/>
      <c r="K114" s="288"/>
      <c r="L114" s="288"/>
      <c r="M114" s="288"/>
      <c r="N114" s="288"/>
      <c r="O114" s="288"/>
      <c r="P114" s="288"/>
      <c r="Q114" s="288"/>
      <c r="R114" s="288"/>
      <c r="S114" s="288"/>
      <c r="T114" s="288"/>
      <c r="U114" s="288"/>
      <c r="V114" s="288"/>
      <c r="W114" s="288"/>
      <c r="X114" s="288"/>
      <c r="Y114" s="288"/>
      <c r="Z114" s="288"/>
      <c r="AA114" s="288"/>
      <c r="AB114" s="288"/>
      <c r="AC114" s="288"/>
      <c r="AD114" s="288"/>
      <c r="AE114" s="288"/>
      <c r="AF114" s="288"/>
      <c r="AG114" s="288"/>
      <c r="AH114" s="288"/>
      <c r="AI114" s="288"/>
      <c r="AJ114" s="288"/>
      <c r="AK114" s="288"/>
      <c r="AL114" s="288"/>
      <c r="AM114" s="288"/>
      <c r="AN114" s="288"/>
      <c r="AO114" s="288"/>
      <c r="AP114" s="288"/>
      <c r="AQ114" s="288"/>
      <c r="AR114" s="288"/>
      <c r="AS114" s="288"/>
      <c r="AT114" s="288"/>
      <c r="AU114" s="288"/>
      <c r="AV114" s="288"/>
      <c r="AW114" s="288"/>
      <c r="AX114" s="288"/>
      <c r="AY114" s="288"/>
      <c r="AZ114" s="288"/>
      <c r="BA114" s="288"/>
      <c r="BB114" s="288"/>
      <c r="BC114" s="288"/>
      <c r="BD114" s="288"/>
      <c r="BE114" s="288"/>
      <c r="BF114" s="288"/>
      <c r="BG114" s="288"/>
      <c r="BH114" s="288"/>
      <c r="BI114" s="288"/>
      <c r="BJ114" s="286"/>
    </row>
    <row r="115" spans="1:62" s="287" customFormat="1" ht="13.5" customHeight="1">
      <c r="A115" s="288"/>
      <c r="B115" s="288"/>
      <c r="C115" s="288" t="str">
        <f>"　 この利益金に、前年度より繰り越した介護積立金"&amp;IF(短期_附属明細表!E101=0,"0",IF(短期_附属明細表!E101&gt;=100000000,TEXT(INT(短期_附属明細表!E101/100000000),"#,##0")&amp;"億","")&amp;IF(MOD(INT(短期_附属明細表!E101/10000),10000)&gt;0,TEXT(MOD(INT(短期_附属明細表!E101/10000),10000),"#,##0")&amp;"万","")&amp;IF(MOD(短期_附属明細表!E101,10000)&gt;0,TEXT(MOD(短期_附属明細表!E101,10000),"#,##0"),""))&amp;"円"&amp;"を合わせ、翌年度に繰り越す介護積立金は、"</f>
        <v>　 この利益金に、前年度より繰り越した介護積立金1億1,103万9,759円を合わせ、翌年度に繰り越す介護積立金は、</v>
      </c>
      <c r="D115" s="288"/>
      <c r="E115" s="288"/>
      <c r="F115" s="288"/>
      <c r="G115" s="288"/>
      <c r="H115" s="288"/>
      <c r="I115" s="288"/>
      <c r="J115" s="288"/>
      <c r="K115" s="288"/>
      <c r="L115" s="288"/>
      <c r="M115" s="288"/>
      <c r="N115" s="288"/>
      <c r="O115" s="288"/>
      <c r="P115" s="288"/>
      <c r="Q115" s="288"/>
      <c r="R115" s="288"/>
      <c r="S115" s="288"/>
      <c r="T115" s="288"/>
      <c r="U115" s="288"/>
      <c r="V115" s="288"/>
      <c r="W115" s="288"/>
      <c r="X115" s="288"/>
      <c r="Y115" s="288"/>
      <c r="Z115" s="288"/>
      <c r="AA115" s="288"/>
      <c r="AB115" s="288"/>
      <c r="AC115" s="288"/>
      <c r="AD115" s="288"/>
      <c r="AE115" s="288"/>
      <c r="AF115" s="288"/>
      <c r="AG115" s="288"/>
      <c r="AH115" s="288"/>
      <c r="AI115" s="288"/>
      <c r="AJ115" s="288"/>
      <c r="AK115" s="288"/>
      <c r="AL115" s="288"/>
      <c r="AM115" s="288"/>
      <c r="AN115" s="288"/>
      <c r="AO115" s="288"/>
      <c r="AP115" s="288"/>
      <c r="AQ115" s="288"/>
      <c r="AR115" s="288"/>
      <c r="AS115" s="288"/>
      <c r="AT115" s="288"/>
      <c r="AU115" s="288"/>
      <c r="AV115" s="288"/>
      <c r="AW115" s="288"/>
      <c r="AX115" s="288"/>
      <c r="AY115" s="288"/>
      <c r="AZ115" s="288"/>
      <c r="BA115" s="288"/>
      <c r="BB115" s="288"/>
      <c r="BC115" s="288"/>
      <c r="BD115" s="288"/>
      <c r="BE115" s="288"/>
      <c r="BF115" s="288"/>
      <c r="BG115" s="288"/>
      <c r="BH115" s="288"/>
      <c r="BI115" s="288"/>
      <c r="BJ115" s="286"/>
    </row>
    <row r="116" spans="1:62" s="287" customFormat="1" ht="13.5" customHeight="1">
      <c r="A116" s="288"/>
      <c r="B116" s="288"/>
      <c r="C116" s="288" t="str">
        <f>" "&amp;IF(短期_附属明細表!Q101=0,"0",IF(短期_附属明細表!Q101&gt;=100000000,TEXT(INT(短期_附属明細表!Q101/100000000),"#,##0")&amp;"億","")&amp;IF(MOD(INT(短期_附属明細表!Q101/10000),10000)&gt;0,TEXT(MOD(INT(短期_附属明細表!Q101/10000),10000),"#,##0")&amp;"万","")&amp;IF(MOD(短期_附属明細表!Q101,10000)&gt;0,TEXT(MOD(短期_附属明細表!Q101,10000),"#,##0"),""))&amp;"円"&amp;"となる。"</f>
        <v xml:space="preserve"> 1億5,848万3,531円となる。</v>
      </c>
      <c r="D116" s="288"/>
      <c r="E116" s="288"/>
      <c r="F116" s="288"/>
      <c r="G116" s="288"/>
      <c r="H116" s="288"/>
      <c r="I116" s="288"/>
      <c r="J116" s="288"/>
      <c r="K116" s="288"/>
      <c r="L116" s="288"/>
      <c r="M116" s="288"/>
      <c r="N116" s="288"/>
      <c r="O116" s="288"/>
      <c r="P116" s="288"/>
      <c r="Q116" s="288"/>
      <c r="R116" s="288"/>
      <c r="S116" s="288"/>
      <c r="T116" s="288"/>
      <c r="U116" s="288"/>
      <c r="V116" s="288"/>
      <c r="W116" s="288"/>
      <c r="X116" s="288"/>
      <c r="Y116" s="288"/>
      <c r="Z116" s="288"/>
      <c r="AA116" s="288"/>
      <c r="AB116" s="288"/>
      <c r="AC116" s="288"/>
      <c r="AD116" s="288"/>
      <c r="AE116" s="288"/>
      <c r="AF116" s="288"/>
      <c r="AG116" s="288"/>
      <c r="AH116" s="288"/>
      <c r="AI116" s="288"/>
      <c r="AJ116" s="288"/>
      <c r="AK116" s="288"/>
      <c r="AL116" s="288"/>
      <c r="AM116" s="288"/>
      <c r="AN116" s="288"/>
      <c r="AO116" s="288"/>
      <c r="AP116" s="288"/>
      <c r="AQ116" s="288"/>
      <c r="AR116" s="288"/>
      <c r="AS116" s="288"/>
      <c r="AT116" s="288"/>
      <c r="AU116" s="288"/>
      <c r="AV116" s="288"/>
      <c r="AW116" s="288"/>
      <c r="AX116" s="288"/>
      <c r="AY116" s="288"/>
      <c r="AZ116" s="288"/>
      <c r="BA116" s="288"/>
      <c r="BB116" s="288"/>
      <c r="BC116" s="288"/>
      <c r="BD116" s="288"/>
      <c r="BE116" s="288"/>
      <c r="BF116" s="288"/>
      <c r="BG116" s="288"/>
      <c r="BH116" s="288"/>
      <c r="BI116" s="288"/>
      <c r="BJ116" s="286"/>
    </row>
    <row r="117" spans="1:62" s="287" customFormat="1" ht="13.5" customHeight="1">
      <c r="A117" s="288"/>
      <c r="B117" s="288"/>
      <c r="C117" s="288"/>
      <c r="D117" s="288"/>
      <c r="E117" s="288"/>
      <c r="F117" s="288"/>
      <c r="G117" s="288"/>
      <c r="H117" s="288"/>
      <c r="I117" s="288"/>
      <c r="J117" s="288"/>
      <c r="K117" s="288"/>
      <c r="L117" s="288"/>
      <c r="M117" s="288"/>
      <c r="N117" s="288"/>
      <c r="O117" s="288"/>
      <c r="P117" s="288"/>
      <c r="Q117" s="288"/>
      <c r="R117" s="288"/>
      <c r="S117" s="288"/>
      <c r="T117" s="288"/>
      <c r="U117" s="288"/>
      <c r="V117" s="288"/>
      <c r="W117" s="288"/>
      <c r="X117" s="288"/>
      <c r="Y117" s="288"/>
      <c r="Z117" s="288"/>
      <c r="AA117" s="288"/>
      <c r="AB117" s="288"/>
      <c r="AC117" s="288"/>
      <c r="AD117" s="288"/>
      <c r="AE117" s="288"/>
      <c r="AF117" s="288"/>
      <c r="AG117" s="288"/>
      <c r="AH117" s="288"/>
      <c r="AI117" s="288"/>
      <c r="AJ117" s="288"/>
      <c r="AK117" s="288"/>
      <c r="AL117" s="288"/>
      <c r="AM117" s="288"/>
      <c r="AN117" s="288"/>
      <c r="AO117" s="288"/>
      <c r="AP117" s="288"/>
      <c r="AQ117" s="288"/>
      <c r="AR117" s="288"/>
      <c r="AS117" s="288"/>
      <c r="AT117" s="288"/>
      <c r="AU117" s="288"/>
      <c r="AV117" s="288"/>
      <c r="AW117" s="288"/>
      <c r="AX117" s="288"/>
      <c r="AY117" s="288"/>
      <c r="AZ117" s="288"/>
      <c r="BA117" s="288"/>
      <c r="BB117" s="288"/>
      <c r="BC117" s="288"/>
      <c r="BD117" s="288"/>
      <c r="BE117" s="288"/>
      <c r="BF117" s="288"/>
      <c r="BG117" s="288"/>
      <c r="BH117" s="288"/>
      <c r="BI117" s="288"/>
      <c r="BJ117" s="286"/>
    </row>
    <row r="118" spans="1:62" s="287" customFormat="1" ht="13.5" customHeight="1">
      <c r="A118" s="288"/>
      <c r="B118" s="288"/>
      <c r="C118" s="288" t="str">
        <f>"　 この結果、翌年度に繰り越す利益剰余金は"&amp;IF(短期_附属明細表!Q102=0,"0",IF(短期_附属明細表!Q102&gt;=100000000,TEXT(INT(短期_附属明細表!Q102/100000000),"#,##0")&amp;"億","")&amp;IF(MOD(INT(短期_附属明細表!Q102/10000),10000)&gt;0,TEXT(MOD(INT(短期_附属明細表!Q102/10000),10000),"#,##0")&amp;"万","")&amp;IF(MOD(短期_附属明細表!Q102,10000)&gt;0,TEXT(MOD(短期_附属明細表!Q102,10000),"#,##0"),""))&amp;"円"&amp;"となる。"</f>
        <v>　 この結果、翌年度に繰り越す利益剰余金は30億5,013万5,774円となる。</v>
      </c>
      <c r="D118" s="288"/>
      <c r="E118" s="288"/>
      <c r="F118" s="288"/>
      <c r="G118" s="288"/>
      <c r="H118" s="288"/>
      <c r="I118" s="288"/>
      <c r="J118" s="288"/>
      <c r="K118" s="288"/>
      <c r="L118" s="288"/>
      <c r="M118" s="288"/>
      <c r="N118" s="288"/>
      <c r="O118" s="288"/>
      <c r="P118" s="288"/>
      <c r="Q118" s="288"/>
      <c r="R118" s="288"/>
      <c r="S118" s="288"/>
      <c r="T118" s="288"/>
      <c r="U118" s="288"/>
      <c r="V118" s="288"/>
      <c r="W118" s="288"/>
      <c r="X118" s="288"/>
      <c r="Y118" s="288"/>
      <c r="Z118" s="288"/>
      <c r="AA118" s="288"/>
      <c r="AB118" s="288"/>
      <c r="AC118" s="288"/>
      <c r="AD118" s="288"/>
      <c r="AE118" s="288"/>
      <c r="AF118" s="288"/>
      <c r="AG118" s="288"/>
      <c r="AH118" s="288"/>
      <c r="AI118" s="288"/>
      <c r="AJ118" s="288"/>
      <c r="AK118" s="288"/>
      <c r="AL118" s="288"/>
      <c r="AM118" s="288"/>
      <c r="AN118" s="288"/>
      <c r="AO118" s="288"/>
      <c r="AP118" s="288"/>
      <c r="AQ118" s="288"/>
      <c r="AR118" s="288"/>
      <c r="AS118" s="288"/>
      <c r="AT118" s="288"/>
      <c r="AU118" s="288"/>
      <c r="AV118" s="288"/>
      <c r="AW118" s="288"/>
      <c r="AX118" s="288"/>
      <c r="AY118" s="288"/>
      <c r="AZ118" s="288"/>
      <c r="BA118" s="288"/>
      <c r="BB118" s="288"/>
      <c r="BC118" s="288"/>
      <c r="BD118" s="288"/>
      <c r="BE118" s="288"/>
      <c r="BF118" s="288"/>
      <c r="BG118" s="288"/>
      <c r="BH118" s="288"/>
      <c r="BI118" s="288"/>
      <c r="BJ118" s="286"/>
    </row>
    <row r="119" spans="1:62" s="287" customFormat="1" ht="13.5" customHeight="1">
      <c r="A119" s="286"/>
      <c r="B119" s="286"/>
      <c r="C119" s="289" t="s">
        <v>549</v>
      </c>
      <c r="D119" s="286"/>
      <c r="E119" s="286"/>
      <c r="F119" s="286"/>
      <c r="G119" s="286"/>
      <c r="H119" s="286"/>
      <c r="I119" s="286"/>
      <c r="J119" s="286"/>
      <c r="K119" s="286"/>
      <c r="L119" s="286"/>
      <c r="M119" s="286"/>
      <c r="N119" s="286"/>
      <c r="O119" s="286"/>
      <c r="P119" s="286"/>
      <c r="Q119" s="286"/>
      <c r="R119" s="286"/>
      <c r="S119" s="286"/>
      <c r="T119" s="286"/>
      <c r="U119" s="286"/>
      <c r="V119" s="286"/>
      <c r="W119" s="286"/>
      <c r="X119" s="286"/>
      <c r="Y119" s="286"/>
      <c r="Z119" s="286"/>
      <c r="AA119" s="286"/>
      <c r="AB119" s="286"/>
      <c r="AC119" s="286"/>
      <c r="AD119" s="286"/>
      <c r="AE119" s="286"/>
      <c r="AF119" s="286"/>
      <c r="AG119" s="286"/>
      <c r="AH119" s="286"/>
      <c r="AI119" s="286"/>
      <c r="AJ119" s="286"/>
      <c r="AK119" s="286"/>
      <c r="AL119" s="286"/>
      <c r="AM119" s="286"/>
      <c r="AN119" s="286"/>
      <c r="AO119" s="286"/>
      <c r="AP119" s="286"/>
      <c r="AQ119" s="286"/>
      <c r="AR119" s="286"/>
      <c r="AS119" s="286"/>
      <c r="AT119" s="286"/>
      <c r="AU119" s="286"/>
      <c r="AV119" s="286"/>
      <c r="AW119" s="286"/>
      <c r="AX119" s="286"/>
      <c r="AY119" s="286"/>
      <c r="AZ119" s="286"/>
      <c r="BA119" s="286"/>
      <c r="BB119" s="286"/>
      <c r="BC119" s="286"/>
      <c r="BD119" s="286"/>
      <c r="BE119" s="286"/>
      <c r="BF119" s="286"/>
      <c r="BG119" s="286"/>
      <c r="BH119" s="286"/>
      <c r="BI119" s="286"/>
      <c r="BJ119" s="286"/>
    </row>
    <row r="120" spans="1:62" s="287" customFormat="1" ht="13.5" customHeight="1">
      <c r="A120" s="286"/>
      <c r="B120" s="286"/>
      <c r="C120" s="286" t="s">
        <v>550</v>
      </c>
      <c r="D120" s="286"/>
      <c r="E120" s="286"/>
      <c r="F120" s="286"/>
      <c r="G120" s="286"/>
      <c r="H120" s="286"/>
      <c r="I120" s="286"/>
      <c r="J120" s="286"/>
      <c r="K120" s="286"/>
      <c r="L120" s="286"/>
      <c r="M120" s="286"/>
      <c r="N120" s="286"/>
      <c r="O120" s="286"/>
      <c r="P120" s="286"/>
      <c r="Q120" s="286"/>
      <c r="R120" s="286"/>
      <c r="S120" s="286"/>
      <c r="T120" s="286"/>
      <c r="U120" s="286"/>
      <c r="V120" s="286"/>
      <c r="W120" s="286"/>
      <c r="X120" s="286"/>
      <c r="Y120" s="286"/>
      <c r="Z120" s="2028">
        <f>X91</f>
        <v>533584212</v>
      </c>
      <c r="AA120" s="2028"/>
      <c r="AB120" s="2028"/>
      <c r="AC120" s="2028"/>
      <c r="AD120" s="2028"/>
      <c r="AE120" s="2028"/>
      <c r="AF120" s="2028"/>
      <c r="AG120" s="2028"/>
      <c r="AH120" s="2028"/>
      <c r="AI120" s="286" t="s">
        <v>551</v>
      </c>
      <c r="AJ120" s="286"/>
      <c r="AK120" s="286"/>
      <c r="AL120" s="286"/>
      <c r="AM120" s="286"/>
      <c r="AN120" s="286"/>
      <c r="AO120" s="286"/>
      <c r="AP120" s="286"/>
      <c r="AQ120" s="286"/>
      <c r="AR120" s="286"/>
      <c r="AS120" s="286"/>
      <c r="AT120" s="286"/>
      <c r="AU120" s="286"/>
      <c r="AV120" s="286"/>
      <c r="AW120" s="286"/>
      <c r="AX120" s="286"/>
      <c r="AY120" s="286"/>
      <c r="AZ120" s="286"/>
      <c r="BA120" s="286"/>
      <c r="BB120" s="286"/>
      <c r="BC120" s="286"/>
      <c r="BD120" s="286"/>
      <c r="BE120" s="286"/>
      <c r="BF120" s="286"/>
      <c r="BG120" s="286"/>
      <c r="BH120" s="286"/>
      <c r="BI120" s="286"/>
      <c r="BJ120" s="286"/>
    </row>
    <row r="121" spans="1:62" s="287" customFormat="1" ht="13.5" customHeight="1">
      <c r="A121" s="286"/>
      <c r="B121" s="286"/>
      <c r="C121" s="286" t="s">
        <v>552</v>
      </c>
      <c r="D121" s="286"/>
      <c r="E121" s="286"/>
      <c r="F121" s="286"/>
      <c r="G121" s="286"/>
      <c r="H121" s="286"/>
      <c r="I121" s="286"/>
      <c r="J121" s="286"/>
      <c r="K121" s="286"/>
      <c r="L121" s="286"/>
      <c r="M121" s="286"/>
      <c r="N121" s="286"/>
      <c r="O121" s="286"/>
      <c r="P121" s="286"/>
      <c r="Q121" s="286"/>
      <c r="R121" s="286"/>
      <c r="S121" s="286"/>
      <c r="T121" s="286"/>
      <c r="U121" s="286"/>
      <c r="V121" s="286"/>
      <c r="W121" s="286"/>
      <c r="X121" s="286"/>
      <c r="Y121" s="286"/>
      <c r="Z121" s="2028">
        <f>X95</f>
        <v>2358068031</v>
      </c>
      <c r="AA121" s="2028"/>
      <c r="AB121" s="2028"/>
      <c r="AC121" s="2028"/>
      <c r="AD121" s="2028"/>
      <c r="AE121" s="2028"/>
      <c r="AF121" s="2028"/>
      <c r="AG121" s="2028"/>
      <c r="AH121" s="2028"/>
      <c r="AI121" s="286" t="s">
        <v>551</v>
      </c>
      <c r="AJ121" s="286"/>
      <c r="AK121" s="286"/>
      <c r="AL121" s="286"/>
      <c r="AM121" s="286"/>
      <c r="AN121" s="286"/>
      <c r="AO121" s="286"/>
      <c r="AP121" s="286"/>
      <c r="AQ121" s="286"/>
      <c r="AR121" s="286"/>
      <c r="AS121" s="286"/>
      <c r="AT121" s="286"/>
      <c r="AU121" s="286"/>
      <c r="AV121" s="286"/>
      <c r="AW121" s="286"/>
      <c r="AX121" s="286"/>
      <c r="AY121" s="286"/>
      <c r="AZ121" s="286"/>
      <c r="BA121" s="286"/>
      <c r="BB121" s="286"/>
      <c r="BC121" s="286"/>
      <c r="BD121" s="286"/>
      <c r="BE121" s="286"/>
      <c r="BF121" s="286"/>
      <c r="BG121" s="286"/>
      <c r="BH121" s="286"/>
      <c r="BI121" s="286"/>
      <c r="BJ121" s="286"/>
    </row>
    <row r="122" spans="1:62" s="287" customFormat="1" ht="13.5" customHeight="1">
      <c r="A122" s="286"/>
      <c r="B122" s="286"/>
      <c r="C122" s="286" t="s">
        <v>553</v>
      </c>
      <c r="D122" s="286"/>
      <c r="E122" s="286"/>
      <c r="F122" s="286"/>
      <c r="G122" s="286"/>
      <c r="H122" s="286"/>
      <c r="I122" s="286"/>
      <c r="J122" s="286"/>
      <c r="K122" s="286"/>
      <c r="L122" s="286"/>
      <c r="M122" s="286"/>
      <c r="N122" s="286"/>
      <c r="O122" s="286"/>
      <c r="P122" s="286"/>
      <c r="Q122" s="286"/>
      <c r="R122" s="286"/>
      <c r="S122" s="286"/>
      <c r="T122" s="286"/>
      <c r="U122" s="286"/>
      <c r="V122" s="286"/>
      <c r="W122" s="286"/>
      <c r="X122" s="286"/>
      <c r="Y122" s="286"/>
      <c r="Z122" s="2029">
        <f>X97</f>
        <v>158483531</v>
      </c>
      <c r="AA122" s="2029"/>
      <c r="AB122" s="2029"/>
      <c r="AC122" s="2029"/>
      <c r="AD122" s="2029"/>
      <c r="AE122" s="2029"/>
      <c r="AF122" s="2029"/>
      <c r="AG122" s="2029"/>
      <c r="AH122" s="2029"/>
      <c r="AI122" s="286" t="s">
        <v>551</v>
      </c>
      <c r="AJ122" s="286"/>
      <c r="AK122" s="286"/>
      <c r="AL122" s="286"/>
      <c r="AM122" s="286"/>
      <c r="AN122" s="286"/>
      <c r="AO122" s="286"/>
      <c r="AP122" s="286"/>
      <c r="AQ122" s="286"/>
      <c r="AR122" s="286"/>
      <c r="AS122" s="286"/>
      <c r="AT122" s="286"/>
      <c r="AU122" s="286"/>
      <c r="AV122" s="286"/>
      <c r="AW122" s="286"/>
      <c r="AX122" s="286"/>
      <c r="AY122" s="286"/>
      <c r="AZ122" s="286"/>
      <c r="BA122" s="286"/>
      <c r="BB122" s="286"/>
      <c r="BC122" s="286"/>
      <c r="BD122" s="286"/>
      <c r="BE122" s="286"/>
      <c r="BF122" s="286"/>
      <c r="BG122" s="286"/>
      <c r="BH122" s="286"/>
      <c r="BI122" s="286"/>
      <c r="BJ122" s="286"/>
    </row>
    <row r="123" spans="1:62" s="287" customFormat="1" ht="13.5" customHeight="1">
      <c r="A123" s="286"/>
      <c r="B123" s="286"/>
      <c r="C123" s="286"/>
      <c r="D123" s="286"/>
      <c r="E123" s="286"/>
      <c r="F123" s="286"/>
      <c r="G123" s="286"/>
      <c r="H123" s="286"/>
      <c r="I123" s="286"/>
      <c r="J123" s="286"/>
      <c r="K123" s="286"/>
      <c r="L123" s="286"/>
      <c r="M123" s="286"/>
      <c r="N123" s="286"/>
      <c r="O123" s="286"/>
      <c r="P123" s="286"/>
      <c r="Q123" s="286"/>
      <c r="R123" s="286"/>
      <c r="S123" s="286"/>
      <c r="T123" s="286"/>
      <c r="U123" s="286"/>
      <c r="V123" s="286"/>
      <c r="W123" s="286"/>
      <c r="X123" s="286"/>
      <c r="Y123" s="286"/>
      <c r="Z123" s="286"/>
      <c r="AA123" s="286"/>
      <c r="AB123" s="286"/>
      <c r="AC123" s="286"/>
      <c r="AD123" s="286"/>
      <c r="AE123" s="286"/>
      <c r="AF123" s="286"/>
      <c r="AG123" s="286"/>
      <c r="AH123" s="286"/>
      <c r="AI123" s="286"/>
      <c r="AJ123" s="286"/>
      <c r="AK123" s="286"/>
      <c r="AL123" s="286"/>
      <c r="AM123" s="286"/>
      <c r="AN123" s="286"/>
      <c r="AO123" s="286"/>
      <c r="AP123" s="286"/>
      <c r="AQ123" s="286"/>
      <c r="AR123" s="286"/>
      <c r="AS123" s="286"/>
      <c r="AT123" s="286"/>
      <c r="AU123" s="286"/>
      <c r="AV123" s="286"/>
      <c r="AW123" s="286"/>
      <c r="AX123" s="286"/>
      <c r="AY123" s="286"/>
      <c r="AZ123" s="286"/>
      <c r="BA123" s="286"/>
      <c r="BB123" s="286"/>
      <c r="BC123" s="286"/>
      <c r="BD123" s="286"/>
      <c r="BE123" s="286"/>
      <c r="BF123" s="286"/>
      <c r="BG123" s="286"/>
      <c r="BH123" s="286"/>
      <c r="BI123" s="286"/>
      <c r="BJ123" s="286"/>
    </row>
    <row r="124" spans="1:62" s="292" customFormat="1" ht="13.5" customHeight="1">
      <c r="A124" s="291"/>
      <c r="B124" s="291"/>
      <c r="C124" s="291"/>
      <c r="D124" s="291"/>
      <c r="E124" s="291"/>
      <c r="F124" s="291"/>
      <c r="G124" s="291"/>
      <c r="H124" s="291"/>
      <c r="I124" s="291"/>
      <c r="J124" s="291"/>
      <c r="K124" s="291"/>
      <c r="L124" s="291"/>
      <c r="M124" s="291"/>
      <c r="N124" s="291"/>
      <c r="O124" s="291"/>
      <c r="P124" s="291"/>
      <c r="Q124" s="291"/>
      <c r="R124" s="291"/>
      <c r="S124" s="291"/>
      <c r="T124" s="291"/>
      <c r="U124" s="291"/>
      <c r="V124" s="291"/>
      <c r="W124" s="291"/>
      <c r="X124" s="291"/>
      <c r="Y124" s="291"/>
      <c r="Z124" s="291"/>
      <c r="AA124" s="291"/>
      <c r="AB124" s="291"/>
      <c r="AC124" s="291"/>
      <c r="AD124" s="291"/>
      <c r="AE124" s="291"/>
      <c r="AF124" s="291"/>
      <c r="AG124" s="291"/>
      <c r="AH124" s="291"/>
      <c r="AI124" s="291"/>
      <c r="AJ124" s="291"/>
      <c r="AK124" s="291"/>
      <c r="AL124" s="291"/>
      <c r="AM124" s="291"/>
      <c r="AN124" s="291"/>
      <c r="AO124" s="291"/>
      <c r="AP124" s="291"/>
      <c r="AQ124" s="291"/>
      <c r="AR124" s="291"/>
      <c r="AS124" s="291"/>
      <c r="AT124" s="291"/>
      <c r="AU124" s="291"/>
      <c r="AV124" s="291"/>
      <c r="AW124" s="291"/>
      <c r="AX124" s="291"/>
      <c r="AY124" s="291"/>
      <c r="AZ124" s="291"/>
      <c r="BA124" s="291"/>
      <c r="BB124" s="291"/>
      <c r="BC124" s="291"/>
      <c r="BD124" s="291"/>
      <c r="BE124" s="291"/>
      <c r="BF124" s="291"/>
      <c r="BG124" s="291"/>
      <c r="BH124" s="291"/>
      <c r="BI124" s="291"/>
      <c r="BJ124" s="291"/>
    </row>
  </sheetData>
  <sheetProtection formatCells="0" formatColumns="0" formatRows="0" insertColumns="0" insertRows="0" insertHyperlinks="0" deleteColumns="0" deleteRows="0" selectLockedCells="1"/>
  <mergeCells count="932">
    <mergeCell ref="AU1:BI1"/>
    <mergeCell ref="A2:O3"/>
    <mergeCell ref="P2:Y2"/>
    <mergeCell ref="Z2:AK2"/>
    <mergeCell ref="AL2:AW2"/>
    <mergeCell ref="AX2:BI2"/>
    <mergeCell ref="BM2:DK3"/>
    <mergeCell ref="DL2:GC2"/>
    <mergeCell ref="GD2:IU2"/>
    <mergeCell ref="P3:R3"/>
    <mergeCell ref="S3:U3"/>
    <mergeCell ref="V3:Y3"/>
    <mergeCell ref="Z3:AC3"/>
    <mergeCell ref="AD3:AG3"/>
    <mergeCell ref="AH3:AK3"/>
    <mergeCell ref="AL3:AO3"/>
    <mergeCell ref="AP3:AS3"/>
    <mergeCell ref="AT3:AW3"/>
    <mergeCell ref="AX3:BA3"/>
    <mergeCell ref="BB3:BE3"/>
    <mergeCell ref="BF3:BI3"/>
    <mergeCell ref="DL3:EH3"/>
    <mergeCell ref="EI3:FA3"/>
    <mergeCell ref="FB3:GC3"/>
    <mergeCell ref="GD3:GZ3"/>
    <mergeCell ref="HA3:HS3"/>
    <mergeCell ref="HT3:IU3"/>
    <mergeCell ref="A4:B11"/>
    <mergeCell ref="D4:N4"/>
    <mergeCell ref="P4:R4"/>
    <mergeCell ref="S4:U4"/>
    <mergeCell ref="V4:Y4"/>
    <mergeCell ref="Z4:AC4"/>
    <mergeCell ref="AD4:AG4"/>
    <mergeCell ref="AH4:AK4"/>
    <mergeCell ref="AL4:AO4"/>
    <mergeCell ref="AP4:AS4"/>
    <mergeCell ref="AT4:AW4"/>
    <mergeCell ref="AX4:BA4"/>
    <mergeCell ref="BB4:BE4"/>
    <mergeCell ref="BF4:BI4"/>
    <mergeCell ref="BM4:BN4"/>
    <mergeCell ref="BT4:DI4"/>
    <mergeCell ref="DL4:EH4"/>
    <mergeCell ref="EI4:FA4"/>
    <mergeCell ref="FB4:GC4"/>
    <mergeCell ref="GD4:GZ4"/>
    <mergeCell ref="HA4:HS4"/>
    <mergeCell ref="HT4:IU4"/>
    <mergeCell ref="D5:N5"/>
    <mergeCell ref="P5:R5"/>
    <mergeCell ref="S5:U5"/>
    <mergeCell ref="V5:Y5"/>
    <mergeCell ref="Z5:AC5"/>
    <mergeCell ref="AD5:AG5"/>
    <mergeCell ref="AH5:AK5"/>
    <mergeCell ref="AL5:AO5"/>
    <mergeCell ref="AP5:AS5"/>
    <mergeCell ref="AT5:AW5"/>
    <mergeCell ref="AX5:BA5"/>
    <mergeCell ref="BB5:BE5"/>
    <mergeCell ref="BF5:BI5"/>
    <mergeCell ref="BM5:BQ5"/>
    <mergeCell ref="BT5:DI5"/>
    <mergeCell ref="DL5:EH5"/>
    <mergeCell ref="EI5:FA5"/>
    <mergeCell ref="FB5:GC5"/>
    <mergeCell ref="GD5:GZ5"/>
    <mergeCell ref="HA5:HS5"/>
    <mergeCell ref="HT5:IU5"/>
    <mergeCell ref="D6:N6"/>
    <mergeCell ref="P6:R6"/>
    <mergeCell ref="S6:U6"/>
    <mergeCell ref="V6:Y6"/>
    <mergeCell ref="Z6:AC6"/>
    <mergeCell ref="AD6:AG6"/>
    <mergeCell ref="AH6:AK6"/>
    <mergeCell ref="AL6:AO6"/>
    <mergeCell ref="AP6:AS6"/>
    <mergeCell ref="AT6:AW6"/>
    <mergeCell ref="AX6:BA6"/>
    <mergeCell ref="BB6:BE6"/>
    <mergeCell ref="BF6:BI6"/>
    <mergeCell ref="BM6:BN6"/>
    <mergeCell ref="BT6:DI6"/>
    <mergeCell ref="DL6:EH6"/>
    <mergeCell ref="EI6:FA6"/>
    <mergeCell ref="FB6:GC6"/>
    <mergeCell ref="GD6:GZ6"/>
    <mergeCell ref="HA6:HS6"/>
    <mergeCell ref="HT6:IU6"/>
    <mergeCell ref="D7:N7"/>
    <mergeCell ref="P7:R7"/>
    <mergeCell ref="S7:U7"/>
    <mergeCell ref="V7:Y7"/>
    <mergeCell ref="Z7:AC7"/>
    <mergeCell ref="AD7:AG7"/>
    <mergeCell ref="AH7:AK7"/>
    <mergeCell ref="AL7:AO7"/>
    <mergeCell ref="AP7:AS7"/>
    <mergeCell ref="AT7:AW7"/>
    <mergeCell ref="AX7:BA7"/>
    <mergeCell ref="BB7:BE7"/>
    <mergeCell ref="BF7:BI7"/>
    <mergeCell ref="BM7:BN7"/>
    <mergeCell ref="BT7:DI7"/>
    <mergeCell ref="DL7:EH7"/>
    <mergeCell ref="EI7:FA7"/>
    <mergeCell ref="FB7:GC7"/>
    <mergeCell ref="GD7:GZ7"/>
    <mergeCell ref="HA7:HS7"/>
    <mergeCell ref="HT7:IU7"/>
    <mergeCell ref="AX8:BA8"/>
    <mergeCell ref="BB8:BE8"/>
    <mergeCell ref="BF8:BI8"/>
    <mergeCell ref="BM8:BN8"/>
    <mergeCell ref="BT8:DI9"/>
    <mergeCell ref="DL8:EH8"/>
    <mergeCell ref="EI8:FA8"/>
    <mergeCell ref="FB8:GC8"/>
    <mergeCell ref="D8:N8"/>
    <mergeCell ref="P8:R8"/>
    <mergeCell ref="S8:U8"/>
    <mergeCell ref="V8:Y8"/>
    <mergeCell ref="Z8:AC8"/>
    <mergeCell ref="AD8:AG8"/>
    <mergeCell ref="AH8:AK8"/>
    <mergeCell ref="AL8:AO8"/>
    <mergeCell ref="AP8:AS8"/>
    <mergeCell ref="GD8:GZ8"/>
    <mergeCell ref="HA8:HS8"/>
    <mergeCell ref="HT8:IU8"/>
    <mergeCell ref="D9:N9"/>
    <mergeCell ref="P9:R9"/>
    <mergeCell ref="S9:U9"/>
    <mergeCell ref="V9:Y9"/>
    <mergeCell ref="Z9:AC9"/>
    <mergeCell ref="AD9:AG9"/>
    <mergeCell ref="AH9:AK9"/>
    <mergeCell ref="AL9:AO9"/>
    <mergeCell ref="AP9:AS9"/>
    <mergeCell ref="AT9:AW9"/>
    <mergeCell ref="AX9:BA9"/>
    <mergeCell ref="BB9:BE9"/>
    <mergeCell ref="BF9:BI9"/>
    <mergeCell ref="BM9:BN9"/>
    <mergeCell ref="DL9:EH9"/>
    <mergeCell ref="EI9:FA9"/>
    <mergeCell ref="FB9:GC9"/>
    <mergeCell ref="GD9:GZ9"/>
    <mergeCell ref="HA9:HS9"/>
    <mergeCell ref="HT9:IU9"/>
    <mergeCell ref="AT8:AW8"/>
    <mergeCell ref="D10:N10"/>
    <mergeCell ref="P10:R10"/>
    <mergeCell ref="S10:U10"/>
    <mergeCell ref="V10:Y10"/>
    <mergeCell ref="Z10:AC10"/>
    <mergeCell ref="AD10:AG10"/>
    <mergeCell ref="AH10:AK10"/>
    <mergeCell ref="AL10:AO10"/>
    <mergeCell ref="AP10:AS10"/>
    <mergeCell ref="AT10:AW10"/>
    <mergeCell ref="AX10:BA10"/>
    <mergeCell ref="BB10:BE10"/>
    <mergeCell ref="BF10:BI10"/>
    <mergeCell ref="BM10:BN10"/>
    <mergeCell ref="BT10:DI10"/>
    <mergeCell ref="DL10:EH10"/>
    <mergeCell ref="EI10:FA10"/>
    <mergeCell ref="FB10:GC10"/>
    <mergeCell ref="GD10:GZ10"/>
    <mergeCell ref="HA10:HS10"/>
    <mergeCell ref="HT10:IU10"/>
    <mergeCell ref="D11:N11"/>
    <mergeCell ref="P11:R11"/>
    <mergeCell ref="S11:U11"/>
    <mergeCell ref="V11:Y11"/>
    <mergeCell ref="Z11:AC11"/>
    <mergeCell ref="AD11:AG11"/>
    <mergeCell ref="AH11:AK11"/>
    <mergeCell ref="AL11:AO11"/>
    <mergeCell ref="AP11:AS11"/>
    <mergeCell ref="AT11:AW11"/>
    <mergeCell ref="AX11:BA11"/>
    <mergeCell ref="BB11:BE11"/>
    <mergeCell ref="BF11:BI11"/>
    <mergeCell ref="BM11:BQ11"/>
    <mergeCell ref="BT11:DI11"/>
    <mergeCell ref="DL11:EH11"/>
    <mergeCell ref="EI11:FA11"/>
    <mergeCell ref="FB11:GC11"/>
    <mergeCell ref="GD11:GZ11"/>
    <mergeCell ref="HA11:HS11"/>
    <mergeCell ref="HT11:IU11"/>
    <mergeCell ref="A12:B19"/>
    <mergeCell ref="D12:N12"/>
    <mergeCell ref="P12:R12"/>
    <mergeCell ref="S12:U12"/>
    <mergeCell ref="V12:Y12"/>
    <mergeCell ref="Z12:AC12"/>
    <mergeCell ref="AD12:AG12"/>
    <mergeCell ref="AH12:AK12"/>
    <mergeCell ref="AL12:AO12"/>
    <mergeCell ref="D14:N14"/>
    <mergeCell ref="P14:R14"/>
    <mergeCell ref="S14:U14"/>
    <mergeCell ref="V14:Y14"/>
    <mergeCell ref="Z14:AC14"/>
    <mergeCell ref="AD14:AG14"/>
    <mergeCell ref="AH14:AK14"/>
    <mergeCell ref="AL14:AO14"/>
    <mergeCell ref="D17:N17"/>
    <mergeCell ref="P17:R17"/>
    <mergeCell ref="S17:U17"/>
    <mergeCell ref="V17:Y17"/>
    <mergeCell ref="Z17:AC17"/>
    <mergeCell ref="AD17:AG17"/>
    <mergeCell ref="AH17:AK17"/>
    <mergeCell ref="AP12:AS12"/>
    <mergeCell ref="AT12:AW12"/>
    <mergeCell ref="AX12:BA12"/>
    <mergeCell ref="BB12:BE12"/>
    <mergeCell ref="BF12:BI12"/>
    <mergeCell ref="BT12:DI12"/>
    <mergeCell ref="DL12:EH12"/>
    <mergeCell ref="EI12:FA12"/>
    <mergeCell ref="FB12:GC12"/>
    <mergeCell ref="GD12:GZ12"/>
    <mergeCell ref="HA12:HS12"/>
    <mergeCell ref="HT12:IU12"/>
    <mergeCell ref="D13:N13"/>
    <mergeCell ref="P13:R13"/>
    <mergeCell ref="S13:U13"/>
    <mergeCell ref="V13:Y13"/>
    <mergeCell ref="Z13:AC13"/>
    <mergeCell ref="AD13:AG13"/>
    <mergeCell ref="AH13:AK13"/>
    <mergeCell ref="AL13:AO13"/>
    <mergeCell ref="AP13:AS13"/>
    <mergeCell ref="AT13:AW13"/>
    <mergeCell ref="AX13:BA13"/>
    <mergeCell ref="BB13:BE13"/>
    <mergeCell ref="BF13:BI13"/>
    <mergeCell ref="BM13:BN13"/>
    <mergeCell ref="BT13:DI13"/>
    <mergeCell ref="DL13:EH13"/>
    <mergeCell ref="EI13:FA13"/>
    <mergeCell ref="FB13:GC13"/>
    <mergeCell ref="GD13:GZ13"/>
    <mergeCell ref="HA13:HS13"/>
    <mergeCell ref="HT13:IU13"/>
    <mergeCell ref="AP14:AS14"/>
    <mergeCell ref="AT14:AW14"/>
    <mergeCell ref="AX14:BA14"/>
    <mergeCell ref="BB14:BE14"/>
    <mergeCell ref="BF14:BI14"/>
    <mergeCell ref="BM14:BQ14"/>
    <mergeCell ref="BT14:DI14"/>
    <mergeCell ref="DL14:EH14"/>
    <mergeCell ref="EI14:FA14"/>
    <mergeCell ref="FB14:GC14"/>
    <mergeCell ref="GD14:GZ14"/>
    <mergeCell ref="HA14:HS14"/>
    <mergeCell ref="HT14:IU14"/>
    <mergeCell ref="D15:N15"/>
    <mergeCell ref="P15:R15"/>
    <mergeCell ref="S15:U15"/>
    <mergeCell ref="V15:Y15"/>
    <mergeCell ref="Z15:AC15"/>
    <mergeCell ref="AD15:AG15"/>
    <mergeCell ref="AH15:AK15"/>
    <mergeCell ref="AL15:AO15"/>
    <mergeCell ref="AP15:AS15"/>
    <mergeCell ref="AT15:AW15"/>
    <mergeCell ref="AX15:BA15"/>
    <mergeCell ref="BB15:BE15"/>
    <mergeCell ref="BF15:BI15"/>
    <mergeCell ref="BM15:BN15"/>
    <mergeCell ref="BT15:DI15"/>
    <mergeCell ref="DL15:EH15"/>
    <mergeCell ref="EI15:FA15"/>
    <mergeCell ref="FB15:GC15"/>
    <mergeCell ref="GD15:GZ15"/>
    <mergeCell ref="HA15:HS15"/>
    <mergeCell ref="HT15:IU15"/>
    <mergeCell ref="D16:N16"/>
    <mergeCell ref="P16:R16"/>
    <mergeCell ref="S16:U16"/>
    <mergeCell ref="V16:Y16"/>
    <mergeCell ref="Z16:AC16"/>
    <mergeCell ref="AD16:AG16"/>
    <mergeCell ref="AH16:AK16"/>
    <mergeCell ref="AL16:AO16"/>
    <mergeCell ref="AP16:AS16"/>
    <mergeCell ref="AT16:AW16"/>
    <mergeCell ref="AX16:BA16"/>
    <mergeCell ref="BB16:BE16"/>
    <mergeCell ref="BF16:BI16"/>
    <mergeCell ref="BM16:BN16"/>
    <mergeCell ref="BT16:DI16"/>
    <mergeCell ref="DL16:EH16"/>
    <mergeCell ref="EI16:EW16"/>
    <mergeCell ref="EX16:FA16"/>
    <mergeCell ref="FB16:GC16"/>
    <mergeCell ref="GD16:GZ16"/>
    <mergeCell ref="HA16:HO16"/>
    <mergeCell ref="HP16:HS16"/>
    <mergeCell ref="HT16:IU16"/>
    <mergeCell ref="AL17:AO17"/>
    <mergeCell ref="AP17:AS17"/>
    <mergeCell ref="AT17:AW17"/>
    <mergeCell ref="AX17:BA17"/>
    <mergeCell ref="BB17:BE17"/>
    <mergeCell ref="BF17:BI17"/>
    <mergeCell ref="BM17:BN17"/>
    <mergeCell ref="BT17:DI18"/>
    <mergeCell ref="DL17:EH17"/>
    <mergeCell ref="EI17:FA17"/>
    <mergeCell ref="FB17:GC17"/>
    <mergeCell ref="GD17:GZ17"/>
    <mergeCell ref="HA17:HS17"/>
    <mergeCell ref="HT17:IU17"/>
    <mergeCell ref="D18:N18"/>
    <mergeCell ref="P18:R18"/>
    <mergeCell ref="S18:U18"/>
    <mergeCell ref="V18:Y18"/>
    <mergeCell ref="Z18:AC18"/>
    <mergeCell ref="AD18:AG18"/>
    <mergeCell ref="AH18:AK18"/>
    <mergeCell ref="AL18:AO18"/>
    <mergeCell ref="AP18:AS18"/>
    <mergeCell ref="AT18:AW18"/>
    <mergeCell ref="AX18:BA18"/>
    <mergeCell ref="BB18:BE18"/>
    <mergeCell ref="BF18:BI18"/>
    <mergeCell ref="BM18:BN18"/>
    <mergeCell ref="DL18:EH18"/>
    <mergeCell ref="EI18:FA18"/>
    <mergeCell ref="FB18:GC18"/>
    <mergeCell ref="GD18:GZ18"/>
    <mergeCell ref="HA18:HS18"/>
    <mergeCell ref="HT18:IU18"/>
    <mergeCell ref="D19:N19"/>
    <mergeCell ref="P19:R19"/>
    <mergeCell ref="S19:U19"/>
    <mergeCell ref="V19:Y19"/>
    <mergeCell ref="Z19:AC19"/>
    <mergeCell ref="AD19:AG19"/>
    <mergeCell ref="AH19:AK19"/>
    <mergeCell ref="AL19:AO19"/>
    <mergeCell ref="AP19:AS19"/>
    <mergeCell ref="AT19:AW19"/>
    <mergeCell ref="AX19:BA19"/>
    <mergeCell ref="BB19:BE19"/>
    <mergeCell ref="BF19:BI19"/>
    <mergeCell ref="BM19:BN19"/>
    <mergeCell ref="BT19:DI19"/>
    <mergeCell ref="DL19:EH19"/>
    <mergeCell ref="EI19:FA19"/>
    <mergeCell ref="FB19:GC19"/>
    <mergeCell ref="GD19:GZ19"/>
    <mergeCell ref="HA19:HS19"/>
    <mergeCell ref="HT19:IU19"/>
    <mergeCell ref="EI20:FA20"/>
    <mergeCell ref="FB20:GC20"/>
    <mergeCell ref="B20:N20"/>
    <mergeCell ref="P20:R21"/>
    <mergeCell ref="S20:U21"/>
    <mergeCell ref="V20:Y21"/>
    <mergeCell ref="Z20:AC20"/>
    <mergeCell ref="AD20:AG20"/>
    <mergeCell ref="AH20:AK20"/>
    <mergeCell ref="AL20:AO21"/>
    <mergeCell ref="AP20:AS21"/>
    <mergeCell ref="GD20:GZ20"/>
    <mergeCell ref="HA20:HS20"/>
    <mergeCell ref="HT20:IU20"/>
    <mergeCell ref="B21:N21"/>
    <mergeCell ref="Z21:AC21"/>
    <mergeCell ref="AD21:AG21"/>
    <mergeCell ref="AH21:AK21"/>
    <mergeCell ref="AX21:BA21"/>
    <mergeCell ref="BB21:BE21"/>
    <mergeCell ref="BF21:BI21"/>
    <mergeCell ref="BT21:DI21"/>
    <mergeCell ref="DL21:EH21"/>
    <mergeCell ref="EI21:FA21"/>
    <mergeCell ref="FB21:GC21"/>
    <mergeCell ref="GD21:GZ21"/>
    <mergeCell ref="HA21:HS21"/>
    <mergeCell ref="HT21:IU21"/>
    <mergeCell ref="AT20:AW21"/>
    <mergeCell ref="AX20:BA20"/>
    <mergeCell ref="BB20:BE20"/>
    <mergeCell ref="BF20:BI20"/>
    <mergeCell ref="BM20:BQ20"/>
    <mergeCell ref="BT20:DI20"/>
    <mergeCell ref="DL20:EH20"/>
    <mergeCell ref="B22:N22"/>
    <mergeCell ref="P22:R22"/>
    <mergeCell ref="S22:U22"/>
    <mergeCell ref="V22:Y22"/>
    <mergeCell ref="Z22:AC22"/>
    <mergeCell ref="AD22:AG22"/>
    <mergeCell ref="AH22:AK22"/>
    <mergeCell ref="AL22:AO22"/>
    <mergeCell ref="AP22:AS22"/>
    <mergeCell ref="AT22:AW22"/>
    <mergeCell ref="AX22:BA22"/>
    <mergeCell ref="BB22:BE22"/>
    <mergeCell ref="BF22:BI22"/>
    <mergeCell ref="BO22:DI22"/>
    <mergeCell ref="DL22:EH22"/>
    <mergeCell ref="EI22:FA22"/>
    <mergeCell ref="FB22:GC22"/>
    <mergeCell ref="GD22:GZ22"/>
    <mergeCell ref="HA22:HS22"/>
    <mergeCell ref="HT22:IU22"/>
    <mergeCell ref="BM23:DK24"/>
    <mergeCell ref="DL23:EH23"/>
    <mergeCell ref="EI23:FA23"/>
    <mergeCell ref="FB23:GC23"/>
    <mergeCell ref="GD23:GZ23"/>
    <mergeCell ref="HA23:HS23"/>
    <mergeCell ref="HT23:IU23"/>
    <mergeCell ref="B24:T25"/>
    <mergeCell ref="V24:AX24"/>
    <mergeCell ref="DL24:EH24"/>
    <mergeCell ref="EI24:FA24"/>
    <mergeCell ref="FB24:GC24"/>
    <mergeCell ref="GD24:GZ24"/>
    <mergeCell ref="HA24:HS24"/>
    <mergeCell ref="HT24:IU24"/>
    <mergeCell ref="V25:AX25"/>
    <mergeCell ref="B26:T27"/>
    <mergeCell ref="V26:AX26"/>
    <mergeCell ref="BM26:DB26"/>
    <mergeCell ref="DE26:EA26"/>
    <mergeCell ref="EB26:ET26"/>
    <mergeCell ref="EX26:FT26"/>
    <mergeCell ref="V27:AX27"/>
    <mergeCell ref="BM27:DB27"/>
    <mergeCell ref="DE27:EA27"/>
    <mergeCell ref="EB27:EX27"/>
    <mergeCell ref="EY27:FU27"/>
    <mergeCell ref="B28:T29"/>
    <mergeCell ref="V28:AX28"/>
    <mergeCell ref="BM28:DB28"/>
    <mergeCell ref="DE28:EA28"/>
    <mergeCell ref="EB28:EX28"/>
    <mergeCell ref="EY28:FU28"/>
    <mergeCell ref="V29:AX29"/>
    <mergeCell ref="B30:T31"/>
    <mergeCell ref="V30:AX30"/>
    <mergeCell ref="V31:AX31"/>
    <mergeCell ref="B32:T33"/>
    <mergeCell ref="V32:AX32"/>
    <mergeCell ref="V33:AX33"/>
    <mergeCell ref="B34:T35"/>
    <mergeCell ref="V34:BI34"/>
    <mergeCell ref="V35:BI35"/>
    <mergeCell ref="B36:T37"/>
    <mergeCell ref="V36:BI36"/>
    <mergeCell ref="V37:BI37"/>
    <mergeCell ref="B38:T39"/>
    <mergeCell ref="V38:AX38"/>
    <mergeCell ref="V39:AX39"/>
    <mergeCell ref="AT40:BI40"/>
    <mergeCell ref="A41:P43"/>
    <mergeCell ref="Q41:BI41"/>
    <mergeCell ref="BM41:DK42"/>
    <mergeCell ref="DL41:GC41"/>
    <mergeCell ref="GD41:IU41"/>
    <mergeCell ref="Q42:AE42"/>
    <mergeCell ref="AF42:AT42"/>
    <mergeCell ref="AU42:BI42"/>
    <mergeCell ref="DL42:EH42"/>
    <mergeCell ref="EI42:FA42"/>
    <mergeCell ref="FB42:GC42"/>
    <mergeCell ref="GD42:GZ42"/>
    <mergeCell ref="HA42:HS42"/>
    <mergeCell ref="HT42:IU42"/>
    <mergeCell ref="Q43:U43"/>
    <mergeCell ref="V43:Z43"/>
    <mergeCell ref="AA43:AE43"/>
    <mergeCell ref="AF43:AJ43"/>
    <mergeCell ref="AK43:AO43"/>
    <mergeCell ref="AP43:AT43"/>
    <mergeCell ref="AU43:AY43"/>
    <mergeCell ref="AZ43:BD43"/>
    <mergeCell ref="BE43:BI43"/>
    <mergeCell ref="BM43:BN43"/>
    <mergeCell ref="BT43:DI43"/>
    <mergeCell ref="DL43:EH43"/>
    <mergeCell ref="EI43:FA43"/>
    <mergeCell ref="FB43:GC43"/>
    <mergeCell ref="GD43:GZ43"/>
    <mergeCell ref="HA43:HS43"/>
    <mergeCell ref="HT43:IU43"/>
    <mergeCell ref="A44:B51"/>
    <mergeCell ref="D44:O44"/>
    <mergeCell ref="Q44:U44"/>
    <mergeCell ref="V44:Z44"/>
    <mergeCell ref="AA44:AE44"/>
    <mergeCell ref="AF44:AJ44"/>
    <mergeCell ref="AK44:AO44"/>
    <mergeCell ref="AP44:AT44"/>
    <mergeCell ref="AU44:AY44"/>
    <mergeCell ref="AZ44:BD44"/>
    <mergeCell ref="BE44:BI44"/>
    <mergeCell ref="BM44:BQ44"/>
    <mergeCell ref="BT44:DI44"/>
    <mergeCell ref="DL44:EH44"/>
    <mergeCell ref="EI44:FA44"/>
    <mergeCell ref="FB44:GC44"/>
    <mergeCell ref="GD44:GZ44"/>
    <mergeCell ref="HA44:HS44"/>
    <mergeCell ref="HT44:IU44"/>
    <mergeCell ref="D45:O45"/>
    <mergeCell ref="Q45:U45"/>
    <mergeCell ref="V45:Z45"/>
    <mergeCell ref="AA45:AE45"/>
    <mergeCell ref="AF45:AJ45"/>
    <mergeCell ref="AK45:AO45"/>
    <mergeCell ref="AP45:AT45"/>
    <mergeCell ref="AU45:AY45"/>
    <mergeCell ref="AZ45:BD45"/>
    <mergeCell ref="BE45:BI45"/>
    <mergeCell ref="BM45:BN45"/>
    <mergeCell ref="BT45:DI45"/>
    <mergeCell ref="DL45:EH45"/>
    <mergeCell ref="EI45:FA45"/>
    <mergeCell ref="FB45:GC45"/>
    <mergeCell ref="GD45:GZ45"/>
    <mergeCell ref="HA45:HS45"/>
    <mergeCell ref="HT45:IU45"/>
    <mergeCell ref="D46:O46"/>
    <mergeCell ref="Q46:U46"/>
    <mergeCell ref="V46:Z46"/>
    <mergeCell ref="AA46:AE46"/>
    <mergeCell ref="AF46:AJ46"/>
    <mergeCell ref="AK46:AO46"/>
    <mergeCell ref="AP46:AT46"/>
    <mergeCell ref="AU46:AY46"/>
    <mergeCell ref="AZ46:BD46"/>
    <mergeCell ref="BE46:BI46"/>
    <mergeCell ref="BM46:BN46"/>
    <mergeCell ref="BT46:DI46"/>
    <mergeCell ref="DL46:EH46"/>
    <mergeCell ref="EI46:FA46"/>
    <mergeCell ref="FB46:GC46"/>
    <mergeCell ref="GD46:GZ46"/>
    <mergeCell ref="HA46:HS46"/>
    <mergeCell ref="HT46:IU46"/>
    <mergeCell ref="D47:O47"/>
    <mergeCell ref="Q47:U47"/>
    <mergeCell ref="V47:Z47"/>
    <mergeCell ref="AA47:AE47"/>
    <mergeCell ref="AF47:AJ47"/>
    <mergeCell ref="AK47:AO47"/>
    <mergeCell ref="AP47:AT47"/>
    <mergeCell ref="AU47:AY47"/>
    <mergeCell ref="AZ47:BD47"/>
    <mergeCell ref="BE47:BI47"/>
    <mergeCell ref="BM47:BN47"/>
    <mergeCell ref="BT47:DI48"/>
    <mergeCell ref="DL47:EH47"/>
    <mergeCell ref="EI47:FA47"/>
    <mergeCell ref="FB47:GC47"/>
    <mergeCell ref="GD47:GZ47"/>
    <mergeCell ref="HA47:HS47"/>
    <mergeCell ref="HT47:IU47"/>
    <mergeCell ref="BE48:BI48"/>
    <mergeCell ref="BM48:BN48"/>
    <mergeCell ref="DL48:EH48"/>
    <mergeCell ref="EI48:FA48"/>
    <mergeCell ref="FB48:GC48"/>
    <mergeCell ref="GD48:GZ48"/>
    <mergeCell ref="HA48:HS48"/>
    <mergeCell ref="HT48:IU48"/>
    <mergeCell ref="D48:O48"/>
    <mergeCell ref="Q48:U48"/>
    <mergeCell ref="V48:Z48"/>
    <mergeCell ref="AA48:AE48"/>
    <mergeCell ref="AF48:AJ48"/>
    <mergeCell ref="AK48:AO48"/>
    <mergeCell ref="AP48:AT48"/>
    <mergeCell ref="AU48:AY48"/>
    <mergeCell ref="AZ48:BD48"/>
    <mergeCell ref="D49:O49"/>
    <mergeCell ref="Q49:U49"/>
    <mergeCell ref="V49:Z49"/>
    <mergeCell ref="AA49:AE49"/>
    <mergeCell ref="AF49:AJ49"/>
    <mergeCell ref="AK49:AO49"/>
    <mergeCell ref="AP49:AT49"/>
    <mergeCell ref="AU49:AY49"/>
    <mergeCell ref="AZ49:BD49"/>
    <mergeCell ref="BE49:BI49"/>
    <mergeCell ref="BM49:BN49"/>
    <mergeCell ref="BT49:DI49"/>
    <mergeCell ref="DL49:EH49"/>
    <mergeCell ref="EI49:FA49"/>
    <mergeCell ref="FB49:GC49"/>
    <mergeCell ref="GD49:GZ49"/>
    <mergeCell ref="HA49:HS49"/>
    <mergeCell ref="HT49:IU49"/>
    <mergeCell ref="D50:O50"/>
    <mergeCell ref="Q50:U50"/>
    <mergeCell ref="V50:Z50"/>
    <mergeCell ref="AA50:AE50"/>
    <mergeCell ref="AF50:AJ50"/>
    <mergeCell ref="AK50:AO50"/>
    <mergeCell ref="AP50:AT50"/>
    <mergeCell ref="AU50:AY50"/>
    <mergeCell ref="AZ50:BD50"/>
    <mergeCell ref="BE50:BI50"/>
    <mergeCell ref="BM50:BQ50"/>
    <mergeCell ref="BT50:DI50"/>
    <mergeCell ref="DL50:EH50"/>
    <mergeCell ref="EI50:FA50"/>
    <mergeCell ref="FB50:GC50"/>
    <mergeCell ref="GD50:GZ50"/>
    <mergeCell ref="HA50:HS50"/>
    <mergeCell ref="HT50:IU50"/>
    <mergeCell ref="D51:O51"/>
    <mergeCell ref="Q51:U51"/>
    <mergeCell ref="V51:Z51"/>
    <mergeCell ref="AA51:AE51"/>
    <mergeCell ref="AF51:AJ51"/>
    <mergeCell ref="AK51:AO51"/>
    <mergeCell ref="AP51:AT51"/>
    <mergeCell ref="AU51:AY51"/>
    <mergeCell ref="AZ51:BD51"/>
    <mergeCell ref="BE51:BI51"/>
    <mergeCell ref="BT51:DI51"/>
    <mergeCell ref="DL51:EH51"/>
    <mergeCell ref="EI51:FA51"/>
    <mergeCell ref="FB51:GC51"/>
    <mergeCell ref="GD51:GZ51"/>
    <mergeCell ref="HA51:HS51"/>
    <mergeCell ref="HT51:IU51"/>
    <mergeCell ref="A52:B59"/>
    <mergeCell ref="D52:O52"/>
    <mergeCell ref="Q52:U52"/>
    <mergeCell ref="V52:Z52"/>
    <mergeCell ref="AA52:AE52"/>
    <mergeCell ref="AF52:AJ52"/>
    <mergeCell ref="AK52:AO52"/>
    <mergeCell ref="AP52:AT52"/>
    <mergeCell ref="AU52:AY52"/>
    <mergeCell ref="AZ52:BD52"/>
    <mergeCell ref="BE52:BI52"/>
    <mergeCell ref="BM52:BN52"/>
    <mergeCell ref="BT52:DI52"/>
    <mergeCell ref="DL52:EH52"/>
    <mergeCell ref="EI52:FA52"/>
    <mergeCell ref="FB52:GC52"/>
    <mergeCell ref="GD52:GZ52"/>
    <mergeCell ref="HA52:HS52"/>
    <mergeCell ref="HT52:IU52"/>
    <mergeCell ref="D53:O53"/>
    <mergeCell ref="Q53:U53"/>
    <mergeCell ref="V53:Z53"/>
    <mergeCell ref="AA53:AE53"/>
    <mergeCell ref="AF53:AJ53"/>
    <mergeCell ref="AK53:AO53"/>
    <mergeCell ref="AP53:AT53"/>
    <mergeCell ref="AU53:AY53"/>
    <mergeCell ref="AZ53:BD53"/>
    <mergeCell ref="BE53:BI53"/>
    <mergeCell ref="BM53:BQ53"/>
    <mergeCell ref="BT53:DI53"/>
    <mergeCell ref="DL53:EH53"/>
    <mergeCell ref="EI53:FA53"/>
    <mergeCell ref="FB53:GC53"/>
    <mergeCell ref="GD53:GZ53"/>
    <mergeCell ref="HA53:HS53"/>
    <mergeCell ref="HT53:IU53"/>
    <mergeCell ref="D54:O54"/>
    <mergeCell ref="Q54:U54"/>
    <mergeCell ref="V54:Z54"/>
    <mergeCell ref="AA54:AE54"/>
    <mergeCell ref="AF54:AJ54"/>
    <mergeCell ref="AK54:AO54"/>
    <mergeCell ref="AP54:AT54"/>
    <mergeCell ref="AU54:AY54"/>
    <mergeCell ref="AZ54:BD54"/>
    <mergeCell ref="BE54:BI54"/>
    <mergeCell ref="BM54:BN54"/>
    <mergeCell ref="BT54:DI54"/>
    <mergeCell ref="DL54:EH54"/>
    <mergeCell ref="EI54:FA54"/>
    <mergeCell ref="FB54:GC54"/>
    <mergeCell ref="GD54:GZ54"/>
    <mergeCell ref="HA54:HS54"/>
    <mergeCell ref="HT54:IU54"/>
    <mergeCell ref="D57:O57"/>
    <mergeCell ref="Q57:U57"/>
    <mergeCell ref="V57:Z57"/>
    <mergeCell ref="AA57:AE57"/>
    <mergeCell ref="BE55:BI55"/>
    <mergeCell ref="BM55:BN55"/>
    <mergeCell ref="BT55:DI55"/>
    <mergeCell ref="DL55:EH55"/>
    <mergeCell ref="EI55:EW55"/>
    <mergeCell ref="D55:O55"/>
    <mergeCell ref="Q55:U55"/>
    <mergeCell ref="V55:Z55"/>
    <mergeCell ref="AA55:AE55"/>
    <mergeCell ref="AF55:AJ55"/>
    <mergeCell ref="AK55:AO55"/>
    <mergeCell ref="AP55:AT55"/>
    <mergeCell ref="AU55:AY55"/>
    <mergeCell ref="AZ55:BD55"/>
    <mergeCell ref="D56:O56"/>
    <mergeCell ref="Q56:U56"/>
    <mergeCell ref="V56:Z56"/>
    <mergeCell ref="AA56:AE56"/>
    <mergeCell ref="AF56:AJ56"/>
    <mergeCell ref="AK56:AO56"/>
    <mergeCell ref="AP56:AT56"/>
    <mergeCell ref="AU56:AY56"/>
    <mergeCell ref="AZ56:BD56"/>
    <mergeCell ref="AP57:AT57"/>
    <mergeCell ref="AU57:AY57"/>
    <mergeCell ref="AZ57:BD57"/>
    <mergeCell ref="BE57:BI57"/>
    <mergeCell ref="BM57:BN57"/>
    <mergeCell ref="DL57:EH57"/>
    <mergeCell ref="EI57:FA57"/>
    <mergeCell ref="HP55:HS55"/>
    <mergeCell ref="HT55:IU55"/>
    <mergeCell ref="BE56:BI56"/>
    <mergeCell ref="BM56:BN56"/>
    <mergeCell ref="BT56:DI57"/>
    <mergeCell ref="DL56:EH56"/>
    <mergeCell ref="EI56:FA56"/>
    <mergeCell ref="FB56:GC56"/>
    <mergeCell ref="GD56:GZ56"/>
    <mergeCell ref="HA56:HS56"/>
    <mergeCell ref="HT56:IU56"/>
    <mergeCell ref="EX55:FA55"/>
    <mergeCell ref="FB55:GC55"/>
    <mergeCell ref="GD55:GZ55"/>
    <mergeCell ref="HA55:HO55"/>
    <mergeCell ref="FB57:GC57"/>
    <mergeCell ref="GD57:GZ57"/>
    <mergeCell ref="HA57:HS57"/>
    <mergeCell ref="HT57:IU57"/>
    <mergeCell ref="D58:O58"/>
    <mergeCell ref="Q58:U58"/>
    <mergeCell ref="V58:Z58"/>
    <mergeCell ref="AA58:AE58"/>
    <mergeCell ref="AF58:AJ58"/>
    <mergeCell ref="AK58:AO58"/>
    <mergeCell ref="AP58:AT58"/>
    <mergeCell ref="AU58:AY58"/>
    <mergeCell ref="AZ58:BD58"/>
    <mergeCell ref="BE58:BI58"/>
    <mergeCell ref="BM58:BN58"/>
    <mergeCell ref="BT58:DI58"/>
    <mergeCell ref="DL58:EH58"/>
    <mergeCell ref="EI58:FA58"/>
    <mergeCell ref="FB58:GC58"/>
    <mergeCell ref="GD58:GZ58"/>
    <mergeCell ref="HA58:HS58"/>
    <mergeCell ref="HT58:IU58"/>
    <mergeCell ref="AF57:AJ57"/>
    <mergeCell ref="AK57:AO57"/>
    <mergeCell ref="D59:O59"/>
    <mergeCell ref="Q59:U59"/>
    <mergeCell ref="V59:Z59"/>
    <mergeCell ref="AA59:AE59"/>
    <mergeCell ref="AF59:AJ59"/>
    <mergeCell ref="AK59:AO59"/>
    <mergeCell ref="AP59:AT59"/>
    <mergeCell ref="AU59:AY59"/>
    <mergeCell ref="AZ59:BD59"/>
    <mergeCell ref="BE59:BI59"/>
    <mergeCell ref="BM59:BQ59"/>
    <mergeCell ref="BT59:DI59"/>
    <mergeCell ref="DL59:EH59"/>
    <mergeCell ref="EI59:FA59"/>
    <mergeCell ref="FB59:GC59"/>
    <mergeCell ref="GD59:GZ59"/>
    <mergeCell ref="HA59:HS59"/>
    <mergeCell ref="HT59:IU59"/>
    <mergeCell ref="B60:O60"/>
    <mergeCell ref="Q60:U60"/>
    <mergeCell ref="V60:Z60"/>
    <mergeCell ref="AA60:AE60"/>
    <mergeCell ref="AF60:AJ60"/>
    <mergeCell ref="AK60:AO60"/>
    <mergeCell ref="AP60:AT60"/>
    <mergeCell ref="AU60:AY60"/>
    <mergeCell ref="AZ60:BD60"/>
    <mergeCell ref="BE60:BI60"/>
    <mergeCell ref="BT60:DI60"/>
    <mergeCell ref="DL60:EH60"/>
    <mergeCell ref="EI60:FA60"/>
    <mergeCell ref="FB60:GC60"/>
    <mergeCell ref="GD60:GZ60"/>
    <mergeCell ref="HA60:HS60"/>
    <mergeCell ref="HT60:IU60"/>
    <mergeCell ref="B61:O62"/>
    <mergeCell ref="Q61:U62"/>
    <mergeCell ref="V61:Z62"/>
    <mergeCell ref="AA61:AE62"/>
    <mergeCell ref="AF61:AJ62"/>
    <mergeCell ref="AK61:AO62"/>
    <mergeCell ref="AP61:AT62"/>
    <mergeCell ref="AU61:AY62"/>
    <mergeCell ref="AZ61:BD62"/>
    <mergeCell ref="BE61:BI62"/>
    <mergeCell ref="BO61:DI61"/>
    <mergeCell ref="DL61:EH61"/>
    <mergeCell ref="EI61:FA61"/>
    <mergeCell ref="FB61:GC61"/>
    <mergeCell ref="GD61:GZ61"/>
    <mergeCell ref="HA61:HS61"/>
    <mergeCell ref="HT61:IU61"/>
    <mergeCell ref="BM62:DK63"/>
    <mergeCell ref="DL62:EH62"/>
    <mergeCell ref="EI62:FA62"/>
    <mergeCell ref="FB62:GC62"/>
    <mergeCell ref="GD62:GZ62"/>
    <mergeCell ref="HA62:HS62"/>
    <mergeCell ref="HT62:IU62"/>
    <mergeCell ref="DL63:EH63"/>
    <mergeCell ref="EI63:FA63"/>
    <mergeCell ref="FB63:GC63"/>
    <mergeCell ref="GD63:GZ63"/>
    <mergeCell ref="HA63:HS63"/>
    <mergeCell ref="HT63:IU63"/>
    <mergeCell ref="BM65:DB65"/>
    <mergeCell ref="DE65:EA65"/>
    <mergeCell ref="EB65:EX65"/>
    <mergeCell ref="EY65:FU65"/>
    <mergeCell ref="BM66:DB66"/>
    <mergeCell ref="DE66:EA66"/>
    <mergeCell ref="EB66:EX66"/>
    <mergeCell ref="EY66:FU66"/>
    <mergeCell ref="B67:X68"/>
    <mergeCell ref="Z67:AZ67"/>
    <mergeCell ref="Z68:AZ68"/>
    <mergeCell ref="B69:X70"/>
    <mergeCell ref="Z69:AZ69"/>
    <mergeCell ref="Z70:AZ70"/>
    <mergeCell ref="B71:X72"/>
    <mergeCell ref="Z71:AZ71"/>
    <mergeCell ref="Z72:AZ72"/>
    <mergeCell ref="B73:X74"/>
    <mergeCell ref="Z73:BI73"/>
    <mergeCell ref="AD74:BE74"/>
    <mergeCell ref="B75:X76"/>
    <mergeCell ref="Z75:BI75"/>
    <mergeCell ref="AD76:BE76"/>
    <mergeCell ref="B77:Q77"/>
    <mergeCell ref="R77:BI77"/>
    <mergeCell ref="B78:Q78"/>
    <mergeCell ref="R78:BI78"/>
    <mergeCell ref="A79:J80"/>
    <mergeCell ref="L79:W79"/>
    <mergeCell ref="Z79:AK79"/>
    <mergeCell ref="AN79:AY79"/>
    <mergeCell ref="L80:W80"/>
    <mergeCell ref="Z80:AK80"/>
    <mergeCell ref="AN80:AY80"/>
    <mergeCell ref="A82:T82"/>
    <mergeCell ref="AT83:BE83"/>
    <mergeCell ref="A84:F84"/>
    <mergeCell ref="G84:Q84"/>
    <mergeCell ref="S84:AA84"/>
    <mergeCell ref="AD84:AL84"/>
    <mergeCell ref="AN84:AX84"/>
    <mergeCell ref="AY84:BE84"/>
    <mergeCell ref="A85:F85"/>
    <mergeCell ref="H85:P85"/>
    <mergeCell ref="S85:AA85"/>
    <mergeCell ref="AD85:AL85"/>
    <mergeCell ref="AO85:AW85"/>
    <mergeCell ref="AY85:BE85"/>
    <mergeCell ref="A87:AX87"/>
    <mergeCell ref="AR88:BC88"/>
    <mergeCell ref="A89:W89"/>
    <mergeCell ref="X89:AM89"/>
    <mergeCell ref="AN89:BC89"/>
    <mergeCell ref="A90:C92"/>
    <mergeCell ref="E90:V90"/>
    <mergeCell ref="X90:AL90"/>
    <mergeCell ref="AN90:BB90"/>
    <mergeCell ref="E91:V91"/>
    <mergeCell ref="X91:AL91"/>
    <mergeCell ref="AN91:BB91"/>
    <mergeCell ref="E92:T92"/>
    <mergeCell ref="U92:V92"/>
    <mergeCell ref="X92:AL92"/>
    <mergeCell ref="AN92:BB92"/>
    <mergeCell ref="A93:C97"/>
    <mergeCell ref="E93:V93"/>
    <mergeCell ref="X93:AL93"/>
    <mergeCell ref="AN93:BB93"/>
    <mergeCell ref="E94:V94"/>
    <mergeCell ref="X94:AL94"/>
    <mergeCell ref="AN94:BB94"/>
    <mergeCell ref="E95:V95"/>
    <mergeCell ref="X95:AL95"/>
    <mergeCell ref="AN95:BB95"/>
    <mergeCell ref="E96:T96"/>
    <mergeCell ref="U96:V96"/>
    <mergeCell ref="X96:AL96"/>
    <mergeCell ref="AN96:BB96"/>
    <mergeCell ref="E97:V97"/>
    <mergeCell ref="X97:AL97"/>
    <mergeCell ref="AN97:BB97"/>
    <mergeCell ref="Z120:AH120"/>
    <mergeCell ref="Z121:AH121"/>
    <mergeCell ref="Z122:AH122"/>
    <mergeCell ref="B98:N98"/>
    <mergeCell ref="P98:V98"/>
    <mergeCell ref="X98:AL98"/>
    <mergeCell ref="AN98:BB98"/>
    <mergeCell ref="B99:N99"/>
    <mergeCell ref="P99:V99"/>
    <mergeCell ref="X99:AL99"/>
    <mergeCell ref="AN99:BB99"/>
    <mergeCell ref="B100:N100"/>
    <mergeCell ref="P100:V100"/>
    <mergeCell ref="X100:AL100"/>
    <mergeCell ref="AN100:BB100"/>
  </mergeCells>
  <phoneticPr fontId="155"/>
  <conditionalFormatting sqref="H85 S85 AD85 DE28 DE66 EB28 EB66">
    <cfRule type="expression" dxfId="6" priority="1">
      <formula>AND(入力色表示=1,NOT(_xlfn.ISFORMULA(H85)))</formula>
    </cfRule>
  </conditionalFormatting>
  <dataValidations count="5">
    <dataValidation allowBlank="1" showInputMessage="1" promptTitle="手入力セル" prompt="反映先：報告_短期P11-13 AO85&#10;他の帳票：なし" sqref="H85 S85 AD85"/>
    <dataValidation allowBlank="1" showInputMessage="1" promptTitle="手入力セル" prompt="反映先：報告_短期P11-13 AX4,AX5,AX6…&#10;他の帳票：なし" sqref="DE28"/>
    <dataValidation allowBlank="1" showInputMessage="1" promptTitle="手入力セル" prompt="反映先：報告_短期P11-13 L80,Q61,V58…&#10;他の帳票：報告_P8グラフデータ" sqref="DE66"/>
    <dataValidation allowBlank="1" showInputMessage="1" promptTitle="手入力セル" prompt="反映先：報告_短期P11-13 AX12,AX13,AX14…&#10;他の帳票：なし" sqref="EB28"/>
    <dataValidation allowBlank="1" showInputMessage="1" promptTitle="手入力セル" prompt="反映先：報告_短期P11-13 Z80,EY66&#10;他の帳票：なし" sqref="EB66"/>
  </dataValidations>
  <printOptions horizontalCentered="1"/>
  <pageMargins left="0.43333333333333302" right="0.47222222222222199" top="0.78749999999999998" bottom="0.59027777777777801" header="0.511811023622047" footer="0.39374999999999999"/>
  <pageSetup paperSize="9" firstPageNumber="11" fitToHeight="0" orientation="portrait" useFirstPageNumber="1" horizontalDpi="300" verticalDpi="300"/>
  <headerFooter>
    <oddFooter>&amp;C&amp;"ＭＳ 明朝,Regular"－ &amp;P －</oddFooter>
  </headerFooter>
  <rowBreaks count="2" manualBreakCount="2">
    <brk id="39" max="16383" man="1"/>
    <brk id="81" max="16383" man="1"/>
  </rowBreaks>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6C49A-8A4C-487F-AFB8-138B5DD18011}">
  <sheetPr codeName="Sheet10">
    <tabColor rgb="FFA6A6A6"/>
    <pageSetUpPr fitToPage="1"/>
  </sheetPr>
  <dimension ref="A3:IW27"/>
  <sheetViews>
    <sheetView zoomScaleNormal="100" zoomScalePageLayoutView="60" workbookViewId="0">
      <selection activeCell="E7" sqref="E7"/>
    </sheetView>
  </sheetViews>
  <sheetFormatPr defaultColWidth="9" defaultRowHeight="13.2"/>
  <cols>
    <col min="1" max="1" width="33.6640625" style="104" customWidth="1"/>
    <col min="2" max="2" width="16" style="104" customWidth="1"/>
    <col min="3" max="3" width="9.88671875" style="104" customWidth="1"/>
    <col min="4" max="4" width="8.77734375" style="104" customWidth="1"/>
    <col min="5" max="5" width="32.109375" style="104" customWidth="1"/>
    <col min="6" max="6" width="12.88671875" style="104" customWidth="1"/>
    <col min="7" max="7" width="14.88671875" style="104" customWidth="1"/>
    <col min="8" max="8" width="8.44140625" style="104" customWidth="1"/>
    <col min="9" max="9" width="2.109375" style="104" customWidth="1"/>
    <col min="10" max="10" width="15.21875" style="104" customWidth="1"/>
    <col min="11" max="257" width="9" style="104"/>
  </cols>
  <sheetData>
    <row r="3" spans="1:8" ht="18" customHeight="1">
      <c r="A3" s="293" t="s">
        <v>554</v>
      </c>
      <c r="E3" s="294" t="s">
        <v>555</v>
      </c>
      <c r="F3" s="3060">
        <f>'報告_短期P11-13'!L80</f>
        <v>19060</v>
      </c>
      <c r="G3" s="296"/>
      <c r="H3" s="296"/>
    </row>
    <row r="4" spans="1:8" ht="18" customHeight="1">
      <c r="A4" s="297" t="s">
        <v>556</v>
      </c>
      <c r="B4" s="297" t="s">
        <v>557</v>
      </c>
      <c r="C4" s="298" t="s">
        <v>558</v>
      </c>
      <c r="E4" s="299" t="s">
        <v>556</v>
      </c>
      <c r="F4" s="300" t="s">
        <v>559</v>
      </c>
      <c r="G4" s="301" t="s">
        <v>560</v>
      </c>
      <c r="H4" s="302" t="s">
        <v>561</v>
      </c>
    </row>
    <row r="5" spans="1:8" ht="18" customHeight="1">
      <c r="A5" s="297" t="s">
        <v>105</v>
      </c>
      <c r="B5" s="1668">
        <f t="shared" ref="B5:B10" si="0">ROUND(G5,0)</f>
        <v>591821</v>
      </c>
      <c r="C5" s="303">
        <f t="shared" ref="C5:C10" si="1">(INT(ROUND(H5*100,6))+IF(SUMPRODUCT(--((H$5:H$10*100-INT(ROUND(H$5:H$10*100,6)))&gt;(H5*100-INT(ROUND(H5*100,6)))))+SUMPRODUCT(((H$5:H$10*100-INT(ROUND(H$5:H$10*100,6)))=(H5*100-INT(ROUND(H5*100,6))))*(ROW(H$5:H$10)&lt;ROW(H5)))+1&lt;=ROUND(10000-SUMPRODUCT(INT(ROUND(H$5:H$10*100,6))),0),1,0))/100</f>
        <v>87.69</v>
      </c>
      <c r="E5" s="304" t="s">
        <v>105</v>
      </c>
      <c r="F5" s="3061">
        <f>'報告_短期P7-10'!CB5+'報告_短期P7-10'!CB6+'報告_短期P7-10'!CB8+'報告_短期P7-10'!CB10+'報告_短期P7-10'!CB23</f>
        <v>11280110580</v>
      </c>
      <c r="G5" s="306">
        <f t="shared" ref="G5:G10" si="2">F5/$F$3</f>
        <v>591821.12172088143</v>
      </c>
      <c r="H5" s="307">
        <f t="shared" ref="H5:H10" si="3">ROUND(G5/$G$11*100,4)</f>
        <v>87.686800000000005</v>
      </c>
    </row>
    <row r="6" spans="1:8" ht="18" customHeight="1">
      <c r="A6" s="297" t="s">
        <v>50</v>
      </c>
      <c r="B6" s="1668">
        <f t="shared" si="0"/>
        <v>45972</v>
      </c>
      <c r="C6" s="303">
        <f t="shared" si="1"/>
        <v>6.81</v>
      </c>
      <c r="E6" s="304" t="s">
        <v>50</v>
      </c>
      <c r="F6" s="3061">
        <f>'報告_短期P7-10'!CB28</f>
        <v>876229790</v>
      </c>
      <c r="G6" s="306">
        <f t="shared" si="2"/>
        <v>45972.182056663172</v>
      </c>
      <c r="H6" s="307">
        <f t="shared" si="3"/>
        <v>6.8113999999999999</v>
      </c>
    </row>
    <row r="7" spans="1:8" ht="18" customHeight="1">
      <c r="A7" s="297" t="s">
        <v>106</v>
      </c>
      <c r="B7" s="1668">
        <f t="shared" si="0"/>
        <v>0</v>
      </c>
      <c r="C7" s="303">
        <f t="shared" si="1"/>
        <v>0</v>
      </c>
      <c r="E7" s="304" t="s">
        <v>106</v>
      </c>
      <c r="F7" s="3061">
        <f>'報告_短期P7-10'!CB25</f>
        <v>0</v>
      </c>
      <c r="G7" s="306">
        <f t="shared" si="2"/>
        <v>0</v>
      </c>
      <c r="H7" s="307">
        <f t="shared" si="3"/>
        <v>0</v>
      </c>
    </row>
    <row r="8" spans="1:8" ht="18" customHeight="1">
      <c r="A8" s="297" t="s">
        <v>107</v>
      </c>
      <c r="B8" s="1668">
        <f t="shared" si="0"/>
        <v>36503</v>
      </c>
      <c r="C8" s="303">
        <f t="shared" si="1"/>
        <v>5.41</v>
      </c>
      <c r="E8" s="304" t="s">
        <v>562</v>
      </c>
      <c r="F8" s="3061">
        <f>'報告_短期P7-10'!CB17+'報告_短期P7-10'!CB19+'報告_短期P7-10'!CB21+'報告_短期P7-10'!CB24+'報告_短期P7-10'!CB18</f>
        <v>695745584</v>
      </c>
      <c r="G8" s="306">
        <f t="shared" si="2"/>
        <v>36502.916264428124</v>
      </c>
      <c r="H8" s="307">
        <f t="shared" si="3"/>
        <v>5.4084000000000003</v>
      </c>
    </row>
    <row r="9" spans="1:8" ht="18" customHeight="1">
      <c r="A9" s="297" t="s">
        <v>49</v>
      </c>
      <c r="B9" s="1668">
        <f t="shared" si="0"/>
        <v>75</v>
      </c>
      <c r="C9" s="308">
        <f t="shared" si="1"/>
        <v>0.01</v>
      </c>
      <c r="E9" s="304" t="s">
        <v>49</v>
      </c>
      <c r="F9" s="3061">
        <f>'報告_短期P7-10'!CB27</f>
        <v>1422838</v>
      </c>
      <c r="G9" s="306">
        <f t="shared" si="2"/>
        <v>74.650472193074506</v>
      </c>
      <c r="H9" s="307">
        <f t="shared" si="3"/>
        <v>1.11E-2</v>
      </c>
    </row>
    <row r="10" spans="1:8" ht="18" customHeight="1">
      <c r="A10" s="297" t="s">
        <v>108</v>
      </c>
      <c r="B10" s="1668">
        <f t="shared" si="0"/>
        <v>555</v>
      </c>
      <c r="C10" s="303">
        <f t="shared" si="1"/>
        <v>0.08</v>
      </c>
      <c r="E10" s="304" t="s">
        <v>563</v>
      </c>
      <c r="F10" s="3061">
        <f>'報告_短期P7-10'!CB13+'報告_短期P7-10'!CB29</f>
        <v>10581467</v>
      </c>
      <c r="G10" s="306">
        <f t="shared" si="2"/>
        <v>555.1661594963274</v>
      </c>
      <c r="H10" s="307">
        <f t="shared" si="3"/>
        <v>8.2299999999999998E-2</v>
      </c>
    </row>
    <row r="11" spans="1:8" ht="18" customHeight="1">
      <c r="A11" s="309" t="s">
        <v>413</v>
      </c>
      <c r="B11" s="310">
        <f>SUM(B5:B10)</f>
        <v>674926</v>
      </c>
      <c r="C11" s="311">
        <f>SUM(C5:C10)</f>
        <v>100</v>
      </c>
      <c r="E11" s="312" t="s">
        <v>413</v>
      </c>
      <c r="F11" s="313">
        <f>SUM(F5:F10)</f>
        <v>12864090259</v>
      </c>
      <c r="G11" s="314">
        <f>SUM(G5:G10)</f>
        <v>674926.03667366214</v>
      </c>
      <c r="H11" s="315">
        <f>SUM(H5:H10)</f>
        <v>100.00000000000001</v>
      </c>
    </row>
    <row r="12" spans="1:8" ht="18" customHeight="1">
      <c r="G12" s="316"/>
    </row>
    <row r="13" spans="1:8" ht="18" customHeight="1">
      <c r="A13" s="297" t="s">
        <v>564</v>
      </c>
      <c r="B13" s="297" t="s">
        <v>557</v>
      </c>
      <c r="C13" s="298" t="s">
        <v>558</v>
      </c>
      <c r="D13" s="317"/>
      <c r="E13" s="302" t="s">
        <v>564</v>
      </c>
      <c r="F13" s="302" t="s">
        <v>559</v>
      </c>
      <c r="G13" s="301" t="s">
        <v>560</v>
      </c>
      <c r="H13" s="302" t="s">
        <v>561</v>
      </c>
    </row>
    <row r="14" spans="1:8" ht="18" customHeight="1">
      <c r="A14" s="297" t="s">
        <v>109</v>
      </c>
      <c r="B14" s="1668">
        <f t="shared" ref="B14:B21" si="4">ROUND(G14,0)</f>
        <v>310301</v>
      </c>
      <c r="C14" s="303">
        <f t="shared" ref="C14:C21" si="5">(INT(ROUND(H14*100,6))+IF(SUMPRODUCT(--((H$14:H$21*100-INT(ROUND(H$14:H$21*100,6)))&gt;(H14*100-INT(ROUND(H14*100,6)))))+SUMPRODUCT(((H$14:H$21*100-INT(ROUND(H$14:H$21*100,6)))=(H14*100-INT(ROUND(H14*100,6))))*(ROW(H$14:H$21)&lt;ROW(H14)))+1&lt;=ROUND(10000-SUMPRODUCT(INT(ROUND(H$14:H$21*100,6))),0),1,0))/100</f>
        <v>48.85</v>
      </c>
      <c r="E14" s="304" t="s">
        <v>109</v>
      </c>
      <c r="F14" s="3061">
        <f>'報告_短期P7-10'!CB79</f>
        <v>5914336732</v>
      </c>
      <c r="G14" s="306">
        <f t="shared" ref="G14:G22" si="6">ROUND(F14/$F$3,1)</f>
        <v>310301</v>
      </c>
      <c r="H14" s="307">
        <f t="shared" ref="H14:H21" si="7">ROUND(G14/$G$22*100,4)</f>
        <v>48.853900000000003</v>
      </c>
    </row>
    <row r="15" spans="1:8" ht="18" customHeight="1">
      <c r="A15" s="297" t="s">
        <v>110</v>
      </c>
      <c r="B15" s="1669">
        <f t="shared" si="4"/>
        <v>0</v>
      </c>
      <c r="C15" s="303">
        <f t="shared" si="5"/>
        <v>0</v>
      </c>
      <c r="E15" s="304" t="s">
        <v>110</v>
      </c>
      <c r="F15" s="3061">
        <f>'報告_短期P7-10'!CB92+'報告_短期P7-10'!CB94</f>
        <v>871</v>
      </c>
      <c r="G15" s="306">
        <f t="shared" si="6"/>
        <v>0</v>
      </c>
      <c r="H15" s="307">
        <f t="shared" si="7"/>
        <v>0</v>
      </c>
    </row>
    <row r="16" spans="1:8" ht="18" customHeight="1">
      <c r="A16" s="297" t="s">
        <v>111</v>
      </c>
      <c r="B16" s="1668">
        <f t="shared" si="4"/>
        <v>230992</v>
      </c>
      <c r="C16" s="303">
        <f t="shared" si="5"/>
        <v>36.369999999999997</v>
      </c>
      <c r="E16" s="301" t="s">
        <v>565</v>
      </c>
      <c r="F16" s="3061">
        <f>'報告_短期P7-10'!CB90+'報告_短期P7-10'!CB91</f>
        <v>4402699996</v>
      </c>
      <c r="G16" s="306">
        <f t="shared" si="6"/>
        <v>230991.6</v>
      </c>
      <c r="H16" s="307">
        <f t="shared" si="7"/>
        <v>36.367400000000004</v>
      </c>
    </row>
    <row r="17" spans="1:8" ht="18" customHeight="1">
      <c r="A17" s="297" t="s">
        <v>112</v>
      </c>
      <c r="B17" s="1668">
        <f t="shared" si="4"/>
        <v>47625</v>
      </c>
      <c r="C17" s="303">
        <f t="shared" si="5"/>
        <v>7.5</v>
      </c>
      <c r="E17" s="304" t="s">
        <v>112</v>
      </c>
      <c r="F17" s="3061">
        <f>'報告_短期P7-10'!CB108</f>
        <v>907739421</v>
      </c>
      <c r="G17" s="306">
        <f t="shared" si="6"/>
        <v>47625.4</v>
      </c>
      <c r="H17" s="307">
        <f t="shared" si="7"/>
        <v>7.4981999999999998</v>
      </c>
    </row>
    <row r="18" spans="1:8" ht="18" customHeight="1">
      <c r="A18" s="297" t="s">
        <v>113</v>
      </c>
      <c r="B18" s="1668">
        <f t="shared" si="4"/>
        <v>1907</v>
      </c>
      <c r="C18" s="303">
        <f t="shared" si="5"/>
        <v>0.3</v>
      </c>
      <c r="E18" s="304" t="s">
        <v>113</v>
      </c>
      <c r="F18" s="3061">
        <f>'報告_短期P7-10'!CB89</f>
        <v>36346677</v>
      </c>
      <c r="G18" s="306">
        <f t="shared" si="6"/>
        <v>1907</v>
      </c>
      <c r="H18" s="307">
        <f t="shared" si="7"/>
        <v>0.30020000000000002</v>
      </c>
    </row>
    <row r="19" spans="1:8" ht="18" customHeight="1">
      <c r="A19" s="297" t="s">
        <v>108</v>
      </c>
      <c r="B19" s="1668">
        <f t="shared" si="4"/>
        <v>39357</v>
      </c>
      <c r="C19" s="303">
        <f t="shared" si="5"/>
        <v>6.2</v>
      </c>
      <c r="E19" s="304" t="s">
        <v>566</v>
      </c>
      <c r="F19" s="3061">
        <f>'報告_短期P7-10'!CB102+'報告_短期P7-10'!CB105+'報告_短期P7-10'!CB109</f>
        <v>750146048</v>
      </c>
      <c r="G19" s="306">
        <f t="shared" si="6"/>
        <v>39357.1</v>
      </c>
      <c r="H19" s="307">
        <f t="shared" si="7"/>
        <v>6.1963999999999997</v>
      </c>
    </row>
    <row r="20" spans="1:8" ht="18" customHeight="1">
      <c r="A20" s="297" t="s">
        <v>92</v>
      </c>
      <c r="B20" s="1668">
        <f t="shared" si="4"/>
        <v>4359</v>
      </c>
      <c r="C20" s="311">
        <f t="shared" si="5"/>
        <v>0.68</v>
      </c>
      <c r="E20" s="304" t="s">
        <v>92</v>
      </c>
      <c r="F20" s="3061">
        <f>'報告_短期P7-10'!CB97</f>
        <v>83079703</v>
      </c>
      <c r="G20" s="306">
        <f t="shared" si="6"/>
        <v>4358.8999999999996</v>
      </c>
      <c r="H20" s="307">
        <f t="shared" si="7"/>
        <v>0.68630000000000002</v>
      </c>
    </row>
    <row r="21" spans="1:8" ht="18" customHeight="1">
      <c r="A21" s="297" t="s">
        <v>98</v>
      </c>
      <c r="B21" s="1668">
        <f t="shared" si="4"/>
        <v>621</v>
      </c>
      <c r="C21" s="311">
        <f t="shared" si="5"/>
        <v>0.1</v>
      </c>
      <c r="E21" s="304" t="s">
        <v>98</v>
      </c>
      <c r="F21" s="3061">
        <f>'報告_短期P7-10'!CB106</f>
        <v>11834281</v>
      </c>
      <c r="G21" s="306">
        <f t="shared" si="6"/>
        <v>620.9</v>
      </c>
      <c r="H21" s="307">
        <f t="shared" si="7"/>
        <v>9.7799999999999998E-2</v>
      </c>
    </row>
    <row r="22" spans="1:8" ht="18" customHeight="1">
      <c r="A22" s="309" t="s">
        <v>413</v>
      </c>
      <c r="B22" s="310">
        <f>SUM(B14:B21)</f>
        <v>635162</v>
      </c>
      <c r="C22" s="311">
        <f>SUM(C14:C21)</f>
        <v>100</v>
      </c>
      <c r="E22" s="312" t="s">
        <v>413</v>
      </c>
      <c r="F22" s="318">
        <f>SUM(F14:F21)</f>
        <v>12106183729</v>
      </c>
      <c r="G22" s="314">
        <f t="shared" si="6"/>
        <v>635161.80000000005</v>
      </c>
      <c r="H22" s="315">
        <f>SUM(H14:H21)</f>
        <v>100.00020000000002</v>
      </c>
    </row>
    <row r="24" spans="1:8" ht="18" customHeight="1">
      <c r="A24" s="293" t="s">
        <v>567</v>
      </c>
    </row>
    <row r="25" spans="1:8" ht="18" customHeight="1">
      <c r="A25" s="293" t="s">
        <v>568</v>
      </c>
    </row>
    <row r="26" spans="1:8" ht="18" customHeight="1">
      <c r="A26" s="293" t="s">
        <v>569</v>
      </c>
    </row>
    <row r="27" spans="1:8" ht="18" customHeight="1">
      <c r="A27" s="104" t="s">
        <v>570</v>
      </c>
    </row>
  </sheetData>
  <sheetProtection formatCells="0" formatColumns="0" formatRows="0" insertColumns="0" insertRows="0" insertHyperlinks="0" deleteColumns="0" deleteRows="0" selectLockedCells="1"/>
  <phoneticPr fontId="155"/>
  <pageMargins left="0.74791666666666701" right="0.74791666666666701" top="0.98402777777777795" bottom="0.98402777777777795" header="0.511811023622047" footer="0.511811023622047"/>
  <pageSetup paperSize="9" orientation="landscape" cellComments="atEnd" horizontalDpi="300" verticalDpi="300"/>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B8588-3E05-4A4E-B838-4B581DE0BDFD}">
  <sheetPr codeName="Sheet11"/>
  <dimension ref="A1:IW127"/>
  <sheetViews>
    <sheetView topLeftCell="A4" zoomScaleNormal="100" zoomScalePageLayoutView="60" workbookViewId="0">
      <selection activeCell="M37" sqref="M36:V37"/>
    </sheetView>
  </sheetViews>
  <sheetFormatPr defaultColWidth="1.6640625" defaultRowHeight="13.2"/>
  <cols>
    <col min="1"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571</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321" t="s">
        <v>572</v>
      </c>
      <c r="B5" s="321"/>
      <c r="C5" s="321"/>
      <c r="D5" s="321"/>
      <c r="E5" s="321"/>
      <c r="F5" s="321"/>
      <c r="G5" s="321"/>
      <c r="H5" s="321"/>
      <c r="I5" s="321"/>
      <c r="J5" s="321"/>
      <c r="K5" s="321"/>
      <c r="L5" s="321"/>
      <c r="M5" s="321"/>
      <c r="N5" s="321"/>
      <c r="O5" s="321"/>
      <c r="P5" s="321"/>
      <c r="Q5" s="321"/>
      <c r="R5" s="321"/>
      <c r="S5" s="321"/>
      <c r="T5" s="321"/>
      <c r="U5" s="321"/>
      <c r="V5" s="321"/>
      <c r="W5" s="321"/>
      <c r="X5" s="321"/>
      <c r="Y5" s="321"/>
      <c r="Z5" s="321"/>
      <c r="AA5" s="321"/>
      <c r="AB5" s="321"/>
      <c r="AC5" s="321"/>
      <c r="AD5" s="321"/>
      <c r="AE5" s="321"/>
      <c r="AF5" s="321"/>
      <c r="AG5" s="321"/>
      <c r="AH5" s="321"/>
      <c r="AI5" s="321"/>
      <c r="AJ5" s="321"/>
      <c r="AK5" s="321"/>
      <c r="AL5" s="321"/>
      <c r="AM5" s="321"/>
      <c r="AN5" s="321"/>
      <c r="AO5" s="321"/>
      <c r="AP5" s="321"/>
      <c r="AQ5" s="321"/>
      <c r="AR5" s="321"/>
    </row>
    <row r="6" spans="1:64" ht="17.100000000000001" customHeight="1">
      <c r="A6" s="49"/>
      <c r="B6" s="49"/>
      <c r="C6" s="49"/>
      <c r="D6" s="49"/>
      <c r="E6" s="49"/>
      <c r="F6" s="49"/>
      <c r="G6" s="49"/>
      <c r="H6" s="49"/>
      <c r="I6" s="49"/>
      <c r="J6" s="49"/>
      <c r="K6" s="322"/>
      <c r="L6" s="322"/>
      <c r="M6" s="323"/>
      <c r="N6" s="323"/>
      <c r="O6" s="323"/>
      <c r="P6" s="323"/>
      <c r="Q6" s="323"/>
      <c r="R6" s="323"/>
      <c r="S6" s="323"/>
      <c r="T6" s="324" t="s">
        <v>398</v>
      </c>
      <c r="U6" s="323"/>
      <c r="V6" s="323"/>
      <c r="W6" s="323"/>
      <c r="X6" s="325"/>
      <c r="AR6" s="323"/>
      <c r="AW6" s="326"/>
      <c r="AX6" s="326"/>
      <c r="AY6" s="326"/>
      <c r="AZ6" s="326"/>
      <c r="BA6" s="326"/>
      <c r="BB6" s="326"/>
      <c r="BC6" s="326"/>
      <c r="BD6" s="326"/>
      <c r="BE6" s="326"/>
      <c r="BF6" s="326"/>
    </row>
    <row r="7" spans="1:64" ht="17.100000000000001" customHeight="1">
      <c r="A7" s="327"/>
      <c r="B7" s="328"/>
      <c r="C7" s="328"/>
      <c r="D7" s="328"/>
      <c r="E7" s="1871" t="str">
        <f>"令和"&amp;IF((入力ガイド!$C$6)&gt;=10,MID("０１２３４５６７８９",INT((入力ガイド!$C$6)/10)+1,1),"")&amp;MID("０１２３４５６７８９",MOD((入力ガイド!$C$6),10)+1,1)&amp;"年度"</f>
        <v>令和７年度</v>
      </c>
      <c r="F7" s="1871"/>
      <c r="G7" s="1871"/>
      <c r="H7" s="1871"/>
      <c r="I7" s="1871"/>
      <c r="J7" s="1871"/>
      <c r="K7" s="1871"/>
      <c r="L7" s="1871"/>
      <c r="M7" s="1871"/>
      <c r="N7" s="1871"/>
      <c r="O7" s="1871"/>
      <c r="P7" s="1871"/>
      <c r="Q7" s="1871"/>
      <c r="R7" s="1871"/>
      <c r="S7" s="1871"/>
      <c r="T7" s="1871"/>
      <c r="U7" s="329"/>
      <c r="V7" s="329"/>
      <c r="W7" s="329"/>
      <c r="X7" s="330"/>
      <c r="Y7" s="49"/>
      <c r="Z7" s="49"/>
      <c r="AA7" s="49"/>
      <c r="AB7" s="49"/>
      <c r="AC7" s="2130"/>
      <c r="AD7" s="2130"/>
      <c r="AE7" s="2130"/>
      <c r="AF7" s="2130"/>
      <c r="AG7" s="2130"/>
      <c r="AH7" s="2130"/>
      <c r="AI7" s="2130"/>
      <c r="AJ7" s="2130"/>
      <c r="AK7" s="2130"/>
      <c r="AL7" s="2130"/>
      <c r="AM7" s="2130"/>
      <c r="AN7" s="2130"/>
      <c r="AO7" s="2130"/>
      <c r="AP7" s="2130"/>
      <c r="AQ7" s="2130"/>
      <c r="AR7" s="2130"/>
      <c r="AS7" s="322"/>
      <c r="AT7" s="322"/>
      <c r="AU7" s="322"/>
      <c r="AV7" s="322"/>
      <c r="AY7" s="326"/>
      <c r="AZ7" s="326"/>
      <c r="BA7" s="326"/>
      <c r="BB7" s="326"/>
      <c r="BC7" s="326"/>
      <c r="BD7" s="326"/>
      <c r="BE7" s="326"/>
      <c r="BF7" s="326"/>
      <c r="BG7" s="326"/>
      <c r="BH7" s="326"/>
    </row>
    <row r="8" spans="1:64" ht="17.100000000000001" customHeight="1">
      <c r="A8" s="331"/>
      <c r="B8" s="1871" t="s">
        <v>573</v>
      </c>
      <c r="C8" s="1871"/>
      <c r="D8" s="1871"/>
      <c r="E8" s="1871"/>
      <c r="F8" s="1871"/>
      <c r="G8" s="1871"/>
      <c r="H8" s="1871"/>
      <c r="I8" s="1871"/>
      <c r="J8" s="1871"/>
      <c r="K8" s="1871"/>
      <c r="L8" s="332"/>
      <c r="M8" s="333"/>
      <c r="N8" s="1871" t="s">
        <v>401</v>
      </c>
      <c r="O8" s="1871"/>
      <c r="P8" s="1871"/>
      <c r="Q8" s="1871"/>
      <c r="R8" s="1871"/>
      <c r="S8" s="1871"/>
      <c r="T8" s="1871"/>
      <c r="U8" s="1871"/>
      <c r="V8" s="1871"/>
      <c r="W8" s="1871"/>
      <c r="X8" s="334"/>
      <c r="Y8" s="322"/>
      <c r="Z8" s="2130"/>
      <c r="AA8" s="2130"/>
      <c r="AB8" s="2130"/>
      <c r="AC8" s="2130"/>
      <c r="AD8" s="2130"/>
      <c r="AE8" s="2130"/>
      <c r="AF8" s="2130"/>
      <c r="AG8" s="2130"/>
      <c r="AH8" s="2130"/>
      <c r="AI8" s="2130"/>
      <c r="AJ8" s="336"/>
      <c r="AK8" s="336"/>
      <c r="AL8" s="2130"/>
      <c r="AM8" s="2130"/>
      <c r="AN8" s="2130"/>
      <c r="AO8" s="2130"/>
      <c r="AP8" s="2130"/>
      <c r="AQ8" s="2130"/>
      <c r="AR8" s="2130"/>
      <c r="AS8" s="2130"/>
      <c r="AT8" s="2130"/>
      <c r="AU8" s="2130"/>
      <c r="AV8" s="337"/>
    </row>
    <row r="9" spans="1:64" ht="17.100000000000001" customHeight="1">
      <c r="A9" s="338"/>
      <c r="B9" s="2131">
        <v>91.5</v>
      </c>
      <c r="C9" s="2132"/>
      <c r="D9" s="2132"/>
      <c r="E9" s="2132"/>
      <c r="F9" s="2132"/>
      <c r="G9" s="2132"/>
      <c r="H9" s="2132"/>
      <c r="I9" s="2132"/>
      <c r="J9" s="2132"/>
      <c r="K9" s="2132"/>
      <c r="L9" s="339"/>
      <c r="M9" s="336"/>
      <c r="N9" s="2131">
        <v>91.5</v>
      </c>
      <c r="O9" s="2132"/>
      <c r="P9" s="2132"/>
      <c r="Q9" s="2132"/>
      <c r="R9" s="2132"/>
      <c r="S9" s="2132"/>
      <c r="T9" s="2132"/>
      <c r="U9" s="2132"/>
      <c r="V9" s="2132"/>
      <c r="W9" s="2132"/>
      <c r="X9" s="340"/>
      <c r="Y9" s="322"/>
      <c r="Z9" s="2133"/>
      <c r="AA9" s="2133"/>
      <c r="AB9" s="2133"/>
      <c r="AC9" s="2133"/>
      <c r="AD9" s="2133"/>
      <c r="AE9" s="2133"/>
      <c r="AF9" s="2133"/>
      <c r="AG9" s="2133"/>
      <c r="AH9" s="2133"/>
      <c r="AI9" s="2133"/>
      <c r="AJ9" s="336"/>
      <c r="AK9" s="336"/>
      <c r="AL9" s="2133"/>
      <c r="AM9" s="2133"/>
      <c r="AN9" s="2133"/>
      <c r="AO9" s="2133"/>
      <c r="AP9" s="2133"/>
      <c r="AQ9" s="2133"/>
      <c r="AR9" s="2133"/>
      <c r="AS9" s="2133"/>
      <c r="AT9" s="2133"/>
      <c r="AU9" s="2133"/>
      <c r="AV9" s="337"/>
    </row>
    <row r="10" spans="1:64" ht="17.100000000000001" customHeight="1">
      <c r="A10" s="341"/>
      <c r="B10" s="2132"/>
      <c r="C10" s="2132"/>
      <c r="D10" s="2132"/>
      <c r="E10" s="2132"/>
      <c r="F10" s="2132"/>
      <c r="G10" s="2132"/>
      <c r="H10" s="2132"/>
      <c r="I10" s="2132"/>
      <c r="J10" s="2132"/>
      <c r="K10" s="2132"/>
      <c r="L10" s="342"/>
      <c r="M10" s="343"/>
      <c r="N10" s="2132"/>
      <c r="O10" s="2132"/>
      <c r="P10" s="2132"/>
      <c r="Q10" s="2132"/>
      <c r="R10" s="2132"/>
      <c r="S10" s="2132"/>
      <c r="T10" s="2132"/>
      <c r="U10" s="2132"/>
      <c r="V10" s="2132"/>
      <c r="W10" s="2132"/>
      <c r="X10" s="342"/>
      <c r="Y10" s="322"/>
      <c r="Z10" s="2133"/>
      <c r="AA10" s="2133"/>
      <c r="AB10" s="2133"/>
      <c r="AC10" s="2133"/>
      <c r="AD10" s="2133"/>
      <c r="AE10" s="2133"/>
      <c r="AF10" s="2133"/>
      <c r="AG10" s="2133"/>
      <c r="AH10" s="2133"/>
      <c r="AI10" s="2133"/>
      <c r="AJ10" s="322"/>
      <c r="AK10" s="322"/>
      <c r="AL10" s="2133"/>
      <c r="AM10" s="2133"/>
      <c r="AN10" s="2133"/>
      <c r="AO10" s="2133"/>
      <c r="AP10" s="2133"/>
      <c r="AQ10" s="2133"/>
      <c r="AR10" s="2133"/>
      <c r="AS10" s="2133"/>
      <c r="AT10" s="2133"/>
      <c r="AU10" s="2133"/>
      <c r="AV10" s="322"/>
    </row>
    <row r="11" spans="1:64" ht="17.100000000000001" customHeight="1">
      <c r="A11" s="322"/>
      <c r="B11" s="326"/>
      <c r="C11" s="326"/>
      <c r="D11" s="326"/>
      <c r="E11" s="326"/>
      <c r="F11" s="326"/>
      <c r="G11" s="326"/>
      <c r="H11" s="326"/>
      <c r="I11" s="326"/>
      <c r="J11" s="326"/>
      <c r="K11" s="326"/>
      <c r="L11" s="322"/>
      <c r="M11" s="322"/>
      <c r="N11" s="344"/>
      <c r="O11" s="344"/>
      <c r="P11" s="344"/>
      <c r="Q11" s="344"/>
      <c r="R11" s="344"/>
      <c r="S11" s="344"/>
      <c r="T11" s="344"/>
      <c r="U11" s="344"/>
      <c r="V11" s="344"/>
      <c r="W11" s="344"/>
      <c r="X11" s="322"/>
    </row>
    <row r="12" spans="1:64" s="345" customFormat="1" ht="18" customHeight="1">
      <c r="A12" s="321" t="s">
        <v>574</v>
      </c>
      <c r="B12" s="321"/>
      <c r="C12" s="321"/>
      <c r="D12" s="321"/>
      <c r="E12" s="321"/>
      <c r="F12" s="321"/>
      <c r="G12" s="321"/>
      <c r="H12" s="321"/>
      <c r="I12" s="321"/>
      <c r="J12" s="321"/>
      <c r="K12" s="321"/>
      <c r="L12" s="321"/>
      <c r="M12" s="321"/>
      <c r="N12" s="321"/>
      <c r="O12" s="321"/>
      <c r="P12" s="321"/>
      <c r="Q12" s="321"/>
      <c r="R12" s="321"/>
      <c r="S12" s="321"/>
      <c r="T12" s="321"/>
      <c r="U12" s="321"/>
      <c r="V12" s="321"/>
      <c r="W12" s="321"/>
      <c r="X12" s="321"/>
      <c r="Y12" s="321"/>
      <c r="Z12" s="321"/>
      <c r="AA12" s="321"/>
      <c r="AB12" s="321"/>
      <c r="AC12" s="321"/>
      <c r="AD12" s="321"/>
      <c r="AE12" s="321"/>
      <c r="AF12" s="321"/>
      <c r="AG12" s="321"/>
      <c r="AH12" s="321"/>
      <c r="AI12" s="321"/>
      <c r="AJ12" s="321"/>
      <c r="AK12" s="321"/>
      <c r="AL12" s="321"/>
      <c r="AM12" s="321"/>
      <c r="AN12" s="321"/>
      <c r="AO12" s="321"/>
      <c r="AP12" s="321"/>
      <c r="AQ12" s="321"/>
      <c r="AR12" s="321"/>
    </row>
    <row r="13" spans="1:64" ht="17.25" customHeight="1">
      <c r="A13" s="49"/>
      <c r="B13" s="49"/>
      <c r="C13" s="49"/>
      <c r="D13" s="49"/>
      <c r="E13" s="49"/>
      <c r="F13" s="49"/>
      <c r="G13" s="49"/>
      <c r="H13" s="49"/>
      <c r="I13" s="49"/>
      <c r="J13" s="49"/>
      <c r="K13" s="49"/>
      <c r="L13" s="2127"/>
      <c r="M13" s="2127"/>
      <c r="N13" s="2127"/>
      <c r="O13" s="2127"/>
      <c r="P13" s="2127"/>
      <c r="Q13" s="2127"/>
      <c r="R13" s="2127"/>
      <c r="S13" s="2127"/>
      <c r="T13" s="2127"/>
      <c r="U13" s="2127"/>
      <c r="V13" s="2127"/>
      <c r="W13" s="2127"/>
      <c r="X13" s="2127"/>
      <c r="Y13" s="1923" t="s">
        <v>398</v>
      </c>
      <c r="Z13" s="1923"/>
      <c r="AA13" s="1923"/>
      <c r="AB13" s="1923"/>
      <c r="AC13" s="1923"/>
      <c r="AD13" s="1923"/>
      <c r="AE13" s="1923"/>
      <c r="AF13" s="1923"/>
      <c r="AG13" s="1923"/>
      <c r="AH13" s="1923"/>
      <c r="AI13" s="1923"/>
      <c r="AJ13" s="1923"/>
      <c r="AX13" s="326"/>
      <c r="AY13" s="326"/>
      <c r="AZ13" s="326"/>
      <c r="BA13" s="326"/>
      <c r="BB13" s="326"/>
      <c r="BC13" s="326"/>
      <c r="BD13" s="326"/>
      <c r="BE13" s="326"/>
      <c r="BF13" s="326"/>
      <c r="BG13" s="326"/>
    </row>
    <row r="14" spans="1:64" ht="12.9" customHeight="1">
      <c r="A14" s="1845" t="str">
        <f>"令和"&amp;IF((入力ガイド!$C$6)&gt;=10,MID("０１２３４５６７８９",INT((入力ガイド!$C$6)/10)+1,1),"")&amp;MID("０１２３４５６７８９",MOD((入力ガイド!$C$6),10)+1,1)&amp;"年度"</f>
        <v>令和７年度</v>
      </c>
      <c r="B14" s="1845"/>
      <c r="C14" s="1845"/>
      <c r="D14" s="1845"/>
      <c r="E14" s="1845"/>
      <c r="F14" s="1845"/>
      <c r="G14" s="1845"/>
      <c r="H14" s="1845"/>
      <c r="I14" s="1845"/>
      <c r="J14" s="1845"/>
      <c r="K14" s="1845"/>
      <c r="L14" s="1845"/>
      <c r="M14" s="1845"/>
      <c r="N14" s="1845"/>
      <c r="O14" s="1845"/>
      <c r="P14" s="1845"/>
      <c r="Q14" s="1845"/>
      <c r="R14" s="1845"/>
      <c r="S14" s="1845"/>
      <c r="T14" s="1845"/>
      <c r="U14" s="1845"/>
      <c r="V14" s="1845"/>
      <c r="W14" s="1845"/>
      <c r="X14" s="1845"/>
      <c r="Y14" s="1845"/>
      <c r="Z14" s="1845"/>
      <c r="AA14" s="1845"/>
      <c r="AB14" s="1845"/>
      <c r="AC14" s="1845"/>
      <c r="AD14" s="1845"/>
      <c r="AE14" s="1845"/>
      <c r="AF14" s="1845"/>
      <c r="AG14" s="1845"/>
      <c r="AH14" s="1845"/>
      <c r="AI14" s="1845"/>
      <c r="AJ14" s="1845"/>
      <c r="AK14" s="326"/>
      <c r="AL14" s="326"/>
      <c r="AM14" s="326"/>
      <c r="AN14" s="326"/>
      <c r="AO14" s="326"/>
      <c r="AP14" s="326"/>
      <c r="AQ14" s="326"/>
      <c r="AR14" s="325"/>
      <c r="AY14" s="326"/>
      <c r="AZ14" s="326"/>
      <c r="BA14" s="326"/>
      <c r="BB14" s="326"/>
      <c r="BC14" s="326"/>
      <c r="BD14" s="326"/>
      <c r="BE14" s="326"/>
      <c r="BF14" s="326"/>
      <c r="BG14" s="326"/>
      <c r="BH14" s="326"/>
    </row>
    <row r="15" spans="1:64" ht="12.9" customHeight="1">
      <c r="A15" s="1845"/>
      <c r="B15" s="1845"/>
      <c r="C15" s="1845"/>
      <c r="D15" s="1845"/>
      <c r="E15" s="1845"/>
      <c r="F15" s="1845"/>
      <c r="G15" s="1845"/>
      <c r="H15" s="1845"/>
      <c r="I15" s="1845"/>
      <c r="J15" s="1845"/>
      <c r="K15" s="1845"/>
      <c r="L15" s="1845"/>
      <c r="M15" s="1845"/>
      <c r="N15" s="1845"/>
      <c r="O15" s="1845"/>
      <c r="P15" s="1845"/>
      <c r="Q15" s="1845"/>
      <c r="R15" s="1845"/>
      <c r="S15" s="1845"/>
      <c r="T15" s="1845"/>
      <c r="U15" s="1845"/>
      <c r="V15" s="1845"/>
      <c r="W15" s="1845"/>
      <c r="X15" s="1845"/>
      <c r="Y15" s="1845"/>
      <c r="Z15" s="1845"/>
      <c r="AA15" s="1845"/>
      <c r="AB15" s="1845"/>
      <c r="AC15" s="1845"/>
      <c r="AD15" s="1845"/>
      <c r="AE15" s="1845"/>
      <c r="AF15" s="1845"/>
      <c r="AG15" s="1845"/>
      <c r="AH15" s="1845"/>
      <c r="AI15" s="1845"/>
      <c r="AJ15" s="1845"/>
      <c r="AK15" s="346"/>
      <c r="AL15" s="346"/>
      <c r="AM15" s="346"/>
      <c r="AN15" s="346"/>
      <c r="AO15" s="346"/>
      <c r="AP15" s="346"/>
      <c r="AQ15" s="346"/>
      <c r="AR15" s="322"/>
    </row>
    <row r="16" spans="1:64" ht="12.9" customHeight="1">
      <c r="A16" s="1845" t="s">
        <v>575</v>
      </c>
      <c r="B16" s="1845"/>
      <c r="C16" s="1845"/>
      <c r="D16" s="1845"/>
      <c r="E16" s="1845"/>
      <c r="F16" s="1845"/>
      <c r="G16" s="1845"/>
      <c r="H16" s="1845"/>
      <c r="I16" s="1845"/>
      <c r="J16" s="1845"/>
      <c r="K16" s="1845"/>
      <c r="L16" s="1845"/>
      <c r="M16" s="1845"/>
      <c r="N16" s="1845"/>
      <c r="O16" s="1845"/>
      <c r="P16" s="1845"/>
      <c r="Q16" s="1845"/>
      <c r="R16" s="1845"/>
      <c r="S16" s="1845"/>
      <c r="T16" s="1845"/>
      <c r="U16" s="1845"/>
      <c r="V16" s="1845"/>
      <c r="W16" s="1845"/>
      <c r="X16" s="1845"/>
      <c r="Y16" s="1845"/>
      <c r="Z16" s="1845"/>
      <c r="AA16" s="1845"/>
      <c r="AB16" s="1845"/>
      <c r="AC16" s="1845"/>
      <c r="AD16" s="1845"/>
      <c r="AE16" s="1845"/>
      <c r="AF16" s="1845"/>
      <c r="AG16" s="1845"/>
      <c r="AH16" s="1845"/>
      <c r="AI16" s="1845"/>
      <c r="AJ16" s="1845"/>
      <c r="AK16" s="346"/>
      <c r="AL16" s="346"/>
      <c r="AM16" s="346"/>
      <c r="AN16" s="346"/>
      <c r="AO16" s="346"/>
      <c r="AP16" s="346"/>
      <c r="AQ16" s="346"/>
      <c r="AR16" s="322"/>
    </row>
    <row r="17" spans="1:62" ht="12.9" customHeight="1">
      <c r="A17" s="1845"/>
      <c r="B17" s="1845"/>
      <c r="C17" s="1845"/>
      <c r="D17" s="1845"/>
      <c r="E17" s="1845"/>
      <c r="F17" s="1845"/>
      <c r="G17" s="1845"/>
      <c r="H17" s="1845"/>
      <c r="I17" s="1845"/>
      <c r="J17" s="1845"/>
      <c r="K17" s="1845"/>
      <c r="L17" s="1845"/>
      <c r="M17" s="1845"/>
      <c r="N17" s="1845"/>
      <c r="O17" s="1845"/>
      <c r="P17" s="1845"/>
      <c r="Q17" s="1845"/>
      <c r="R17" s="1845"/>
      <c r="S17" s="1845"/>
      <c r="T17" s="1845"/>
      <c r="U17" s="1845"/>
      <c r="V17" s="1845"/>
      <c r="W17" s="1845"/>
      <c r="X17" s="1845"/>
      <c r="Y17" s="1845"/>
      <c r="Z17" s="1845"/>
      <c r="AA17" s="1845"/>
      <c r="AB17" s="1845"/>
      <c r="AC17" s="1845"/>
      <c r="AD17" s="1845"/>
      <c r="AE17" s="1845"/>
      <c r="AF17" s="1845"/>
      <c r="AG17" s="1845"/>
      <c r="AH17" s="1845"/>
      <c r="AI17" s="1845"/>
      <c r="AJ17" s="1845"/>
    </row>
    <row r="18" spans="1:62" ht="17.25" customHeight="1">
      <c r="A18" s="335"/>
      <c r="B18" s="335"/>
      <c r="C18" s="335"/>
      <c r="D18" s="335"/>
      <c r="E18" s="335"/>
      <c r="F18" s="335"/>
      <c r="G18" s="335"/>
      <c r="H18" s="335"/>
      <c r="I18" s="335"/>
      <c r="J18" s="335"/>
      <c r="K18" s="335"/>
      <c r="L18" s="335"/>
      <c r="M18" s="335"/>
      <c r="N18" s="335"/>
      <c r="O18" s="335"/>
      <c r="P18" s="335"/>
      <c r="Q18" s="335"/>
      <c r="R18" s="335"/>
      <c r="S18" s="335"/>
      <c r="T18" s="335"/>
      <c r="U18" s="335"/>
      <c r="V18" s="335"/>
      <c r="W18" s="335"/>
      <c r="X18" s="335"/>
    </row>
    <row r="19" spans="1:62" s="345" customFormat="1" ht="18" customHeight="1">
      <c r="A19" s="321" t="s">
        <v>576</v>
      </c>
      <c r="B19" s="321"/>
      <c r="C19" s="321"/>
      <c r="D19" s="321"/>
      <c r="E19" s="321"/>
      <c r="F19" s="321"/>
      <c r="G19" s="321"/>
      <c r="H19" s="321"/>
      <c r="I19" s="321"/>
      <c r="J19" s="321"/>
      <c r="K19" s="321"/>
      <c r="L19" s="321"/>
      <c r="M19" s="321"/>
      <c r="N19" s="321"/>
      <c r="O19" s="321"/>
      <c r="P19" s="321"/>
      <c r="Q19" s="321"/>
      <c r="R19" s="321"/>
      <c r="S19" s="321"/>
      <c r="T19" s="321"/>
      <c r="U19" s="321"/>
      <c r="V19" s="321"/>
      <c r="W19" s="321"/>
      <c r="X19" s="321"/>
      <c r="Y19" s="321"/>
      <c r="Z19" s="321"/>
      <c r="AA19" s="321"/>
      <c r="AB19" s="321"/>
      <c r="AC19" s="321"/>
      <c r="AD19" s="321"/>
      <c r="AE19" s="321"/>
      <c r="AF19" s="321"/>
      <c r="AG19" s="321"/>
      <c r="AH19" s="321"/>
      <c r="AI19" s="321"/>
      <c r="AJ19" s="321"/>
      <c r="AK19" s="321"/>
      <c r="AL19" s="321"/>
      <c r="AM19" s="321"/>
      <c r="AN19" s="321"/>
      <c r="AO19" s="321"/>
      <c r="AP19" s="321"/>
      <c r="AQ19" s="321"/>
      <c r="AR19" s="321"/>
    </row>
    <row r="20" spans="1:62" ht="17.25" customHeight="1">
      <c r="A20" s="347"/>
      <c r="B20" s="347"/>
      <c r="C20" s="347"/>
      <c r="D20" s="347"/>
      <c r="E20" s="347"/>
      <c r="F20" s="347"/>
      <c r="G20" s="347"/>
      <c r="H20" s="347"/>
      <c r="I20" s="347"/>
      <c r="J20" s="347"/>
      <c r="K20" s="347"/>
      <c r="L20" s="1888" t="s">
        <v>398</v>
      </c>
      <c r="M20" s="1888"/>
      <c r="N20" s="1888"/>
      <c r="O20" s="1888"/>
      <c r="P20" s="1888"/>
      <c r="Q20" s="1888"/>
      <c r="R20" s="1888"/>
      <c r="S20" s="1888"/>
      <c r="T20" s="1888"/>
      <c r="U20" s="1888"/>
      <c r="V20" s="1888"/>
      <c r="W20" s="1888"/>
      <c r="X20" s="1888"/>
      <c r="AX20" s="326"/>
      <c r="AY20" s="326"/>
      <c r="AZ20" s="326"/>
      <c r="BA20" s="326"/>
      <c r="BB20" s="326"/>
      <c r="BC20" s="326"/>
      <c r="BD20" s="326"/>
      <c r="BE20" s="326"/>
      <c r="BF20" s="326"/>
      <c r="BG20" s="326"/>
    </row>
    <row r="21" spans="1:62" ht="12.9" customHeight="1">
      <c r="A21" s="331"/>
      <c r="B21" s="1871" t="s">
        <v>405</v>
      </c>
      <c r="C21" s="1871"/>
      <c r="D21" s="1871"/>
      <c r="E21" s="1871"/>
      <c r="F21" s="1871"/>
      <c r="G21" s="1871"/>
      <c r="H21" s="1871"/>
      <c r="I21" s="1871"/>
      <c r="J21" s="1871"/>
      <c r="K21" s="1871"/>
      <c r="L21" s="332"/>
      <c r="M21" s="333"/>
      <c r="N21" s="1871" t="s">
        <v>577</v>
      </c>
      <c r="O21" s="1871"/>
      <c r="P21" s="1871"/>
      <c r="Q21" s="1871"/>
      <c r="R21" s="1871"/>
      <c r="S21" s="1871"/>
      <c r="T21" s="1871"/>
      <c r="U21" s="1871"/>
      <c r="V21" s="1871"/>
      <c r="W21" s="1871"/>
      <c r="X21" s="334"/>
      <c r="Y21" s="337"/>
      <c r="Z21" s="346"/>
      <c r="AA21" s="346"/>
      <c r="AB21" s="346"/>
      <c r="AC21" s="346"/>
      <c r="AD21" s="346"/>
      <c r="AE21" s="346"/>
      <c r="AF21" s="346"/>
      <c r="AG21" s="346"/>
      <c r="AH21" s="337"/>
      <c r="AI21" s="337"/>
      <c r="AJ21" s="346"/>
      <c r="AK21" s="346"/>
      <c r="AL21" s="346"/>
      <c r="AM21" s="346"/>
      <c r="AN21" s="346"/>
      <c r="AO21" s="346"/>
      <c r="AP21" s="346"/>
      <c r="AQ21" s="346"/>
      <c r="AR21" s="322"/>
    </row>
    <row r="22" spans="1:62" ht="12.9" customHeight="1">
      <c r="A22" s="338"/>
      <c r="B22" s="1871" t="s">
        <v>578</v>
      </c>
      <c r="C22" s="1871"/>
      <c r="D22" s="1871"/>
      <c r="E22" s="1871"/>
      <c r="F22" s="1871"/>
      <c r="G22" s="1871"/>
      <c r="H22" s="1871"/>
      <c r="I22" s="1871"/>
      <c r="J22" s="1871"/>
      <c r="K22" s="1871"/>
      <c r="L22" s="339"/>
      <c r="M22" s="336"/>
      <c r="N22" s="2128">
        <v>9.8000000000000007</v>
      </c>
      <c r="O22" s="2129"/>
      <c r="P22" s="2129"/>
      <c r="Q22" s="2129"/>
      <c r="R22" s="2129"/>
      <c r="S22" s="2129"/>
      <c r="T22" s="2129"/>
      <c r="U22" s="2129"/>
      <c r="V22" s="2129"/>
      <c r="W22" s="2129"/>
      <c r="X22" s="340"/>
      <c r="Y22" s="337"/>
      <c r="Z22" s="346"/>
      <c r="AA22" s="346"/>
      <c r="AB22" s="346"/>
      <c r="AC22" s="346"/>
      <c r="AD22" s="346"/>
      <c r="AE22" s="346"/>
      <c r="AF22" s="346"/>
      <c r="AG22" s="346"/>
      <c r="AH22" s="337"/>
      <c r="AI22" s="337"/>
      <c r="AJ22" s="346"/>
      <c r="AK22" s="346"/>
      <c r="AL22" s="346"/>
      <c r="AM22" s="346"/>
      <c r="AN22" s="346"/>
      <c r="AO22" s="346"/>
      <c r="AP22" s="346"/>
      <c r="AQ22" s="346"/>
      <c r="AR22" s="322"/>
    </row>
    <row r="23" spans="1:62" ht="12.9" customHeight="1">
      <c r="A23" s="341"/>
      <c r="B23" s="1871"/>
      <c r="C23" s="1871"/>
      <c r="D23" s="1871"/>
      <c r="E23" s="1871"/>
      <c r="F23" s="1871"/>
      <c r="G23" s="1871"/>
      <c r="H23" s="1871"/>
      <c r="I23" s="1871"/>
      <c r="J23" s="1871"/>
      <c r="K23" s="1871"/>
      <c r="L23" s="342"/>
      <c r="M23" s="343"/>
      <c r="N23" s="2129"/>
      <c r="O23" s="2129"/>
      <c r="P23" s="2129"/>
      <c r="Q23" s="2129"/>
      <c r="R23" s="2129"/>
      <c r="S23" s="2129"/>
      <c r="T23" s="2129"/>
      <c r="U23" s="2129"/>
      <c r="V23" s="2129"/>
      <c r="W23" s="2129"/>
      <c r="X23" s="342"/>
    </row>
    <row r="24" spans="1:62" ht="12.9" customHeight="1">
      <c r="A24" s="348"/>
      <c r="B24" s="335"/>
      <c r="C24" s="335"/>
      <c r="D24" s="335"/>
      <c r="E24" s="335"/>
      <c r="F24" s="335"/>
      <c r="G24" s="335"/>
      <c r="H24" s="335"/>
      <c r="I24" s="335"/>
      <c r="J24" s="335"/>
      <c r="K24" s="335"/>
      <c r="L24" s="335"/>
      <c r="M24" s="335"/>
      <c r="N24" s="335"/>
      <c r="O24" s="335"/>
      <c r="P24" s="335"/>
      <c r="Q24" s="335"/>
      <c r="R24" s="335"/>
      <c r="S24" s="335"/>
      <c r="T24" s="335"/>
      <c r="U24" s="335"/>
      <c r="V24" s="335"/>
      <c r="W24" s="335"/>
      <c r="X24" s="335"/>
    </row>
    <row r="25" spans="1:62" ht="17.100000000000001" customHeight="1">
      <c r="A25" s="322"/>
      <c r="B25" s="326"/>
      <c r="C25" s="326"/>
      <c r="D25" s="326"/>
      <c r="E25" s="326"/>
      <c r="F25" s="326"/>
      <c r="G25" s="326"/>
      <c r="H25" s="326"/>
      <c r="I25" s="326"/>
      <c r="J25" s="326"/>
      <c r="K25" s="326"/>
      <c r="L25" s="322"/>
      <c r="M25" s="322"/>
      <c r="N25" s="344"/>
      <c r="O25" s="344"/>
      <c r="P25" s="344"/>
      <c r="Q25" s="344"/>
      <c r="R25" s="344"/>
      <c r="S25" s="344"/>
      <c r="T25" s="344"/>
      <c r="U25" s="344"/>
      <c r="V25" s="344"/>
      <c r="W25" s="344"/>
      <c r="X25" s="322"/>
    </row>
    <row r="26" spans="1:62" ht="17.100000000000001" customHeight="1">
      <c r="A26" s="1887" t="s">
        <v>407</v>
      </c>
      <c r="B26" s="1887"/>
      <c r="C26" s="1887"/>
      <c r="D26" s="1887"/>
      <c r="E26" s="1887"/>
      <c r="F26" s="1887"/>
      <c r="G26" s="1887"/>
      <c r="H26" s="1887"/>
      <c r="I26" s="1887"/>
      <c r="J26" s="1887"/>
      <c r="K26" s="1887"/>
      <c r="L26" s="1887"/>
      <c r="M26" s="1887"/>
      <c r="N26" s="1887"/>
      <c r="O26" s="1887"/>
      <c r="P26" s="1887"/>
      <c r="Q26" s="1887"/>
      <c r="R26" s="1887"/>
      <c r="S26" s="1887"/>
      <c r="T26" s="1887"/>
      <c r="U26" s="1887"/>
      <c r="V26" s="1887"/>
      <c r="W26" s="1887"/>
      <c r="X26" s="1887"/>
      <c r="Y26" s="1887"/>
      <c r="Z26" s="1887"/>
      <c r="AA26" s="1887"/>
      <c r="AB26" s="1887"/>
      <c r="AC26" s="1887"/>
      <c r="AD26" s="1887"/>
      <c r="AE26" s="1887"/>
      <c r="AF26" s="1887"/>
      <c r="AG26" s="1887"/>
      <c r="AH26" s="1887"/>
      <c r="AI26" s="1887"/>
      <c r="AJ26" s="1887"/>
      <c r="AK26" s="1887"/>
      <c r="AL26" s="1887"/>
      <c r="AM26" s="1887"/>
      <c r="AN26" s="1887"/>
      <c r="AO26" s="1887"/>
      <c r="AP26" s="1887"/>
      <c r="AQ26" s="1887"/>
      <c r="AR26" s="1887"/>
    </row>
    <row r="27" spans="1:62" ht="17.100000000000001" customHeight="1">
      <c r="A27" s="321"/>
      <c r="B27" s="321"/>
      <c r="D27" s="321"/>
      <c r="E27" s="321"/>
      <c r="F27" s="321"/>
      <c r="G27" s="321"/>
      <c r="H27" s="321"/>
      <c r="I27" s="321"/>
      <c r="J27" s="321"/>
      <c r="K27" s="321"/>
      <c r="L27" s="321"/>
      <c r="M27" s="321"/>
      <c r="N27" s="321"/>
      <c r="O27" s="321"/>
      <c r="P27" s="321"/>
      <c r="Q27" s="321"/>
      <c r="R27" s="321"/>
      <c r="S27" s="321"/>
      <c r="T27" s="321"/>
      <c r="U27" s="321"/>
      <c r="V27" s="321"/>
      <c r="W27" s="321"/>
      <c r="X27" s="321"/>
      <c r="Y27" s="321"/>
      <c r="Z27" s="321"/>
      <c r="AA27" s="321"/>
      <c r="AB27" s="321"/>
      <c r="AC27" s="321"/>
      <c r="AD27" s="321"/>
      <c r="AE27" s="321"/>
      <c r="AF27" s="321"/>
      <c r="AG27" s="321"/>
      <c r="AH27" s="321"/>
      <c r="AI27" s="321"/>
      <c r="AJ27" s="321"/>
      <c r="AK27" s="321"/>
      <c r="AL27" s="321"/>
      <c r="AM27" s="321"/>
      <c r="AN27" s="321"/>
      <c r="AO27" s="321"/>
      <c r="AP27" s="321"/>
      <c r="AQ27" s="321"/>
      <c r="AR27" s="321"/>
    </row>
    <row r="28" spans="1:62" ht="17.100000000000001" customHeight="1">
      <c r="A28" s="1887" t="s">
        <v>579</v>
      </c>
      <c r="B28" s="1887"/>
      <c r="C28" s="1887"/>
      <c r="D28" s="1887"/>
      <c r="E28" s="1887"/>
      <c r="F28" s="1887"/>
      <c r="G28" s="1887"/>
      <c r="H28" s="1887"/>
      <c r="I28" s="1887"/>
      <c r="J28" s="1887"/>
      <c r="K28" s="1887"/>
      <c r="L28" s="1887"/>
      <c r="M28" s="1887"/>
      <c r="N28" s="1887"/>
      <c r="O28" s="1887"/>
      <c r="P28" s="1887"/>
      <c r="Q28" s="1887"/>
      <c r="R28" s="1887"/>
      <c r="S28" s="344"/>
      <c r="T28" s="344"/>
      <c r="U28" s="344"/>
      <c r="V28" s="344"/>
      <c r="W28" s="344"/>
      <c r="X28" s="322"/>
    </row>
    <row r="29" spans="1:62" ht="17.100000000000001" customHeight="1">
      <c r="A29" s="322"/>
      <c r="B29" s="326"/>
      <c r="C29" s="326"/>
      <c r="D29" s="326"/>
      <c r="E29" s="326"/>
      <c r="F29" s="326"/>
      <c r="G29" s="326"/>
      <c r="H29" s="326"/>
      <c r="I29" s="326"/>
      <c r="J29" s="326"/>
      <c r="K29" s="326"/>
      <c r="L29" s="322"/>
      <c r="M29" s="322"/>
      <c r="N29" s="344"/>
      <c r="O29" s="344"/>
      <c r="P29" s="344"/>
      <c r="Q29" s="344"/>
      <c r="R29" s="344"/>
      <c r="S29" s="344"/>
      <c r="T29" s="344"/>
      <c r="U29" s="344"/>
      <c r="V29" s="344"/>
      <c r="W29" s="344"/>
      <c r="X29" s="322"/>
      <c r="AI29" s="349"/>
      <c r="AJ29" s="349"/>
      <c r="AK29" s="349"/>
      <c r="AL29" s="349"/>
      <c r="AM29" s="349"/>
      <c r="AN29" s="349"/>
      <c r="AO29" s="349"/>
      <c r="AP29" s="349"/>
      <c r="AQ29" s="349"/>
      <c r="AR29" s="349"/>
      <c r="AS29" s="349"/>
      <c r="AT29" s="350"/>
      <c r="BF29" s="351" t="s">
        <v>408</v>
      </c>
    </row>
    <row r="30" spans="1:62" s="81" customFormat="1" ht="17.25" customHeight="1">
      <c r="A30" s="1879" t="s">
        <v>580</v>
      </c>
      <c r="B30" s="1879"/>
      <c r="C30" s="1879"/>
      <c r="D30" s="1879"/>
      <c r="E30" s="1879"/>
      <c r="F30" s="1879"/>
      <c r="G30" s="1879"/>
      <c r="H30" s="1879"/>
      <c r="I30" s="1879"/>
      <c r="J30" s="1879"/>
      <c r="K30" s="1879"/>
      <c r="L30" s="1879"/>
      <c r="M30" s="1845" t="s">
        <v>581</v>
      </c>
      <c r="N30" s="1845"/>
      <c r="O30" s="1845"/>
      <c r="P30" s="1845"/>
      <c r="Q30" s="1845"/>
      <c r="R30" s="1845"/>
      <c r="S30" s="1845"/>
      <c r="T30" s="1845"/>
      <c r="U30" s="1845"/>
      <c r="V30" s="1845"/>
      <c r="W30" s="1845" t="s">
        <v>582</v>
      </c>
      <c r="X30" s="1845"/>
      <c r="Y30" s="1845"/>
      <c r="Z30" s="1845"/>
      <c r="AA30" s="1845"/>
      <c r="AB30" s="1845"/>
      <c r="AC30" s="1845"/>
      <c r="AD30" s="1845"/>
      <c r="AE30" s="1845"/>
      <c r="AF30" s="1845"/>
      <c r="AG30" s="1845" t="s">
        <v>356</v>
      </c>
      <c r="AH30" s="1845"/>
      <c r="AI30" s="1845"/>
      <c r="AJ30" s="1845"/>
      <c r="AK30" s="1845"/>
      <c r="AL30" s="1845"/>
      <c r="AM30" s="1845"/>
      <c r="AN30" s="1845"/>
      <c r="AO30" s="1845"/>
      <c r="AP30" s="1845"/>
      <c r="AQ30" s="1861" t="s">
        <v>377</v>
      </c>
      <c r="AR30" s="1861"/>
      <c r="AS30" s="1861"/>
      <c r="AT30" s="1861"/>
      <c r="AU30" s="1861"/>
      <c r="AV30" s="1861"/>
      <c r="AW30" s="1861"/>
      <c r="AX30" s="1861"/>
      <c r="AY30" s="1861"/>
      <c r="AZ30" s="1861"/>
      <c r="BA30" s="1861"/>
      <c r="BB30" s="1861"/>
      <c r="BC30" s="1861"/>
      <c r="BD30" s="1861"/>
      <c r="BE30" s="1861"/>
      <c r="BF30" s="1861"/>
      <c r="BG30" s="1861"/>
      <c r="BH30" s="1861"/>
      <c r="BI30" s="1861"/>
      <c r="BJ30" s="1861"/>
    </row>
    <row r="31" spans="1:62" s="81" customFormat="1" ht="17.25" customHeight="1">
      <c r="A31" s="1851" t="s">
        <v>583</v>
      </c>
      <c r="B31" s="1851"/>
      <c r="C31" s="1851"/>
      <c r="D31" s="1851"/>
      <c r="E31" s="1851"/>
      <c r="F31" s="1851"/>
      <c r="G31" s="1851"/>
      <c r="H31" s="1851"/>
      <c r="I31" s="1851"/>
      <c r="J31" s="1851"/>
      <c r="K31" s="1851"/>
      <c r="L31" s="1851"/>
      <c r="M31" s="1845"/>
      <c r="N31" s="1845"/>
      <c r="O31" s="1845"/>
      <c r="P31" s="1845"/>
      <c r="Q31" s="1845"/>
      <c r="R31" s="1845"/>
      <c r="S31" s="1845"/>
      <c r="T31" s="1845"/>
      <c r="U31" s="1845"/>
      <c r="V31" s="1845"/>
      <c r="W31" s="1845"/>
      <c r="X31" s="1845"/>
      <c r="Y31" s="1845"/>
      <c r="Z31" s="1845"/>
      <c r="AA31" s="1845"/>
      <c r="AB31" s="1845"/>
      <c r="AC31" s="1845"/>
      <c r="AD31" s="1845"/>
      <c r="AE31" s="1845"/>
      <c r="AF31" s="1845"/>
      <c r="AG31" s="1845"/>
      <c r="AH31" s="1845"/>
      <c r="AI31" s="1845"/>
      <c r="AJ31" s="1845"/>
      <c r="AK31" s="1845"/>
      <c r="AL31" s="1845"/>
      <c r="AM31" s="1845"/>
      <c r="AN31" s="1845"/>
      <c r="AO31" s="1845"/>
      <c r="AP31" s="1845"/>
      <c r="AQ31" s="1860" t="s">
        <v>378</v>
      </c>
      <c r="AR31" s="1860"/>
      <c r="AS31" s="1860"/>
      <c r="AT31" s="1860"/>
      <c r="AU31" s="1860"/>
      <c r="AV31" s="1860"/>
      <c r="AW31" s="1860"/>
      <c r="AX31" s="1860"/>
      <c r="AY31" s="1860"/>
      <c r="AZ31" s="1860"/>
      <c r="BA31" s="1860" t="s">
        <v>356</v>
      </c>
      <c r="BB31" s="1860"/>
      <c r="BC31" s="1860"/>
      <c r="BD31" s="1860"/>
      <c r="BE31" s="1860"/>
      <c r="BF31" s="1860"/>
      <c r="BG31" s="1860"/>
      <c r="BH31" s="1860"/>
      <c r="BI31" s="1860"/>
      <c r="BJ31" s="1860"/>
    </row>
    <row r="32" spans="1:62" s="81" customFormat="1" ht="17.25" customHeight="1">
      <c r="A32" s="1861" t="s">
        <v>125</v>
      </c>
      <c r="B32" s="1861"/>
      <c r="C32" s="1861"/>
      <c r="D32" s="1861"/>
      <c r="E32" s="1861"/>
      <c r="F32" s="1861"/>
      <c r="G32" s="1861"/>
      <c r="H32" s="1861"/>
      <c r="I32" s="1861"/>
      <c r="J32" s="1861"/>
      <c r="K32" s="1861"/>
      <c r="L32" s="1861"/>
      <c r="M32" s="1890">
        <f>SUM(M33:V36)</f>
        <v>11595587000</v>
      </c>
      <c r="N32" s="1890"/>
      <c r="O32" s="1890"/>
      <c r="P32" s="1890"/>
      <c r="Q32" s="1890"/>
      <c r="R32" s="1890"/>
      <c r="S32" s="1890"/>
      <c r="T32" s="1890"/>
      <c r="U32" s="1890"/>
      <c r="V32" s="1890"/>
      <c r="W32" s="1890">
        <f>SUM(W33:AF36)</f>
        <v>11995594883</v>
      </c>
      <c r="X32" s="1890"/>
      <c r="Y32" s="1890"/>
      <c r="Z32" s="1890"/>
      <c r="AA32" s="1890"/>
      <c r="AB32" s="1890"/>
      <c r="AC32" s="1890"/>
      <c r="AD32" s="1890"/>
      <c r="AE32" s="1890"/>
      <c r="AF32" s="1890"/>
      <c r="AG32" s="1886">
        <f t="shared" ref="AG32:AG41" si="0">W32-M32</f>
        <v>400007883</v>
      </c>
      <c r="AH32" s="1886"/>
      <c r="AI32" s="1886"/>
      <c r="AJ32" s="1886"/>
      <c r="AK32" s="1886"/>
      <c r="AL32" s="1886"/>
      <c r="AM32" s="1886"/>
      <c r="AN32" s="1886"/>
      <c r="AO32" s="1886"/>
      <c r="AP32" s="1886"/>
      <c r="AQ32" s="1890">
        <f>SUM(AQ33:AZ36)</f>
        <v>11035902385</v>
      </c>
      <c r="AR32" s="1890"/>
      <c r="AS32" s="1890"/>
      <c r="AT32" s="1890"/>
      <c r="AU32" s="1890"/>
      <c r="AV32" s="1890"/>
      <c r="AW32" s="1890"/>
      <c r="AX32" s="1890"/>
      <c r="AY32" s="1890"/>
      <c r="AZ32" s="1890"/>
      <c r="BA32" s="1886">
        <f t="shared" ref="BA32:BA41" si="1">W32-AQ32</f>
        <v>959692498</v>
      </c>
      <c r="BB32" s="1886"/>
      <c r="BC32" s="1886"/>
      <c r="BD32" s="1886"/>
      <c r="BE32" s="1886"/>
      <c r="BF32" s="1886"/>
      <c r="BG32" s="1886"/>
      <c r="BH32" s="1886"/>
      <c r="BI32" s="1886"/>
      <c r="BJ32" s="1886"/>
    </row>
    <row r="33" spans="1:70" s="81" customFormat="1" ht="17.25" customHeight="1">
      <c r="A33" s="1860" t="s">
        <v>114</v>
      </c>
      <c r="B33" s="1860"/>
      <c r="C33" s="1860"/>
      <c r="D33" s="1860"/>
      <c r="E33" s="1860"/>
      <c r="F33" s="1860"/>
      <c r="G33" s="1860"/>
      <c r="H33" s="1860"/>
      <c r="I33" s="1860"/>
      <c r="J33" s="1860"/>
      <c r="K33" s="1860"/>
      <c r="L33" s="1860"/>
      <c r="M33" s="1893">
        <v>5635903000</v>
      </c>
      <c r="N33" s="1885"/>
      <c r="O33" s="1885"/>
      <c r="P33" s="1885"/>
      <c r="Q33" s="1885"/>
      <c r="R33" s="1885"/>
      <c r="S33" s="1885"/>
      <c r="T33" s="1885"/>
      <c r="U33" s="1885"/>
      <c r="V33" s="1885"/>
      <c r="W33" s="1893">
        <v>5764604459</v>
      </c>
      <c r="X33" s="1885"/>
      <c r="Y33" s="1885"/>
      <c r="Z33" s="1885"/>
      <c r="AA33" s="1885"/>
      <c r="AB33" s="1885"/>
      <c r="AC33" s="1885"/>
      <c r="AD33" s="1885"/>
      <c r="AE33" s="1885"/>
      <c r="AF33" s="1885"/>
      <c r="AG33" s="1886">
        <f t="shared" si="0"/>
        <v>128701459</v>
      </c>
      <c r="AH33" s="1886"/>
      <c r="AI33" s="1886"/>
      <c r="AJ33" s="1886"/>
      <c r="AK33" s="1886"/>
      <c r="AL33" s="1886"/>
      <c r="AM33" s="1886"/>
      <c r="AN33" s="1886"/>
      <c r="AO33" s="1886"/>
      <c r="AP33" s="1886"/>
      <c r="AQ33" s="1885">
        <f>前年度貼付!$E$183</f>
        <v>5531758837</v>
      </c>
      <c r="AR33" s="1885"/>
      <c r="AS33" s="1885"/>
      <c r="AT33" s="1885"/>
      <c r="AU33" s="1885"/>
      <c r="AV33" s="1885"/>
      <c r="AW33" s="1885"/>
      <c r="AX33" s="1885"/>
      <c r="AY33" s="1885"/>
      <c r="AZ33" s="1885"/>
      <c r="BA33" s="1886">
        <f t="shared" si="1"/>
        <v>232845622</v>
      </c>
      <c r="BB33" s="1886"/>
      <c r="BC33" s="1886"/>
      <c r="BD33" s="1886"/>
      <c r="BE33" s="1886"/>
      <c r="BF33" s="1886"/>
      <c r="BG33" s="1886"/>
      <c r="BH33" s="1886"/>
      <c r="BI33" s="1886"/>
      <c r="BJ33" s="1886"/>
    </row>
    <row r="34" spans="1:70" s="81" customFormat="1" ht="17.25" customHeight="1">
      <c r="A34" s="1860" t="s">
        <v>115</v>
      </c>
      <c r="B34" s="1860"/>
      <c r="C34" s="1860"/>
      <c r="D34" s="1860"/>
      <c r="E34" s="1860"/>
      <c r="F34" s="1860"/>
      <c r="G34" s="1860"/>
      <c r="H34" s="1860"/>
      <c r="I34" s="1860"/>
      <c r="J34" s="1860"/>
      <c r="K34" s="1860"/>
      <c r="L34" s="1860"/>
      <c r="M34" s="1893">
        <v>1840280000</v>
      </c>
      <c r="N34" s="1885"/>
      <c r="O34" s="1885"/>
      <c r="P34" s="1885"/>
      <c r="Q34" s="1885"/>
      <c r="R34" s="1885"/>
      <c r="S34" s="1885"/>
      <c r="T34" s="1885"/>
      <c r="U34" s="1885"/>
      <c r="V34" s="1885"/>
      <c r="W34" s="1893">
        <v>1970882224</v>
      </c>
      <c r="X34" s="1885"/>
      <c r="Y34" s="1885"/>
      <c r="Z34" s="1885"/>
      <c r="AA34" s="1885"/>
      <c r="AB34" s="1885"/>
      <c r="AC34" s="1885"/>
      <c r="AD34" s="1885"/>
      <c r="AE34" s="1885"/>
      <c r="AF34" s="1885"/>
      <c r="AG34" s="1886">
        <f t="shared" si="0"/>
        <v>130602224</v>
      </c>
      <c r="AH34" s="1886"/>
      <c r="AI34" s="1886"/>
      <c r="AJ34" s="1886"/>
      <c r="AK34" s="1886"/>
      <c r="AL34" s="1886"/>
      <c r="AM34" s="1886"/>
      <c r="AN34" s="1886"/>
      <c r="AO34" s="1886"/>
      <c r="AP34" s="1886"/>
      <c r="AQ34" s="1885">
        <f>前年度貼付!$E$184</f>
        <v>1983079708</v>
      </c>
      <c r="AR34" s="1885"/>
      <c r="AS34" s="1885"/>
      <c r="AT34" s="1885"/>
      <c r="AU34" s="1885"/>
      <c r="AV34" s="1885"/>
      <c r="AW34" s="1885"/>
      <c r="AX34" s="1885"/>
      <c r="AY34" s="1885"/>
      <c r="AZ34" s="1885"/>
      <c r="BA34" s="1886">
        <f t="shared" si="1"/>
        <v>-12197484</v>
      </c>
      <c r="BB34" s="1886"/>
      <c r="BC34" s="1886"/>
      <c r="BD34" s="1886"/>
      <c r="BE34" s="1886"/>
      <c r="BF34" s="1886"/>
      <c r="BG34" s="1886"/>
      <c r="BH34" s="1886"/>
      <c r="BI34" s="1886"/>
      <c r="BJ34" s="1886"/>
    </row>
    <row r="35" spans="1:70" s="81" customFormat="1" ht="17.25" customHeight="1">
      <c r="A35" s="1860" t="s">
        <v>116</v>
      </c>
      <c r="B35" s="1860"/>
      <c r="C35" s="1860"/>
      <c r="D35" s="1860"/>
      <c r="E35" s="1860"/>
      <c r="F35" s="1860"/>
      <c r="G35" s="1860"/>
      <c r="H35" s="1860"/>
      <c r="I35" s="1860"/>
      <c r="J35" s="1860"/>
      <c r="K35" s="1860"/>
      <c r="L35" s="1860"/>
      <c r="M35" s="1893">
        <v>3495802000</v>
      </c>
      <c r="N35" s="1885"/>
      <c r="O35" s="1885"/>
      <c r="P35" s="1885"/>
      <c r="Q35" s="1885"/>
      <c r="R35" s="1885"/>
      <c r="S35" s="1885"/>
      <c r="T35" s="1885"/>
      <c r="U35" s="1885"/>
      <c r="V35" s="1885"/>
      <c r="W35" s="1893">
        <v>3627902360</v>
      </c>
      <c r="X35" s="1885"/>
      <c r="Y35" s="1885"/>
      <c r="Z35" s="1885"/>
      <c r="AA35" s="1885"/>
      <c r="AB35" s="1885"/>
      <c r="AC35" s="1885"/>
      <c r="AD35" s="1885"/>
      <c r="AE35" s="1885"/>
      <c r="AF35" s="1885"/>
      <c r="AG35" s="1886">
        <f t="shared" si="0"/>
        <v>132100360</v>
      </c>
      <c r="AH35" s="1886"/>
      <c r="AI35" s="1886"/>
      <c r="AJ35" s="1886"/>
      <c r="AK35" s="1886"/>
      <c r="AL35" s="1886"/>
      <c r="AM35" s="1886"/>
      <c r="AN35" s="1886"/>
      <c r="AO35" s="1886"/>
      <c r="AP35" s="1886"/>
      <c r="AQ35" s="1885">
        <f>前年度貼付!$E$185</f>
        <v>2828934070</v>
      </c>
      <c r="AR35" s="1885"/>
      <c r="AS35" s="1885"/>
      <c r="AT35" s="1885"/>
      <c r="AU35" s="1885"/>
      <c r="AV35" s="1885"/>
      <c r="AW35" s="1885"/>
      <c r="AX35" s="1885"/>
      <c r="AY35" s="1885"/>
      <c r="AZ35" s="1885"/>
      <c r="BA35" s="1886">
        <f t="shared" si="1"/>
        <v>798968290</v>
      </c>
      <c r="BB35" s="1886"/>
      <c r="BC35" s="1886"/>
      <c r="BD35" s="1886"/>
      <c r="BE35" s="1886"/>
      <c r="BF35" s="1886"/>
      <c r="BG35" s="1886"/>
      <c r="BH35" s="1886"/>
      <c r="BI35" s="1886"/>
      <c r="BJ35" s="1886"/>
    </row>
    <row r="36" spans="1:70" s="81" customFormat="1" ht="17.25" customHeight="1">
      <c r="A36" s="1860" t="s">
        <v>117</v>
      </c>
      <c r="B36" s="1860"/>
      <c r="C36" s="1860"/>
      <c r="D36" s="1860"/>
      <c r="E36" s="1860"/>
      <c r="F36" s="1860"/>
      <c r="G36" s="1860"/>
      <c r="H36" s="1860"/>
      <c r="I36" s="1860"/>
      <c r="J36" s="1860"/>
      <c r="K36" s="1860"/>
      <c r="L36" s="1860"/>
      <c r="M36" s="1893">
        <v>623602000</v>
      </c>
      <c r="N36" s="1885"/>
      <c r="O36" s="1885"/>
      <c r="P36" s="1885"/>
      <c r="Q36" s="1885"/>
      <c r="R36" s="1885"/>
      <c r="S36" s="1885"/>
      <c r="T36" s="1885"/>
      <c r="U36" s="1885"/>
      <c r="V36" s="1885"/>
      <c r="W36" s="1893">
        <v>632205840</v>
      </c>
      <c r="X36" s="1885"/>
      <c r="Y36" s="1885"/>
      <c r="Z36" s="1885"/>
      <c r="AA36" s="1885"/>
      <c r="AB36" s="1885"/>
      <c r="AC36" s="1885"/>
      <c r="AD36" s="1885"/>
      <c r="AE36" s="1885"/>
      <c r="AF36" s="1885"/>
      <c r="AG36" s="1886">
        <f t="shared" si="0"/>
        <v>8603840</v>
      </c>
      <c r="AH36" s="1886"/>
      <c r="AI36" s="1886"/>
      <c r="AJ36" s="1886"/>
      <c r="AK36" s="1886"/>
      <c r="AL36" s="1886"/>
      <c r="AM36" s="1886"/>
      <c r="AN36" s="1886"/>
      <c r="AO36" s="1886"/>
      <c r="AP36" s="1886"/>
      <c r="AQ36" s="1885">
        <f>前年度貼付!$E$186</f>
        <v>692129770</v>
      </c>
      <c r="AR36" s="1885"/>
      <c r="AS36" s="1885"/>
      <c r="AT36" s="1885"/>
      <c r="AU36" s="1885"/>
      <c r="AV36" s="1885"/>
      <c r="AW36" s="1885"/>
      <c r="AX36" s="1885"/>
      <c r="AY36" s="1885"/>
      <c r="AZ36" s="1885"/>
      <c r="BA36" s="1886">
        <f t="shared" si="1"/>
        <v>-59923930</v>
      </c>
      <c r="BB36" s="1886"/>
      <c r="BC36" s="1886"/>
      <c r="BD36" s="1886"/>
      <c r="BE36" s="1886"/>
      <c r="BF36" s="1886"/>
      <c r="BG36" s="1886"/>
      <c r="BH36" s="1886"/>
      <c r="BI36" s="1886"/>
      <c r="BJ36" s="1886"/>
    </row>
    <row r="37" spans="1:70" s="81" customFormat="1" ht="17.25" customHeight="1">
      <c r="A37" s="1861" t="s">
        <v>584</v>
      </c>
      <c r="B37" s="1861"/>
      <c r="C37" s="1861"/>
      <c r="D37" s="1861"/>
      <c r="E37" s="1861"/>
      <c r="F37" s="1861"/>
      <c r="G37" s="1861"/>
      <c r="H37" s="1861"/>
      <c r="I37" s="1861"/>
      <c r="J37" s="1861"/>
      <c r="K37" s="1861"/>
      <c r="L37" s="1861"/>
      <c r="M37" s="1890">
        <f>SUM(M38:V39)</f>
        <v>7476183000</v>
      </c>
      <c r="N37" s="1890"/>
      <c r="O37" s="1890"/>
      <c r="P37" s="1890"/>
      <c r="Q37" s="1890"/>
      <c r="R37" s="1890"/>
      <c r="S37" s="1890"/>
      <c r="T37" s="1890"/>
      <c r="U37" s="1890"/>
      <c r="V37" s="1890"/>
      <c r="W37" s="1890">
        <f>SUM(W38:AF39)</f>
        <v>7735814913</v>
      </c>
      <c r="X37" s="1890"/>
      <c r="Y37" s="1890"/>
      <c r="Z37" s="1890"/>
      <c r="AA37" s="1890"/>
      <c r="AB37" s="1890"/>
      <c r="AC37" s="1890"/>
      <c r="AD37" s="1890"/>
      <c r="AE37" s="1890"/>
      <c r="AF37" s="1890"/>
      <c r="AG37" s="1886">
        <f t="shared" si="0"/>
        <v>259631913</v>
      </c>
      <c r="AH37" s="1886"/>
      <c r="AI37" s="1886"/>
      <c r="AJ37" s="1886"/>
      <c r="AK37" s="1886"/>
      <c r="AL37" s="1886"/>
      <c r="AM37" s="1886"/>
      <c r="AN37" s="1886"/>
      <c r="AO37" s="1886"/>
      <c r="AP37" s="1886"/>
      <c r="AQ37" s="1890">
        <f>SUM(AQ38:AZ39)</f>
        <v>7514315720</v>
      </c>
      <c r="AR37" s="1890"/>
      <c r="AS37" s="1890"/>
      <c r="AT37" s="1890"/>
      <c r="AU37" s="1890"/>
      <c r="AV37" s="1890"/>
      <c r="AW37" s="1890"/>
      <c r="AX37" s="1890"/>
      <c r="AY37" s="1890"/>
      <c r="AZ37" s="1890"/>
      <c r="BA37" s="1886">
        <f t="shared" si="1"/>
        <v>221499193</v>
      </c>
      <c r="BB37" s="1886"/>
      <c r="BC37" s="1886"/>
      <c r="BD37" s="1886"/>
      <c r="BE37" s="1886"/>
      <c r="BF37" s="1886"/>
      <c r="BG37" s="1886"/>
      <c r="BH37" s="1886"/>
      <c r="BI37" s="1886"/>
      <c r="BJ37" s="1886"/>
    </row>
    <row r="38" spans="1:70" s="81" customFormat="1" ht="17.25" customHeight="1">
      <c r="A38" s="1860" t="s">
        <v>114</v>
      </c>
      <c r="B38" s="1860"/>
      <c r="C38" s="1860"/>
      <c r="D38" s="1860"/>
      <c r="E38" s="1860"/>
      <c r="F38" s="1860"/>
      <c r="G38" s="1860"/>
      <c r="H38" s="1860"/>
      <c r="I38" s="1860"/>
      <c r="J38" s="1860"/>
      <c r="K38" s="1860"/>
      <c r="L38" s="1860"/>
      <c r="M38" s="1893">
        <v>5635903000</v>
      </c>
      <c r="N38" s="1885"/>
      <c r="O38" s="1885"/>
      <c r="P38" s="1885"/>
      <c r="Q38" s="1885"/>
      <c r="R38" s="1885"/>
      <c r="S38" s="1885"/>
      <c r="T38" s="1885"/>
      <c r="U38" s="1885"/>
      <c r="V38" s="1885"/>
      <c r="W38" s="1893">
        <v>5763421510</v>
      </c>
      <c r="X38" s="1885"/>
      <c r="Y38" s="1885"/>
      <c r="Z38" s="1885"/>
      <c r="AA38" s="1885"/>
      <c r="AB38" s="1885"/>
      <c r="AC38" s="1885"/>
      <c r="AD38" s="1885"/>
      <c r="AE38" s="1885"/>
      <c r="AF38" s="1885"/>
      <c r="AG38" s="1886">
        <f t="shared" si="0"/>
        <v>127518510</v>
      </c>
      <c r="AH38" s="1886"/>
      <c r="AI38" s="1886"/>
      <c r="AJ38" s="1886"/>
      <c r="AK38" s="1886"/>
      <c r="AL38" s="1886"/>
      <c r="AM38" s="1886"/>
      <c r="AN38" s="1886"/>
      <c r="AO38" s="1886"/>
      <c r="AP38" s="1886"/>
      <c r="AQ38" s="1885">
        <f>前年度貼付!$E$187</f>
        <v>5625742744</v>
      </c>
      <c r="AR38" s="1885"/>
      <c r="AS38" s="1885"/>
      <c r="AT38" s="1885"/>
      <c r="AU38" s="1885"/>
      <c r="AV38" s="1885"/>
      <c r="AW38" s="1885"/>
      <c r="AX38" s="1885"/>
      <c r="AY38" s="1885"/>
      <c r="AZ38" s="1885"/>
      <c r="BA38" s="1886">
        <f t="shared" si="1"/>
        <v>137678766</v>
      </c>
      <c r="BB38" s="1886"/>
      <c r="BC38" s="1886"/>
      <c r="BD38" s="1886"/>
      <c r="BE38" s="1886"/>
      <c r="BF38" s="1886"/>
      <c r="BG38" s="1886"/>
      <c r="BH38" s="1886"/>
      <c r="BI38" s="1886"/>
      <c r="BJ38" s="1886"/>
    </row>
    <row r="39" spans="1:70" s="81" customFormat="1" ht="17.25" customHeight="1">
      <c r="A39" s="1860" t="s">
        <v>115</v>
      </c>
      <c r="B39" s="1860"/>
      <c r="C39" s="1860"/>
      <c r="D39" s="1860"/>
      <c r="E39" s="1860"/>
      <c r="F39" s="1860"/>
      <c r="G39" s="1860"/>
      <c r="H39" s="1860"/>
      <c r="I39" s="1860"/>
      <c r="J39" s="1860"/>
      <c r="K39" s="1860"/>
      <c r="L39" s="1860"/>
      <c r="M39" s="1893">
        <v>1840280000</v>
      </c>
      <c r="N39" s="1885"/>
      <c r="O39" s="1885"/>
      <c r="P39" s="1885"/>
      <c r="Q39" s="1885"/>
      <c r="R39" s="1885"/>
      <c r="S39" s="1885"/>
      <c r="T39" s="1885"/>
      <c r="U39" s="1885"/>
      <c r="V39" s="1885"/>
      <c r="W39" s="1893">
        <v>1972393403</v>
      </c>
      <c r="X39" s="1885"/>
      <c r="Y39" s="1885"/>
      <c r="Z39" s="1885"/>
      <c r="AA39" s="1885"/>
      <c r="AB39" s="1885"/>
      <c r="AC39" s="1885"/>
      <c r="AD39" s="1885"/>
      <c r="AE39" s="1885"/>
      <c r="AF39" s="1885"/>
      <c r="AG39" s="1886">
        <f t="shared" si="0"/>
        <v>132113403</v>
      </c>
      <c r="AH39" s="1886"/>
      <c r="AI39" s="1886"/>
      <c r="AJ39" s="1886"/>
      <c r="AK39" s="1886"/>
      <c r="AL39" s="1886"/>
      <c r="AM39" s="1886"/>
      <c r="AN39" s="1886"/>
      <c r="AO39" s="1886"/>
      <c r="AP39" s="1886"/>
      <c r="AQ39" s="1885">
        <f>前年度貼付!$E$188</f>
        <v>1888572976</v>
      </c>
      <c r="AR39" s="1885"/>
      <c r="AS39" s="1885"/>
      <c r="AT39" s="1885"/>
      <c r="AU39" s="1885"/>
      <c r="AV39" s="1885"/>
      <c r="AW39" s="1885"/>
      <c r="AX39" s="1885"/>
      <c r="AY39" s="1885"/>
      <c r="AZ39" s="1885"/>
      <c r="BA39" s="1886">
        <f t="shared" si="1"/>
        <v>83820427</v>
      </c>
      <c r="BB39" s="1886"/>
      <c r="BC39" s="1886"/>
      <c r="BD39" s="1886"/>
      <c r="BE39" s="1886"/>
      <c r="BF39" s="1886"/>
      <c r="BG39" s="1886"/>
      <c r="BH39" s="1886"/>
      <c r="BI39" s="1886"/>
      <c r="BJ39" s="1886"/>
    </row>
    <row r="40" spans="1:70" s="81" customFormat="1" ht="17.25" customHeight="1">
      <c r="A40" s="1861" t="s">
        <v>108</v>
      </c>
      <c r="B40" s="1861"/>
      <c r="C40" s="1861"/>
      <c r="D40" s="1861"/>
      <c r="E40" s="1861"/>
      <c r="F40" s="1861"/>
      <c r="G40" s="1861"/>
      <c r="H40" s="1861"/>
      <c r="I40" s="1861"/>
      <c r="J40" s="1861"/>
      <c r="K40" s="1861"/>
      <c r="L40" s="1861"/>
      <c r="M40" s="1893">
        <v>0</v>
      </c>
      <c r="N40" s="1885"/>
      <c r="O40" s="1885"/>
      <c r="P40" s="1885"/>
      <c r="Q40" s="1885"/>
      <c r="R40" s="1885"/>
      <c r="S40" s="1885"/>
      <c r="T40" s="1885"/>
      <c r="U40" s="1885"/>
      <c r="V40" s="1885"/>
      <c r="W40" s="1893">
        <v>0</v>
      </c>
      <c r="X40" s="1885"/>
      <c r="Y40" s="1885"/>
      <c r="Z40" s="1885"/>
      <c r="AA40" s="1885"/>
      <c r="AB40" s="1885"/>
      <c r="AC40" s="1885"/>
      <c r="AD40" s="1885"/>
      <c r="AE40" s="1885"/>
      <c r="AF40" s="1885"/>
      <c r="AG40" s="1886">
        <f t="shared" si="0"/>
        <v>0</v>
      </c>
      <c r="AH40" s="1886"/>
      <c r="AI40" s="1886"/>
      <c r="AJ40" s="1886"/>
      <c r="AK40" s="1886"/>
      <c r="AL40" s="1886"/>
      <c r="AM40" s="1886"/>
      <c r="AN40" s="1886"/>
      <c r="AO40" s="1886"/>
      <c r="AP40" s="1886"/>
      <c r="AQ40" s="1885">
        <f>前年度貼付!$E$189</f>
        <v>0</v>
      </c>
      <c r="AR40" s="1885"/>
      <c r="AS40" s="1885"/>
      <c r="AT40" s="1885"/>
      <c r="AU40" s="1885"/>
      <c r="AV40" s="1885"/>
      <c r="AW40" s="1885"/>
      <c r="AX40" s="1885"/>
      <c r="AY40" s="1885"/>
      <c r="AZ40" s="1885"/>
      <c r="BA40" s="1886">
        <f t="shared" si="1"/>
        <v>0</v>
      </c>
      <c r="BB40" s="1886"/>
      <c r="BC40" s="1886"/>
      <c r="BD40" s="1886"/>
      <c r="BE40" s="1886"/>
      <c r="BF40" s="1886"/>
      <c r="BG40" s="1886"/>
      <c r="BH40" s="1886"/>
      <c r="BI40" s="1886"/>
      <c r="BJ40" s="1886"/>
    </row>
    <row r="41" spans="1:70" s="81" customFormat="1" ht="17.25" customHeight="1">
      <c r="A41" s="1861" t="s">
        <v>413</v>
      </c>
      <c r="B41" s="1861"/>
      <c r="C41" s="1861"/>
      <c r="D41" s="1861"/>
      <c r="E41" s="1861"/>
      <c r="F41" s="1861"/>
      <c r="G41" s="1861"/>
      <c r="H41" s="1861"/>
      <c r="I41" s="1861"/>
      <c r="J41" s="1861"/>
      <c r="K41" s="1861"/>
      <c r="L41" s="1861"/>
      <c r="M41" s="1890">
        <f>SUM(M32,M37,V40)</f>
        <v>19071770000</v>
      </c>
      <c r="N41" s="1890"/>
      <c r="O41" s="1890"/>
      <c r="P41" s="1890"/>
      <c r="Q41" s="1890"/>
      <c r="R41" s="1890"/>
      <c r="S41" s="1890"/>
      <c r="T41" s="1890"/>
      <c r="U41" s="1890"/>
      <c r="V41" s="1890"/>
      <c r="W41" s="1890">
        <f>SUM(W32,W37,AF40)</f>
        <v>19731409796</v>
      </c>
      <c r="X41" s="1890"/>
      <c r="Y41" s="1890"/>
      <c r="Z41" s="1890"/>
      <c r="AA41" s="1890"/>
      <c r="AB41" s="1890"/>
      <c r="AC41" s="1890"/>
      <c r="AD41" s="1890"/>
      <c r="AE41" s="1890"/>
      <c r="AF41" s="1890"/>
      <c r="AG41" s="1886">
        <f t="shared" si="0"/>
        <v>659639796</v>
      </c>
      <c r="AH41" s="1886"/>
      <c r="AI41" s="1886"/>
      <c r="AJ41" s="1886"/>
      <c r="AK41" s="1886"/>
      <c r="AL41" s="1886"/>
      <c r="AM41" s="1886"/>
      <c r="AN41" s="1886"/>
      <c r="AO41" s="1886"/>
      <c r="AP41" s="1886"/>
      <c r="AQ41" s="1890">
        <f>SUM(AQ32,AQ37,AZ40)</f>
        <v>18550218105</v>
      </c>
      <c r="AR41" s="1890"/>
      <c r="AS41" s="1890"/>
      <c r="AT41" s="1890"/>
      <c r="AU41" s="1890"/>
      <c r="AV41" s="1890"/>
      <c r="AW41" s="1890"/>
      <c r="AX41" s="1890"/>
      <c r="AY41" s="1890"/>
      <c r="AZ41" s="1890"/>
      <c r="BA41" s="1886">
        <f t="shared" si="1"/>
        <v>1181191691</v>
      </c>
      <c r="BB41" s="1886"/>
      <c r="BC41" s="1886"/>
      <c r="BD41" s="1886"/>
      <c r="BE41" s="1886"/>
      <c r="BF41" s="1886"/>
      <c r="BG41" s="1886"/>
      <c r="BH41" s="1886"/>
      <c r="BI41" s="1886"/>
      <c r="BJ41" s="1886"/>
    </row>
    <row r="42" spans="1:70" s="345" customFormat="1" ht="18" customHeight="1">
      <c r="C42" s="352"/>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c r="BA42" s="154"/>
      <c r="BB42" s="154"/>
      <c r="BC42" s="154"/>
      <c r="BD42" s="154"/>
      <c r="BE42" s="154"/>
      <c r="BF42" s="154"/>
      <c r="BG42" s="154"/>
      <c r="BH42" s="154"/>
      <c r="BI42" s="154"/>
      <c r="BJ42" s="154"/>
      <c r="BK42" s="154"/>
      <c r="BL42" s="154"/>
      <c r="BM42" s="154"/>
      <c r="BN42" s="154"/>
      <c r="BO42" s="154"/>
      <c r="BP42" s="154"/>
      <c r="BQ42" s="154"/>
      <c r="BR42" s="154"/>
    </row>
    <row r="43" spans="1:70" s="345" customFormat="1" ht="18" customHeight="1">
      <c r="A43" s="142" t="s">
        <v>585</v>
      </c>
      <c r="B43" s="142"/>
      <c r="C43" s="142"/>
      <c r="D43" s="142"/>
      <c r="E43" s="142"/>
      <c r="F43" s="142"/>
      <c r="G43" s="142"/>
      <c r="H43" s="142"/>
      <c r="I43" s="142"/>
      <c r="J43" s="142"/>
      <c r="K43" s="142"/>
      <c r="L43" s="142"/>
      <c r="M43" s="142"/>
      <c r="N43" s="142"/>
      <c r="O43" s="142"/>
      <c r="P43" s="142"/>
      <c r="Q43" s="142"/>
      <c r="R43" s="142"/>
      <c r="S43" s="142"/>
      <c r="T43" s="142"/>
      <c r="U43" s="142"/>
      <c r="V43" s="142"/>
      <c r="W43" s="154"/>
      <c r="X43" s="154"/>
      <c r="Y43" s="154"/>
      <c r="Z43" s="154"/>
      <c r="AA43" s="154"/>
      <c r="AB43" s="154"/>
      <c r="AC43" s="154"/>
      <c r="AD43" s="154"/>
      <c r="AE43" s="154"/>
      <c r="AF43" s="154"/>
      <c r="AG43" s="154"/>
      <c r="AH43" s="154"/>
      <c r="AI43" s="154"/>
      <c r="AJ43" s="154"/>
      <c r="AK43" s="154"/>
      <c r="AL43" s="154"/>
      <c r="AM43" s="154"/>
      <c r="AY43" s="353"/>
      <c r="AZ43" s="353"/>
      <c r="BA43" s="353"/>
      <c r="BB43" s="353"/>
      <c r="BC43" s="353"/>
      <c r="BD43" s="353"/>
      <c r="BE43" s="353"/>
      <c r="BF43" s="353"/>
      <c r="BG43" s="353"/>
      <c r="BH43" s="353"/>
      <c r="BI43" s="353"/>
      <c r="BJ43" s="353"/>
      <c r="BK43" s="353"/>
    </row>
    <row r="44" spans="1:70" ht="17.25" customHeight="1">
      <c r="A44" s="81"/>
      <c r="N44" s="81"/>
      <c r="O44" s="81"/>
      <c r="P44" s="81"/>
      <c r="Q44" s="81"/>
      <c r="R44" s="81"/>
      <c r="S44" s="81"/>
      <c r="T44" s="81"/>
      <c r="U44" s="81"/>
      <c r="V44" s="81"/>
      <c r="W44" s="81"/>
      <c r="X44" s="81"/>
      <c r="Y44" s="81"/>
      <c r="Z44" s="81"/>
      <c r="AA44" s="81"/>
      <c r="AB44" s="81"/>
      <c r="AC44" s="81"/>
      <c r="AD44" s="81"/>
      <c r="AE44" s="81"/>
      <c r="AF44" s="81"/>
      <c r="AU44" s="325"/>
      <c r="AV44" s="325"/>
      <c r="AW44" s="325"/>
      <c r="BD44" s="88" t="s">
        <v>416</v>
      </c>
    </row>
    <row r="45" spans="1:70" s="81" customFormat="1" ht="17.25" customHeight="1">
      <c r="A45" s="1879" t="s">
        <v>580</v>
      </c>
      <c r="B45" s="1879"/>
      <c r="C45" s="1879"/>
      <c r="D45" s="1879"/>
      <c r="E45" s="1879"/>
      <c r="F45" s="1879"/>
      <c r="G45" s="1879"/>
      <c r="H45" s="1879"/>
      <c r="I45" s="1879"/>
      <c r="J45" s="1879"/>
      <c r="K45" s="1879"/>
      <c r="L45" s="1879"/>
      <c r="M45" s="1911" t="s">
        <v>586</v>
      </c>
      <c r="N45" s="1911"/>
      <c r="O45" s="1911"/>
      <c r="P45" s="1911"/>
      <c r="Q45" s="1911"/>
      <c r="R45" s="1911"/>
      <c r="S45" s="1911"/>
      <c r="T45" s="1911"/>
      <c r="U45" s="1911"/>
      <c r="V45" s="1911"/>
      <c r="W45" s="1911" t="s">
        <v>587</v>
      </c>
      <c r="X45" s="1911"/>
      <c r="Y45" s="1911"/>
      <c r="Z45" s="1911"/>
      <c r="AA45" s="1911"/>
      <c r="AB45" s="1911"/>
      <c r="AC45" s="1911"/>
      <c r="AD45" s="1911"/>
      <c r="AE45" s="1911"/>
      <c r="AF45" s="1911"/>
      <c r="AG45" s="1911" t="s">
        <v>588</v>
      </c>
      <c r="AH45" s="1911"/>
      <c r="AI45" s="1911"/>
      <c r="AJ45" s="1911"/>
      <c r="AK45" s="1911"/>
      <c r="AL45" s="1911"/>
      <c r="AM45" s="1911"/>
      <c r="AN45" s="1911"/>
      <c r="AO45" s="1911"/>
      <c r="AP45" s="1911"/>
      <c r="AQ45" s="1861" t="s">
        <v>589</v>
      </c>
      <c r="AR45" s="1861"/>
      <c r="AS45" s="1861"/>
      <c r="AT45" s="1861"/>
      <c r="AU45" s="1861"/>
      <c r="AV45" s="1861"/>
      <c r="AW45" s="1861"/>
      <c r="AX45" s="1861"/>
      <c r="AY45" s="1861"/>
      <c r="AZ45" s="1861"/>
      <c r="BA45" s="1861"/>
      <c r="BB45" s="1861"/>
      <c r="BC45" s="1861"/>
      <c r="BD45" s="1861"/>
      <c r="BE45" s="1861"/>
      <c r="BF45" s="1861"/>
      <c r="BG45" s="1861"/>
      <c r="BH45" s="1861"/>
      <c r="BI45" s="1861"/>
      <c r="BJ45" s="1861"/>
    </row>
    <row r="46" spans="1:70" s="81" customFormat="1" ht="17.25" customHeight="1">
      <c r="A46" s="1851" t="s">
        <v>583</v>
      </c>
      <c r="B46" s="1851"/>
      <c r="C46" s="1851"/>
      <c r="D46" s="1851"/>
      <c r="E46" s="1851"/>
      <c r="F46" s="1851"/>
      <c r="G46" s="1851"/>
      <c r="H46" s="1851"/>
      <c r="I46" s="1851"/>
      <c r="J46" s="1851"/>
      <c r="K46" s="1851"/>
      <c r="L46" s="1851"/>
      <c r="M46" s="2126" t="s">
        <v>590</v>
      </c>
      <c r="N46" s="2126"/>
      <c r="O46" s="2126"/>
      <c r="P46" s="2126"/>
      <c r="Q46" s="2126"/>
      <c r="R46" s="2126"/>
      <c r="S46" s="2126"/>
      <c r="T46" s="2126"/>
      <c r="U46" s="2126"/>
      <c r="V46" s="2126"/>
      <c r="W46" s="2126" t="s">
        <v>591</v>
      </c>
      <c r="X46" s="2126"/>
      <c r="Y46" s="2126"/>
      <c r="Z46" s="2126"/>
      <c r="AA46" s="2126"/>
      <c r="AB46" s="2126"/>
      <c r="AC46" s="2126"/>
      <c r="AD46" s="2126"/>
      <c r="AE46" s="2126"/>
      <c r="AF46" s="2126"/>
      <c r="AG46" s="2126" t="s">
        <v>592</v>
      </c>
      <c r="AH46" s="2126"/>
      <c r="AI46" s="2126"/>
      <c r="AJ46" s="2126"/>
      <c r="AK46" s="2126"/>
      <c r="AL46" s="2126"/>
      <c r="AM46" s="2126"/>
      <c r="AN46" s="2126"/>
      <c r="AO46" s="2126"/>
      <c r="AP46" s="2126"/>
      <c r="AQ46" s="1860" t="s">
        <v>424</v>
      </c>
      <c r="AR46" s="1860"/>
      <c r="AS46" s="1860"/>
      <c r="AT46" s="1860"/>
      <c r="AU46" s="1860"/>
      <c r="AV46" s="1860"/>
      <c r="AW46" s="1860"/>
      <c r="AX46" s="1860"/>
      <c r="AY46" s="1860"/>
      <c r="AZ46" s="1860"/>
      <c r="BA46" s="1860" t="s">
        <v>356</v>
      </c>
      <c r="BB46" s="1860"/>
      <c r="BC46" s="1860"/>
      <c r="BD46" s="1860"/>
      <c r="BE46" s="1860"/>
      <c r="BF46" s="1860"/>
      <c r="BG46" s="1860"/>
      <c r="BH46" s="1860"/>
      <c r="BI46" s="1860"/>
      <c r="BJ46" s="1860"/>
    </row>
    <row r="47" spans="1:70" s="81" customFormat="1" ht="17.25" customHeight="1">
      <c r="A47" s="1861" t="s">
        <v>125</v>
      </c>
      <c r="B47" s="1861"/>
      <c r="C47" s="1861"/>
      <c r="D47" s="1861"/>
      <c r="E47" s="1861"/>
      <c r="F47" s="1861"/>
      <c r="G47" s="1861"/>
      <c r="H47" s="1861"/>
      <c r="I47" s="1861"/>
      <c r="J47" s="1861"/>
      <c r="K47" s="1861"/>
      <c r="L47" s="1861"/>
      <c r="M47" s="1885">
        <f>W32</f>
        <v>11995594883</v>
      </c>
      <c r="N47" s="1885"/>
      <c r="O47" s="1885"/>
      <c r="P47" s="1885"/>
      <c r="Q47" s="1885"/>
      <c r="R47" s="1885"/>
      <c r="S47" s="1885"/>
      <c r="T47" s="1885"/>
      <c r="U47" s="1885"/>
      <c r="V47" s="1885"/>
      <c r="W47" s="1890">
        <f>W32</f>
        <v>11995594883</v>
      </c>
      <c r="X47" s="1890"/>
      <c r="Y47" s="1890"/>
      <c r="Z47" s="1890"/>
      <c r="AA47" s="1890"/>
      <c r="AB47" s="1890"/>
      <c r="AC47" s="1890"/>
      <c r="AD47" s="1890"/>
      <c r="AE47" s="1890"/>
      <c r="AF47" s="1890"/>
      <c r="AG47" s="2122">
        <f>(W47/M47)*100</f>
        <v>100</v>
      </c>
      <c r="AH47" s="2122"/>
      <c r="AI47" s="2122"/>
      <c r="AJ47" s="2122"/>
      <c r="AK47" s="2122"/>
      <c r="AL47" s="2122"/>
      <c r="AM47" s="2122"/>
      <c r="AN47" s="2122"/>
      <c r="AO47" s="2122"/>
      <c r="AP47" s="2122"/>
      <c r="AQ47" s="2123">
        <f>前年度貼付!$E$191</f>
        <v>100</v>
      </c>
      <c r="AR47" s="2123"/>
      <c r="AS47" s="2123"/>
      <c r="AT47" s="2123"/>
      <c r="AU47" s="2123"/>
      <c r="AV47" s="2123"/>
      <c r="AW47" s="2123"/>
      <c r="AX47" s="2123"/>
      <c r="AY47" s="2123"/>
      <c r="AZ47" s="2123"/>
      <c r="BA47" s="2124">
        <f>AG47-AQ47</f>
        <v>0</v>
      </c>
      <c r="BB47" s="2124"/>
      <c r="BC47" s="2124"/>
      <c r="BD47" s="2124"/>
      <c r="BE47" s="2124"/>
      <c r="BF47" s="2124"/>
      <c r="BG47" s="2124"/>
      <c r="BH47" s="2124"/>
      <c r="BI47" s="2124"/>
      <c r="BJ47" s="2124"/>
    </row>
    <row r="48" spans="1:70" s="81" customFormat="1" ht="17.25" customHeight="1">
      <c r="A48" s="1861" t="s">
        <v>584</v>
      </c>
      <c r="B48" s="1861"/>
      <c r="C48" s="1861"/>
      <c r="D48" s="1861"/>
      <c r="E48" s="1861"/>
      <c r="F48" s="1861"/>
      <c r="G48" s="1861"/>
      <c r="H48" s="1861"/>
      <c r="I48" s="1861"/>
      <c r="J48" s="1861"/>
      <c r="K48" s="1861"/>
      <c r="L48" s="1861"/>
      <c r="M48" s="1885">
        <f>W37</f>
        <v>7735814913</v>
      </c>
      <c r="N48" s="1885"/>
      <c r="O48" s="1885"/>
      <c r="P48" s="1885"/>
      <c r="Q48" s="1885"/>
      <c r="R48" s="1885"/>
      <c r="S48" s="1885"/>
      <c r="T48" s="1885"/>
      <c r="U48" s="1885"/>
      <c r="V48" s="1885"/>
      <c r="W48" s="1890">
        <f>W37</f>
        <v>7735814913</v>
      </c>
      <c r="X48" s="1890"/>
      <c r="Y48" s="1890"/>
      <c r="Z48" s="1890"/>
      <c r="AA48" s="1890"/>
      <c r="AB48" s="1890"/>
      <c r="AC48" s="1890"/>
      <c r="AD48" s="1890"/>
      <c r="AE48" s="1890"/>
      <c r="AF48" s="1890"/>
      <c r="AG48" s="2122">
        <f>(W48/M48)*100</f>
        <v>100</v>
      </c>
      <c r="AH48" s="2122"/>
      <c r="AI48" s="2122"/>
      <c r="AJ48" s="2122"/>
      <c r="AK48" s="2122"/>
      <c r="AL48" s="2122"/>
      <c r="AM48" s="2122"/>
      <c r="AN48" s="2122"/>
      <c r="AO48" s="2122"/>
      <c r="AP48" s="2122"/>
      <c r="AQ48" s="2123">
        <f>前年度貼付!$E$192</f>
        <v>100</v>
      </c>
      <c r="AR48" s="2123"/>
      <c r="AS48" s="2123"/>
      <c r="AT48" s="2123"/>
      <c r="AU48" s="2123"/>
      <c r="AV48" s="2123"/>
      <c r="AW48" s="2123"/>
      <c r="AX48" s="2123"/>
      <c r="AY48" s="2123"/>
      <c r="AZ48" s="2123"/>
      <c r="BA48" s="2124">
        <f>AG48-AQ48</f>
        <v>0</v>
      </c>
      <c r="BB48" s="2124"/>
      <c r="BC48" s="2124"/>
      <c r="BD48" s="2124"/>
      <c r="BE48" s="2124"/>
      <c r="BF48" s="2124"/>
      <c r="BG48" s="2124"/>
      <c r="BH48" s="2124"/>
      <c r="BI48" s="2124"/>
      <c r="BJ48" s="2124"/>
    </row>
    <row r="49" spans="1:62" s="81" customFormat="1" ht="17.25" customHeight="1">
      <c r="A49" s="1861" t="s">
        <v>413</v>
      </c>
      <c r="B49" s="1861"/>
      <c r="C49" s="1861"/>
      <c r="D49" s="1861"/>
      <c r="E49" s="1861"/>
      <c r="F49" s="1861"/>
      <c r="G49" s="1861"/>
      <c r="H49" s="1861"/>
      <c r="I49" s="1861"/>
      <c r="J49" s="1861"/>
      <c r="K49" s="1861"/>
      <c r="L49" s="1861"/>
      <c r="M49" s="2121">
        <f>SUM(M47:V48)</f>
        <v>19731409796</v>
      </c>
      <c r="N49" s="2121"/>
      <c r="O49" s="2121"/>
      <c r="P49" s="2121"/>
      <c r="Q49" s="2121"/>
      <c r="R49" s="2121"/>
      <c r="S49" s="2121"/>
      <c r="T49" s="2121"/>
      <c r="U49" s="2121"/>
      <c r="V49" s="2121"/>
      <c r="W49" s="2121">
        <f>SUM(W47:AF48)</f>
        <v>19731409796</v>
      </c>
      <c r="X49" s="2121"/>
      <c r="Y49" s="2121"/>
      <c r="Z49" s="2121"/>
      <c r="AA49" s="2121"/>
      <c r="AB49" s="2121"/>
      <c r="AC49" s="2121"/>
      <c r="AD49" s="2121"/>
      <c r="AE49" s="2121"/>
      <c r="AF49" s="2121"/>
      <c r="AG49" s="2122">
        <f>(W49/M49)*100</f>
        <v>100</v>
      </c>
      <c r="AH49" s="2122"/>
      <c r="AI49" s="2122"/>
      <c r="AJ49" s="2122"/>
      <c r="AK49" s="2122"/>
      <c r="AL49" s="2122"/>
      <c r="AM49" s="2122"/>
      <c r="AN49" s="2122"/>
      <c r="AO49" s="2122"/>
      <c r="AP49" s="2122"/>
      <c r="AQ49" s="2123">
        <f>前年度貼付!$E$193</f>
        <v>100</v>
      </c>
      <c r="AR49" s="2123"/>
      <c r="AS49" s="2123"/>
      <c r="AT49" s="2123"/>
      <c r="AU49" s="2123"/>
      <c r="AV49" s="2123"/>
      <c r="AW49" s="2123"/>
      <c r="AX49" s="2123"/>
      <c r="AY49" s="2123"/>
      <c r="AZ49" s="2123"/>
      <c r="BA49" s="2124">
        <f>AG49-AQ49</f>
        <v>0</v>
      </c>
      <c r="BB49" s="2124"/>
      <c r="BC49" s="2124"/>
      <c r="BD49" s="2124"/>
      <c r="BE49" s="2124"/>
      <c r="BF49" s="2124"/>
      <c r="BG49" s="2124"/>
      <c r="BH49" s="2124"/>
      <c r="BI49" s="2124"/>
      <c r="BJ49" s="2124"/>
    </row>
    <row r="50" spans="1:62" s="81" customFormat="1" ht="21.9" customHeight="1">
      <c r="A50" s="87"/>
      <c r="B50" s="44"/>
      <c r="C50" s="44"/>
      <c r="D50" s="44"/>
      <c r="E50" s="44"/>
      <c r="F50" s="44"/>
      <c r="G50" s="44"/>
      <c r="H50" s="44"/>
      <c r="I50" s="44"/>
      <c r="J50" s="44"/>
      <c r="K50" s="44"/>
      <c r="L50" s="44"/>
      <c r="M50" s="87"/>
      <c r="N50" s="354"/>
      <c r="O50" s="354"/>
      <c r="P50" s="354"/>
      <c r="Q50" s="354"/>
      <c r="R50" s="354"/>
      <c r="S50" s="354"/>
      <c r="T50" s="354"/>
      <c r="U50" s="354"/>
      <c r="V50" s="354"/>
      <c r="W50" s="354"/>
      <c r="X50" s="355"/>
      <c r="Y50" s="354"/>
      <c r="Z50" s="354"/>
      <c r="AA50" s="354"/>
      <c r="AB50" s="354"/>
      <c r="AC50" s="354"/>
      <c r="AD50" s="354"/>
      <c r="AE50" s="354"/>
      <c r="AF50" s="354"/>
      <c r="AG50" s="354"/>
      <c r="AH50" s="354"/>
      <c r="AI50" s="356"/>
      <c r="AJ50" s="357"/>
      <c r="AK50" s="357"/>
      <c r="AL50" s="357"/>
      <c r="AM50" s="357"/>
      <c r="AN50" s="357"/>
      <c r="AO50" s="357"/>
      <c r="AP50" s="357"/>
      <c r="AQ50" s="357"/>
      <c r="AR50" s="357"/>
      <c r="AS50" s="357"/>
      <c r="AT50" s="358"/>
      <c r="AU50" s="87"/>
      <c r="AV50" s="87"/>
      <c r="AW50" s="87"/>
      <c r="AX50" s="87"/>
      <c r="AY50" s="87"/>
      <c r="AZ50" s="87"/>
      <c r="BA50" s="87"/>
      <c r="BB50" s="87"/>
      <c r="BC50" s="87"/>
    </row>
    <row r="51" spans="1:62" s="345" customFormat="1" ht="27" customHeight="1">
      <c r="A51" s="1887" t="s">
        <v>593</v>
      </c>
      <c r="B51" s="1887"/>
      <c r="C51" s="1887"/>
      <c r="D51" s="1887"/>
      <c r="E51" s="1887"/>
      <c r="F51" s="1887"/>
      <c r="G51" s="1887"/>
      <c r="H51" s="1887"/>
      <c r="I51" s="1887"/>
      <c r="J51" s="1887"/>
      <c r="K51" s="1887"/>
      <c r="L51" s="1887"/>
      <c r="M51" s="1887"/>
      <c r="N51" s="1887"/>
      <c r="O51" s="1887"/>
      <c r="P51" s="1887"/>
      <c r="Q51" s="1887"/>
      <c r="R51" s="1887"/>
      <c r="S51" s="1887"/>
      <c r="T51" s="1887"/>
      <c r="U51" s="321"/>
      <c r="V51" s="321"/>
    </row>
    <row r="52" spans="1:62" ht="17.25" customHeight="1">
      <c r="AH52" s="350"/>
      <c r="AI52" s="350"/>
      <c r="AJ52" s="350"/>
      <c r="AK52" s="350"/>
      <c r="AL52" s="350"/>
      <c r="AM52" s="350"/>
      <c r="AN52" s="350"/>
      <c r="AO52" s="350"/>
      <c r="AP52" s="350"/>
      <c r="AQ52" s="350"/>
      <c r="AR52" s="350"/>
      <c r="AS52" s="350"/>
      <c r="AT52" s="350"/>
      <c r="BF52" s="351" t="s">
        <v>408</v>
      </c>
    </row>
    <row r="53" spans="1:62" ht="17.25" customHeight="1">
      <c r="A53" s="1879" t="s">
        <v>580</v>
      </c>
      <c r="B53" s="1879"/>
      <c r="C53" s="1879"/>
      <c r="D53" s="1879"/>
      <c r="E53" s="1879"/>
      <c r="F53" s="1879"/>
      <c r="G53" s="1879"/>
      <c r="H53" s="1879"/>
      <c r="I53" s="1879"/>
      <c r="J53" s="1879"/>
      <c r="K53" s="1879"/>
      <c r="L53" s="1879"/>
      <c r="M53" s="1845" t="s">
        <v>581</v>
      </c>
      <c r="N53" s="1845"/>
      <c r="O53" s="1845"/>
      <c r="P53" s="1845"/>
      <c r="Q53" s="1845"/>
      <c r="R53" s="1845"/>
      <c r="S53" s="1845"/>
      <c r="T53" s="1845"/>
      <c r="U53" s="1845"/>
      <c r="V53" s="1845"/>
      <c r="W53" s="1845" t="s">
        <v>582</v>
      </c>
      <c r="X53" s="1845"/>
      <c r="Y53" s="1845"/>
      <c r="Z53" s="1845"/>
      <c r="AA53" s="1845"/>
      <c r="AB53" s="1845"/>
      <c r="AC53" s="1845"/>
      <c r="AD53" s="1845"/>
      <c r="AE53" s="1845"/>
      <c r="AF53" s="1845"/>
      <c r="AG53" s="1845" t="s">
        <v>356</v>
      </c>
      <c r="AH53" s="1845"/>
      <c r="AI53" s="1845"/>
      <c r="AJ53" s="1845"/>
      <c r="AK53" s="1845"/>
      <c r="AL53" s="1845"/>
      <c r="AM53" s="1845"/>
      <c r="AN53" s="1845"/>
      <c r="AO53" s="1845"/>
      <c r="AP53" s="1845"/>
      <c r="AQ53" s="1861" t="s">
        <v>377</v>
      </c>
      <c r="AR53" s="1861"/>
      <c r="AS53" s="1861"/>
      <c r="AT53" s="1861"/>
      <c r="AU53" s="1861"/>
      <c r="AV53" s="1861"/>
      <c r="AW53" s="1861"/>
      <c r="AX53" s="1861"/>
      <c r="AY53" s="1861"/>
      <c r="AZ53" s="1861"/>
      <c r="BA53" s="1861"/>
      <c r="BB53" s="1861"/>
      <c r="BC53" s="1861"/>
      <c r="BD53" s="1861"/>
      <c r="BE53" s="1861"/>
      <c r="BF53" s="1861"/>
      <c r="BG53" s="1861"/>
      <c r="BH53" s="1861"/>
      <c r="BI53" s="1861"/>
      <c r="BJ53" s="1861"/>
    </row>
    <row r="54" spans="1:62" ht="17.25" customHeight="1">
      <c r="A54" s="2125" t="s">
        <v>583</v>
      </c>
      <c r="B54" s="2125"/>
      <c r="C54" s="2125"/>
      <c r="D54" s="2125"/>
      <c r="E54" s="2125"/>
      <c r="F54" s="2125"/>
      <c r="G54" s="2125"/>
      <c r="H54" s="2125"/>
      <c r="I54" s="2125"/>
      <c r="J54" s="2125"/>
      <c r="K54" s="2125"/>
      <c r="L54" s="2125"/>
      <c r="M54" s="1845"/>
      <c r="N54" s="1845"/>
      <c r="O54" s="1845"/>
      <c r="P54" s="1845"/>
      <c r="Q54" s="1845"/>
      <c r="R54" s="1845"/>
      <c r="S54" s="1845"/>
      <c r="T54" s="1845"/>
      <c r="U54" s="1845"/>
      <c r="V54" s="1845"/>
      <c r="W54" s="1845"/>
      <c r="X54" s="1845"/>
      <c r="Y54" s="1845"/>
      <c r="Z54" s="1845"/>
      <c r="AA54" s="1845"/>
      <c r="AB54" s="1845"/>
      <c r="AC54" s="1845"/>
      <c r="AD54" s="1845"/>
      <c r="AE54" s="1845"/>
      <c r="AF54" s="1845"/>
      <c r="AG54" s="1845"/>
      <c r="AH54" s="1845"/>
      <c r="AI54" s="1845"/>
      <c r="AJ54" s="1845"/>
      <c r="AK54" s="1845"/>
      <c r="AL54" s="1845"/>
      <c r="AM54" s="1845"/>
      <c r="AN54" s="1845"/>
      <c r="AO54" s="1845"/>
      <c r="AP54" s="1845"/>
      <c r="AQ54" s="1860" t="s">
        <v>378</v>
      </c>
      <c r="AR54" s="1860"/>
      <c r="AS54" s="1860"/>
      <c r="AT54" s="1860"/>
      <c r="AU54" s="1860"/>
      <c r="AV54" s="1860"/>
      <c r="AW54" s="1860"/>
      <c r="AX54" s="1860"/>
      <c r="AY54" s="1860"/>
      <c r="AZ54" s="1860"/>
      <c r="BA54" s="1860" t="s">
        <v>356</v>
      </c>
      <c r="BB54" s="1860"/>
      <c r="BC54" s="1860"/>
      <c r="BD54" s="1860"/>
      <c r="BE54" s="1860"/>
      <c r="BF54" s="1860"/>
      <c r="BG54" s="1860"/>
      <c r="BH54" s="1860"/>
      <c r="BI54" s="1860"/>
      <c r="BJ54" s="1860"/>
    </row>
    <row r="55" spans="1:62" ht="17.25" customHeight="1">
      <c r="A55" s="1861" t="s">
        <v>594</v>
      </c>
      <c r="B55" s="1861"/>
      <c r="C55" s="1861"/>
      <c r="D55" s="1861"/>
      <c r="E55" s="1861"/>
      <c r="F55" s="1861"/>
      <c r="G55" s="1861"/>
      <c r="H55" s="1861"/>
      <c r="I55" s="1861"/>
      <c r="J55" s="1861"/>
      <c r="K55" s="1861"/>
      <c r="L55" s="1861"/>
      <c r="M55" s="1890">
        <f>M32</f>
        <v>11595587000</v>
      </c>
      <c r="N55" s="1890"/>
      <c r="O55" s="1890"/>
      <c r="P55" s="1890"/>
      <c r="Q55" s="1890"/>
      <c r="R55" s="1890"/>
      <c r="S55" s="1890"/>
      <c r="T55" s="1890"/>
      <c r="U55" s="1890"/>
      <c r="V55" s="1890"/>
      <c r="W55" s="1885">
        <f>W32</f>
        <v>11995594883</v>
      </c>
      <c r="X55" s="1885"/>
      <c r="Y55" s="1885"/>
      <c r="Z55" s="1885"/>
      <c r="AA55" s="1885"/>
      <c r="AB55" s="1885"/>
      <c r="AC55" s="1885"/>
      <c r="AD55" s="1885"/>
      <c r="AE55" s="1885"/>
      <c r="AF55" s="1885"/>
      <c r="AG55" s="1886">
        <f>W55-M55</f>
        <v>400007883</v>
      </c>
      <c r="AH55" s="1886"/>
      <c r="AI55" s="1886"/>
      <c r="AJ55" s="1886"/>
      <c r="AK55" s="1886"/>
      <c r="AL55" s="1886"/>
      <c r="AM55" s="1886"/>
      <c r="AN55" s="1886"/>
      <c r="AO55" s="1886"/>
      <c r="AP55" s="1886"/>
      <c r="AQ55" s="1890">
        <f>AQ32</f>
        <v>11035902385</v>
      </c>
      <c r="AR55" s="1890"/>
      <c r="AS55" s="1890"/>
      <c r="AT55" s="1890"/>
      <c r="AU55" s="1890"/>
      <c r="AV55" s="1890"/>
      <c r="AW55" s="1890"/>
      <c r="AX55" s="1890"/>
      <c r="AY55" s="1890"/>
      <c r="AZ55" s="1890"/>
      <c r="BA55" s="1886">
        <f>W55-AQ55</f>
        <v>959692498</v>
      </c>
      <c r="BB55" s="1886"/>
      <c r="BC55" s="1886"/>
      <c r="BD55" s="1886"/>
      <c r="BE55" s="1886"/>
      <c r="BF55" s="1886"/>
      <c r="BG55" s="1886"/>
      <c r="BH55" s="1886"/>
      <c r="BI55" s="1886"/>
      <c r="BJ55" s="1886"/>
    </row>
    <row r="56" spans="1:62" ht="17.25" customHeight="1">
      <c r="A56" s="1860" t="s">
        <v>595</v>
      </c>
      <c r="B56" s="1860"/>
      <c r="C56" s="1860"/>
      <c r="D56" s="1860"/>
      <c r="E56" s="1860"/>
      <c r="F56" s="1860"/>
      <c r="G56" s="1860"/>
      <c r="H56" s="1860"/>
      <c r="I56" s="1860"/>
      <c r="J56" s="1860"/>
      <c r="K56" s="1860"/>
      <c r="L56" s="1860"/>
      <c r="M56" s="1890">
        <f>M37</f>
        <v>7476183000</v>
      </c>
      <c r="N56" s="1890"/>
      <c r="O56" s="1890"/>
      <c r="P56" s="1890"/>
      <c r="Q56" s="1890"/>
      <c r="R56" s="1890"/>
      <c r="S56" s="1890"/>
      <c r="T56" s="1890"/>
      <c r="U56" s="1890"/>
      <c r="V56" s="1890"/>
      <c r="W56" s="1890">
        <f>W48</f>
        <v>7735814913</v>
      </c>
      <c r="X56" s="1890"/>
      <c r="Y56" s="1890"/>
      <c r="Z56" s="1890"/>
      <c r="AA56" s="1890"/>
      <c r="AB56" s="1890"/>
      <c r="AC56" s="1890"/>
      <c r="AD56" s="1890"/>
      <c r="AE56" s="1890"/>
      <c r="AF56" s="1890"/>
      <c r="AG56" s="1886">
        <f>W56-M56</f>
        <v>259631913</v>
      </c>
      <c r="AH56" s="1886"/>
      <c r="AI56" s="1886"/>
      <c r="AJ56" s="1886"/>
      <c r="AK56" s="1886"/>
      <c r="AL56" s="1886"/>
      <c r="AM56" s="1886"/>
      <c r="AN56" s="1886"/>
      <c r="AO56" s="1886"/>
      <c r="AP56" s="1886"/>
      <c r="AQ56" s="1890">
        <f>AQ37</f>
        <v>7514315720</v>
      </c>
      <c r="AR56" s="1890"/>
      <c r="AS56" s="1890"/>
      <c r="AT56" s="1890"/>
      <c r="AU56" s="1890"/>
      <c r="AV56" s="1890"/>
      <c r="AW56" s="1890"/>
      <c r="AX56" s="1890"/>
      <c r="AY56" s="1890"/>
      <c r="AZ56" s="1890"/>
      <c r="BA56" s="1886">
        <f>W56-AQ56</f>
        <v>221499193</v>
      </c>
      <c r="BB56" s="1886"/>
      <c r="BC56" s="1886"/>
      <c r="BD56" s="1886"/>
      <c r="BE56" s="1886"/>
      <c r="BF56" s="1886"/>
      <c r="BG56" s="1886"/>
      <c r="BH56" s="1886"/>
      <c r="BI56" s="1886"/>
      <c r="BJ56" s="1886"/>
    </row>
    <row r="57" spans="1:62" ht="17.25" customHeight="1">
      <c r="A57" s="1861" t="s">
        <v>108</v>
      </c>
      <c r="B57" s="1861"/>
      <c r="C57" s="1861"/>
      <c r="D57" s="1861"/>
      <c r="E57" s="1861"/>
      <c r="F57" s="1861"/>
      <c r="G57" s="1861"/>
      <c r="H57" s="1861"/>
      <c r="I57" s="1861"/>
      <c r="J57" s="1861"/>
      <c r="K57" s="1861"/>
      <c r="L57" s="1861"/>
      <c r="M57" s="1893">
        <v>0</v>
      </c>
      <c r="N57" s="1885"/>
      <c r="O57" s="1885"/>
      <c r="P57" s="1885"/>
      <c r="Q57" s="1885"/>
      <c r="R57" s="1885"/>
      <c r="S57" s="1885"/>
      <c r="T57" s="1885"/>
      <c r="U57" s="1885"/>
      <c r="V57" s="1885"/>
      <c r="W57" s="1893">
        <v>0</v>
      </c>
      <c r="X57" s="1885"/>
      <c r="Y57" s="1885"/>
      <c r="Z57" s="1885"/>
      <c r="AA57" s="1885"/>
      <c r="AB57" s="1885"/>
      <c r="AC57" s="1885"/>
      <c r="AD57" s="1885"/>
      <c r="AE57" s="1885"/>
      <c r="AF57" s="1885"/>
      <c r="AG57" s="1886">
        <f>W57-M57</f>
        <v>0</v>
      </c>
      <c r="AH57" s="1886"/>
      <c r="AI57" s="1886"/>
      <c r="AJ57" s="1886"/>
      <c r="AK57" s="1886"/>
      <c r="AL57" s="1886"/>
      <c r="AM57" s="1886"/>
      <c r="AN57" s="1886"/>
      <c r="AO57" s="1886"/>
      <c r="AP57" s="1886"/>
      <c r="AQ57" s="1885">
        <f>前年度貼付!$E$190</f>
        <v>0</v>
      </c>
      <c r="AR57" s="1885"/>
      <c r="AS57" s="1885"/>
      <c r="AT57" s="1885"/>
      <c r="AU57" s="1885"/>
      <c r="AV57" s="1885"/>
      <c r="AW57" s="1885"/>
      <c r="AX57" s="1885"/>
      <c r="AY57" s="1885"/>
      <c r="AZ57" s="1885"/>
      <c r="BA57" s="1886">
        <f>W57-AQ57</f>
        <v>0</v>
      </c>
      <c r="BB57" s="1886"/>
      <c r="BC57" s="1886"/>
      <c r="BD57" s="1886"/>
      <c r="BE57" s="1886"/>
      <c r="BF57" s="1886"/>
      <c r="BG57" s="1886"/>
      <c r="BH57" s="1886"/>
      <c r="BI57" s="1886"/>
      <c r="BJ57" s="1886"/>
    </row>
    <row r="58" spans="1:62" ht="17.25" customHeight="1">
      <c r="A58" s="1861" t="s">
        <v>413</v>
      </c>
      <c r="B58" s="1861"/>
      <c r="C58" s="1861"/>
      <c r="D58" s="1861"/>
      <c r="E58" s="1861"/>
      <c r="F58" s="1861"/>
      <c r="G58" s="1861"/>
      <c r="H58" s="1861"/>
      <c r="I58" s="1861"/>
      <c r="J58" s="1861"/>
      <c r="K58" s="1861"/>
      <c r="L58" s="1861"/>
      <c r="M58" s="1890">
        <f>SUM(M55:V57)</f>
        <v>19071770000</v>
      </c>
      <c r="N58" s="1890"/>
      <c r="O58" s="1890"/>
      <c r="P58" s="1890"/>
      <c r="Q58" s="1890"/>
      <c r="R58" s="1890"/>
      <c r="S58" s="1890"/>
      <c r="T58" s="1890"/>
      <c r="U58" s="1890"/>
      <c r="V58" s="1890"/>
      <c r="W58" s="1890">
        <f>SUM(W55:AF57)</f>
        <v>19731409796</v>
      </c>
      <c r="X58" s="1890"/>
      <c r="Y58" s="1890"/>
      <c r="Z58" s="1890"/>
      <c r="AA58" s="1890"/>
      <c r="AB58" s="1890"/>
      <c r="AC58" s="1890"/>
      <c r="AD58" s="1890"/>
      <c r="AE58" s="1890"/>
      <c r="AF58" s="1890"/>
      <c r="AG58" s="1886">
        <f>W58-M58</f>
        <v>659639796</v>
      </c>
      <c r="AH58" s="1886"/>
      <c r="AI58" s="1886"/>
      <c r="AJ58" s="1886"/>
      <c r="AK58" s="1886"/>
      <c r="AL58" s="1886"/>
      <c r="AM58" s="1886"/>
      <c r="AN58" s="1886"/>
      <c r="AO58" s="1886"/>
      <c r="AP58" s="1886"/>
      <c r="AQ58" s="1890">
        <f>SUM(AQ55:AZ57)</f>
        <v>18550218105</v>
      </c>
      <c r="AR58" s="1890"/>
      <c r="AS58" s="1890"/>
      <c r="AT58" s="1890"/>
      <c r="AU58" s="1890"/>
      <c r="AV58" s="1890"/>
      <c r="AW58" s="1890"/>
      <c r="AX58" s="1890"/>
      <c r="AY58" s="1890"/>
      <c r="AZ58" s="1890"/>
      <c r="BA58" s="1886">
        <f>W58-AQ58</f>
        <v>1181191691</v>
      </c>
      <c r="BB58" s="1886"/>
      <c r="BC58" s="1886"/>
      <c r="BD58" s="1886"/>
      <c r="BE58" s="1886"/>
      <c r="BF58" s="1886"/>
      <c r="BG58" s="1886"/>
      <c r="BH58" s="1886"/>
      <c r="BI58" s="1886"/>
      <c r="BJ58" s="1886"/>
    </row>
    <row r="59" spans="1:62" s="356" customFormat="1" ht="24.9" customHeight="1">
      <c r="C59" s="352"/>
    </row>
    <row r="60" spans="1:62" s="356" customFormat="1" ht="24.9" customHeight="1"/>
    <row r="61" spans="1:62" s="356" customFormat="1" ht="24.9" customHeight="1"/>
    <row r="62" spans="1:62" s="356" customFormat="1" ht="24.9" customHeight="1"/>
    <row r="63" spans="1:62" s="356" customFormat="1" ht="24.9" customHeight="1"/>
    <row r="64" spans="1:62"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356" customFormat="1" ht="24.9" customHeight="1"/>
    <row r="98" s="356" customFormat="1" ht="24.9" customHeight="1"/>
    <row r="99" s="356" customFormat="1" ht="24.9" customHeight="1"/>
    <row r="100" s="356" customFormat="1" ht="24.9" customHeight="1"/>
    <row r="101" s="356" customFormat="1" ht="24.9" customHeight="1"/>
    <row r="102" s="356" customFormat="1" ht="24.9" customHeight="1"/>
    <row r="103" s="356" customFormat="1" ht="24.9" customHeight="1"/>
    <row r="104" s="356" customFormat="1" ht="24.9" customHeight="1"/>
    <row r="105" s="356" customFormat="1" ht="24.9" customHeight="1"/>
    <row r="106" s="356" customFormat="1" ht="24.9" customHeight="1"/>
    <row r="107" s="356" customFormat="1" ht="24.9" customHeight="1"/>
    <row r="108" s="356" customFormat="1" ht="24.9" customHeight="1"/>
    <row r="109" s="356" customFormat="1" ht="24.9" customHeight="1"/>
    <row r="110" s="356" customFormat="1" ht="24.9" customHeight="1"/>
    <row r="111" s="356" customFormat="1" ht="24.9" customHeight="1"/>
    <row r="112" s="356" customFormat="1" ht="24.9" customHeight="1"/>
    <row r="113" spans="13:45" s="356" customFormat="1" ht="24.9" customHeight="1"/>
    <row r="114" spans="13:45" s="356" customFormat="1" ht="24.9" customHeight="1"/>
    <row r="115" spans="13:45" s="356" customFormat="1" ht="24.9" customHeight="1"/>
    <row r="116" spans="13:45" s="356" customFormat="1" ht="24.9" customHeight="1"/>
    <row r="117" spans="13:45" s="356" customFormat="1" ht="24.9" customHeight="1"/>
    <row r="118" spans="13:45" s="356" customFormat="1" ht="24.9" customHeight="1"/>
    <row r="119" spans="13:45" s="356" customFormat="1" ht="24.9" customHeight="1"/>
    <row r="120" spans="13:45" s="356" customFormat="1" ht="24.9" customHeight="1"/>
    <row r="121" spans="13:45" s="356" customFormat="1" ht="24.9" customHeight="1"/>
    <row r="122" spans="13:45" s="356" customFormat="1" ht="24.9" customHeight="1"/>
    <row r="123" spans="13:45" s="356" customFormat="1" ht="24.9" customHeight="1"/>
    <row r="124" spans="13:45" s="356" customFormat="1" ht="24.9" customHeight="1"/>
    <row r="125" spans="13:45" s="356" customFormat="1" ht="24.9" customHeight="1"/>
    <row r="126" spans="13:45" ht="24.9" customHeight="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row>
    <row r="127" spans="13:45" ht="24.9" customHeight="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81"/>
      <c r="AS127" s="81"/>
    </row>
  </sheetData>
  <sheetProtection formatCells="0" formatColumns="0" formatRows="0" insertColumns="0" insertRows="0" insertHyperlinks="0" deleteColumns="0" deleteRows="0" selectLockedCells="1"/>
  <mergeCells count="152">
    <mergeCell ref="A4:Y4"/>
    <mergeCell ref="E7:T7"/>
    <mergeCell ref="AC7:AR7"/>
    <mergeCell ref="B8:K8"/>
    <mergeCell ref="N8:W8"/>
    <mergeCell ref="Z8:AI8"/>
    <mergeCell ref="AL8:AU8"/>
    <mergeCell ref="B9:K10"/>
    <mergeCell ref="N9:W10"/>
    <mergeCell ref="Z9:AI10"/>
    <mergeCell ref="AL9:AU10"/>
    <mergeCell ref="L13:X13"/>
    <mergeCell ref="Y13:AJ13"/>
    <mergeCell ref="A14:AJ15"/>
    <mergeCell ref="A16:AJ17"/>
    <mergeCell ref="L20:X20"/>
    <mergeCell ref="B21:K21"/>
    <mergeCell ref="N21:W21"/>
    <mergeCell ref="B22:K23"/>
    <mergeCell ref="N22:W23"/>
    <mergeCell ref="A26:AR26"/>
    <mergeCell ref="A28:R28"/>
    <mergeCell ref="A30:L30"/>
    <mergeCell ref="M30:V31"/>
    <mergeCell ref="W30:AF31"/>
    <mergeCell ref="AG30:AP31"/>
    <mergeCell ref="AQ30:BJ30"/>
    <mergeCell ref="A31:L31"/>
    <mergeCell ref="AQ31:AZ31"/>
    <mergeCell ref="BA31:BJ31"/>
    <mergeCell ref="A32:L32"/>
    <mergeCell ref="M32:V32"/>
    <mergeCell ref="W32:AF32"/>
    <mergeCell ref="AG32:AP32"/>
    <mergeCell ref="AQ32:AZ32"/>
    <mergeCell ref="BA32:BJ32"/>
    <mergeCell ref="A33:L33"/>
    <mergeCell ref="M33:V33"/>
    <mergeCell ref="W33:AF33"/>
    <mergeCell ref="AG33:AP33"/>
    <mergeCell ref="AQ33:AZ33"/>
    <mergeCell ref="BA33:BJ33"/>
    <mergeCell ref="A34:L34"/>
    <mergeCell ref="M34:V34"/>
    <mergeCell ref="W34:AF34"/>
    <mergeCell ref="AG34:AP34"/>
    <mergeCell ref="AQ34:AZ34"/>
    <mergeCell ref="BA34:BJ34"/>
    <mergeCell ref="A35:L35"/>
    <mergeCell ref="M35:V35"/>
    <mergeCell ref="W35:AF35"/>
    <mergeCell ref="AG35:AP35"/>
    <mergeCell ref="AQ35:AZ35"/>
    <mergeCell ref="BA35:BJ35"/>
    <mergeCell ref="A36:L36"/>
    <mergeCell ref="M36:V36"/>
    <mergeCell ref="W36:AF36"/>
    <mergeCell ref="AG36:AP36"/>
    <mergeCell ref="AQ36:AZ36"/>
    <mergeCell ref="BA36:BJ36"/>
    <mergeCell ref="A37:L37"/>
    <mergeCell ref="M37:V37"/>
    <mergeCell ref="W37:AF37"/>
    <mergeCell ref="AG37:AP37"/>
    <mergeCell ref="AQ37:AZ37"/>
    <mergeCell ref="BA37:BJ37"/>
    <mergeCell ref="A38:L38"/>
    <mergeCell ref="M38:V38"/>
    <mergeCell ref="W38:AF38"/>
    <mergeCell ref="AG38:AP38"/>
    <mergeCell ref="AQ38:AZ38"/>
    <mergeCell ref="BA38:BJ38"/>
    <mergeCell ref="A39:L39"/>
    <mergeCell ref="M39:V39"/>
    <mergeCell ref="W39:AF39"/>
    <mergeCell ref="AG39:AP39"/>
    <mergeCell ref="AQ39:AZ39"/>
    <mergeCell ref="BA39:BJ39"/>
    <mergeCell ref="A40:L40"/>
    <mergeCell ref="M40:V40"/>
    <mergeCell ref="W40:AF40"/>
    <mergeCell ref="AG40:AP40"/>
    <mergeCell ref="AQ40:AZ40"/>
    <mergeCell ref="BA40:BJ40"/>
    <mergeCell ref="A41:L41"/>
    <mergeCell ref="M41:V41"/>
    <mergeCell ref="W41:AF41"/>
    <mergeCell ref="AG41:AP41"/>
    <mergeCell ref="AQ41:AZ41"/>
    <mergeCell ref="BA41:BJ41"/>
    <mergeCell ref="A45:L45"/>
    <mergeCell ref="M45:V45"/>
    <mergeCell ref="W45:AF45"/>
    <mergeCell ref="AG45:AP45"/>
    <mergeCell ref="AQ45:BJ45"/>
    <mergeCell ref="A46:L46"/>
    <mergeCell ref="M46:V46"/>
    <mergeCell ref="W46:AF46"/>
    <mergeCell ref="AG46:AP46"/>
    <mergeCell ref="AQ46:AZ46"/>
    <mergeCell ref="BA46:BJ46"/>
    <mergeCell ref="A47:L47"/>
    <mergeCell ref="M47:V47"/>
    <mergeCell ref="W47:AF47"/>
    <mergeCell ref="AG47:AP47"/>
    <mergeCell ref="AQ47:AZ47"/>
    <mergeCell ref="BA47:BJ47"/>
    <mergeCell ref="A48:L48"/>
    <mergeCell ref="M48:V48"/>
    <mergeCell ref="W48:AF48"/>
    <mergeCell ref="AG48:AP48"/>
    <mergeCell ref="AQ48:AZ48"/>
    <mergeCell ref="BA48:BJ48"/>
    <mergeCell ref="A49:L49"/>
    <mergeCell ref="M49:V49"/>
    <mergeCell ref="W49:AF49"/>
    <mergeCell ref="AG49:AP49"/>
    <mergeCell ref="AQ49:AZ49"/>
    <mergeCell ref="BA49:BJ49"/>
    <mergeCell ref="A51:T51"/>
    <mergeCell ref="A53:L53"/>
    <mergeCell ref="M53:V54"/>
    <mergeCell ref="W53:AF54"/>
    <mergeCell ref="AG53:AP54"/>
    <mergeCell ref="AQ53:BJ53"/>
    <mergeCell ref="A54:L54"/>
    <mergeCell ref="AQ54:AZ54"/>
    <mergeCell ref="BA54:BJ54"/>
    <mergeCell ref="A55:L55"/>
    <mergeCell ref="M55:V55"/>
    <mergeCell ref="W55:AF55"/>
    <mergeCell ref="AG55:AP55"/>
    <mergeCell ref="AQ55:AZ55"/>
    <mergeCell ref="BA55:BJ55"/>
    <mergeCell ref="A56:L56"/>
    <mergeCell ref="M56:V56"/>
    <mergeCell ref="W56:AF56"/>
    <mergeCell ref="AG56:AP56"/>
    <mergeCell ref="AQ56:AZ56"/>
    <mergeCell ref="BA56:BJ56"/>
    <mergeCell ref="A57:L57"/>
    <mergeCell ref="M57:V57"/>
    <mergeCell ref="W57:AF57"/>
    <mergeCell ref="AG57:AP57"/>
    <mergeCell ref="AQ57:AZ57"/>
    <mergeCell ref="BA57:BJ57"/>
    <mergeCell ref="A58:L58"/>
    <mergeCell ref="M58:V58"/>
    <mergeCell ref="W58:AF58"/>
    <mergeCell ref="AG58:AP58"/>
    <mergeCell ref="AQ58:AZ58"/>
    <mergeCell ref="BA58:BJ58"/>
  </mergeCells>
  <phoneticPr fontId="155"/>
  <conditionalFormatting sqref="B9 M33 M34 M35 M36 M38 M39 M40 M57 N9 N22 W33 W34 W35 W36 W38 W39 W40 W57">
    <cfRule type="expression" dxfId="6" priority="1">
      <formula>AND(入力色表示=1,NOT(_xlfn.ISFORMULA(B9)))</formula>
    </cfRule>
  </conditionalFormatting>
  <dataValidations count="17">
    <dataValidation allowBlank="1" showInputMessage="1" promptTitle="手入力セル" prompt="反映先：なし（このセルのみ）" sqref="B9 N9 N22"/>
    <dataValidation allowBlank="1" showInputMessage="1" promptTitle="手入力セル" prompt="反映先：報告_厚生年金P14 M32,AG33&#10;他の帳票：なし" sqref="M33"/>
    <dataValidation allowBlank="1" showInputMessage="1" promptTitle="手入力セル" prompt="反映先：報告_厚生年金P14 M32,AG34&#10;他の帳票：なし" sqref="M34"/>
    <dataValidation allowBlank="1" showInputMessage="1" promptTitle="手入力セル" prompt="反映先：報告_厚生年金P14 M32,AG35&#10;他の帳票：なし" sqref="M35"/>
    <dataValidation allowBlank="1" showInputMessage="1" promptTitle="手入力セル" prompt="反映先：報告_厚生年金P14 M32,AG36&#10;他の帳票：なし" sqref="M36"/>
    <dataValidation allowBlank="1" showInputMessage="1" promptTitle="手入力セル" prompt="反映先：報告_厚生年金P14 M37,AG38&#10;他の帳票：なし" sqref="M38"/>
    <dataValidation allowBlank="1" showInputMessage="1" promptTitle="手入力セル" prompt="反映先：報告_厚生年金P14 M37,AG39&#10;他の帳票：なし" sqref="M39"/>
    <dataValidation allowBlank="1" showInputMessage="1" promptTitle="手入力セル" prompt="反映先：報告_厚生年金P14 AG40&#10;他の帳票：なし" sqref="M40"/>
    <dataValidation allowBlank="1" showInputMessage="1" promptTitle="手入力セル" prompt="反映先：報告_厚生年金P14 M58,AG57&#10;他の帳票：なし" sqref="M57"/>
    <dataValidation allowBlank="1" showInputMessage="1" promptTitle="手入力セル" prompt="反映先：報告_厚生年金P14 W32,AG33,BA33&#10;他の帳票：厚生_貸借・損益、厚生_決算精算表" sqref="W33"/>
    <dataValidation allowBlank="1" showInputMessage="1" promptTitle="手入力セル" prompt="反映先：報告_厚生年金P14 W32,AG34,BA34&#10;他の帳票：厚生_貸借・損益、厚生_決算精算表" sqref="W34"/>
    <dataValidation allowBlank="1" showInputMessage="1" promptTitle="手入力セル" prompt="反映先：報告_厚生年金P14 W32,AG35,BA35&#10;他の帳票：厚生_貸借・損益、厚生_決算精算表" sqref="W35"/>
    <dataValidation allowBlank="1" showInputMessage="1" promptTitle="手入力セル" prompt="反映先：報告_厚生年金P14 W32,AG36,BA36&#10;他の帳票：厚生_貸借・損益、厚生_決算精算表" sqref="W36"/>
    <dataValidation allowBlank="1" showInputMessage="1" promptTitle="手入力セル" prompt="反映先：報告_厚生年金P14 W37,AG38,BA38&#10;他の帳票：厚生_貸借・損益、厚生_決算精算表" sqref="W38"/>
    <dataValidation allowBlank="1" showInputMessage="1" promptTitle="手入力セル" prompt="反映先：報告_厚生年金P14 W37,AG39,BA39&#10;他の帳票：厚生_貸借・損益、厚生_決算精算表" sqref="W39"/>
    <dataValidation allowBlank="1" showInputMessage="1" promptTitle="手入力セル" prompt="反映先：報告_厚生年金P14 AG40,BA40&#10;他の帳票：なし" sqref="W40"/>
    <dataValidation allowBlank="1" showInputMessage="1" promptTitle="手入力セル" prompt="反映先：報告_厚生年金P14 W58,AG57,BA57&#10;他の帳票：なし" sqref="W57"/>
  </dataValidations>
  <printOptions horizontalCentered="1"/>
  <pageMargins left="0.78749999999999998" right="0.59027777777777801" top="0.78749999999999998" bottom="0.59027777777777801" header="0.511811023622047" footer="0.39374999999999999"/>
  <pageSetup paperSize="9" scale="81" firstPageNumber="14" orientation="portrait" useFirstPageNumber="1" horizontalDpi="300" verticalDpi="300"/>
  <headerFooter>
    <oddFooter>&amp;C&amp;"ＭＳ 明朝,Regular"&amp;12－ &amp;P －</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6437E-B7CD-4C94-9D6F-E49F041D6BD6}">
  <sheetPr codeName="Sheet12"/>
  <dimension ref="A1:IW110"/>
  <sheetViews>
    <sheetView topLeftCell="A4" zoomScaleNormal="100" zoomScalePageLayoutView="60" workbookViewId="0">
      <selection activeCell="BA20" sqref="BA20:BJ20"/>
    </sheetView>
  </sheetViews>
  <sheetFormatPr defaultColWidth="1.6640625" defaultRowHeight="13.2"/>
  <cols>
    <col min="1"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596</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1887" t="s">
        <v>597</v>
      </c>
      <c r="B5" s="1887"/>
      <c r="C5" s="1887"/>
      <c r="D5" s="1887"/>
      <c r="E5" s="1887"/>
      <c r="F5" s="1887"/>
      <c r="G5" s="1887"/>
      <c r="H5" s="1887"/>
      <c r="I5" s="1887"/>
      <c r="J5" s="1887"/>
      <c r="K5" s="1887"/>
      <c r="L5" s="1887"/>
      <c r="M5" s="1887"/>
      <c r="N5" s="1887"/>
      <c r="O5" s="1887"/>
      <c r="P5" s="1887"/>
      <c r="Q5" s="1887"/>
      <c r="R5" s="1887"/>
      <c r="S5" s="1887"/>
      <c r="T5" s="1887"/>
      <c r="U5" s="1887"/>
      <c r="V5" s="1887"/>
      <c r="W5" s="1887"/>
      <c r="X5" s="1887"/>
      <c r="Y5" s="1887"/>
      <c r="Z5" s="1887"/>
      <c r="AA5" s="1887"/>
      <c r="AB5" s="1887"/>
      <c r="AC5" s="1887"/>
      <c r="AD5" s="1887"/>
      <c r="AE5" s="1887"/>
      <c r="AF5" s="1887"/>
      <c r="AG5" s="1887"/>
      <c r="AH5" s="1887"/>
      <c r="AI5" s="1887"/>
      <c r="AJ5" s="1887"/>
      <c r="AK5" s="1887"/>
      <c r="AL5" s="1887"/>
      <c r="AM5" s="1887"/>
      <c r="AN5" s="1887"/>
      <c r="AO5" s="1887"/>
      <c r="AP5" s="1887"/>
      <c r="AQ5" s="1887"/>
      <c r="AR5" s="1887"/>
    </row>
    <row r="6" spans="1:64" ht="18" customHeight="1">
      <c r="A6" s="321"/>
      <c r="B6" s="321"/>
      <c r="C6" s="321"/>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row>
    <row r="7" spans="1:64" ht="17.100000000000001" customHeight="1">
      <c r="A7" s="49"/>
      <c r="B7" s="49"/>
      <c r="C7" s="49"/>
      <c r="D7" s="49"/>
      <c r="E7" s="49"/>
      <c r="F7" s="49"/>
      <c r="G7" s="49"/>
      <c r="H7" s="49"/>
      <c r="I7" s="49"/>
      <c r="J7" s="49"/>
      <c r="L7" s="1888" t="s">
        <v>398</v>
      </c>
      <c r="M7" s="1888"/>
      <c r="N7" s="1888"/>
      <c r="O7" s="1888"/>
      <c r="P7" s="1888"/>
      <c r="Q7" s="1888"/>
      <c r="R7" s="1888"/>
      <c r="S7" s="1888"/>
      <c r="T7" s="1888"/>
      <c r="U7" s="1888"/>
      <c r="V7" s="1888"/>
      <c r="W7" s="1888"/>
      <c r="X7" s="1888"/>
      <c r="AW7" s="326"/>
      <c r="AX7" s="326"/>
      <c r="AY7" s="326"/>
      <c r="AZ7" s="326"/>
      <c r="BA7" s="326"/>
      <c r="BB7" s="326"/>
      <c r="BC7" s="326"/>
      <c r="BD7" s="326"/>
      <c r="BE7" s="326"/>
      <c r="BF7" s="326"/>
    </row>
    <row r="8" spans="1:64" ht="17.100000000000001" customHeight="1">
      <c r="A8" s="327"/>
      <c r="B8" s="328"/>
      <c r="C8" s="328"/>
      <c r="D8" s="328"/>
      <c r="E8" s="328"/>
      <c r="F8" s="328"/>
      <c r="G8" s="328"/>
      <c r="H8" s="1871" t="str">
        <f>"令和"&amp;IF((入力ガイド!$C$6)&gt;=10,MID("０１２３４５６７８９",INT((入力ガイド!$C$6)/10)+1,1),"")&amp;MID("０１２３４５６７８９",MOD((入力ガイド!$C$6),10)+1,1)&amp;"年度"</f>
        <v>令和７年度</v>
      </c>
      <c r="I8" s="1871"/>
      <c r="J8" s="1871"/>
      <c r="K8" s="1871"/>
      <c r="L8" s="1871"/>
      <c r="M8" s="1871"/>
      <c r="N8" s="1871"/>
      <c r="O8" s="1871"/>
      <c r="P8" s="1871"/>
      <c r="Q8" s="1871"/>
      <c r="R8" s="328"/>
      <c r="S8" s="329"/>
      <c r="T8" s="329"/>
      <c r="U8" s="329"/>
      <c r="V8" s="329"/>
      <c r="W8" s="329"/>
      <c r="X8" s="330"/>
      <c r="AF8" s="326"/>
      <c r="AG8" s="326"/>
      <c r="AH8" s="326"/>
      <c r="AI8" s="326"/>
      <c r="AJ8" s="326"/>
      <c r="AK8" s="326"/>
      <c r="AL8" s="326"/>
      <c r="AM8" s="326"/>
      <c r="AN8" s="326"/>
      <c r="AO8" s="326"/>
      <c r="AP8" s="326"/>
      <c r="AQ8" s="326"/>
      <c r="AR8" s="325"/>
      <c r="AY8" s="326"/>
      <c r="AZ8" s="326"/>
      <c r="BA8" s="326"/>
      <c r="BB8" s="326"/>
      <c r="BC8" s="326"/>
      <c r="BD8" s="326"/>
      <c r="BE8" s="326"/>
      <c r="BF8" s="326"/>
      <c r="BG8" s="326"/>
      <c r="BH8" s="326"/>
    </row>
    <row r="9" spans="1:64" ht="17.100000000000001" customHeight="1">
      <c r="A9" s="331"/>
      <c r="B9" s="1871" t="s">
        <v>598</v>
      </c>
      <c r="C9" s="1871"/>
      <c r="D9" s="1871"/>
      <c r="E9" s="1871"/>
      <c r="F9" s="1871"/>
      <c r="G9" s="1871"/>
      <c r="H9" s="1871"/>
      <c r="I9" s="1871"/>
      <c r="J9" s="1871"/>
      <c r="K9" s="1871"/>
      <c r="L9" s="332"/>
      <c r="M9" s="333"/>
      <c r="N9" s="1871" t="s">
        <v>401</v>
      </c>
      <c r="O9" s="1871"/>
      <c r="P9" s="1871"/>
      <c r="Q9" s="1871"/>
      <c r="R9" s="1871"/>
      <c r="S9" s="1871"/>
      <c r="T9" s="1871"/>
      <c r="U9" s="1871"/>
      <c r="V9" s="1871"/>
      <c r="W9" s="1871"/>
      <c r="X9" s="334"/>
      <c r="Y9" s="337"/>
      <c r="Z9" s="346"/>
      <c r="AA9" s="346"/>
      <c r="AB9" s="346"/>
      <c r="AC9" s="346"/>
      <c r="AD9" s="346"/>
      <c r="AE9" s="346"/>
      <c r="AF9" s="346"/>
      <c r="AG9" s="346"/>
      <c r="AH9" s="337"/>
      <c r="AI9" s="337"/>
      <c r="AJ9" s="346"/>
      <c r="AK9" s="346"/>
      <c r="AL9" s="346"/>
      <c r="AM9" s="346"/>
      <c r="AN9" s="346"/>
      <c r="AO9" s="346"/>
      <c r="AP9" s="346"/>
      <c r="AQ9" s="346"/>
      <c r="AR9" s="322"/>
    </row>
    <row r="10" spans="1:64" ht="17.100000000000001" customHeight="1">
      <c r="A10" s="338"/>
      <c r="B10" s="2137">
        <v>7.5</v>
      </c>
      <c r="C10" s="2138"/>
      <c r="D10" s="2138"/>
      <c r="E10" s="2138"/>
      <c r="F10" s="2138"/>
      <c r="G10" s="2138"/>
      <c r="H10" s="2138"/>
      <c r="I10" s="2138"/>
      <c r="J10" s="2138"/>
      <c r="K10" s="2138"/>
      <c r="L10" s="339"/>
      <c r="M10" s="336"/>
      <c r="N10" s="2137">
        <v>7.5</v>
      </c>
      <c r="O10" s="2138"/>
      <c r="P10" s="2138"/>
      <c r="Q10" s="2138"/>
      <c r="R10" s="2138"/>
      <c r="S10" s="2138"/>
      <c r="T10" s="2138"/>
      <c r="U10" s="2138"/>
      <c r="V10" s="2138"/>
      <c r="W10" s="2138"/>
      <c r="X10" s="340"/>
      <c r="Y10" s="337"/>
      <c r="Z10" s="346"/>
      <c r="AA10" s="346"/>
      <c r="AB10" s="346"/>
      <c r="AC10" s="346"/>
      <c r="AD10" s="346"/>
      <c r="AE10" s="346"/>
      <c r="AF10" s="346"/>
      <c r="AG10" s="346"/>
      <c r="AH10" s="337"/>
      <c r="AI10" s="337"/>
      <c r="AJ10" s="346"/>
      <c r="AK10" s="346"/>
      <c r="AL10" s="346"/>
      <c r="AM10" s="346"/>
      <c r="AN10" s="346"/>
      <c r="AO10" s="346"/>
      <c r="AP10" s="346"/>
      <c r="AQ10" s="346"/>
      <c r="AR10" s="322"/>
    </row>
    <row r="11" spans="1:64" ht="17.100000000000001" customHeight="1">
      <c r="A11" s="341"/>
      <c r="B11" s="2138"/>
      <c r="C11" s="2138"/>
      <c r="D11" s="2138"/>
      <c r="E11" s="2138"/>
      <c r="F11" s="2138"/>
      <c r="G11" s="2138"/>
      <c r="H11" s="2138"/>
      <c r="I11" s="2138"/>
      <c r="J11" s="2138"/>
      <c r="K11" s="2138"/>
      <c r="L11" s="342"/>
      <c r="M11" s="343"/>
      <c r="N11" s="2138"/>
      <c r="O11" s="2138"/>
      <c r="P11" s="2138"/>
      <c r="Q11" s="2138"/>
      <c r="R11" s="2138"/>
      <c r="S11" s="2138"/>
      <c r="T11" s="2138"/>
      <c r="U11" s="2138"/>
      <c r="V11" s="2138"/>
      <c r="W11" s="2138"/>
      <c r="X11" s="342"/>
    </row>
    <row r="12" spans="1:64" ht="17.100000000000001" customHeight="1">
      <c r="A12" s="322"/>
      <c r="B12" s="326"/>
      <c r="C12" s="326"/>
      <c r="D12" s="326"/>
      <c r="E12" s="326"/>
      <c r="F12" s="326"/>
      <c r="G12" s="326"/>
      <c r="H12" s="326"/>
      <c r="I12" s="326"/>
      <c r="J12" s="326"/>
      <c r="K12" s="326"/>
      <c r="L12" s="322"/>
      <c r="M12" s="322"/>
      <c r="N12" s="344"/>
      <c r="O12" s="344"/>
      <c r="P12" s="344"/>
      <c r="Q12" s="344"/>
      <c r="R12" s="344"/>
      <c r="S12" s="344"/>
      <c r="T12" s="344"/>
      <c r="U12" s="344"/>
      <c r="V12" s="344"/>
      <c r="W12" s="344"/>
      <c r="X12" s="322"/>
    </row>
    <row r="13" spans="1:64" ht="17.100000000000001" customHeight="1">
      <c r="A13" s="1887" t="s">
        <v>599</v>
      </c>
      <c r="B13" s="1887"/>
      <c r="C13" s="1887"/>
      <c r="D13" s="1887"/>
      <c r="E13" s="1887"/>
      <c r="F13" s="1887"/>
      <c r="G13" s="1887"/>
      <c r="H13" s="1887"/>
      <c r="I13" s="1887"/>
      <c r="J13" s="1887"/>
      <c r="K13" s="1887"/>
      <c r="L13" s="1887"/>
      <c r="M13" s="1887"/>
      <c r="N13" s="1887"/>
      <c r="O13" s="1887"/>
      <c r="P13" s="1887"/>
      <c r="Q13" s="1887"/>
      <c r="R13" s="1887"/>
      <c r="S13" s="1887"/>
      <c r="T13" s="1887"/>
      <c r="U13" s="1887"/>
      <c r="V13" s="1887"/>
      <c r="W13" s="1887"/>
      <c r="X13" s="1887"/>
      <c r="Y13" s="1887"/>
      <c r="Z13" s="1887"/>
      <c r="AA13" s="1887"/>
      <c r="AB13" s="1887"/>
      <c r="AC13" s="1887"/>
      <c r="AD13" s="1887"/>
      <c r="AE13" s="1887"/>
      <c r="AF13" s="1887"/>
      <c r="AG13" s="1887"/>
      <c r="AH13" s="1887"/>
      <c r="AI13" s="1887"/>
      <c r="AJ13" s="1887"/>
      <c r="AK13" s="1887"/>
      <c r="AL13" s="1887"/>
      <c r="AM13" s="1887"/>
      <c r="AN13" s="1887"/>
      <c r="AO13" s="1887"/>
      <c r="AP13" s="1887"/>
      <c r="AQ13" s="1887"/>
      <c r="AR13" s="1887"/>
    </row>
    <row r="14" spans="1:64" ht="17.100000000000001" customHeight="1">
      <c r="A14" s="321"/>
      <c r="B14" s="321"/>
      <c r="D14" s="321"/>
      <c r="E14" s="321"/>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row>
    <row r="15" spans="1:64" ht="17.100000000000001" customHeight="1">
      <c r="A15" s="1887" t="s">
        <v>579</v>
      </c>
      <c r="B15" s="1887"/>
      <c r="C15" s="1887"/>
      <c r="D15" s="1887"/>
      <c r="E15" s="1887"/>
      <c r="F15" s="1887"/>
      <c r="G15" s="1887"/>
      <c r="H15" s="1887"/>
      <c r="I15" s="1887"/>
      <c r="J15" s="1887"/>
      <c r="K15" s="1887"/>
      <c r="L15" s="1887"/>
      <c r="M15" s="1887"/>
      <c r="N15" s="1887"/>
      <c r="O15" s="1887"/>
      <c r="P15" s="1887"/>
      <c r="Q15" s="1887"/>
      <c r="R15" s="1887"/>
      <c r="S15" s="344"/>
      <c r="T15" s="344"/>
      <c r="U15" s="344"/>
      <c r="V15" s="344"/>
      <c r="W15" s="344"/>
      <c r="X15" s="322"/>
    </row>
    <row r="16" spans="1:64" ht="17.100000000000001" customHeight="1">
      <c r="A16" s="322"/>
      <c r="B16" s="326"/>
      <c r="C16" s="326"/>
      <c r="D16" s="326"/>
      <c r="E16" s="326"/>
      <c r="F16" s="326"/>
      <c r="G16" s="326"/>
      <c r="H16" s="326"/>
      <c r="I16" s="326"/>
      <c r="J16" s="326"/>
      <c r="K16" s="326"/>
      <c r="L16" s="322"/>
      <c r="M16" s="322"/>
      <c r="N16" s="344"/>
      <c r="O16" s="344"/>
      <c r="P16" s="344"/>
      <c r="Q16" s="344"/>
      <c r="R16" s="344"/>
      <c r="S16" s="344"/>
      <c r="T16" s="344"/>
      <c r="U16" s="344"/>
      <c r="V16" s="344"/>
      <c r="W16" s="344"/>
      <c r="X16" s="322"/>
      <c r="AI16" s="349"/>
      <c r="AJ16" s="349"/>
      <c r="AK16" s="349"/>
      <c r="AL16" s="349"/>
      <c r="AM16" s="349"/>
      <c r="AN16" s="349"/>
      <c r="AO16" s="349"/>
      <c r="AP16" s="349"/>
      <c r="AQ16" s="349"/>
      <c r="AR16" s="349"/>
      <c r="AS16" s="349"/>
      <c r="AT16" s="350"/>
      <c r="BF16" s="351" t="s">
        <v>408</v>
      </c>
    </row>
    <row r="17" spans="1:70" s="81" customFormat="1" ht="17.25" customHeight="1">
      <c r="A17" s="1879" t="s">
        <v>580</v>
      </c>
      <c r="B17" s="1879"/>
      <c r="C17" s="1879"/>
      <c r="D17" s="1879"/>
      <c r="E17" s="1879"/>
      <c r="F17" s="1879"/>
      <c r="G17" s="1879"/>
      <c r="H17" s="1879"/>
      <c r="I17" s="1879"/>
      <c r="J17" s="1879"/>
      <c r="K17" s="1879"/>
      <c r="L17" s="1879"/>
      <c r="M17" s="1845" t="s">
        <v>581</v>
      </c>
      <c r="N17" s="1845"/>
      <c r="O17" s="1845"/>
      <c r="P17" s="1845"/>
      <c r="Q17" s="1845"/>
      <c r="R17" s="1845"/>
      <c r="S17" s="1845"/>
      <c r="T17" s="1845"/>
      <c r="U17" s="1845"/>
      <c r="V17" s="1845"/>
      <c r="W17" s="1845" t="s">
        <v>582</v>
      </c>
      <c r="X17" s="1845"/>
      <c r="Y17" s="1845"/>
      <c r="Z17" s="1845"/>
      <c r="AA17" s="1845"/>
      <c r="AB17" s="1845"/>
      <c r="AC17" s="1845"/>
      <c r="AD17" s="1845"/>
      <c r="AE17" s="1845"/>
      <c r="AF17" s="1845"/>
      <c r="AG17" s="1845" t="s">
        <v>356</v>
      </c>
      <c r="AH17" s="1845"/>
      <c r="AI17" s="1845"/>
      <c r="AJ17" s="1845"/>
      <c r="AK17" s="1845"/>
      <c r="AL17" s="1845"/>
      <c r="AM17" s="1845"/>
      <c r="AN17" s="1845"/>
      <c r="AO17" s="1845"/>
      <c r="AP17" s="1845"/>
      <c r="AQ17" s="1861" t="s">
        <v>377</v>
      </c>
      <c r="AR17" s="1861"/>
      <c r="AS17" s="1861"/>
      <c r="AT17" s="1861"/>
      <c r="AU17" s="1861"/>
      <c r="AV17" s="1861"/>
      <c r="AW17" s="1861"/>
      <c r="AX17" s="1861"/>
      <c r="AY17" s="1861"/>
      <c r="AZ17" s="1861"/>
      <c r="BA17" s="1861"/>
      <c r="BB17" s="1861"/>
      <c r="BC17" s="1861"/>
      <c r="BD17" s="1861"/>
      <c r="BE17" s="1861"/>
      <c r="BF17" s="1861"/>
      <c r="BG17" s="1861"/>
      <c r="BH17" s="1861"/>
      <c r="BI17" s="1861"/>
      <c r="BJ17" s="1861"/>
    </row>
    <row r="18" spans="1:70" s="81" customFormat="1" ht="17.25" customHeight="1">
      <c r="A18" s="1851" t="s">
        <v>583</v>
      </c>
      <c r="B18" s="1851"/>
      <c r="C18" s="1851"/>
      <c r="D18" s="1851"/>
      <c r="E18" s="1851"/>
      <c r="F18" s="1851"/>
      <c r="G18" s="1851"/>
      <c r="H18" s="1851"/>
      <c r="I18" s="1851"/>
      <c r="J18" s="1851"/>
      <c r="K18" s="1851"/>
      <c r="L18" s="1851"/>
      <c r="M18" s="1845"/>
      <c r="N18" s="1845"/>
      <c r="O18" s="1845"/>
      <c r="P18" s="1845"/>
      <c r="Q18" s="1845"/>
      <c r="R18" s="1845"/>
      <c r="S18" s="1845"/>
      <c r="T18" s="1845"/>
      <c r="U18" s="1845"/>
      <c r="V18" s="1845"/>
      <c r="W18" s="1845"/>
      <c r="X18" s="1845"/>
      <c r="Y18" s="1845"/>
      <c r="Z18" s="1845"/>
      <c r="AA18" s="1845"/>
      <c r="AB18" s="1845"/>
      <c r="AC18" s="1845"/>
      <c r="AD18" s="1845"/>
      <c r="AE18" s="1845"/>
      <c r="AF18" s="1845"/>
      <c r="AG18" s="1845"/>
      <c r="AH18" s="1845"/>
      <c r="AI18" s="1845"/>
      <c r="AJ18" s="1845"/>
      <c r="AK18" s="1845"/>
      <c r="AL18" s="1845"/>
      <c r="AM18" s="1845"/>
      <c r="AN18" s="1845"/>
      <c r="AO18" s="1845"/>
      <c r="AP18" s="1845"/>
      <c r="AQ18" s="1860" t="s">
        <v>378</v>
      </c>
      <c r="AR18" s="1860"/>
      <c r="AS18" s="1860"/>
      <c r="AT18" s="1860"/>
      <c r="AU18" s="1860"/>
      <c r="AV18" s="1860"/>
      <c r="AW18" s="1860"/>
      <c r="AX18" s="1860"/>
      <c r="AY18" s="1860"/>
      <c r="AZ18" s="1860"/>
      <c r="BA18" s="1860" t="s">
        <v>356</v>
      </c>
      <c r="BB18" s="1860"/>
      <c r="BC18" s="1860"/>
      <c r="BD18" s="1860"/>
      <c r="BE18" s="1860"/>
      <c r="BF18" s="1860"/>
      <c r="BG18" s="1860"/>
      <c r="BH18" s="1860"/>
      <c r="BI18" s="1860"/>
      <c r="BJ18" s="1860"/>
    </row>
    <row r="19" spans="1:70" s="81" customFormat="1" ht="17.25" customHeight="1">
      <c r="A19" s="1861" t="s">
        <v>125</v>
      </c>
      <c r="B19" s="1861"/>
      <c r="C19" s="1861"/>
      <c r="D19" s="1861"/>
      <c r="E19" s="1861"/>
      <c r="F19" s="1861"/>
      <c r="G19" s="1861"/>
      <c r="H19" s="1861"/>
      <c r="I19" s="1861"/>
      <c r="J19" s="1861"/>
      <c r="K19" s="1861"/>
      <c r="L19" s="1861"/>
      <c r="M19" s="1890">
        <f>SUM(M20:V21)</f>
        <v>612974000</v>
      </c>
      <c r="N19" s="1890"/>
      <c r="O19" s="1890"/>
      <c r="P19" s="1890"/>
      <c r="Q19" s="1890"/>
      <c r="R19" s="1890"/>
      <c r="S19" s="1890"/>
      <c r="T19" s="1890"/>
      <c r="U19" s="1890"/>
      <c r="V19" s="1890"/>
      <c r="W19" s="1890">
        <f>SUM(W20:AF21)</f>
        <v>634159455</v>
      </c>
      <c r="X19" s="1890"/>
      <c r="Y19" s="1890"/>
      <c r="Z19" s="1890"/>
      <c r="AA19" s="1890"/>
      <c r="AB19" s="1890"/>
      <c r="AC19" s="1890"/>
      <c r="AD19" s="1890"/>
      <c r="AE19" s="1890"/>
      <c r="AF19" s="1890"/>
      <c r="AG19" s="1886">
        <f t="shared" ref="AG19:AG26" si="0">W19-M19</f>
        <v>21185455</v>
      </c>
      <c r="AH19" s="1886"/>
      <c r="AI19" s="1886"/>
      <c r="AJ19" s="1886"/>
      <c r="AK19" s="1886"/>
      <c r="AL19" s="1886"/>
      <c r="AM19" s="1886"/>
      <c r="AN19" s="1886"/>
      <c r="AO19" s="1886"/>
      <c r="AP19" s="1886"/>
      <c r="AQ19" s="1890">
        <f>SUM(AQ20:AZ21)</f>
        <v>616165527</v>
      </c>
      <c r="AR19" s="1890"/>
      <c r="AS19" s="1890"/>
      <c r="AT19" s="1890"/>
      <c r="AU19" s="1890"/>
      <c r="AV19" s="1890"/>
      <c r="AW19" s="1890"/>
      <c r="AX19" s="1890"/>
      <c r="AY19" s="1890"/>
      <c r="AZ19" s="1890"/>
      <c r="BA19" s="1886">
        <f t="shared" ref="BA19:BA26" si="1">W19-AQ19</f>
        <v>17993928</v>
      </c>
      <c r="BB19" s="1886"/>
      <c r="BC19" s="1886"/>
      <c r="BD19" s="1886"/>
      <c r="BE19" s="1886"/>
      <c r="BF19" s="1886"/>
      <c r="BG19" s="1886"/>
      <c r="BH19" s="1886"/>
      <c r="BI19" s="1886"/>
      <c r="BJ19" s="1886"/>
    </row>
    <row r="20" spans="1:70" s="81" customFormat="1" ht="17.25" customHeight="1">
      <c r="A20" s="1860" t="s">
        <v>114</v>
      </c>
      <c r="B20" s="1860"/>
      <c r="C20" s="1860"/>
      <c r="D20" s="1860"/>
      <c r="E20" s="1860"/>
      <c r="F20" s="1860"/>
      <c r="G20" s="1860"/>
      <c r="H20" s="1860"/>
      <c r="I20" s="1860"/>
      <c r="J20" s="1860"/>
      <c r="K20" s="1860"/>
      <c r="L20" s="1860"/>
      <c r="M20" s="1893">
        <v>462077000</v>
      </c>
      <c r="N20" s="1885"/>
      <c r="O20" s="1885"/>
      <c r="P20" s="1885"/>
      <c r="Q20" s="1885"/>
      <c r="R20" s="1885"/>
      <c r="S20" s="1885"/>
      <c r="T20" s="1885"/>
      <c r="U20" s="1885"/>
      <c r="V20" s="1885"/>
      <c r="W20" s="1893">
        <v>472546683</v>
      </c>
      <c r="X20" s="1885"/>
      <c r="Y20" s="1885"/>
      <c r="Z20" s="1885"/>
      <c r="AA20" s="1885"/>
      <c r="AB20" s="1885"/>
      <c r="AC20" s="1885"/>
      <c r="AD20" s="1885"/>
      <c r="AE20" s="1885"/>
      <c r="AF20" s="1885"/>
      <c r="AG20" s="1886">
        <f t="shared" si="0"/>
        <v>10469683</v>
      </c>
      <c r="AH20" s="1886"/>
      <c r="AI20" s="1886"/>
      <c r="AJ20" s="1886"/>
      <c r="AK20" s="1886"/>
      <c r="AL20" s="1886"/>
      <c r="AM20" s="1886"/>
      <c r="AN20" s="1886"/>
      <c r="AO20" s="1886"/>
      <c r="AP20" s="1886"/>
      <c r="AQ20" s="1885">
        <f>前年度貼付!$E$194</f>
        <v>461340943</v>
      </c>
      <c r="AR20" s="1885"/>
      <c r="AS20" s="1885"/>
      <c r="AT20" s="1885"/>
      <c r="AU20" s="1885"/>
      <c r="AV20" s="1885"/>
      <c r="AW20" s="1885"/>
      <c r="AX20" s="1885"/>
      <c r="AY20" s="1885"/>
      <c r="AZ20" s="1885"/>
      <c r="BA20" s="1886">
        <f t="shared" si="1"/>
        <v>11205740</v>
      </c>
      <c r="BB20" s="1886"/>
      <c r="BC20" s="1886"/>
      <c r="BD20" s="1886"/>
      <c r="BE20" s="1886"/>
      <c r="BF20" s="1886"/>
      <c r="BG20" s="1886"/>
      <c r="BH20" s="1886"/>
      <c r="BI20" s="1886"/>
      <c r="BJ20" s="1886"/>
    </row>
    <row r="21" spans="1:70" s="81" customFormat="1" ht="17.25" customHeight="1">
      <c r="A21" s="1860" t="s">
        <v>115</v>
      </c>
      <c r="B21" s="1860"/>
      <c r="C21" s="1860"/>
      <c r="D21" s="1860"/>
      <c r="E21" s="1860"/>
      <c r="F21" s="1860"/>
      <c r="G21" s="1860"/>
      <c r="H21" s="1860"/>
      <c r="I21" s="1860"/>
      <c r="J21" s="1860"/>
      <c r="K21" s="1860"/>
      <c r="L21" s="1860"/>
      <c r="M21" s="1893">
        <v>150897000</v>
      </c>
      <c r="N21" s="1885"/>
      <c r="O21" s="1885"/>
      <c r="P21" s="1885"/>
      <c r="Q21" s="1885"/>
      <c r="R21" s="1885"/>
      <c r="S21" s="1885"/>
      <c r="T21" s="1885"/>
      <c r="U21" s="1885"/>
      <c r="V21" s="1885"/>
      <c r="W21" s="1893">
        <v>161612772</v>
      </c>
      <c r="X21" s="1885"/>
      <c r="Y21" s="1885"/>
      <c r="Z21" s="1885"/>
      <c r="AA21" s="1885"/>
      <c r="AB21" s="1885"/>
      <c r="AC21" s="1885"/>
      <c r="AD21" s="1885"/>
      <c r="AE21" s="1885"/>
      <c r="AF21" s="1885"/>
      <c r="AG21" s="1886">
        <f t="shared" si="0"/>
        <v>10715772</v>
      </c>
      <c r="AH21" s="1886"/>
      <c r="AI21" s="1886"/>
      <c r="AJ21" s="1886"/>
      <c r="AK21" s="1886"/>
      <c r="AL21" s="1886"/>
      <c r="AM21" s="1886"/>
      <c r="AN21" s="1886"/>
      <c r="AO21" s="1886"/>
      <c r="AP21" s="1886"/>
      <c r="AQ21" s="1885">
        <f>前年度貼付!$E$195</f>
        <v>154824584</v>
      </c>
      <c r="AR21" s="1885"/>
      <c r="AS21" s="1885"/>
      <c r="AT21" s="1885"/>
      <c r="AU21" s="1885"/>
      <c r="AV21" s="1885"/>
      <c r="AW21" s="1885"/>
      <c r="AX21" s="1885"/>
      <c r="AY21" s="1885"/>
      <c r="AZ21" s="1885"/>
      <c r="BA21" s="1886">
        <f t="shared" si="1"/>
        <v>6788188</v>
      </c>
      <c r="BB21" s="1886"/>
      <c r="BC21" s="1886"/>
      <c r="BD21" s="1886"/>
      <c r="BE21" s="1886"/>
      <c r="BF21" s="1886"/>
      <c r="BG21" s="1886"/>
      <c r="BH21" s="1886"/>
      <c r="BI21" s="1886"/>
      <c r="BJ21" s="1886"/>
    </row>
    <row r="22" spans="1:70" s="81" customFormat="1" ht="17.25" customHeight="1">
      <c r="A22" s="1861" t="s">
        <v>196</v>
      </c>
      <c r="B22" s="1861"/>
      <c r="C22" s="1861"/>
      <c r="D22" s="1861"/>
      <c r="E22" s="1861"/>
      <c r="F22" s="1861"/>
      <c r="G22" s="1861"/>
      <c r="H22" s="1861"/>
      <c r="I22" s="1861"/>
      <c r="J22" s="1861"/>
      <c r="K22" s="1861"/>
      <c r="L22" s="1861"/>
      <c r="M22" s="1890">
        <f>SUM(M23:V24)</f>
        <v>612974000</v>
      </c>
      <c r="N22" s="1890"/>
      <c r="O22" s="1890"/>
      <c r="P22" s="1890"/>
      <c r="Q22" s="1890"/>
      <c r="R22" s="1890"/>
      <c r="S22" s="1890"/>
      <c r="T22" s="1890"/>
      <c r="U22" s="1890"/>
      <c r="V22" s="1890"/>
      <c r="W22" s="1890">
        <f>SUM(W23:AF24)</f>
        <v>634205895</v>
      </c>
      <c r="X22" s="1890"/>
      <c r="Y22" s="1890"/>
      <c r="Z22" s="1890"/>
      <c r="AA22" s="1890"/>
      <c r="AB22" s="1890"/>
      <c r="AC22" s="1890"/>
      <c r="AD22" s="1890"/>
      <c r="AE22" s="1890"/>
      <c r="AF22" s="1890"/>
      <c r="AG22" s="1886">
        <f t="shared" si="0"/>
        <v>21231895</v>
      </c>
      <c r="AH22" s="1886"/>
      <c r="AI22" s="1886"/>
      <c r="AJ22" s="1886"/>
      <c r="AK22" s="1886"/>
      <c r="AL22" s="1886"/>
      <c r="AM22" s="1886"/>
      <c r="AN22" s="1886"/>
      <c r="AO22" s="1886"/>
      <c r="AP22" s="1886"/>
      <c r="AQ22" s="1890">
        <f>SUM(AQ23:AZ24)</f>
        <v>616101041</v>
      </c>
      <c r="AR22" s="1890"/>
      <c r="AS22" s="1890"/>
      <c r="AT22" s="1890"/>
      <c r="AU22" s="1890"/>
      <c r="AV22" s="1890"/>
      <c r="AW22" s="1890"/>
      <c r="AX22" s="1890"/>
      <c r="AY22" s="1890"/>
      <c r="AZ22" s="1890"/>
      <c r="BA22" s="1886">
        <f t="shared" si="1"/>
        <v>18104854</v>
      </c>
      <c r="BB22" s="1886"/>
      <c r="BC22" s="1886"/>
      <c r="BD22" s="1886"/>
      <c r="BE22" s="1886"/>
      <c r="BF22" s="1886"/>
      <c r="BG22" s="1886"/>
      <c r="BH22" s="1886"/>
      <c r="BI22" s="1886"/>
      <c r="BJ22" s="1886"/>
    </row>
    <row r="23" spans="1:70" s="81" customFormat="1" ht="17.25" customHeight="1">
      <c r="A23" s="1860" t="s">
        <v>114</v>
      </c>
      <c r="B23" s="1860"/>
      <c r="C23" s="1860"/>
      <c r="D23" s="1860"/>
      <c r="E23" s="1860"/>
      <c r="F23" s="1860"/>
      <c r="G23" s="1860"/>
      <c r="H23" s="1860"/>
      <c r="I23" s="1860"/>
      <c r="J23" s="1860"/>
      <c r="K23" s="1860"/>
      <c r="L23" s="1860"/>
      <c r="M23" s="1893">
        <v>462077000</v>
      </c>
      <c r="N23" s="1885"/>
      <c r="O23" s="1885"/>
      <c r="P23" s="1885"/>
      <c r="Q23" s="1885"/>
      <c r="R23" s="1885"/>
      <c r="S23" s="1885"/>
      <c r="T23" s="1885"/>
      <c r="U23" s="1885"/>
      <c r="V23" s="1885"/>
      <c r="W23" s="1893">
        <v>472518734</v>
      </c>
      <c r="X23" s="1885"/>
      <c r="Y23" s="1885"/>
      <c r="Z23" s="1885"/>
      <c r="AA23" s="1885"/>
      <c r="AB23" s="1885"/>
      <c r="AC23" s="1885"/>
      <c r="AD23" s="1885"/>
      <c r="AE23" s="1885"/>
      <c r="AF23" s="1885"/>
      <c r="AG23" s="1886">
        <f t="shared" si="0"/>
        <v>10441734</v>
      </c>
      <c r="AH23" s="1886"/>
      <c r="AI23" s="1886"/>
      <c r="AJ23" s="1886"/>
      <c r="AK23" s="1886"/>
      <c r="AL23" s="1886"/>
      <c r="AM23" s="1886"/>
      <c r="AN23" s="1886"/>
      <c r="AO23" s="1886"/>
      <c r="AP23" s="1886"/>
      <c r="AQ23" s="1885">
        <f>前年度貼付!$E$196</f>
        <v>461252949</v>
      </c>
      <c r="AR23" s="1885"/>
      <c r="AS23" s="1885"/>
      <c r="AT23" s="1885"/>
      <c r="AU23" s="1885"/>
      <c r="AV23" s="1885"/>
      <c r="AW23" s="1885"/>
      <c r="AX23" s="1885"/>
      <c r="AY23" s="1885"/>
      <c r="AZ23" s="1885"/>
      <c r="BA23" s="1886">
        <f t="shared" si="1"/>
        <v>11265785</v>
      </c>
      <c r="BB23" s="1886"/>
      <c r="BC23" s="1886"/>
      <c r="BD23" s="1886"/>
      <c r="BE23" s="1886"/>
      <c r="BF23" s="1886"/>
      <c r="BG23" s="1886"/>
      <c r="BH23" s="1886"/>
      <c r="BI23" s="1886"/>
      <c r="BJ23" s="1886"/>
    </row>
    <row r="24" spans="1:70" s="81" customFormat="1" ht="17.25" customHeight="1">
      <c r="A24" s="1860" t="s">
        <v>115</v>
      </c>
      <c r="B24" s="1860"/>
      <c r="C24" s="1860"/>
      <c r="D24" s="1860"/>
      <c r="E24" s="1860"/>
      <c r="F24" s="1860"/>
      <c r="G24" s="1860"/>
      <c r="H24" s="1860"/>
      <c r="I24" s="1860"/>
      <c r="J24" s="1860"/>
      <c r="K24" s="1860"/>
      <c r="L24" s="1860"/>
      <c r="M24" s="1893">
        <v>150897000</v>
      </c>
      <c r="N24" s="1885"/>
      <c r="O24" s="1885"/>
      <c r="P24" s="1885"/>
      <c r="Q24" s="1885"/>
      <c r="R24" s="1885"/>
      <c r="S24" s="1885"/>
      <c r="T24" s="1885"/>
      <c r="U24" s="1885"/>
      <c r="V24" s="1885"/>
      <c r="W24" s="1893">
        <v>161687161</v>
      </c>
      <c r="X24" s="1885"/>
      <c r="Y24" s="1885"/>
      <c r="Z24" s="1885"/>
      <c r="AA24" s="1885"/>
      <c r="AB24" s="1885"/>
      <c r="AC24" s="1885"/>
      <c r="AD24" s="1885"/>
      <c r="AE24" s="1885"/>
      <c r="AF24" s="1885"/>
      <c r="AG24" s="1886">
        <f t="shared" si="0"/>
        <v>10790161</v>
      </c>
      <c r="AH24" s="1886"/>
      <c r="AI24" s="1886"/>
      <c r="AJ24" s="1886"/>
      <c r="AK24" s="1886"/>
      <c r="AL24" s="1886"/>
      <c r="AM24" s="1886"/>
      <c r="AN24" s="1886"/>
      <c r="AO24" s="1886"/>
      <c r="AP24" s="1886"/>
      <c r="AQ24" s="1885">
        <f>前年度貼付!$E$197</f>
        <v>154848092</v>
      </c>
      <c r="AR24" s="1885"/>
      <c r="AS24" s="1885"/>
      <c r="AT24" s="1885"/>
      <c r="AU24" s="1885"/>
      <c r="AV24" s="1885"/>
      <c r="AW24" s="1885"/>
      <c r="AX24" s="1885"/>
      <c r="AY24" s="1885"/>
      <c r="AZ24" s="1885"/>
      <c r="BA24" s="1886">
        <f t="shared" si="1"/>
        <v>6839069</v>
      </c>
      <c r="BB24" s="1886"/>
      <c r="BC24" s="1886"/>
      <c r="BD24" s="1886"/>
      <c r="BE24" s="1886"/>
      <c r="BF24" s="1886"/>
      <c r="BG24" s="1886"/>
      <c r="BH24" s="1886"/>
      <c r="BI24" s="1886"/>
      <c r="BJ24" s="1886"/>
    </row>
    <row r="25" spans="1:70" s="81" customFormat="1" ht="17.25" customHeight="1">
      <c r="A25" s="1861" t="s">
        <v>108</v>
      </c>
      <c r="B25" s="1861"/>
      <c r="C25" s="1861"/>
      <c r="D25" s="1861"/>
      <c r="E25" s="1861"/>
      <c r="F25" s="1861"/>
      <c r="G25" s="1861"/>
      <c r="H25" s="1861"/>
      <c r="I25" s="1861"/>
      <c r="J25" s="1861"/>
      <c r="K25" s="1861"/>
      <c r="L25" s="1861"/>
      <c r="M25" s="1893">
        <v>0</v>
      </c>
      <c r="N25" s="1885"/>
      <c r="O25" s="1885"/>
      <c r="P25" s="1885"/>
      <c r="Q25" s="1885"/>
      <c r="R25" s="1885"/>
      <c r="S25" s="1885"/>
      <c r="T25" s="1885"/>
      <c r="U25" s="1885"/>
      <c r="V25" s="1885"/>
      <c r="W25" s="1893">
        <v>0</v>
      </c>
      <c r="X25" s="1885"/>
      <c r="Y25" s="1885"/>
      <c r="Z25" s="1885"/>
      <c r="AA25" s="1885"/>
      <c r="AB25" s="1885"/>
      <c r="AC25" s="1885"/>
      <c r="AD25" s="1885"/>
      <c r="AE25" s="1885"/>
      <c r="AF25" s="1885"/>
      <c r="AG25" s="1886">
        <f t="shared" si="0"/>
        <v>0</v>
      </c>
      <c r="AH25" s="1886"/>
      <c r="AI25" s="1886"/>
      <c r="AJ25" s="1886"/>
      <c r="AK25" s="1886"/>
      <c r="AL25" s="1886"/>
      <c r="AM25" s="1886"/>
      <c r="AN25" s="1886"/>
      <c r="AO25" s="1886"/>
      <c r="AP25" s="1886"/>
      <c r="AQ25" s="1885">
        <f>前年度貼付!$E$198</f>
        <v>0</v>
      </c>
      <c r="AR25" s="1885"/>
      <c r="AS25" s="1885"/>
      <c r="AT25" s="1885"/>
      <c r="AU25" s="1885"/>
      <c r="AV25" s="1885"/>
      <c r="AW25" s="1885"/>
      <c r="AX25" s="1885"/>
      <c r="AY25" s="1885"/>
      <c r="AZ25" s="1885"/>
      <c r="BA25" s="1886">
        <f t="shared" si="1"/>
        <v>0</v>
      </c>
      <c r="BB25" s="1886"/>
      <c r="BC25" s="1886"/>
      <c r="BD25" s="1886"/>
      <c r="BE25" s="1886"/>
      <c r="BF25" s="1886"/>
      <c r="BG25" s="1886"/>
      <c r="BH25" s="1886"/>
      <c r="BI25" s="1886"/>
      <c r="BJ25" s="1886"/>
    </row>
    <row r="26" spans="1:70" s="81" customFormat="1" ht="17.25" customHeight="1">
      <c r="A26" s="1861" t="s">
        <v>413</v>
      </c>
      <c r="B26" s="1861"/>
      <c r="C26" s="1861"/>
      <c r="D26" s="1861"/>
      <c r="E26" s="1861"/>
      <c r="F26" s="1861"/>
      <c r="G26" s="1861"/>
      <c r="H26" s="1861"/>
      <c r="I26" s="1861"/>
      <c r="J26" s="1861"/>
      <c r="K26" s="1861"/>
      <c r="L26" s="1861"/>
      <c r="M26" s="1890">
        <f>SUM(M19,M22,V25)</f>
        <v>1225948000</v>
      </c>
      <c r="N26" s="1890"/>
      <c r="O26" s="1890"/>
      <c r="P26" s="1890"/>
      <c r="Q26" s="1890"/>
      <c r="R26" s="1890"/>
      <c r="S26" s="1890"/>
      <c r="T26" s="1890"/>
      <c r="U26" s="1890"/>
      <c r="V26" s="1890"/>
      <c r="W26" s="1890">
        <f>SUM(W19,W22,AF25)</f>
        <v>1268365350</v>
      </c>
      <c r="X26" s="1890"/>
      <c r="Y26" s="1890"/>
      <c r="Z26" s="1890"/>
      <c r="AA26" s="1890"/>
      <c r="AB26" s="1890"/>
      <c r="AC26" s="1890"/>
      <c r="AD26" s="1890"/>
      <c r="AE26" s="1890"/>
      <c r="AF26" s="1890"/>
      <c r="AG26" s="1886">
        <f t="shared" si="0"/>
        <v>42417350</v>
      </c>
      <c r="AH26" s="1886"/>
      <c r="AI26" s="1886"/>
      <c r="AJ26" s="1886"/>
      <c r="AK26" s="1886"/>
      <c r="AL26" s="1886"/>
      <c r="AM26" s="1886"/>
      <c r="AN26" s="1886"/>
      <c r="AO26" s="1886"/>
      <c r="AP26" s="1886"/>
      <c r="AQ26" s="1890">
        <f>SUM(AQ19,AQ22,AZ25)</f>
        <v>1232266568</v>
      </c>
      <c r="AR26" s="1890"/>
      <c r="AS26" s="1890"/>
      <c r="AT26" s="1890"/>
      <c r="AU26" s="1890"/>
      <c r="AV26" s="1890"/>
      <c r="AW26" s="1890"/>
      <c r="AX26" s="1890"/>
      <c r="AY26" s="1890"/>
      <c r="AZ26" s="1890"/>
      <c r="BA26" s="1886">
        <f t="shared" si="1"/>
        <v>36098782</v>
      </c>
      <c r="BB26" s="1886"/>
      <c r="BC26" s="1886"/>
      <c r="BD26" s="1886"/>
      <c r="BE26" s="1886"/>
      <c r="BF26" s="1886"/>
      <c r="BG26" s="1886"/>
      <c r="BH26" s="1886"/>
      <c r="BI26" s="1886"/>
      <c r="BJ26" s="1886"/>
    </row>
    <row r="27" spans="1:70" s="345" customFormat="1" ht="18" customHeight="1">
      <c r="C27" s="352"/>
      <c r="Y27" s="154"/>
      <c r="Z27" s="154"/>
      <c r="AA27" s="154"/>
      <c r="AB27" s="154"/>
      <c r="AC27" s="154"/>
      <c r="AD27" s="154"/>
      <c r="AE27" s="154"/>
      <c r="AF27" s="154"/>
      <c r="AG27" s="154"/>
      <c r="AH27" s="154"/>
      <c r="AI27" s="154"/>
      <c r="AJ27" s="154"/>
      <c r="AK27" s="154"/>
      <c r="AL27" s="154"/>
      <c r="AM27" s="154"/>
      <c r="AN27" s="154"/>
      <c r="AO27" s="154"/>
      <c r="AP27" s="154"/>
      <c r="AQ27" s="154"/>
      <c r="AR27" s="154"/>
      <c r="AS27" s="154"/>
      <c r="AT27" s="154"/>
      <c r="AU27" s="154"/>
      <c r="AV27" s="154"/>
      <c r="AW27" s="154"/>
      <c r="AX27" s="154"/>
      <c r="AY27" s="154"/>
      <c r="AZ27" s="154"/>
      <c r="BA27" s="154"/>
      <c r="BB27" s="154"/>
      <c r="BC27" s="154"/>
      <c r="BD27" s="154"/>
      <c r="BE27" s="154"/>
      <c r="BF27" s="154"/>
      <c r="BG27" s="154"/>
      <c r="BH27" s="154"/>
      <c r="BI27" s="154"/>
      <c r="BJ27" s="154"/>
      <c r="BK27" s="154"/>
      <c r="BL27" s="154"/>
      <c r="BM27" s="154"/>
      <c r="BN27" s="154"/>
      <c r="BO27" s="154"/>
      <c r="BP27" s="154"/>
      <c r="BQ27" s="154"/>
      <c r="BR27" s="154"/>
    </row>
    <row r="28" spans="1:70" s="345" customFormat="1" ht="18" customHeight="1">
      <c r="A28" s="321" t="s">
        <v>600</v>
      </c>
      <c r="B28" s="321"/>
      <c r="C28" s="321"/>
      <c r="D28" s="321"/>
      <c r="E28" s="321"/>
      <c r="F28" s="321"/>
      <c r="G28" s="321"/>
      <c r="H28" s="321"/>
      <c r="I28" s="321"/>
      <c r="J28" s="321"/>
      <c r="K28" s="321"/>
      <c r="L28" s="321"/>
      <c r="M28" s="321"/>
      <c r="N28" s="321"/>
      <c r="O28" s="321"/>
      <c r="P28" s="321"/>
      <c r="Q28" s="321"/>
      <c r="R28" s="321"/>
      <c r="S28" s="321"/>
      <c r="T28" s="321"/>
      <c r="U28" s="321"/>
      <c r="V28" s="321"/>
      <c r="AY28" s="353"/>
      <c r="AZ28" s="353"/>
      <c r="BA28" s="353"/>
      <c r="BB28" s="353"/>
      <c r="BC28" s="353"/>
      <c r="BD28" s="353"/>
      <c r="BE28" s="353"/>
      <c r="BF28" s="353"/>
      <c r="BG28" s="353"/>
      <c r="BH28" s="353"/>
      <c r="BI28" s="353"/>
      <c r="BJ28" s="353"/>
      <c r="BK28" s="353"/>
    </row>
    <row r="29" spans="1:70" ht="17.25" customHeight="1">
      <c r="A29" s="81"/>
      <c r="N29" s="81"/>
      <c r="O29" s="81"/>
      <c r="P29" s="81"/>
      <c r="Q29" s="81"/>
      <c r="R29" s="81"/>
      <c r="S29" s="81"/>
      <c r="T29" s="81"/>
      <c r="U29" s="81"/>
      <c r="V29" s="81"/>
      <c r="W29" s="81"/>
      <c r="X29" s="81"/>
      <c r="Y29" s="81"/>
      <c r="Z29" s="81"/>
      <c r="AA29" s="81"/>
      <c r="AB29" s="81"/>
      <c r="AC29" s="81"/>
      <c r="AD29" s="81"/>
      <c r="AE29" s="81"/>
      <c r="AF29" s="81"/>
      <c r="AU29" s="325"/>
      <c r="AV29" s="325"/>
      <c r="AW29" s="325"/>
      <c r="BD29" s="88" t="s">
        <v>416</v>
      </c>
    </row>
    <row r="30" spans="1:70" s="81" customFormat="1" ht="17.25" customHeight="1">
      <c r="A30" s="1879" t="s">
        <v>580</v>
      </c>
      <c r="B30" s="1879"/>
      <c r="C30" s="1879"/>
      <c r="D30" s="1879"/>
      <c r="E30" s="1879"/>
      <c r="F30" s="1879"/>
      <c r="G30" s="1879"/>
      <c r="H30" s="1879"/>
      <c r="I30" s="1879"/>
      <c r="J30" s="1879"/>
      <c r="K30" s="1879"/>
      <c r="L30" s="1879"/>
      <c r="M30" s="1911" t="s">
        <v>586</v>
      </c>
      <c r="N30" s="1911"/>
      <c r="O30" s="1911"/>
      <c r="P30" s="1911"/>
      <c r="Q30" s="1911"/>
      <c r="R30" s="1911"/>
      <c r="S30" s="1911"/>
      <c r="T30" s="1911"/>
      <c r="U30" s="1911"/>
      <c r="V30" s="1911"/>
      <c r="W30" s="1911" t="s">
        <v>587</v>
      </c>
      <c r="X30" s="1911"/>
      <c r="Y30" s="1911"/>
      <c r="Z30" s="1911"/>
      <c r="AA30" s="1911"/>
      <c r="AB30" s="1911"/>
      <c r="AC30" s="1911"/>
      <c r="AD30" s="1911"/>
      <c r="AE30" s="1911"/>
      <c r="AF30" s="1911"/>
      <c r="AG30" s="1911" t="s">
        <v>588</v>
      </c>
      <c r="AH30" s="1911"/>
      <c r="AI30" s="1911"/>
      <c r="AJ30" s="1911"/>
      <c r="AK30" s="1911"/>
      <c r="AL30" s="1911"/>
      <c r="AM30" s="1911"/>
      <c r="AN30" s="1911"/>
      <c r="AO30" s="1911"/>
      <c r="AP30" s="1911"/>
      <c r="AQ30" s="1861" t="s">
        <v>589</v>
      </c>
      <c r="AR30" s="1861"/>
      <c r="AS30" s="1861"/>
      <c r="AT30" s="1861"/>
      <c r="AU30" s="1861"/>
      <c r="AV30" s="1861"/>
      <c r="AW30" s="1861"/>
      <c r="AX30" s="1861"/>
      <c r="AY30" s="1861"/>
      <c r="AZ30" s="1861"/>
      <c r="BA30" s="1861"/>
      <c r="BB30" s="1861"/>
      <c r="BC30" s="1861"/>
      <c r="BD30" s="1861"/>
      <c r="BE30" s="1861"/>
      <c r="BF30" s="1861"/>
      <c r="BG30" s="1861"/>
      <c r="BH30" s="1861"/>
      <c r="BI30" s="1861"/>
      <c r="BJ30" s="1861"/>
    </row>
    <row r="31" spans="1:70" s="81" customFormat="1" ht="17.25" customHeight="1">
      <c r="A31" s="1851" t="s">
        <v>583</v>
      </c>
      <c r="B31" s="1851"/>
      <c r="C31" s="1851"/>
      <c r="D31" s="1851"/>
      <c r="E31" s="1851"/>
      <c r="F31" s="1851"/>
      <c r="G31" s="1851"/>
      <c r="H31" s="1851"/>
      <c r="I31" s="1851"/>
      <c r="J31" s="1851"/>
      <c r="K31" s="1851"/>
      <c r="L31" s="1851"/>
      <c r="M31" s="2126" t="s">
        <v>590</v>
      </c>
      <c r="N31" s="2126"/>
      <c r="O31" s="2126"/>
      <c r="P31" s="2126"/>
      <c r="Q31" s="2126"/>
      <c r="R31" s="2126"/>
      <c r="S31" s="2126"/>
      <c r="T31" s="2126"/>
      <c r="U31" s="2126"/>
      <c r="V31" s="2126"/>
      <c r="W31" s="2126" t="s">
        <v>591</v>
      </c>
      <c r="X31" s="2126"/>
      <c r="Y31" s="2126"/>
      <c r="Z31" s="2126"/>
      <c r="AA31" s="2126"/>
      <c r="AB31" s="2126"/>
      <c r="AC31" s="2126"/>
      <c r="AD31" s="2126"/>
      <c r="AE31" s="2126"/>
      <c r="AF31" s="2126"/>
      <c r="AG31" s="2126" t="s">
        <v>592</v>
      </c>
      <c r="AH31" s="2126"/>
      <c r="AI31" s="2126"/>
      <c r="AJ31" s="2126"/>
      <c r="AK31" s="2126"/>
      <c r="AL31" s="2126"/>
      <c r="AM31" s="2126"/>
      <c r="AN31" s="2126"/>
      <c r="AO31" s="2126"/>
      <c r="AP31" s="2126"/>
      <c r="AQ31" s="1860" t="s">
        <v>424</v>
      </c>
      <c r="AR31" s="1860"/>
      <c r="AS31" s="1860"/>
      <c r="AT31" s="1860"/>
      <c r="AU31" s="1860"/>
      <c r="AV31" s="1860"/>
      <c r="AW31" s="1860"/>
      <c r="AX31" s="1860"/>
      <c r="AY31" s="1860"/>
      <c r="AZ31" s="1860"/>
      <c r="BA31" s="1860" t="s">
        <v>356</v>
      </c>
      <c r="BB31" s="1860"/>
      <c r="BC31" s="1860"/>
      <c r="BD31" s="1860"/>
      <c r="BE31" s="1860"/>
      <c r="BF31" s="1860"/>
      <c r="BG31" s="1860"/>
      <c r="BH31" s="1860"/>
      <c r="BI31" s="1860"/>
      <c r="BJ31" s="1860"/>
    </row>
    <row r="32" spans="1:70" s="81" customFormat="1" ht="17.25" customHeight="1">
      <c r="A32" s="1861" t="s">
        <v>125</v>
      </c>
      <c r="B32" s="1861"/>
      <c r="C32" s="1861"/>
      <c r="D32" s="1861"/>
      <c r="E32" s="1861"/>
      <c r="F32" s="1861"/>
      <c r="G32" s="1861"/>
      <c r="H32" s="1861"/>
      <c r="I32" s="1861"/>
      <c r="J32" s="1861"/>
      <c r="K32" s="1861"/>
      <c r="L32" s="1861"/>
      <c r="M32" s="1885">
        <f>W19</f>
        <v>634159455</v>
      </c>
      <c r="N32" s="1885"/>
      <c r="O32" s="1885"/>
      <c r="P32" s="1885"/>
      <c r="Q32" s="1885"/>
      <c r="R32" s="1885"/>
      <c r="S32" s="1885"/>
      <c r="T32" s="1885"/>
      <c r="U32" s="1885"/>
      <c r="V32" s="1885"/>
      <c r="W32" s="1890">
        <f>W19</f>
        <v>634159455</v>
      </c>
      <c r="X32" s="1890"/>
      <c r="Y32" s="1890"/>
      <c r="Z32" s="1890"/>
      <c r="AA32" s="1890"/>
      <c r="AB32" s="1890"/>
      <c r="AC32" s="1890"/>
      <c r="AD32" s="1890"/>
      <c r="AE32" s="1890"/>
      <c r="AF32" s="1890"/>
      <c r="AG32" s="1886">
        <f>(W32/M32)*100</f>
        <v>100</v>
      </c>
      <c r="AH32" s="1886"/>
      <c r="AI32" s="1886"/>
      <c r="AJ32" s="1886"/>
      <c r="AK32" s="1886"/>
      <c r="AL32" s="1886"/>
      <c r="AM32" s="1886"/>
      <c r="AN32" s="1886"/>
      <c r="AO32" s="1886"/>
      <c r="AP32" s="1886"/>
      <c r="AQ32" s="2136">
        <f>前年度貼付!$E$200</f>
        <v>100</v>
      </c>
      <c r="AR32" s="2136"/>
      <c r="AS32" s="2136"/>
      <c r="AT32" s="2136"/>
      <c r="AU32" s="2136"/>
      <c r="AV32" s="2136"/>
      <c r="AW32" s="2136"/>
      <c r="AX32" s="2136"/>
      <c r="AY32" s="2136"/>
      <c r="AZ32" s="2136"/>
      <c r="BA32" s="1886">
        <f>AG32-AQ32</f>
        <v>0</v>
      </c>
      <c r="BB32" s="1886"/>
      <c r="BC32" s="1886"/>
      <c r="BD32" s="1886"/>
      <c r="BE32" s="1886"/>
      <c r="BF32" s="1886"/>
      <c r="BG32" s="1886"/>
      <c r="BH32" s="1886"/>
      <c r="BI32" s="1886"/>
      <c r="BJ32" s="1886"/>
    </row>
    <row r="33" spans="1:62" s="81" customFormat="1" ht="17.25" customHeight="1">
      <c r="A33" s="1861" t="s">
        <v>196</v>
      </c>
      <c r="B33" s="1861"/>
      <c r="C33" s="1861"/>
      <c r="D33" s="1861"/>
      <c r="E33" s="1861"/>
      <c r="F33" s="1861"/>
      <c r="G33" s="1861"/>
      <c r="H33" s="1861"/>
      <c r="I33" s="1861"/>
      <c r="J33" s="1861"/>
      <c r="K33" s="1861"/>
      <c r="L33" s="1861"/>
      <c r="M33" s="1885">
        <f>W22</f>
        <v>634205895</v>
      </c>
      <c r="N33" s="1885"/>
      <c r="O33" s="1885"/>
      <c r="P33" s="1885"/>
      <c r="Q33" s="1885"/>
      <c r="R33" s="1885"/>
      <c r="S33" s="1885"/>
      <c r="T33" s="1885"/>
      <c r="U33" s="1885"/>
      <c r="V33" s="1885"/>
      <c r="W33" s="1890">
        <f>W22</f>
        <v>634205895</v>
      </c>
      <c r="X33" s="1890"/>
      <c r="Y33" s="1890"/>
      <c r="Z33" s="1890"/>
      <c r="AA33" s="1890"/>
      <c r="AB33" s="1890"/>
      <c r="AC33" s="1890"/>
      <c r="AD33" s="1890"/>
      <c r="AE33" s="1890"/>
      <c r="AF33" s="1890"/>
      <c r="AG33" s="1886">
        <f>(W33/M33)*100</f>
        <v>100</v>
      </c>
      <c r="AH33" s="1886"/>
      <c r="AI33" s="1886"/>
      <c r="AJ33" s="1886"/>
      <c r="AK33" s="1886"/>
      <c r="AL33" s="1886"/>
      <c r="AM33" s="1886"/>
      <c r="AN33" s="1886"/>
      <c r="AO33" s="1886"/>
      <c r="AP33" s="1886"/>
      <c r="AQ33" s="2136">
        <f>前年度貼付!$E$201</f>
        <v>100</v>
      </c>
      <c r="AR33" s="2136"/>
      <c r="AS33" s="2136"/>
      <c r="AT33" s="2136"/>
      <c r="AU33" s="2136"/>
      <c r="AV33" s="2136"/>
      <c r="AW33" s="2136"/>
      <c r="AX33" s="2136"/>
      <c r="AY33" s="2136"/>
      <c r="AZ33" s="2136"/>
      <c r="BA33" s="1886">
        <f>AG33-AQ33</f>
        <v>0</v>
      </c>
      <c r="BB33" s="1886"/>
      <c r="BC33" s="1886"/>
      <c r="BD33" s="1886"/>
      <c r="BE33" s="1886"/>
      <c r="BF33" s="1886"/>
      <c r="BG33" s="1886"/>
      <c r="BH33" s="1886"/>
      <c r="BI33" s="1886"/>
      <c r="BJ33" s="1886"/>
    </row>
    <row r="34" spans="1:62" s="81" customFormat="1" ht="17.25" customHeight="1">
      <c r="A34" s="1861" t="s">
        <v>413</v>
      </c>
      <c r="B34" s="1861"/>
      <c r="C34" s="1861"/>
      <c r="D34" s="1861"/>
      <c r="E34" s="1861"/>
      <c r="F34" s="1861"/>
      <c r="G34" s="1861"/>
      <c r="H34" s="1861"/>
      <c r="I34" s="1861"/>
      <c r="J34" s="1861"/>
      <c r="K34" s="1861"/>
      <c r="L34" s="1861"/>
      <c r="M34" s="2121">
        <f>SUM(M32:V33)</f>
        <v>1268365350</v>
      </c>
      <c r="N34" s="2121"/>
      <c r="O34" s="2121"/>
      <c r="P34" s="2121"/>
      <c r="Q34" s="2121"/>
      <c r="R34" s="2121"/>
      <c r="S34" s="2121"/>
      <c r="T34" s="2121"/>
      <c r="U34" s="2121"/>
      <c r="V34" s="2121"/>
      <c r="W34" s="2121">
        <f>SUM(W32:AF33)</f>
        <v>1268365350</v>
      </c>
      <c r="X34" s="2121"/>
      <c r="Y34" s="2121"/>
      <c r="Z34" s="2121"/>
      <c r="AA34" s="2121"/>
      <c r="AB34" s="2121"/>
      <c r="AC34" s="2121"/>
      <c r="AD34" s="2121"/>
      <c r="AE34" s="2121"/>
      <c r="AF34" s="2121"/>
      <c r="AG34" s="2135">
        <f>(W34/M34)*100</f>
        <v>100</v>
      </c>
      <c r="AH34" s="2135"/>
      <c r="AI34" s="2135"/>
      <c r="AJ34" s="2135"/>
      <c r="AK34" s="2135"/>
      <c r="AL34" s="2135"/>
      <c r="AM34" s="2135"/>
      <c r="AN34" s="2135"/>
      <c r="AO34" s="2135"/>
      <c r="AP34" s="2135"/>
      <c r="AQ34" s="2136">
        <f>前年度貼付!$E$202</f>
        <v>100</v>
      </c>
      <c r="AR34" s="2136"/>
      <c r="AS34" s="2136"/>
      <c r="AT34" s="2136"/>
      <c r="AU34" s="2136"/>
      <c r="AV34" s="2136"/>
      <c r="AW34" s="2136"/>
      <c r="AX34" s="2136"/>
      <c r="AY34" s="2136"/>
      <c r="AZ34" s="2136"/>
      <c r="BA34" s="1886">
        <f>AG34-AQ34</f>
        <v>0</v>
      </c>
      <c r="BB34" s="1886"/>
      <c r="BC34" s="1886"/>
      <c r="BD34" s="1886"/>
      <c r="BE34" s="1886"/>
      <c r="BF34" s="1886"/>
      <c r="BG34" s="1886"/>
      <c r="BH34" s="1886"/>
      <c r="BI34" s="1886"/>
      <c r="BJ34" s="1886"/>
    </row>
    <row r="35" spans="1:62" s="81" customFormat="1" ht="21.9" customHeight="1">
      <c r="A35" s="87"/>
      <c r="B35" s="44"/>
      <c r="C35" s="44"/>
      <c r="D35" s="44"/>
      <c r="E35" s="44"/>
      <c r="F35" s="44"/>
      <c r="G35" s="44"/>
      <c r="H35" s="44"/>
      <c r="I35" s="44"/>
      <c r="J35" s="44"/>
      <c r="K35" s="44"/>
      <c r="L35" s="44"/>
      <c r="M35" s="87"/>
      <c r="N35" s="354"/>
      <c r="O35" s="354"/>
      <c r="P35" s="354"/>
      <c r="Q35" s="354"/>
      <c r="R35" s="354"/>
      <c r="S35" s="354"/>
      <c r="T35" s="354"/>
      <c r="U35" s="354"/>
      <c r="V35" s="354"/>
      <c r="W35" s="354"/>
      <c r="X35" s="355"/>
      <c r="Y35" s="354"/>
      <c r="Z35" s="354"/>
      <c r="AA35" s="354"/>
      <c r="AB35" s="354"/>
      <c r="AC35" s="354"/>
      <c r="AD35" s="354"/>
      <c r="AE35" s="354"/>
      <c r="AF35" s="354"/>
      <c r="AG35" s="354"/>
      <c r="AH35" s="354"/>
      <c r="AI35" s="356"/>
      <c r="AJ35" s="357"/>
      <c r="AK35" s="357"/>
      <c r="AL35" s="357"/>
      <c r="AM35" s="357"/>
      <c r="AN35" s="357"/>
      <c r="AO35" s="357"/>
      <c r="AP35" s="357"/>
      <c r="AQ35" s="357"/>
      <c r="AR35" s="357"/>
      <c r="AS35" s="357"/>
      <c r="AT35" s="358"/>
      <c r="AU35" s="87"/>
      <c r="AV35" s="87"/>
      <c r="AW35" s="87"/>
      <c r="AX35" s="87"/>
      <c r="AY35" s="87"/>
      <c r="AZ35" s="87"/>
      <c r="BA35" s="87"/>
      <c r="BB35" s="87"/>
      <c r="BC35" s="87"/>
    </row>
    <row r="36" spans="1:62" s="345" customFormat="1" ht="27" customHeight="1">
      <c r="A36" s="1887" t="s">
        <v>601</v>
      </c>
      <c r="B36" s="1887"/>
      <c r="C36" s="1887"/>
      <c r="D36" s="1887"/>
      <c r="E36" s="1887"/>
      <c r="F36" s="1887"/>
      <c r="G36" s="1887"/>
      <c r="H36" s="1887"/>
      <c r="I36" s="1887"/>
      <c r="J36" s="1887"/>
      <c r="K36" s="1887"/>
      <c r="L36" s="1887"/>
      <c r="M36" s="1887"/>
      <c r="N36" s="1887"/>
      <c r="O36" s="1887"/>
      <c r="P36" s="1887"/>
      <c r="Q36" s="1887"/>
      <c r="R36" s="1887"/>
      <c r="S36" s="1887"/>
      <c r="T36" s="1887"/>
      <c r="U36" s="321"/>
      <c r="V36" s="321"/>
    </row>
    <row r="37" spans="1:62" ht="17.25" customHeight="1">
      <c r="AH37" s="350"/>
      <c r="AI37" s="350"/>
      <c r="AJ37" s="350"/>
      <c r="AK37" s="350"/>
      <c r="AL37" s="350"/>
      <c r="AM37" s="350"/>
      <c r="AN37" s="350"/>
      <c r="AO37" s="350"/>
      <c r="AP37" s="350"/>
      <c r="AQ37" s="350"/>
      <c r="AR37" s="350"/>
      <c r="AS37" s="350"/>
      <c r="AT37" s="350"/>
      <c r="BF37" s="351" t="s">
        <v>408</v>
      </c>
    </row>
    <row r="38" spans="1:62" ht="17.25" customHeight="1">
      <c r="A38" s="1879" t="s">
        <v>580</v>
      </c>
      <c r="B38" s="1879"/>
      <c r="C38" s="1879"/>
      <c r="D38" s="1879"/>
      <c r="E38" s="1879"/>
      <c r="F38" s="1879"/>
      <c r="G38" s="1879"/>
      <c r="H38" s="1879"/>
      <c r="I38" s="1879"/>
      <c r="J38" s="1879"/>
      <c r="K38" s="1879"/>
      <c r="L38" s="1879"/>
      <c r="M38" s="1845" t="s">
        <v>581</v>
      </c>
      <c r="N38" s="1845"/>
      <c r="O38" s="1845"/>
      <c r="P38" s="1845"/>
      <c r="Q38" s="1845"/>
      <c r="R38" s="1845"/>
      <c r="S38" s="1845"/>
      <c r="T38" s="1845"/>
      <c r="U38" s="1845"/>
      <c r="V38" s="1845"/>
      <c r="W38" s="1845" t="s">
        <v>582</v>
      </c>
      <c r="X38" s="1845"/>
      <c r="Y38" s="1845"/>
      <c r="Z38" s="1845"/>
      <c r="AA38" s="1845"/>
      <c r="AB38" s="1845"/>
      <c r="AC38" s="1845"/>
      <c r="AD38" s="1845"/>
      <c r="AE38" s="1845"/>
      <c r="AF38" s="1845"/>
      <c r="AG38" s="1845" t="s">
        <v>356</v>
      </c>
      <c r="AH38" s="1845"/>
      <c r="AI38" s="1845"/>
      <c r="AJ38" s="1845"/>
      <c r="AK38" s="1845"/>
      <c r="AL38" s="1845"/>
      <c r="AM38" s="1845"/>
      <c r="AN38" s="1845"/>
      <c r="AO38" s="1845"/>
      <c r="AP38" s="1845"/>
      <c r="AQ38" s="1861" t="s">
        <v>377</v>
      </c>
      <c r="AR38" s="1861"/>
      <c r="AS38" s="1861"/>
      <c r="AT38" s="1861"/>
      <c r="AU38" s="1861"/>
      <c r="AV38" s="1861"/>
      <c r="AW38" s="1861"/>
      <c r="AX38" s="1861"/>
      <c r="AY38" s="1861"/>
      <c r="AZ38" s="1861"/>
      <c r="BA38" s="1861"/>
      <c r="BB38" s="1861"/>
      <c r="BC38" s="1861"/>
      <c r="BD38" s="1861"/>
      <c r="BE38" s="1861"/>
      <c r="BF38" s="1861"/>
      <c r="BG38" s="1861"/>
      <c r="BH38" s="1861"/>
      <c r="BI38" s="1861"/>
      <c r="BJ38" s="1861"/>
    </row>
    <row r="39" spans="1:62" ht="17.25" customHeight="1">
      <c r="A39" s="2125" t="s">
        <v>583</v>
      </c>
      <c r="B39" s="2125"/>
      <c r="C39" s="2125"/>
      <c r="D39" s="2125"/>
      <c r="E39" s="2125"/>
      <c r="F39" s="2125"/>
      <c r="G39" s="2125"/>
      <c r="H39" s="2125"/>
      <c r="I39" s="2125"/>
      <c r="J39" s="2125"/>
      <c r="K39" s="2125"/>
      <c r="L39" s="2125"/>
      <c r="M39" s="1845"/>
      <c r="N39" s="1845"/>
      <c r="O39" s="1845"/>
      <c r="P39" s="1845"/>
      <c r="Q39" s="1845"/>
      <c r="R39" s="1845"/>
      <c r="S39" s="1845"/>
      <c r="T39" s="1845"/>
      <c r="U39" s="1845"/>
      <c r="V39" s="1845"/>
      <c r="W39" s="1845"/>
      <c r="X39" s="1845"/>
      <c r="Y39" s="1845"/>
      <c r="Z39" s="1845"/>
      <c r="AA39" s="1845"/>
      <c r="AB39" s="1845"/>
      <c r="AC39" s="1845"/>
      <c r="AD39" s="1845"/>
      <c r="AE39" s="1845"/>
      <c r="AF39" s="1845"/>
      <c r="AG39" s="1845"/>
      <c r="AH39" s="1845"/>
      <c r="AI39" s="1845"/>
      <c r="AJ39" s="1845"/>
      <c r="AK39" s="1845"/>
      <c r="AL39" s="1845"/>
      <c r="AM39" s="1845"/>
      <c r="AN39" s="1845"/>
      <c r="AO39" s="1845"/>
      <c r="AP39" s="1845"/>
      <c r="AQ39" s="1860" t="s">
        <v>378</v>
      </c>
      <c r="AR39" s="1860"/>
      <c r="AS39" s="1860"/>
      <c r="AT39" s="1860"/>
      <c r="AU39" s="1860"/>
      <c r="AV39" s="1860"/>
      <c r="AW39" s="1860"/>
      <c r="AX39" s="1860"/>
      <c r="AY39" s="1860"/>
      <c r="AZ39" s="1860"/>
      <c r="BA39" s="1860" t="s">
        <v>356</v>
      </c>
      <c r="BB39" s="1860"/>
      <c r="BC39" s="1860"/>
      <c r="BD39" s="1860"/>
      <c r="BE39" s="1860"/>
      <c r="BF39" s="1860"/>
      <c r="BG39" s="1860"/>
      <c r="BH39" s="1860"/>
      <c r="BI39" s="1860"/>
      <c r="BJ39" s="1860"/>
    </row>
    <row r="40" spans="1:62" ht="17.25" customHeight="1">
      <c r="A40" s="1861" t="s">
        <v>594</v>
      </c>
      <c r="B40" s="1861"/>
      <c r="C40" s="1861"/>
      <c r="D40" s="1861"/>
      <c r="E40" s="1861"/>
      <c r="F40" s="1861"/>
      <c r="G40" s="1861"/>
      <c r="H40" s="1861"/>
      <c r="I40" s="1861"/>
      <c r="J40" s="1861"/>
      <c r="K40" s="1861"/>
      <c r="L40" s="1861"/>
      <c r="M40" s="1885">
        <f>M19</f>
        <v>612974000</v>
      </c>
      <c r="N40" s="1885"/>
      <c r="O40" s="1885"/>
      <c r="P40" s="1885"/>
      <c r="Q40" s="1885"/>
      <c r="R40" s="1885"/>
      <c r="S40" s="1885"/>
      <c r="T40" s="1885"/>
      <c r="U40" s="1885"/>
      <c r="V40" s="1885"/>
      <c r="W40" s="1890">
        <f>W32</f>
        <v>634159455</v>
      </c>
      <c r="X40" s="1890"/>
      <c r="Y40" s="1890"/>
      <c r="Z40" s="1890"/>
      <c r="AA40" s="1890"/>
      <c r="AB40" s="1890"/>
      <c r="AC40" s="1890"/>
      <c r="AD40" s="1890"/>
      <c r="AE40" s="1890"/>
      <c r="AF40" s="1890"/>
      <c r="AG40" s="1886">
        <f>W40-M40</f>
        <v>21185455</v>
      </c>
      <c r="AH40" s="1886"/>
      <c r="AI40" s="1886"/>
      <c r="AJ40" s="1886"/>
      <c r="AK40" s="1886"/>
      <c r="AL40" s="1886"/>
      <c r="AM40" s="1886"/>
      <c r="AN40" s="1886"/>
      <c r="AO40" s="1886"/>
      <c r="AP40" s="1886"/>
      <c r="AQ40" s="1885">
        <f>AQ19</f>
        <v>616165527</v>
      </c>
      <c r="AR40" s="1885"/>
      <c r="AS40" s="1885"/>
      <c r="AT40" s="1885"/>
      <c r="AU40" s="1885"/>
      <c r="AV40" s="1885"/>
      <c r="AW40" s="1885"/>
      <c r="AX40" s="1885"/>
      <c r="AY40" s="1885"/>
      <c r="AZ40" s="1885"/>
      <c r="BA40" s="1886">
        <f>W40-AQ40</f>
        <v>17993928</v>
      </c>
      <c r="BB40" s="1886"/>
      <c r="BC40" s="1886"/>
      <c r="BD40" s="1886"/>
      <c r="BE40" s="1886"/>
      <c r="BF40" s="1886"/>
      <c r="BG40" s="1886"/>
      <c r="BH40" s="1886"/>
      <c r="BI40" s="1886"/>
      <c r="BJ40" s="1886"/>
    </row>
    <row r="41" spans="1:62" ht="17.25" customHeight="1">
      <c r="A41" s="1861" t="s">
        <v>602</v>
      </c>
      <c r="B41" s="1861"/>
      <c r="C41" s="1861"/>
      <c r="D41" s="1861"/>
      <c r="E41" s="1861"/>
      <c r="F41" s="1861"/>
      <c r="G41" s="1861"/>
      <c r="H41" s="1861"/>
      <c r="I41" s="1861"/>
      <c r="J41" s="1861"/>
      <c r="K41" s="1861"/>
      <c r="L41" s="1861"/>
      <c r="M41" s="1885">
        <f>M22</f>
        <v>612974000</v>
      </c>
      <c r="N41" s="1885"/>
      <c r="O41" s="1885"/>
      <c r="P41" s="1885"/>
      <c r="Q41" s="1885"/>
      <c r="R41" s="1885"/>
      <c r="S41" s="1885"/>
      <c r="T41" s="1885"/>
      <c r="U41" s="1885"/>
      <c r="V41" s="1885"/>
      <c r="W41" s="1890">
        <f>W33</f>
        <v>634205895</v>
      </c>
      <c r="X41" s="1890"/>
      <c r="Y41" s="1890"/>
      <c r="Z41" s="1890"/>
      <c r="AA41" s="1890"/>
      <c r="AB41" s="1890"/>
      <c r="AC41" s="1890"/>
      <c r="AD41" s="1890"/>
      <c r="AE41" s="1890"/>
      <c r="AF41" s="1890"/>
      <c r="AG41" s="1886">
        <f>W41-M41</f>
        <v>21231895</v>
      </c>
      <c r="AH41" s="1886"/>
      <c r="AI41" s="1886"/>
      <c r="AJ41" s="1886"/>
      <c r="AK41" s="1886"/>
      <c r="AL41" s="1886"/>
      <c r="AM41" s="1886"/>
      <c r="AN41" s="1886"/>
      <c r="AO41" s="1886"/>
      <c r="AP41" s="1886"/>
      <c r="AQ41" s="1885">
        <f>AQ22</f>
        <v>616101041</v>
      </c>
      <c r="AR41" s="1885"/>
      <c r="AS41" s="1885"/>
      <c r="AT41" s="1885"/>
      <c r="AU41" s="1885"/>
      <c r="AV41" s="1885"/>
      <c r="AW41" s="1885"/>
      <c r="AX41" s="1885"/>
      <c r="AY41" s="1885"/>
      <c r="AZ41" s="1885"/>
      <c r="BA41" s="1886">
        <f>W41-AQ41</f>
        <v>18104854</v>
      </c>
      <c r="BB41" s="1886"/>
      <c r="BC41" s="1886"/>
      <c r="BD41" s="1886"/>
      <c r="BE41" s="1886"/>
      <c r="BF41" s="1886"/>
      <c r="BG41" s="1886"/>
      <c r="BH41" s="1886"/>
      <c r="BI41" s="1886"/>
      <c r="BJ41" s="1886"/>
    </row>
    <row r="42" spans="1:62" ht="17.25" customHeight="1">
      <c r="A42" s="1861" t="s">
        <v>108</v>
      </c>
      <c r="B42" s="1861"/>
      <c r="C42" s="1861"/>
      <c r="D42" s="1861"/>
      <c r="E42" s="1861"/>
      <c r="F42" s="1861"/>
      <c r="G42" s="1861"/>
      <c r="H42" s="1861"/>
      <c r="I42" s="1861"/>
      <c r="J42" s="1861"/>
      <c r="K42" s="1861"/>
      <c r="L42" s="1861"/>
      <c r="M42" s="1893">
        <v>0</v>
      </c>
      <c r="N42" s="1885"/>
      <c r="O42" s="1885"/>
      <c r="P42" s="1885"/>
      <c r="Q42" s="1885"/>
      <c r="R42" s="1885"/>
      <c r="S42" s="1885"/>
      <c r="T42" s="1885"/>
      <c r="U42" s="1885"/>
      <c r="V42" s="1885"/>
      <c r="W42" s="1893">
        <v>0</v>
      </c>
      <c r="X42" s="1885"/>
      <c r="Y42" s="1885"/>
      <c r="Z42" s="1885"/>
      <c r="AA42" s="1885"/>
      <c r="AB42" s="1885"/>
      <c r="AC42" s="1885"/>
      <c r="AD42" s="1885"/>
      <c r="AE42" s="1885"/>
      <c r="AF42" s="1885"/>
      <c r="AG42" s="1886">
        <f>W42-M42</f>
        <v>0</v>
      </c>
      <c r="AH42" s="1886"/>
      <c r="AI42" s="1886"/>
      <c r="AJ42" s="1886"/>
      <c r="AK42" s="1886"/>
      <c r="AL42" s="1886"/>
      <c r="AM42" s="1886"/>
      <c r="AN42" s="1886"/>
      <c r="AO42" s="1886"/>
      <c r="AP42" s="1886"/>
      <c r="AQ42" s="1885">
        <f>前年度貼付!$E$199</f>
        <v>0</v>
      </c>
      <c r="AR42" s="1885"/>
      <c r="AS42" s="1885"/>
      <c r="AT42" s="1885"/>
      <c r="AU42" s="1885"/>
      <c r="AV42" s="1885"/>
      <c r="AW42" s="1885"/>
      <c r="AX42" s="1885"/>
      <c r="AY42" s="1885"/>
      <c r="AZ42" s="1885"/>
      <c r="BA42" s="1886">
        <f>W42-AQ42</f>
        <v>0</v>
      </c>
      <c r="BB42" s="1886"/>
      <c r="BC42" s="1886"/>
      <c r="BD42" s="1886"/>
      <c r="BE42" s="1886"/>
      <c r="BF42" s="1886"/>
      <c r="BG42" s="1886"/>
      <c r="BH42" s="1886"/>
      <c r="BI42" s="1886"/>
      <c r="BJ42" s="1886"/>
    </row>
    <row r="43" spans="1:62" ht="17.25" customHeight="1">
      <c r="A43" s="1861" t="s">
        <v>413</v>
      </c>
      <c r="B43" s="1861"/>
      <c r="C43" s="1861"/>
      <c r="D43" s="1861"/>
      <c r="E43" s="1861"/>
      <c r="F43" s="1861"/>
      <c r="G43" s="1861"/>
      <c r="H43" s="1861"/>
      <c r="I43" s="1861"/>
      <c r="J43" s="1861"/>
      <c r="K43" s="1861"/>
      <c r="L43" s="1861"/>
      <c r="M43" s="1890">
        <f>SUM(M40:V42)</f>
        <v>1225948000</v>
      </c>
      <c r="N43" s="1890"/>
      <c r="O43" s="1890"/>
      <c r="P43" s="1890"/>
      <c r="Q43" s="1890"/>
      <c r="R43" s="1890"/>
      <c r="S43" s="1890"/>
      <c r="T43" s="1890"/>
      <c r="U43" s="1890"/>
      <c r="V43" s="1890"/>
      <c r="W43" s="1890">
        <f>SUM(W40:AF42)</f>
        <v>1268365350</v>
      </c>
      <c r="X43" s="1890"/>
      <c r="Y43" s="1890"/>
      <c r="Z43" s="1890"/>
      <c r="AA43" s="1890"/>
      <c r="AB43" s="1890"/>
      <c r="AC43" s="1890"/>
      <c r="AD43" s="1890"/>
      <c r="AE43" s="1890"/>
      <c r="AF43" s="1890"/>
      <c r="AG43" s="1886">
        <f>W43-M43</f>
        <v>42417350</v>
      </c>
      <c r="AH43" s="1886"/>
      <c r="AI43" s="1886"/>
      <c r="AJ43" s="1886"/>
      <c r="AK43" s="1886"/>
      <c r="AL43" s="1886"/>
      <c r="AM43" s="1886"/>
      <c r="AN43" s="1886"/>
      <c r="AO43" s="1886"/>
      <c r="AP43" s="1886"/>
      <c r="AQ43" s="2134">
        <f>SUM(AQ40:AZ42)</f>
        <v>1232266568</v>
      </c>
      <c r="AR43" s="2134"/>
      <c r="AS43" s="2134"/>
      <c r="AT43" s="2134"/>
      <c r="AU43" s="2134"/>
      <c r="AV43" s="2134"/>
      <c r="AW43" s="2134"/>
      <c r="AX43" s="2134"/>
      <c r="AY43" s="2134"/>
      <c r="AZ43" s="2134"/>
      <c r="BA43" s="1886">
        <f>W43-AQ43</f>
        <v>36098782</v>
      </c>
      <c r="BB43" s="1886"/>
      <c r="BC43" s="1886"/>
      <c r="BD43" s="1886"/>
      <c r="BE43" s="1886"/>
      <c r="BF43" s="1886"/>
      <c r="BG43" s="1886"/>
      <c r="BH43" s="1886"/>
      <c r="BI43" s="1886"/>
      <c r="BJ43" s="1886"/>
    </row>
    <row r="44" spans="1:62" s="356" customFormat="1" ht="24.9" customHeight="1">
      <c r="C44" s="352"/>
      <c r="AQ44" s="359"/>
      <c r="AR44" s="359"/>
      <c r="AS44" s="359"/>
      <c r="AT44" s="359"/>
      <c r="AU44" s="359"/>
      <c r="AV44" s="359"/>
      <c r="AW44" s="359"/>
      <c r="AX44" s="359"/>
      <c r="AY44" s="359"/>
      <c r="AZ44" s="359"/>
    </row>
    <row r="45" spans="1:62" s="356" customFormat="1" ht="24.9" customHeight="1"/>
    <row r="46" spans="1:62" s="356" customFormat="1" ht="24.9" customHeight="1"/>
    <row r="47" spans="1:62" s="356" customFormat="1" ht="24.9" customHeight="1"/>
    <row r="48" spans="1:62" s="356" customFormat="1" ht="24.9" customHeight="1"/>
    <row r="49" s="356" customFormat="1" ht="24.9" customHeight="1"/>
    <row r="50" s="356" customFormat="1" ht="24.9" customHeight="1"/>
    <row r="51" s="356" customFormat="1" ht="24.9" customHeight="1"/>
    <row r="52" s="356" customFormat="1" ht="24.9" customHeight="1"/>
    <row r="53" s="356" customFormat="1" ht="24.9" customHeight="1"/>
    <row r="54" s="356" customFormat="1" ht="24.9" customHeight="1"/>
    <row r="55" s="356" customFormat="1" ht="24.9" customHeight="1"/>
    <row r="56" s="356" customFormat="1" ht="24.9" customHeight="1"/>
    <row r="57" s="356" customFormat="1" ht="24.9" customHeight="1"/>
    <row r="58" s="356" customFormat="1" ht="24.9" customHeight="1"/>
    <row r="59" s="356" customFormat="1" ht="24.9" customHeight="1"/>
    <row r="60" s="356" customFormat="1" ht="24.9" customHeight="1"/>
    <row r="61" s="356" customFormat="1" ht="24.9" customHeight="1"/>
    <row r="62" s="356" customFormat="1" ht="24.9" customHeight="1"/>
    <row r="63" s="356" customFormat="1" ht="24.9" customHeight="1"/>
    <row r="64"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pans="13:45" s="356" customFormat="1" ht="24.9" customHeight="1"/>
    <row r="98" spans="13:45" s="356" customFormat="1" ht="24.9" customHeight="1"/>
    <row r="99" spans="13:45" s="356" customFormat="1" ht="24.9" customHeight="1"/>
    <row r="100" spans="13:45" s="356" customFormat="1" ht="24.9" customHeight="1"/>
    <row r="101" spans="13:45" s="356" customFormat="1" ht="24.9" customHeight="1"/>
    <row r="102" spans="13:45" s="356" customFormat="1" ht="24.9" customHeight="1"/>
    <row r="103" spans="13:45" s="356" customFormat="1" ht="24.9" customHeight="1"/>
    <row r="104" spans="13:45" s="356" customFormat="1" ht="24.9" customHeight="1"/>
    <row r="105" spans="13:45" s="356" customFormat="1" ht="24.9" customHeight="1"/>
    <row r="106" spans="13:45" s="356" customFormat="1" ht="24.9" customHeight="1"/>
    <row r="107" spans="13:45" s="356" customFormat="1" ht="24.9" customHeight="1"/>
    <row r="108" spans="13:45" s="356" customFormat="1" ht="24.9" customHeight="1"/>
    <row r="109" spans="13:45" ht="24.9" customHeight="1">
      <c r="M109" s="81"/>
      <c r="N109" s="81"/>
      <c r="O109" s="81"/>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81"/>
      <c r="AS109" s="81"/>
    </row>
    <row r="110" spans="13:45" ht="24.9" customHeight="1">
      <c r="M110" s="81"/>
      <c r="N110" s="81"/>
      <c r="O110" s="81"/>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81"/>
      <c r="AS110" s="81"/>
    </row>
  </sheetData>
  <sheetProtection formatCells="0" formatColumns="0" formatRows="0" insertColumns="0" insertRows="0" insertHyperlinks="0" deleteColumns="0" deleteRows="0" selectLockedCells="1"/>
  <mergeCells count="128">
    <mergeCell ref="A4:Y4"/>
    <mergeCell ref="A5:AR5"/>
    <mergeCell ref="L7:X7"/>
    <mergeCell ref="H8:Q8"/>
    <mergeCell ref="B9:K9"/>
    <mergeCell ref="N9:W9"/>
    <mergeCell ref="B10:K11"/>
    <mergeCell ref="N10:W11"/>
    <mergeCell ref="A13:AR13"/>
    <mergeCell ref="A15:R15"/>
    <mergeCell ref="A17:L17"/>
    <mergeCell ref="M17:V18"/>
    <mergeCell ref="W17:AF18"/>
    <mergeCell ref="AG17:AP18"/>
    <mergeCell ref="AQ17:BJ17"/>
    <mergeCell ref="A18:L18"/>
    <mergeCell ref="AQ18:AZ18"/>
    <mergeCell ref="BA18:BJ18"/>
    <mergeCell ref="A19:L19"/>
    <mergeCell ref="M19:V19"/>
    <mergeCell ref="W19:AF19"/>
    <mergeCell ref="AG19:AP19"/>
    <mergeCell ref="AQ19:AZ19"/>
    <mergeCell ref="BA19:BJ19"/>
    <mergeCell ref="A20:L20"/>
    <mergeCell ref="M20:V20"/>
    <mergeCell ref="W20:AF20"/>
    <mergeCell ref="AG20:AP20"/>
    <mergeCell ref="AQ20:AZ20"/>
    <mergeCell ref="BA20:BJ20"/>
    <mergeCell ref="A21:L21"/>
    <mergeCell ref="M21:V21"/>
    <mergeCell ref="W21:AF21"/>
    <mergeCell ref="AG21:AP21"/>
    <mergeCell ref="AQ21:AZ21"/>
    <mergeCell ref="BA21:BJ21"/>
    <mergeCell ref="A22:L22"/>
    <mergeCell ref="M22:V22"/>
    <mergeCell ref="W22:AF22"/>
    <mergeCell ref="AG22:AP22"/>
    <mergeCell ref="AQ22:AZ22"/>
    <mergeCell ref="BA22:BJ22"/>
    <mergeCell ref="A23:L23"/>
    <mergeCell ref="M23:V23"/>
    <mergeCell ref="W23:AF23"/>
    <mergeCell ref="AG23:AP23"/>
    <mergeCell ref="AQ23:AZ23"/>
    <mergeCell ref="BA23:BJ23"/>
    <mergeCell ref="A24:L24"/>
    <mergeCell ref="M24:V24"/>
    <mergeCell ref="W24:AF24"/>
    <mergeCell ref="AG24:AP24"/>
    <mergeCell ref="AQ24:AZ24"/>
    <mergeCell ref="BA24:BJ24"/>
    <mergeCell ref="A25:L25"/>
    <mergeCell ref="M25:V25"/>
    <mergeCell ref="W25:AF25"/>
    <mergeCell ref="AG25:AP25"/>
    <mergeCell ref="AQ25:AZ25"/>
    <mergeCell ref="BA25:BJ25"/>
    <mergeCell ref="A26:L26"/>
    <mergeCell ref="M26:V26"/>
    <mergeCell ref="W26:AF26"/>
    <mergeCell ref="AG26:AP26"/>
    <mergeCell ref="AQ26:AZ26"/>
    <mergeCell ref="BA26:BJ26"/>
    <mergeCell ref="A30:L30"/>
    <mergeCell ref="M30:V30"/>
    <mergeCell ref="W30:AF30"/>
    <mergeCell ref="AG30:AP30"/>
    <mergeCell ref="AQ30:BJ30"/>
    <mergeCell ref="A31:L31"/>
    <mergeCell ref="M31:V31"/>
    <mergeCell ref="W31:AF31"/>
    <mergeCell ref="AG31:AP31"/>
    <mergeCell ref="AQ31:AZ31"/>
    <mergeCell ref="BA31:BJ31"/>
    <mergeCell ref="A32:L32"/>
    <mergeCell ref="M32:V32"/>
    <mergeCell ref="W32:AF32"/>
    <mergeCell ref="AG32:AP32"/>
    <mergeCell ref="AQ32:AZ32"/>
    <mergeCell ref="BA32:BJ32"/>
    <mergeCell ref="A33:L33"/>
    <mergeCell ref="M33:V33"/>
    <mergeCell ref="W33:AF33"/>
    <mergeCell ref="AG33:AP33"/>
    <mergeCell ref="AQ33:AZ33"/>
    <mergeCell ref="BA33:BJ33"/>
    <mergeCell ref="A34:L34"/>
    <mergeCell ref="M34:V34"/>
    <mergeCell ref="W34:AF34"/>
    <mergeCell ref="AG34:AP34"/>
    <mergeCell ref="AQ34:AZ34"/>
    <mergeCell ref="BA34:BJ34"/>
    <mergeCell ref="A36:T36"/>
    <mergeCell ref="A38:L38"/>
    <mergeCell ref="M38:V39"/>
    <mergeCell ref="W38:AF39"/>
    <mergeCell ref="AG38:AP39"/>
    <mergeCell ref="AQ38:BJ38"/>
    <mergeCell ref="A39:L39"/>
    <mergeCell ref="AQ39:AZ39"/>
    <mergeCell ref="BA39:BJ39"/>
    <mergeCell ref="A40:L40"/>
    <mergeCell ref="M40:V40"/>
    <mergeCell ref="W40:AF40"/>
    <mergeCell ref="AG40:AP40"/>
    <mergeCell ref="AQ40:AZ40"/>
    <mergeCell ref="BA40:BJ40"/>
    <mergeCell ref="A41:L41"/>
    <mergeCell ref="M41:V41"/>
    <mergeCell ref="W41:AF41"/>
    <mergeCell ref="AG41:AP41"/>
    <mergeCell ref="AQ41:AZ41"/>
    <mergeCell ref="BA41:BJ41"/>
    <mergeCell ref="A42:L42"/>
    <mergeCell ref="M42:V42"/>
    <mergeCell ref="W42:AF42"/>
    <mergeCell ref="AG42:AP42"/>
    <mergeCell ref="AQ42:AZ42"/>
    <mergeCell ref="BA42:BJ42"/>
    <mergeCell ref="A43:L43"/>
    <mergeCell ref="M43:V43"/>
    <mergeCell ref="W43:AF43"/>
    <mergeCell ref="AG43:AP43"/>
    <mergeCell ref="AQ43:AZ43"/>
    <mergeCell ref="BA43:BJ43"/>
  </mergeCells>
  <phoneticPr fontId="155"/>
  <conditionalFormatting sqref="B10 M20 M21 M23 M24 M25 M42 N10 W20 W21 W23 W24 W25 W42">
    <cfRule type="expression" dxfId="6" priority="1">
      <formula>AND(入力色表示=1,NOT(_xlfn.ISFORMULA(B10)))</formula>
    </cfRule>
  </conditionalFormatting>
  <dataValidations count="13">
    <dataValidation allowBlank="1" showInputMessage="1" promptTitle="手入力セル" prompt="反映先：なし（このセルのみ）" sqref="B10 N10"/>
    <dataValidation allowBlank="1" showInputMessage="1" promptTitle="手入力セル" prompt="反映先：報告_退職等年金P15 M19,AG20&#10;他の帳票：なし" sqref="M20"/>
    <dataValidation allowBlank="1" showInputMessage="1" promptTitle="手入力セル" prompt="反映先：報告_退職等年金P15 M19,AG21&#10;他の帳票：なし" sqref="M21"/>
    <dataValidation allowBlank="1" showInputMessage="1" promptTitle="手入力セル" prompt="反映先：報告_退職等年金P15 M22,AG23&#10;他の帳票：なし" sqref="M23"/>
    <dataValidation allowBlank="1" showInputMessage="1" promptTitle="手入力セル" prompt="反映先：報告_退職等年金P15 M22,AG24&#10;他の帳票：なし" sqref="M24"/>
    <dataValidation allowBlank="1" showInputMessage="1" promptTitle="手入力セル" prompt="反映先：報告_退職等年金P15 AG25&#10;他の帳票：なし" sqref="M25"/>
    <dataValidation allowBlank="1" showInputMessage="1" promptTitle="手入力セル" prompt="反映先：報告_退職等年金P15 M43,AG42&#10;他の帳票：なし" sqref="M42"/>
    <dataValidation allowBlank="1" showInputMessage="1" promptTitle="手入力セル" prompt="反映先：報告_退職等年金P15 W19,AG20,BA20&#10;他の帳票：退職等_貸借・損益、退職等_決算精算表" sqref="W20"/>
    <dataValidation allowBlank="1" showInputMessage="1" promptTitle="手入力セル" prompt="反映先：報告_退職等年金P15 W19,AG21,BA21&#10;他の帳票：退職等_貸借・損益、退職等_決算精算表" sqref="W21"/>
    <dataValidation allowBlank="1" showInputMessage="1" promptTitle="手入力セル" prompt="反映先：報告_退職等年金P15 W22,AG23,BA23&#10;他の帳票：退職等_貸借・損益、退職等_決算精算表" sqref="W23"/>
    <dataValidation allowBlank="1" showInputMessage="1" promptTitle="手入力セル" prompt="反映先：報告_退職等年金P15 W22,AG24,BA24&#10;他の帳票：退職等_貸借・損益、退職等_決算精算表" sqref="W24"/>
    <dataValidation allowBlank="1" showInputMessage="1" promptTitle="手入力セル" prompt="反映先：報告_退職等年金P15 AG25,BA25&#10;他の帳票：なし" sqref="W25"/>
    <dataValidation allowBlank="1" showInputMessage="1" promptTitle="手入力セル" prompt="反映先：報告_退職等年金P15 W43,AG42,BA42&#10;他の帳票：なし" sqref="W42"/>
  </dataValidations>
  <printOptions horizontalCentered="1"/>
  <pageMargins left="0.78749999999999998" right="0.59027777777777801" top="0.78749999999999998" bottom="0.59027777777777801" header="0.511811023622047" footer="0.39374999999999999"/>
  <pageSetup paperSize="9" scale="81" firstPageNumber="15" orientation="portrait" useFirstPageNumber="1" horizontalDpi="300" verticalDpi="300"/>
  <headerFooter>
    <oddFooter>&amp;C&amp;"ＭＳ 明朝,Regular"&amp;12－ &amp;P －</oddFooter>
  </headerFooter>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4059B-2939-4E67-83CE-E5F05C22EC33}">
  <sheetPr codeName="Sheet13"/>
  <dimension ref="A1:IW107"/>
  <sheetViews>
    <sheetView topLeftCell="A4" zoomScaleNormal="100" zoomScalePageLayoutView="60" workbookViewId="0">
      <selection sqref="A1:G1"/>
    </sheetView>
  </sheetViews>
  <sheetFormatPr defaultColWidth="1.6640625" defaultRowHeight="13.2"/>
  <cols>
    <col min="1" max="1" width="2.33203125" style="104" customWidth="1"/>
    <col min="2"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603</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1887" t="s">
        <v>604</v>
      </c>
      <c r="B5" s="1887"/>
      <c r="C5" s="1887"/>
      <c r="D5" s="1887"/>
      <c r="E5" s="1887"/>
      <c r="F5" s="1887"/>
      <c r="G5" s="1887"/>
      <c r="H5" s="1887"/>
      <c r="I5" s="1887"/>
      <c r="J5" s="1887"/>
      <c r="K5" s="1887"/>
      <c r="L5" s="1887"/>
      <c r="M5" s="1887"/>
      <c r="N5" s="1887"/>
      <c r="O5" s="1887"/>
      <c r="P5" s="1887"/>
      <c r="Q5" s="1887"/>
      <c r="R5" s="1887"/>
      <c r="S5" s="1887"/>
      <c r="T5" s="1887"/>
      <c r="U5" s="1887"/>
      <c r="V5" s="1887"/>
      <c r="W5" s="1887"/>
      <c r="X5" s="1887"/>
      <c r="Y5" s="1887"/>
      <c r="Z5" s="1887"/>
      <c r="AA5" s="1887"/>
      <c r="AB5" s="1887"/>
      <c r="AC5" s="1887"/>
      <c r="AD5" s="1887"/>
      <c r="AE5" s="1887"/>
      <c r="AF5" s="1887"/>
      <c r="AG5" s="1887"/>
      <c r="AH5" s="1887"/>
      <c r="AI5" s="1887"/>
      <c r="AJ5" s="1887"/>
      <c r="AK5" s="1887"/>
      <c r="AL5" s="1887"/>
      <c r="AM5" s="1887"/>
      <c r="AN5" s="1887"/>
      <c r="AO5" s="1887"/>
      <c r="AP5" s="1887"/>
      <c r="AQ5" s="1887"/>
      <c r="AR5" s="1887"/>
    </row>
    <row r="6" spans="1:64" ht="18" customHeight="1">
      <c r="A6" s="321"/>
      <c r="B6" s="321"/>
      <c r="C6" s="321"/>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row>
    <row r="7" spans="1:64" ht="17.100000000000001" customHeight="1">
      <c r="H7" s="324" t="s">
        <v>398</v>
      </c>
      <c r="I7" s="323"/>
      <c r="J7" s="323"/>
      <c r="K7" s="323"/>
      <c r="L7" s="323"/>
      <c r="M7" s="323"/>
      <c r="N7" s="323"/>
      <c r="O7" s="323"/>
      <c r="P7" s="323"/>
      <c r="Q7" s="323"/>
      <c r="R7" s="323"/>
      <c r="S7" s="323"/>
      <c r="T7" s="325"/>
      <c r="U7" s="326"/>
      <c r="V7" s="326"/>
      <c r="W7" s="326"/>
      <c r="X7" s="326"/>
      <c r="Y7" s="326"/>
      <c r="Z7" s="326"/>
      <c r="AA7" s="326"/>
      <c r="AB7" s="326"/>
      <c r="AC7" s="326"/>
      <c r="AD7" s="326"/>
    </row>
    <row r="8" spans="1:64" ht="17.100000000000001" customHeight="1">
      <c r="A8" s="1845" t="str">
        <f>"令和"&amp;IF((入力ガイド!$C$6)&gt;=10,MID("０１２３４５６７８９",INT((入力ガイド!$C$6)/10)+1,1),"")&amp;MID("０１２３４５６７８９",MOD((入力ガイド!$C$6),10)+1,1)&amp;"年度"</f>
        <v>令和７年度</v>
      </c>
      <c r="B8" s="1845"/>
      <c r="C8" s="1845"/>
      <c r="D8" s="1845"/>
      <c r="E8" s="1845"/>
      <c r="F8" s="1845"/>
      <c r="G8" s="1845"/>
      <c r="H8" s="1845"/>
      <c r="I8" s="1845"/>
      <c r="J8" s="1845"/>
      <c r="K8" s="1845"/>
      <c r="L8" s="1845"/>
      <c r="T8" s="326"/>
      <c r="U8" s="326"/>
      <c r="V8" s="326"/>
      <c r="W8" s="326"/>
      <c r="X8" s="326"/>
      <c r="Y8" s="326"/>
      <c r="Z8" s="326"/>
      <c r="AA8" s="326"/>
      <c r="AB8" s="326"/>
      <c r="AC8" s="326"/>
      <c r="AD8" s="326"/>
      <c r="AE8" s="326"/>
      <c r="AF8" s="325"/>
      <c r="AM8" s="326"/>
      <c r="AN8" s="326"/>
      <c r="AO8" s="326"/>
      <c r="AP8" s="326"/>
      <c r="AQ8" s="326"/>
      <c r="AR8" s="326"/>
      <c r="AS8" s="326"/>
      <c r="AT8" s="326"/>
      <c r="AU8" s="326"/>
      <c r="AV8" s="326"/>
    </row>
    <row r="9" spans="1:64" ht="17.100000000000001" customHeight="1">
      <c r="A9" s="333"/>
      <c r="B9" s="1871" t="s">
        <v>401</v>
      </c>
      <c r="C9" s="1871"/>
      <c r="D9" s="1871"/>
      <c r="E9" s="1871"/>
      <c r="F9" s="1871"/>
      <c r="G9" s="1871"/>
      <c r="H9" s="1871"/>
      <c r="I9" s="1871"/>
      <c r="J9" s="1871"/>
      <c r="K9" s="1871"/>
      <c r="L9" s="334"/>
      <c r="M9" s="337"/>
      <c r="N9" s="346"/>
      <c r="O9" s="346"/>
      <c r="P9" s="346"/>
      <c r="Q9" s="346"/>
      <c r="R9" s="346"/>
      <c r="S9" s="346"/>
      <c r="T9" s="346"/>
      <c r="U9" s="346"/>
      <c r="V9" s="337"/>
      <c r="W9" s="337"/>
      <c r="X9" s="346"/>
      <c r="Y9" s="346"/>
      <c r="Z9" s="346"/>
      <c r="AA9" s="346"/>
      <c r="AB9" s="346"/>
      <c r="AC9" s="346"/>
      <c r="AD9" s="346"/>
      <c r="AE9" s="346"/>
      <c r="AF9" s="322"/>
    </row>
    <row r="10" spans="1:64" ht="17.100000000000001" customHeight="1">
      <c r="A10" s="360"/>
      <c r="B10" s="2141">
        <v>9.3899999999999997E-2</v>
      </c>
      <c r="C10" s="2142"/>
      <c r="D10" s="2142"/>
      <c r="E10" s="2142"/>
      <c r="F10" s="2142"/>
      <c r="G10" s="2142"/>
      <c r="H10" s="2142"/>
      <c r="I10" s="2142"/>
      <c r="J10" s="2142"/>
      <c r="K10" s="2142"/>
      <c r="L10" s="361"/>
      <c r="M10" s="362"/>
      <c r="N10" s="363"/>
      <c r="O10" s="363"/>
      <c r="P10" s="363"/>
      <c r="Q10" s="363"/>
      <c r="R10" s="363"/>
      <c r="S10" s="363"/>
      <c r="T10" s="363"/>
      <c r="U10" s="363"/>
      <c r="V10" s="362"/>
      <c r="W10" s="362"/>
      <c r="X10" s="363"/>
      <c r="Y10" s="346"/>
      <c r="Z10" s="346"/>
      <c r="AA10" s="346"/>
      <c r="AB10" s="346"/>
      <c r="AC10" s="346"/>
      <c r="AD10" s="346"/>
      <c r="AE10" s="346"/>
      <c r="AF10" s="322"/>
    </row>
    <row r="11" spans="1:64" ht="17.100000000000001" customHeight="1">
      <c r="A11" s="341"/>
      <c r="B11" s="2142"/>
      <c r="C11" s="2142"/>
      <c r="D11" s="2142"/>
      <c r="E11" s="2142"/>
      <c r="F11" s="2142"/>
      <c r="G11" s="2142"/>
      <c r="H11" s="2142"/>
      <c r="I11" s="2142"/>
      <c r="J11" s="2142"/>
      <c r="K11" s="2142"/>
      <c r="L11" s="97"/>
      <c r="M11" s="81"/>
      <c r="N11" s="81"/>
      <c r="O11" s="81"/>
      <c r="P11" s="81"/>
      <c r="Q11" s="81"/>
      <c r="R11" s="81"/>
      <c r="S11" s="81"/>
      <c r="T11" s="81"/>
      <c r="U11" s="81"/>
      <c r="V11" s="81"/>
      <c r="W11" s="81"/>
      <c r="X11" s="81"/>
    </row>
    <row r="12" spans="1:64" ht="17.100000000000001" customHeight="1">
      <c r="A12" s="322"/>
      <c r="B12" s="165"/>
      <c r="C12" s="165"/>
      <c r="D12" s="165"/>
      <c r="E12" s="165"/>
      <c r="F12" s="165"/>
      <c r="G12" s="165"/>
      <c r="H12" s="165"/>
      <c r="I12" s="165"/>
      <c r="J12" s="165"/>
      <c r="K12" s="165"/>
      <c r="L12" s="87"/>
      <c r="M12" s="87"/>
      <c r="N12" s="364"/>
      <c r="O12" s="364"/>
      <c r="P12" s="364"/>
      <c r="Q12" s="364"/>
      <c r="R12" s="364"/>
      <c r="S12" s="364"/>
      <c r="T12" s="364"/>
      <c r="U12" s="364"/>
      <c r="V12" s="364"/>
      <c r="W12" s="364"/>
      <c r="X12" s="87"/>
    </row>
    <row r="13" spans="1:64" ht="17.100000000000001" customHeight="1">
      <c r="A13" s="365" t="s">
        <v>576</v>
      </c>
      <c r="B13" s="165"/>
      <c r="C13" s="165"/>
      <c r="D13" s="165"/>
      <c r="E13" s="165"/>
      <c r="F13" s="165"/>
      <c r="G13" s="165"/>
      <c r="H13" s="165"/>
      <c r="I13" s="165"/>
      <c r="J13" s="165"/>
      <c r="K13" s="165"/>
      <c r="L13" s="87"/>
      <c r="M13" s="87"/>
      <c r="N13" s="364"/>
      <c r="O13" s="364"/>
      <c r="P13" s="364"/>
      <c r="Q13" s="364"/>
      <c r="R13" s="364"/>
      <c r="S13" s="364"/>
      <c r="T13" s="364"/>
      <c r="U13" s="364"/>
      <c r="V13" s="364"/>
      <c r="W13" s="364"/>
      <c r="X13" s="87"/>
    </row>
    <row r="14" spans="1:64" ht="17.100000000000001" customHeight="1">
      <c r="A14" s="347"/>
      <c r="B14" s="347"/>
      <c r="C14" s="347"/>
      <c r="D14" s="347"/>
      <c r="E14" s="347"/>
      <c r="F14" s="347"/>
      <c r="G14" s="347"/>
      <c r="H14" s="347"/>
      <c r="I14" s="347"/>
      <c r="J14" s="347"/>
      <c r="K14" s="347"/>
      <c r="L14" s="1888" t="s">
        <v>398</v>
      </c>
      <c r="M14" s="1888"/>
      <c r="N14" s="1888"/>
      <c r="O14" s="1888"/>
      <c r="P14" s="1888"/>
      <c r="Q14" s="1888"/>
      <c r="R14" s="1888"/>
      <c r="S14" s="1888"/>
      <c r="T14" s="1888"/>
      <c r="U14" s="1888"/>
      <c r="V14" s="1888"/>
      <c r="W14" s="1888"/>
      <c r="X14" s="1888"/>
    </row>
    <row r="15" spans="1:64" ht="17.100000000000001" customHeight="1">
      <c r="A15" s="331"/>
      <c r="B15" s="1871" t="s">
        <v>405</v>
      </c>
      <c r="C15" s="1871"/>
      <c r="D15" s="1871"/>
      <c r="E15" s="1871"/>
      <c r="F15" s="1871"/>
      <c r="G15" s="1871"/>
      <c r="H15" s="1871"/>
      <c r="I15" s="1871"/>
      <c r="J15" s="1871"/>
      <c r="K15" s="1871"/>
      <c r="L15" s="366"/>
      <c r="M15" s="367"/>
      <c r="N15" s="1871" t="s">
        <v>577</v>
      </c>
      <c r="O15" s="1871"/>
      <c r="P15" s="1871"/>
      <c r="Q15" s="1871"/>
      <c r="R15" s="1871"/>
      <c r="S15" s="1871"/>
      <c r="T15" s="1871"/>
      <c r="U15" s="1871"/>
      <c r="V15" s="1871"/>
      <c r="W15" s="1871"/>
      <c r="X15" s="368"/>
    </row>
    <row r="16" spans="1:64" ht="17.100000000000001" customHeight="1">
      <c r="A16" s="338"/>
      <c r="B16" s="1871" t="s">
        <v>578</v>
      </c>
      <c r="C16" s="1871"/>
      <c r="D16" s="1871"/>
      <c r="E16" s="1871"/>
      <c r="F16" s="1871"/>
      <c r="G16" s="1871"/>
      <c r="H16" s="1871"/>
      <c r="I16" s="1871"/>
      <c r="J16" s="1871"/>
      <c r="K16" s="1871"/>
      <c r="L16" s="369"/>
      <c r="M16" s="44"/>
      <c r="N16" s="2143">
        <v>1.2</v>
      </c>
      <c r="O16" s="2144"/>
      <c r="P16" s="2144"/>
      <c r="Q16" s="2144"/>
      <c r="R16" s="2144"/>
      <c r="S16" s="2144"/>
      <c r="T16" s="2144"/>
      <c r="U16" s="2144"/>
      <c r="V16" s="2144"/>
      <c r="W16" s="2144"/>
      <c r="X16" s="361"/>
    </row>
    <row r="17" spans="1:62" ht="17.100000000000001" customHeight="1">
      <c r="A17" s="341"/>
      <c r="B17" s="1871"/>
      <c r="C17" s="1871"/>
      <c r="D17" s="1871"/>
      <c r="E17" s="1871"/>
      <c r="F17" s="1871"/>
      <c r="G17" s="1871"/>
      <c r="H17" s="1871"/>
      <c r="I17" s="1871"/>
      <c r="J17" s="1871"/>
      <c r="K17" s="1871"/>
      <c r="L17" s="97"/>
      <c r="M17" s="370"/>
      <c r="N17" s="2144"/>
      <c r="O17" s="2144"/>
      <c r="P17" s="2144"/>
      <c r="Q17" s="2144"/>
      <c r="R17" s="2144"/>
      <c r="S17" s="2144"/>
      <c r="T17" s="2144"/>
      <c r="U17" s="2144"/>
      <c r="V17" s="2144"/>
      <c r="W17" s="2144"/>
      <c r="X17" s="97"/>
    </row>
    <row r="18" spans="1:62" ht="17.100000000000001" customHeight="1">
      <c r="A18" s="322"/>
      <c r="B18" s="326"/>
      <c r="C18" s="326"/>
      <c r="D18" s="326"/>
      <c r="E18" s="326"/>
      <c r="F18" s="326"/>
      <c r="G18" s="326"/>
      <c r="H18" s="326"/>
      <c r="I18" s="326"/>
      <c r="J18" s="326"/>
      <c r="K18" s="326"/>
      <c r="L18" s="322"/>
      <c r="M18" s="322"/>
      <c r="N18" s="344"/>
      <c r="O18" s="344"/>
      <c r="P18" s="344"/>
      <c r="Q18" s="344"/>
      <c r="R18" s="344"/>
      <c r="S18" s="344"/>
      <c r="T18" s="344"/>
      <c r="U18" s="344"/>
      <c r="V18" s="344"/>
      <c r="W18" s="344"/>
      <c r="X18" s="322"/>
    </row>
    <row r="19" spans="1:62" ht="17.100000000000001" customHeight="1">
      <c r="A19" s="1887" t="s">
        <v>407</v>
      </c>
      <c r="B19" s="1887"/>
      <c r="C19" s="1887"/>
      <c r="D19" s="1887"/>
      <c r="E19" s="1887"/>
      <c r="F19" s="1887"/>
      <c r="G19" s="1887"/>
      <c r="H19" s="1887"/>
      <c r="I19" s="1887"/>
      <c r="J19" s="1887"/>
      <c r="K19" s="1887"/>
      <c r="L19" s="1887"/>
      <c r="M19" s="1887"/>
      <c r="N19" s="1887"/>
      <c r="O19" s="1887"/>
      <c r="P19" s="1887"/>
      <c r="Q19" s="1887"/>
      <c r="R19" s="1887"/>
      <c r="S19" s="1887"/>
      <c r="T19" s="1887"/>
      <c r="U19" s="1887"/>
      <c r="V19" s="1887"/>
      <c r="W19" s="1887"/>
      <c r="X19" s="1887"/>
      <c r="Y19" s="1887"/>
      <c r="Z19" s="1887"/>
      <c r="AA19" s="1887"/>
      <c r="AB19" s="1887"/>
      <c r="AC19" s="1887"/>
      <c r="AD19" s="1887"/>
      <c r="AE19" s="1887"/>
      <c r="AF19" s="1887"/>
      <c r="AG19" s="1887"/>
      <c r="AH19" s="1887"/>
      <c r="AI19" s="1887"/>
      <c r="AJ19" s="1887"/>
      <c r="AK19" s="1887"/>
      <c r="AL19" s="1887"/>
      <c r="AM19" s="1887"/>
      <c r="AN19" s="1887"/>
      <c r="AO19" s="1887"/>
      <c r="AP19" s="1887"/>
      <c r="AQ19" s="1887"/>
      <c r="AR19" s="1887"/>
    </row>
    <row r="20" spans="1:62" ht="17.100000000000001" customHeight="1">
      <c r="A20" s="321"/>
      <c r="B20" s="321"/>
      <c r="D20" s="321"/>
      <c r="E20" s="321"/>
      <c r="F20" s="321"/>
      <c r="G20" s="321"/>
      <c r="H20" s="321"/>
      <c r="I20" s="321"/>
      <c r="J20" s="321"/>
      <c r="K20" s="321"/>
      <c r="L20" s="321"/>
      <c r="M20" s="321"/>
      <c r="N20" s="321"/>
      <c r="O20" s="321"/>
      <c r="P20" s="321"/>
      <c r="Q20" s="321"/>
      <c r="R20" s="321"/>
      <c r="S20" s="321"/>
      <c r="T20" s="321"/>
      <c r="U20" s="321"/>
      <c r="V20" s="321"/>
      <c r="W20" s="321"/>
      <c r="X20" s="321"/>
      <c r="Y20" s="321"/>
      <c r="Z20" s="321"/>
      <c r="AA20" s="321"/>
      <c r="AB20" s="321"/>
      <c r="AC20" s="321"/>
      <c r="AD20" s="321"/>
      <c r="AE20" s="321"/>
      <c r="AF20" s="321"/>
      <c r="AG20" s="321"/>
      <c r="AH20" s="321"/>
      <c r="AI20" s="321"/>
      <c r="AJ20" s="321"/>
      <c r="AK20" s="321"/>
      <c r="AL20" s="321"/>
      <c r="AM20" s="321"/>
      <c r="AN20" s="321"/>
      <c r="AO20" s="321"/>
      <c r="AP20" s="321"/>
      <c r="AQ20" s="321"/>
      <c r="AR20" s="321"/>
    </row>
    <row r="21" spans="1:62" ht="17.100000000000001" customHeight="1">
      <c r="A21" s="1887" t="s">
        <v>579</v>
      </c>
      <c r="B21" s="1887"/>
      <c r="C21" s="1887"/>
      <c r="D21" s="1887"/>
      <c r="E21" s="1887"/>
      <c r="F21" s="1887"/>
      <c r="G21" s="1887"/>
      <c r="H21" s="1887"/>
      <c r="I21" s="1887"/>
      <c r="J21" s="1887"/>
      <c r="K21" s="1887"/>
      <c r="L21" s="1887"/>
      <c r="M21" s="1887"/>
      <c r="N21" s="1887"/>
      <c r="O21" s="1887"/>
      <c r="P21" s="1887"/>
      <c r="Q21" s="1887"/>
      <c r="R21" s="1887"/>
      <c r="S21" s="344"/>
      <c r="T21" s="344"/>
      <c r="U21" s="344"/>
      <c r="V21" s="344"/>
      <c r="W21" s="344"/>
      <c r="X21" s="322"/>
    </row>
    <row r="22" spans="1:62" ht="17.100000000000001" customHeight="1">
      <c r="A22" s="322"/>
      <c r="B22" s="326"/>
      <c r="C22" s="326"/>
      <c r="D22" s="326"/>
      <c r="E22" s="326"/>
      <c r="F22" s="326"/>
      <c r="G22" s="326"/>
      <c r="H22" s="326"/>
      <c r="I22" s="326"/>
      <c r="J22" s="326"/>
      <c r="K22" s="326"/>
      <c r="L22" s="322"/>
      <c r="M22" s="322"/>
      <c r="N22" s="344"/>
      <c r="O22" s="344"/>
      <c r="P22" s="344"/>
      <c r="Q22" s="344"/>
      <c r="R22" s="344"/>
      <c r="S22" s="344"/>
      <c r="T22" s="344"/>
      <c r="U22" s="344"/>
      <c r="V22" s="344"/>
      <c r="W22" s="344"/>
      <c r="X22" s="322"/>
      <c r="AI22" s="349"/>
      <c r="AJ22" s="349"/>
      <c r="AK22" s="349"/>
      <c r="AL22" s="349"/>
      <c r="AM22" s="349"/>
      <c r="AN22" s="349"/>
      <c r="AO22" s="349"/>
      <c r="AP22" s="349"/>
      <c r="AQ22" s="349"/>
      <c r="AR22" s="349"/>
      <c r="AS22" s="349"/>
      <c r="AT22" s="350"/>
      <c r="BF22" s="351" t="s">
        <v>408</v>
      </c>
    </row>
    <row r="23" spans="1:62" s="81" customFormat="1" ht="20.100000000000001" customHeight="1">
      <c r="A23" s="1879" t="s">
        <v>580</v>
      </c>
      <c r="B23" s="1879"/>
      <c r="C23" s="1879"/>
      <c r="D23" s="1879"/>
      <c r="E23" s="1879"/>
      <c r="F23" s="1879"/>
      <c r="G23" s="1879"/>
      <c r="H23" s="1879"/>
      <c r="I23" s="1879"/>
      <c r="J23" s="1879"/>
      <c r="K23" s="1879"/>
      <c r="L23" s="1879"/>
      <c r="M23" s="1845" t="s">
        <v>581</v>
      </c>
      <c r="N23" s="1845"/>
      <c r="O23" s="1845"/>
      <c r="P23" s="1845"/>
      <c r="Q23" s="1845"/>
      <c r="R23" s="1845"/>
      <c r="S23" s="1845"/>
      <c r="T23" s="1845"/>
      <c r="U23" s="1845"/>
      <c r="V23" s="1845"/>
      <c r="W23" s="1845" t="s">
        <v>582</v>
      </c>
      <c r="X23" s="1845"/>
      <c r="Y23" s="1845"/>
      <c r="Z23" s="1845"/>
      <c r="AA23" s="1845"/>
      <c r="AB23" s="1845"/>
      <c r="AC23" s="1845"/>
      <c r="AD23" s="1845"/>
      <c r="AE23" s="1845"/>
      <c r="AF23" s="1845"/>
      <c r="AG23" s="1845" t="s">
        <v>356</v>
      </c>
      <c r="AH23" s="1845"/>
      <c r="AI23" s="1845"/>
      <c r="AJ23" s="1845"/>
      <c r="AK23" s="1845"/>
      <c r="AL23" s="1845"/>
      <c r="AM23" s="1845"/>
      <c r="AN23" s="1845"/>
      <c r="AO23" s="1845"/>
      <c r="AP23" s="1845"/>
      <c r="AQ23" s="1861" t="s">
        <v>377</v>
      </c>
      <c r="AR23" s="1861"/>
      <c r="AS23" s="1861"/>
      <c r="AT23" s="1861"/>
      <c r="AU23" s="1861"/>
      <c r="AV23" s="1861"/>
      <c r="AW23" s="1861"/>
      <c r="AX23" s="1861"/>
      <c r="AY23" s="1861"/>
      <c r="AZ23" s="1861"/>
      <c r="BA23" s="1861"/>
      <c r="BB23" s="1861"/>
      <c r="BC23" s="1861"/>
      <c r="BD23" s="1861"/>
      <c r="BE23" s="1861"/>
      <c r="BF23" s="1861"/>
      <c r="BG23" s="1861"/>
      <c r="BH23" s="1861"/>
      <c r="BI23" s="1861"/>
      <c r="BJ23" s="1861"/>
    </row>
    <row r="24" spans="1:62" s="81" customFormat="1" ht="20.100000000000001" customHeight="1">
      <c r="A24" s="1851" t="s">
        <v>583</v>
      </c>
      <c r="B24" s="1851"/>
      <c r="C24" s="1851"/>
      <c r="D24" s="1851"/>
      <c r="E24" s="1851"/>
      <c r="F24" s="1851"/>
      <c r="G24" s="1851"/>
      <c r="H24" s="1851"/>
      <c r="I24" s="1851"/>
      <c r="J24" s="1851"/>
      <c r="K24" s="1851"/>
      <c r="L24" s="1851"/>
      <c r="M24" s="1845"/>
      <c r="N24" s="1845"/>
      <c r="O24" s="1845"/>
      <c r="P24" s="1845"/>
      <c r="Q24" s="1845"/>
      <c r="R24" s="1845"/>
      <c r="S24" s="1845"/>
      <c r="T24" s="1845"/>
      <c r="U24" s="1845"/>
      <c r="V24" s="1845"/>
      <c r="W24" s="1845"/>
      <c r="X24" s="1845"/>
      <c r="Y24" s="1845"/>
      <c r="Z24" s="1845"/>
      <c r="AA24" s="1845"/>
      <c r="AB24" s="1845"/>
      <c r="AC24" s="1845"/>
      <c r="AD24" s="1845"/>
      <c r="AE24" s="1845"/>
      <c r="AF24" s="1845"/>
      <c r="AG24" s="1845"/>
      <c r="AH24" s="1845"/>
      <c r="AI24" s="1845"/>
      <c r="AJ24" s="1845"/>
      <c r="AK24" s="1845"/>
      <c r="AL24" s="1845"/>
      <c r="AM24" s="1845"/>
      <c r="AN24" s="1845"/>
      <c r="AO24" s="1845"/>
      <c r="AP24" s="1845"/>
      <c r="AQ24" s="1860" t="s">
        <v>378</v>
      </c>
      <c r="AR24" s="1860"/>
      <c r="AS24" s="1860"/>
      <c r="AT24" s="1860"/>
      <c r="AU24" s="1860"/>
      <c r="AV24" s="1860"/>
      <c r="AW24" s="1860"/>
      <c r="AX24" s="1860"/>
      <c r="AY24" s="1860"/>
      <c r="AZ24" s="1860"/>
      <c r="BA24" s="1860" t="s">
        <v>356</v>
      </c>
      <c r="BB24" s="1860"/>
      <c r="BC24" s="1860"/>
      <c r="BD24" s="1860"/>
      <c r="BE24" s="1860"/>
      <c r="BF24" s="1860"/>
      <c r="BG24" s="1860"/>
      <c r="BH24" s="1860"/>
      <c r="BI24" s="1860"/>
      <c r="BJ24" s="1860"/>
    </row>
    <row r="25" spans="1:62" s="81" customFormat="1" ht="19.5" customHeight="1">
      <c r="A25" s="1861" t="s">
        <v>125</v>
      </c>
      <c r="B25" s="1861"/>
      <c r="C25" s="1861"/>
      <c r="D25" s="1861"/>
      <c r="E25" s="1861"/>
      <c r="F25" s="1861"/>
      <c r="G25" s="1861"/>
      <c r="H25" s="1861"/>
      <c r="I25" s="1861"/>
      <c r="J25" s="1861"/>
      <c r="K25" s="1861"/>
      <c r="L25" s="1861"/>
      <c r="M25" s="1890">
        <f>SUM(M26:V29)</f>
        <v>84271000</v>
      </c>
      <c r="N25" s="1890"/>
      <c r="O25" s="1890"/>
      <c r="P25" s="1890"/>
      <c r="Q25" s="1890"/>
      <c r="R25" s="1890"/>
      <c r="S25" s="1890"/>
      <c r="T25" s="1890"/>
      <c r="U25" s="1890"/>
      <c r="V25" s="1890"/>
      <c r="W25" s="1890">
        <f>SUM(W26:AF29)</f>
        <v>85620216</v>
      </c>
      <c r="X25" s="1890"/>
      <c r="Y25" s="1890"/>
      <c r="Z25" s="1890"/>
      <c r="AA25" s="1890"/>
      <c r="AB25" s="1890"/>
      <c r="AC25" s="1890"/>
      <c r="AD25" s="1890"/>
      <c r="AE25" s="1890"/>
      <c r="AF25" s="1890"/>
      <c r="AG25" s="1886">
        <f t="shared" ref="AG25:AG31" si="0">W25-M25</f>
        <v>1349216</v>
      </c>
      <c r="AH25" s="1886"/>
      <c r="AI25" s="1886"/>
      <c r="AJ25" s="1886"/>
      <c r="AK25" s="1886"/>
      <c r="AL25" s="1886"/>
      <c r="AM25" s="1886"/>
      <c r="AN25" s="1886"/>
      <c r="AO25" s="1886"/>
      <c r="AP25" s="1886"/>
      <c r="AQ25" s="1890">
        <f>SUM(AQ26:AZ29)</f>
        <v>84267103</v>
      </c>
      <c r="AR25" s="1890"/>
      <c r="AS25" s="1890"/>
      <c r="AT25" s="1890"/>
      <c r="AU25" s="1890"/>
      <c r="AV25" s="1890"/>
      <c r="AW25" s="1890"/>
      <c r="AX25" s="1890"/>
      <c r="AY25" s="1890"/>
      <c r="AZ25" s="1890"/>
      <c r="BA25" s="1886">
        <f t="shared" ref="BA25:BA31" si="1">W25-AQ25</f>
        <v>1353113</v>
      </c>
      <c r="BB25" s="1886"/>
      <c r="BC25" s="1886"/>
      <c r="BD25" s="1886"/>
      <c r="BE25" s="1886"/>
      <c r="BF25" s="1886"/>
      <c r="BG25" s="1886"/>
      <c r="BH25" s="1886"/>
      <c r="BI25" s="1886"/>
      <c r="BJ25" s="1886"/>
    </row>
    <row r="26" spans="1:62" s="81" customFormat="1" ht="19.5" customHeight="1">
      <c r="A26" s="1860" t="s">
        <v>114</v>
      </c>
      <c r="B26" s="1860"/>
      <c r="C26" s="1860"/>
      <c r="D26" s="1860"/>
      <c r="E26" s="1860"/>
      <c r="F26" s="1860"/>
      <c r="G26" s="1860"/>
      <c r="H26" s="1860"/>
      <c r="I26" s="1860"/>
      <c r="J26" s="1860"/>
      <c r="K26" s="1860"/>
      <c r="L26" s="1860"/>
      <c r="M26" s="1893">
        <v>5997000</v>
      </c>
      <c r="N26" s="1885"/>
      <c r="O26" s="1885"/>
      <c r="P26" s="1885"/>
      <c r="Q26" s="1885"/>
      <c r="R26" s="1885"/>
      <c r="S26" s="1885"/>
      <c r="T26" s="1885"/>
      <c r="U26" s="1885"/>
      <c r="V26" s="1885"/>
      <c r="W26" s="1893">
        <v>6155801</v>
      </c>
      <c r="X26" s="1885"/>
      <c r="Y26" s="1885"/>
      <c r="Z26" s="1885"/>
      <c r="AA26" s="1885"/>
      <c r="AB26" s="1885"/>
      <c r="AC26" s="1885"/>
      <c r="AD26" s="1885"/>
      <c r="AE26" s="1885"/>
      <c r="AF26" s="1885"/>
      <c r="AG26" s="1886">
        <f t="shared" si="0"/>
        <v>158801</v>
      </c>
      <c r="AH26" s="1886"/>
      <c r="AI26" s="1886"/>
      <c r="AJ26" s="1886"/>
      <c r="AK26" s="1886"/>
      <c r="AL26" s="1886"/>
      <c r="AM26" s="1886"/>
      <c r="AN26" s="1886"/>
      <c r="AO26" s="1886"/>
      <c r="AP26" s="1886"/>
      <c r="AQ26" s="1885">
        <f>前年度貼付!$E$203</f>
        <v>6077620</v>
      </c>
      <c r="AR26" s="1885"/>
      <c r="AS26" s="1885"/>
      <c r="AT26" s="1885"/>
      <c r="AU26" s="1885"/>
      <c r="AV26" s="1885"/>
      <c r="AW26" s="1885"/>
      <c r="AX26" s="1885"/>
      <c r="AY26" s="1885"/>
      <c r="AZ26" s="1885"/>
      <c r="BA26" s="1886">
        <f t="shared" si="1"/>
        <v>78181</v>
      </c>
      <c r="BB26" s="1886"/>
      <c r="BC26" s="1886"/>
      <c r="BD26" s="1886"/>
      <c r="BE26" s="1886"/>
      <c r="BF26" s="1886"/>
      <c r="BG26" s="1886"/>
      <c r="BH26" s="1886"/>
      <c r="BI26" s="1886"/>
      <c r="BJ26" s="1886"/>
    </row>
    <row r="27" spans="1:62" s="81" customFormat="1" ht="19.5" customHeight="1">
      <c r="A27" s="1860" t="s">
        <v>115</v>
      </c>
      <c r="B27" s="1860"/>
      <c r="C27" s="1860"/>
      <c r="D27" s="1860"/>
      <c r="E27" s="1860"/>
      <c r="F27" s="1860"/>
      <c r="G27" s="1860"/>
      <c r="H27" s="1860"/>
      <c r="I27" s="1860"/>
      <c r="J27" s="1860"/>
      <c r="K27" s="1860"/>
      <c r="L27" s="1860"/>
      <c r="M27" s="1893">
        <v>1915000</v>
      </c>
      <c r="N27" s="1885"/>
      <c r="O27" s="1885"/>
      <c r="P27" s="1885"/>
      <c r="Q27" s="1885"/>
      <c r="R27" s="1885"/>
      <c r="S27" s="1885"/>
      <c r="T27" s="1885"/>
      <c r="U27" s="1885"/>
      <c r="V27" s="1885"/>
      <c r="W27" s="1893">
        <v>2051455</v>
      </c>
      <c r="X27" s="1885"/>
      <c r="Y27" s="1885"/>
      <c r="Z27" s="1885"/>
      <c r="AA27" s="1885"/>
      <c r="AB27" s="1885"/>
      <c r="AC27" s="1885"/>
      <c r="AD27" s="1885"/>
      <c r="AE27" s="1885"/>
      <c r="AF27" s="1885"/>
      <c r="AG27" s="1886">
        <f t="shared" si="0"/>
        <v>136455</v>
      </c>
      <c r="AH27" s="1886"/>
      <c r="AI27" s="1886"/>
      <c r="AJ27" s="1886"/>
      <c r="AK27" s="1886"/>
      <c r="AL27" s="1886"/>
      <c r="AM27" s="1886"/>
      <c r="AN27" s="1886"/>
      <c r="AO27" s="1886"/>
      <c r="AP27" s="1886"/>
      <c r="AQ27" s="1885">
        <f>前年度貼付!$E$204</f>
        <v>1991711</v>
      </c>
      <c r="AR27" s="1885"/>
      <c r="AS27" s="1885"/>
      <c r="AT27" s="1885"/>
      <c r="AU27" s="1885"/>
      <c r="AV27" s="1885"/>
      <c r="AW27" s="1885"/>
      <c r="AX27" s="1885"/>
      <c r="AY27" s="1885"/>
      <c r="AZ27" s="1885"/>
      <c r="BA27" s="1886">
        <f t="shared" si="1"/>
        <v>59744</v>
      </c>
      <c r="BB27" s="1886"/>
      <c r="BC27" s="1886"/>
      <c r="BD27" s="1886"/>
      <c r="BE27" s="1886"/>
      <c r="BF27" s="1886"/>
      <c r="BG27" s="1886"/>
      <c r="BH27" s="1886"/>
      <c r="BI27" s="1886"/>
      <c r="BJ27" s="1886"/>
    </row>
    <row r="28" spans="1:62" s="81" customFormat="1" ht="19.5" customHeight="1">
      <c r="A28" s="1860" t="s">
        <v>117</v>
      </c>
      <c r="B28" s="1860"/>
      <c r="C28" s="1860"/>
      <c r="D28" s="1860"/>
      <c r="E28" s="1860"/>
      <c r="F28" s="1860"/>
      <c r="G28" s="1860"/>
      <c r="H28" s="1860"/>
      <c r="I28" s="1860"/>
      <c r="J28" s="1860"/>
      <c r="K28" s="1860"/>
      <c r="L28" s="1860"/>
      <c r="M28" s="1893">
        <v>76359000</v>
      </c>
      <c r="N28" s="1885"/>
      <c r="O28" s="1885"/>
      <c r="P28" s="1885"/>
      <c r="Q28" s="1885"/>
      <c r="R28" s="1885"/>
      <c r="S28" s="1885"/>
      <c r="T28" s="1885"/>
      <c r="U28" s="1885"/>
      <c r="V28" s="1885"/>
      <c r="W28" s="1893">
        <v>77412960</v>
      </c>
      <c r="X28" s="1885"/>
      <c r="Y28" s="1885"/>
      <c r="Z28" s="1885"/>
      <c r="AA28" s="1885"/>
      <c r="AB28" s="1885"/>
      <c r="AC28" s="1885"/>
      <c r="AD28" s="1885"/>
      <c r="AE28" s="1885"/>
      <c r="AF28" s="1885"/>
      <c r="AG28" s="1886">
        <f t="shared" si="0"/>
        <v>1053960</v>
      </c>
      <c r="AH28" s="1886"/>
      <c r="AI28" s="1886"/>
      <c r="AJ28" s="1886"/>
      <c r="AK28" s="1886"/>
      <c r="AL28" s="1886"/>
      <c r="AM28" s="1886"/>
      <c r="AN28" s="1886"/>
      <c r="AO28" s="1886"/>
      <c r="AP28" s="1886"/>
      <c r="AQ28" s="1885">
        <f>前年度貼付!$E$205</f>
        <v>76197772</v>
      </c>
      <c r="AR28" s="1885"/>
      <c r="AS28" s="1885"/>
      <c r="AT28" s="1885"/>
      <c r="AU28" s="1885"/>
      <c r="AV28" s="1885"/>
      <c r="AW28" s="1885"/>
      <c r="AX28" s="1885"/>
      <c r="AY28" s="1885"/>
      <c r="AZ28" s="1885"/>
      <c r="BA28" s="1886">
        <f t="shared" si="1"/>
        <v>1215188</v>
      </c>
      <c r="BB28" s="1886"/>
      <c r="BC28" s="1886"/>
      <c r="BD28" s="1886"/>
      <c r="BE28" s="1886"/>
      <c r="BF28" s="1886"/>
      <c r="BG28" s="1886"/>
      <c r="BH28" s="1886"/>
      <c r="BI28" s="1886"/>
      <c r="BJ28" s="1886"/>
    </row>
    <row r="29" spans="1:62" ht="19.5" customHeight="1">
      <c r="A29" s="2140" t="s">
        <v>118</v>
      </c>
      <c r="B29" s="2140"/>
      <c r="C29" s="2140"/>
      <c r="D29" s="2140"/>
      <c r="E29" s="2140"/>
      <c r="F29" s="2140"/>
      <c r="G29" s="2140"/>
      <c r="H29" s="2140"/>
      <c r="I29" s="2140"/>
      <c r="J29" s="2140"/>
      <c r="K29" s="2140"/>
      <c r="L29" s="2140"/>
      <c r="M29" s="1893">
        <v>0</v>
      </c>
      <c r="N29" s="1885"/>
      <c r="O29" s="1885"/>
      <c r="P29" s="1885"/>
      <c r="Q29" s="1885"/>
      <c r="R29" s="1885"/>
      <c r="S29" s="1885"/>
      <c r="T29" s="1885"/>
      <c r="U29" s="1885"/>
      <c r="V29" s="1885"/>
      <c r="W29" s="1893">
        <v>0</v>
      </c>
      <c r="X29" s="1885"/>
      <c r="Y29" s="1885"/>
      <c r="Z29" s="1885"/>
      <c r="AA29" s="1885"/>
      <c r="AB29" s="1885"/>
      <c r="AC29" s="1885"/>
      <c r="AD29" s="1885"/>
      <c r="AE29" s="1885"/>
      <c r="AF29" s="1885"/>
      <c r="AG29" s="1886">
        <f t="shared" si="0"/>
        <v>0</v>
      </c>
      <c r="AH29" s="1886"/>
      <c r="AI29" s="1886"/>
      <c r="AJ29" s="1886"/>
      <c r="AK29" s="1886"/>
      <c r="AL29" s="1886"/>
      <c r="AM29" s="1886"/>
      <c r="AN29" s="1886"/>
      <c r="AO29" s="1886"/>
      <c r="AP29" s="1886"/>
      <c r="AQ29" s="1885">
        <f>前年度貼付!$E$206</f>
        <v>0</v>
      </c>
      <c r="AR29" s="1885"/>
      <c r="AS29" s="1885"/>
      <c r="AT29" s="1885"/>
      <c r="AU29" s="1885"/>
      <c r="AV29" s="1885"/>
      <c r="AW29" s="1885"/>
      <c r="AX29" s="1885"/>
      <c r="AY29" s="1885"/>
      <c r="AZ29" s="1885"/>
      <c r="BA29" s="1886">
        <f t="shared" si="1"/>
        <v>0</v>
      </c>
      <c r="BB29" s="1886"/>
      <c r="BC29" s="1886"/>
      <c r="BD29" s="1886"/>
      <c r="BE29" s="1886"/>
      <c r="BF29" s="1886"/>
      <c r="BG29" s="1886"/>
      <c r="BH29" s="1886"/>
      <c r="BI29" s="1886"/>
      <c r="BJ29" s="1886"/>
    </row>
    <row r="30" spans="1:62" s="81" customFormat="1" ht="19.5" customHeight="1">
      <c r="A30" s="1861" t="s">
        <v>108</v>
      </c>
      <c r="B30" s="1861"/>
      <c r="C30" s="1861"/>
      <c r="D30" s="1861"/>
      <c r="E30" s="1861"/>
      <c r="F30" s="1861"/>
      <c r="G30" s="1861"/>
      <c r="H30" s="1861"/>
      <c r="I30" s="1861"/>
      <c r="J30" s="1861"/>
      <c r="K30" s="1861"/>
      <c r="L30" s="1861"/>
      <c r="M30" s="1893">
        <v>0</v>
      </c>
      <c r="N30" s="1885"/>
      <c r="O30" s="1885"/>
      <c r="P30" s="1885"/>
      <c r="Q30" s="1885"/>
      <c r="R30" s="1885"/>
      <c r="S30" s="1885"/>
      <c r="T30" s="1885"/>
      <c r="U30" s="1885"/>
      <c r="V30" s="1885"/>
      <c r="W30" s="1893">
        <v>0</v>
      </c>
      <c r="X30" s="1885"/>
      <c r="Y30" s="1885"/>
      <c r="Z30" s="1885"/>
      <c r="AA30" s="1885"/>
      <c r="AB30" s="1885"/>
      <c r="AC30" s="1885"/>
      <c r="AD30" s="1885"/>
      <c r="AE30" s="1885"/>
      <c r="AF30" s="1885"/>
      <c r="AG30" s="1886">
        <f t="shared" si="0"/>
        <v>0</v>
      </c>
      <c r="AH30" s="1886"/>
      <c r="AI30" s="1886"/>
      <c r="AJ30" s="1886"/>
      <c r="AK30" s="1886"/>
      <c r="AL30" s="1886"/>
      <c r="AM30" s="1886"/>
      <c r="AN30" s="1886"/>
      <c r="AO30" s="1886"/>
      <c r="AP30" s="1886"/>
      <c r="AQ30" s="1885">
        <f>前年度貼付!$E$207</f>
        <v>0</v>
      </c>
      <c r="AR30" s="1885"/>
      <c r="AS30" s="1885"/>
      <c r="AT30" s="1885"/>
      <c r="AU30" s="1885"/>
      <c r="AV30" s="1885"/>
      <c r="AW30" s="1885"/>
      <c r="AX30" s="1885"/>
      <c r="AY30" s="1885"/>
      <c r="AZ30" s="1885"/>
      <c r="BA30" s="1886">
        <f t="shared" si="1"/>
        <v>0</v>
      </c>
      <c r="BB30" s="1886"/>
      <c r="BC30" s="1886"/>
      <c r="BD30" s="1886"/>
      <c r="BE30" s="1886"/>
      <c r="BF30" s="1886"/>
      <c r="BG30" s="1886"/>
      <c r="BH30" s="1886"/>
      <c r="BI30" s="1886"/>
      <c r="BJ30" s="1886"/>
    </row>
    <row r="31" spans="1:62" s="81" customFormat="1" ht="19.5" customHeight="1">
      <c r="A31" s="1861" t="s">
        <v>413</v>
      </c>
      <c r="B31" s="1861"/>
      <c r="C31" s="1861"/>
      <c r="D31" s="1861"/>
      <c r="E31" s="1861"/>
      <c r="F31" s="1861"/>
      <c r="G31" s="1861"/>
      <c r="H31" s="1861"/>
      <c r="I31" s="1861"/>
      <c r="J31" s="1861"/>
      <c r="K31" s="1861"/>
      <c r="L31" s="1861"/>
      <c r="M31" s="1890">
        <f>SUM(M25,V30)</f>
        <v>84271000</v>
      </c>
      <c r="N31" s="1890"/>
      <c r="O31" s="1890"/>
      <c r="P31" s="1890"/>
      <c r="Q31" s="1890"/>
      <c r="R31" s="1890"/>
      <c r="S31" s="1890"/>
      <c r="T31" s="1890"/>
      <c r="U31" s="1890"/>
      <c r="V31" s="1890"/>
      <c r="W31" s="1890">
        <f>SUM(W25,AF30)</f>
        <v>85620216</v>
      </c>
      <c r="X31" s="1890"/>
      <c r="Y31" s="1890"/>
      <c r="Z31" s="1890"/>
      <c r="AA31" s="1890"/>
      <c r="AB31" s="1890"/>
      <c r="AC31" s="1890"/>
      <c r="AD31" s="1890"/>
      <c r="AE31" s="1890"/>
      <c r="AF31" s="1890"/>
      <c r="AG31" s="1886">
        <f t="shared" si="0"/>
        <v>1349216</v>
      </c>
      <c r="AH31" s="1886"/>
      <c r="AI31" s="1886"/>
      <c r="AJ31" s="1886"/>
      <c r="AK31" s="1886"/>
      <c r="AL31" s="1886"/>
      <c r="AM31" s="1886"/>
      <c r="AN31" s="1886"/>
      <c r="AO31" s="1886"/>
      <c r="AP31" s="1886"/>
      <c r="AQ31" s="1890">
        <f>SUM(AQ25,AZ30)</f>
        <v>84267103</v>
      </c>
      <c r="AR31" s="1890"/>
      <c r="AS31" s="1890"/>
      <c r="AT31" s="1890"/>
      <c r="AU31" s="1890"/>
      <c r="AV31" s="1890"/>
      <c r="AW31" s="1890"/>
      <c r="AX31" s="1890"/>
      <c r="AY31" s="1890"/>
      <c r="AZ31" s="1890"/>
      <c r="BA31" s="1886">
        <f t="shared" si="1"/>
        <v>1353113</v>
      </c>
      <c r="BB31" s="1886"/>
      <c r="BC31" s="1886"/>
      <c r="BD31" s="1886"/>
      <c r="BE31" s="1886"/>
      <c r="BF31" s="1886"/>
      <c r="BG31" s="1886"/>
      <c r="BH31" s="1886"/>
      <c r="BI31" s="1886"/>
      <c r="BJ31" s="1886"/>
    </row>
    <row r="32" spans="1:62" s="81" customFormat="1" ht="21.9" customHeight="1">
      <c r="A32" s="345"/>
      <c r="B32" s="345"/>
      <c r="C32" s="352"/>
      <c r="D32" s="345"/>
      <c r="E32" s="345"/>
      <c r="F32" s="345"/>
      <c r="G32" s="345"/>
      <c r="H32" s="345"/>
      <c r="I32" s="345"/>
      <c r="J32" s="345"/>
      <c r="K32" s="345"/>
      <c r="L32" s="345"/>
      <c r="M32" s="345"/>
      <c r="N32" s="345"/>
      <c r="O32" s="345"/>
      <c r="P32" s="345"/>
      <c r="Q32" s="345"/>
      <c r="R32" s="345"/>
      <c r="S32" s="345"/>
      <c r="T32" s="345"/>
      <c r="U32" s="345"/>
      <c r="V32" s="345"/>
      <c r="W32" s="345"/>
      <c r="X32" s="345"/>
      <c r="Y32" s="154"/>
      <c r="Z32" s="154"/>
      <c r="AA32" s="154"/>
      <c r="AB32" s="154"/>
      <c r="AC32" s="154"/>
      <c r="AD32" s="154"/>
      <c r="AE32" s="154"/>
      <c r="AF32" s="154"/>
      <c r="AG32" s="154"/>
      <c r="AH32" s="154"/>
      <c r="AI32" s="154"/>
      <c r="AJ32" s="154"/>
      <c r="AK32" s="154"/>
      <c r="AL32" s="154"/>
      <c r="AM32" s="154"/>
      <c r="AN32" s="154"/>
      <c r="AO32" s="154"/>
      <c r="AP32" s="154"/>
      <c r="AQ32" s="154"/>
      <c r="AR32" s="154"/>
      <c r="AS32" s="154"/>
      <c r="AT32" s="154"/>
      <c r="AU32" s="154"/>
      <c r="AV32" s="154"/>
      <c r="AW32" s="154"/>
      <c r="AX32" s="154"/>
      <c r="AY32" s="154"/>
      <c r="AZ32" s="154"/>
      <c r="BA32" s="154"/>
      <c r="BB32" s="154"/>
      <c r="BC32" s="154"/>
      <c r="BD32" s="154"/>
      <c r="BE32" s="154"/>
      <c r="BF32" s="154"/>
      <c r="BG32" s="154"/>
      <c r="BH32" s="154"/>
      <c r="BI32" s="154"/>
      <c r="BJ32" s="154"/>
    </row>
    <row r="33" spans="1:62" s="81" customFormat="1" ht="21.9" customHeight="1">
      <c r="A33" s="321" t="s">
        <v>605</v>
      </c>
      <c r="B33" s="321"/>
      <c r="C33" s="321"/>
      <c r="D33" s="321"/>
      <c r="E33" s="321"/>
      <c r="F33" s="321"/>
      <c r="G33" s="321"/>
      <c r="H33" s="321"/>
      <c r="I33" s="321"/>
      <c r="J33" s="321"/>
      <c r="K33" s="321"/>
      <c r="L33" s="321"/>
      <c r="M33" s="321"/>
      <c r="N33" s="321"/>
      <c r="O33" s="321"/>
      <c r="P33" s="321"/>
      <c r="Q33" s="321"/>
      <c r="R33" s="321"/>
      <c r="S33" s="321"/>
      <c r="T33" s="321"/>
      <c r="U33" s="321"/>
      <c r="V33" s="321"/>
      <c r="W33" s="345"/>
      <c r="X33" s="345"/>
      <c r="Y33" s="345"/>
      <c r="Z33" s="345"/>
      <c r="AA33" s="345"/>
      <c r="AB33" s="345"/>
      <c r="AC33" s="345"/>
      <c r="AD33" s="345"/>
      <c r="AE33" s="345"/>
      <c r="AF33" s="345"/>
      <c r="AG33" s="345"/>
      <c r="AH33" s="345"/>
      <c r="AI33" s="345"/>
      <c r="AJ33" s="345"/>
      <c r="AK33" s="345"/>
      <c r="AL33" s="345"/>
      <c r="AM33" s="345"/>
      <c r="AN33" s="345"/>
      <c r="AO33" s="345"/>
      <c r="AP33" s="345"/>
      <c r="AQ33" s="345"/>
      <c r="AR33" s="345"/>
      <c r="AS33" s="345"/>
      <c r="AT33" s="345"/>
      <c r="AU33" s="345"/>
      <c r="AV33" s="345"/>
      <c r="AW33" s="345"/>
      <c r="AX33" s="345"/>
      <c r="AY33" s="353"/>
      <c r="AZ33" s="353"/>
      <c r="BA33" s="353"/>
      <c r="BB33" s="353"/>
      <c r="BC33" s="353"/>
      <c r="BD33" s="353"/>
      <c r="BE33" s="353"/>
      <c r="BF33" s="353"/>
      <c r="BG33" s="353"/>
      <c r="BH33" s="353"/>
      <c r="BI33" s="353"/>
      <c r="BJ33" s="353"/>
    </row>
    <row r="34" spans="1:62" s="81" customFormat="1" ht="21.9" customHeight="1">
      <c r="B34" s="104"/>
      <c r="C34" s="104"/>
      <c r="D34" s="104"/>
      <c r="E34" s="104"/>
      <c r="F34" s="104"/>
      <c r="G34" s="104"/>
      <c r="H34" s="104"/>
      <c r="I34" s="104"/>
      <c r="J34" s="104"/>
      <c r="K34" s="104"/>
      <c r="L34" s="104"/>
      <c r="M34" s="104"/>
      <c r="AG34" s="104"/>
      <c r="AH34" s="104"/>
      <c r="AI34" s="104"/>
      <c r="AJ34" s="104"/>
      <c r="AK34" s="104"/>
      <c r="AL34" s="104"/>
      <c r="AM34" s="104"/>
      <c r="AN34" s="104"/>
      <c r="AO34" s="104"/>
      <c r="AP34" s="104"/>
      <c r="AQ34" s="104"/>
      <c r="AR34" s="104"/>
      <c r="AS34" s="104"/>
      <c r="AT34" s="104"/>
      <c r="AU34" s="325"/>
      <c r="AV34" s="325"/>
      <c r="AW34" s="325"/>
      <c r="AX34" s="104"/>
      <c r="AY34" s="104"/>
      <c r="AZ34" s="104"/>
      <c r="BA34" s="104"/>
      <c r="BB34" s="104"/>
      <c r="BC34" s="104"/>
      <c r="BD34" s="88" t="s">
        <v>416</v>
      </c>
      <c r="BE34" s="104"/>
      <c r="BF34" s="104"/>
      <c r="BG34" s="104"/>
      <c r="BH34" s="104"/>
      <c r="BI34" s="104"/>
      <c r="BJ34" s="104"/>
    </row>
    <row r="35" spans="1:62" s="345" customFormat="1" ht="27" customHeight="1">
      <c r="A35" s="1879" t="s">
        <v>580</v>
      </c>
      <c r="B35" s="1879"/>
      <c r="C35" s="1879"/>
      <c r="D35" s="1879"/>
      <c r="E35" s="1879"/>
      <c r="F35" s="1879"/>
      <c r="G35" s="1879"/>
      <c r="H35" s="1879"/>
      <c r="I35" s="1879"/>
      <c r="J35" s="1879"/>
      <c r="K35" s="1879"/>
      <c r="L35" s="1879"/>
      <c r="M35" s="1911" t="s">
        <v>586</v>
      </c>
      <c r="N35" s="1911"/>
      <c r="O35" s="1911"/>
      <c r="P35" s="1911"/>
      <c r="Q35" s="1911"/>
      <c r="R35" s="1911"/>
      <c r="S35" s="1911"/>
      <c r="T35" s="1911"/>
      <c r="U35" s="1911"/>
      <c r="V35" s="1911"/>
      <c r="W35" s="1911" t="s">
        <v>587</v>
      </c>
      <c r="X35" s="1911"/>
      <c r="Y35" s="1911"/>
      <c r="Z35" s="1911"/>
      <c r="AA35" s="1911"/>
      <c r="AB35" s="1911"/>
      <c r="AC35" s="1911"/>
      <c r="AD35" s="1911"/>
      <c r="AE35" s="1911"/>
      <c r="AF35" s="1911"/>
      <c r="AG35" s="1911" t="s">
        <v>588</v>
      </c>
      <c r="AH35" s="1911"/>
      <c r="AI35" s="1911"/>
      <c r="AJ35" s="1911"/>
      <c r="AK35" s="1911"/>
      <c r="AL35" s="1911"/>
      <c r="AM35" s="1911"/>
      <c r="AN35" s="1911"/>
      <c r="AO35" s="1911"/>
      <c r="AP35" s="1911"/>
      <c r="AQ35" s="1861" t="s">
        <v>589</v>
      </c>
      <c r="AR35" s="1861"/>
      <c r="AS35" s="1861"/>
      <c r="AT35" s="1861"/>
      <c r="AU35" s="1861"/>
      <c r="AV35" s="1861"/>
      <c r="AW35" s="1861"/>
      <c r="AX35" s="1861"/>
      <c r="AY35" s="1861"/>
      <c r="AZ35" s="1861"/>
      <c r="BA35" s="1861"/>
      <c r="BB35" s="1861"/>
      <c r="BC35" s="1861"/>
      <c r="BD35" s="1861"/>
      <c r="BE35" s="1861"/>
      <c r="BF35" s="1861"/>
      <c r="BG35" s="1861"/>
      <c r="BH35" s="1861"/>
      <c r="BI35" s="1861"/>
      <c r="BJ35" s="1861"/>
    </row>
    <row r="36" spans="1:62" ht="18" customHeight="1">
      <c r="A36" s="1851" t="s">
        <v>583</v>
      </c>
      <c r="B36" s="1851"/>
      <c r="C36" s="1851"/>
      <c r="D36" s="1851"/>
      <c r="E36" s="1851"/>
      <c r="F36" s="1851"/>
      <c r="G36" s="1851"/>
      <c r="H36" s="1851"/>
      <c r="I36" s="1851"/>
      <c r="J36" s="1851"/>
      <c r="K36" s="1851"/>
      <c r="L36" s="1851"/>
      <c r="M36" s="2126" t="s">
        <v>590</v>
      </c>
      <c r="N36" s="2126"/>
      <c r="O36" s="2126"/>
      <c r="P36" s="2126"/>
      <c r="Q36" s="2126"/>
      <c r="R36" s="2126"/>
      <c r="S36" s="2126"/>
      <c r="T36" s="2126"/>
      <c r="U36" s="2126"/>
      <c r="V36" s="2126"/>
      <c r="W36" s="2126" t="s">
        <v>591</v>
      </c>
      <c r="X36" s="2126"/>
      <c r="Y36" s="2126"/>
      <c r="Z36" s="2126"/>
      <c r="AA36" s="2126"/>
      <c r="AB36" s="2126"/>
      <c r="AC36" s="2126"/>
      <c r="AD36" s="2126"/>
      <c r="AE36" s="2126"/>
      <c r="AF36" s="2126"/>
      <c r="AG36" s="2126" t="s">
        <v>592</v>
      </c>
      <c r="AH36" s="2126"/>
      <c r="AI36" s="2126"/>
      <c r="AJ36" s="2126"/>
      <c r="AK36" s="2126"/>
      <c r="AL36" s="2126"/>
      <c r="AM36" s="2126"/>
      <c r="AN36" s="2126"/>
      <c r="AO36" s="2126"/>
      <c r="AP36" s="2126"/>
      <c r="AQ36" s="1860" t="s">
        <v>424</v>
      </c>
      <c r="AR36" s="1860"/>
      <c r="AS36" s="1860"/>
      <c r="AT36" s="1860"/>
      <c r="AU36" s="1860"/>
      <c r="AV36" s="1860"/>
      <c r="AW36" s="1860"/>
      <c r="AX36" s="1860"/>
      <c r="AY36" s="1860"/>
      <c r="AZ36" s="1860"/>
      <c r="BA36" s="1860" t="s">
        <v>356</v>
      </c>
      <c r="BB36" s="1860"/>
      <c r="BC36" s="1860"/>
      <c r="BD36" s="1860"/>
      <c r="BE36" s="1860"/>
      <c r="BF36" s="1860"/>
      <c r="BG36" s="1860"/>
      <c r="BH36" s="1860"/>
      <c r="BI36" s="1860"/>
      <c r="BJ36" s="1860"/>
    </row>
    <row r="37" spans="1:62" ht="19.5" customHeight="1">
      <c r="A37" s="1861" t="s">
        <v>125</v>
      </c>
      <c r="B37" s="1861"/>
      <c r="C37" s="1861"/>
      <c r="D37" s="1861"/>
      <c r="E37" s="1861"/>
      <c r="F37" s="1861"/>
      <c r="G37" s="1861"/>
      <c r="H37" s="1861"/>
      <c r="I37" s="1861"/>
      <c r="J37" s="1861"/>
      <c r="K37" s="1861"/>
      <c r="L37" s="1861"/>
      <c r="M37" s="1885">
        <f>W25</f>
        <v>85620216</v>
      </c>
      <c r="N37" s="1885"/>
      <c r="O37" s="1885"/>
      <c r="P37" s="1885"/>
      <c r="Q37" s="1885"/>
      <c r="R37" s="1885"/>
      <c r="S37" s="1885"/>
      <c r="T37" s="1885"/>
      <c r="U37" s="1885"/>
      <c r="V37" s="1885"/>
      <c r="W37" s="1885">
        <f>W25</f>
        <v>85620216</v>
      </c>
      <c r="X37" s="1885"/>
      <c r="Y37" s="1885"/>
      <c r="Z37" s="1885"/>
      <c r="AA37" s="1885"/>
      <c r="AB37" s="1885"/>
      <c r="AC37" s="1885"/>
      <c r="AD37" s="1885"/>
      <c r="AE37" s="1885"/>
      <c r="AF37" s="1885"/>
      <c r="AG37" s="2139">
        <f>(W37/M37)*100</f>
        <v>100</v>
      </c>
      <c r="AH37" s="2139"/>
      <c r="AI37" s="2139"/>
      <c r="AJ37" s="2139"/>
      <c r="AK37" s="2139"/>
      <c r="AL37" s="2139"/>
      <c r="AM37" s="2139"/>
      <c r="AN37" s="2139"/>
      <c r="AO37" s="2139"/>
      <c r="AP37" s="2139"/>
      <c r="AQ37" s="2123">
        <f>前年度貼付!$E$209</f>
        <v>100</v>
      </c>
      <c r="AR37" s="2123"/>
      <c r="AS37" s="2123"/>
      <c r="AT37" s="2123"/>
      <c r="AU37" s="2123"/>
      <c r="AV37" s="2123"/>
      <c r="AW37" s="2123"/>
      <c r="AX37" s="2123"/>
      <c r="AY37" s="2123"/>
      <c r="AZ37" s="2123"/>
      <c r="BA37" s="2124">
        <f>AG37-AQ37</f>
        <v>0</v>
      </c>
      <c r="BB37" s="2124"/>
      <c r="BC37" s="2124"/>
      <c r="BD37" s="2124"/>
      <c r="BE37" s="2124"/>
      <c r="BF37" s="2124"/>
      <c r="BG37" s="2124"/>
      <c r="BH37" s="2124"/>
      <c r="BI37" s="2124"/>
      <c r="BJ37" s="2124"/>
    </row>
    <row r="38" spans="1:62" ht="21.9" customHeight="1">
      <c r="A38" s="87"/>
      <c r="B38" s="44"/>
      <c r="C38" s="44"/>
      <c r="D38" s="44"/>
      <c r="E38" s="44"/>
      <c r="F38" s="44"/>
      <c r="G38" s="44"/>
      <c r="H38" s="44"/>
      <c r="I38" s="44"/>
      <c r="J38" s="44"/>
      <c r="K38" s="44"/>
      <c r="L38" s="44"/>
      <c r="M38" s="87"/>
      <c r="N38" s="354"/>
      <c r="O38" s="354"/>
      <c r="P38" s="354"/>
      <c r="Q38" s="354"/>
      <c r="R38" s="354"/>
      <c r="S38" s="354"/>
      <c r="T38" s="354"/>
      <c r="U38" s="354"/>
      <c r="V38" s="354"/>
      <c r="W38" s="354"/>
      <c r="X38" s="355"/>
      <c r="Y38" s="354"/>
      <c r="Z38" s="354"/>
      <c r="AA38" s="354"/>
      <c r="AB38" s="354"/>
      <c r="AC38" s="354"/>
      <c r="AD38" s="354"/>
      <c r="AE38" s="354"/>
      <c r="AF38" s="354"/>
      <c r="AG38" s="354"/>
      <c r="AH38" s="354"/>
      <c r="AI38" s="356"/>
      <c r="AJ38" s="357"/>
      <c r="AK38" s="357"/>
      <c r="AL38" s="357"/>
      <c r="AM38" s="357"/>
      <c r="AN38" s="357"/>
      <c r="AO38" s="357"/>
      <c r="AP38" s="357"/>
      <c r="AQ38" s="357"/>
      <c r="AR38" s="357"/>
      <c r="AS38" s="357"/>
      <c r="AT38" s="358"/>
      <c r="AU38" s="87"/>
      <c r="AV38" s="87"/>
      <c r="AW38" s="87"/>
      <c r="AX38" s="87"/>
      <c r="AY38" s="87"/>
      <c r="AZ38" s="87"/>
      <c r="BA38" s="87"/>
      <c r="BB38" s="87"/>
      <c r="BC38" s="87"/>
      <c r="BD38" s="81"/>
      <c r="BE38" s="81"/>
      <c r="BF38" s="81"/>
      <c r="BG38" s="81"/>
      <c r="BH38" s="81"/>
      <c r="BI38" s="81"/>
      <c r="BJ38" s="81"/>
    </row>
    <row r="39" spans="1:62" ht="21.9" customHeight="1">
      <c r="A39" s="1887" t="s">
        <v>593</v>
      </c>
      <c r="B39" s="1887"/>
      <c r="C39" s="1887"/>
      <c r="D39" s="1887"/>
      <c r="E39" s="1887"/>
      <c r="F39" s="1887"/>
      <c r="G39" s="1887"/>
      <c r="H39" s="1887"/>
      <c r="I39" s="1887"/>
      <c r="J39" s="1887"/>
      <c r="K39" s="1887"/>
      <c r="L39" s="1887"/>
      <c r="M39" s="1887"/>
      <c r="N39" s="1887"/>
      <c r="O39" s="1887"/>
      <c r="P39" s="1887"/>
      <c r="Q39" s="1887"/>
      <c r="R39" s="1887"/>
      <c r="S39" s="1887"/>
      <c r="T39" s="1887"/>
      <c r="U39" s="321"/>
      <c r="V39" s="321"/>
      <c r="W39" s="345"/>
      <c r="X39" s="345"/>
      <c r="Y39" s="345"/>
      <c r="Z39" s="345"/>
      <c r="AA39" s="345"/>
      <c r="AB39" s="345"/>
      <c r="AC39" s="345"/>
      <c r="AD39" s="345"/>
      <c r="AE39" s="345"/>
      <c r="AF39" s="345"/>
      <c r="AG39" s="345"/>
      <c r="AH39" s="345"/>
      <c r="AI39" s="345"/>
      <c r="AJ39" s="345"/>
      <c r="AK39" s="345"/>
      <c r="AL39" s="345"/>
      <c r="AM39" s="345"/>
      <c r="AN39" s="345"/>
      <c r="AO39" s="345"/>
      <c r="AP39" s="345"/>
      <c r="AQ39" s="345"/>
      <c r="AR39" s="345"/>
      <c r="AS39" s="345"/>
      <c r="AT39" s="345"/>
      <c r="AU39" s="345"/>
      <c r="AV39" s="345"/>
      <c r="AW39" s="345"/>
      <c r="AX39" s="345"/>
      <c r="AY39" s="345"/>
      <c r="AZ39" s="345"/>
      <c r="BA39" s="345"/>
      <c r="BB39" s="345"/>
      <c r="BC39" s="345"/>
      <c r="BD39" s="345"/>
      <c r="BE39" s="345"/>
      <c r="BF39" s="345"/>
      <c r="BG39" s="345"/>
      <c r="BH39" s="345"/>
      <c r="BI39" s="345"/>
      <c r="BJ39" s="345"/>
    </row>
    <row r="40" spans="1:62" s="356" customFormat="1" ht="24.9" customHeight="1">
      <c r="A40" s="104"/>
      <c r="B40" s="104"/>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350"/>
      <c r="AI40" s="350"/>
      <c r="AJ40" s="350"/>
      <c r="AK40" s="350"/>
      <c r="AL40" s="350"/>
      <c r="AM40" s="350"/>
      <c r="AN40" s="350"/>
      <c r="AO40" s="350"/>
      <c r="AP40" s="350"/>
      <c r="AQ40" s="350"/>
      <c r="AR40" s="350"/>
      <c r="AS40" s="350"/>
      <c r="AT40" s="350"/>
      <c r="AU40" s="104"/>
      <c r="AV40" s="104"/>
      <c r="AW40" s="104"/>
      <c r="AX40" s="104"/>
      <c r="AY40" s="104"/>
      <c r="AZ40" s="104"/>
      <c r="BA40" s="104"/>
      <c r="BB40" s="104"/>
      <c r="BC40" s="104"/>
      <c r="BD40" s="104"/>
      <c r="BE40" s="104"/>
      <c r="BF40" s="351" t="s">
        <v>408</v>
      </c>
      <c r="BG40" s="104"/>
      <c r="BH40" s="104"/>
      <c r="BI40" s="104"/>
      <c r="BJ40" s="104"/>
    </row>
    <row r="41" spans="1:62" s="356" customFormat="1" ht="24.9" customHeight="1">
      <c r="A41" s="1879" t="s">
        <v>580</v>
      </c>
      <c r="B41" s="1879"/>
      <c r="C41" s="1879"/>
      <c r="D41" s="1879"/>
      <c r="E41" s="1879"/>
      <c r="F41" s="1879"/>
      <c r="G41" s="1879"/>
      <c r="H41" s="1879"/>
      <c r="I41" s="1879"/>
      <c r="J41" s="1879"/>
      <c r="K41" s="1879"/>
      <c r="L41" s="1879"/>
      <c r="M41" s="1845" t="s">
        <v>581</v>
      </c>
      <c r="N41" s="1845"/>
      <c r="O41" s="1845"/>
      <c r="P41" s="1845"/>
      <c r="Q41" s="1845"/>
      <c r="R41" s="1845"/>
      <c r="S41" s="1845"/>
      <c r="T41" s="1845"/>
      <c r="U41" s="1845"/>
      <c r="V41" s="1845"/>
      <c r="W41" s="1845" t="s">
        <v>582</v>
      </c>
      <c r="X41" s="1845"/>
      <c r="Y41" s="1845"/>
      <c r="Z41" s="1845"/>
      <c r="AA41" s="1845"/>
      <c r="AB41" s="1845"/>
      <c r="AC41" s="1845"/>
      <c r="AD41" s="1845"/>
      <c r="AE41" s="1845"/>
      <c r="AF41" s="1845"/>
      <c r="AG41" s="1845" t="s">
        <v>356</v>
      </c>
      <c r="AH41" s="1845"/>
      <c r="AI41" s="1845"/>
      <c r="AJ41" s="1845"/>
      <c r="AK41" s="1845"/>
      <c r="AL41" s="1845"/>
      <c r="AM41" s="1845"/>
      <c r="AN41" s="1845"/>
      <c r="AO41" s="1845"/>
      <c r="AP41" s="1845"/>
      <c r="AQ41" s="1861" t="s">
        <v>377</v>
      </c>
      <c r="AR41" s="1861"/>
      <c r="AS41" s="1861"/>
      <c r="AT41" s="1861"/>
      <c r="AU41" s="1861"/>
      <c r="AV41" s="1861"/>
      <c r="AW41" s="1861"/>
      <c r="AX41" s="1861"/>
      <c r="AY41" s="1861"/>
      <c r="AZ41" s="1861"/>
      <c r="BA41" s="1861"/>
      <c r="BB41" s="1861"/>
      <c r="BC41" s="1861"/>
      <c r="BD41" s="1861"/>
      <c r="BE41" s="1861"/>
      <c r="BF41" s="1861"/>
      <c r="BG41" s="1861"/>
      <c r="BH41" s="1861"/>
      <c r="BI41" s="1861"/>
      <c r="BJ41" s="1861"/>
    </row>
    <row r="42" spans="1:62" s="356" customFormat="1" ht="24.9" customHeight="1">
      <c r="A42" s="2125" t="s">
        <v>583</v>
      </c>
      <c r="B42" s="2125"/>
      <c r="C42" s="2125"/>
      <c r="D42" s="2125"/>
      <c r="E42" s="2125"/>
      <c r="F42" s="2125"/>
      <c r="G42" s="2125"/>
      <c r="H42" s="2125"/>
      <c r="I42" s="2125"/>
      <c r="J42" s="2125"/>
      <c r="K42" s="2125"/>
      <c r="L42" s="2125"/>
      <c r="M42" s="1845"/>
      <c r="N42" s="1845"/>
      <c r="O42" s="1845"/>
      <c r="P42" s="1845"/>
      <c r="Q42" s="1845"/>
      <c r="R42" s="1845"/>
      <c r="S42" s="1845"/>
      <c r="T42" s="1845"/>
      <c r="U42" s="1845"/>
      <c r="V42" s="1845"/>
      <c r="W42" s="1845"/>
      <c r="X42" s="1845"/>
      <c r="Y42" s="1845"/>
      <c r="Z42" s="1845"/>
      <c r="AA42" s="1845"/>
      <c r="AB42" s="1845"/>
      <c r="AC42" s="1845"/>
      <c r="AD42" s="1845"/>
      <c r="AE42" s="1845"/>
      <c r="AF42" s="1845"/>
      <c r="AG42" s="1845"/>
      <c r="AH42" s="1845"/>
      <c r="AI42" s="1845"/>
      <c r="AJ42" s="1845"/>
      <c r="AK42" s="1845"/>
      <c r="AL42" s="1845"/>
      <c r="AM42" s="1845"/>
      <c r="AN42" s="1845"/>
      <c r="AO42" s="1845"/>
      <c r="AP42" s="1845"/>
      <c r="AQ42" s="1860" t="s">
        <v>378</v>
      </c>
      <c r="AR42" s="1860"/>
      <c r="AS42" s="1860"/>
      <c r="AT42" s="1860"/>
      <c r="AU42" s="1860"/>
      <c r="AV42" s="1860"/>
      <c r="AW42" s="1860"/>
      <c r="AX42" s="1860"/>
      <c r="AY42" s="1860"/>
      <c r="AZ42" s="1860"/>
      <c r="BA42" s="1860" t="s">
        <v>356</v>
      </c>
      <c r="BB42" s="1860"/>
      <c r="BC42" s="1860"/>
      <c r="BD42" s="1860"/>
      <c r="BE42" s="1860"/>
      <c r="BF42" s="1860"/>
      <c r="BG42" s="1860"/>
      <c r="BH42" s="1860"/>
      <c r="BI42" s="1860"/>
      <c r="BJ42" s="1860"/>
    </row>
    <row r="43" spans="1:62" s="356" customFormat="1" ht="19.5" customHeight="1">
      <c r="A43" s="1861" t="s">
        <v>594</v>
      </c>
      <c r="B43" s="1861"/>
      <c r="C43" s="1861"/>
      <c r="D43" s="1861"/>
      <c r="E43" s="1861"/>
      <c r="F43" s="1861"/>
      <c r="G43" s="1861"/>
      <c r="H43" s="1861"/>
      <c r="I43" s="1861"/>
      <c r="J43" s="1861"/>
      <c r="K43" s="1861"/>
      <c r="L43" s="1861"/>
      <c r="M43" s="1885">
        <f>M25</f>
        <v>84271000</v>
      </c>
      <c r="N43" s="1885"/>
      <c r="O43" s="1885"/>
      <c r="P43" s="1885"/>
      <c r="Q43" s="1885"/>
      <c r="R43" s="1885"/>
      <c r="S43" s="1885"/>
      <c r="T43" s="1885"/>
      <c r="U43" s="1885"/>
      <c r="V43" s="1885"/>
      <c r="W43" s="1890">
        <f>W31</f>
        <v>85620216</v>
      </c>
      <c r="X43" s="1890"/>
      <c r="Y43" s="1890"/>
      <c r="Z43" s="1890"/>
      <c r="AA43" s="1890"/>
      <c r="AB43" s="1890"/>
      <c r="AC43" s="1890"/>
      <c r="AD43" s="1890"/>
      <c r="AE43" s="1890"/>
      <c r="AF43" s="1890"/>
      <c r="AG43" s="1886">
        <f>W43-M43</f>
        <v>1349216</v>
      </c>
      <c r="AH43" s="1886"/>
      <c r="AI43" s="1886"/>
      <c r="AJ43" s="1886"/>
      <c r="AK43" s="1886"/>
      <c r="AL43" s="1886"/>
      <c r="AM43" s="1886"/>
      <c r="AN43" s="1886"/>
      <c r="AO43" s="1886"/>
      <c r="AP43" s="1886"/>
      <c r="AQ43" s="1890">
        <f>AQ31</f>
        <v>84267103</v>
      </c>
      <c r="AR43" s="1890"/>
      <c r="AS43" s="1890"/>
      <c r="AT43" s="1890"/>
      <c r="AU43" s="1890"/>
      <c r="AV43" s="1890"/>
      <c r="AW43" s="1890"/>
      <c r="AX43" s="1890"/>
      <c r="AY43" s="1890"/>
      <c r="AZ43" s="1890"/>
      <c r="BA43" s="1886">
        <f>W43-AQ43</f>
        <v>1353113</v>
      </c>
      <c r="BB43" s="1886"/>
      <c r="BC43" s="1886"/>
      <c r="BD43" s="1886"/>
      <c r="BE43" s="1886"/>
      <c r="BF43" s="1886"/>
      <c r="BG43" s="1886"/>
      <c r="BH43" s="1886"/>
      <c r="BI43" s="1886"/>
      <c r="BJ43" s="1886"/>
    </row>
    <row r="44" spans="1:62" s="356" customFormat="1" ht="19.5" customHeight="1">
      <c r="A44" s="1861" t="s">
        <v>108</v>
      </c>
      <c r="B44" s="1861"/>
      <c r="C44" s="1861"/>
      <c r="D44" s="1861"/>
      <c r="E44" s="1861"/>
      <c r="F44" s="1861"/>
      <c r="G44" s="1861"/>
      <c r="H44" s="1861"/>
      <c r="I44" s="1861"/>
      <c r="J44" s="1861"/>
      <c r="K44" s="1861"/>
      <c r="L44" s="1861"/>
      <c r="M44" s="1893">
        <v>0</v>
      </c>
      <c r="N44" s="1885"/>
      <c r="O44" s="1885"/>
      <c r="P44" s="1885"/>
      <c r="Q44" s="1885"/>
      <c r="R44" s="1885"/>
      <c r="S44" s="1885"/>
      <c r="T44" s="1885"/>
      <c r="U44" s="1885"/>
      <c r="V44" s="1885"/>
      <c r="W44" s="1890">
        <f>W32</f>
        <v>0</v>
      </c>
      <c r="X44" s="1890"/>
      <c r="Y44" s="1890"/>
      <c r="Z44" s="1890"/>
      <c r="AA44" s="1890"/>
      <c r="AB44" s="1890"/>
      <c r="AC44" s="1890"/>
      <c r="AD44" s="1890"/>
      <c r="AE44" s="1890"/>
      <c r="AF44" s="1890"/>
      <c r="AG44" s="1886">
        <f>W44-M44</f>
        <v>0</v>
      </c>
      <c r="AH44" s="1886"/>
      <c r="AI44" s="1886"/>
      <c r="AJ44" s="1886"/>
      <c r="AK44" s="1886"/>
      <c r="AL44" s="1886"/>
      <c r="AM44" s="1886"/>
      <c r="AN44" s="1886"/>
      <c r="AO44" s="1886"/>
      <c r="AP44" s="1886"/>
      <c r="AQ44" s="1890">
        <f>前年度貼付!$E$208</f>
        <v>0</v>
      </c>
      <c r="AR44" s="1890"/>
      <c r="AS44" s="1890"/>
      <c r="AT44" s="1890"/>
      <c r="AU44" s="1890"/>
      <c r="AV44" s="1890"/>
      <c r="AW44" s="1890"/>
      <c r="AX44" s="1890"/>
      <c r="AY44" s="1890"/>
      <c r="AZ44" s="1890"/>
      <c r="BA44" s="1886">
        <f>W44-AQ44</f>
        <v>0</v>
      </c>
      <c r="BB44" s="1886"/>
      <c r="BC44" s="1886"/>
      <c r="BD44" s="1886"/>
      <c r="BE44" s="1886"/>
      <c r="BF44" s="1886"/>
      <c r="BG44" s="1886"/>
      <c r="BH44" s="1886"/>
      <c r="BI44" s="1886"/>
      <c r="BJ44" s="1886"/>
    </row>
    <row r="45" spans="1:62" s="356" customFormat="1" ht="19.5" customHeight="1">
      <c r="A45" s="1861" t="s">
        <v>413</v>
      </c>
      <c r="B45" s="1861"/>
      <c r="C45" s="1861"/>
      <c r="D45" s="1861"/>
      <c r="E45" s="1861"/>
      <c r="F45" s="1861"/>
      <c r="G45" s="1861"/>
      <c r="H45" s="1861"/>
      <c r="I45" s="1861"/>
      <c r="J45" s="1861"/>
      <c r="K45" s="1861"/>
      <c r="L45" s="1861"/>
      <c r="M45" s="1890">
        <f>SUM(M43:V44)</f>
        <v>84271000</v>
      </c>
      <c r="N45" s="1890"/>
      <c r="O45" s="1890"/>
      <c r="P45" s="1890"/>
      <c r="Q45" s="1890"/>
      <c r="R45" s="1890"/>
      <c r="S45" s="1890"/>
      <c r="T45" s="1890"/>
      <c r="U45" s="1890"/>
      <c r="V45" s="1890"/>
      <c r="W45" s="1890">
        <f>SUM(W43:AF44)</f>
        <v>85620216</v>
      </c>
      <c r="X45" s="1890"/>
      <c r="Y45" s="1890"/>
      <c r="Z45" s="1890"/>
      <c r="AA45" s="1890"/>
      <c r="AB45" s="1890"/>
      <c r="AC45" s="1890"/>
      <c r="AD45" s="1890"/>
      <c r="AE45" s="1890"/>
      <c r="AF45" s="1890"/>
      <c r="AG45" s="1886">
        <f>W45-M45</f>
        <v>1349216</v>
      </c>
      <c r="AH45" s="1886"/>
      <c r="AI45" s="1886"/>
      <c r="AJ45" s="1886"/>
      <c r="AK45" s="1886"/>
      <c r="AL45" s="1886"/>
      <c r="AM45" s="1886"/>
      <c r="AN45" s="1886"/>
      <c r="AO45" s="1886"/>
      <c r="AP45" s="1886"/>
      <c r="AQ45" s="1886">
        <f>SUM(AQ43:AZ44)</f>
        <v>84267103</v>
      </c>
      <c r="AR45" s="1886"/>
      <c r="AS45" s="1886"/>
      <c r="AT45" s="1886"/>
      <c r="AU45" s="1886"/>
      <c r="AV45" s="1886"/>
      <c r="AW45" s="1886"/>
      <c r="AX45" s="1886"/>
      <c r="AY45" s="1886"/>
      <c r="AZ45" s="1886"/>
      <c r="BA45" s="1886">
        <f>W45-AQ45</f>
        <v>1353113</v>
      </c>
      <c r="BB45" s="1886"/>
      <c r="BC45" s="1886"/>
      <c r="BD45" s="1886"/>
      <c r="BE45" s="1886"/>
      <c r="BF45" s="1886"/>
      <c r="BG45" s="1886"/>
      <c r="BH45" s="1886"/>
      <c r="BI45" s="1886"/>
      <c r="BJ45" s="1886"/>
    </row>
    <row r="46" spans="1:62" s="356" customFormat="1" ht="24.9" customHeight="1">
      <c r="C46" s="352"/>
    </row>
    <row r="47" spans="1:62" s="356" customFormat="1" ht="24.9" customHeight="1"/>
    <row r="48" spans="1:62" s="356" customFormat="1" ht="24.9" customHeight="1"/>
    <row r="49" s="356" customFormat="1" ht="24.9" customHeight="1"/>
    <row r="50" s="356" customFormat="1" ht="24.9" customHeight="1"/>
    <row r="51" s="356" customFormat="1" ht="24.9" customHeight="1"/>
    <row r="52" s="356" customFormat="1" ht="24.9" customHeight="1"/>
    <row r="53" s="356" customFormat="1" ht="24.9" customHeight="1"/>
    <row r="54" s="356" customFormat="1" ht="24.9" customHeight="1"/>
    <row r="55" s="356" customFormat="1" ht="24.9" customHeight="1"/>
    <row r="56" s="356" customFormat="1" ht="24.9" customHeight="1"/>
    <row r="57" s="356" customFormat="1" ht="24.9" customHeight="1"/>
    <row r="58" s="356" customFormat="1" ht="24.9" customHeight="1"/>
    <row r="59" s="356" customFormat="1" ht="24.9" customHeight="1"/>
    <row r="60" s="356" customFormat="1" ht="24.9" customHeight="1"/>
    <row r="61" s="356" customFormat="1" ht="24.9" customHeight="1"/>
    <row r="62" s="356" customFormat="1" ht="24.9" customHeight="1"/>
    <row r="63" s="356" customFormat="1" ht="24.9" customHeight="1"/>
    <row r="64"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pans="13:45" s="356" customFormat="1" ht="24.9" customHeight="1"/>
    <row r="98" spans="13:45" s="356" customFormat="1" ht="24.9" customHeight="1"/>
    <row r="99" spans="13:45" s="356" customFormat="1" ht="24.9" customHeight="1"/>
    <row r="100" spans="13:45" s="356" customFormat="1" ht="24.9" customHeight="1"/>
    <row r="101" spans="13:45" s="356" customFormat="1" ht="24.9" customHeight="1"/>
    <row r="102" spans="13:45" s="356" customFormat="1" ht="24.9" customHeight="1"/>
    <row r="103" spans="13:45" s="356" customFormat="1" ht="24.9" customHeight="1"/>
    <row r="104" spans="13:45" s="356" customFormat="1" ht="24.9" customHeight="1"/>
    <row r="105" spans="13:45" s="356" customFormat="1" ht="24.9" customHeight="1"/>
    <row r="106" spans="13:45" ht="24.9" customHeight="1">
      <c r="M106" s="81"/>
      <c r="N106" s="81"/>
      <c r="O106" s="81"/>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81"/>
      <c r="AS106" s="81"/>
    </row>
    <row r="107" spans="13:45" ht="24.9" customHeight="1">
      <c r="M107" s="81"/>
      <c r="N107" s="81"/>
      <c r="O107" s="81"/>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81"/>
      <c r="AS107" s="81"/>
    </row>
  </sheetData>
  <sheetProtection formatCells="0" formatColumns="0" formatRows="0" insertColumns="0" insertRows="0" insertHyperlinks="0" deleteColumns="0" deleteRows="0" selectLockedCells="1"/>
  <mergeCells count="106">
    <mergeCell ref="A4:Y4"/>
    <mergeCell ref="A5:AR5"/>
    <mergeCell ref="A8:L8"/>
    <mergeCell ref="B9:K9"/>
    <mergeCell ref="B10:K11"/>
    <mergeCell ref="L14:X14"/>
    <mergeCell ref="B15:K15"/>
    <mergeCell ref="N15:W15"/>
    <mergeCell ref="B16:K17"/>
    <mergeCell ref="N16:W17"/>
    <mergeCell ref="A19:AR19"/>
    <mergeCell ref="A21:R21"/>
    <mergeCell ref="A23:L23"/>
    <mergeCell ref="M23:V24"/>
    <mergeCell ref="W23:AF24"/>
    <mergeCell ref="AG23:AP24"/>
    <mergeCell ref="AQ23:BJ23"/>
    <mergeCell ref="A24:L24"/>
    <mergeCell ref="AQ24:AZ24"/>
    <mergeCell ref="BA24:BJ24"/>
    <mergeCell ref="A25:L25"/>
    <mergeCell ref="M25:V25"/>
    <mergeCell ref="W25:AF25"/>
    <mergeCell ref="AG25:AP25"/>
    <mergeCell ref="AQ25:AZ25"/>
    <mergeCell ref="BA25:BJ25"/>
    <mergeCell ref="A26:L26"/>
    <mergeCell ref="M26:V26"/>
    <mergeCell ref="W26:AF26"/>
    <mergeCell ref="AG26:AP26"/>
    <mergeCell ref="AQ26:AZ26"/>
    <mergeCell ref="BA26:BJ26"/>
    <mergeCell ref="A27:L27"/>
    <mergeCell ref="M27:V27"/>
    <mergeCell ref="W27:AF27"/>
    <mergeCell ref="AG27:AP27"/>
    <mergeCell ref="AQ27:AZ27"/>
    <mergeCell ref="BA27:BJ27"/>
    <mergeCell ref="A28:L28"/>
    <mergeCell ref="M28:V28"/>
    <mergeCell ref="W28:AF28"/>
    <mergeCell ref="AG28:AP28"/>
    <mergeCell ref="AQ28:AZ28"/>
    <mergeCell ref="BA28:BJ28"/>
    <mergeCell ref="A29:L29"/>
    <mergeCell ref="M29:V29"/>
    <mergeCell ref="W29:AF29"/>
    <mergeCell ref="AG29:AP29"/>
    <mergeCell ref="AQ29:AZ29"/>
    <mergeCell ref="BA29:BJ29"/>
    <mergeCell ref="A30:L30"/>
    <mergeCell ref="M30:V30"/>
    <mergeCell ref="W30:AF30"/>
    <mergeCell ref="AG30:AP30"/>
    <mergeCell ref="AQ30:AZ30"/>
    <mergeCell ref="BA30:BJ30"/>
    <mergeCell ref="A31:L31"/>
    <mergeCell ref="M31:V31"/>
    <mergeCell ref="W31:AF31"/>
    <mergeCell ref="AG31:AP31"/>
    <mergeCell ref="AQ31:AZ31"/>
    <mergeCell ref="BA31:BJ31"/>
    <mergeCell ref="A35:L35"/>
    <mergeCell ref="M35:V35"/>
    <mergeCell ref="W35:AF35"/>
    <mergeCell ref="AG35:AP35"/>
    <mergeCell ref="AQ35:BJ35"/>
    <mergeCell ref="A36:L36"/>
    <mergeCell ref="M36:V36"/>
    <mergeCell ref="W36:AF36"/>
    <mergeCell ref="AG36:AP36"/>
    <mergeCell ref="AQ36:AZ36"/>
    <mergeCell ref="BA36:BJ36"/>
    <mergeCell ref="A37:L37"/>
    <mergeCell ref="M37:V37"/>
    <mergeCell ref="W37:AF37"/>
    <mergeCell ref="AG37:AP37"/>
    <mergeCell ref="AQ37:AZ37"/>
    <mergeCell ref="BA37:BJ37"/>
    <mergeCell ref="A39:T39"/>
    <mergeCell ref="A41:L41"/>
    <mergeCell ref="M41:V42"/>
    <mergeCell ref="W41:AF42"/>
    <mergeCell ref="AG41:AP42"/>
    <mergeCell ref="AQ41:BJ41"/>
    <mergeCell ref="A42:L42"/>
    <mergeCell ref="AQ42:AZ42"/>
    <mergeCell ref="BA42:BJ42"/>
    <mergeCell ref="A45:L45"/>
    <mergeCell ref="M45:V45"/>
    <mergeCell ref="W45:AF45"/>
    <mergeCell ref="AG45:AP45"/>
    <mergeCell ref="AQ45:AZ45"/>
    <mergeCell ref="BA45:BJ45"/>
    <mergeCell ref="A43:L43"/>
    <mergeCell ref="M43:V43"/>
    <mergeCell ref="W43:AF43"/>
    <mergeCell ref="AG43:AP43"/>
    <mergeCell ref="AQ43:AZ43"/>
    <mergeCell ref="BA43:BJ43"/>
    <mergeCell ref="A44:L44"/>
    <mergeCell ref="M44:V44"/>
    <mergeCell ref="W44:AF44"/>
    <mergeCell ref="AG44:AP44"/>
    <mergeCell ref="AQ44:AZ44"/>
    <mergeCell ref="BA44:BJ44"/>
  </mergeCells>
  <phoneticPr fontId="155"/>
  <conditionalFormatting sqref="B10 M26 M27 M28 M29 M30 M44 N16 W26 W27 W28 W29 W30">
    <cfRule type="expression" dxfId="6" priority="1">
      <formula>AND(入力色表示=1,NOT(_xlfn.ISFORMULA(B10)))</formula>
    </cfRule>
  </conditionalFormatting>
  <dataValidations count="12">
    <dataValidation allowBlank="1" showInputMessage="1" promptTitle="手入力セル" prompt="反映先：なし（このセルのみ）" sqref="B10 N16"/>
    <dataValidation allowBlank="1" showInputMessage="1" promptTitle="手入力セル" prompt="反映先：報告_経過的長期P16 M25,AG26&#10;他の帳票：なし" sqref="M26"/>
    <dataValidation allowBlank="1" showInputMessage="1" promptTitle="手入力セル" prompt="反映先：報告_経過的長期P16 M25,AG27&#10;他の帳票：なし" sqref="M27"/>
    <dataValidation allowBlank="1" showInputMessage="1" promptTitle="手入力セル" prompt="反映先：報告_経過的長期P16 M25,AG28&#10;他の帳票：なし" sqref="M28"/>
    <dataValidation allowBlank="1" showInputMessage="1" promptTitle="手入力セル" prompt="反映先：報告_経過的長期P16 M25,AG29&#10;他の帳票：なし" sqref="M29"/>
    <dataValidation allowBlank="1" showInputMessage="1" promptTitle="手入力セル" prompt="反映先：報告_経過的長期P16 AG30&#10;他の帳票：なし" sqref="M30"/>
    <dataValidation allowBlank="1" showInputMessage="1" promptTitle="手入力セル" prompt="反映先：報告_経過的長期P16 M45,AG44&#10;他の帳票：なし" sqref="M44"/>
    <dataValidation allowBlank="1" showInputMessage="1" promptTitle="手入力セル" prompt="反映先：報告_経過的長期P16 W25,AG26,BA26&#10;他の帳票：経過的_貸借・損益、経過的_決算精算表" sqref="W26"/>
    <dataValidation allowBlank="1" showInputMessage="1" promptTitle="手入力セル" prompt="反映先：報告_経過的長期P16 W25,AG27,BA27&#10;他の帳票：経過的_貸借・損益、経過的_決算精算表" sqref="W27"/>
    <dataValidation allowBlank="1" showInputMessage="1" promptTitle="手入力セル" prompt="反映先：報告_経過的長期P16 W25,AG28,BA28&#10;他の帳票：経過的_貸借・損益、経過的_決算精算表" sqref="W28"/>
    <dataValidation allowBlank="1" showInputMessage="1" promptTitle="手入力セル" prompt="反映先：報告_経過的長期P16 W25,AG29,BA29&#10;他の帳票：経過的_貸借・損益、経過的_決算精算表" sqref="W29"/>
    <dataValidation allowBlank="1" showInputMessage="1" promptTitle="手入力セル" prompt="反映先：報告_経過的長期P16 AG30,BA30&#10;他の帳票：なし" sqref="W30"/>
  </dataValidations>
  <printOptions horizontalCentered="1"/>
  <pageMargins left="0.78749999999999998" right="0.59027777777777801" top="0.78749999999999998" bottom="0.59027777777777801" header="0.511811023622047" footer="0.39374999999999999"/>
  <pageSetup paperSize="9" scale="81" firstPageNumber="16" orientation="portrait" useFirstPageNumber="1" horizontalDpi="300" verticalDpi="300"/>
  <headerFooter>
    <oddFooter>&amp;C&amp;"ＭＳ 明朝,Regular"&amp;12－ &amp;P －</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0361D-B1DC-44A9-BEA7-0C33C42FE7D7}">
  <sheetPr codeName="Sheet14"/>
  <dimension ref="A1:IW188"/>
  <sheetViews>
    <sheetView topLeftCell="A2" zoomScaleNormal="100" zoomScalePageLayoutView="60" workbookViewId="0">
      <selection activeCell="J13" sqref="J13"/>
    </sheetView>
  </sheetViews>
  <sheetFormatPr defaultColWidth="9" defaultRowHeight="13.2"/>
  <cols>
    <col min="1" max="1" width="2.21875" style="371" customWidth="1"/>
    <col min="2" max="2" width="0.88671875" style="371" customWidth="1"/>
    <col min="3" max="3" width="11.77734375" style="371" customWidth="1"/>
    <col min="4" max="4" width="7.21875" style="371" customWidth="1"/>
    <col min="5" max="5" width="0.88671875" style="371" customWidth="1"/>
    <col min="6" max="9" width="18.77734375" style="371" customWidth="1"/>
    <col min="10" max="10" width="19.21875" style="371" customWidth="1"/>
    <col min="11" max="257" width="9" style="371"/>
  </cols>
  <sheetData>
    <row r="1" spans="1:10" ht="16.95" hidden="1" customHeight="1"/>
    <row r="2" spans="1:10" ht="31.5" customHeight="1">
      <c r="A2" s="1928" t="s">
        <v>606</v>
      </c>
      <c r="B2" s="1928"/>
      <c r="C2" s="1928"/>
      <c r="D2" s="1928"/>
      <c r="E2" s="1928"/>
      <c r="F2" s="1928"/>
      <c r="G2" s="1928"/>
    </row>
    <row r="3" spans="1:10" ht="16.95" customHeight="1"/>
    <row r="4" spans="1:10" s="373" customFormat="1" ht="16.95" customHeight="1">
      <c r="A4" s="372" t="s">
        <v>607</v>
      </c>
      <c r="D4" s="374"/>
    </row>
    <row r="5" spans="1:10" s="375" customFormat="1" ht="16.95" customHeight="1">
      <c r="D5" s="376"/>
      <c r="J5" s="377" t="s">
        <v>408</v>
      </c>
    </row>
    <row r="6" spans="1:10" s="375" customFormat="1" ht="16.95" customHeight="1">
      <c r="B6" s="378"/>
      <c r="C6" s="69"/>
      <c r="D6" s="379" t="s">
        <v>608</v>
      </c>
      <c r="E6" s="69"/>
      <c r="F6" s="2147" t="s">
        <v>373</v>
      </c>
      <c r="G6" s="1866" t="s">
        <v>609</v>
      </c>
      <c r="H6" s="2147" t="s">
        <v>376</v>
      </c>
      <c r="I6" s="2147" t="s">
        <v>377</v>
      </c>
      <c r="J6" s="2147"/>
    </row>
    <row r="7" spans="1:10" s="375" customFormat="1" ht="16.95" customHeight="1">
      <c r="B7" s="381"/>
      <c r="C7" s="85" t="s">
        <v>610</v>
      </c>
      <c r="D7" s="382"/>
      <c r="E7" s="347"/>
      <c r="F7" s="2147"/>
      <c r="G7" s="1866"/>
      <c r="H7" s="2147"/>
      <c r="I7" s="383" t="s">
        <v>378</v>
      </c>
      <c r="J7" s="384" t="s">
        <v>376</v>
      </c>
    </row>
    <row r="8" spans="1:10" s="375" customFormat="1" ht="16.95" customHeight="1">
      <c r="B8" s="385"/>
      <c r="C8" s="1864" t="s">
        <v>106</v>
      </c>
      <c r="D8" s="1864"/>
      <c r="E8" s="49"/>
      <c r="F8" s="1670">
        <v>113000</v>
      </c>
      <c r="G8" s="387">
        <f>預託金_貸借・損益!K27</f>
        <v>136059</v>
      </c>
      <c r="H8" s="388">
        <f>G8-F8</f>
        <v>23059</v>
      </c>
      <c r="I8" s="387">
        <f>前年度貼付!$E$210</f>
        <v>1174027</v>
      </c>
      <c r="J8" s="388">
        <f>G8-I8</f>
        <v>-1037968</v>
      </c>
    </row>
    <row r="9" spans="1:10" s="375" customFormat="1" ht="16.95" customHeight="1">
      <c r="B9" s="327"/>
      <c r="C9" s="1866" t="s">
        <v>108</v>
      </c>
      <c r="D9" s="1866"/>
      <c r="E9" s="328"/>
      <c r="F9" s="1671">
        <v>0</v>
      </c>
      <c r="G9" s="1672">
        <v>0</v>
      </c>
      <c r="H9" s="391">
        <f>G9-F9</f>
        <v>0</v>
      </c>
      <c r="I9" s="390">
        <f>前年度貼付!$E$211</f>
        <v>0</v>
      </c>
      <c r="J9" s="391">
        <f>G9-I9</f>
        <v>0</v>
      </c>
    </row>
    <row r="10" spans="1:10" s="375" customFormat="1" ht="16.95" customHeight="1">
      <c r="B10" s="381"/>
      <c r="C10" s="2148" t="s">
        <v>413</v>
      </c>
      <c r="D10" s="2148"/>
      <c r="E10" s="347"/>
      <c r="F10" s="392">
        <f>SUM(F8:F9)</f>
        <v>113000</v>
      </c>
      <c r="G10" s="393">
        <f>SUM(G8:G9)</f>
        <v>136059</v>
      </c>
      <c r="H10" s="392">
        <f>G10-F10</f>
        <v>23059</v>
      </c>
      <c r="I10" s="393">
        <f>SUM(I8:I9)</f>
        <v>1174027</v>
      </c>
      <c r="J10" s="392">
        <f>G10-I10</f>
        <v>-1037968</v>
      </c>
    </row>
    <row r="11" spans="1:10" s="375" customFormat="1" ht="16.95" customHeight="1">
      <c r="D11" s="376"/>
    </row>
    <row r="12" spans="1:10" s="375" customFormat="1" ht="16.95" customHeight="1">
      <c r="D12" s="376"/>
    </row>
    <row r="13" spans="1:10" s="375" customFormat="1" ht="16.95" customHeight="1">
      <c r="A13" s="372" t="s">
        <v>611</v>
      </c>
      <c r="D13" s="376"/>
    </row>
    <row r="14" spans="1:10" s="375" customFormat="1" ht="16.95" customHeight="1">
      <c r="D14" s="376"/>
      <c r="J14" s="377" t="s">
        <v>408</v>
      </c>
    </row>
    <row r="15" spans="1:10" s="375" customFormat="1" ht="16.95" customHeight="1">
      <c r="B15" s="378"/>
      <c r="C15" s="69"/>
      <c r="D15" s="379" t="s">
        <v>608</v>
      </c>
      <c r="E15" s="69"/>
      <c r="F15" s="2149" t="s">
        <v>373</v>
      </c>
      <c r="G15" s="2147" t="s">
        <v>609</v>
      </c>
      <c r="H15" s="2146" t="s">
        <v>376</v>
      </c>
      <c r="I15" s="2147" t="s">
        <v>377</v>
      </c>
      <c r="J15" s="2147"/>
    </row>
    <row r="16" spans="1:10" s="375" customFormat="1" ht="16.95" customHeight="1">
      <c r="B16" s="385"/>
      <c r="C16" s="49" t="s">
        <v>610</v>
      </c>
      <c r="D16" s="42"/>
      <c r="E16" s="49"/>
      <c r="F16" s="2149"/>
      <c r="G16" s="2147"/>
      <c r="H16" s="2146"/>
      <c r="I16" s="384" t="s">
        <v>378</v>
      </c>
      <c r="J16" s="380" t="s">
        <v>376</v>
      </c>
    </row>
    <row r="17" spans="1:10" s="375" customFormat="1" ht="16.95" customHeight="1">
      <c r="B17" s="327"/>
      <c r="C17" s="1866" t="s">
        <v>174</v>
      </c>
      <c r="D17" s="1866"/>
      <c r="E17" s="394"/>
      <c r="F17" s="386">
        <f>F8</f>
        <v>113000</v>
      </c>
      <c r="G17" s="387">
        <f>預託金_貸借・損益!D27</f>
        <v>136059</v>
      </c>
      <c r="H17" s="388">
        <f>G17-F17</f>
        <v>23059</v>
      </c>
      <c r="I17" s="387">
        <f>I8</f>
        <v>1174027</v>
      </c>
      <c r="J17" s="388">
        <f>G17-I17</f>
        <v>-1037968</v>
      </c>
    </row>
    <row r="18" spans="1:10" s="375" customFormat="1" ht="16.95" customHeight="1">
      <c r="B18" s="327"/>
      <c r="C18" s="1866" t="s">
        <v>108</v>
      </c>
      <c r="D18" s="1866"/>
      <c r="E18" s="394"/>
      <c r="F18" s="1671">
        <v>0</v>
      </c>
      <c r="G18" s="1672">
        <v>0</v>
      </c>
      <c r="H18" s="391">
        <f>G18-F18</f>
        <v>0</v>
      </c>
      <c r="I18" s="390">
        <f>前年度貼付!$E$212</f>
        <v>0</v>
      </c>
      <c r="J18" s="391">
        <f>G18-I18</f>
        <v>0</v>
      </c>
    </row>
    <row r="19" spans="1:10" s="375" customFormat="1" ht="16.95" customHeight="1">
      <c r="B19" s="381"/>
      <c r="C19" s="2148" t="s">
        <v>413</v>
      </c>
      <c r="D19" s="2148"/>
      <c r="E19" s="347"/>
      <c r="F19" s="392">
        <f>SUM(F17:F18)</f>
        <v>113000</v>
      </c>
      <c r="G19" s="393">
        <f>SUM(G17:G18)</f>
        <v>136059</v>
      </c>
      <c r="H19" s="392">
        <f>G19-F19</f>
        <v>23059</v>
      </c>
      <c r="I19" s="393">
        <f>SUM(I17:I18)</f>
        <v>1174027</v>
      </c>
      <c r="J19" s="392">
        <f>G19-I19</f>
        <v>-1037968</v>
      </c>
    </row>
    <row r="20" spans="1:10" s="375" customFormat="1" ht="16.95" customHeight="1">
      <c r="D20" s="376"/>
    </row>
    <row r="21" spans="1:10" s="375" customFormat="1" ht="16.95" customHeight="1">
      <c r="D21" s="376"/>
    </row>
    <row r="22" spans="1:10" s="375" customFormat="1" ht="16.95" customHeight="1">
      <c r="A22" s="372" t="s">
        <v>612</v>
      </c>
      <c r="D22" s="376"/>
    </row>
    <row r="23" spans="1:10" s="375" customFormat="1" ht="16.95" customHeight="1">
      <c r="D23" s="376"/>
      <c r="J23" s="377" t="s">
        <v>408</v>
      </c>
    </row>
    <row r="24" spans="1:10" s="375" customFormat="1" ht="16.95" customHeight="1">
      <c r="B24" s="378"/>
      <c r="C24" s="2145" t="s">
        <v>613</v>
      </c>
      <c r="D24" s="2145"/>
      <c r="E24" s="69"/>
      <c r="F24" s="395" t="s">
        <v>525</v>
      </c>
      <c r="G24" s="396" t="s">
        <v>526</v>
      </c>
      <c r="H24" s="396" t="s">
        <v>527</v>
      </c>
      <c r="I24" s="395" t="s">
        <v>528</v>
      </c>
      <c r="J24" s="397" t="s">
        <v>614</v>
      </c>
    </row>
    <row r="25" spans="1:10" s="375" customFormat="1" ht="16.95" customHeight="1">
      <c r="B25" s="327"/>
      <c r="C25" s="1866" t="s">
        <v>14</v>
      </c>
      <c r="D25" s="1866"/>
      <c r="E25" s="328"/>
      <c r="F25" s="389">
        <f>預託金_預金・未収・貸付・預託金!C21</f>
        <v>105000000</v>
      </c>
      <c r="G25" s="389">
        <f>預託金_預金・未収・貸付・預託金!F21</f>
        <v>0</v>
      </c>
      <c r="H25" s="389">
        <f>預託金_預金・未収・貸付・預託金!I21</f>
        <v>105000000</v>
      </c>
      <c r="I25" s="391">
        <f>F25+G25-H25</f>
        <v>0</v>
      </c>
      <c r="J25" s="398"/>
    </row>
    <row r="26" spans="1:10" s="375" customFormat="1" ht="16.95" customHeight="1">
      <c r="D26" s="376"/>
    </row>
    <row r="27" spans="1:10" s="375" customFormat="1" ht="16.5" customHeight="1">
      <c r="D27" s="376"/>
    </row>
    <row r="28" spans="1:10" ht="16.5" customHeight="1">
      <c r="A28" s="399" t="s">
        <v>615</v>
      </c>
      <c r="C28" s="400"/>
      <c r="D28" s="400"/>
    </row>
    <row r="29" spans="1:10" ht="16.5" customHeight="1">
      <c r="C29" s="400"/>
      <c r="D29" s="400"/>
    </row>
    <row r="30" spans="1:10" ht="16.5" customHeight="1">
      <c r="C30" s="400"/>
      <c r="D30" s="400"/>
    </row>
    <row r="31" spans="1:10" ht="16.5" customHeight="1"/>
    <row r="32" spans="1:10" ht="16.5" customHeight="1"/>
    <row r="33" spans="3:6" ht="16.5" customHeight="1"/>
    <row r="34" spans="3:6" ht="16.5" customHeight="1">
      <c r="C34" s="400"/>
      <c r="D34" s="400"/>
      <c r="E34" s="400"/>
      <c r="F34" s="400"/>
    </row>
    <row r="35" spans="3:6" ht="16.5" customHeight="1">
      <c r="C35" s="400"/>
      <c r="D35" s="400"/>
    </row>
    <row r="36" spans="3:6" ht="16.5" customHeight="1">
      <c r="C36" s="400"/>
      <c r="D36" s="400"/>
    </row>
    <row r="37" spans="3:6" ht="16.5" customHeight="1"/>
    <row r="38" spans="3:6" ht="16.5" customHeight="1"/>
    <row r="39" spans="3:6" ht="16.5" customHeight="1"/>
    <row r="40" spans="3:6" ht="16.5" customHeight="1"/>
    <row r="41" spans="3:6" ht="16.5" customHeight="1"/>
    <row r="42" spans="3:6" ht="16.5" customHeight="1"/>
    <row r="43" spans="3:6" ht="16.5" customHeight="1"/>
    <row r="44" spans="3:6" ht="16.5" customHeight="1"/>
    <row r="45" spans="3:6" ht="16.5" customHeight="1"/>
    <row r="46" spans="3:6" ht="16.5" customHeight="1"/>
    <row r="47" spans="3:6" ht="16.5" customHeight="1"/>
    <row r="48" spans="3:6"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7">
    <mergeCell ref="A2:G2"/>
    <mergeCell ref="F6:F7"/>
    <mergeCell ref="G6:G7"/>
    <mergeCell ref="H6:H7"/>
    <mergeCell ref="I6:J6"/>
    <mergeCell ref="C8:D8"/>
    <mergeCell ref="C9:D9"/>
    <mergeCell ref="C10:D10"/>
    <mergeCell ref="F15:F16"/>
    <mergeCell ref="G15:G16"/>
    <mergeCell ref="C24:D24"/>
    <mergeCell ref="C25:D25"/>
    <mergeCell ref="H15:H16"/>
    <mergeCell ref="I15:J15"/>
    <mergeCell ref="C17:D17"/>
    <mergeCell ref="C18:D18"/>
    <mergeCell ref="C19:D19"/>
  </mergeCells>
  <phoneticPr fontId="155"/>
  <conditionalFormatting sqref="F8 F9 F18 G9 G18">
    <cfRule type="expression" dxfId="6" priority="1">
      <formula>AND(入力色表示=1,NOT(_xlfn.ISFORMULA(F8)))</formula>
    </cfRule>
  </conditionalFormatting>
  <dataValidations count="5">
    <dataValidation allowBlank="1" showInputMessage="1" promptTitle="手入力セル" prompt="反映先：報告_預託金P17 F10,F17,H8&#10;他の帳票：なし" sqref="F8"/>
    <dataValidation allowBlank="1" showInputMessage="1" promptTitle="手入力セル" prompt="反映先：報告_預託金P17 F10,H9&#10;他の帳票：なし" sqref="F9"/>
    <dataValidation allowBlank="1" showInputMessage="1" promptTitle="手入力セル" prompt="反映先：報告_預託金P17 F19,H18&#10;他の帳票：なし" sqref="F18"/>
    <dataValidation allowBlank="1" showInputMessage="1" promptTitle="手入力セル" prompt="反映先：報告_預託金P17 G10,H9,J9&#10;他の帳票：なし" sqref="G9"/>
    <dataValidation allowBlank="1" showInputMessage="1" promptTitle="手入力セル" prompt="反映先：報告_預託金P17 G19,H18,J18&#10;他の帳票：なし" sqref="G18"/>
  </dataValidations>
  <pageMargins left="0.67986111111111103" right="0.196527777777778" top="0.78749999999999998" bottom="0.59097222222222201" header="0.511811023622047" footer="0.31527777777777799"/>
  <pageSetup paperSize="9" scale="81" firstPageNumber="17" orientation="portrait" useFirstPageNumber="1" horizontalDpi="300" verticalDpi="300"/>
  <headerFooter>
    <oddFooter>&amp;C&amp;"ＭＳ 明朝,Regular"&amp;12－ &amp;P －</oddFoot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FCD2B-A835-4BB3-BE4C-B5336E603517}">
  <sheetPr codeName="Sheet15"/>
  <dimension ref="A1:IW188"/>
  <sheetViews>
    <sheetView zoomScaleNormal="100" zoomScalePageLayoutView="60" workbookViewId="0">
      <selection sqref="A1:G1"/>
    </sheetView>
  </sheetViews>
  <sheetFormatPr defaultColWidth="9" defaultRowHeight="13.2"/>
  <cols>
    <col min="1" max="1" width="2.88671875" style="401" customWidth="1"/>
    <col min="2" max="2" width="4.88671875" style="401" customWidth="1"/>
    <col min="3" max="3" width="17.109375" style="401" customWidth="1"/>
    <col min="4" max="4" width="12.44140625" style="401" customWidth="1"/>
    <col min="5" max="5" width="6.88671875" style="401" customWidth="1"/>
    <col min="6" max="6" width="12.44140625" style="401" customWidth="1"/>
    <col min="7" max="7" width="6.88671875" style="401" customWidth="1"/>
    <col min="8" max="8" width="12.77734375" style="401" customWidth="1"/>
    <col min="9" max="9" width="6.88671875" style="401" customWidth="1"/>
    <col min="10" max="10" width="12.44140625" style="401" customWidth="1"/>
    <col min="11" max="11" width="6.88671875" style="401" customWidth="1"/>
    <col min="12" max="12" width="12.77734375" style="401" customWidth="1"/>
    <col min="13" max="13" width="8.21875" style="401" customWidth="1"/>
    <col min="14" max="257" width="9" style="401"/>
  </cols>
  <sheetData>
    <row r="1" spans="1:13" ht="16.5" customHeight="1">
      <c r="B1" s="402"/>
      <c r="C1" s="403"/>
      <c r="D1" s="403"/>
      <c r="E1" s="403"/>
      <c r="F1" s="403"/>
      <c r="G1" s="403"/>
      <c r="H1" s="403"/>
      <c r="I1" s="403"/>
      <c r="J1" s="403"/>
      <c r="K1" s="403"/>
      <c r="L1" s="403"/>
      <c r="M1" s="403"/>
    </row>
    <row r="2" spans="1:13" s="406" customFormat="1" ht="16.5" customHeight="1">
      <c r="A2" s="404"/>
      <c r="B2" s="404"/>
      <c r="C2" s="404"/>
      <c r="D2" s="404"/>
      <c r="E2" s="404"/>
      <c r="F2" s="404"/>
      <c r="G2" s="404"/>
      <c r="H2" s="404"/>
      <c r="I2" s="404"/>
      <c r="J2" s="404"/>
      <c r="K2" s="404"/>
      <c r="L2" s="404"/>
      <c r="M2" s="405" t="s">
        <v>416</v>
      </c>
    </row>
    <row r="3" spans="1:13" s="409" customFormat="1" ht="16.5" customHeight="1">
      <c r="A3" s="407"/>
      <c r="B3" s="2152" t="s">
        <v>405</v>
      </c>
      <c r="C3" s="2152"/>
      <c r="D3" s="2153" t="s">
        <v>373</v>
      </c>
      <c r="E3" s="2153"/>
      <c r="F3" s="2153" t="s">
        <v>609</v>
      </c>
      <c r="G3" s="2153"/>
      <c r="H3" s="2153" t="s">
        <v>376</v>
      </c>
      <c r="I3" s="2153"/>
      <c r="J3" s="2153" t="s">
        <v>377</v>
      </c>
      <c r="K3" s="2153"/>
      <c r="L3" s="2153"/>
      <c r="M3" s="2153"/>
    </row>
    <row r="4" spans="1:13" s="409" customFormat="1" ht="16.5" customHeight="1">
      <c r="A4" s="407"/>
      <c r="B4" s="2152"/>
      <c r="C4" s="2152"/>
      <c r="D4" s="2153"/>
      <c r="E4" s="2153"/>
      <c r="F4" s="2153"/>
      <c r="G4" s="2153"/>
      <c r="H4" s="2153"/>
      <c r="I4" s="2153"/>
      <c r="J4" s="2153" t="s">
        <v>378</v>
      </c>
      <c r="K4" s="2153"/>
      <c r="L4" s="2153" t="s">
        <v>376</v>
      </c>
      <c r="M4" s="2153"/>
    </row>
    <row r="5" spans="1:13" s="409" customFormat="1" ht="16.5" customHeight="1">
      <c r="A5" s="407"/>
      <c r="B5" s="2152"/>
      <c r="C5" s="2152"/>
      <c r="D5" s="408" t="s">
        <v>559</v>
      </c>
      <c r="E5" s="408" t="s">
        <v>561</v>
      </c>
      <c r="F5" s="408" t="s">
        <v>559</v>
      </c>
      <c r="G5" s="408" t="s">
        <v>561</v>
      </c>
      <c r="H5" s="408" t="s">
        <v>559</v>
      </c>
      <c r="I5" s="408" t="s">
        <v>561</v>
      </c>
      <c r="J5" s="408" t="s">
        <v>559</v>
      </c>
      <c r="K5" s="408" t="s">
        <v>561</v>
      </c>
      <c r="L5" s="408" t="s">
        <v>559</v>
      </c>
      <c r="M5" s="408" t="s">
        <v>561</v>
      </c>
    </row>
    <row r="6" spans="1:13" s="409" customFormat="1" ht="16.5" customHeight="1">
      <c r="A6" s="407"/>
      <c r="B6" s="2150" t="s">
        <v>616</v>
      </c>
      <c r="C6" s="410" t="s">
        <v>119</v>
      </c>
      <c r="D6" s="1673">
        <v>0</v>
      </c>
      <c r="E6" s="412">
        <f t="shared" ref="E6:E12" si="0">IF($D$12=0,0,D6/$D$12*100)</f>
        <v>0</v>
      </c>
      <c r="F6" s="411">
        <f>預託金_預金・未収・貸付・預託金!F8</f>
        <v>0</v>
      </c>
      <c r="G6" s="412">
        <f t="shared" ref="G6:G12" si="1">IF($F$12=0,0,F6/$F$12*100)</f>
        <v>0</v>
      </c>
      <c r="H6" s="413">
        <f t="shared" ref="H6:I11" si="2">F6-D6</f>
        <v>0</v>
      </c>
      <c r="I6" s="412">
        <f t="shared" si="2"/>
        <v>0</v>
      </c>
      <c r="J6" s="411">
        <f>前年度貼付!$E$213</f>
        <v>21064915</v>
      </c>
      <c r="K6" s="412">
        <f t="shared" ref="K6:K12" si="3">(J6/$J$12)*100</f>
        <v>16.709257929223341</v>
      </c>
      <c r="L6" s="413">
        <f t="shared" ref="L6:M11" si="4">F6-J6</f>
        <v>-21064915</v>
      </c>
      <c r="M6" s="412">
        <f t="shared" si="4"/>
        <v>-16.709257929223341</v>
      </c>
    </row>
    <row r="7" spans="1:13" s="409" customFormat="1" ht="16.5" customHeight="1">
      <c r="A7" s="407"/>
      <c r="B7" s="2150"/>
      <c r="C7" s="410" t="s">
        <v>108</v>
      </c>
      <c r="D7" s="1673">
        <v>0</v>
      </c>
      <c r="E7" s="412">
        <f t="shared" si="0"/>
        <v>0</v>
      </c>
      <c r="F7" s="411">
        <f>預託金_預金・未収・貸付・預託金!C15</f>
        <v>0</v>
      </c>
      <c r="G7" s="412">
        <f t="shared" si="1"/>
        <v>0</v>
      </c>
      <c r="H7" s="413">
        <f t="shared" si="2"/>
        <v>0</v>
      </c>
      <c r="I7" s="412">
        <f t="shared" si="2"/>
        <v>0</v>
      </c>
      <c r="J7" s="411">
        <f>前年度貼付!$E$214</f>
        <v>2413</v>
      </c>
      <c r="K7" s="412">
        <f t="shared" si="3"/>
        <v>1.9140565904593456E-3</v>
      </c>
      <c r="L7" s="413">
        <f t="shared" si="4"/>
        <v>-2413</v>
      </c>
      <c r="M7" s="412">
        <f t="shared" si="4"/>
        <v>-1.9140565904593456E-3</v>
      </c>
    </row>
    <row r="8" spans="1:13" s="409" customFormat="1" ht="16.5" customHeight="1">
      <c r="A8" s="407"/>
      <c r="B8" s="2150"/>
      <c r="C8" s="410" t="s">
        <v>617</v>
      </c>
      <c r="D8" s="413">
        <f>SUM(D6:D7)</f>
        <v>0</v>
      </c>
      <c r="E8" s="412">
        <f t="shared" si="0"/>
        <v>0</v>
      </c>
      <c r="F8" s="413">
        <f>SUM(F6:F7)</f>
        <v>0</v>
      </c>
      <c r="G8" s="412">
        <f t="shared" si="1"/>
        <v>0</v>
      </c>
      <c r="H8" s="413">
        <f t="shared" si="2"/>
        <v>0</v>
      </c>
      <c r="I8" s="412">
        <f t="shared" si="2"/>
        <v>0</v>
      </c>
      <c r="J8" s="413">
        <f>SUM(J6:J7)</f>
        <v>21067328</v>
      </c>
      <c r="K8" s="412">
        <f t="shared" si="3"/>
        <v>16.711171985813802</v>
      </c>
      <c r="L8" s="413">
        <f t="shared" si="4"/>
        <v>-21067328</v>
      </c>
      <c r="M8" s="412">
        <f t="shared" si="4"/>
        <v>-16.711171985813802</v>
      </c>
    </row>
    <row r="9" spans="1:13" s="409" customFormat="1" ht="16.5" customHeight="1">
      <c r="A9" s="407"/>
      <c r="B9" s="2150" t="s">
        <v>618</v>
      </c>
      <c r="C9" s="414" t="s">
        <v>120</v>
      </c>
      <c r="D9" s="1673">
        <v>0</v>
      </c>
      <c r="E9" s="412">
        <f t="shared" si="0"/>
        <v>0</v>
      </c>
      <c r="F9" s="411">
        <f>預託金_預金・未収・貸付・預託金!M22</f>
        <v>0</v>
      </c>
      <c r="G9" s="412">
        <f t="shared" si="1"/>
        <v>0</v>
      </c>
      <c r="H9" s="413">
        <f t="shared" si="2"/>
        <v>0</v>
      </c>
      <c r="I9" s="412">
        <f t="shared" si="2"/>
        <v>0</v>
      </c>
      <c r="J9" s="411">
        <f>預託金_預金・未収・貸付・預託金!C21</f>
        <v>105000000</v>
      </c>
      <c r="K9" s="412">
        <f t="shared" si="3"/>
        <v>83.288828014186194</v>
      </c>
      <c r="L9" s="413">
        <f t="shared" si="4"/>
        <v>-105000000</v>
      </c>
      <c r="M9" s="412">
        <f t="shared" si="4"/>
        <v>-83.288828014186194</v>
      </c>
    </row>
    <row r="10" spans="1:13" s="409" customFormat="1" ht="16.5" customHeight="1">
      <c r="A10" s="407"/>
      <c r="B10" s="2150"/>
      <c r="C10" s="410" t="s">
        <v>108</v>
      </c>
      <c r="D10" s="1673">
        <v>0</v>
      </c>
      <c r="E10" s="412">
        <f t="shared" si="0"/>
        <v>0</v>
      </c>
      <c r="F10" s="1673">
        <v>0</v>
      </c>
      <c r="G10" s="412">
        <f t="shared" si="1"/>
        <v>0</v>
      </c>
      <c r="H10" s="413">
        <f t="shared" si="2"/>
        <v>0</v>
      </c>
      <c r="I10" s="412">
        <f t="shared" si="2"/>
        <v>0</v>
      </c>
      <c r="J10" s="411">
        <f>前年度貼付!$E$215</f>
        <v>0</v>
      </c>
      <c r="K10" s="412">
        <f t="shared" si="3"/>
        <v>0</v>
      </c>
      <c r="L10" s="413">
        <f t="shared" si="4"/>
        <v>0</v>
      </c>
      <c r="M10" s="412">
        <f t="shared" si="4"/>
        <v>0</v>
      </c>
    </row>
    <row r="11" spans="1:13" s="409" customFormat="1" ht="16.5" customHeight="1">
      <c r="A11" s="407"/>
      <c r="B11" s="2150"/>
      <c r="C11" s="410" t="s">
        <v>619</v>
      </c>
      <c r="D11" s="413">
        <f>SUM(D9:D10)</f>
        <v>0</v>
      </c>
      <c r="E11" s="412">
        <f t="shared" si="0"/>
        <v>0</v>
      </c>
      <c r="F11" s="413">
        <f>SUM(F9:F10)</f>
        <v>0</v>
      </c>
      <c r="G11" s="412">
        <f t="shared" si="1"/>
        <v>0</v>
      </c>
      <c r="H11" s="413">
        <f t="shared" si="2"/>
        <v>0</v>
      </c>
      <c r="I11" s="412">
        <f t="shared" si="2"/>
        <v>0</v>
      </c>
      <c r="J11" s="413">
        <f>SUM(J9:J10)</f>
        <v>105000000</v>
      </c>
      <c r="K11" s="412">
        <f t="shared" si="3"/>
        <v>83.288828014186194</v>
      </c>
      <c r="L11" s="413">
        <f t="shared" si="4"/>
        <v>-105000000</v>
      </c>
      <c r="M11" s="412">
        <f t="shared" si="4"/>
        <v>-83.288828014186194</v>
      </c>
    </row>
    <row r="12" spans="1:13" s="409" customFormat="1" ht="16.5" customHeight="1">
      <c r="A12" s="407"/>
      <c r="B12" s="2151" t="s">
        <v>620</v>
      </c>
      <c r="C12" s="2151"/>
      <c r="D12" s="413">
        <f>D8+D11</f>
        <v>0</v>
      </c>
      <c r="E12" s="412">
        <f t="shared" si="0"/>
        <v>0</v>
      </c>
      <c r="F12" s="413">
        <f>F8+F11</f>
        <v>0</v>
      </c>
      <c r="G12" s="412">
        <f t="shared" si="1"/>
        <v>0</v>
      </c>
      <c r="H12" s="413">
        <f>F12-D12</f>
        <v>0</v>
      </c>
      <c r="I12" s="415"/>
      <c r="J12" s="413">
        <f>J8+J11</f>
        <v>126067328</v>
      </c>
      <c r="K12" s="412">
        <f t="shared" si="3"/>
        <v>100</v>
      </c>
      <c r="L12" s="413">
        <f>F12-J12</f>
        <v>-126067328</v>
      </c>
      <c r="M12" s="415"/>
    </row>
    <row r="13" spans="1:13" s="406" customFormat="1" ht="16.5" customHeight="1">
      <c r="A13" s="404"/>
      <c r="B13" s="416"/>
      <c r="C13" s="416"/>
      <c r="D13" s="416"/>
      <c r="E13" s="416"/>
      <c r="F13" s="416"/>
      <c r="G13" s="416"/>
      <c r="H13" s="416"/>
      <c r="I13" s="416"/>
      <c r="J13" s="416"/>
      <c r="K13" s="416"/>
      <c r="L13" s="416"/>
      <c r="M13" s="416"/>
    </row>
    <row r="14" spans="1:13" s="419" customFormat="1" ht="16.5" customHeight="1">
      <c r="A14" s="417"/>
      <c r="B14" s="418" t="s">
        <v>366</v>
      </c>
      <c r="C14" s="418" t="s">
        <v>621</v>
      </c>
      <c r="D14" s="417"/>
      <c r="E14" s="417"/>
      <c r="F14" s="417"/>
      <c r="G14" s="417"/>
      <c r="H14" s="417"/>
      <c r="I14" s="417"/>
      <c r="J14" s="417"/>
      <c r="K14" s="417"/>
      <c r="L14" s="417"/>
      <c r="M14" s="417"/>
    </row>
    <row r="15" spans="1:13" s="419" customFormat="1" ht="16.5" customHeight="1">
      <c r="A15" s="417"/>
      <c r="B15" s="404"/>
      <c r="C15" s="418" t="s">
        <v>622</v>
      </c>
      <c r="D15" s="417"/>
      <c r="E15" s="417"/>
      <c r="F15" s="417"/>
      <c r="G15" s="417"/>
      <c r="H15" s="417"/>
      <c r="I15" s="417"/>
      <c r="J15" s="417"/>
      <c r="K15" s="417"/>
      <c r="L15" s="417"/>
      <c r="M15" s="417"/>
    </row>
    <row r="16" spans="1:13" s="419" customFormat="1" ht="20.25" customHeight="1"/>
    <row r="17" s="419" customFormat="1" ht="20.25" customHeight="1"/>
    <row r="18" s="419" customFormat="1" ht="20.25" customHeight="1"/>
    <row r="19" s="419" customFormat="1" ht="20.25" customHeight="1"/>
    <row r="20" s="419" customFormat="1" ht="20.25" customHeight="1"/>
    <row r="21" s="419" customFormat="1" ht="20.25" customHeight="1"/>
    <row r="22" s="419" customFormat="1" ht="20.25" customHeight="1"/>
    <row r="23" s="419" customFormat="1" ht="20.25" customHeight="1"/>
    <row r="24" s="419" customFormat="1" ht="20.25" customHeight="1"/>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0">
    <mergeCell ref="F3:G4"/>
    <mergeCell ref="H3:I4"/>
    <mergeCell ref="J3:M3"/>
    <mergeCell ref="J4:K4"/>
    <mergeCell ref="L4:M4"/>
    <mergeCell ref="B6:B8"/>
    <mergeCell ref="B9:B11"/>
    <mergeCell ref="B12:C12"/>
    <mergeCell ref="B3:C5"/>
    <mergeCell ref="D3:E4"/>
  </mergeCells>
  <phoneticPr fontId="155"/>
  <conditionalFormatting sqref="D6 D7 D9 D10 F10">
    <cfRule type="expression" dxfId="6" priority="1">
      <formula>AND(入力色表示=1,NOT(_xlfn.ISFORMULA(D6)))</formula>
    </cfRule>
  </conditionalFormatting>
  <dataValidations count="5">
    <dataValidation allowBlank="1" showInputMessage="1" promptTitle="手入力セル" prompt="反映先：報告_預託金のカメラ D8,E6,H6&#10;他の帳票：なし" sqref="D6"/>
    <dataValidation allowBlank="1" showInputMessage="1" promptTitle="手入力セル" prompt="反映先：報告_預託金のカメラ D8,E7,H7&#10;他の帳票：なし" sqref="D7"/>
    <dataValidation allowBlank="1" showInputMessage="1" promptTitle="手入力セル" prompt="反映先：報告_預託金のカメラ D11,E9,H9&#10;他の帳票：なし" sqref="D9"/>
    <dataValidation allowBlank="1" showInputMessage="1" promptTitle="手入力セル" prompt="反映先：報告_預託金のカメラ D11,E10,H10&#10;他の帳票：なし" sqref="D10"/>
    <dataValidation allowBlank="1" showInputMessage="1" promptTitle="手入力セル" prompt="反映先：報告_預託金のカメラ F11,G10,H10…&#10;他の帳票：なし" sqref="F10"/>
  </dataValidations>
  <pageMargins left="0.39374999999999999" right="0.39374999999999999" top="0.98402777777777795" bottom="0.98402777777777795" header="0.511811023622047" footer="0.511811023622047"/>
  <pageSetup paperSize="9" scale="95" orientation="landscape" horizontalDpi="300" verticalDpi="30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7FF9-3393-40D8-880A-C0744F771770}">
  <sheetPr codeName="Sheet16">
    <pageSetUpPr fitToPage="1"/>
  </sheetPr>
  <dimension ref="A1:IW38"/>
  <sheetViews>
    <sheetView zoomScaleNormal="100" zoomScalePageLayoutView="60" workbookViewId="0">
      <selection sqref="A1:P1"/>
    </sheetView>
  </sheetViews>
  <sheetFormatPr defaultColWidth="1.6640625" defaultRowHeight="13.2"/>
  <cols>
    <col min="1" max="257" width="1.6640625" style="104"/>
  </cols>
  <sheetData>
    <row r="1" spans="1:57" s="322" customFormat="1" ht="24.9" customHeight="1">
      <c r="A1" s="1928" t="s">
        <v>623</v>
      </c>
      <c r="B1" s="1928"/>
      <c r="C1" s="1928"/>
      <c r="D1" s="1928"/>
      <c r="E1" s="1928"/>
      <c r="F1" s="1928"/>
      <c r="G1" s="1928"/>
      <c r="H1" s="1928"/>
      <c r="I1" s="1928"/>
      <c r="J1" s="1928"/>
      <c r="K1" s="1928"/>
      <c r="L1" s="1928"/>
      <c r="M1" s="1928"/>
      <c r="N1" s="1928"/>
      <c r="O1" s="1928"/>
      <c r="P1" s="1928"/>
    </row>
    <row r="2" spans="1:57" ht="25.5" customHeight="1">
      <c r="A2" s="1887" t="s">
        <v>624</v>
      </c>
      <c r="B2" s="1887"/>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row>
    <row r="3" spans="1:57" ht="18" customHeight="1">
      <c r="A3" s="420"/>
      <c r="B3" s="321" t="s">
        <v>625</v>
      </c>
      <c r="C3" s="420"/>
      <c r="D3" s="420"/>
      <c r="E3" s="420"/>
      <c r="F3" s="420"/>
      <c r="G3" s="420"/>
      <c r="H3" s="420"/>
      <c r="I3" s="420"/>
      <c r="J3" s="420"/>
      <c r="K3" s="420"/>
      <c r="L3" s="420"/>
      <c r="M3" s="420"/>
      <c r="N3" s="420"/>
      <c r="O3" s="420"/>
      <c r="P3" s="420"/>
      <c r="Q3" s="420"/>
      <c r="R3" s="420"/>
      <c r="S3" s="420"/>
      <c r="T3" s="420"/>
      <c r="U3" s="420"/>
      <c r="V3" s="420"/>
      <c r="W3" s="420"/>
      <c r="X3" s="420"/>
      <c r="Y3" s="420"/>
      <c r="Z3" s="420"/>
      <c r="AA3" s="420"/>
      <c r="AB3" s="420"/>
      <c r="AC3" s="420"/>
      <c r="AD3" s="420"/>
      <c r="AE3" s="420"/>
      <c r="AF3" s="420"/>
      <c r="AG3" s="420"/>
      <c r="AH3" s="420"/>
      <c r="AI3" s="420"/>
      <c r="AJ3" s="420"/>
      <c r="AK3" s="420"/>
      <c r="AL3" s="420"/>
      <c r="AM3" s="420"/>
      <c r="AN3" s="420"/>
      <c r="AO3" s="420"/>
    </row>
    <row r="4" spans="1:57" s="421" customFormat="1" ht="18" customHeight="1">
      <c r="A4" s="375"/>
      <c r="B4" s="2175" t="s">
        <v>626</v>
      </c>
      <c r="C4" s="2175"/>
      <c r="D4" s="2175"/>
      <c r="E4" s="2175"/>
      <c r="F4" s="2175"/>
      <c r="G4" s="2175"/>
      <c r="H4" s="2175"/>
      <c r="I4" s="2175"/>
      <c r="J4" s="2175"/>
      <c r="K4" s="2175"/>
      <c r="L4" s="2175"/>
      <c r="M4" s="2175"/>
      <c r="N4" s="2175"/>
      <c r="AU4" s="2176" t="s">
        <v>408</v>
      </c>
      <c r="AV4" s="2176"/>
      <c r="AW4" s="2176"/>
      <c r="AX4" s="2176"/>
      <c r="AY4" s="2176"/>
      <c r="AZ4" s="2176"/>
      <c r="BA4" s="2176"/>
      <c r="BB4" s="2176"/>
      <c r="BC4" s="2176"/>
      <c r="BD4" s="2176"/>
      <c r="BE4" s="2176"/>
    </row>
    <row r="5" spans="1:57" ht="30" customHeight="1">
      <c r="A5" s="1845" t="s">
        <v>627</v>
      </c>
      <c r="B5" s="1845"/>
      <c r="C5" s="1845"/>
      <c r="D5" s="1845"/>
      <c r="E5" s="1845"/>
      <c r="F5" s="1845"/>
      <c r="G5" s="1845"/>
      <c r="H5" s="1845"/>
      <c r="I5" s="1845"/>
      <c r="J5" s="1845"/>
      <c r="K5" s="1845"/>
      <c r="L5" s="1845"/>
      <c r="M5" s="1845"/>
      <c r="N5" s="1845"/>
      <c r="O5" s="1845"/>
      <c r="P5" s="1845"/>
      <c r="Q5" s="1845"/>
      <c r="R5" s="1845"/>
      <c r="S5" s="1845"/>
      <c r="T5" s="1845"/>
      <c r="U5" s="1845"/>
      <c r="V5" s="1845"/>
      <c r="W5" s="1845"/>
      <c r="X5" s="1845"/>
      <c r="Y5" s="2168" t="str">
        <f>"令和"&amp;IF((入力ガイド!$C$6-1)&gt;=10,MID("０１２３４５６７８９",INT((入力ガイド!$C$6-1)/10)+1,1),"")&amp;MID("０１２３４５６７８９",MOD((入力ガイド!$C$6-1),10)+1,1)&amp;"年度"</f>
        <v>令和６年度</v>
      </c>
      <c r="Z5" s="2168"/>
      <c r="AA5" s="2168"/>
      <c r="AB5" s="2168"/>
      <c r="AC5" s="2168"/>
      <c r="AD5" s="2168"/>
      <c r="AE5" s="2168"/>
      <c r="AF5" s="2168"/>
      <c r="AG5" s="2168"/>
      <c r="AH5" s="2168"/>
      <c r="AI5" s="2168"/>
      <c r="AJ5" s="2168" t="str">
        <f>"令和"&amp;IF((入力ガイド!$C$6)&gt;=10,MID("０１２３４５６７８９",INT((入力ガイド!$C$6)/10)+1,1),"")&amp;MID("０１２３４５６７８９",MOD((入力ガイド!$C$6),10)+1,1)&amp;"年度"</f>
        <v>令和７年度</v>
      </c>
      <c r="AK5" s="2168"/>
      <c r="AL5" s="2168"/>
      <c r="AM5" s="2168"/>
      <c r="AN5" s="2168"/>
      <c r="AO5" s="2168"/>
      <c r="AP5" s="2168"/>
      <c r="AQ5" s="2168"/>
      <c r="AR5" s="2168"/>
      <c r="AS5" s="2168"/>
      <c r="AT5" s="2168"/>
      <c r="AU5" s="1845" t="s">
        <v>628</v>
      </c>
      <c r="AV5" s="1845"/>
      <c r="AW5" s="1845"/>
      <c r="AX5" s="1845"/>
      <c r="AY5" s="1845"/>
      <c r="AZ5" s="1845"/>
      <c r="BA5" s="1845"/>
      <c r="BB5" s="1845"/>
      <c r="BC5" s="1845"/>
      <c r="BD5" s="1845"/>
      <c r="BE5" s="1845"/>
    </row>
    <row r="6" spans="1:57" ht="22.5" customHeight="1">
      <c r="A6" s="422"/>
      <c r="B6" s="423"/>
      <c r="C6" s="424"/>
      <c r="D6" s="2145" t="s">
        <v>629</v>
      </c>
      <c r="E6" s="2145"/>
      <c r="F6" s="2145"/>
      <c r="G6" s="2145"/>
      <c r="H6" s="2145"/>
      <c r="I6" s="2145"/>
      <c r="J6" s="2145"/>
      <c r="K6" s="2145"/>
      <c r="L6" s="2145"/>
      <c r="M6" s="2145"/>
      <c r="N6" s="2145"/>
      <c r="O6" s="2145"/>
      <c r="P6" s="2145"/>
      <c r="Q6" s="2145"/>
      <c r="R6" s="2145"/>
      <c r="S6" s="2145"/>
      <c r="T6" s="2145"/>
      <c r="U6" s="2145"/>
      <c r="V6" s="425"/>
      <c r="W6" s="425"/>
      <c r="X6" s="426"/>
      <c r="Y6" s="1905">
        <f>Y8+Y9+Y10+Y11</f>
        <v>4883</v>
      </c>
      <c r="Z6" s="1905"/>
      <c r="AA6" s="1905"/>
      <c r="AB6" s="1905"/>
      <c r="AC6" s="1905"/>
      <c r="AD6" s="1905"/>
      <c r="AE6" s="1905"/>
      <c r="AF6" s="1905"/>
      <c r="AG6" s="1905"/>
      <c r="AH6" s="1905"/>
      <c r="AI6" s="1905"/>
      <c r="AJ6" s="1905">
        <f>SUM(AJ8:AT11)</f>
        <v>5114</v>
      </c>
      <c r="AK6" s="1905"/>
      <c r="AL6" s="1905"/>
      <c r="AM6" s="1905"/>
      <c r="AN6" s="1905"/>
      <c r="AO6" s="1905"/>
      <c r="AP6" s="1905"/>
      <c r="AQ6" s="1905"/>
      <c r="AR6" s="1905"/>
      <c r="AS6" s="1905"/>
      <c r="AT6" s="1905"/>
      <c r="AU6" s="1891">
        <f t="shared" ref="AU6:AU11" si="0">AJ6-Y6</f>
        <v>231</v>
      </c>
      <c r="AV6" s="1891"/>
      <c r="AW6" s="1891"/>
      <c r="AX6" s="1891"/>
      <c r="AY6" s="1891"/>
      <c r="AZ6" s="1891"/>
      <c r="BA6" s="1891"/>
      <c r="BB6" s="1891"/>
      <c r="BC6" s="1891"/>
      <c r="BD6" s="1891"/>
      <c r="BE6" s="1891"/>
    </row>
    <row r="7" spans="1:57" ht="27" customHeight="1">
      <c r="A7" s="2169" t="s">
        <v>630</v>
      </c>
      <c r="B7" s="2169"/>
      <c r="C7" s="422"/>
      <c r="D7" s="2170" t="s">
        <v>121</v>
      </c>
      <c r="E7" s="2170"/>
      <c r="F7" s="2170"/>
      <c r="G7" s="2170"/>
      <c r="H7" s="2170"/>
      <c r="I7" s="2170"/>
      <c r="J7" s="2170"/>
      <c r="K7" s="2170"/>
      <c r="L7" s="2170"/>
      <c r="M7" s="2170"/>
      <c r="N7" s="2170"/>
      <c r="O7" s="2170"/>
      <c r="P7" s="2170"/>
      <c r="Q7" s="2170"/>
      <c r="R7" s="2170"/>
      <c r="S7" s="2170"/>
      <c r="T7" s="2170"/>
      <c r="U7" s="427"/>
      <c r="V7" s="428"/>
      <c r="W7" s="423"/>
      <c r="X7" s="426"/>
      <c r="Y7" s="1897">
        <f>前年度貼付!$E$216</f>
        <v>5508</v>
      </c>
      <c r="Z7" s="1897"/>
      <c r="AA7" s="1897"/>
      <c r="AB7" s="1897"/>
      <c r="AC7" s="1897"/>
      <c r="AD7" s="1897"/>
      <c r="AE7" s="1897"/>
      <c r="AF7" s="1897"/>
      <c r="AG7" s="1897"/>
      <c r="AH7" s="1897"/>
      <c r="AI7" s="1897"/>
      <c r="AJ7" s="1896">
        <v>6038</v>
      </c>
      <c r="AK7" s="1897"/>
      <c r="AL7" s="1897"/>
      <c r="AM7" s="1897"/>
      <c r="AN7" s="1897"/>
      <c r="AO7" s="1897"/>
      <c r="AP7" s="1897"/>
      <c r="AQ7" s="1897"/>
      <c r="AR7" s="1897"/>
      <c r="AS7" s="1897"/>
      <c r="AT7" s="1897"/>
      <c r="AU7" s="1891">
        <f t="shared" si="0"/>
        <v>530</v>
      </c>
      <c r="AV7" s="1891"/>
      <c r="AW7" s="1891"/>
      <c r="AX7" s="1891"/>
      <c r="AY7" s="1891"/>
      <c r="AZ7" s="1891"/>
      <c r="BA7" s="1891"/>
      <c r="BB7" s="1891"/>
      <c r="BC7" s="1891"/>
      <c r="BD7" s="1891"/>
      <c r="BE7" s="1891"/>
    </row>
    <row r="8" spans="1:57" ht="27" customHeight="1">
      <c r="A8" s="2169"/>
      <c r="B8" s="2169"/>
      <c r="C8" s="341"/>
      <c r="D8" s="429"/>
      <c r="E8" s="430"/>
      <c r="F8" s="2171" t="s">
        <v>631</v>
      </c>
      <c r="G8" s="2171"/>
      <c r="H8" s="2171"/>
      <c r="I8" s="2171"/>
      <c r="J8" s="2171"/>
      <c r="K8" s="2171"/>
      <c r="L8" s="2171"/>
      <c r="M8" s="2171"/>
      <c r="N8" s="2171"/>
      <c r="O8" s="2171"/>
      <c r="P8" s="2171"/>
      <c r="Q8" s="2171"/>
      <c r="R8" s="2171"/>
      <c r="S8" s="2171"/>
      <c r="T8" s="2171"/>
      <c r="U8" s="431"/>
      <c r="V8" s="432" t="s">
        <v>122</v>
      </c>
      <c r="W8" s="433"/>
      <c r="X8" s="434"/>
      <c r="Y8" s="2172">
        <f>前年度貼付!$E$217</f>
        <v>1847</v>
      </c>
      <c r="Z8" s="2172"/>
      <c r="AA8" s="2172"/>
      <c r="AB8" s="2172"/>
      <c r="AC8" s="2172"/>
      <c r="AD8" s="2172"/>
      <c r="AE8" s="2172"/>
      <c r="AF8" s="2172"/>
      <c r="AG8" s="2172"/>
      <c r="AH8" s="2172"/>
      <c r="AI8" s="2172"/>
      <c r="AJ8" s="2173">
        <v>1863</v>
      </c>
      <c r="AK8" s="2172"/>
      <c r="AL8" s="2172"/>
      <c r="AM8" s="2172"/>
      <c r="AN8" s="2172"/>
      <c r="AO8" s="2172"/>
      <c r="AP8" s="2172"/>
      <c r="AQ8" s="2172"/>
      <c r="AR8" s="2172"/>
      <c r="AS8" s="2172"/>
      <c r="AT8" s="2172"/>
      <c r="AU8" s="2174">
        <f t="shared" si="0"/>
        <v>16</v>
      </c>
      <c r="AV8" s="2174"/>
      <c r="AW8" s="2174"/>
      <c r="AX8" s="2174"/>
      <c r="AY8" s="2174"/>
      <c r="AZ8" s="2174"/>
      <c r="BA8" s="2174"/>
      <c r="BB8" s="2174"/>
      <c r="BC8" s="2174"/>
      <c r="BD8" s="2174"/>
      <c r="BE8" s="2174"/>
    </row>
    <row r="9" spans="1:57" ht="27" customHeight="1">
      <c r="A9" s="2169"/>
      <c r="B9" s="2169"/>
      <c r="C9" s="331"/>
      <c r="D9" s="1866" t="s">
        <v>126</v>
      </c>
      <c r="E9" s="1866"/>
      <c r="F9" s="1866"/>
      <c r="G9" s="1866"/>
      <c r="H9" s="1866"/>
      <c r="I9" s="1866"/>
      <c r="J9" s="1866"/>
      <c r="K9" s="1866"/>
      <c r="L9" s="1866"/>
      <c r="M9" s="1866"/>
      <c r="N9" s="1866"/>
      <c r="O9" s="1866"/>
      <c r="P9" s="1866"/>
      <c r="Q9" s="1866"/>
      <c r="R9" s="1866"/>
      <c r="S9" s="1866"/>
      <c r="T9" s="1866"/>
      <c r="U9" s="435"/>
      <c r="V9" s="436" t="s">
        <v>123</v>
      </c>
      <c r="W9" s="329"/>
      <c r="X9" s="330"/>
      <c r="Y9" s="1885">
        <f>前年度貼付!$E$218</f>
        <v>1570</v>
      </c>
      <c r="Z9" s="1885"/>
      <c r="AA9" s="1885"/>
      <c r="AB9" s="1885"/>
      <c r="AC9" s="1885"/>
      <c r="AD9" s="1885"/>
      <c r="AE9" s="1885"/>
      <c r="AF9" s="1885"/>
      <c r="AG9" s="1885"/>
      <c r="AH9" s="1885"/>
      <c r="AI9" s="1885"/>
      <c r="AJ9" s="1893">
        <v>1635</v>
      </c>
      <c r="AK9" s="1885"/>
      <c r="AL9" s="1885"/>
      <c r="AM9" s="1885"/>
      <c r="AN9" s="1885"/>
      <c r="AO9" s="1885"/>
      <c r="AP9" s="1885"/>
      <c r="AQ9" s="1885"/>
      <c r="AR9" s="1885"/>
      <c r="AS9" s="1885"/>
      <c r="AT9" s="1885"/>
      <c r="AU9" s="1886">
        <f t="shared" si="0"/>
        <v>65</v>
      </c>
      <c r="AV9" s="1886"/>
      <c r="AW9" s="1886"/>
      <c r="AX9" s="1886"/>
      <c r="AY9" s="1886"/>
      <c r="AZ9" s="1886"/>
      <c r="BA9" s="1886"/>
      <c r="BB9" s="1886"/>
      <c r="BC9" s="1886"/>
      <c r="BD9" s="1886"/>
      <c r="BE9" s="1886"/>
    </row>
    <row r="10" spans="1:57" ht="27" customHeight="1">
      <c r="A10" s="2169"/>
      <c r="B10" s="2169"/>
      <c r="C10" s="331"/>
      <c r="D10" s="1866" t="s">
        <v>38</v>
      </c>
      <c r="E10" s="1866"/>
      <c r="F10" s="1866"/>
      <c r="G10" s="1866"/>
      <c r="H10" s="1866"/>
      <c r="I10" s="1866"/>
      <c r="J10" s="1866"/>
      <c r="K10" s="1866"/>
      <c r="L10" s="1866"/>
      <c r="M10" s="1866"/>
      <c r="N10" s="1866"/>
      <c r="O10" s="1866"/>
      <c r="P10" s="1866"/>
      <c r="Q10" s="1866"/>
      <c r="R10" s="1866"/>
      <c r="S10" s="1866"/>
      <c r="T10" s="1866"/>
      <c r="U10" s="435"/>
      <c r="V10" s="436" t="s">
        <v>632</v>
      </c>
      <c r="W10" s="329"/>
      <c r="X10" s="330"/>
      <c r="Y10" s="1885">
        <f>前年度貼付!$E$219</f>
        <v>1466</v>
      </c>
      <c r="Z10" s="1885"/>
      <c r="AA10" s="1885"/>
      <c r="AB10" s="1885"/>
      <c r="AC10" s="1885"/>
      <c r="AD10" s="1885"/>
      <c r="AE10" s="1885"/>
      <c r="AF10" s="1885"/>
      <c r="AG10" s="1885"/>
      <c r="AH10" s="1885"/>
      <c r="AI10" s="1885"/>
      <c r="AJ10" s="1893">
        <v>1616</v>
      </c>
      <c r="AK10" s="1885"/>
      <c r="AL10" s="1885"/>
      <c r="AM10" s="1885"/>
      <c r="AN10" s="1885"/>
      <c r="AO10" s="1885"/>
      <c r="AP10" s="1885"/>
      <c r="AQ10" s="1885"/>
      <c r="AR10" s="1885"/>
      <c r="AS10" s="1885"/>
      <c r="AT10" s="1885"/>
      <c r="AU10" s="1886">
        <f t="shared" si="0"/>
        <v>150</v>
      </c>
      <c r="AV10" s="1886"/>
      <c r="AW10" s="1886"/>
      <c r="AX10" s="1886"/>
      <c r="AY10" s="1886"/>
      <c r="AZ10" s="1886"/>
      <c r="BA10" s="1886"/>
      <c r="BB10" s="1886"/>
      <c r="BC10" s="1886"/>
      <c r="BD10" s="1886"/>
      <c r="BE10" s="1886"/>
    </row>
    <row r="11" spans="1:57" ht="27" customHeight="1">
      <c r="A11" s="2169"/>
      <c r="B11" s="2169"/>
      <c r="C11" s="108"/>
      <c r="D11" s="1866" t="s">
        <v>108</v>
      </c>
      <c r="E11" s="1866"/>
      <c r="F11" s="1866"/>
      <c r="G11" s="1866"/>
      <c r="H11" s="1866"/>
      <c r="I11" s="1866"/>
      <c r="J11" s="1866"/>
      <c r="K11" s="1866"/>
      <c r="L11" s="1866"/>
      <c r="M11" s="1866"/>
      <c r="N11" s="1866"/>
      <c r="O11" s="1866"/>
      <c r="P11" s="1866"/>
      <c r="Q11" s="1866"/>
      <c r="R11" s="1866"/>
      <c r="S11" s="1866"/>
      <c r="T11" s="1866"/>
      <c r="U11" s="437"/>
      <c r="V11" s="328" t="s">
        <v>633</v>
      </c>
      <c r="W11" s="155"/>
      <c r="X11" s="109"/>
      <c r="Y11" s="1885">
        <f>前年度貼付!$E$220</f>
        <v>0</v>
      </c>
      <c r="Z11" s="1885"/>
      <c r="AA11" s="1885"/>
      <c r="AB11" s="1885"/>
      <c r="AC11" s="1885"/>
      <c r="AD11" s="1885"/>
      <c r="AE11" s="1885"/>
      <c r="AF11" s="1885"/>
      <c r="AG11" s="1885"/>
      <c r="AH11" s="1885"/>
      <c r="AI11" s="1885"/>
      <c r="AJ11" s="1893">
        <v>0</v>
      </c>
      <c r="AK11" s="1885"/>
      <c r="AL11" s="1885"/>
      <c r="AM11" s="1885"/>
      <c r="AN11" s="1885"/>
      <c r="AO11" s="1885"/>
      <c r="AP11" s="1885"/>
      <c r="AQ11" s="1885"/>
      <c r="AR11" s="1885"/>
      <c r="AS11" s="1885"/>
      <c r="AT11" s="1885"/>
      <c r="AU11" s="1886">
        <f t="shared" si="0"/>
        <v>0</v>
      </c>
      <c r="AV11" s="1886"/>
      <c r="AW11" s="1886"/>
      <c r="AX11" s="1886"/>
      <c r="AY11" s="1886"/>
      <c r="AZ11" s="1886"/>
      <c r="BA11" s="1886"/>
      <c r="BB11" s="1886"/>
      <c r="BC11" s="1886"/>
      <c r="BD11" s="1886"/>
      <c r="BE11" s="1886"/>
    </row>
    <row r="12" spans="1:57" ht="18" customHeight="1">
      <c r="A12" s="438" t="s">
        <v>634</v>
      </c>
      <c r="B12" s="438"/>
      <c r="C12" s="136" t="s">
        <v>635</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8"/>
      <c r="AB12" s="138"/>
      <c r="AC12" s="138"/>
      <c r="AD12" s="138"/>
      <c r="AE12" s="138"/>
      <c r="AF12" s="138"/>
      <c r="AG12" s="138"/>
      <c r="AH12" s="138"/>
      <c r="AI12" s="138"/>
      <c r="AJ12" s="138"/>
      <c r="AK12" s="138"/>
      <c r="AL12" s="138"/>
      <c r="AM12" s="138"/>
      <c r="AN12" s="138"/>
      <c r="AO12" s="138"/>
      <c r="AP12" s="138"/>
      <c r="AQ12" s="138"/>
      <c r="AR12" s="138"/>
      <c r="AS12" s="138"/>
      <c r="AT12" s="138"/>
      <c r="AU12" s="138"/>
      <c r="AV12" s="138"/>
      <c r="AW12" s="138"/>
      <c r="AX12" s="138"/>
      <c r="AY12" s="138"/>
      <c r="AZ12" s="138"/>
      <c r="BA12" s="138"/>
      <c r="BB12" s="138"/>
      <c r="BC12" s="425"/>
    </row>
    <row r="13" spans="1:57" ht="18" customHeight="1">
      <c r="C13" s="321" t="s">
        <v>636</v>
      </c>
      <c r="D13" s="321"/>
      <c r="E13" s="321"/>
      <c r="F13" s="321"/>
      <c r="G13" s="321"/>
      <c r="H13" s="321"/>
      <c r="I13" s="321"/>
      <c r="J13" s="321"/>
      <c r="K13" s="321"/>
      <c r="L13" s="321"/>
      <c r="M13" s="321"/>
      <c r="N13" s="321"/>
      <c r="O13" s="321"/>
      <c r="P13" s="321"/>
      <c r="Q13" s="321"/>
      <c r="R13" s="321"/>
      <c r="S13" s="321"/>
      <c r="T13" s="321"/>
      <c r="U13" s="321"/>
      <c r="V13" s="321"/>
      <c r="W13" s="321"/>
      <c r="X13" s="321"/>
      <c r="Y13" s="32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c r="AZ13" s="321"/>
      <c r="BA13" s="321"/>
      <c r="BB13" s="321"/>
    </row>
    <row r="14" spans="1:57" ht="18" customHeight="1">
      <c r="C14" s="321" t="s">
        <v>637</v>
      </c>
      <c r="D14" s="321"/>
      <c r="E14" s="321"/>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c r="AZ14" s="321"/>
      <c r="BA14" s="321"/>
      <c r="BB14" s="321"/>
    </row>
    <row r="15" spans="1:57" s="373" customFormat="1" ht="17.25" customHeight="1">
      <c r="C15" s="372" t="s">
        <v>638</v>
      </c>
    </row>
    <row r="16" spans="1:57" s="373" customFormat="1" ht="17.25" customHeight="1">
      <c r="C16" s="372" t="s">
        <v>639</v>
      </c>
    </row>
    <row r="17" spans="1:66" ht="13.5" customHeight="1"/>
    <row r="18" spans="1:66" ht="18" customHeight="1">
      <c r="A18" s="372" t="s">
        <v>640</v>
      </c>
      <c r="B18" s="375"/>
      <c r="C18" s="375"/>
      <c r="D18" s="375"/>
      <c r="E18" s="375"/>
    </row>
    <row r="19" spans="1:66" ht="18" customHeight="1">
      <c r="A19" s="439" t="s">
        <v>626</v>
      </c>
      <c r="B19" s="421"/>
      <c r="C19" s="421"/>
      <c r="D19" s="421"/>
      <c r="AD19" s="440"/>
      <c r="AY19" s="293" t="s">
        <v>408</v>
      </c>
      <c r="BH19" s="293" t="s">
        <v>640</v>
      </c>
    </row>
    <row r="20" spans="1:66" ht="18" customHeight="1">
      <c r="A20" s="2167" t="s">
        <v>641</v>
      </c>
      <c r="B20" s="2167"/>
      <c r="C20" s="2167"/>
      <c r="D20" s="2167"/>
      <c r="E20" s="2167"/>
      <c r="F20" s="2167"/>
      <c r="G20" s="2167"/>
      <c r="H20" s="2167"/>
      <c r="I20" s="2167"/>
      <c r="J20" s="2167"/>
      <c r="K20" s="2167"/>
      <c r="L20" s="2167"/>
      <c r="M20" s="2167"/>
      <c r="N20" s="2167"/>
      <c r="O20" s="2167"/>
      <c r="P20" s="2167"/>
      <c r="Q20" s="2167"/>
      <c r="R20" s="2167"/>
      <c r="S20" s="2167"/>
      <c r="T20" s="2167"/>
      <c r="U20" s="2167"/>
      <c r="V20" s="2167"/>
      <c r="W20" s="2167"/>
      <c r="X20" s="2167"/>
      <c r="Y20" s="2168" t="str">
        <f>"令和"&amp;IF((入力ガイド!$C$6-1)&gt;=10,MID("０１２３４５６７８９",INT((入力ガイド!$C$6-1)/10)+1,1),"")&amp;MID("０１２３４５６７８９",MOD((入力ガイド!$C$6-1),10)+1,1)&amp;"年度"</f>
        <v>令和６年度</v>
      </c>
      <c r="Z20" s="2168"/>
      <c r="AA20" s="2168"/>
      <c r="AB20" s="2168"/>
      <c r="AC20" s="2168"/>
      <c r="AD20" s="2168"/>
      <c r="AE20" s="2168"/>
      <c r="AF20" s="2168"/>
      <c r="AG20" s="2168"/>
      <c r="AH20" s="2168"/>
      <c r="AI20" s="2168"/>
      <c r="AJ20" s="2168" t="str">
        <f>"令和"&amp;IF((入力ガイド!$C$6)&gt;=10,MID("０１２３４５６７８９",INT((入力ガイド!$C$6)/10)+1,1),"")&amp;MID("０１２３４５６７８９",MOD((入力ガイド!$C$6),10)+1,1)&amp;"年度"</f>
        <v>令和７年度</v>
      </c>
      <c r="AK20" s="2168"/>
      <c r="AL20" s="2168"/>
      <c r="AM20" s="2168"/>
      <c r="AN20" s="2168"/>
      <c r="AO20" s="2168"/>
      <c r="AP20" s="2168"/>
      <c r="AQ20" s="2168"/>
      <c r="AR20" s="2168"/>
      <c r="AS20" s="2168"/>
      <c r="AT20" s="2168"/>
      <c r="AU20" s="2167" t="s">
        <v>376</v>
      </c>
      <c r="AV20" s="2167"/>
      <c r="AW20" s="2167"/>
      <c r="AX20" s="2167"/>
      <c r="AY20" s="2167"/>
      <c r="AZ20" s="2167"/>
      <c r="BA20" s="2167"/>
      <c r="BB20" s="2167"/>
      <c r="BC20" s="2167"/>
      <c r="BD20" s="2167"/>
      <c r="BE20" s="2167"/>
      <c r="BH20" s="293" t="s">
        <v>626</v>
      </c>
      <c r="BN20" s="293" t="s">
        <v>408</v>
      </c>
    </row>
    <row r="21" spans="1:66" ht="23.25" customHeight="1">
      <c r="A21" s="2163" t="s">
        <v>124</v>
      </c>
      <c r="B21" s="2163"/>
      <c r="C21" s="2163"/>
      <c r="D21" s="2163"/>
      <c r="E21" s="2163"/>
      <c r="F21" s="2163"/>
      <c r="G21" s="2163"/>
      <c r="H21" s="2163"/>
      <c r="I21" s="2163"/>
      <c r="J21" s="2163"/>
      <c r="K21" s="2163"/>
      <c r="L21" s="2163"/>
      <c r="M21" s="2163"/>
      <c r="N21" s="2163"/>
      <c r="O21" s="2163"/>
      <c r="P21" s="2163"/>
      <c r="Q21" s="2163"/>
      <c r="R21" s="2163"/>
      <c r="S21" s="2163"/>
      <c r="T21" s="2163"/>
      <c r="U21" s="2163"/>
      <c r="V21" s="2163"/>
      <c r="W21" s="2163"/>
      <c r="X21" s="2163"/>
      <c r="Y21" s="2164">
        <f>前年度貼付!$E$221</f>
        <v>151</v>
      </c>
      <c r="Z21" s="2164"/>
      <c r="AA21" s="2164"/>
      <c r="AB21" s="2164"/>
      <c r="AC21" s="2164"/>
      <c r="AD21" s="2164"/>
      <c r="AE21" s="2164"/>
      <c r="AF21" s="2164"/>
      <c r="AG21" s="2164"/>
      <c r="AH21" s="2164"/>
      <c r="AI21" s="2164"/>
      <c r="AJ21" s="2165">
        <v>170</v>
      </c>
      <c r="AK21" s="2164"/>
      <c r="AL21" s="2164"/>
      <c r="AM21" s="2164"/>
      <c r="AN21" s="2164"/>
      <c r="AO21" s="2164"/>
      <c r="AP21" s="2164"/>
      <c r="AQ21" s="2164"/>
      <c r="AR21" s="2164"/>
      <c r="AS21" s="2164"/>
      <c r="AT21" s="2164"/>
      <c r="AU21" s="2166">
        <f>AJ21-Y21</f>
        <v>19</v>
      </c>
      <c r="AV21" s="2166"/>
      <c r="AW21" s="2166"/>
      <c r="AX21" s="2166"/>
      <c r="AY21" s="2166"/>
      <c r="AZ21" s="2166"/>
      <c r="BA21" s="2166"/>
      <c r="BB21" s="2166"/>
      <c r="BC21" s="2166"/>
      <c r="BD21" s="2166"/>
      <c r="BE21" s="2166"/>
      <c r="BH21" s="293" t="s">
        <v>641</v>
      </c>
      <c r="BL21" s="293" t="s">
        <v>642</v>
      </c>
      <c r="BM21" s="293" t="s">
        <v>642</v>
      </c>
      <c r="BN21" s="293" t="s">
        <v>376</v>
      </c>
    </row>
    <row r="22" spans="1:66" ht="18" customHeight="1">
      <c r="A22" s="438" t="s">
        <v>634</v>
      </c>
      <c r="B22" s="441"/>
      <c r="C22" s="442"/>
      <c r="D22" s="443" t="s">
        <v>643</v>
      </c>
      <c r="E22" s="444"/>
      <c r="F22" s="444"/>
      <c r="G22" s="444"/>
      <c r="H22" s="444"/>
      <c r="I22" s="444"/>
      <c r="J22" s="444"/>
      <c r="K22" s="444"/>
      <c r="L22" s="444"/>
      <c r="M22" s="444"/>
      <c r="N22" s="444"/>
      <c r="O22" s="444"/>
      <c r="P22" s="444"/>
      <c r="Q22" s="444"/>
      <c r="R22" s="444"/>
      <c r="S22" s="444"/>
      <c r="T22" s="444"/>
      <c r="U22" s="444"/>
      <c r="V22" s="444"/>
      <c r="W22" s="444"/>
      <c r="X22" s="444"/>
      <c r="Y22" s="344"/>
      <c r="Z22" s="344"/>
      <c r="AA22" s="344"/>
      <c r="AB22" s="344"/>
      <c r="AC22" s="344"/>
      <c r="AD22" s="344"/>
      <c r="AE22" s="344"/>
      <c r="AF22" s="344"/>
      <c r="AG22" s="344"/>
      <c r="AH22" s="344"/>
      <c r="AI22" s="344"/>
      <c r="BH22" s="445" t="s">
        <v>644</v>
      </c>
      <c r="BI22" s="293" t="s">
        <v>38</v>
      </c>
    </row>
    <row r="23" spans="1:66" ht="25.5" customHeight="1">
      <c r="A23" s="1887" t="s">
        <v>599</v>
      </c>
      <c r="B23" s="1887"/>
      <c r="C23" s="1887"/>
      <c r="D23" s="1887"/>
      <c r="E23" s="1887"/>
      <c r="F23" s="1887"/>
      <c r="G23" s="1887"/>
      <c r="H23" s="1887"/>
      <c r="I23" s="1887"/>
      <c r="J23" s="1887"/>
      <c r="K23" s="1887"/>
      <c r="L23" s="1887"/>
      <c r="M23" s="1887"/>
    </row>
    <row r="24" spans="1:66" ht="18" customHeight="1">
      <c r="AR24" s="1888" t="s">
        <v>408</v>
      </c>
      <c r="AS24" s="1888"/>
      <c r="AT24" s="1888"/>
      <c r="AU24" s="1888"/>
      <c r="AV24" s="1888"/>
      <c r="AW24" s="1888"/>
      <c r="AX24" s="1888"/>
      <c r="AY24" s="1888"/>
      <c r="AZ24" s="1888"/>
      <c r="BA24" s="1888"/>
      <c r="BB24" s="1888"/>
      <c r="BC24" s="1888"/>
      <c r="BD24" s="1888"/>
      <c r="BE24" s="1888"/>
      <c r="BF24" s="325"/>
      <c r="BG24" s="325"/>
      <c r="BH24" s="446" t="s">
        <v>366</v>
      </c>
      <c r="BJ24" s="445" t="s">
        <v>645</v>
      </c>
    </row>
    <row r="25" spans="1:66" ht="18" customHeight="1">
      <c r="A25" s="1879" t="s">
        <v>580</v>
      </c>
      <c r="B25" s="1879"/>
      <c r="C25" s="1879"/>
      <c r="D25" s="1879"/>
      <c r="E25" s="1879"/>
      <c r="F25" s="1879"/>
      <c r="G25" s="1879"/>
      <c r="H25" s="1879"/>
      <c r="I25" s="1879"/>
      <c r="J25" s="1879"/>
      <c r="K25" s="1879"/>
      <c r="L25" s="1879"/>
      <c r="M25" s="1845" t="s">
        <v>581</v>
      </c>
      <c r="N25" s="1845"/>
      <c r="O25" s="1845"/>
      <c r="P25" s="1845"/>
      <c r="Q25" s="1845"/>
      <c r="R25" s="1845"/>
      <c r="S25" s="1845"/>
      <c r="T25" s="1845"/>
      <c r="U25" s="1845"/>
      <c r="V25" s="1871" t="s">
        <v>582</v>
      </c>
      <c r="W25" s="1871"/>
      <c r="X25" s="1871"/>
      <c r="Y25" s="1871"/>
      <c r="Z25" s="1871"/>
      <c r="AA25" s="1871"/>
      <c r="AB25" s="1871"/>
      <c r="AC25" s="1871"/>
      <c r="AD25" s="1871"/>
      <c r="AE25" s="1845" t="s">
        <v>356</v>
      </c>
      <c r="AF25" s="1845"/>
      <c r="AG25" s="1845"/>
      <c r="AH25" s="1845"/>
      <c r="AI25" s="1845"/>
      <c r="AJ25" s="1845"/>
      <c r="AK25" s="1845"/>
      <c r="AL25" s="1845"/>
      <c r="AM25" s="1845"/>
      <c r="AN25" s="1845" t="s">
        <v>646</v>
      </c>
      <c r="AO25" s="1845"/>
      <c r="AP25" s="1845"/>
      <c r="AQ25" s="1845"/>
      <c r="AR25" s="1845"/>
      <c r="AS25" s="1845"/>
      <c r="AT25" s="1845"/>
      <c r="AU25" s="1845"/>
      <c r="AV25" s="1845"/>
      <c r="AW25" s="1845"/>
      <c r="AX25" s="1845"/>
      <c r="AY25" s="1845"/>
      <c r="AZ25" s="1845"/>
      <c r="BA25" s="1845"/>
      <c r="BB25" s="1845"/>
      <c r="BC25" s="1845"/>
      <c r="BD25" s="1845"/>
      <c r="BE25" s="1845"/>
      <c r="BJ25" s="445" t="s">
        <v>647</v>
      </c>
    </row>
    <row r="26" spans="1:66" ht="18" customHeight="1">
      <c r="A26" s="1851" t="s">
        <v>583</v>
      </c>
      <c r="B26" s="1851"/>
      <c r="C26" s="1851"/>
      <c r="D26" s="1851"/>
      <c r="E26" s="1851"/>
      <c r="F26" s="1851"/>
      <c r="G26" s="1851"/>
      <c r="H26" s="1851"/>
      <c r="I26" s="1851"/>
      <c r="J26" s="1851"/>
      <c r="K26" s="1851"/>
      <c r="L26" s="1851"/>
      <c r="M26" s="1845"/>
      <c r="N26" s="1845"/>
      <c r="O26" s="1845"/>
      <c r="P26" s="1845"/>
      <c r="Q26" s="1845"/>
      <c r="R26" s="1845"/>
      <c r="S26" s="1845"/>
      <c r="T26" s="1845"/>
      <c r="U26" s="1845"/>
      <c r="V26" s="1871"/>
      <c r="W26" s="1871"/>
      <c r="X26" s="1871"/>
      <c r="Y26" s="1871"/>
      <c r="Z26" s="1871"/>
      <c r="AA26" s="1871"/>
      <c r="AB26" s="1871"/>
      <c r="AC26" s="1871"/>
      <c r="AD26" s="1871"/>
      <c r="AE26" s="1845"/>
      <c r="AF26" s="1845"/>
      <c r="AG26" s="1845"/>
      <c r="AH26" s="1845"/>
      <c r="AI26" s="1845"/>
      <c r="AJ26" s="1845"/>
      <c r="AK26" s="1845"/>
      <c r="AL26" s="1845"/>
      <c r="AM26" s="1845"/>
      <c r="AN26" s="1845" t="s">
        <v>378</v>
      </c>
      <c r="AO26" s="1845"/>
      <c r="AP26" s="1845"/>
      <c r="AQ26" s="1845"/>
      <c r="AR26" s="1845"/>
      <c r="AS26" s="1845"/>
      <c r="AT26" s="1845"/>
      <c r="AU26" s="1845"/>
      <c r="AV26" s="1845"/>
      <c r="AW26" s="2162" t="s">
        <v>356</v>
      </c>
      <c r="AX26" s="2162"/>
      <c r="AY26" s="2162"/>
      <c r="AZ26" s="2162"/>
      <c r="BA26" s="2162"/>
      <c r="BB26" s="2162"/>
      <c r="BC26" s="2162"/>
      <c r="BD26" s="2162"/>
      <c r="BE26" s="2162"/>
    </row>
    <row r="27" spans="1:66" ht="18" customHeight="1">
      <c r="A27" s="338"/>
      <c r="B27" s="1866" t="s">
        <v>125</v>
      </c>
      <c r="C27" s="1866"/>
      <c r="D27" s="1866"/>
      <c r="E27" s="1866"/>
      <c r="F27" s="1866"/>
      <c r="G27" s="1866"/>
      <c r="H27" s="1866"/>
      <c r="I27" s="1866"/>
      <c r="J27" s="1866"/>
      <c r="K27" s="1866"/>
      <c r="L27" s="322"/>
      <c r="M27" s="2156">
        <v>94968000</v>
      </c>
      <c r="N27" s="2157"/>
      <c r="O27" s="2157"/>
      <c r="P27" s="2157"/>
      <c r="Q27" s="2157"/>
      <c r="R27" s="2157"/>
      <c r="S27" s="2157"/>
      <c r="T27" s="2157"/>
      <c r="U27" s="447"/>
      <c r="V27" s="1916">
        <f>業務_財務諸表!F38</f>
        <v>89655843</v>
      </c>
      <c r="W27" s="1916"/>
      <c r="X27" s="1916"/>
      <c r="Y27" s="1916"/>
      <c r="Z27" s="1916"/>
      <c r="AA27" s="1916"/>
      <c r="AB27" s="1916"/>
      <c r="AC27" s="1916"/>
      <c r="AD27" s="356"/>
      <c r="AE27" s="2161">
        <f t="shared" ref="AE27:AE32" si="1">V27-M27</f>
        <v>-5312157</v>
      </c>
      <c r="AF27" s="2161"/>
      <c r="AG27" s="2161"/>
      <c r="AH27" s="2161"/>
      <c r="AI27" s="2161"/>
      <c r="AJ27" s="2161"/>
      <c r="AK27" s="2161"/>
      <c r="AL27" s="2161"/>
      <c r="AM27" s="448"/>
      <c r="AN27" s="1916">
        <f>前年度貼付!$E$222</f>
        <v>82167559</v>
      </c>
      <c r="AO27" s="1916"/>
      <c r="AP27" s="1916"/>
      <c r="AQ27" s="1916"/>
      <c r="AR27" s="1916"/>
      <c r="AS27" s="1916"/>
      <c r="AT27" s="1916"/>
      <c r="AU27" s="1916"/>
      <c r="AV27" s="448"/>
      <c r="AW27" s="2160">
        <f t="shared" ref="AW27:AW32" si="2">V27-AN27</f>
        <v>7488284</v>
      </c>
      <c r="AX27" s="2160"/>
      <c r="AY27" s="2160"/>
      <c r="AZ27" s="2160"/>
      <c r="BA27" s="2160"/>
      <c r="BB27" s="2160"/>
      <c r="BC27" s="2160"/>
      <c r="BD27" s="2160"/>
      <c r="BE27" s="450"/>
    </row>
    <row r="28" spans="1:66" ht="18" customHeight="1">
      <c r="A28" s="331"/>
      <c r="B28" s="1866" t="s">
        <v>38</v>
      </c>
      <c r="C28" s="1866"/>
      <c r="D28" s="1866"/>
      <c r="E28" s="1866"/>
      <c r="F28" s="1866"/>
      <c r="G28" s="1866"/>
      <c r="H28" s="1866"/>
      <c r="I28" s="1866"/>
      <c r="J28" s="1866"/>
      <c r="K28" s="1866"/>
      <c r="L28" s="329"/>
      <c r="M28" s="1892">
        <v>23147000</v>
      </c>
      <c r="N28" s="1884"/>
      <c r="O28" s="1884"/>
      <c r="P28" s="1884"/>
      <c r="Q28" s="1884"/>
      <c r="R28" s="1884"/>
      <c r="S28" s="1884"/>
      <c r="T28" s="1884"/>
      <c r="U28" s="451"/>
      <c r="V28" s="2158">
        <f>業務_財務諸表!F42</f>
        <v>23159738</v>
      </c>
      <c r="W28" s="2158"/>
      <c r="X28" s="2158"/>
      <c r="Y28" s="2158"/>
      <c r="Z28" s="2158"/>
      <c r="AA28" s="2158"/>
      <c r="AB28" s="2158"/>
      <c r="AC28" s="2158"/>
      <c r="AD28" s="452"/>
      <c r="AE28" s="1912">
        <f t="shared" si="1"/>
        <v>12738</v>
      </c>
      <c r="AF28" s="1912"/>
      <c r="AG28" s="1912"/>
      <c r="AH28" s="1912"/>
      <c r="AI28" s="1912"/>
      <c r="AJ28" s="1912"/>
      <c r="AK28" s="1912"/>
      <c r="AL28" s="1912"/>
      <c r="AM28" s="453"/>
      <c r="AN28" s="2158">
        <f>前年度貼付!$E$223</f>
        <v>20856594</v>
      </c>
      <c r="AO28" s="2158"/>
      <c r="AP28" s="2158"/>
      <c r="AQ28" s="2158"/>
      <c r="AR28" s="2158"/>
      <c r="AS28" s="2158"/>
      <c r="AT28" s="2158"/>
      <c r="AU28" s="2158"/>
      <c r="AV28" s="453"/>
      <c r="AW28" s="2154">
        <f t="shared" si="2"/>
        <v>2303144</v>
      </c>
      <c r="AX28" s="2154"/>
      <c r="AY28" s="2154"/>
      <c r="AZ28" s="2154"/>
      <c r="BA28" s="2154"/>
      <c r="BB28" s="2154"/>
      <c r="BC28" s="2154"/>
      <c r="BD28" s="2154"/>
      <c r="BE28" s="330"/>
    </row>
    <row r="29" spans="1:66" ht="18" customHeight="1">
      <c r="A29" s="331"/>
      <c r="B29" s="1866" t="s">
        <v>106</v>
      </c>
      <c r="C29" s="1866"/>
      <c r="D29" s="1866"/>
      <c r="E29" s="1866"/>
      <c r="F29" s="1866"/>
      <c r="G29" s="1866"/>
      <c r="H29" s="1866"/>
      <c r="I29" s="1866"/>
      <c r="J29" s="1866"/>
      <c r="K29" s="1866"/>
      <c r="L29" s="329"/>
      <c r="M29" s="1892">
        <v>0</v>
      </c>
      <c r="N29" s="1884"/>
      <c r="O29" s="1884"/>
      <c r="P29" s="1884"/>
      <c r="Q29" s="1884"/>
      <c r="R29" s="1884"/>
      <c r="S29" s="1884"/>
      <c r="T29" s="1884"/>
      <c r="U29" s="453"/>
      <c r="V29" s="2158">
        <f>業務_財務諸表!G43</f>
        <v>0</v>
      </c>
      <c r="W29" s="2158"/>
      <c r="X29" s="2158"/>
      <c r="Y29" s="2158"/>
      <c r="Z29" s="2158"/>
      <c r="AA29" s="2158"/>
      <c r="AB29" s="2158"/>
      <c r="AC29" s="2158"/>
      <c r="AD29" s="452"/>
      <c r="AE29" s="1912">
        <f t="shared" si="1"/>
        <v>0</v>
      </c>
      <c r="AF29" s="1912"/>
      <c r="AG29" s="1912"/>
      <c r="AH29" s="1912"/>
      <c r="AI29" s="1912"/>
      <c r="AJ29" s="1912"/>
      <c r="AK29" s="1912"/>
      <c r="AL29" s="1912"/>
      <c r="AM29" s="453"/>
      <c r="AN29" s="2158">
        <f>前年度貼付!$E$224</f>
        <v>0</v>
      </c>
      <c r="AO29" s="2158"/>
      <c r="AP29" s="2158"/>
      <c r="AQ29" s="2158"/>
      <c r="AR29" s="2158"/>
      <c r="AS29" s="2158"/>
      <c r="AT29" s="2158"/>
      <c r="AU29" s="2158"/>
      <c r="AV29" s="453"/>
      <c r="AW29" s="2154">
        <f t="shared" si="2"/>
        <v>0</v>
      </c>
      <c r="AX29" s="2154"/>
      <c r="AY29" s="2154"/>
      <c r="AZ29" s="2154"/>
      <c r="BA29" s="2154"/>
      <c r="BB29" s="2154"/>
      <c r="BC29" s="2154"/>
      <c r="BD29" s="2154"/>
      <c r="BE29" s="330"/>
    </row>
    <row r="30" spans="1:66" ht="18" customHeight="1">
      <c r="A30" s="338"/>
      <c r="B30" s="1866" t="s">
        <v>126</v>
      </c>
      <c r="C30" s="1866"/>
      <c r="D30" s="1866"/>
      <c r="E30" s="1866"/>
      <c r="F30" s="1866"/>
      <c r="G30" s="1866"/>
      <c r="H30" s="1866"/>
      <c r="I30" s="1866"/>
      <c r="J30" s="1866"/>
      <c r="K30" s="1866"/>
      <c r="L30" s="322"/>
      <c r="M30" s="1892">
        <v>13605000</v>
      </c>
      <c r="N30" s="1884"/>
      <c r="O30" s="1884"/>
      <c r="P30" s="1884"/>
      <c r="Q30" s="1884"/>
      <c r="R30" s="1884"/>
      <c r="S30" s="1884"/>
      <c r="T30" s="1884"/>
      <c r="U30" s="447"/>
      <c r="V30" s="1916">
        <f>業務_財務諸表!G47</f>
        <v>11834281</v>
      </c>
      <c r="W30" s="1916"/>
      <c r="X30" s="1916"/>
      <c r="Y30" s="1916"/>
      <c r="Z30" s="1916"/>
      <c r="AA30" s="1916"/>
      <c r="AB30" s="1916"/>
      <c r="AC30" s="1916"/>
      <c r="AD30" s="356"/>
      <c r="AE30" s="1914">
        <f t="shared" si="1"/>
        <v>-1770719</v>
      </c>
      <c r="AF30" s="1914"/>
      <c r="AG30" s="1914"/>
      <c r="AH30" s="1914"/>
      <c r="AI30" s="1914"/>
      <c r="AJ30" s="1914"/>
      <c r="AK30" s="1914"/>
      <c r="AL30" s="1914"/>
      <c r="AM30" s="454"/>
      <c r="AN30" s="1916">
        <f>前年度貼付!$E$225</f>
        <v>11648520</v>
      </c>
      <c r="AO30" s="1916"/>
      <c r="AP30" s="1916"/>
      <c r="AQ30" s="1916"/>
      <c r="AR30" s="1916"/>
      <c r="AS30" s="1916"/>
      <c r="AT30" s="1916"/>
      <c r="AU30" s="1916"/>
      <c r="AV30" s="454"/>
      <c r="AW30" s="2159">
        <f t="shared" si="2"/>
        <v>185761</v>
      </c>
      <c r="AX30" s="2159"/>
      <c r="AY30" s="2159"/>
      <c r="AZ30" s="2159"/>
      <c r="BA30" s="2159"/>
      <c r="BB30" s="2159"/>
      <c r="BC30" s="2159"/>
      <c r="BD30" s="2159"/>
      <c r="BE30" s="450"/>
    </row>
    <row r="31" spans="1:66" ht="18" customHeight="1">
      <c r="A31" s="331"/>
      <c r="B31" s="1866" t="s">
        <v>108</v>
      </c>
      <c r="C31" s="1866"/>
      <c r="D31" s="1866"/>
      <c r="E31" s="1866"/>
      <c r="F31" s="1866"/>
      <c r="G31" s="1866"/>
      <c r="H31" s="1866"/>
      <c r="I31" s="1866"/>
      <c r="J31" s="1866"/>
      <c r="K31" s="1866"/>
      <c r="L31" s="329"/>
      <c r="M31" s="2156">
        <v>0</v>
      </c>
      <c r="N31" s="2157"/>
      <c r="O31" s="2157"/>
      <c r="P31" s="2157"/>
      <c r="Q31" s="2157"/>
      <c r="R31" s="2157"/>
      <c r="S31" s="2157"/>
      <c r="T31" s="2157"/>
      <c r="U31" s="451"/>
      <c r="V31" s="2158">
        <f>業務_財務諸表!F39</f>
        <v>77607</v>
      </c>
      <c r="W31" s="2158"/>
      <c r="X31" s="2158"/>
      <c r="Y31" s="2158"/>
      <c r="Z31" s="2158"/>
      <c r="AA31" s="2158"/>
      <c r="AB31" s="2158"/>
      <c r="AC31" s="2158"/>
      <c r="AD31" s="452"/>
      <c r="AE31" s="1912">
        <f t="shared" si="1"/>
        <v>77607</v>
      </c>
      <c r="AF31" s="1912"/>
      <c r="AG31" s="1912"/>
      <c r="AH31" s="1912"/>
      <c r="AI31" s="1912"/>
      <c r="AJ31" s="1912"/>
      <c r="AK31" s="1912"/>
      <c r="AL31" s="1912"/>
      <c r="AM31" s="453"/>
      <c r="AN31" s="2158">
        <f>前年度貼付!$E$226</f>
        <v>1275345</v>
      </c>
      <c r="AO31" s="2158"/>
      <c r="AP31" s="2158"/>
      <c r="AQ31" s="2158"/>
      <c r="AR31" s="2158"/>
      <c r="AS31" s="2158"/>
      <c r="AT31" s="2158"/>
      <c r="AU31" s="2158"/>
      <c r="AV31" s="453"/>
      <c r="AW31" s="2154">
        <f t="shared" si="2"/>
        <v>-1197738</v>
      </c>
      <c r="AX31" s="2154"/>
      <c r="AY31" s="2154"/>
      <c r="AZ31" s="2154"/>
      <c r="BA31" s="2154"/>
      <c r="BB31" s="2154"/>
      <c r="BC31" s="2154"/>
      <c r="BD31" s="2154"/>
      <c r="BE31" s="330"/>
    </row>
    <row r="32" spans="1:66" ht="18" customHeight="1">
      <c r="A32" s="331"/>
      <c r="B32" s="1871" t="s">
        <v>476</v>
      </c>
      <c r="C32" s="1871"/>
      <c r="D32" s="1871"/>
      <c r="E32" s="1871"/>
      <c r="F32" s="1871"/>
      <c r="G32" s="1871"/>
      <c r="H32" s="1871"/>
      <c r="I32" s="1871"/>
      <c r="J32" s="1871"/>
      <c r="K32" s="1871"/>
      <c r="L32" s="330"/>
      <c r="M32" s="1889">
        <f>SUM(M27:T31)</f>
        <v>131720000</v>
      </c>
      <c r="N32" s="1889"/>
      <c r="O32" s="1889"/>
      <c r="P32" s="1889"/>
      <c r="Q32" s="1889"/>
      <c r="R32" s="1889"/>
      <c r="S32" s="1889"/>
      <c r="T32" s="1889"/>
      <c r="U32" s="451"/>
      <c r="V32" s="2155">
        <f>SUM(V27:AC31)</f>
        <v>124727469</v>
      </c>
      <c r="W32" s="2155"/>
      <c r="X32" s="2155"/>
      <c r="Y32" s="2155"/>
      <c r="Z32" s="2155"/>
      <c r="AA32" s="2155"/>
      <c r="AB32" s="2155"/>
      <c r="AC32" s="2155"/>
      <c r="AD32" s="455"/>
      <c r="AE32" s="1912">
        <f t="shared" si="1"/>
        <v>-6992531</v>
      </c>
      <c r="AF32" s="1912"/>
      <c r="AG32" s="1912"/>
      <c r="AH32" s="1912"/>
      <c r="AI32" s="1912"/>
      <c r="AJ32" s="1912"/>
      <c r="AK32" s="1912"/>
      <c r="AL32" s="1912"/>
      <c r="AM32" s="451"/>
      <c r="AN32" s="2155">
        <f>SUM(AN27:AU31)</f>
        <v>115948018</v>
      </c>
      <c r="AO32" s="2155"/>
      <c r="AP32" s="2155"/>
      <c r="AQ32" s="2155"/>
      <c r="AR32" s="2155"/>
      <c r="AS32" s="2155"/>
      <c r="AT32" s="2155"/>
      <c r="AU32" s="2155"/>
      <c r="AV32" s="451"/>
      <c r="AW32" s="2154">
        <f t="shared" si="2"/>
        <v>8779451</v>
      </c>
      <c r="AX32" s="2154"/>
      <c r="AY32" s="2154"/>
      <c r="AZ32" s="2154"/>
      <c r="BA32" s="2154"/>
      <c r="BB32" s="2154"/>
      <c r="BC32" s="2154"/>
      <c r="BD32" s="2154"/>
      <c r="BE32" s="330"/>
    </row>
    <row r="34" s="456" customFormat="1" ht="18" customHeight="1"/>
    <row r="35" s="456" customFormat="1" ht="18" customHeight="1"/>
    <row r="36" s="456" customFormat="1" ht="15" customHeight="1"/>
    <row r="37" s="456" customFormat="1" ht="20.100000000000001" customHeight="1"/>
    <row r="38" s="456" customFormat="1" ht="20.100000000000001" customHeight="1"/>
  </sheetData>
  <sheetProtection formatCells="0" formatColumns="0" formatRows="0" insertColumns="0" insertRows="0" insertHyperlinks="0" deleteColumns="0" deleteRows="0" selectLockedCells="1"/>
  <mergeCells count="87">
    <mergeCell ref="A1:P1"/>
    <mergeCell ref="A2:AO2"/>
    <mergeCell ref="B4:N4"/>
    <mergeCell ref="AU4:BE4"/>
    <mergeCell ref="A5:X5"/>
    <mergeCell ref="Y5:AI5"/>
    <mergeCell ref="AJ5:AT5"/>
    <mergeCell ref="AU5:BE5"/>
    <mergeCell ref="D6:U6"/>
    <mergeCell ref="Y6:AI6"/>
    <mergeCell ref="AJ6:AT6"/>
    <mergeCell ref="AU6:BE6"/>
    <mergeCell ref="A7:B11"/>
    <mergeCell ref="D7:T7"/>
    <mergeCell ref="Y7:AI7"/>
    <mergeCell ref="AJ7:AT7"/>
    <mergeCell ref="AU7:BE7"/>
    <mergeCell ref="F8:T8"/>
    <mergeCell ref="Y8:AI8"/>
    <mergeCell ref="AJ8:AT8"/>
    <mergeCell ref="AU8:BE8"/>
    <mergeCell ref="D9:T9"/>
    <mergeCell ref="Y9:AI9"/>
    <mergeCell ref="AJ9:AT9"/>
    <mergeCell ref="AU9:BE9"/>
    <mergeCell ref="D10:T10"/>
    <mergeCell ref="Y10:AI10"/>
    <mergeCell ref="AJ10:AT10"/>
    <mergeCell ref="AU10:BE10"/>
    <mergeCell ref="D11:T11"/>
    <mergeCell ref="Y11:AI11"/>
    <mergeCell ref="AJ11:AT11"/>
    <mergeCell ref="AU11:BE11"/>
    <mergeCell ref="A20:X20"/>
    <mergeCell ref="Y20:AI20"/>
    <mergeCell ref="AJ20:AT20"/>
    <mergeCell ref="AU20:BE20"/>
    <mergeCell ref="A21:X21"/>
    <mergeCell ref="Y21:AI21"/>
    <mergeCell ref="AJ21:AT21"/>
    <mergeCell ref="AU21:BE21"/>
    <mergeCell ref="A23:M23"/>
    <mergeCell ref="AR24:BE24"/>
    <mergeCell ref="A25:L25"/>
    <mergeCell ref="M25:U26"/>
    <mergeCell ref="V25:AD26"/>
    <mergeCell ref="AE25:AM26"/>
    <mergeCell ref="AN25:BE25"/>
    <mergeCell ref="A26:L26"/>
    <mergeCell ref="AN26:AV26"/>
    <mergeCell ref="AW26:BE26"/>
    <mergeCell ref="AW27:BD27"/>
    <mergeCell ref="B28:K28"/>
    <mergeCell ref="M28:T28"/>
    <mergeCell ref="V28:AC28"/>
    <mergeCell ref="AE28:AL28"/>
    <mergeCell ref="AN28:AU28"/>
    <mergeCell ref="AW28:BD28"/>
    <mergeCell ref="B27:K27"/>
    <mergeCell ref="M27:T27"/>
    <mergeCell ref="V27:AC27"/>
    <mergeCell ref="AE27:AL27"/>
    <mergeCell ref="AN27:AU27"/>
    <mergeCell ref="AW29:BD29"/>
    <mergeCell ref="B30:K30"/>
    <mergeCell ref="M30:T30"/>
    <mergeCell ref="V30:AC30"/>
    <mergeCell ref="AE30:AL30"/>
    <mergeCell ref="AN30:AU30"/>
    <mergeCell ref="AW30:BD30"/>
    <mergeCell ref="B29:K29"/>
    <mergeCell ref="M29:T29"/>
    <mergeCell ref="V29:AC29"/>
    <mergeCell ref="AE29:AL29"/>
    <mergeCell ref="AN29:AU29"/>
    <mergeCell ref="AW31:BD31"/>
    <mergeCell ref="B32:K32"/>
    <mergeCell ref="M32:T32"/>
    <mergeCell ref="V32:AC32"/>
    <mergeCell ref="AE32:AL32"/>
    <mergeCell ref="AN32:AU32"/>
    <mergeCell ref="AW32:BD32"/>
    <mergeCell ref="B31:K31"/>
    <mergeCell ref="M31:T31"/>
    <mergeCell ref="V31:AC31"/>
    <mergeCell ref="AE31:AL31"/>
    <mergeCell ref="AN31:AU31"/>
  </mergeCells>
  <phoneticPr fontId="155"/>
  <conditionalFormatting sqref="M27 M28 M29 M30 M31 AJ7 AJ8 AJ9 AJ10 AJ11 AJ21">
    <cfRule type="expression" dxfId="6" priority="1">
      <formula>AND(入力色表示=1,NOT(_xlfn.ISFORMULA(M27)))</formula>
    </cfRule>
  </conditionalFormatting>
  <dataValidations count="11">
    <dataValidation allowBlank="1" showInputMessage="1" promptTitle="手入力セル" prompt="反映先：報告_業務P18 M32,AE27&#10;他の帳票：なし" sqref="M27"/>
    <dataValidation allowBlank="1" showInputMessage="1" promptTitle="手入力セル" prompt="反映先：報告_業務P18 M32,AE28&#10;他の帳票：なし" sqref="M28"/>
    <dataValidation allowBlank="1" showInputMessage="1" promptTitle="手入力セル" prompt="反映先：報告_業務P18 M32,AE29&#10;他の帳票：なし" sqref="M29"/>
    <dataValidation allowBlank="1" showInputMessage="1" promptTitle="手入力セル" prompt="反映先：報告_業務P18 M32,AE30&#10;他の帳票：なし" sqref="M30"/>
    <dataValidation allowBlank="1" showInputMessage="1" promptTitle="手入力セル" prompt="反映先：報告_業務P18 M32,AE31&#10;他の帳票：なし" sqref="M31"/>
    <dataValidation allowBlank="1" showInputMessage="1" promptTitle="手入力セル" prompt="反映先：報告_業務P18 AU7&#10;他の帳票：なし" sqref="AJ7"/>
    <dataValidation allowBlank="1" showInputMessage="1" promptTitle="手入力セル" prompt="反映先：報告_業務P18 AJ6,AU8&#10;他の帳票：なし" sqref="AJ8"/>
    <dataValidation allowBlank="1" showInputMessage="1" promptTitle="手入力セル" prompt="反映先：報告_業務P18 AJ6,AU9&#10;他の帳票：なし" sqref="AJ9"/>
    <dataValidation allowBlank="1" showInputMessage="1" promptTitle="手入力セル" prompt="反映先：報告_業務P18 AJ6,AU10&#10;他の帳票：なし" sqref="AJ10"/>
    <dataValidation allowBlank="1" showInputMessage="1" promptTitle="手入力セル" prompt="反映先：報告_業務P18 AJ6,AU11&#10;他の帳票：なし" sqref="AJ11"/>
    <dataValidation allowBlank="1" showInputMessage="1" promptTitle="手入力セル" prompt="反映先：報告_業務P18 AU21&#10;他の帳票：なし" sqref="AJ21"/>
  </dataValidations>
  <printOptions horizontalCentered="1"/>
  <pageMargins left="0.47222222222222199" right="0.31527777777777799" top="0.78749999999999998" bottom="0.59027777777777801" header="0.511811023622047" footer="0.39374999999999999"/>
  <pageSetup paperSize="9" firstPageNumber="18" orientation="portrait" cellComments="atEnd" useFirstPageNumber="1" horizontalDpi="300" verticalDpi="300"/>
  <headerFooter>
    <oddFooter>&amp;C&amp;"ＭＳ 明朝,Regular"&amp;12－ &amp;P －</oddFooter>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5D621-5575-48F7-89F6-C3FDDFD2B84A}">
  <sheetPr codeName="Sheet17"/>
  <dimension ref="A1:IW61"/>
  <sheetViews>
    <sheetView zoomScaleNormal="100" zoomScalePageLayoutView="60" workbookViewId="0">
      <selection sqref="A1:L1"/>
    </sheetView>
  </sheetViews>
  <sheetFormatPr defaultColWidth="1.6640625" defaultRowHeight="13.2"/>
  <cols>
    <col min="1" max="10" width="1.6640625" style="104"/>
    <col min="11" max="11" width="2.109375" style="104" customWidth="1"/>
    <col min="12" max="13" width="1.6640625" style="104"/>
    <col min="14" max="14" width="6.33203125" style="104" customWidth="1"/>
    <col min="15" max="257" width="1.6640625" style="104"/>
  </cols>
  <sheetData>
    <row r="1" spans="1:60" ht="18" customHeight="1">
      <c r="A1" s="1887" t="s">
        <v>601</v>
      </c>
      <c r="B1" s="1887"/>
      <c r="C1" s="1887"/>
      <c r="D1" s="1887"/>
      <c r="E1" s="1887"/>
      <c r="F1" s="1887"/>
      <c r="G1" s="1887"/>
      <c r="H1" s="1887"/>
      <c r="I1" s="1887"/>
      <c r="J1" s="1887"/>
      <c r="K1" s="1887"/>
      <c r="L1" s="1887"/>
    </row>
    <row r="2" spans="1:60" ht="15" customHeight="1">
      <c r="A2" s="81"/>
      <c r="AR2" s="1888" t="s">
        <v>408</v>
      </c>
      <c r="AS2" s="1888"/>
      <c r="AT2" s="1888"/>
      <c r="AU2" s="1888"/>
      <c r="AV2" s="1888"/>
      <c r="AW2" s="1888"/>
      <c r="AX2" s="1888"/>
      <c r="AY2" s="1888"/>
      <c r="AZ2" s="1888"/>
      <c r="BA2" s="1888"/>
      <c r="BB2" s="1888"/>
      <c r="BC2" s="1888"/>
      <c r="BD2" s="1888"/>
      <c r="BE2" s="1888"/>
      <c r="BF2" s="325"/>
      <c r="BG2" s="325"/>
      <c r="BH2" s="325"/>
    </row>
    <row r="3" spans="1:60" ht="19.5" customHeight="1">
      <c r="A3" s="2179" t="s">
        <v>580</v>
      </c>
      <c r="B3" s="2179"/>
      <c r="C3" s="2179"/>
      <c r="D3" s="2179"/>
      <c r="E3" s="2179"/>
      <c r="F3" s="2179"/>
      <c r="G3" s="2179"/>
      <c r="H3" s="2179"/>
      <c r="I3" s="2179"/>
      <c r="J3" s="2179"/>
      <c r="K3" s="2179"/>
      <c r="L3" s="2179"/>
      <c r="M3" s="1845" t="s">
        <v>581</v>
      </c>
      <c r="N3" s="1845"/>
      <c r="O3" s="1845"/>
      <c r="P3" s="1845"/>
      <c r="Q3" s="1845"/>
      <c r="R3" s="1845"/>
      <c r="S3" s="1845"/>
      <c r="T3" s="1845"/>
      <c r="U3" s="1845"/>
      <c r="V3" s="1871" t="s">
        <v>582</v>
      </c>
      <c r="W3" s="1871"/>
      <c r="X3" s="1871"/>
      <c r="Y3" s="1871"/>
      <c r="Z3" s="1871"/>
      <c r="AA3" s="1871"/>
      <c r="AB3" s="1871"/>
      <c r="AC3" s="1871"/>
      <c r="AD3" s="1871"/>
      <c r="AE3" s="1845" t="s">
        <v>356</v>
      </c>
      <c r="AF3" s="1845"/>
      <c r="AG3" s="1845"/>
      <c r="AH3" s="1845"/>
      <c r="AI3" s="1845"/>
      <c r="AJ3" s="1845"/>
      <c r="AK3" s="1845"/>
      <c r="AL3" s="1845"/>
      <c r="AM3" s="1845"/>
      <c r="AN3" s="1845" t="s">
        <v>410</v>
      </c>
      <c r="AO3" s="1845"/>
      <c r="AP3" s="1845"/>
      <c r="AQ3" s="1845"/>
      <c r="AR3" s="1845"/>
      <c r="AS3" s="1845"/>
      <c r="AT3" s="1845"/>
      <c r="AU3" s="1845"/>
      <c r="AV3" s="1845"/>
      <c r="AW3" s="1845"/>
      <c r="AX3" s="1845"/>
      <c r="AY3" s="1845"/>
      <c r="AZ3" s="1845"/>
      <c r="BA3" s="1845"/>
      <c r="BB3" s="1845"/>
      <c r="BC3" s="1845"/>
      <c r="BD3" s="1845"/>
      <c r="BE3" s="1845"/>
    </row>
    <row r="4" spans="1:60" ht="21.9" customHeight="1">
      <c r="A4" s="2180" t="s">
        <v>583</v>
      </c>
      <c r="B4" s="2180"/>
      <c r="C4" s="2180"/>
      <c r="D4" s="2180"/>
      <c r="E4" s="2180"/>
      <c r="F4" s="2180"/>
      <c r="G4" s="2180"/>
      <c r="H4" s="2180"/>
      <c r="I4" s="2180"/>
      <c r="J4" s="2180"/>
      <c r="K4" s="2180"/>
      <c r="L4" s="2180"/>
      <c r="M4" s="1845"/>
      <c r="N4" s="1845"/>
      <c r="O4" s="1845"/>
      <c r="P4" s="1845"/>
      <c r="Q4" s="1845"/>
      <c r="R4" s="1845"/>
      <c r="S4" s="1845"/>
      <c r="T4" s="1845"/>
      <c r="U4" s="1845"/>
      <c r="V4" s="1871"/>
      <c r="W4" s="1871"/>
      <c r="X4" s="1871"/>
      <c r="Y4" s="1871"/>
      <c r="Z4" s="1871"/>
      <c r="AA4" s="1871"/>
      <c r="AB4" s="1871"/>
      <c r="AC4" s="1871"/>
      <c r="AD4" s="1871"/>
      <c r="AE4" s="1845"/>
      <c r="AF4" s="1845"/>
      <c r="AG4" s="1845"/>
      <c r="AH4" s="1845"/>
      <c r="AI4" s="1845"/>
      <c r="AJ4" s="1845"/>
      <c r="AK4" s="1845"/>
      <c r="AL4" s="1845"/>
      <c r="AM4" s="1845"/>
      <c r="AN4" s="1845" t="s">
        <v>378</v>
      </c>
      <c r="AO4" s="1845"/>
      <c r="AP4" s="1845"/>
      <c r="AQ4" s="1845"/>
      <c r="AR4" s="1845"/>
      <c r="AS4" s="1845"/>
      <c r="AT4" s="1845"/>
      <c r="AU4" s="1845"/>
      <c r="AV4" s="1845"/>
      <c r="AW4" s="2162" t="s">
        <v>356</v>
      </c>
      <c r="AX4" s="2162"/>
      <c r="AY4" s="2162"/>
      <c r="AZ4" s="2162"/>
      <c r="BA4" s="2162"/>
      <c r="BB4" s="2162"/>
      <c r="BC4" s="2162"/>
      <c r="BD4" s="2162"/>
      <c r="BE4" s="2162"/>
    </row>
    <row r="5" spans="1:60" ht="21.9" customHeight="1">
      <c r="A5" s="338"/>
      <c r="B5" s="1864" t="s">
        <v>127</v>
      </c>
      <c r="C5" s="1864"/>
      <c r="D5" s="1864"/>
      <c r="E5" s="1864"/>
      <c r="F5" s="1864"/>
      <c r="G5" s="1864"/>
      <c r="H5" s="1864"/>
      <c r="I5" s="1864"/>
      <c r="J5" s="1864"/>
      <c r="K5" s="1864"/>
      <c r="L5" s="322"/>
      <c r="M5" s="2156">
        <v>33000</v>
      </c>
      <c r="N5" s="2157"/>
      <c r="O5" s="2157"/>
      <c r="P5" s="2157"/>
      <c r="Q5" s="2157"/>
      <c r="R5" s="2157"/>
      <c r="S5" s="2157"/>
      <c r="T5" s="2157"/>
      <c r="U5" s="457"/>
      <c r="V5" s="1916">
        <f>業務_財務諸表!B38</f>
        <v>33000</v>
      </c>
      <c r="W5" s="1916"/>
      <c r="X5" s="1916"/>
      <c r="Y5" s="1916"/>
      <c r="Z5" s="1916"/>
      <c r="AA5" s="1916"/>
      <c r="AB5" s="1916"/>
      <c r="AC5" s="1916"/>
      <c r="AD5" s="356"/>
      <c r="AE5" s="2161">
        <f t="shared" ref="AE5:AE26" si="0">V5-M5</f>
        <v>0</v>
      </c>
      <c r="AF5" s="2161"/>
      <c r="AG5" s="2161"/>
      <c r="AH5" s="2161"/>
      <c r="AI5" s="2161"/>
      <c r="AJ5" s="2161"/>
      <c r="AK5" s="2161"/>
      <c r="AL5" s="2161"/>
      <c r="AM5" s="448"/>
      <c r="AN5" s="1916">
        <f>前年度貼付!$E$227</f>
        <v>33000</v>
      </c>
      <c r="AO5" s="1916"/>
      <c r="AP5" s="1916"/>
      <c r="AQ5" s="1916"/>
      <c r="AR5" s="1916"/>
      <c r="AS5" s="1916"/>
      <c r="AT5" s="1916"/>
      <c r="AU5" s="1916"/>
      <c r="AV5" s="448"/>
      <c r="AW5" s="2160">
        <f t="shared" ref="AW5:AW26" si="1">V5-AN5</f>
        <v>0</v>
      </c>
      <c r="AX5" s="2160"/>
      <c r="AY5" s="2160"/>
      <c r="AZ5" s="2160"/>
      <c r="BA5" s="2160"/>
      <c r="BB5" s="2160"/>
      <c r="BC5" s="2160"/>
      <c r="BD5" s="2160"/>
      <c r="BE5" s="113"/>
    </row>
    <row r="6" spans="1:60" ht="21.9" customHeight="1">
      <c r="A6" s="331"/>
      <c r="B6" s="1866" t="s">
        <v>128</v>
      </c>
      <c r="C6" s="1866"/>
      <c r="D6" s="1866"/>
      <c r="E6" s="1866"/>
      <c r="F6" s="1866"/>
      <c r="G6" s="1866"/>
      <c r="H6" s="1866"/>
      <c r="I6" s="1866"/>
      <c r="J6" s="1866"/>
      <c r="K6" s="1866"/>
      <c r="L6" s="329"/>
      <c r="M6" s="1892">
        <v>11428000</v>
      </c>
      <c r="N6" s="1884"/>
      <c r="O6" s="1884"/>
      <c r="P6" s="1884"/>
      <c r="Q6" s="1884"/>
      <c r="R6" s="1884"/>
      <c r="S6" s="1884"/>
      <c r="T6" s="1884"/>
      <c r="U6" s="458"/>
      <c r="V6" s="2158">
        <f>業務_財務諸表!B39</f>
        <v>10141337</v>
      </c>
      <c r="W6" s="2158"/>
      <c r="X6" s="2158"/>
      <c r="Y6" s="2158"/>
      <c r="Z6" s="2158"/>
      <c r="AA6" s="2158"/>
      <c r="AB6" s="2158"/>
      <c r="AC6" s="2158"/>
      <c r="AD6" s="452"/>
      <c r="AE6" s="1912">
        <f t="shared" si="0"/>
        <v>-1286663</v>
      </c>
      <c r="AF6" s="1912"/>
      <c r="AG6" s="1912"/>
      <c r="AH6" s="1912"/>
      <c r="AI6" s="1912"/>
      <c r="AJ6" s="1912"/>
      <c r="AK6" s="1912"/>
      <c r="AL6" s="1912"/>
      <c r="AM6" s="453"/>
      <c r="AN6" s="2158">
        <f>前年度貼付!$E$228</f>
        <v>9574938</v>
      </c>
      <c r="AO6" s="2158"/>
      <c r="AP6" s="2158"/>
      <c r="AQ6" s="2158"/>
      <c r="AR6" s="2158"/>
      <c r="AS6" s="2158"/>
      <c r="AT6" s="2158"/>
      <c r="AU6" s="2158"/>
      <c r="AV6" s="453"/>
      <c r="AW6" s="2154">
        <f t="shared" si="1"/>
        <v>566399</v>
      </c>
      <c r="AX6" s="2154"/>
      <c r="AY6" s="2154"/>
      <c r="AZ6" s="2154"/>
      <c r="BA6" s="2154"/>
      <c r="BB6" s="2154"/>
      <c r="BC6" s="2154"/>
      <c r="BD6" s="2154"/>
      <c r="BE6" s="109"/>
    </row>
    <row r="7" spans="1:60" ht="21.9" customHeight="1">
      <c r="A7" s="338"/>
      <c r="B7" s="1864" t="s">
        <v>129</v>
      </c>
      <c r="C7" s="1864"/>
      <c r="D7" s="1864"/>
      <c r="E7" s="1864"/>
      <c r="F7" s="1864"/>
      <c r="G7" s="1864"/>
      <c r="H7" s="1864"/>
      <c r="I7" s="1864"/>
      <c r="J7" s="1864"/>
      <c r="K7" s="1864"/>
      <c r="L7" s="322"/>
      <c r="M7" s="1892">
        <v>65000</v>
      </c>
      <c r="N7" s="1884"/>
      <c r="O7" s="1884"/>
      <c r="P7" s="1884"/>
      <c r="Q7" s="1884"/>
      <c r="R7" s="1884"/>
      <c r="S7" s="1884"/>
      <c r="T7" s="1884"/>
      <c r="U7" s="457"/>
      <c r="V7" s="1916">
        <f>業務_財務諸表!B40</f>
        <v>9702</v>
      </c>
      <c r="W7" s="1916"/>
      <c r="X7" s="1916"/>
      <c r="Y7" s="1916"/>
      <c r="Z7" s="1916"/>
      <c r="AA7" s="1916"/>
      <c r="AB7" s="1916"/>
      <c r="AC7" s="1916"/>
      <c r="AD7" s="356"/>
      <c r="AE7" s="1912">
        <f t="shared" si="0"/>
        <v>-55298</v>
      </c>
      <c r="AF7" s="1912"/>
      <c r="AG7" s="1912"/>
      <c r="AH7" s="1912"/>
      <c r="AI7" s="1912"/>
      <c r="AJ7" s="1912"/>
      <c r="AK7" s="1912"/>
      <c r="AL7" s="1912"/>
      <c r="AM7" s="453"/>
      <c r="AN7" s="1916">
        <f>前年度貼付!$E$229</f>
        <v>8305</v>
      </c>
      <c r="AO7" s="1916"/>
      <c r="AP7" s="1916"/>
      <c r="AQ7" s="1916"/>
      <c r="AR7" s="1916"/>
      <c r="AS7" s="1916"/>
      <c r="AT7" s="1916"/>
      <c r="AU7" s="1916"/>
      <c r="AV7" s="453"/>
      <c r="AW7" s="2154">
        <f t="shared" si="1"/>
        <v>1397</v>
      </c>
      <c r="AX7" s="2154"/>
      <c r="AY7" s="2154"/>
      <c r="AZ7" s="2154"/>
      <c r="BA7" s="2154"/>
      <c r="BB7" s="2154"/>
      <c r="BC7" s="2154"/>
      <c r="BD7" s="2154"/>
      <c r="BE7" s="113"/>
    </row>
    <row r="8" spans="1:60" ht="24.9" customHeight="1">
      <c r="A8" s="331"/>
      <c r="B8" s="1866" t="s">
        <v>130</v>
      </c>
      <c r="C8" s="1866"/>
      <c r="D8" s="1866"/>
      <c r="E8" s="1866"/>
      <c r="F8" s="1866"/>
      <c r="G8" s="1866"/>
      <c r="H8" s="1866"/>
      <c r="I8" s="1866"/>
      <c r="J8" s="1866"/>
      <c r="K8" s="1866"/>
      <c r="L8" s="329"/>
      <c r="M8" s="1892">
        <v>1675000</v>
      </c>
      <c r="N8" s="1884"/>
      <c r="O8" s="1884"/>
      <c r="P8" s="1884"/>
      <c r="Q8" s="1884"/>
      <c r="R8" s="1884"/>
      <c r="S8" s="1884"/>
      <c r="T8" s="1884"/>
      <c r="U8" s="458"/>
      <c r="V8" s="2158">
        <f>業務_財務諸表!B41</f>
        <v>343112</v>
      </c>
      <c r="W8" s="2158"/>
      <c r="X8" s="2158"/>
      <c r="Y8" s="2158"/>
      <c r="Z8" s="2158"/>
      <c r="AA8" s="2158"/>
      <c r="AB8" s="2158"/>
      <c r="AC8" s="2158"/>
      <c r="AD8" s="452"/>
      <c r="AE8" s="1912">
        <f t="shared" si="0"/>
        <v>-1331888</v>
      </c>
      <c r="AF8" s="1912"/>
      <c r="AG8" s="1912"/>
      <c r="AH8" s="1912"/>
      <c r="AI8" s="1912"/>
      <c r="AJ8" s="1912"/>
      <c r="AK8" s="1912"/>
      <c r="AL8" s="1912"/>
      <c r="AM8" s="453"/>
      <c r="AN8" s="2158">
        <f>前年度貼付!$E$230</f>
        <v>560200</v>
      </c>
      <c r="AO8" s="2158"/>
      <c r="AP8" s="2158"/>
      <c r="AQ8" s="2158"/>
      <c r="AR8" s="2158"/>
      <c r="AS8" s="2158"/>
      <c r="AT8" s="2158"/>
      <c r="AU8" s="2158"/>
      <c r="AV8" s="453"/>
      <c r="AW8" s="2154">
        <f t="shared" si="1"/>
        <v>-217088</v>
      </c>
      <c r="AX8" s="2154"/>
      <c r="AY8" s="2154"/>
      <c r="AZ8" s="2154"/>
      <c r="BA8" s="2154"/>
      <c r="BB8" s="2154"/>
      <c r="BC8" s="2154"/>
      <c r="BD8" s="2154"/>
      <c r="BE8" s="109"/>
    </row>
    <row r="9" spans="1:60" ht="24.9" customHeight="1">
      <c r="A9" s="338"/>
      <c r="B9" s="1864" t="s">
        <v>131</v>
      </c>
      <c r="C9" s="1864"/>
      <c r="D9" s="1864"/>
      <c r="E9" s="1864"/>
      <c r="F9" s="1864"/>
      <c r="G9" s="1864"/>
      <c r="H9" s="1864"/>
      <c r="I9" s="1864"/>
      <c r="J9" s="1864"/>
      <c r="K9" s="1864"/>
      <c r="L9" s="322"/>
      <c r="M9" s="1892">
        <v>17717000</v>
      </c>
      <c r="N9" s="1884"/>
      <c r="O9" s="1884"/>
      <c r="P9" s="1884"/>
      <c r="Q9" s="1884"/>
      <c r="R9" s="1884"/>
      <c r="S9" s="1884"/>
      <c r="T9" s="1884"/>
      <c r="U9" s="457"/>
      <c r="V9" s="1916">
        <f>業務_財務諸表!B42</f>
        <v>13993113</v>
      </c>
      <c r="W9" s="1916"/>
      <c r="X9" s="1916"/>
      <c r="Y9" s="1916"/>
      <c r="Z9" s="1916"/>
      <c r="AA9" s="1916"/>
      <c r="AB9" s="1916"/>
      <c r="AC9" s="1916"/>
      <c r="AD9" s="356"/>
      <c r="AE9" s="1914">
        <f t="shared" si="0"/>
        <v>-3723887</v>
      </c>
      <c r="AF9" s="1914"/>
      <c r="AG9" s="1914"/>
      <c r="AH9" s="1914"/>
      <c r="AI9" s="1914"/>
      <c r="AJ9" s="1914"/>
      <c r="AK9" s="1914"/>
      <c r="AL9" s="1914"/>
      <c r="AM9" s="454"/>
      <c r="AN9" s="1916">
        <f>前年度貼付!$E$231</f>
        <v>11253363</v>
      </c>
      <c r="AO9" s="1916"/>
      <c r="AP9" s="1916"/>
      <c r="AQ9" s="1916"/>
      <c r="AR9" s="1916"/>
      <c r="AS9" s="1916"/>
      <c r="AT9" s="1916"/>
      <c r="AU9" s="1916"/>
      <c r="AV9" s="454"/>
      <c r="AW9" s="2159">
        <f t="shared" si="1"/>
        <v>2739750</v>
      </c>
      <c r="AX9" s="2159"/>
      <c r="AY9" s="2159"/>
      <c r="AZ9" s="2159"/>
      <c r="BA9" s="2159"/>
      <c r="BB9" s="2159"/>
      <c r="BC9" s="2159"/>
      <c r="BD9" s="2159"/>
      <c r="BE9" s="113"/>
    </row>
    <row r="10" spans="1:60" ht="24.9" customHeight="1">
      <c r="A10" s="331"/>
      <c r="B10" s="1866" t="s">
        <v>132</v>
      </c>
      <c r="C10" s="1866"/>
      <c r="D10" s="1866"/>
      <c r="E10" s="1866"/>
      <c r="F10" s="1866"/>
      <c r="G10" s="1866"/>
      <c r="H10" s="1866"/>
      <c r="I10" s="1866"/>
      <c r="J10" s="1866"/>
      <c r="K10" s="1866"/>
      <c r="L10" s="329"/>
      <c r="M10" s="1892">
        <v>5351000</v>
      </c>
      <c r="N10" s="1884"/>
      <c r="O10" s="1884"/>
      <c r="P10" s="1884"/>
      <c r="Q10" s="1884"/>
      <c r="R10" s="1884"/>
      <c r="S10" s="1884"/>
      <c r="T10" s="1884"/>
      <c r="U10" s="458"/>
      <c r="V10" s="2158">
        <f>業務_財務諸表!B43</f>
        <v>4598066</v>
      </c>
      <c r="W10" s="2158"/>
      <c r="X10" s="2158"/>
      <c r="Y10" s="2158"/>
      <c r="Z10" s="2158"/>
      <c r="AA10" s="2158"/>
      <c r="AB10" s="2158"/>
      <c r="AC10" s="2158"/>
      <c r="AD10" s="452"/>
      <c r="AE10" s="1912">
        <f t="shared" si="0"/>
        <v>-752934</v>
      </c>
      <c r="AF10" s="1912"/>
      <c r="AG10" s="1912"/>
      <c r="AH10" s="1912"/>
      <c r="AI10" s="1912"/>
      <c r="AJ10" s="1912"/>
      <c r="AK10" s="1912"/>
      <c r="AL10" s="1912"/>
      <c r="AM10" s="453"/>
      <c r="AN10" s="2158">
        <f>前年度貼付!$E$232</f>
        <v>4198740</v>
      </c>
      <c r="AO10" s="2158"/>
      <c r="AP10" s="2158"/>
      <c r="AQ10" s="2158"/>
      <c r="AR10" s="2158"/>
      <c r="AS10" s="2158"/>
      <c r="AT10" s="2158"/>
      <c r="AU10" s="2158"/>
      <c r="AV10" s="453"/>
      <c r="AW10" s="2159">
        <f t="shared" si="1"/>
        <v>399326</v>
      </c>
      <c r="AX10" s="2159"/>
      <c r="AY10" s="2159"/>
      <c r="AZ10" s="2159"/>
      <c r="BA10" s="2159"/>
      <c r="BB10" s="2159"/>
      <c r="BC10" s="2159"/>
      <c r="BD10" s="2159"/>
      <c r="BE10" s="109"/>
    </row>
    <row r="11" spans="1:60" ht="24.9" customHeight="1">
      <c r="A11" s="331"/>
      <c r="B11" s="1866" t="s">
        <v>133</v>
      </c>
      <c r="C11" s="1866"/>
      <c r="D11" s="1866"/>
      <c r="E11" s="1866"/>
      <c r="F11" s="1866"/>
      <c r="G11" s="1866"/>
      <c r="H11" s="1866"/>
      <c r="I11" s="1866"/>
      <c r="J11" s="1866"/>
      <c r="K11" s="1866"/>
      <c r="L11" s="329"/>
      <c r="M11" s="1892">
        <v>11829000</v>
      </c>
      <c r="N11" s="1884"/>
      <c r="O11" s="1884"/>
      <c r="P11" s="1884"/>
      <c r="Q11" s="1884"/>
      <c r="R11" s="1884"/>
      <c r="S11" s="1884"/>
      <c r="T11" s="1884"/>
      <c r="U11" s="458"/>
      <c r="V11" s="2158">
        <f>業務_財務諸表!B44</f>
        <v>10084438</v>
      </c>
      <c r="W11" s="2158"/>
      <c r="X11" s="2158"/>
      <c r="Y11" s="2158"/>
      <c r="Z11" s="2158"/>
      <c r="AA11" s="2158"/>
      <c r="AB11" s="2158"/>
      <c r="AC11" s="2158"/>
      <c r="AD11" s="452"/>
      <c r="AE11" s="1912">
        <f t="shared" si="0"/>
        <v>-1744562</v>
      </c>
      <c r="AF11" s="1912"/>
      <c r="AG11" s="1912"/>
      <c r="AH11" s="1912"/>
      <c r="AI11" s="1912"/>
      <c r="AJ11" s="1912"/>
      <c r="AK11" s="1912"/>
      <c r="AL11" s="1912"/>
      <c r="AM11" s="453"/>
      <c r="AN11" s="2158">
        <f>前年度貼付!$E$233</f>
        <v>17036296</v>
      </c>
      <c r="AO11" s="2158"/>
      <c r="AP11" s="2158"/>
      <c r="AQ11" s="2158"/>
      <c r="AR11" s="2158"/>
      <c r="AS11" s="2158"/>
      <c r="AT11" s="2158"/>
      <c r="AU11" s="2158"/>
      <c r="AV11" s="453"/>
      <c r="AW11" s="2154">
        <f t="shared" si="1"/>
        <v>-6951858</v>
      </c>
      <c r="AX11" s="2154"/>
      <c r="AY11" s="2154"/>
      <c r="AZ11" s="2154"/>
      <c r="BA11" s="2154"/>
      <c r="BB11" s="2154"/>
      <c r="BC11" s="2154"/>
      <c r="BD11" s="2154"/>
      <c r="BE11" s="109"/>
    </row>
    <row r="12" spans="1:60" ht="24.9" hidden="1" customHeight="1">
      <c r="A12" s="331"/>
      <c r="B12" s="1866" t="s">
        <v>134</v>
      </c>
      <c r="C12" s="1866"/>
      <c r="D12" s="1866"/>
      <c r="E12" s="1866"/>
      <c r="F12" s="1866"/>
      <c r="G12" s="1866"/>
      <c r="H12" s="1866"/>
      <c r="I12" s="1866"/>
      <c r="J12" s="1866"/>
      <c r="K12" s="1866"/>
      <c r="L12" s="329"/>
      <c r="M12" s="1892">
        <v>0</v>
      </c>
      <c r="N12" s="1884"/>
      <c r="O12" s="1884"/>
      <c r="P12" s="1884"/>
      <c r="Q12" s="1884"/>
      <c r="R12" s="1884"/>
      <c r="S12" s="1884"/>
      <c r="T12" s="1884"/>
      <c r="U12" s="458"/>
      <c r="V12" s="2178">
        <v>0</v>
      </c>
      <c r="W12" s="2158"/>
      <c r="X12" s="2158"/>
      <c r="Y12" s="2158"/>
      <c r="Z12" s="2158"/>
      <c r="AA12" s="2158"/>
      <c r="AB12" s="2158"/>
      <c r="AC12" s="2158"/>
      <c r="AD12" s="452"/>
      <c r="AE12" s="1912">
        <f t="shared" si="0"/>
        <v>0</v>
      </c>
      <c r="AF12" s="1912"/>
      <c r="AG12" s="1912"/>
      <c r="AH12" s="1912"/>
      <c r="AI12" s="1912"/>
      <c r="AJ12" s="1912"/>
      <c r="AK12" s="1912"/>
      <c r="AL12" s="1912"/>
      <c r="AM12" s="453"/>
      <c r="AN12" s="2158">
        <f>前年度貼付!$E$234</f>
        <v>0</v>
      </c>
      <c r="AO12" s="2158"/>
      <c r="AP12" s="2158"/>
      <c r="AQ12" s="2158"/>
      <c r="AR12" s="2158"/>
      <c r="AS12" s="2158"/>
      <c r="AT12" s="2158"/>
      <c r="AU12" s="2158"/>
      <c r="AV12" s="453"/>
      <c r="AW12" s="2154">
        <f t="shared" si="1"/>
        <v>0</v>
      </c>
      <c r="AX12" s="2154"/>
      <c r="AY12" s="2154"/>
      <c r="AZ12" s="2154"/>
      <c r="BA12" s="2154"/>
      <c r="BB12" s="2154"/>
      <c r="BC12" s="2154"/>
      <c r="BD12" s="2154"/>
      <c r="BE12" s="109"/>
    </row>
    <row r="13" spans="1:60" ht="24.9" customHeight="1">
      <c r="A13" s="331"/>
      <c r="B13" s="1866" t="s">
        <v>135</v>
      </c>
      <c r="C13" s="1866"/>
      <c r="D13" s="1866"/>
      <c r="E13" s="1866"/>
      <c r="F13" s="1866"/>
      <c r="G13" s="1866"/>
      <c r="H13" s="1866"/>
      <c r="I13" s="1866"/>
      <c r="J13" s="1866"/>
      <c r="K13" s="1866"/>
      <c r="L13" s="329"/>
      <c r="M13" s="1892">
        <v>122000</v>
      </c>
      <c r="N13" s="1884"/>
      <c r="O13" s="1884"/>
      <c r="P13" s="1884"/>
      <c r="Q13" s="1884"/>
      <c r="R13" s="1884"/>
      <c r="S13" s="1884"/>
      <c r="T13" s="1884"/>
      <c r="U13" s="458"/>
      <c r="V13" s="2158">
        <f>業務_財務諸表!B45</f>
        <v>103921</v>
      </c>
      <c r="W13" s="2158"/>
      <c r="X13" s="2158"/>
      <c r="Y13" s="2158"/>
      <c r="Z13" s="2158"/>
      <c r="AA13" s="2158"/>
      <c r="AB13" s="2158"/>
      <c r="AC13" s="2158"/>
      <c r="AD13" s="452"/>
      <c r="AE13" s="1912">
        <f t="shared" si="0"/>
        <v>-18079</v>
      </c>
      <c r="AF13" s="1912"/>
      <c r="AG13" s="1912"/>
      <c r="AH13" s="1912"/>
      <c r="AI13" s="1912"/>
      <c r="AJ13" s="1912"/>
      <c r="AK13" s="1912"/>
      <c r="AL13" s="1912"/>
      <c r="AM13" s="453"/>
      <c r="AN13" s="2158">
        <f>前年度貼付!$E$235</f>
        <v>123594</v>
      </c>
      <c r="AO13" s="2158"/>
      <c r="AP13" s="2158"/>
      <c r="AQ13" s="2158"/>
      <c r="AR13" s="2158"/>
      <c r="AS13" s="2158"/>
      <c r="AT13" s="2158"/>
      <c r="AU13" s="2158"/>
      <c r="AV13" s="453"/>
      <c r="AW13" s="2154">
        <f t="shared" si="1"/>
        <v>-19673</v>
      </c>
      <c r="AX13" s="2154"/>
      <c r="AY13" s="2154"/>
      <c r="AZ13" s="2154"/>
      <c r="BA13" s="2154"/>
      <c r="BB13" s="2154"/>
      <c r="BC13" s="2154"/>
      <c r="BD13" s="2154"/>
      <c r="BE13" s="109"/>
    </row>
    <row r="14" spans="1:60" ht="24.9" customHeight="1">
      <c r="A14" s="331"/>
      <c r="B14" s="1866" t="s">
        <v>136</v>
      </c>
      <c r="C14" s="1866"/>
      <c r="D14" s="1866"/>
      <c r="E14" s="1866"/>
      <c r="F14" s="1866"/>
      <c r="G14" s="1866"/>
      <c r="H14" s="1866"/>
      <c r="I14" s="1866"/>
      <c r="J14" s="1866"/>
      <c r="K14" s="1866"/>
      <c r="L14" s="329"/>
      <c r="M14" s="1892">
        <v>0</v>
      </c>
      <c r="N14" s="1884"/>
      <c r="O14" s="1884"/>
      <c r="P14" s="1884"/>
      <c r="Q14" s="1884"/>
      <c r="R14" s="1884"/>
      <c r="S14" s="1884"/>
      <c r="T14" s="1884"/>
      <c r="U14" s="458"/>
      <c r="V14" s="2158">
        <f>業務_財務諸表!B46</f>
        <v>0</v>
      </c>
      <c r="W14" s="2158"/>
      <c r="X14" s="2158"/>
      <c r="Y14" s="2158"/>
      <c r="Z14" s="2158"/>
      <c r="AA14" s="2158"/>
      <c r="AB14" s="2158"/>
      <c r="AC14" s="2158"/>
      <c r="AD14" s="452"/>
      <c r="AE14" s="1912">
        <f t="shared" si="0"/>
        <v>0</v>
      </c>
      <c r="AF14" s="1912"/>
      <c r="AG14" s="1912"/>
      <c r="AH14" s="1912"/>
      <c r="AI14" s="1912"/>
      <c r="AJ14" s="1912"/>
      <c r="AK14" s="1912"/>
      <c r="AL14" s="1912"/>
      <c r="AM14" s="453"/>
      <c r="AN14" s="2158">
        <f>前年度貼付!$E$236</f>
        <v>0</v>
      </c>
      <c r="AO14" s="2158"/>
      <c r="AP14" s="2158"/>
      <c r="AQ14" s="2158"/>
      <c r="AR14" s="2158"/>
      <c r="AS14" s="2158"/>
      <c r="AT14" s="2158"/>
      <c r="AU14" s="2158"/>
      <c r="AV14" s="453"/>
      <c r="AW14" s="2154">
        <f t="shared" si="1"/>
        <v>0</v>
      </c>
      <c r="AX14" s="2154"/>
      <c r="AY14" s="2154"/>
      <c r="AZ14" s="2154"/>
      <c r="BA14" s="2154"/>
      <c r="BB14" s="2154"/>
      <c r="BC14" s="2154"/>
      <c r="BD14" s="2154"/>
      <c r="BE14" s="109"/>
    </row>
    <row r="15" spans="1:60" ht="24.9" customHeight="1">
      <c r="A15" s="338"/>
      <c r="B15" s="1864" t="s">
        <v>137</v>
      </c>
      <c r="C15" s="1864"/>
      <c r="D15" s="1864"/>
      <c r="E15" s="1864"/>
      <c r="F15" s="1864"/>
      <c r="G15" s="1864"/>
      <c r="H15" s="1864"/>
      <c r="I15" s="1864"/>
      <c r="J15" s="1864"/>
      <c r="K15" s="1864"/>
      <c r="L15" s="322"/>
      <c r="M15" s="1892">
        <v>9589000</v>
      </c>
      <c r="N15" s="1884"/>
      <c r="O15" s="1884"/>
      <c r="P15" s="1884"/>
      <c r="Q15" s="1884"/>
      <c r="R15" s="1884"/>
      <c r="S15" s="1884"/>
      <c r="T15" s="1884"/>
      <c r="U15" s="457"/>
      <c r="V15" s="1916">
        <f>業務_財務諸表!B47</f>
        <v>9430768</v>
      </c>
      <c r="W15" s="1916"/>
      <c r="X15" s="1916"/>
      <c r="Y15" s="1916"/>
      <c r="Z15" s="1916"/>
      <c r="AA15" s="1916"/>
      <c r="AB15" s="1916"/>
      <c r="AC15" s="1916"/>
      <c r="AD15" s="356"/>
      <c r="AE15" s="1914">
        <f t="shared" si="0"/>
        <v>-158232</v>
      </c>
      <c r="AF15" s="1914"/>
      <c r="AG15" s="1914"/>
      <c r="AH15" s="1914"/>
      <c r="AI15" s="1914"/>
      <c r="AJ15" s="1914"/>
      <c r="AK15" s="1914"/>
      <c r="AL15" s="1914"/>
      <c r="AM15" s="454"/>
      <c r="AN15" s="1916">
        <f>前年度貼付!$E$237</f>
        <v>7576231</v>
      </c>
      <c r="AO15" s="1916"/>
      <c r="AP15" s="1916"/>
      <c r="AQ15" s="1916"/>
      <c r="AR15" s="1916"/>
      <c r="AS15" s="1916"/>
      <c r="AT15" s="1916"/>
      <c r="AU15" s="1916"/>
      <c r="AV15" s="454"/>
      <c r="AW15" s="2159">
        <f t="shared" si="1"/>
        <v>1854537</v>
      </c>
      <c r="AX15" s="2159"/>
      <c r="AY15" s="2159"/>
      <c r="AZ15" s="2159"/>
      <c r="BA15" s="2159"/>
      <c r="BB15" s="2159"/>
      <c r="BC15" s="2159"/>
      <c r="BD15" s="2159"/>
      <c r="BE15" s="113"/>
    </row>
    <row r="16" spans="1:60" ht="24.9" customHeight="1">
      <c r="A16" s="331"/>
      <c r="B16" s="1866" t="s">
        <v>138</v>
      </c>
      <c r="C16" s="1866"/>
      <c r="D16" s="1866"/>
      <c r="E16" s="1866"/>
      <c r="F16" s="1866"/>
      <c r="G16" s="1866"/>
      <c r="H16" s="1866"/>
      <c r="I16" s="1866"/>
      <c r="J16" s="1866"/>
      <c r="K16" s="1866"/>
      <c r="L16" s="329"/>
      <c r="M16" s="1892">
        <v>2772000</v>
      </c>
      <c r="N16" s="1884"/>
      <c r="O16" s="1884"/>
      <c r="P16" s="1884"/>
      <c r="Q16" s="1884"/>
      <c r="R16" s="1884"/>
      <c r="S16" s="1884"/>
      <c r="T16" s="1884"/>
      <c r="U16" s="458"/>
      <c r="V16" s="2158">
        <f>業務_財務諸表!B48</f>
        <v>1884714</v>
      </c>
      <c r="W16" s="2158"/>
      <c r="X16" s="2158"/>
      <c r="Y16" s="2158"/>
      <c r="Z16" s="2158"/>
      <c r="AA16" s="2158"/>
      <c r="AB16" s="2158"/>
      <c r="AC16" s="2158"/>
      <c r="AD16" s="452"/>
      <c r="AE16" s="1912">
        <f t="shared" si="0"/>
        <v>-887286</v>
      </c>
      <c r="AF16" s="1912"/>
      <c r="AG16" s="1912"/>
      <c r="AH16" s="1912"/>
      <c r="AI16" s="1912"/>
      <c r="AJ16" s="1912"/>
      <c r="AK16" s="1912"/>
      <c r="AL16" s="1912"/>
      <c r="AM16" s="453"/>
      <c r="AN16" s="2158">
        <f>前年度貼付!$E$238</f>
        <v>2063463</v>
      </c>
      <c r="AO16" s="2158"/>
      <c r="AP16" s="2158"/>
      <c r="AQ16" s="2158"/>
      <c r="AR16" s="2158"/>
      <c r="AS16" s="2158"/>
      <c r="AT16" s="2158"/>
      <c r="AU16" s="2158"/>
      <c r="AV16" s="453"/>
      <c r="AW16" s="2154">
        <f t="shared" si="1"/>
        <v>-178749</v>
      </c>
      <c r="AX16" s="2154"/>
      <c r="AY16" s="2154"/>
      <c r="AZ16" s="2154"/>
      <c r="BA16" s="2154"/>
      <c r="BB16" s="2154"/>
      <c r="BC16" s="2154"/>
      <c r="BD16" s="2154"/>
      <c r="BE16" s="109"/>
    </row>
    <row r="17" spans="1:60" ht="24.9" customHeight="1">
      <c r="A17" s="331"/>
      <c r="B17" s="1866" t="s">
        <v>139</v>
      </c>
      <c r="C17" s="1866"/>
      <c r="D17" s="1866"/>
      <c r="E17" s="1866"/>
      <c r="F17" s="1866"/>
      <c r="G17" s="1866"/>
      <c r="H17" s="1866"/>
      <c r="I17" s="1866"/>
      <c r="J17" s="1866"/>
      <c r="K17" s="1866"/>
      <c r="L17" s="329"/>
      <c r="M17" s="1892">
        <v>0</v>
      </c>
      <c r="N17" s="1884"/>
      <c r="O17" s="1884"/>
      <c r="P17" s="1884"/>
      <c r="Q17" s="1884"/>
      <c r="R17" s="1884"/>
      <c r="S17" s="1884"/>
      <c r="T17" s="1884"/>
      <c r="U17" s="458"/>
      <c r="V17" s="2178">
        <v>0</v>
      </c>
      <c r="W17" s="2158"/>
      <c r="X17" s="2158"/>
      <c r="Y17" s="2158"/>
      <c r="Z17" s="2158"/>
      <c r="AA17" s="2158"/>
      <c r="AB17" s="2158"/>
      <c r="AC17" s="2158"/>
      <c r="AD17" s="452"/>
      <c r="AE17" s="1912">
        <f t="shared" si="0"/>
        <v>0</v>
      </c>
      <c r="AF17" s="1912"/>
      <c r="AG17" s="1912"/>
      <c r="AH17" s="1912"/>
      <c r="AI17" s="1912"/>
      <c r="AJ17" s="1912"/>
      <c r="AK17" s="1912"/>
      <c r="AL17" s="1912"/>
      <c r="AM17" s="453"/>
      <c r="AN17" s="2158">
        <f>前年度貼付!$E$239</f>
        <v>0</v>
      </c>
      <c r="AO17" s="2158"/>
      <c r="AP17" s="2158"/>
      <c r="AQ17" s="2158"/>
      <c r="AR17" s="2158"/>
      <c r="AS17" s="2158"/>
      <c r="AT17" s="2158"/>
      <c r="AU17" s="2158"/>
      <c r="AV17" s="453"/>
      <c r="AW17" s="2154">
        <f t="shared" si="1"/>
        <v>0</v>
      </c>
      <c r="AX17" s="2154"/>
      <c r="AY17" s="2154"/>
      <c r="AZ17" s="2154"/>
      <c r="BA17" s="2154"/>
      <c r="BB17" s="2154"/>
      <c r="BC17" s="2154"/>
      <c r="BD17" s="2154"/>
      <c r="BE17" s="109"/>
    </row>
    <row r="18" spans="1:60" ht="24.9" hidden="1" customHeight="1">
      <c r="A18" s="338"/>
      <c r="B18" s="1864" t="s">
        <v>173</v>
      </c>
      <c r="C18" s="1864"/>
      <c r="D18" s="1864"/>
      <c r="E18" s="1864"/>
      <c r="F18" s="1864"/>
      <c r="G18" s="1864"/>
      <c r="H18" s="1864"/>
      <c r="I18" s="1864"/>
      <c r="J18" s="1864"/>
      <c r="K18" s="1864"/>
      <c r="L18" s="322"/>
      <c r="M18" s="2157"/>
      <c r="N18" s="2157"/>
      <c r="O18" s="2157"/>
      <c r="P18" s="2157"/>
      <c r="Q18" s="2157"/>
      <c r="R18" s="2157"/>
      <c r="S18" s="2157"/>
      <c r="T18" s="2157"/>
      <c r="U18" s="457"/>
      <c r="V18" s="1916"/>
      <c r="W18" s="1916"/>
      <c r="X18" s="1916"/>
      <c r="Y18" s="1916"/>
      <c r="Z18" s="1916"/>
      <c r="AA18" s="1916"/>
      <c r="AB18" s="1916"/>
      <c r="AC18" s="1916"/>
      <c r="AD18" s="356"/>
      <c r="AE18" s="1912">
        <f t="shared" si="0"/>
        <v>0</v>
      </c>
      <c r="AF18" s="1912"/>
      <c r="AG18" s="1912"/>
      <c r="AH18" s="1912"/>
      <c r="AI18" s="1912"/>
      <c r="AJ18" s="1912"/>
      <c r="AK18" s="1912"/>
      <c r="AL18" s="1912"/>
      <c r="AM18" s="453"/>
      <c r="AN18" s="1916"/>
      <c r="AO18" s="1916"/>
      <c r="AP18" s="1916"/>
      <c r="AQ18" s="1916"/>
      <c r="AR18" s="1916"/>
      <c r="AS18" s="1916"/>
      <c r="AT18" s="1916"/>
      <c r="AU18" s="1916"/>
      <c r="AV18" s="453"/>
      <c r="AW18" s="2154">
        <f t="shared" si="1"/>
        <v>0</v>
      </c>
      <c r="AX18" s="2154"/>
      <c r="AY18" s="2154"/>
      <c r="AZ18" s="2154"/>
      <c r="BA18" s="2154"/>
      <c r="BB18" s="2154"/>
      <c r="BC18" s="2154"/>
      <c r="BD18" s="2154"/>
      <c r="BE18" s="113"/>
    </row>
    <row r="19" spans="1:60" ht="24.9" customHeight="1">
      <c r="A19" s="331"/>
      <c r="B19" s="1866" t="s">
        <v>125</v>
      </c>
      <c r="C19" s="1866"/>
      <c r="D19" s="1866"/>
      <c r="E19" s="1866"/>
      <c r="F19" s="1866"/>
      <c r="G19" s="1866"/>
      <c r="H19" s="1866"/>
      <c r="I19" s="1866"/>
      <c r="J19" s="1866"/>
      <c r="K19" s="1866"/>
      <c r="L19" s="329"/>
      <c r="M19" s="1892">
        <v>2718000</v>
      </c>
      <c r="N19" s="1884"/>
      <c r="O19" s="1884"/>
      <c r="P19" s="1884"/>
      <c r="Q19" s="1884"/>
      <c r="R19" s="1884"/>
      <c r="S19" s="1884"/>
      <c r="T19" s="1884"/>
      <c r="U19" s="458"/>
      <c r="V19" s="2158">
        <f>業務_財務諸表!B49</f>
        <v>2453880</v>
      </c>
      <c r="W19" s="2158"/>
      <c r="X19" s="2158"/>
      <c r="Y19" s="2158"/>
      <c r="Z19" s="2158"/>
      <c r="AA19" s="2158"/>
      <c r="AB19" s="2158"/>
      <c r="AC19" s="2158"/>
      <c r="AD19" s="452"/>
      <c r="AE19" s="1912">
        <f t="shared" si="0"/>
        <v>-264120</v>
      </c>
      <c r="AF19" s="1912"/>
      <c r="AG19" s="1912"/>
      <c r="AH19" s="1912"/>
      <c r="AI19" s="1912"/>
      <c r="AJ19" s="1912"/>
      <c r="AK19" s="1912"/>
      <c r="AL19" s="1912"/>
      <c r="AM19" s="453"/>
      <c r="AN19" s="2158">
        <f>前年度貼付!$E$240</f>
        <v>2286386</v>
      </c>
      <c r="AO19" s="2158"/>
      <c r="AP19" s="2158"/>
      <c r="AQ19" s="2158"/>
      <c r="AR19" s="2158"/>
      <c r="AS19" s="2158"/>
      <c r="AT19" s="2158"/>
      <c r="AU19" s="2158"/>
      <c r="AV19" s="453"/>
      <c r="AW19" s="2154">
        <f t="shared" si="1"/>
        <v>167494</v>
      </c>
      <c r="AX19" s="2154"/>
      <c r="AY19" s="2154"/>
      <c r="AZ19" s="2154"/>
      <c r="BA19" s="2154"/>
      <c r="BB19" s="2154"/>
      <c r="BC19" s="2154"/>
      <c r="BD19" s="2154"/>
      <c r="BE19" s="109"/>
    </row>
    <row r="20" spans="1:60" ht="24.9" customHeight="1">
      <c r="A20" s="338"/>
      <c r="B20" s="1864" t="s">
        <v>140</v>
      </c>
      <c r="C20" s="1864"/>
      <c r="D20" s="1864"/>
      <c r="E20" s="1864"/>
      <c r="F20" s="1864"/>
      <c r="G20" s="1864"/>
      <c r="H20" s="1864"/>
      <c r="I20" s="1864"/>
      <c r="J20" s="1864"/>
      <c r="K20" s="1864"/>
      <c r="L20" s="322"/>
      <c r="M20" s="2156">
        <v>14091000</v>
      </c>
      <c r="N20" s="2157"/>
      <c r="O20" s="2157"/>
      <c r="P20" s="2157"/>
      <c r="Q20" s="2157"/>
      <c r="R20" s="2157"/>
      <c r="S20" s="2157"/>
      <c r="T20" s="2157"/>
      <c r="U20" s="457"/>
      <c r="V20" s="1916">
        <f>業務_財務諸表!B50</f>
        <v>13718352</v>
      </c>
      <c r="W20" s="1916"/>
      <c r="X20" s="1916"/>
      <c r="Y20" s="1916"/>
      <c r="Z20" s="1916"/>
      <c r="AA20" s="1916"/>
      <c r="AB20" s="1916"/>
      <c r="AC20" s="1916"/>
      <c r="AD20" s="356"/>
      <c r="AE20" s="1912">
        <f t="shared" si="0"/>
        <v>-372648</v>
      </c>
      <c r="AF20" s="1912"/>
      <c r="AG20" s="1912"/>
      <c r="AH20" s="1912"/>
      <c r="AI20" s="1912"/>
      <c r="AJ20" s="1912"/>
      <c r="AK20" s="1912"/>
      <c r="AL20" s="1912"/>
      <c r="AM20" s="453"/>
      <c r="AN20" s="1916">
        <f>前年度貼付!$E$241</f>
        <v>9334157</v>
      </c>
      <c r="AO20" s="1916"/>
      <c r="AP20" s="1916"/>
      <c r="AQ20" s="1916"/>
      <c r="AR20" s="1916"/>
      <c r="AS20" s="1916"/>
      <c r="AT20" s="1916"/>
      <c r="AU20" s="1916"/>
      <c r="AV20" s="453"/>
      <c r="AW20" s="2154">
        <f t="shared" si="1"/>
        <v>4384195</v>
      </c>
      <c r="AX20" s="2154"/>
      <c r="AY20" s="2154"/>
      <c r="AZ20" s="2154"/>
      <c r="BA20" s="2154"/>
      <c r="BB20" s="2154"/>
      <c r="BC20" s="2154"/>
      <c r="BD20" s="2154"/>
      <c r="BE20" s="113"/>
    </row>
    <row r="21" spans="1:60" ht="24.9" customHeight="1">
      <c r="A21" s="331"/>
      <c r="B21" s="2177" t="s">
        <v>141</v>
      </c>
      <c r="C21" s="2177"/>
      <c r="D21" s="2177"/>
      <c r="E21" s="2177"/>
      <c r="F21" s="2177"/>
      <c r="G21" s="2177"/>
      <c r="H21" s="2177"/>
      <c r="I21" s="2177"/>
      <c r="J21" s="2177"/>
      <c r="K21" s="2177"/>
      <c r="L21" s="329"/>
      <c r="M21" s="1892">
        <v>54153000</v>
      </c>
      <c r="N21" s="1884"/>
      <c r="O21" s="1884"/>
      <c r="P21" s="1884"/>
      <c r="Q21" s="1884"/>
      <c r="R21" s="1884"/>
      <c r="S21" s="1884"/>
      <c r="T21" s="1884"/>
      <c r="U21" s="458"/>
      <c r="V21" s="2158">
        <f>業務_財務諸表!B51</f>
        <v>54153000</v>
      </c>
      <c r="W21" s="2158"/>
      <c r="X21" s="2158"/>
      <c r="Y21" s="2158"/>
      <c r="Z21" s="2158"/>
      <c r="AA21" s="2158"/>
      <c r="AB21" s="2158"/>
      <c r="AC21" s="2158"/>
      <c r="AD21" s="452"/>
      <c r="AE21" s="1912">
        <f t="shared" si="0"/>
        <v>0</v>
      </c>
      <c r="AF21" s="1912"/>
      <c r="AG21" s="1912"/>
      <c r="AH21" s="1912"/>
      <c r="AI21" s="1912"/>
      <c r="AJ21" s="1912"/>
      <c r="AK21" s="1912"/>
      <c r="AL21" s="1912"/>
      <c r="AM21" s="453"/>
      <c r="AN21" s="2158">
        <f>前年度貼付!$E$242</f>
        <v>47222000</v>
      </c>
      <c r="AO21" s="2158"/>
      <c r="AP21" s="2158"/>
      <c r="AQ21" s="2158"/>
      <c r="AR21" s="2158"/>
      <c r="AS21" s="2158"/>
      <c r="AT21" s="2158"/>
      <c r="AU21" s="2158"/>
      <c r="AV21" s="453"/>
      <c r="AW21" s="2154">
        <f t="shared" si="1"/>
        <v>6931000</v>
      </c>
      <c r="AX21" s="2154"/>
      <c r="AY21" s="2154"/>
      <c r="AZ21" s="2154"/>
      <c r="BA21" s="2154"/>
      <c r="BB21" s="2154"/>
      <c r="BC21" s="2154"/>
      <c r="BD21" s="2154"/>
      <c r="BE21" s="109"/>
    </row>
    <row r="22" spans="1:60" ht="24.9" hidden="1" customHeight="1">
      <c r="A22" s="331"/>
      <c r="B22" s="1866" t="s">
        <v>176</v>
      </c>
      <c r="C22" s="1866"/>
      <c r="D22" s="1866"/>
      <c r="E22" s="1866"/>
      <c r="F22" s="1866"/>
      <c r="G22" s="1866"/>
      <c r="H22" s="1866"/>
      <c r="I22" s="1866"/>
      <c r="J22" s="1866"/>
      <c r="K22" s="1866"/>
      <c r="L22" s="329"/>
      <c r="M22" s="1884"/>
      <c r="N22" s="1884"/>
      <c r="O22" s="1884"/>
      <c r="P22" s="1884"/>
      <c r="Q22" s="1884"/>
      <c r="R22" s="1884"/>
      <c r="S22" s="1884"/>
      <c r="T22" s="1884"/>
      <c r="U22" s="458"/>
      <c r="V22" s="2158"/>
      <c r="W22" s="2158"/>
      <c r="X22" s="2158"/>
      <c r="Y22" s="2158"/>
      <c r="Z22" s="2158"/>
      <c r="AA22" s="2158"/>
      <c r="AB22" s="2158"/>
      <c r="AC22" s="2158"/>
      <c r="AD22" s="452"/>
      <c r="AE22" s="1912">
        <f t="shared" si="0"/>
        <v>0</v>
      </c>
      <c r="AF22" s="1912"/>
      <c r="AG22" s="1912"/>
      <c r="AH22" s="1912"/>
      <c r="AI22" s="1912"/>
      <c r="AJ22" s="1912"/>
      <c r="AK22" s="1912"/>
      <c r="AL22" s="1912"/>
      <c r="AM22" s="453"/>
      <c r="AN22" s="2158"/>
      <c r="AO22" s="2158"/>
      <c r="AP22" s="2158"/>
      <c r="AQ22" s="2158"/>
      <c r="AR22" s="2158"/>
      <c r="AS22" s="2158"/>
      <c r="AT22" s="2158"/>
      <c r="AU22" s="2158"/>
      <c r="AV22" s="453"/>
      <c r="AW22" s="2154">
        <f t="shared" si="1"/>
        <v>0</v>
      </c>
      <c r="AX22" s="2154"/>
      <c r="AY22" s="2154"/>
      <c r="AZ22" s="2154"/>
      <c r="BA22" s="2154"/>
      <c r="BB22" s="2154"/>
      <c r="BC22" s="2154"/>
      <c r="BD22" s="2154"/>
      <c r="BE22" s="109"/>
    </row>
    <row r="23" spans="1:60" ht="24.9" customHeight="1">
      <c r="A23" s="331"/>
      <c r="B23" s="1866" t="s">
        <v>142</v>
      </c>
      <c r="C23" s="1866"/>
      <c r="D23" s="1866"/>
      <c r="E23" s="1866"/>
      <c r="F23" s="1866"/>
      <c r="G23" s="1866"/>
      <c r="H23" s="1866"/>
      <c r="I23" s="1866"/>
      <c r="J23" s="1866"/>
      <c r="K23" s="1866"/>
      <c r="L23" s="329"/>
      <c r="M23" s="1892">
        <v>177000</v>
      </c>
      <c r="N23" s="1884"/>
      <c r="O23" s="1884"/>
      <c r="P23" s="1884"/>
      <c r="Q23" s="1884"/>
      <c r="R23" s="1884"/>
      <c r="S23" s="1884"/>
      <c r="T23" s="1884"/>
      <c r="U23" s="458"/>
      <c r="V23" s="2158">
        <f>業務_財務諸表!B52</f>
        <v>176556</v>
      </c>
      <c r="W23" s="2158"/>
      <c r="X23" s="2158"/>
      <c r="Y23" s="2158"/>
      <c r="Z23" s="2158"/>
      <c r="AA23" s="2158"/>
      <c r="AB23" s="2158"/>
      <c r="AC23" s="2158"/>
      <c r="AD23" s="452"/>
      <c r="AE23" s="1912">
        <f t="shared" si="0"/>
        <v>-444</v>
      </c>
      <c r="AF23" s="1912"/>
      <c r="AG23" s="1912"/>
      <c r="AH23" s="1912"/>
      <c r="AI23" s="1912"/>
      <c r="AJ23" s="1912"/>
      <c r="AK23" s="1912"/>
      <c r="AL23" s="1912"/>
      <c r="AM23" s="453"/>
      <c r="AN23" s="2158">
        <f>前年度貼付!$E$243</f>
        <v>176556</v>
      </c>
      <c r="AO23" s="2158"/>
      <c r="AP23" s="2158"/>
      <c r="AQ23" s="2158"/>
      <c r="AR23" s="2158"/>
      <c r="AS23" s="2158"/>
      <c r="AT23" s="2158"/>
      <c r="AU23" s="2158"/>
      <c r="AV23" s="453"/>
      <c r="AW23" s="2154">
        <f t="shared" si="1"/>
        <v>0</v>
      </c>
      <c r="AX23" s="2154"/>
      <c r="AY23" s="2154"/>
      <c r="AZ23" s="2154"/>
      <c r="BA23" s="2154"/>
      <c r="BB23" s="2154"/>
      <c r="BC23" s="2154"/>
      <c r="BD23" s="2154"/>
      <c r="BE23" s="109"/>
    </row>
    <row r="24" spans="1:60" ht="24.9" hidden="1" customHeight="1">
      <c r="A24" s="331"/>
      <c r="B24" s="1866" t="s">
        <v>143</v>
      </c>
      <c r="C24" s="1866"/>
      <c r="D24" s="1866"/>
      <c r="E24" s="1866"/>
      <c r="F24" s="1866"/>
      <c r="G24" s="1866"/>
      <c r="H24" s="1866"/>
      <c r="I24" s="1866"/>
      <c r="J24" s="1866"/>
      <c r="K24" s="1866"/>
      <c r="L24" s="329"/>
      <c r="M24" s="1892">
        <v>0</v>
      </c>
      <c r="N24" s="1884"/>
      <c r="O24" s="1884"/>
      <c r="P24" s="1884"/>
      <c r="Q24" s="1884"/>
      <c r="R24" s="1884"/>
      <c r="S24" s="1884"/>
      <c r="T24" s="1884"/>
      <c r="U24" s="458"/>
      <c r="V24" s="2158">
        <f>業務_財務諸表!C54</f>
        <v>0</v>
      </c>
      <c r="W24" s="2158"/>
      <c r="X24" s="2158"/>
      <c r="Y24" s="2158"/>
      <c r="Z24" s="2158"/>
      <c r="AA24" s="2158"/>
      <c r="AB24" s="2158"/>
      <c r="AC24" s="2158"/>
      <c r="AD24" s="452"/>
      <c r="AE24" s="1912">
        <f t="shared" si="0"/>
        <v>0</v>
      </c>
      <c r="AF24" s="1912"/>
      <c r="AG24" s="1912"/>
      <c r="AH24" s="1912"/>
      <c r="AI24" s="1912"/>
      <c r="AJ24" s="1912"/>
      <c r="AK24" s="1912"/>
      <c r="AL24" s="1912"/>
      <c r="AM24" s="453"/>
      <c r="AN24" s="2158">
        <f>前年度貼付!$E$244</f>
        <v>0</v>
      </c>
      <c r="AO24" s="2158"/>
      <c r="AP24" s="2158"/>
      <c r="AQ24" s="2158"/>
      <c r="AR24" s="2158"/>
      <c r="AS24" s="2158"/>
      <c r="AT24" s="2158"/>
      <c r="AU24" s="2158"/>
      <c r="AV24" s="453"/>
      <c r="AW24" s="2154">
        <f t="shared" si="1"/>
        <v>0</v>
      </c>
      <c r="AX24" s="2154"/>
      <c r="AY24" s="2154"/>
      <c r="AZ24" s="2154"/>
      <c r="BA24" s="2154"/>
      <c r="BB24" s="2154"/>
      <c r="BC24" s="2154"/>
      <c r="BD24" s="2154"/>
      <c r="BE24" s="109"/>
    </row>
    <row r="25" spans="1:60" ht="24.9" customHeight="1">
      <c r="A25" s="331"/>
      <c r="B25" s="1866" t="s">
        <v>144</v>
      </c>
      <c r="C25" s="1866"/>
      <c r="D25" s="1866"/>
      <c r="E25" s="1866"/>
      <c r="F25" s="1866"/>
      <c r="G25" s="1866"/>
      <c r="H25" s="1866"/>
      <c r="I25" s="1866"/>
      <c r="J25" s="1866"/>
      <c r="K25" s="1866"/>
      <c r="L25" s="329"/>
      <c r="M25" s="1892">
        <v>0</v>
      </c>
      <c r="N25" s="1884"/>
      <c r="O25" s="1884"/>
      <c r="P25" s="1884"/>
      <c r="Q25" s="1884"/>
      <c r="R25" s="1884"/>
      <c r="S25" s="1884"/>
      <c r="T25" s="1884"/>
      <c r="U25" s="458"/>
      <c r="V25" s="2158">
        <f>業務_決算精算表!A36</f>
        <v>0</v>
      </c>
      <c r="W25" s="2158"/>
      <c r="X25" s="2158"/>
      <c r="Y25" s="2158"/>
      <c r="Z25" s="2158"/>
      <c r="AA25" s="2158"/>
      <c r="AB25" s="2158"/>
      <c r="AC25" s="2158"/>
      <c r="AD25" s="452"/>
      <c r="AE25" s="1912">
        <f t="shared" si="0"/>
        <v>0</v>
      </c>
      <c r="AF25" s="1912"/>
      <c r="AG25" s="1912"/>
      <c r="AH25" s="1912"/>
      <c r="AI25" s="1912"/>
      <c r="AJ25" s="1912"/>
      <c r="AK25" s="1912"/>
      <c r="AL25" s="1912"/>
      <c r="AM25" s="453"/>
      <c r="AN25" s="2158">
        <f>前年度貼付!$E$245</f>
        <v>1</v>
      </c>
      <c r="AO25" s="2158"/>
      <c r="AP25" s="2158"/>
      <c r="AQ25" s="2158"/>
      <c r="AR25" s="2158"/>
      <c r="AS25" s="2158"/>
      <c r="AT25" s="2158"/>
      <c r="AU25" s="2158"/>
      <c r="AV25" s="453"/>
      <c r="AW25" s="2154">
        <f t="shared" si="1"/>
        <v>-1</v>
      </c>
      <c r="AX25" s="2154"/>
      <c r="AY25" s="2154"/>
      <c r="AZ25" s="2154"/>
      <c r="BA25" s="2154"/>
      <c r="BB25" s="2154"/>
      <c r="BC25" s="2154"/>
      <c r="BD25" s="2154"/>
      <c r="BE25" s="109"/>
    </row>
    <row r="26" spans="1:60" ht="24.9" customHeight="1">
      <c r="A26" s="331"/>
      <c r="B26" s="1871" t="s">
        <v>648</v>
      </c>
      <c r="C26" s="1871"/>
      <c r="D26" s="1871"/>
      <c r="E26" s="1871"/>
      <c r="F26" s="1871"/>
      <c r="G26" s="1871"/>
      <c r="H26" s="1871"/>
      <c r="I26" s="1871"/>
      <c r="J26" s="1871"/>
      <c r="K26" s="1871"/>
      <c r="L26" s="329"/>
      <c r="M26" s="1889">
        <f>SUM(M5:T25)</f>
        <v>131720000</v>
      </c>
      <c r="N26" s="1889"/>
      <c r="O26" s="1889"/>
      <c r="P26" s="1889"/>
      <c r="Q26" s="1889"/>
      <c r="R26" s="1889"/>
      <c r="S26" s="1889"/>
      <c r="T26" s="1889"/>
      <c r="U26" s="451"/>
      <c r="V26" s="2155">
        <f>SUM(V5:AC25)</f>
        <v>121123959</v>
      </c>
      <c r="W26" s="2155"/>
      <c r="X26" s="2155"/>
      <c r="Y26" s="2155"/>
      <c r="Z26" s="2155"/>
      <c r="AA26" s="2155"/>
      <c r="AB26" s="2155"/>
      <c r="AC26" s="2155"/>
      <c r="AD26" s="455"/>
      <c r="AE26" s="1912">
        <f t="shared" si="0"/>
        <v>-10596041</v>
      </c>
      <c r="AF26" s="1912"/>
      <c r="AG26" s="1912"/>
      <c r="AH26" s="1912"/>
      <c r="AI26" s="1912"/>
      <c r="AJ26" s="1912"/>
      <c r="AK26" s="1912"/>
      <c r="AL26" s="1912"/>
      <c r="AM26" s="451"/>
      <c r="AN26" s="2155">
        <f>SUM(AN5:AU25)</f>
        <v>111447230</v>
      </c>
      <c r="AO26" s="2155"/>
      <c r="AP26" s="2155"/>
      <c r="AQ26" s="2155"/>
      <c r="AR26" s="2155"/>
      <c r="AS26" s="2155"/>
      <c r="AT26" s="2155"/>
      <c r="AU26" s="2155"/>
      <c r="AV26" s="451"/>
      <c r="AW26" s="2154">
        <f t="shared" si="1"/>
        <v>9676729</v>
      </c>
      <c r="AX26" s="2154"/>
      <c r="AY26" s="2154"/>
      <c r="AZ26" s="2154"/>
      <c r="BA26" s="2154"/>
      <c r="BB26" s="2154"/>
      <c r="BC26" s="2154"/>
      <c r="BD26" s="2154"/>
      <c r="BE26" s="109"/>
    </row>
    <row r="27" spans="1:60" ht="33" customHeight="1"/>
    <row r="28" spans="1:60" ht="23.1" customHeight="1">
      <c r="A28" s="1887" t="s">
        <v>649</v>
      </c>
      <c r="B28" s="1887"/>
      <c r="C28" s="1887"/>
      <c r="D28" s="1887"/>
      <c r="E28" s="1887"/>
      <c r="F28" s="1887"/>
      <c r="G28" s="1887"/>
      <c r="H28" s="1887"/>
      <c r="I28" s="1887"/>
      <c r="J28" s="1887"/>
      <c r="K28" s="1887"/>
      <c r="L28" s="1887"/>
      <c r="M28" s="1887"/>
      <c r="N28" s="1887"/>
      <c r="O28" s="1887"/>
      <c r="P28" s="1887"/>
      <c r="Q28" s="1887"/>
      <c r="R28" s="1887"/>
      <c r="S28" s="1887"/>
      <c r="T28" s="1887"/>
      <c r="U28" s="1887"/>
      <c r="V28" s="1887"/>
      <c r="W28" s="1887"/>
      <c r="X28" s="1887"/>
      <c r="Y28" s="1887"/>
      <c r="Z28" s="1887"/>
      <c r="AA28" s="1887"/>
      <c r="AB28" s="1887"/>
      <c r="AC28" s="1887"/>
      <c r="AD28" s="1887"/>
      <c r="AE28" s="1887"/>
      <c r="AF28" s="1887"/>
      <c r="AG28" s="1887"/>
      <c r="AH28" s="1887"/>
      <c r="AI28" s="1887"/>
      <c r="AJ28" s="1887"/>
      <c r="AK28" s="1887"/>
      <c r="AL28" s="1887"/>
      <c r="AM28" s="1887"/>
      <c r="AN28" s="1887"/>
      <c r="AO28" s="1887"/>
      <c r="AP28" s="1887"/>
      <c r="AQ28" s="1887"/>
      <c r="AR28" s="1887"/>
      <c r="AS28" s="1887"/>
      <c r="AT28" s="1887"/>
      <c r="AU28" s="1887"/>
      <c r="AV28" s="1887"/>
      <c r="AW28" s="1887"/>
      <c r="AX28" s="1887"/>
      <c r="AY28" s="1887"/>
      <c r="AZ28" s="1887"/>
      <c r="BA28" s="1887"/>
      <c r="BB28" s="1887"/>
      <c r="BC28" s="1887"/>
      <c r="BD28" s="1887"/>
      <c r="BE28" s="1887"/>
      <c r="BH28" s="293" t="s">
        <v>650</v>
      </c>
    </row>
    <row r="29" spans="1:60" ht="23.1" customHeight="1">
      <c r="A29" s="142" t="str">
        <f>IF(業務_財務諸表!G54&gt;0,"　　本年度における収支決算を行った結果、当期損失金として"&amp;IF(業務_財務諸表!G54=0,"0",IF(業務_財務諸表!G54&gt;=100000000,TEXT(INT(業務_財務諸表!G54/100000000),"#,##0")&amp;"億","")&amp;IF(MOD(INT(業務_財務諸表!G54/10000),10000)&gt;0,TEXT(MOD(INT(業務_財務諸表!G54/10000),10000),"#,##0")&amp;"万","")&amp;IF(MOD(業務_財務諸表!G54,10000)&gt;0,TEXT(MOD(業務_財務諸表!G54,10000),"#,##0"),""))&amp;"円を生じたが、","　　本年度における収支決算を行った結果、当期利益金として"&amp;IF(業務_財務諸表!C57=0,"0",IF(業務_財務諸表!C57&gt;=100000000,TEXT(INT(業務_財務諸表!C57/100000000),"#,##0")&amp;"億","")&amp;IF(MOD(INT(業務_財務諸表!C57/10000),10000)&gt;0,TEXT(MOD(INT(業務_財務諸表!C57/10000),10000),"#,##0")&amp;"万","")&amp;IF(MOD(業務_財務諸表!C57,10000)&gt;0,TEXT(MOD(業務_財務諸表!C57,10000),"#,##0"),""))&amp;"円"&amp;"を生じた。")</f>
        <v>　　本年度における収支決算を行った結果、当期利益金として360万3,510円を生じた。</v>
      </c>
      <c r="B29" s="459"/>
      <c r="C29" s="459"/>
      <c r="D29" s="459"/>
      <c r="E29" s="459"/>
      <c r="F29" s="459"/>
      <c r="G29" s="459"/>
      <c r="H29" s="459"/>
      <c r="I29" s="459"/>
      <c r="J29" s="459"/>
      <c r="K29" s="459"/>
      <c r="L29" s="459"/>
      <c r="M29" s="459"/>
      <c r="N29" s="459"/>
      <c r="O29" s="459"/>
      <c r="P29" s="459"/>
      <c r="Q29" s="459"/>
      <c r="R29" s="459"/>
      <c r="S29" s="459"/>
      <c r="T29" s="459"/>
      <c r="U29" s="459"/>
      <c r="V29" s="459"/>
      <c r="W29" s="459"/>
      <c r="X29" s="459"/>
      <c r="Y29" s="459"/>
      <c r="Z29" s="459"/>
      <c r="AA29" s="459"/>
      <c r="AB29" s="459"/>
      <c r="AC29" s="459"/>
      <c r="AD29" s="459"/>
      <c r="AE29" s="459"/>
      <c r="AF29" s="459"/>
      <c r="AG29" s="459"/>
      <c r="AH29" s="459"/>
      <c r="AI29" s="459"/>
      <c r="AJ29" s="459"/>
      <c r="AK29" s="459"/>
      <c r="AL29" s="459"/>
      <c r="AM29" s="459"/>
      <c r="AN29" s="459"/>
      <c r="AO29" s="459"/>
      <c r="AP29" s="459"/>
      <c r="AQ29" s="459"/>
      <c r="AR29" s="459"/>
      <c r="AS29" s="459"/>
      <c r="AT29" s="459"/>
      <c r="AU29" s="459"/>
      <c r="AV29" s="459"/>
      <c r="AW29" s="459"/>
      <c r="AX29" s="459"/>
      <c r="AY29" s="459"/>
      <c r="AZ29" s="459"/>
      <c r="BA29" s="459"/>
      <c r="BB29" s="459"/>
      <c r="BC29" s="459"/>
      <c r="BD29" s="459"/>
      <c r="BE29" s="459"/>
      <c r="BG29" s="460" t="s">
        <v>651</v>
      </c>
    </row>
    <row r="30" spans="1:60" ht="23.1" customHeight="1">
      <c r="A30" s="142" t="str">
        <f>IF(業務_財務諸表!G54&gt;0,"　　前年度より繰り越した積立金"&amp;IF(業務_附属明細表!E91=0,"0",IF(業務_附属明細表!E91&gt;=100000000,TEXT(INT(業務_附属明細表!E91/100000000),"#,##0")&amp;"億","")&amp;IF(MOD(INT(業務_附属明細表!E91/10000),10000)&gt;0,TEXT(MOD(INT(業務_附属明細表!E91/10000),10000),"#,##0")&amp;"万","")&amp;IF(MOD(業務_附属明細表!E91,10000)&gt;0,TEXT(MOD(業務_附属明細表!E91,10000),"#,##0"),""))&amp;"円を取り崩して補てんした。なお、翌年度へ繰り越す積立金は、","　　この利益金に前年度より繰り越した積立金"&amp;IF(業務_附属明細表!E91=0,"0",IF(業務_附属明細表!E91&gt;=100000000,TEXT(INT(業務_附属明細表!E91/100000000),"#,##0")&amp;"億","")&amp;IF(MOD(INT(業務_附属明細表!E91/10000),10000)&gt;0,TEXT(MOD(INT(業務_附属明細表!E91/10000),10000),"#,##0")&amp;"万","")&amp;IF(MOD(業務_附属明細表!E91,10000)&gt;0,TEXT(MOD(業務_附属明細表!E91,10000),"#,##0"),""))&amp;"円"&amp;"を合わせ、翌年度へ繰り越す積立金は、")</f>
        <v>　　この利益金に前年度より繰り越した積立金7,109万3,911円を合わせ、翌年度へ繰り越す積立金は、</v>
      </c>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G30" s="460" t="s">
        <v>652</v>
      </c>
    </row>
    <row r="31" spans="1:60" s="345" customFormat="1" ht="23.1" customHeight="1">
      <c r="A31" s="142"/>
      <c r="B31" s="142"/>
      <c r="C31" s="142" t="str">
        <f>IF(業務_附属明細表!Q91=0,"0",IF(業務_附属明細表!Q91&gt;=100000000,TEXT(INT(業務_附属明細表!Q91/100000000),"#,##0")&amp;"億","")&amp;IF(MOD(INT(業務_附属明細表!Q91/10000),10000)&gt;0,TEXT(MOD(INT(業務_附属明細表!Q91/10000),10000),"#,##0")&amp;"万","")&amp;IF(MOD(業務_附属明細表!Q91,10000)&gt;0,TEXT(MOD(業務_附属明細表!Q91,10000),"#,##0"),""))&amp;"円"&amp;"となる。"</f>
        <v>7,469万7,421円となる。</v>
      </c>
      <c r="D31" s="142"/>
      <c r="E31" s="142"/>
      <c r="F31" s="142"/>
      <c r="G31" s="142"/>
      <c r="H31" s="142"/>
      <c r="I31" s="142"/>
      <c r="J31" s="142"/>
      <c r="K31" s="142"/>
      <c r="L31" s="142"/>
      <c r="M31" s="142"/>
      <c r="N31" s="142"/>
      <c r="O31" s="142"/>
      <c r="P31" s="142"/>
      <c r="Q31" s="142"/>
      <c r="R31" s="142"/>
      <c r="S31" s="142"/>
      <c r="T31" s="459"/>
      <c r="U31" s="459"/>
      <c r="V31" s="459"/>
      <c r="W31" s="459"/>
      <c r="X31" s="459"/>
      <c r="Y31" s="459"/>
      <c r="Z31" s="459"/>
      <c r="AA31" s="459"/>
      <c r="AB31" s="459"/>
      <c r="AC31" s="459"/>
      <c r="AD31" s="459"/>
      <c r="AE31" s="459"/>
      <c r="AF31" s="459"/>
      <c r="AG31" s="459"/>
      <c r="AH31" s="459"/>
      <c r="AI31" s="459"/>
      <c r="AJ31" s="459"/>
      <c r="AK31" s="459"/>
      <c r="AL31" s="459"/>
      <c r="AM31" s="459"/>
      <c r="AN31" s="459"/>
      <c r="AO31" s="459"/>
      <c r="AP31" s="459"/>
      <c r="AQ31" s="459"/>
      <c r="AR31" s="459"/>
      <c r="AS31" s="459"/>
      <c r="AT31" s="459"/>
      <c r="AU31" s="459"/>
      <c r="AV31" s="459"/>
      <c r="AW31" s="459"/>
      <c r="AX31" s="459"/>
      <c r="AY31" s="459"/>
      <c r="AZ31" s="459"/>
      <c r="BA31" s="459"/>
      <c r="BB31" s="459"/>
      <c r="BC31" s="459"/>
      <c r="BD31" s="459"/>
      <c r="BE31" s="459"/>
      <c r="BG31" s="460" t="s">
        <v>653</v>
      </c>
    </row>
    <row r="32" spans="1:60" ht="20.25" customHeight="1">
      <c r="B32" s="320"/>
      <c r="C32" s="320"/>
      <c r="D32" s="320"/>
      <c r="E32" s="320"/>
      <c r="F32" s="320"/>
      <c r="G32" s="320"/>
      <c r="H32" s="320"/>
      <c r="I32" s="320"/>
      <c r="J32" s="320"/>
      <c r="K32" s="320"/>
      <c r="L32" s="320"/>
      <c r="M32" s="320"/>
      <c r="N32" s="320"/>
      <c r="O32" s="320"/>
      <c r="P32" s="320"/>
      <c r="Q32" s="320"/>
      <c r="R32" s="320"/>
      <c r="S32" s="320"/>
      <c r="T32" s="320"/>
      <c r="U32" s="320"/>
      <c r="V32" s="320"/>
      <c r="W32" s="320"/>
      <c r="X32" s="320"/>
      <c r="Y32" s="320"/>
      <c r="Z32" s="320"/>
      <c r="AA32" s="320"/>
      <c r="AB32" s="320"/>
      <c r="AC32" s="320"/>
      <c r="AD32" s="320"/>
      <c r="AE32" s="320"/>
      <c r="AF32" s="320"/>
      <c r="AG32" s="320"/>
      <c r="AH32" s="320"/>
      <c r="AI32" s="320"/>
      <c r="AJ32" s="320"/>
      <c r="AK32" s="320"/>
      <c r="AL32" s="320"/>
      <c r="AM32" s="320"/>
      <c r="AN32" s="320"/>
      <c r="AO32" s="320"/>
      <c r="AP32" s="320"/>
      <c r="AQ32" s="320"/>
      <c r="AR32" s="320"/>
      <c r="AS32" s="320"/>
      <c r="AT32" s="320"/>
      <c r="AU32" s="320"/>
      <c r="AV32" s="320"/>
      <c r="AW32" s="320"/>
      <c r="AX32" s="320"/>
      <c r="AY32" s="320"/>
      <c r="AZ32" s="320"/>
      <c r="BA32" s="320"/>
      <c r="BB32" s="320"/>
      <c r="BC32" s="320"/>
      <c r="BD32" s="320"/>
      <c r="BE32" s="320"/>
    </row>
    <row r="33" spans="1:57" ht="24.75" hidden="1" customHeight="1">
      <c r="A33" s="319"/>
      <c r="B33" s="320"/>
      <c r="C33" s="320"/>
      <c r="D33" s="320"/>
      <c r="E33" s="320"/>
      <c r="F33" s="320"/>
      <c r="G33" s="320"/>
      <c r="H33" s="320"/>
      <c r="I33" s="320"/>
      <c r="J33" s="320"/>
      <c r="K33" s="320"/>
      <c r="L33" s="320"/>
      <c r="M33" s="320"/>
      <c r="N33" s="320"/>
      <c r="O33" s="320"/>
      <c r="P33" s="320"/>
      <c r="Q33" s="320"/>
      <c r="R33" s="320"/>
      <c r="S33" s="320"/>
      <c r="T33" s="320"/>
      <c r="U33" s="320"/>
      <c r="V33" s="320"/>
      <c r="W33" s="320"/>
      <c r="X33" s="320"/>
      <c r="Y33" s="320"/>
      <c r="Z33" s="320"/>
      <c r="AA33" s="320"/>
      <c r="AB33" s="320"/>
      <c r="AC33" s="320"/>
      <c r="AD33" s="320"/>
      <c r="AE33" s="320"/>
      <c r="AF33" s="320"/>
      <c r="AG33" s="320"/>
      <c r="AH33" s="320"/>
      <c r="AI33" s="320"/>
      <c r="AJ33" s="320"/>
      <c r="AK33" s="320"/>
      <c r="AL33" s="320"/>
      <c r="AM33" s="320"/>
      <c r="AN33" s="320"/>
      <c r="AO33" s="320"/>
      <c r="AP33" s="320"/>
      <c r="AQ33" s="320"/>
      <c r="AR33" s="320"/>
      <c r="AS33" s="320"/>
      <c r="AT33" s="320"/>
      <c r="AU33" s="320"/>
      <c r="AV33" s="320"/>
      <c r="AW33" s="320"/>
      <c r="AX33" s="320"/>
      <c r="AY33" s="320"/>
      <c r="AZ33" s="320"/>
      <c r="BA33" s="320"/>
      <c r="BB33" s="320"/>
      <c r="BC33" s="320"/>
      <c r="BD33" s="320"/>
      <c r="BE33" s="320"/>
    </row>
    <row r="34" spans="1:57" ht="23.1" hidden="1" customHeight="1">
      <c r="A34" s="320"/>
      <c r="B34" s="320"/>
      <c r="C34" s="320"/>
      <c r="D34" s="320"/>
      <c r="E34" s="320"/>
      <c r="F34" s="320"/>
      <c r="G34" s="320"/>
      <c r="H34" s="320"/>
      <c r="I34" s="320"/>
      <c r="J34" s="320"/>
      <c r="K34" s="320"/>
      <c r="L34" s="320"/>
      <c r="M34" s="320"/>
      <c r="N34" s="320"/>
      <c r="O34" s="320"/>
      <c r="P34" s="320"/>
      <c r="Q34" s="320"/>
      <c r="R34" s="320"/>
      <c r="S34" s="320"/>
      <c r="T34" s="320"/>
      <c r="U34" s="320"/>
      <c r="V34" s="320"/>
      <c r="W34" s="320"/>
      <c r="X34" s="320"/>
      <c r="Y34" s="320"/>
      <c r="Z34" s="320"/>
      <c r="AA34" s="320"/>
      <c r="AB34" s="320"/>
      <c r="AC34" s="320"/>
      <c r="AD34" s="320"/>
      <c r="AE34" s="320"/>
      <c r="AF34" s="320"/>
      <c r="AG34" s="320"/>
      <c r="AH34" s="320"/>
      <c r="AI34" s="320"/>
      <c r="AJ34" s="320"/>
      <c r="AK34" s="320"/>
      <c r="AL34" s="320"/>
      <c r="AM34" s="320"/>
      <c r="AN34" s="320"/>
      <c r="AO34" s="320"/>
      <c r="AP34" s="320"/>
      <c r="AQ34" s="320"/>
      <c r="AR34" s="320"/>
      <c r="AS34" s="320"/>
      <c r="AT34" s="320"/>
      <c r="AU34" s="320"/>
      <c r="AV34" s="320"/>
      <c r="AW34" s="320"/>
      <c r="AX34" s="320"/>
      <c r="AY34" s="320"/>
      <c r="AZ34" s="320"/>
      <c r="BA34" s="320"/>
      <c r="BB34" s="320"/>
      <c r="BC34" s="320"/>
      <c r="BD34" s="320"/>
      <c r="BE34" s="320"/>
    </row>
    <row r="35" spans="1:57" ht="19.5" hidden="1" customHeight="1"/>
    <row r="36" spans="1:57" ht="17.25" customHeight="1">
      <c r="A36" s="461" t="s">
        <v>654</v>
      </c>
      <c r="B36" s="462"/>
      <c r="C36" s="462"/>
      <c r="D36" s="462"/>
      <c r="E36" s="462"/>
      <c r="F36" s="462"/>
      <c r="G36" s="462"/>
      <c r="H36" s="462"/>
    </row>
    <row r="37" spans="1:57" ht="17.25" customHeight="1">
      <c r="A37" s="462"/>
      <c r="B37" s="462"/>
      <c r="C37" s="462"/>
      <c r="D37" s="462"/>
      <c r="E37" s="462"/>
      <c r="F37" s="462"/>
      <c r="G37" s="462"/>
      <c r="H37" s="462"/>
    </row>
    <row r="38" spans="1:57" ht="17.25" customHeight="1">
      <c r="A38" s="462"/>
      <c r="B38" s="463" t="s">
        <v>655</v>
      </c>
      <c r="C38" s="463"/>
      <c r="D38" s="463"/>
      <c r="E38" s="463"/>
      <c r="F38" s="463"/>
      <c r="G38" s="463"/>
      <c r="H38" s="463"/>
    </row>
    <row r="39" spans="1:57" ht="17.25" customHeight="1">
      <c r="A39" s="463"/>
      <c r="B39" s="463" t="s">
        <v>656</v>
      </c>
      <c r="C39" s="463"/>
      <c r="D39" s="463"/>
      <c r="E39" s="463"/>
      <c r="F39" s="463"/>
      <c r="G39" s="463"/>
      <c r="H39" s="463"/>
    </row>
    <row r="40" spans="1:57" ht="17.25" customHeight="1">
      <c r="A40" s="463"/>
      <c r="B40" s="463" t="s">
        <v>657</v>
      </c>
      <c r="C40" s="463"/>
      <c r="D40" s="463"/>
      <c r="E40" s="463"/>
      <c r="F40" s="463"/>
      <c r="H40" s="463"/>
      <c r="AB40" s="463" t="s">
        <v>551</v>
      </c>
    </row>
    <row r="41" spans="1:57" ht="17.25" customHeight="1">
      <c r="A41" s="463"/>
      <c r="B41" s="463"/>
      <c r="C41" s="463" t="s">
        <v>658</v>
      </c>
      <c r="D41" s="463"/>
      <c r="E41" s="463"/>
      <c r="F41" s="463"/>
      <c r="H41" s="463"/>
      <c r="AB41" s="463" t="s">
        <v>551</v>
      </c>
    </row>
    <row r="42" spans="1:57" ht="17.25" customHeight="1">
      <c r="A42" s="463"/>
      <c r="B42" s="463"/>
      <c r="C42" s="463" t="s">
        <v>658</v>
      </c>
      <c r="D42" s="463"/>
      <c r="E42" s="463"/>
      <c r="F42" s="463"/>
      <c r="H42" s="463"/>
      <c r="AB42" s="463" t="s">
        <v>551</v>
      </c>
    </row>
    <row r="43" spans="1:57" ht="17.25" customHeight="1">
      <c r="A43" s="463"/>
      <c r="B43" s="463" t="s">
        <v>659</v>
      </c>
      <c r="C43" s="463"/>
      <c r="D43" s="463"/>
      <c r="E43" s="463"/>
      <c r="F43" s="463"/>
      <c r="G43" s="463"/>
      <c r="H43" s="463"/>
    </row>
    <row r="44" spans="1:57" ht="17.25" customHeight="1">
      <c r="A44" s="463"/>
      <c r="B44" s="463" t="s">
        <v>660</v>
      </c>
      <c r="C44" s="463"/>
      <c r="D44" s="463"/>
      <c r="E44" s="463"/>
      <c r="F44" s="463"/>
      <c r="G44" s="463"/>
      <c r="H44" s="463"/>
    </row>
    <row r="45" spans="1:57" ht="17.25" customHeight="1">
      <c r="A45" s="463"/>
      <c r="B45" s="463" t="s">
        <v>661</v>
      </c>
      <c r="C45" s="463"/>
      <c r="D45" s="463"/>
      <c r="E45" s="463"/>
      <c r="F45" s="463"/>
      <c r="G45" s="463"/>
      <c r="H45" s="463"/>
    </row>
    <row r="46" spans="1:57" ht="17.25" customHeight="1">
      <c r="A46" s="463"/>
      <c r="B46" s="463"/>
      <c r="C46" s="463"/>
      <c r="D46" s="463"/>
      <c r="E46" s="463"/>
      <c r="F46" s="463"/>
      <c r="G46" s="463"/>
      <c r="H46" s="463"/>
    </row>
    <row r="47" spans="1:57" ht="17.25" customHeight="1">
      <c r="A47" s="463"/>
      <c r="B47" s="3062" t="s">
        <v>662</v>
      </c>
      <c r="C47" s="3063"/>
      <c r="D47" s="3063"/>
      <c r="E47" s="3063"/>
      <c r="F47" s="3063"/>
      <c r="G47" s="3063"/>
      <c r="H47" s="3063"/>
    </row>
    <row r="48" spans="1:57" ht="17.25" customHeight="1">
      <c r="A48" s="463"/>
      <c r="B48" s="3062" t="s">
        <v>663</v>
      </c>
      <c r="C48" s="3063"/>
      <c r="D48" s="3063"/>
      <c r="E48" s="3063"/>
      <c r="F48" s="3063"/>
      <c r="G48" s="3063"/>
      <c r="H48" s="3063"/>
    </row>
    <row r="49" spans="1:8" ht="17.25" customHeight="1">
      <c r="A49" s="463"/>
      <c r="B49" s="3062" t="s">
        <v>664</v>
      </c>
      <c r="C49" s="3063"/>
      <c r="D49" s="3063"/>
      <c r="E49" s="3063"/>
      <c r="F49" s="463"/>
      <c r="G49" s="463"/>
      <c r="H49" s="463"/>
    </row>
    <row r="50" spans="1:8" ht="17.25" customHeight="1">
      <c r="A50" s="463"/>
      <c r="B50" s="463"/>
      <c r="C50" s="463"/>
      <c r="D50" s="463"/>
      <c r="E50" s="463"/>
      <c r="F50" s="463"/>
      <c r="G50" s="463"/>
      <c r="H50" s="463"/>
    </row>
    <row r="51" spans="1:8" ht="17.25" customHeight="1">
      <c r="A51" s="463"/>
      <c r="B51" s="463"/>
      <c r="C51" s="463"/>
      <c r="D51" s="463"/>
      <c r="E51" s="463"/>
      <c r="F51" s="463"/>
      <c r="G51" s="463"/>
      <c r="H51" s="463"/>
    </row>
    <row r="52" spans="1:8" ht="17.25" customHeight="1">
      <c r="A52" s="461" t="s">
        <v>665</v>
      </c>
      <c r="B52" s="463"/>
      <c r="C52" s="463"/>
      <c r="D52" s="463"/>
      <c r="E52" s="463"/>
      <c r="F52" s="463"/>
      <c r="G52" s="463"/>
      <c r="H52" s="463"/>
    </row>
    <row r="53" spans="1:8" ht="17.25" customHeight="1">
      <c r="A53" s="463"/>
      <c r="B53" s="463"/>
      <c r="C53" s="463"/>
      <c r="D53" s="463"/>
      <c r="E53" s="463"/>
      <c r="F53" s="463"/>
      <c r="G53" s="463"/>
      <c r="H53" s="463"/>
    </row>
    <row r="54" spans="1:8" ht="17.25" customHeight="1">
      <c r="A54" s="463"/>
      <c r="B54" s="3062" t="s">
        <v>666</v>
      </c>
      <c r="C54" s="3063"/>
      <c r="D54" s="3063"/>
      <c r="E54" s="3063"/>
      <c r="F54" s="3063"/>
      <c r="G54" s="3063"/>
      <c r="H54" s="3063"/>
    </row>
    <row r="55" spans="1:8" ht="17.25" customHeight="1">
      <c r="A55" s="463"/>
      <c r="B55" s="3062" t="s">
        <v>667</v>
      </c>
      <c r="C55" s="3063"/>
      <c r="D55" s="3063"/>
      <c r="E55" s="3063"/>
      <c r="F55" s="3063"/>
      <c r="G55" s="3063"/>
      <c r="H55" s="3063"/>
    </row>
    <row r="56" spans="1:8" ht="17.25" customHeight="1">
      <c r="A56" s="463"/>
      <c r="B56" s="3062" t="s">
        <v>668</v>
      </c>
      <c r="C56" s="3063"/>
      <c r="D56" s="3063"/>
      <c r="E56" s="3063"/>
      <c r="F56" s="463"/>
      <c r="G56" s="463"/>
      <c r="H56" s="463"/>
    </row>
    <row r="57" spans="1:8" ht="17.25" customHeight="1">
      <c r="A57" s="463"/>
      <c r="B57" s="463"/>
      <c r="C57" s="463"/>
      <c r="D57" s="463"/>
      <c r="E57" s="463"/>
      <c r="F57" s="463"/>
      <c r="G57" s="463"/>
      <c r="H57" s="463"/>
    </row>
    <row r="58" spans="1:8" ht="17.25" customHeight="1">
      <c r="A58" s="463"/>
      <c r="B58" s="3062" t="s">
        <v>666</v>
      </c>
      <c r="C58" s="3063"/>
      <c r="D58" s="3063"/>
      <c r="E58" s="3063"/>
      <c r="F58" s="3063"/>
      <c r="G58" s="3063"/>
      <c r="H58" s="3063"/>
    </row>
    <row r="59" spans="1:8" ht="17.25" customHeight="1">
      <c r="A59" s="463"/>
      <c r="B59" s="3062" t="s">
        <v>669</v>
      </c>
      <c r="C59" s="3063"/>
      <c r="D59" s="3063"/>
      <c r="E59" s="3063"/>
      <c r="F59" s="3063"/>
      <c r="G59" s="3063"/>
      <c r="H59" s="3063"/>
    </row>
    <row r="60" spans="1:8" ht="17.25" customHeight="1">
      <c r="A60" s="463"/>
      <c r="B60" s="3062" t="s">
        <v>670</v>
      </c>
      <c r="C60" s="373"/>
      <c r="D60" s="373"/>
      <c r="E60" s="373"/>
      <c r="F60" s="463"/>
      <c r="G60" s="463"/>
      <c r="H60" s="463"/>
    </row>
    <row r="61" spans="1:8" ht="24.9" customHeight="1">
      <c r="A61" s="463"/>
      <c r="B61" s="463"/>
      <c r="C61" s="463"/>
      <c r="D61" s="463"/>
      <c r="E61" s="463"/>
      <c r="F61" s="463"/>
      <c r="G61" s="463"/>
      <c r="H61" s="463"/>
    </row>
  </sheetData>
  <sheetProtection formatCells="0" formatColumns="0" formatRows="0" insertColumns="0" insertRows="0" insertHyperlinks="0" deleteColumns="0" deleteRows="0" selectLockedCells="1"/>
  <mergeCells count="143">
    <mergeCell ref="A1:L1"/>
    <mergeCell ref="AR2:BE2"/>
    <mergeCell ref="A3:L3"/>
    <mergeCell ref="M3:U4"/>
    <mergeCell ref="V3:AD4"/>
    <mergeCell ref="AE3:AM4"/>
    <mergeCell ref="AN3:BE3"/>
    <mergeCell ref="A4:L4"/>
    <mergeCell ref="AN4:AV4"/>
    <mergeCell ref="AW4:BE4"/>
    <mergeCell ref="B5:K5"/>
    <mergeCell ref="M5:T5"/>
    <mergeCell ref="V5:AC5"/>
    <mergeCell ref="AE5:AL5"/>
    <mergeCell ref="AN5:AU5"/>
    <mergeCell ref="AW5:BD5"/>
    <mergeCell ref="B6:K6"/>
    <mergeCell ref="M6:T6"/>
    <mergeCell ref="V6:AC6"/>
    <mergeCell ref="AE6:AL6"/>
    <mergeCell ref="AN6:AU6"/>
    <mergeCell ref="AW6:BD6"/>
    <mergeCell ref="B7:K7"/>
    <mergeCell ref="M7:T7"/>
    <mergeCell ref="V7:AC7"/>
    <mergeCell ref="AE7:AL7"/>
    <mergeCell ref="AN7:AU7"/>
    <mergeCell ref="AW7:BD7"/>
    <mergeCell ref="B8:K8"/>
    <mergeCell ref="M8:T8"/>
    <mergeCell ref="V8:AC8"/>
    <mergeCell ref="AE8:AL8"/>
    <mergeCell ref="AN8:AU8"/>
    <mergeCell ref="AW8:BD8"/>
    <mergeCell ref="B9:K9"/>
    <mergeCell ref="M9:T9"/>
    <mergeCell ref="V9:AC9"/>
    <mergeCell ref="AE9:AL9"/>
    <mergeCell ref="AN9:AU9"/>
    <mergeCell ref="AW9:BD9"/>
    <mergeCell ref="B10:K10"/>
    <mergeCell ref="M10:T10"/>
    <mergeCell ref="V10:AC10"/>
    <mergeCell ref="AE10:AL10"/>
    <mergeCell ref="AN10:AU10"/>
    <mergeCell ref="AW10:BD10"/>
    <mergeCell ref="B11:K11"/>
    <mergeCell ref="M11:T11"/>
    <mergeCell ref="V11:AC11"/>
    <mergeCell ref="AE11:AL11"/>
    <mergeCell ref="AN11:AU11"/>
    <mergeCell ref="AW11:BD11"/>
    <mergeCell ref="B12:K12"/>
    <mergeCell ref="M12:T12"/>
    <mergeCell ref="V12:AC12"/>
    <mergeCell ref="AE12:AL12"/>
    <mergeCell ref="AN12:AU12"/>
    <mergeCell ref="AW12:BD12"/>
    <mergeCell ref="B13:K13"/>
    <mergeCell ref="M13:T13"/>
    <mergeCell ref="V13:AC13"/>
    <mergeCell ref="AE13:AL13"/>
    <mergeCell ref="AN13:AU13"/>
    <mergeCell ref="AW13:BD13"/>
    <mergeCell ref="B14:K14"/>
    <mergeCell ref="M14:T14"/>
    <mergeCell ref="V14:AC14"/>
    <mergeCell ref="AE14:AL14"/>
    <mergeCell ref="AN14:AU14"/>
    <mergeCell ref="AW14:BD14"/>
    <mergeCell ref="B15:K15"/>
    <mergeCell ref="M15:T15"/>
    <mergeCell ref="V15:AC15"/>
    <mergeCell ref="AE15:AL15"/>
    <mergeCell ref="AN15:AU15"/>
    <mergeCell ref="AW15:BD15"/>
    <mergeCell ref="B16:K16"/>
    <mergeCell ref="M16:T16"/>
    <mergeCell ref="V16:AC16"/>
    <mergeCell ref="AE16:AL16"/>
    <mergeCell ref="AN16:AU16"/>
    <mergeCell ref="AW16:BD16"/>
    <mergeCell ref="B17:K17"/>
    <mergeCell ref="M17:T17"/>
    <mergeCell ref="V17:AC17"/>
    <mergeCell ref="AE17:AL17"/>
    <mergeCell ref="AN17:AU17"/>
    <mergeCell ref="AW17:BD17"/>
    <mergeCell ref="B18:K18"/>
    <mergeCell ref="M18:T18"/>
    <mergeCell ref="V18:AC18"/>
    <mergeCell ref="AE18:AL18"/>
    <mergeCell ref="AN18:AU18"/>
    <mergeCell ref="AW18:BD18"/>
    <mergeCell ref="B19:K19"/>
    <mergeCell ref="M19:T19"/>
    <mergeCell ref="V19:AC19"/>
    <mergeCell ref="AE19:AL19"/>
    <mergeCell ref="AN19:AU19"/>
    <mergeCell ref="AW19:BD19"/>
    <mergeCell ref="B20:K20"/>
    <mergeCell ref="M20:T20"/>
    <mergeCell ref="V20:AC20"/>
    <mergeCell ref="AE20:AL20"/>
    <mergeCell ref="AN20:AU20"/>
    <mergeCell ref="AW20:BD20"/>
    <mergeCell ref="B21:K21"/>
    <mergeCell ref="M21:T21"/>
    <mergeCell ref="V21:AC21"/>
    <mergeCell ref="AE21:AL21"/>
    <mergeCell ref="AN21:AU21"/>
    <mergeCell ref="AW21:BD21"/>
    <mergeCell ref="B22:K22"/>
    <mergeCell ref="M22:T22"/>
    <mergeCell ref="V22:AC22"/>
    <mergeCell ref="AE22:AL22"/>
    <mergeCell ref="AN22:AU22"/>
    <mergeCell ref="AW22:BD22"/>
    <mergeCell ref="B23:K23"/>
    <mergeCell ref="M23:T23"/>
    <mergeCell ref="V23:AC23"/>
    <mergeCell ref="AE23:AL23"/>
    <mergeCell ref="AN23:AU23"/>
    <mergeCell ref="AW23:BD23"/>
    <mergeCell ref="B24:K24"/>
    <mergeCell ref="M24:T24"/>
    <mergeCell ref="V24:AC24"/>
    <mergeCell ref="AE24:AL24"/>
    <mergeCell ref="AN24:AU24"/>
    <mergeCell ref="AW24:BD24"/>
    <mergeCell ref="A28:BE28"/>
    <mergeCell ref="B25:K25"/>
    <mergeCell ref="M25:T25"/>
    <mergeCell ref="V25:AC25"/>
    <mergeCell ref="AE25:AL25"/>
    <mergeCell ref="AN25:AU25"/>
    <mergeCell ref="AW25:BD25"/>
    <mergeCell ref="B26:K26"/>
    <mergeCell ref="M26:T26"/>
    <mergeCell ref="V26:AC26"/>
    <mergeCell ref="AE26:AL26"/>
    <mergeCell ref="AN26:AU26"/>
    <mergeCell ref="AW26:BD26"/>
  </mergeCells>
  <phoneticPr fontId="155"/>
  <conditionalFormatting sqref="B47 B48 B49 B54 B55 B56 B58 B59 B60 C47 C48 C49 C54 C55 C56 C58 C59 D47 D48 D49 D54 D55 D56 D58 D59 E47 E48 E49 E54 E55 E56 E58 E59 F47 F48 F54 F55 F58 F59 G47 G48 G54 G55 G58 G59 H47 H48 H54 H55 H58 H59 M5 M6 M7 M8 M9 M10 M11 M12 M13 M14 M15 M16 M17 M19 M20 M21 M23 M24 M25 V12 V17">
    <cfRule type="expression" dxfId="6" priority="1">
      <formula>AND(入力色表示=1,NOT(_xlfn.ISFORMULA(B47)))</formula>
    </cfRule>
  </conditionalFormatting>
  <dataValidations count="21">
    <dataValidation allowBlank="1" showInputMessage="1" promptTitle="手入力セル" prompt="反映先：報告_業務P19 M26,AE5、業務_附属明細表 E122&#10;他の帳票：業務_附属明細表" sqref="M5"/>
    <dataValidation allowBlank="1" showInputMessage="1" promptTitle="手入力セル" prompt="反映先：報告_業務P19 M26,AE6、業務_附属明細表 E123&#10;他の帳票：業務_附属明細表" sqref="M6"/>
    <dataValidation allowBlank="1" showInputMessage="1" promptTitle="手入力セル" prompt="反映先：報告_業務P19 M26,AE7&#10;他の帳票：なし" sqref="M7"/>
    <dataValidation allowBlank="1" showInputMessage="1" promptTitle="手入力セル" prompt="反映先：報告_業務P19 M26,AE8、業務_附属明細表 E124&#10;他の帳票：業務_附属明細表" sqref="M8"/>
    <dataValidation allowBlank="1" showInputMessage="1" promptTitle="手入力セル" prompt="反映先：報告_業務P19 M26,AE9&#10;他の帳票：なし" sqref="M9"/>
    <dataValidation allowBlank="1" showInputMessage="1" promptTitle="手入力セル" prompt="反映先：報告_業務P19 M26,AE10&#10;他の帳票：なし" sqref="M10"/>
    <dataValidation allowBlank="1" showInputMessage="1" promptTitle="手入力セル" prompt="反映先：報告_業務P19 M26,AE11&#10;他の帳票：なし" sqref="M11"/>
    <dataValidation allowBlank="1" showInputMessage="1" promptTitle="手入力セル" prompt="反映先：報告_業務P19 M26,AE12&#10;他の帳票：なし" sqref="M12"/>
    <dataValidation allowBlank="1" showInputMessage="1" promptTitle="手入力セル" prompt="反映先：報告_業務P19 M26,AE13&#10;他の帳票：なし" sqref="M13"/>
    <dataValidation allowBlank="1" showInputMessage="1" promptTitle="手入力セル" prompt="反映先：報告_業務P19 M26,AE14&#10;他の帳票：なし" sqref="M14"/>
    <dataValidation allowBlank="1" showInputMessage="1" promptTitle="手入力セル" prompt="反映先：報告_業務P19 M26,AE15&#10;他の帳票：なし" sqref="M15"/>
    <dataValidation allowBlank="1" showInputMessage="1" promptTitle="手入力セル" prompt="反映先：報告_業務P19 M26,AE16&#10;他の帳票：なし" sqref="M16"/>
    <dataValidation allowBlank="1" showInputMessage="1" promptTitle="手入力セル" prompt="反映先：報告_業務P19 M26,AE17&#10;他の帳票：なし" sqref="M17"/>
    <dataValidation allowBlank="1" showInputMessage="1" promptTitle="手入力セル" prompt="反映先：報告_業務P19 M26,AE19&#10;他の帳票：なし" sqref="M19"/>
    <dataValidation allowBlank="1" showInputMessage="1" promptTitle="手入力セル" prompt="反映先：報告_業務P19 M26,AE20&#10;他の帳票：なし" sqref="M20"/>
    <dataValidation allowBlank="1" showInputMessage="1" promptTitle="手入力セル" prompt="反映先：報告_業務P19 M26,AE21&#10;他の帳票：なし" sqref="M21"/>
    <dataValidation allowBlank="1" showInputMessage="1" promptTitle="手入力セル" prompt="反映先：報告_業務P19 M26,AE23&#10;他の帳票：なし" sqref="M23"/>
    <dataValidation allowBlank="1" showInputMessage="1" promptTitle="手入力セル" prompt="反映先：報告_業務P19 M26,AE24&#10;他の帳票：なし" sqref="M24"/>
    <dataValidation allowBlank="1" showInputMessage="1" promptTitle="手入力セル" prompt="反映先：報告_業務P19 M26,AE25&#10;他の帳票：なし" sqref="M25"/>
    <dataValidation allowBlank="1" showInputMessage="1" promptTitle="手入力セル" prompt="反映先：報告_業務P19 V26,AE12,AW12&#10;他の帳票：なし" sqref="V12"/>
    <dataValidation allowBlank="1" showInputMessage="1" promptTitle="手入力セル" prompt="反映先：報告_業務P19 V26,AE17,AW17&#10;他の帳票：なし" sqref="V17"/>
  </dataValidations>
  <printOptions horizontalCentered="1"/>
  <pageMargins left="0.47222222222222199" right="0.31527777777777799" top="0.78749999999999998" bottom="0.59027777777777801" header="0.511811023622047" footer="0.39374999999999999"/>
  <pageSetup paperSize="9" scale="95" firstPageNumber="19" orientation="portrait" useFirstPageNumber="1" horizontalDpi="300" verticalDpi="300"/>
  <headerFooter>
    <oddFooter>&amp;C&amp;"ＭＳ 明朝,Regular"&amp;12－ &amp;P －</oddFooter>
  </headerFooter>
  <rowBreaks count="1" manualBreakCount="1">
    <brk id="33" max="16383" man="1"/>
  </rowBreaks>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D6FBF-1857-4410-B347-3547C3157824}">
  <sheetPr codeName="Sheet18">
    <pageSetUpPr fitToPage="1"/>
  </sheetPr>
  <dimension ref="A1:IW177"/>
  <sheetViews>
    <sheetView topLeftCell="A4" zoomScaleNormal="100" zoomScalePageLayoutView="60" workbookViewId="0">
      <selection sqref="A1:G1"/>
    </sheetView>
  </sheetViews>
  <sheetFormatPr defaultColWidth="1.6640625" defaultRowHeight="13.2"/>
  <cols>
    <col min="1" max="3" width="1.6640625" style="166"/>
    <col min="4" max="4" width="2.21875" style="166" customWidth="1"/>
    <col min="5" max="10" width="1.6640625" style="166"/>
    <col min="11" max="11" width="2.109375" style="166" customWidth="1"/>
    <col min="12" max="257" width="1.6640625" style="166"/>
  </cols>
  <sheetData>
    <row r="1" spans="1:57" ht="24.75" hidden="1" customHeight="1">
      <c r="A1" s="466"/>
      <c r="B1" s="216"/>
      <c r="C1" s="216"/>
      <c r="D1" s="216"/>
      <c r="E1" s="216"/>
      <c r="F1" s="216"/>
      <c r="G1" s="216"/>
      <c r="H1" s="216"/>
      <c r="I1" s="216"/>
      <c r="J1" s="216"/>
      <c r="K1" s="216"/>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c r="BE1" s="216"/>
    </row>
    <row r="2" spans="1:57" ht="23.1" hidden="1" customHeight="1">
      <c r="A2" s="216"/>
      <c r="B2" s="216"/>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6"/>
      <c r="AS2" s="216"/>
      <c r="AT2" s="216"/>
      <c r="AU2" s="216"/>
      <c r="AV2" s="216"/>
      <c r="AW2" s="216"/>
      <c r="AX2" s="216"/>
      <c r="AY2" s="216"/>
      <c r="AZ2" s="216"/>
      <c r="BA2" s="216"/>
      <c r="BB2" s="216"/>
      <c r="BC2" s="216"/>
      <c r="BD2" s="216"/>
      <c r="BE2" s="216"/>
    </row>
    <row r="3" spans="1:57" ht="19.5" hidden="1" customHeight="1"/>
    <row r="4" spans="1:57" ht="24.75" customHeight="1">
      <c r="A4" s="1947" t="s">
        <v>671</v>
      </c>
      <c r="B4" s="1947"/>
      <c r="C4" s="1947"/>
      <c r="D4" s="1947"/>
      <c r="E4" s="1947"/>
      <c r="F4" s="1947"/>
      <c r="G4" s="1947"/>
      <c r="H4" s="1947"/>
      <c r="I4" s="1947"/>
      <c r="J4" s="1947"/>
      <c r="K4" s="1947"/>
      <c r="L4" s="1947"/>
      <c r="M4" s="1947"/>
      <c r="N4" s="1947"/>
      <c r="O4" s="1947"/>
      <c r="P4" s="1947"/>
      <c r="Q4" s="1947"/>
      <c r="R4" s="1947"/>
      <c r="S4" s="1947"/>
      <c r="T4" s="1947"/>
      <c r="U4" s="1947"/>
      <c r="V4" s="1947"/>
    </row>
    <row r="5" spans="1:57" ht="17.25" customHeight="1">
      <c r="A5" s="173" t="s">
        <v>672</v>
      </c>
      <c r="B5" s="168"/>
      <c r="C5" s="168"/>
      <c r="D5" s="168"/>
      <c r="E5" s="168"/>
      <c r="F5" s="168"/>
      <c r="G5" s="168"/>
      <c r="H5" s="168"/>
      <c r="I5" s="168"/>
      <c r="J5" s="168"/>
      <c r="K5" s="168"/>
      <c r="L5" s="168"/>
      <c r="M5" s="167"/>
      <c r="N5" s="169"/>
      <c r="O5" s="169"/>
      <c r="P5" s="169"/>
      <c r="Q5" s="169"/>
      <c r="R5" s="169"/>
      <c r="S5" s="169"/>
      <c r="T5" s="169"/>
      <c r="U5" s="169"/>
      <c r="V5" s="170"/>
      <c r="W5" s="170"/>
      <c r="X5" s="170"/>
      <c r="Y5" s="170"/>
      <c r="Z5" s="170"/>
      <c r="AA5" s="170"/>
      <c r="AB5" s="170"/>
      <c r="AC5" s="170"/>
      <c r="AD5" s="169"/>
      <c r="AE5" s="169"/>
      <c r="AF5" s="169"/>
      <c r="AG5" s="169"/>
      <c r="AH5" s="169"/>
      <c r="AI5" s="169"/>
      <c r="AJ5" s="169"/>
      <c r="AK5" s="169"/>
      <c r="AL5" s="171"/>
      <c r="AM5" s="169"/>
    </row>
    <row r="6" spans="1:57" ht="17.100000000000001" customHeight="1">
      <c r="A6" s="1935"/>
      <c r="B6" s="1935"/>
      <c r="C6" s="1935"/>
      <c r="D6" s="1935"/>
      <c r="E6" s="1935"/>
      <c r="F6" s="1935"/>
      <c r="G6" s="1935"/>
      <c r="H6" s="1935"/>
      <c r="I6" s="1935"/>
      <c r="J6" s="1935"/>
      <c r="K6" s="1935"/>
      <c r="L6" s="1935"/>
      <c r="M6" s="1935"/>
      <c r="AG6" s="210" t="s">
        <v>398</v>
      </c>
    </row>
    <row r="7" spans="1:57" ht="17.100000000000001" customHeight="1">
      <c r="A7" s="1942" t="s">
        <v>399</v>
      </c>
      <c r="B7" s="1942"/>
      <c r="C7" s="1942"/>
      <c r="D7" s="1942"/>
      <c r="E7" s="1942"/>
      <c r="F7" s="1942"/>
      <c r="G7" s="1942"/>
      <c r="H7" s="1942"/>
      <c r="I7" s="1942"/>
      <c r="J7" s="1942"/>
      <c r="K7" s="1942"/>
      <c r="L7" s="1942"/>
      <c r="M7" s="1942"/>
      <c r="N7" s="219"/>
      <c r="O7" s="1951" t="s">
        <v>673</v>
      </c>
      <c r="P7" s="1951"/>
      <c r="Q7" s="1951"/>
      <c r="R7" s="1951"/>
      <c r="S7" s="1951"/>
      <c r="T7" s="1951"/>
      <c r="U7" s="211"/>
      <c r="V7" s="219"/>
      <c r="W7" s="1951" t="s">
        <v>674</v>
      </c>
      <c r="X7" s="1951"/>
      <c r="Y7" s="1951"/>
      <c r="Z7" s="1951"/>
      <c r="AA7" s="1951"/>
      <c r="AB7" s="1951"/>
      <c r="AC7" s="467"/>
      <c r="AD7" s="468"/>
      <c r="AE7" s="1951" t="s">
        <v>675</v>
      </c>
      <c r="AF7" s="1951"/>
      <c r="AG7" s="1951"/>
      <c r="AH7" s="1951"/>
      <c r="AI7" s="1951"/>
      <c r="AJ7" s="1951"/>
      <c r="AK7" s="469"/>
      <c r="AR7" s="175"/>
      <c r="AS7" s="175"/>
      <c r="AT7" s="175"/>
      <c r="AU7" s="175"/>
      <c r="AV7" s="175"/>
      <c r="AW7" s="175"/>
      <c r="AX7" s="175"/>
      <c r="AY7" s="175"/>
      <c r="AZ7" s="175"/>
      <c r="BA7" s="175"/>
    </row>
    <row r="8" spans="1:57" ht="22.5" customHeight="1">
      <c r="A8" s="2001" t="s">
        <v>358</v>
      </c>
      <c r="B8" s="2001"/>
      <c r="C8" s="2001"/>
      <c r="D8" s="2001"/>
      <c r="E8" s="2001"/>
      <c r="F8" s="2001"/>
      <c r="G8" s="2001"/>
      <c r="H8" s="2001"/>
      <c r="I8" s="2001"/>
      <c r="J8" s="2001"/>
      <c r="K8" s="2001"/>
      <c r="L8" s="2001"/>
      <c r="M8" s="2001"/>
      <c r="N8" s="190"/>
      <c r="O8" s="1951"/>
      <c r="P8" s="1951"/>
      <c r="Q8" s="1951"/>
      <c r="R8" s="1951"/>
      <c r="S8" s="1951"/>
      <c r="T8" s="1951"/>
      <c r="U8" s="470"/>
      <c r="V8" s="190"/>
      <c r="W8" s="1951"/>
      <c r="X8" s="1951"/>
      <c r="Y8" s="1951"/>
      <c r="Z8" s="1951"/>
      <c r="AA8" s="1951"/>
      <c r="AB8" s="1951"/>
      <c r="AC8" s="470"/>
      <c r="AD8" s="190"/>
      <c r="AE8" s="1951"/>
      <c r="AF8" s="1951"/>
      <c r="AG8" s="1951"/>
      <c r="AH8" s="1951"/>
      <c r="AI8" s="1951"/>
      <c r="AJ8" s="1951"/>
      <c r="AK8" s="470"/>
    </row>
    <row r="9" spans="1:57" ht="22.5" customHeight="1">
      <c r="A9" s="188"/>
      <c r="B9" s="2229" t="s">
        <v>15</v>
      </c>
      <c r="C9" s="2229"/>
      <c r="D9" s="2229"/>
      <c r="E9" s="2229"/>
      <c r="F9" s="2229"/>
      <c r="G9" s="2229"/>
      <c r="H9" s="2229"/>
      <c r="I9" s="2229"/>
      <c r="J9" s="2229"/>
      <c r="K9" s="2229"/>
      <c r="L9" s="2229"/>
      <c r="M9" s="197"/>
      <c r="N9" s="471"/>
      <c r="O9" s="3064">
        <v>2.1</v>
      </c>
      <c r="P9" s="3065"/>
      <c r="Q9" s="3065"/>
      <c r="R9" s="3065"/>
      <c r="S9" s="3065"/>
      <c r="T9" s="3065"/>
      <c r="U9" s="472"/>
      <c r="V9" s="471"/>
      <c r="W9" s="3064">
        <v>2.1</v>
      </c>
      <c r="X9" s="3065"/>
      <c r="Y9" s="3065"/>
      <c r="Z9" s="3065"/>
      <c r="AA9" s="3065"/>
      <c r="AB9" s="3065"/>
      <c r="AC9" s="472"/>
      <c r="AD9" s="471"/>
      <c r="AE9" s="2277">
        <f>O9+W9</f>
        <v>4.2</v>
      </c>
      <c r="AF9" s="2277"/>
      <c r="AG9" s="2277"/>
      <c r="AH9" s="2277"/>
      <c r="AI9" s="2277"/>
      <c r="AJ9" s="2277"/>
      <c r="AK9" s="472"/>
    </row>
    <row r="10" spans="1:57" ht="22.5" customHeight="1">
      <c r="A10" s="188"/>
      <c r="B10" s="2229" t="s">
        <v>17</v>
      </c>
      <c r="C10" s="2229"/>
      <c r="D10" s="2229"/>
      <c r="E10" s="2229"/>
      <c r="F10" s="2229"/>
      <c r="G10" s="2229"/>
      <c r="H10" s="2229"/>
      <c r="I10" s="2229"/>
      <c r="J10" s="2229"/>
      <c r="K10" s="2229"/>
      <c r="L10" s="2229"/>
      <c r="M10" s="197"/>
      <c r="N10" s="471"/>
      <c r="O10" s="3064">
        <v>2.1</v>
      </c>
      <c r="P10" s="3065"/>
      <c r="Q10" s="3065"/>
      <c r="R10" s="3065"/>
      <c r="S10" s="3065"/>
      <c r="T10" s="3065"/>
      <c r="U10" s="472"/>
      <c r="V10" s="471"/>
      <c r="W10" s="3064">
        <v>2.1</v>
      </c>
      <c r="X10" s="3065"/>
      <c r="Y10" s="3065"/>
      <c r="Z10" s="3065"/>
      <c r="AA10" s="3065"/>
      <c r="AB10" s="3065"/>
      <c r="AC10" s="472"/>
      <c r="AD10" s="471"/>
      <c r="AE10" s="2277">
        <f>O10+W10</f>
        <v>4.2</v>
      </c>
      <c r="AF10" s="2277"/>
      <c r="AG10" s="2277"/>
      <c r="AH10" s="2277"/>
      <c r="AI10" s="2277"/>
      <c r="AJ10" s="2277"/>
      <c r="AK10" s="472"/>
    </row>
    <row r="11" spans="1:57" ht="22.5" customHeight="1">
      <c r="A11" s="187"/>
      <c r="B11" s="2229" t="s">
        <v>18</v>
      </c>
      <c r="C11" s="2229"/>
      <c r="D11" s="2229"/>
      <c r="E11" s="2229"/>
      <c r="F11" s="2229"/>
      <c r="G11" s="2229"/>
      <c r="H11" s="2229"/>
      <c r="I11" s="2229"/>
      <c r="J11" s="2229"/>
      <c r="K11" s="2229"/>
      <c r="L11" s="2229"/>
      <c r="M11" s="218"/>
      <c r="N11" s="473"/>
      <c r="O11" s="3066">
        <v>2.1</v>
      </c>
      <c r="P11" s="3067"/>
      <c r="Q11" s="3067"/>
      <c r="R11" s="3067"/>
      <c r="S11" s="3067"/>
      <c r="T11" s="3067"/>
      <c r="U11" s="474"/>
      <c r="V11" s="473"/>
      <c r="W11" s="3066">
        <v>2.1</v>
      </c>
      <c r="X11" s="3067"/>
      <c r="Y11" s="3067"/>
      <c r="Z11" s="3067"/>
      <c r="AA11" s="3067"/>
      <c r="AB11" s="3067"/>
      <c r="AC11" s="474"/>
      <c r="AD11" s="473"/>
      <c r="AE11" s="2280">
        <f>O11+W11</f>
        <v>4.2</v>
      </c>
      <c r="AF11" s="2280"/>
      <c r="AG11" s="2280"/>
      <c r="AH11" s="2280"/>
      <c r="AI11" s="2280"/>
      <c r="AJ11" s="2280"/>
      <c r="AK11" s="474"/>
    </row>
    <row r="12" spans="1:57" ht="22.5" customHeight="1">
      <c r="A12" s="188"/>
      <c r="B12" s="1932" t="s">
        <v>19</v>
      </c>
      <c r="C12" s="1932"/>
      <c r="D12" s="1932"/>
      <c r="E12" s="1932"/>
      <c r="F12" s="1932"/>
      <c r="G12" s="1932"/>
      <c r="H12" s="1932"/>
      <c r="I12" s="1932"/>
      <c r="J12" s="1932"/>
      <c r="K12" s="1932"/>
      <c r="L12" s="1932"/>
      <c r="M12" s="197"/>
      <c r="N12" s="471"/>
      <c r="O12" s="3064">
        <v>2.1</v>
      </c>
      <c r="P12" s="3065"/>
      <c r="Q12" s="3065"/>
      <c r="R12" s="3065"/>
      <c r="S12" s="3065"/>
      <c r="T12" s="3065"/>
      <c r="U12" s="472"/>
      <c r="V12" s="471"/>
      <c r="W12" s="3064">
        <v>2.1</v>
      </c>
      <c r="X12" s="3065"/>
      <c r="Y12" s="3065"/>
      <c r="Z12" s="3065"/>
      <c r="AA12" s="3065"/>
      <c r="AB12" s="3065"/>
      <c r="AC12" s="472"/>
      <c r="AD12" s="471"/>
      <c r="AE12" s="2277">
        <f>O12+W12</f>
        <v>4.2</v>
      </c>
      <c r="AF12" s="2277"/>
      <c r="AG12" s="2277"/>
      <c r="AH12" s="2277"/>
      <c r="AI12" s="2277"/>
      <c r="AJ12" s="2277"/>
      <c r="AK12" s="472"/>
      <c r="AP12" s="167"/>
      <c r="AQ12" s="168"/>
      <c r="AR12" s="168"/>
      <c r="AS12" s="168"/>
      <c r="AT12" s="168"/>
      <c r="AU12" s="168"/>
      <c r="AV12" s="168"/>
      <c r="AW12" s="168"/>
      <c r="AX12" s="168"/>
      <c r="AY12" s="168"/>
      <c r="AZ12" s="168"/>
      <c r="BA12" s="168"/>
      <c r="BB12" s="167"/>
    </row>
    <row r="13" spans="1:57" ht="22.5" customHeight="1">
      <c r="A13" s="188"/>
      <c r="B13" s="1932" t="s">
        <v>22</v>
      </c>
      <c r="C13" s="1932"/>
      <c r="D13" s="1932"/>
      <c r="E13" s="1932"/>
      <c r="F13" s="1932"/>
      <c r="G13" s="1932"/>
      <c r="H13" s="1932"/>
      <c r="I13" s="1932"/>
      <c r="J13" s="1932"/>
      <c r="K13" s="1932"/>
      <c r="L13" s="1932"/>
      <c r="M13" s="197"/>
      <c r="N13" s="471"/>
      <c r="O13" s="3064">
        <v>4.2</v>
      </c>
      <c r="P13" s="3065"/>
      <c r="Q13" s="3065"/>
      <c r="R13" s="3065"/>
      <c r="S13" s="3065"/>
      <c r="T13" s="3065"/>
      <c r="U13" s="472"/>
      <c r="V13" s="2276"/>
      <c r="W13" s="2276"/>
      <c r="X13" s="2276"/>
      <c r="Y13" s="2276"/>
      <c r="Z13" s="2276"/>
      <c r="AA13" s="2276"/>
      <c r="AB13" s="2276"/>
      <c r="AC13" s="2276"/>
      <c r="AD13" s="471"/>
      <c r="AE13" s="2277">
        <f>O13+W13</f>
        <v>4.2</v>
      </c>
      <c r="AF13" s="2277"/>
      <c r="AG13" s="2277"/>
      <c r="AH13" s="2277"/>
      <c r="AI13" s="2277"/>
      <c r="AJ13" s="2277"/>
      <c r="AK13" s="472"/>
      <c r="AP13" s="167"/>
      <c r="AQ13" s="168"/>
      <c r="AR13" s="168"/>
      <c r="AS13" s="168"/>
      <c r="AT13" s="168"/>
      <c r="AU13" s="168"/>
      <c r="AV13" s="168"/>
      <c r="AW13" s="168"/>
      <c r="AX13" s="168"/>
      <c r="AY13" s="168"/>
      <c r="AZ13" s="168"/>
      <c r="BA13" s="168"/>
      <c r="BB13" s="167"/>
    </row>
    <row r="14" spans="1:57" ht="11.25" customHeight="1">
      <c r="A14" s="167"/>
      <c r="B14" s="168"/>
      <c r="C14" s="168"/>
      <c r="D14" s="168"/>
      <c r="E14" s="168"/>
      <c r="F14" s="168"/>
      <c r="G14" s="168"/>
      <c r="H14" s="168"/>
      <c r="I14" s="168"/>
      <c r="J14" s="168"/>
      <c r="K14" s="168"/>
      <c r="L14" s="168"/>
      <c r="M14" s="167"/>
      <c r="N14" s="475"/>
      <c r="O14" s="476"/>
      <c r="P14" s="476"/>
      <c r="Q14" s="476"/>
      <c r="R14" s="476"/>
      <c r="S14" s="476"/>
      <c r="T14" s="476"/>
      <c r="U14" s="475"/>
      <c r="V14" s="475"/>
      <c r="W14" s="476"/>
      <c r="X14" s="476"/>
      <c r="Y14" s="476"/>
      <c r="Z14" s="476"/>
      <c r="AA14" s="476"/>
      <c r="AB14" s="476"/>
      <c r="AC14" s="475"/>
      <c r="AD14" s="475"/>
      <c r="AE14" s="476"/>
      <c r="AF14" s="476"/>
      <c r="AG14" s="476"/>
      <c r="AH14" s="476"/>
      <c r="AI14" s="476"/>
      <c r="AJ14" s="476"/>
      <c r="AK14" s="475"/>
    </row>
    <row r="15" spans="1:57" ht="18" customHeight="1">
      <c r="A15" s="2183" t="s">
        <v>599</v>
      </c>
      <c r="B15" s="2183"/>
      <c r="C15" s="2183"/>
      <c r="D15" s="2183"/>
      <c r="E15" s="2183"/>
      <c r="F15" s="2183"/>
      <c r="G15" s="2183"/>
      <c r="H15" s="2183"/>
      <c r="I15" s="2183"/>
      <c r="J15" s="2183"/>
      <c r="K15" s="2183"/>
      <c r="L15" s="2183"/>
      <c r="M15" s="2183"/>
      <c r="N15" s="2183"/>
      <c r="O15" s="2183"/>
      <c r="P15" s="2183"/>
      <c r="Q15" s="2183"/>
      <c r="R15" s="477"/>
      <c r="S15" s="477"/>
      <c r="T15" s="477"/>
      <c r="U15" s="477"/>
      <c r="V15" s="477"/>
      <c r="W15" s="477"/>
      <c r="X15" s="477"/>
      <c r="Y15" s="477"/>
      <c r="Z15" s="477"/>
      <c r="AA15" s="477"/>
      <c r="AB15" s="477"/>
      <c r="AC15" s="477"/>
      <c r="AD15" s="477"/>
      <c r="AE15" s="477"/>
      <c r="AF15" s="477"/>
      <c r="AG15" s="477"/>
      <c r="AH15" s="477"/>
      <c r="AI15" s="477"/>
      <c r="AJ15" s="477"/>
      <c r="AK15" s="477"/>
      <c r="AL15" s="477"/>
      <c r="AM15" s="477"/>
      <c r="AN15" s="477"/>
      <c r="AO15" s="477"/>
      <c r="AP15" s="477"/>
      <c r="AQ15" s="477"/>
      <c r="AR15" s="477"/>
      <c r="AS15" s="477"/>
      <c r="AT15" s="477"/>
      <c r="AU15" s="477"/>
      <c r="AV15" s="477"/>
      <c r="AW15" s="477"/>
      <c r="AX15" s="477"/>
      <c r="AY15" s="477"/>
      <c r="AZ15" s="477"/>
      <c r="BA15" s="477"/>
      <c r="BB15" s="477"/>
      <c r="BC15" s="477"/>
      <c r="BD15" s="477"/>
      <c r="BE15" s="477"/>
    </row>
    <row r="16" spans="1:57" ht="18" customHeight="1">
      <c r="A16" s="2183" t="s">
        <v>579</v>
      </c>
      <c r="B16" s="2183"/>
      <c r="C16" s="2183"/>
      <c r="D16" s="2183"/>
      <c r="E16" s="2183"/>
      <c r="F16" s="2183"/>
      <c r="G16" s="2183"/>
      <c r="H16" s="2183"/>
      <c r="I16" s="2183"/>
      <c r="J16" s="2183"/>
      <c r="K16" s="2183"/>
      <c r="L16" s="2183"/>
      <c r="M16" s="2183"/>
      <c r="N16" s="2183"/>
      <c r="O16" s="2183"/>
      <c r="P16" s="2183"/>
      <c r="Q16" s="2183"/>
      <c r="R16" s="477"/>
      <c r="S16" s="477"/>
      <c r="T16" s="477"/>
      <c r="U16" s="477"/>
      <c r="V16" s="477"/>
      <c r="W16" s="477"/>
      <c r="X16" s="477"/>
      <c r="Y16" s="477"/>
      <c r="Z16" s="477"/>
      <c r="AA16" s="477"/>
      <c r="AB16" s="477"/>
      <c r="AC16" s="477"/>
      <c r="AD16" s="477"/>
      <c r="AE16" s="477"/>
      <c r="AF16" s="477"/>
      <c r="AG16" s="477"/>
      <c r="AH16" s="477"/>
      <c r="AI16" s="477"/>
      <c r="AJ16" s="477"/>
      <c r="AK16" s="477"/>
      <c r="AL16" s="477"/>
      <c r="AM16" s="477"/>
      <c r="AN16" s="477"/>
      <c r="AO16" s="477"/>
      <c r="AP16" s="477"/>
      <c r="AQ16" s="477"/>
      <c r="AR16" s="477"/>
      <c r="AS16" s="477"/>
      <c r="AT16" s="477"/>
      <c r="AU16" s="477"/>
      <c r="AV16" s="477"/>
      <c r="AW16" s="477"/>
      <c r="AX16" s="477"/>
      <c r="AY16" s="477"/>
      <c r="AZ16" s="477"/>
      <c r="BA16" s="477"/>
      <c r="BB16" s="477"/>
      <c r="BC16" s="477"/>
      <c r="BD16" s="477"/>
      <c r="BE16" s="477"/>
    </row>
    <row r="17" spans="1:70" ht="15.75" customHeight="1">
      <c r="AR17" s="1983" t="s">
        <v>408</v>
      </c>
      <c r="AS17" s="1983"/>
      <c r="AT17" s="1983"/>
      <c r="AU17" s="1983"/>
      <c r="AV17" s="1983"/>
      <c r="AW17" s="1983"/>
      <c r="AX17" s="1983"/>
      <c r="AY17" s="1983"/>
      <c r="AZ17" s="1983"/>
      <c r="BA17" s="1983"/>
      <c r="BB17" s="1983"/>
      <c r="BC17" s="1983"/>
      <c r="BD17" s="1983"/>
      <c r="BE17" s="1983"/>
    </row>
    <row r="18" spans="1:70" ht="24" customHeight="1">
      <c r="A18" s="2012" t="s">
        <v>580</v>
      </c>
      <c r="B18" s="2012"/>
      <c r="C18" s="2012"/>
      <c r="D18" s="2012"/>
      <c r="E18" s="2012"/>
      <c r="F18" s="2012"/>
      <c r="G18" s="2012"/>
      <c r="H18" s="2012"/>
      <c r="I18" s="2012"/>
      <c r="J18" s="2012"/>
      <c r="K18" s="2012"/>
      <c r="L18" s="2012"/>
      <c r="M18" s="1943" t="s">
        <v>581</v>
      </c>
      <c r="N18" s="1943"/>
      <c r="O18" s="1943"/>
      <c r="P18" s="1943"/>
      <c r="Q18" s="1943"/>
      <c r="R18" s="1943"/>
      <c r="S18" s="1943"/>
      <c r="T18" s="1943"/>
      <c r="U18" s="1943"/>
      <c r="V18" s="1951" t="s">
        <v>582</v>
      </c>
      <c r="W18" s="1951"/>
      <c r="X18" s="1951"/>
      <c r="Y18" s="1951"/>
      <c r="Z18" s="1951"/>
      <c r="AA18" s="1951"/>
      <c r="AB18" s="1951"/>
      <c r="AC18" s="1951"/>
      <c r="AD18" s="1951"/>
      <c r="AE18" s="1943" t="s">
        <v>356</v>
      </c>
      <c r="AF18" s="1943"/>
      <c r="AG18" s="1943"/>
      <c r="AH18" s="1943"/>
      <c r="AI18" s="1943"/>
      <c r="AJ18" s="1943"/>
      <c r="AK18" s="1943"/>
      <c r="AL18" s="1943"/>
      <c r="AM18" s="1943"/>
      <c r="AN18" s="1943" t="s">
        <v>410</v>
      </c>
      <c r="AO18" s="1943"/>
      <c r="AP18" s="1943"/>
      <c r="AQ18" s="1943"/>
      <c r="AR18" s="1943"/>
      <c r="AS18" s="1943"/>
      <c r="AT18" s="1943"/>
      <c r="AU18" s="1943"/>
      <c r="AV18" s="1943"/>
      <c r="AW18" s="1943"/>
      <c r="AX18" s="1943"/>
      <c r="AY18" s="1943"/>
      <c r="AZ18" s="1943"/>
      <c r="BA18" s="1943"/>
      <c r="BB18" s="1943"/>
      <c r="BC18" s="1943"/>
      <c r="BD18" s="1943"/>
      <c r="BE18" s="1943"/>
    </row>
    <row r="19" spans="1:70" ht="24" customHeight="1">
      <c r="A19" s="2023" t="s">
        <v>583</v>
      </c>
      <c r="B19" s="2023"/>
      <c r="C19" s="2023"/>
      <c r="D19" s="2023"/>
      <c r="E19" s="2023"/>
      <c r="F19" s="2023"/>
      <c r="G19" s="2023"/>
      <c r="H19" s="2023"/>
      <c r="I19" s="2023"/>
      <c r="J19" s="2023"/>
      <c r="K19" s="2023"/>
      <c r="L19" s="2023"/>
      <c r="M19" s="1943"/>
      <c r="N19" s="1943"/>
      <c r="O19" s="1943"/>
      <c r="P19" s="1943"/>
      <c r="Q19" s="1943"/>
      <c r="R19" s="1943"/>
      <c r="S19" s="1943"/>
      <c r="T19" s="1943"/>
      <c r="U19" s="1943"/>
      <c r="V19" s="1951"/>
      <c r="W19" s="1951"/>
      <c r="X19" s="1951"/>
      <c r="Y19" s="1951"/>
      <c r="Z19" s="1951"/>
      <c r="AA19" s="1951"/>
      <c r="AB19" s="1951"/>
      <c r="AC19" s="1951"/>
      <c r="AD19" s="1951"/>
      <c r="AE19" s="1943"/>
      <c r="AF19" s="1943"/>
      <c r="AG19" s="1943"/>
      <c r="AH19" s="1943"/>
      <c r="AI19" s="1943"/>
      <c r="AJ19" s="1943"/>
      <c r="AK19" s="1943"/>
      <c r="AL19" s="1943"/>
      <c r="AM19" s="1943"/>
      <c r="AN19" s="1943" t="s">
        <v>378</v>
      </c>
      <c r="AO19" s="1943"/>
      <c r="AP19" s="1943"/>
      <c r="AQ19" s="1943"/>
      <c r="AR19" s="1943"/>
      <c r="AS19" s="1943"/>
      <c r="AT19" s="1943"/>
      <c r="AU19" s="1943"/>
      <c r="AV19" s="1943"/>
      <c r="AW19" s="2231" t="s">
        <v>356</v>
      </c>
      <c r="AX19" s="2231"/>
      <c r="AY19" s="2231"/>
      <c r="AZ19" s="2231"/>
      <c r="BA19" s="2231"/>
      <c r="BB19" s="2231"/>
      <c r="BC19" s="2231"/>
      <c r="BD19" s="2231"/>
      <c r="BE19" s="2231"/>
    </row>
    <row r="20" spans="1:70" ht="27.9" customHeight="1">
      <c r="A20" s="219"/>
      <c r="B20" s="1932" t="s">
        <v>125</v>
      </c>
      <c r="C20" s="1932"/>
      <c r="D20" s="1932"/>
      <c r="E20" s="1932"/>
      <c r="F20" s="1932"/>
      <c r="G20" s="1932"/>
      <c r="H20" s="1932"/>
      <c r="I20" s="1932"/>
      <c r="J20" s="1932"/>
      <c r="K20" s="1932"/>
      <c r="L20" s="197"/>
      <c r="M20" s="2245">
        <f>SUM(M21:T23)</f>
        <v>376789000</v>
      </c>
      <c r="N20" s="2245"/>
      <c r="O20" s="2245"/>
      <c r="P20" s="2245"/>
      <c r="Q20" s="2245"/>
      <c r="R20" s="2245"/>
      <c r="S20" s="2245"/>
      <c r="T20" s="2245"/>
      <c r="U20" s="478"/>
      <c r="V20" s="2245">
        <f>SUM(V21:AC23)</f>
        <v>405168491</v>
      </c>
      <c r="W20" s="2245"/>
      <c r="X20" s="2245"/>
      <c r="Y20" s="2245"/>
      <c r="Z20" s="2245"/>
      <c r="AA20" s="2245"/>
      <c r="AB20" s="2245"/>
      <c r="AC20" s="2245"/>
      <c r="AD20" s="479"/>
      <c r="AE20" s="2245">
        <f t="shared" ref="AE20:AE33" si="0">V20-M20</f>
        <v>28379491</v>
      </c>
      <c r="AF20" s="2245"/>
      <c r="AG20" s="2245"/>
      <c r="AH20" s="2245"/>
      <c r="AI20" s="2245"/>
      <c r="AJ20" s="2245"/>
      <c r="AK20" s="2245"/>
      <c r="AL20" s="2245"/>
      <c r="AM20" s="478"/>
      <c r="AN20" s="2245">
        <f>SUM(AN21:AU23)</f>
        <v>393344415</v>
      </c>
      <c r="AO20" s="2245"/>
      <c r="AP20" s="2245"/>
      <c r="AQ20" s="2245"/>
      <c r="AR20" s="2245"/>
      <c r="AS20" s="2245"/>
      <c r="AT20" s="2245"/>
      <c r="AU20" s="2245"/>
      <c r="AV20" s="478"/>
      <c r="AW20" s="2215">
        <f t="shared" ref="AW20:AW33" si="1">V20-AN20</f>
        <v>11824076</v>
      </c>
      <c r="AX20" s="2215"/>
      <c r="AY20" s="2215"/>
      <c r="AZ20" s="2215"/>
      <c r="BA20" s="2215"/>
      <c r="BB20" s="2215"/>
      <c r="BC20" s="2215"/>
      <c r="BD20" s="2215"/>
      <c r="BE20" s="197"/>
      <c r="BH20" s="2265">
        <f>AN21+AN22+AN23</f>
        <v>393344415</v>
      </c>
      <c r="BI20" s="2265"/>
      <c r="BJ20" s="2265"/>
      <c r="BK20" s="2265"/>
      <c r="BL20" s="2265"/>
      <c r="BM20" s="2265"/>
      <c r="BN20" s="2265"/>
      <c r="BO20" s="2265"/>
      <c r="BQ20" s="2266">
        <f>AN20-BH20</f>
        <v>0</v>
      </c>
      <c r="BR20" s="2266"/>
    </row>
    <row r="21" spans="1:70" ht="27.9" customHeight="1">
      <c r="A21" s="480"/>
      <c r="B21" s="2259" t="s">
        <v>114</v>
      </c>
      <c r="C21" s="2259"/>
      <c r="D21" s="2259"/>
      <c r="E21" s="2259"/>
      <c r="F21" s="2259"/>
      <c r="G21" s="2259"/>
      <c r="H21" s="2259"/>
      <c r="I21" s="2259"/>
      <c r="J21" s="2259"/>
      <c r="K21" s="2259"/>
      <c r="L21" s="211"/>
      <c r="M21" s="3068">
        <v>166308000</v>
      </c>
      <c r="N21" s="3069"/>
      <c r="O21" s="3069"/>
      <c r="P21" s="3069"/>
      <c r="Q21" s="3069"/>
      <c r="R21" s="3069"/>
      <c r="S21" s="3069"/>
      <c r="T21" s="3069"/>
      <c r="U21" s="481"/>
      <c r="V21" s="3070">
        <v>166275659</v>
      </c>
      <c r="W21" s="3071"/>
      <c r="X21" s="3071"/>
      <c r="Y21" s="3071"/>
      <c r="Z21" s="3071"/>
      <c r="AA21" s="3071"/>
      <c r="AB21" s="3071"/>
      <c r="AC21" s="3071"/>
      <c r="AD21" s="482"/>
      <c r="AE21" s="2260">
        <f t="shared" si="0"/>
        <v>-32341</v>
      </c>
      <c r="AF21" s="2260"/>
      <c r="AG21" s="2260"/>
      <c r="AH21" s="2260"/>
      <c r="AI21" s="2260"/>
      <c r="AJ21" s="2260"/>
      <c r="AK21" s="2260"/>
      <c r="AL21" s="2260"/>
      <c r="AM21" s="483"/>
      <c r="AN21" s="3071">
        <f>前年度貼付!$E$249</f>
        <v>160536624</v>
      </c>
      <c r="AO21" s="3071"/>
      <c r="AP21" s="3071"/>
      <c r="AQ21" s="3071"/>
      <c r="AR21" s="3071"/>
      <c r="AS21" s="3071"/>
      <c r="AT21" s="3071"/>
      <c r="AU21" s="3071"/>
      <c r="AV21" s="483"/>
      <c r="AW21" s="2260">
        <f t="shared" si="1"/>
        <v>5739035</v>
      </c>
      <c r="AX21" s="2260"/>
      <c r="AY21" s="2260"/>
      <c r="AZ21" s="2260"/>
      <c r="BA21" s="2260"/>
      <c r="BB21" s="2260"/>
      <c r="BC21" s="2260"/>
      <c r="BD21" s="2260"/>
      <c r="BE21" s="220"/>
      <c r="BH21" s="484"/>
      <c r="BI21" s="484"/>
      <c r="BJ21" s="484"/>
      <c r="BK21" s="484"/>
      <c r="BL21" s="484"/>
      <c r="BM21" s="484"/>
      <c r="BN21" s="484"/>
      <c r="BO21" s="484"/>
    </row>
    <row r="22" spans="1:70" ht="27.9" customHeight="1">
      <c r="A22" s="480"/>
      <c r="B22" s="2267" t="s">
        <v>115</v>
      </c>
      <c r="C22" s="2267"/>
      <c r="D22" s="2267"/>
      <c r="E22" s="2267"/>
      <c r="F22" s="2267"/>
      <c r="G22" s="2267"/>
      <c r="H22" s="2267"/>
      <c r="I22" s="2267"/>
      <c r="J22" s="2267"/>
      <c r="K22" s="2267"/>
      <c r="L22" s="485"/>
      <c r="M22" s="3072">
        <v>46069000</v>
      </c>
      <c r="N22" s="3073"/>
      <c r="O22" s="3073"/>
      <c r="P22" s="3073"/>
      <c r="Q22" s="3073"/>
      <c r="R22" s="3073"/>
      <c r="S22" s="3073"/>
      <c r="T22" s="3073"/>
      <c r="U22" s="486"/>
      <c r="V22" s="3072">
        <v>54143045</v>
      </c>
      <c r="W22" s="3073"/>
      <c r="X22" s="3073"/>
      <c r="Y22" s="3073"/>
      <c r="Z22" s="3073"/>
      <c r="AA22" s="3073"/>
      <c r="AB22" s="3073"/>
      <c r="AC22" s="3073"/>
      <c r="AD22" s="487"/>
      <c r="AE22" s="2270">
        <f t="shared" si="0"/>
        <v>8074045</v>
      </c>
      <c r="AF22" s="2270"/>
      <c r="AG22" s="2270"/>
      <c r="AH22" s="2270"/>
      <c r="AI22" s="2270"/>
      <c r="AJ22" s="2270"/>
      <c r="AK22" s="2270"/>
      <c r="AL22" s="2270"/>
      <c r="AM22" s="486"/>
      <c r="AN22" s="3073">
        <f>前年度貼付!$E$250</f>
        <v>51290649</v>
      </c>
      <c r="AO22" s="3073"/>
      <c r="AP22" s="3073"/>
      <c r="AQ22" s="3073"/>
      <c r="AR22" s="3073"/>
      <c r="AS22" s="3073"/>
      <c r="AT22" s="3073"/>
      <c r="AU22" s="3073"/>
      <c r="AV22" s="486"/>
      <c r="AW22" s="2270">
        <f t="shared" si="1"/>
        <v>2852396</v>
      </c>
      <c r="AX22" s="2270"/>
      <c r="AY22" s="2270"/>
      <c r="AZ22" s="2270"/>
      <c r="BA22" s="2270"/>
      <c r="BB22" s="2270"/>
      <c r="BC22" s="2270"/>
      <c r="BD22" s="2270"/>
      <c r="BE22" s="488"/>
      <c r="BH22" s="484"/>
      <c r="BI22" s="484"/>
      <c r="BJ22" s="484"/>
      <c r="BK22" s="484"/>
      <c r="BL22" s="484"/>
      <c r="BM22" s="484"/>
      <c r="BN22" s="484"/>
      <c r="BO22" s="484"/>
      <c r="BP22" s="291"/>
    </row>
    <row r="23" spans="1:70" ht="27.9" customHeight="1">
      <c r="A23" s="489"/>
      <c r="B23" s="2271" t="s">
        <v>145</v>
      </c>
      <c r="C23" s="2271"/>
      <c r="D23" s="2271"/>
      <c r="E23" s="2271"/>
      <c r="F23" s="2271"/>
      <c r="G23" s="2271"/>
      <c r="H23" s="2271"/>
      <c r="I23" s="2271"/>
      <c r="J23" s="2271"/>
      <c r="K23" s="2271"/>
      <c r="L23" s="191"/>
      <c r="M23" s="3074">
        <v>164412000</v>
      </c>
      <c r="N23" s="3075"/>
      <c r="O23" s="3075"/>
      <c r="P23" s="3075"/>
      <c r="Q23" s="3075"/>
      <c r="R23" s="3075"/>
      <c r="S23" s="3075"/>
      <c r="T23" s="3075"/>
      <c r="U23" s="490"/>
      <c r="V23" s="3074">
        <v>184749787</v>
      </c>
      <c r="W23" s="3075"/>
      <c r="X23" s="3075"/>
      <c r="Y23" s="3075"/>
      <c r="Z23" s="3075"/>
      <c r="AA23" s="3075"/>
      <c r="AB23" s="3075"/>
      <c r="AC23" s="3075"/>
      <c r="AD23" s="491"/>
      <c r="AE23" s="2218">
        <f t="shared" si="0"/>
        <v>20337787</v>
      </c>
      <c r="AF23" s="2218"/>
      <c r="AG23" s="2218"/>
      <c r="AH23" s="2218"/>
      <c r="AI23" s="2218"/>
      <c r="AJ23" s="2218"/>
      <c r="AK23" s="2218"/>
      <c r="AL23" s="2218"/>
      <c r="AM23" s="490"/>
      <c r="AN23" s="3075">
        <f>前年度貼付!$E$251</f>
        <v>181517142</v>
      </c>
      <c r="AO23" s="3075"/>
      <c r="AP23" s="3075"/>
      <c r="AQ23" s="3075"/>
      <c r="AR23" s="3075"/>
      <c r="AS23" s="3075"/>
      <c r="AT23" s="3075"/>
      <c r="AU23" s="3075"/>
      <c r="AV23" s="490"/>
      <c r="AW23" s="2218">
        <f t="shared" si="1"/>
        <v>3232645</v>
      </c>
      <c r="AX23" s="2218"/>
      <c r="AY23" s="2218"/>
      <c r="AZ23" s="2218"/>
      <c r="BA23" s="2218"/>
      <c r="BB23" s="2218"/>
      <c r="BC23" s="2218"/>
      <c r="BD23" s="2218"/>
      <c r="BE23" s="214"/>
      <c r="BH23" s="2265">
        <f>AN20-AN21-AN22</f>
        <v>181517142</v>
      </c>
      <c r="BI23" s="2265"/>
      <c r="BJ23" s="2265"/>
      <c r="BK23" s="2265"/>
      <c r="BL23" s="2265"/>
      <c r="BM23" s="2265"/>
      <c r="BN23" s="2265"/>
      <c r="BO23" s="2265"/>
      <c r="BQ23" s="2266">
        <f>AN23-BH23</f>
        <v>0</v>
      </c>
      <c r="BR23" s="2266"/>
    </row>
    <row r="24" spans="1:70" ht="27.9" customHeight="1">
      <c r="A24" s="219"/>
      <c r="B24" s="1932" t="s">
        <v>196</v>
      </c>
      <c r="C24" s="1932"/>
      <c r="D24" s="1932"/>
      <c r="E24" s="1932"/>
      <c r="F24" s="1932"/>
      <c r="G24" s="1932"/>
      <c r="H24" s="1932"/>
      <c r="I24" s="1932"/>
      <c r="J24" s="1932"/>
      <c r="K24" s="1932"/>
      <c r="L24" s="189"/>
      <c r="M24" s="2245">
        <f>SUM(M25:T26)</f>
        <v>216051000</v>
      </c>
      <c r="N24" s="2245"/>
      <c r="O24" s="2245"/>
      <c r="P24" s="2245"/>
      <c r="Q24" s="2245"/>
      <c r="R24" s="2245"/>
      <c r="S24" s="2245"/>
      <c r="T24" s="2245"/>
      <c r="U24" s="478"/>
      <c r="V24" s="2245">
        <f>SUM(V25:AC26)</f>
        <v>224153980</v>
      </c>
      <c r="W24" s="2245"/>
      <c r="X24" s="2245"/>
      <c r="Y24" s="2245"/>
      <c r="Z24" s="2245"/>
      <c r="AA24" s="2245"/>
      <c r="AB24" s="2245"/>
      <c r="AC24" s="2245"/>
      <c r="AD24" s="478"/>
      <c r="AE24" s="2245">
        <f t="shared" si="0"/>
        <v>8102980</v>
      </c>
      <c r="AF24" s="2245"/>
      <c r="AG24" s="2245"/>
      <c r="AH24" s="2245"/>
      <c r="AI24" s="2245"/>
      <c r="AJ24" s="2245"/>
      <c r="AK24" s="2245"/>
      <c r="AL24" s="2245"/>
      <c r="AM24" s="478"/>
      <c r="AN24" s="2245">
        <f>SUM(AN25:AU26)</f>
        <v>215569947</v>
      </c>
      <c r="AO24" s="2245"/>
      <c r="AP24" s="2245"/>
      <c r="AQ24" s="2245"/>
      <c r="AR24" s="2245"/>
      <c r="AS24" s="2245"/>
      <c r="AT24" s="2245"/>
      <c r="AU24" s="2245"/>
      <c r="AV24" s="478"/>
      <c r="AW24" s="2245">
        <f t="shared" si="1"/>
        <v>8584033</v>
      </c>
      <c r="AX24" s="2245"/>
      <c r="AY24" s="2245"/>
      <c r="AZ24" s="2245"/>
      <c r="BA24" s="2245"/>
      <c r="BB24" s="2245"/>
      <c r="BC24" s="2245"/>
      <c r="BD24" s="2245"/>
      <c r="BE24" s="197"/>
      <c r="BH24" s="2265">
        <f>AN25+AN26</f>
        <v>215569947</v>
      </c>
      <c r="BI24" s="2265"/>
      <c r="BJ24" s="2265"/>
      <c r="BK24" s="2265"/>
      <c r="BL24" s="2265"/>
      <c r="BM24" s="2265"/>
      <c r="BN24" s="2265"/>
      <c r="BO24" s="2265"/>
      <c r="BQ24" s="2266">
        <f>AN24-BH24</f>
        <v>0</v>
      </c>
      <c r="BR24" s="2266"/>
    </row>
    <row r="25" spans="1:70" ht="27.9" customHeight="1">
      <c r="A25" s="480"/>
      <c r="B25" s="2259" t="s">
        <v>114</v>
      </c>
      <c r="C25" s="2259"/>
      <c r="D25" s="2259"/>
      <c r="E25" s="2259"/>
      <c r="F25" s="2259"/>
      <c r="G25" s="2259"/>
      <c r="H25" s="2259"/>
      <c r="I25" s="2259"/>
      <c r="J25" s="2259"/>
      <c r="K25" s="2259"/>
      <c r="L25" s="211"/>
      <c r="M25" s="3068">
        <v>169982000</v>
      </c>
      <c r="N25" s="3069"/>
      <c r="O25" s="3069"/>
      <c r="P25" s="3069"/>
      <c r="Q25" s="3069"/>
      <c r="R25" s="3069"/>
      <c r="S25" s="3069"/>
      <c r="T25" s="3069"/>
      <c r="U25" s="483"/>
      <c r="V25" s="3068">
        <v>169993600</v>
      </c>
      <c r="W25" s="3069"/>
      <c r="X25" s="3069"/>
      <c r="Y25" s="3069"/>
      <c r="Z25" s="3069"/>
      <c r="AA25" s="3069"/>
      <c r="AB25" s="3069"/>
      <c r="AC25" s="3069"/>
      <c r="AD25" s="483"/>
      <c r="AE25" s="2260">
        <f t="shared" si="0"/>
        <v>11600</v>
      </c>
      <c r="AF25" s="2260"/>
      <c r="AG25" s="2260"/>
      <c r="AH25" s="2260"/>
      <c r="AI25" s="2260"/>
      <c r="AJ25" s="2260"/>
      <c r="AK25" s="2260"/>
      <c r="AL25" s="2260"/>
      <c r="AM25" s="483"/>
      <c r="AN25" s="3069">
        <f>前年度貼付!$E$252</f>
        <v>164263385</v>
      </c>
      <c r="AO25" s="3069"/>
      <c r="AP25" s="3069"/>
      <c r="AQ25" s="3069"/>
      <c r="AR25" s="3069"/>
      <c r="AS25" s="3069"/>
      <c r="AT25" s="3069"/>
      <c r="AU25" s="3069"/>
      <c r="AV25" s="483"/>
      <c r="AW25" s="2260">
        <f t="shared" si="1"/>
        <v>5730215</v>
      </c>
      <c r="AX25" s="2260"/>
      <c r="AY25" s="2260"/>
      <c r="AZ25" s="2260"/>
      <c r="BA25" s="2260"/>
      <c r="BB25" s="2260"/>
      <c r="BC25" s="2260"/>
      <c r="BD25" s="2260"/>
      <c r="BE25" s="220"/>
    </row>
    <row r="26" spans="1:70" ht="27.9" customHeight="1">
      <c r="A26" s="489"/>
      <c r="B26" s="2261" t="s">
        <v>115</v>
      </c>
      <c r="C26" s="2261"/>
      <c r="D26" s="2261"/>
      <c r="E26" s="2261"/>
      <c r="F26" s="2261"/>
      <c r="G26" s="2261"/>
      <c r="H26" s="2261"/>
      <c r="I26" s="2261"/>
      <c r="J26" s="2261"/>
      <c r="K26" s="2261"/>
      <c r="L26" s="492"/>
      <c r="M26" s="3076">
        <v>46069000</v>
      </c>
      <c r="N26" s="3077"/>
      <c r="O26" s="3077"/>
      <c r="P26" s="3077"/>
      <c r="Q26" s="3077"/>
      <c r="R26" s="3077"/>
      <c r="S26" s="3077"/>
      <c r="T26" s="3077"/>
      <c r="U26" s="493"/>
      <c r="V26" s="3076">
        <v>54160380</v>
      </c>
      <c r="W26" s="3077"/>
      <c r="X26" s="3077"/>
      <c r="Y26" s="3077"/>
      <c r="Z26" s="3077"/>
      <c r="AA26" s="3077"/>
      <c r="AB26" s="3077"/>
      <c r="AC26" s="3077"/>
      <c r="AD26" s="493"/>
      <c r="AE26" s="2264">
        <f t="shared" si="0"/>
        <v>8091380</v>
      </c>
      <c r="AF26" s="2264"/>
      <c r="AG26" s="2264"/>
      <c r="AH26" s="2264"/>
      <c r="AI26" s="2264"/>
      <c r="AJ26" s="2264"/>
      <c r="AK26" s="2264"/>
      <c r="AL26" s="2264"/>
      <c r="AM26" s="493"/>
      <c r="AN26" s="3077">
        <f>前年度貼付!$E$253</f>
        <v>51306562</v>
      </c>
      <c r="AO26" s="3077"/>
      <c r="AP26" s="3077"/>
      <c r="AQ26" s="3077"/>
      <c r="AR26" s="3077"/>
      <c r="AS26" s="3077"/>
      <c r="AT26" s="3077"/>
      <c r="AU26" s="3077"/>
      <c r="AV26" s="493"/>
      <c r="AW26" s="2264">
        <f t="shared" si="1"/>
        <v>2853818</v>
      </c>
      <c r="AX26" s="2264"/>
      <c r="AY26" s="2264"/>
      <c r="AZ26" s="2264"/>
      <c r="BA26" s="2264"/>
      <c r="BB26" s="2264"/>
      <c r="BC26" s="2264"/>
      <c r="BD26" s="2264"/>
      <c r="BE26" s="494"/>
    </row>
    <row r="27" spans="1:70" ht="27.9" customHeight="1">
      <c r="A27" s="188"/>
      <c r="B27" s="2257" t="s">
        <v>146</v>
      </c>
      <c r="C27" s="2257"/>
      <c r="D27" s="2257"/>
      <c r="E27" s="2257"/>
      <c r="F27" s="2257"/>
      <c r="G27" s="2257"/>
      <c r="H27" s="2257"/>
      <c r="I27" s="2257"/>
      <c r="J27" s="2257"/>
      <c r="K27" s="2257"/>
      <c r="L27" s="189"/>
      <c r="M27" s="3078">
        <v>0</v>
      </c>
      <c r="N27" s="3079"/>
      <c r="O27" s="3079"/>
      <c r="P27" s="3079"/>
      <c r="Q27" s="3079"/>
      <c r="R27" s="3079"/>
      <c r="S27" s="3079"/>
      <c r="T27" s="3079"/>
      <c r="U27" s="478"/>
      <c r="V27" s="3080">
        <v>0</v>
      </c>
      <c r="W27" s="3081"/>
      <c r="X27" s="3081"/>
      <c r="Y27" s="3081"/>
      <c r="Z27" s="3081"/>
      <c r="AA27" s="3081"/>
      <c r="AB27" s="3081"/>
      <c r="AC27" s="3081"/>
      <c r="AD27" s="478"/>
      <c r="AE27" s="2215">
        <f t="shared" si="0"/>
        <v>0</v>
      </c>
      <c r="AF27" s="2215"/>
      <c r="AG27" s="2215"/>
      <c r="AH27" s="2215"/>
      <c r="AI27" s="2215"/>
      <c r="AJ27" s="2215"/>
      <c r="AK27" s="2215"/>
      <c r="AL27" s="2215"/>
      <c r="AM27" s="478"/>
      <c r="AN27" s="3081">
        <f>前年度貼付!$E$254</f>
        <v>0</v>
      </c>
      <c r="AO27" s="3081"/>
      <c r="AP27" s="3081"/>
      <c r="AQ27" s="3081"/>
      <c r="AR27" s="3081"/>
      <c r="AS27" s="3081"/>
      <c r="AT27" s="3081"/>
      <c r="AU27" s="3081"/>
      <c r="AV27" s="478"/>
      <c r="AW27" s="2215">
        <f t="shared" si="1"/>
        <v>0</v>
      </c>
      <c r="AX27" s="2215"/>
      <c r="AY27" s="2215"/>
      <c r="AZ27" s="2215"/>
      <c r="BA27" s="2215"/>
      <c r="BB27" s="2215"/>
      <c r="BC27" s="2215"/>
      <c r="BD27" s="2215"/>
      <c r="BE27" s="197"/>
    </row>
    <row r="28" spans="1:70" ht="27.9" hidden="1" customHeight="1">
      <c r="A28" s="188"/>
      <c r="B28" s="1932" t="s">
        <v>37</v>
      </c>
      <c r="C28" s="1932"/>
      <c r="D28" s="1932"/>
      <c r="E28" s="1932"/>
      <c r="F28" s="1932"/>
      <c r="G28" s="1932"/>
      <c r="H28" s="1932"/>
      <c r="I28" s="1932"/>
      <c r="J28" s="1932"/>
      <c r="K28" s="1932"/>
      <c r="L28" s="189"/>
      <c r="M28" s="2258">
        <v>0</v>
      </c>
      <c r="N28" s="2245"/>
      <c r="O28" s="2245"/>
      <c r="P28" s="2245"/>
      <c r="Q28" s="2245"/>
      <c r="R28" s="2245"/>
      <c r="S28" s="2245"/>
      <c r="T28" s="2245"/>
      <c r="U28" s="478"/>
      <c r="V28" s="3080">
        <v>0</v>
      </c>
      <c r="W28" s="3081"/>
      <c r="X28" s="3081"/>
      <c r="Y28" s="3081"/>
      <c r="Z28" s="3081"/>
      <c r="AA28" s="3081"/>
      <c r="AB28" s="3081"/>
      <c r="AC28" s="3081"/>
      <c r="AD28" s="478"/>
      <c r="AE28" s="2215">
        <f t="shared" si="0"/>
        <v>0</v>
      </c>
      <c r="AF28" s="2215"/>
      <c r="AG28" s="2215"/>
      <c r="AH28" s="2215"/>
      <c r="AI28" s="2215"/>
      <c r="AJ28" s="2215"/>
      <c r="AK28" s="2215"/>
      <c r="AL28" s="2215"/>
      <c r="AM28" s="478"/>
      <c r="AN28" s="3081">
        <f>前年度貼付!$E$255</f>
        <v>0</v>
      </c>
      <c r="AO28" s="3081"/>
      <c r="AP28" s="3081"/>
      <c r="AQ28" s="3081"/>
      <c r="AR28" s="3081"/>
      <c r="AS28" s="3081"/>
      <c r="AT28" s="3081"/>
      <c r="AU28" s="3081"/>
      <c r="AV28" s="478"/>
      <c r="AW28" s="2215">
        <f t="shared" si="1"/>
        <v>0</v>
      </c>
      <c r="AX28" s="2215"/>
      <c r="AY28" s="2215"/>
      <c r="AZ28" s="2215"/>
      <c r="BA28" s="2215"/>
      <c r="BB28" s="2215"/>
      <c r="BC28" s="2215"/>
      <c r="BD28" s="2215"/>
      <c r="BE28" s="197"/>
    </row>
    <row r="29" spans="1:70" ht="27.9" customHeight="1">
      <c r="A29" s="190"/>
      <c r="B29" s="1982" t="s">
        <v>147</v>
      </c>
      <c r="C29" s="1982"/>
      <c r="D29" s="1982"/>
      <c r="E29" s="1982"/>
      <c r="F29" s="1982"/>
      <c r="G29" s="1982"/>
      <c r="H29" s="1982"/>
      <c r="I29" s="1982"/>
      <c r="J29" s="1982"/>
      <c r="K29" s="1982"/>
      <c r="L29" s="191"/>
      <c r="M29" s="3074">
        <v>0</v>
      </c>
      <c r="N29" s="3075"/>
      <c r="O29" s="3075"/>
      <c r="P29" s="3075"/>
      <c r="Q29" s="3075"/>
      <c r="R29" s="3075"/>
      <c r="S29" s="3075"/>
      <c r="T29" s="3075"/>
      <c r="U29" s="490"/>
      <c r="V29" s="3082">
        <f>保健_財務諸表!F41</f>
        <v>0</v>
      </c>
      <c r="W29" s="3082"/>
      <c r="X29" s="3082"/>
      <c r="Y29" s="3082"/>
      <c r="Z29" s="3082"/>
      <c r="AA29" s="3082"/>
      <c r="AB29" s="3082"/>
      <c r="AC29" s="3082"/>
      <c r="AD29" s="491"/>
      <c r="AE29" s="2252">
        <f t="shared" si="0"/>
        <v>0</v>
      </c>
      <c r="AF29" s="2252"/>
      <c r="AG29" s="2252"/>
      <c r="AH29" s="2252"/>
      <c r="AI29" s="2252"/>
      <c r="AJ29" s="2252"/>
      <c r="AK29" s="2252"/>
      <c r="AL29" s="2252"/>
      <c r="AM29" s="481"/>
      <c r="AN29" s="3082">
        <f>前年度貼付!$E$256</f>
        <v>0</v>
      </c>
      <c r="AO29" s="3082"/>
      <c r="AP29" s="3082"/>
      <c r="AQ29" s="3082"/>
      <c r="AR29" s="3082"/>
      <c r="AS29" s="3082"/>
      <c r="AT29" s="3082"/>
      <c r="AU29" s="3082"/>
      <c r="AV29" s="481"/>
      <c r="AW29" s="2253">
        <f t="shared" si="1"/>
        <v>0</v>
      </c>
      <c r="AX29" s="2253"/>
      <c r="AY29" s="2253"/>
      <c r="AZ29" s="2253"/>
      <c r="BA29" s="2253"/>
      <c r="BB29" s="2253"/>
      <c r="BC29" s="2253"/>
      <c r="BD29" s="2253"/>
      <c r="BE29" s="214"/>
    </row>
    <row r="30" spans="1:70" ht="27.9" customHeight="1">
      <c r="A30" s="188"/>
      <c r="B30" s="1932" t="s">
        <v>148</v>
      </c>
      <c r="C30" s="1932"/>
      <c r="D30" s="1932"/>
      <c r="E30" s="1932"/>
      <c r="F30" s="1932"/>
      <c r="G30" s="1932"/>
      <c r="H30" s="1932"/>
      <c r="I30" s="1932"/>
      <c r="J30" s="1932"/>
      <c r="K30" s="1932"/>
      <c r="L30" s="189"/>
      <c r="M30" s="3068">
        <v>0</v>
      </c>
      <c r="N30" s="3069"/>
      <c r="O30" s="3069"/>
      <c r="P30" s="3069"/>
      <c r="Q30" s="3069"/>
      <c r="R30" s="3069"/>
      <c r="S30" s="3069"/>
      <c r="T30" s="3069"/>
      <c r="U30" s="478"/>
      <c r="V30" s="3080">
        <v>0</v>
      </c>
      <c r="W30" s="3081"/>
      <c r="X30" s="3081"/>
      <c r="Y30" s="3081"/>
      <c r="Z30" s="3081"/>
      <c r="AA30" s="3081"/>
      <c r="AB30" s="3081"/>
      <c r="AC30" s="3081"/>
      <c r="AD30" s="478"/>
      <c r="AE30" s="2215">
        <f t="shared" si="0"/>
        <v>0</v>
      </c>
      <c r="AF30" s="2215"/>
      <c r="AG30" s="2215"/>
      <c r="AH30" s="2215"/>
      <c r="AI30" s="2215"/>
      <c r="AJ30" s="2215"/>
      <c r="AK30" s="2215"/>
      <c r="AL30" s="2215"/>
      <c r="AM30" s="478"/>
      <c r="AN30" s="3081">
        <f>前年度貼付!$E$257</f>
        <v>0</v>
      </c>
      <c r="AO30" s="3081"/>
      <c r="AP30" s="3081"/>
      <c r="AQ30" s="3081"/>
      <c r="AR30" s="3081"/>
      <c r="AS30" s="3081"/>
      <c r="AT30" s="3081"/>
      <c r="AU30" s="3081"/>
      <c r="AV30" s="478"/>
      <c r="AW30" s="2215">
        <f t="shared" si="1"/>
        <v>0</v>
      </c>
      <c r="AX30" s="2215"/>
      <c r="AY30" s="2215"/>
      <c r="AZ30" s="2215"/>
      <c r="BA30" s="2215"/>
      <c r="BB30" s="2215"/>
      <c r="BC30" s="2215"/>
      <c r="BD30" s="2215"/>
      <c r="BE30" s="197"/>
    </row>
    <row r="31" spans="1:70" ht="27.9" customHeight="1">
      <c r="A31" s="188"/>
      <c r="B31" s="1932" t="s">
        <v>106</v>
      </c>
      <c r="C31" s="1932"/>
      <c r="D31" s="1932"/>
      <c r="E31" s="1932"/>
      <c r="F31" s="1932"/>
      <c r="G31" s="1932"/>
      <c r="H31" s="1932"/>
      <c r="I31" s="1932"/>
      <c r="J31" s="1932"/>
      <c r="K31" s="1932"/>
      <c r="L31" s="189"/>
      <c r="M31" s="3078">
        <v>0</v>
      </c>
      <c r="N31" s="3079"/>
      <c r="O31" s="3079"/>
      <c r="P31" s="3079"/>
      <c r="Q31" s="3079"/>
      <c r="R31" s="3079"/>
      <c r="S31" s="3079"/>
      <c r="T31" s="3079"/>
      <c r="U31" s="478"/>
      <c r="V31" s="3081">
        <f>保健_財務諸表!F44</f>
        <v>0</v>
      </c>
      <c r="W31" s="3081"/>
      <c r="X31" s="3081"/>
      <c r="Y31" s="3081"/>
      <c r="Z31" s="3081"/>
      <c r="AA31" s="3081"/>
      <c r="AB31" s="3081"/>
      <c r="AC31" s="3081"/>
      <c r="AD31" s="479"/>
      <c r="AE31" s="2245">
        <f t="shared" si="0"/>
        <v>0</v>
      </c>
      <c r="AF31" s="2245"/>
      <c r="AG31" s="2245"/>
      <c r="AH31" s="2245"/>
      <c r="AI31" s="2245"/>
      <c r="AJ31" s="2245"/>
      <c r="AK31" s="2245"/>
      <c r="AL31" s="2245"/>
      <c r="AM31" s="478"/>
      <c r="AN31" s="3081">
        <f>前年度貼付!$E$258</f>
        <v>0</v>
      </c>
      <c r="AO31" s="3081"/>
      <c r="AP31" s="3081"/>
      <c r="AQ31" s="3081"/>
      <c r="AR31" s="3081"/>
      <c r="AS31" s="3081"/>
      <c r="AT31" s="3081"/>
      <c r="AU31" s="3081"/>
      <c r="AV31" s="478"/>
      <c r="AW31" s="2215">
        <f t="shared" si="1"/>
        <v>0</v>
      </c>
      <c r="AX31" s="2215"/>
      <c r="AY31" s="2215"/>
      <c r="AZ31" s="2215"/>
      <c r="BA31" s="2215"/>
      <c r="BB31" s="2215"/>
      <c r="BC31" s="2215"/>
      <c r="BD31" s="2215"/>
      <c r="BE31" s="197"/>
    </row>
    <row r="32" spans="1:70" ht="27.9" customHeight="1">
      <c r="A32" s="188"/>
      <c r="B32" s="1932" t="s">
        <v>51</v>
      </c>
      <c r="C32" s="1932"/>
      <c r="D32" s="1932"/>
      <c r="E32" s="1932"/>
      <c r="F32" s="1932"/>
      <c r="G32" s="1932"/>
      <c r="H32" s="1932"/>
      <c r="I32" s="1932"/>
      <c r="J32" s="1932"/>
      <c r="K32" s="1932"/>
      <c r="L32" s="189"/>
      <c r="M32" s="3074">
        <v>0</v>
      </c>
      <c r="N32" s="3075"/>
      <c r="O32" s="3075"/>
      <c r="P32" s="3075"/>
      <c r="Q32" s="3075"/>
      <c r="R32" s="3075"/>
      <c r="S32" s="3075"/>
      <c r="T32" s="3075"/>
      <c r="U32" s="490"/>
      <c r="V32" s="3082">
        <f>保健_財務諸表!G47</f>
        <v>104640</v>
      </c>
      <c r="W32" s="3082"/>
      <c r="X32" s="3082"/>
      <c r="Y32" s="3082"/>
      <c r="Z32" s="3082"/>
      <c r="AA32" s="3082"/>
      <c r="AB32" s="3082"/>
      <c r="AC32" s="3082"/>
      <c r="AD32" s="491"/>
      <c r="AE32" s="2218">
        <f t="shared" si="0"/>
        <v>104640</v>
      </c>
      <c r="AF32" s="2218"/>
      <c r="AG32" s="2218"/>
      <c r="AH32" s="2218"/>
      <c r="AI32" s="2218"/>
      <c r="AJ32" s="2218"/>
      <c r="AK32" s="2218"/>
      <c r="AL32" s="2218"/>
      <c r="AM32" s="490"/>
      <c r="AN32" s="3082">
        <f>前年度貼付!$E$259</f>
        <v>0</v>
      </c>
      <c r="AO32" s="3082"/>
      <c r="AP32" s="3082"/>
      <c r="AQ32" s="3082"/>
      <c r="AR32" s="3082"/>
      <c r="AS32" s="3082"/>
      <c r="AT32" s="3082"/>
      <c r="AU32" s="3082"/>
      <c r="AV32" s="490"/>
      <c r="AW32" s="2219">
        <f t="shared" si="1"/>
        <v>104640</v>
      </c>
      <c r="AX32" s="2219"/>
      <c r="AY32" s="2219"/>
      <c r="AZ32" s="2219"/>
      <c r="BA32" s="2219"/>
      <c r="BB32" s="2219"/>
      <c r="BC32" s="2219"/>
      <c r="BD32" s="2219"/>
      <c r="BE32" s="197"/>
    </row>
    <row r="33" spans="1:60" ht="27.9" customHeight="1">
      <c r="A33" s="190"/>
      <c r="B33" s="2008" t="s">
        <v>476</v>
      </c>
      <c r="C33" s="2008"/>
      <c r="D33" s="2008"/>
      <c r="E33" s="2008"/>
      <c r="F33" s="2008"/>
      <c r="G33" s="2008"/>
      <c r="H33" s="2008"/>
      <c r="I33" s="2008"/>
      <c r="J33" s="2008"/>
      <c r="K33" s="2008"/>
      <c r="L33" s="197"/>
      <c r="M33" s="2219">
        <f>M20+M24+M27+M28+M31+M32+M29</f>
        <v>592840000</v>
      </c>
      <c r="N33" s="2219"/>
      <c r="O33" s="2219"/>
      <c r="P33" s="2219"/>
      <c r="Q33" s="2219"/>
      <c r="R33" s="2219"/>
      <c r="S33" s="2219"/>
      <c r="T33" s="2219"/>
      <c r="U33" s="490"/>
      <c r="V33" s="2244">
        <f>V20+V24+V27+V28+V30+V31+V32+V29</f>
        <v>629427111</v>
      </c>
      <c r="W33" s="2244"/>
      <c r="X33" s="2244"/>
      <c r="Y33" s="2244"/>
      <c r="Z33" s="2244"/>
      <c r="AA33" s="2244"/>
      <c r="AB33" s="2244"/>
      <c r="AC33" s="2244"/>
      <c r="AD33" s="491"/>
      <c r="AE33" s="2245">
        <f t="shared" si="0"/>
        <v>36587111</v>
      </c>
      <c r="AF33" s="2245"/>
      <c r="AG33" s="2245"/>
      <c r="AH33" s="2245"/>
      <c r="AI33" s="2245"/>
      <c r="AJ33" s="2245"/>
      <c r="AK33" s="2245"/>
      <c r="AL33" s="2245"/>
      <c r="AM33" s="478"/>
      <c r="AN33" s="2219">
        <f>AN20+AN24+AN27+AN28+AN31+AN30+AN32+AN29</f>
        <v>608914362</v>
      </c>
      <c r="AO33" s="2219"/>
      <c r="AP33" s="2219"/>
      <c r="AQ33" s="2219"/>
      <c r="AR33" s="2219"/>
      <c r="AS33" s="2219"/>
      <c r="AT33" s="2219"/>
      <c r="AU33" s="2219"/>
      <c r="AV33" s="478"/>
      <c r="AW33" s="2215">
        <f t="shared" si="1"/>
        <v>20512749</v>
      </c>
      <c r="AX33" s="2215"/>
      <c r="AY33" s="2215"/>
      <c r="AZ33" s="2215"/>
      <c r="BA33" s="2215"/>
      <c r="BB33" s="2215"/>
      <c r="BC33" s="2215"/>
      <c r="BD33" s="2215"/>
      <c r="BE33" s="214"/>
    </row>
    <row r="34" spans="1:60" s="477" customFormat="1" ht="18" customHeight="1">
      <c r="A34" s="166"/>
      <c r="B34" s="166"/>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row>
    <row r="35" spans="1:60" s="477" customFormat="1" ht="18" customHeight="1">
      <c r="A35" s="2183" t="s">
        <v>676</v>
      </c>
      <c r="B35" s="2183"/>
      <c r="C35" s="2183"/>
      <c r="D35" s="2183"/>
      <c r="E35" s="2183"/>
      <c r="F35" s="2183"/>
      <c r="G35" s="2183"/>
      <c r="H35" s="2183"/>
      <c r="I35" s="2183"/>
      <c r="J35" s="2183"/>
      <c r="K35" s="2183"/>
      <c r="L35" s="2183"/>
      <c r="M35" s="2183"/>
      <c r="N35" s="2183"/>
      <c r="O35" s="2183"/>
      <c r="P35" s="2183"/>
      <c r="Q35" s="2183"/>
      <c r="R35" s="2183"/>
      <c r="S35" s="2183"/>
    </row>
    <row r="36" spans="1:60" ht="18" customHeight="1">
      <c r="AR36" s="2022" t="s">
        <v>416</v>
      </c>
      <c r="AS36" s="2022"/>
      <c r="AT36" s="2022"/>
      <c r="AU36" s="2022"/>
      <c r="AV36" s="2022"/>
      <c r="AW36" s="2022"/>
      <c r="AX36" s="2022"/>
      <c r="AY36" s="2022"/>
      <c r="AZ36" s="2022"/>
      <c r="BA36" s="2022"/>
      <c r="BB36" s="2022"/>
      <c r="BC36" s="2022"/>
      <c r="BD36" s="2022"/>
      <c r="BE36" s="2022"/>
      <c r="BF36" s="176"/>
      <c r="BG36" s="176"/>
      <c r="BH36" s="176"/>
    </row>
    <row r="37" spans="1:60" ht="24" customHeight="1">
      <c r="A37" s="2012" t="s">
        <v>580</v>
      </c>
      <c r="B37" s="2012"/>
      <c r="C37" s="2012"/>
      <c r="D37" s="2012"/>
      <c r="E37" s="2012"/>
      <c r="F37" s="2012"/>
      <c r="G37" s="2012"/>
      <c r="H37" s="2012"/>
      <c r="I37" s="2012"/>
      <c r="J37" s="2012"/>
      <c r="K37" s="2012"/>
      <c r="L37" s="2012"/>
      <c r="M37" s="2000" t="s">
        <v>586</v>
      </c>
      <c r="N37" s="2000"/>
      <c r="O37" s="2000"/>
      <c r="P37" s="2000"/>
      <c r="Q37" s="2000"/>
      <c r="R37" s="2000"/>
      <c r="S37" s="2000"/>
      <c r="T37" s="2000"/>
      <c r="U37" s="2000"/>
      <c r="V37" s="2000" t="s">
        <v>587</v>
      </c>
      <c r="W37" s="2000"/>
      <c r="X37" s="2000"/>
      <c r="Y37" s="2000"/>
      <c r="Z37" s="2000"/>
      <c r="AA37" s="2000"/>
      <c r="AB37" s="2000"/>
      <c r="AC37" s="2000"/>
      <c r="AD37" s="2000"/>
      <c r="AE37" s="2000" t="s">
        <v>588</v>
      </c>
      <c r="AF37" s="2000"/>
      <c r="AG37" s="2000"/>
      <c r="AH37" s="2000"/>
      <c r="AI37" s="2000"/>
      <c r="AJ37" s="2000"/>
      <c r="AK37" s="2000"/>
      <c r="AL37" s="2000"/>
      <c r="AM37" s="2000"/>
      <c r="AN37" s="1943" t="s">
        <v>420</v>
      </c>
      <c r="AO37" s="1943"/>
      <c r="AP37" s="1943"/>
      <c r="AQ37" s="1943"/>
      <c r="AR37" s="1943"/>
      <c r="AS37" s="1943"/>
      <c r="AT37" s="1943"/>
      <c r="AU37" s="1943"/>
      <c r="AV37" s="1943"/>
      <c r="AW37" s="1943"/>
      <c r="AX37" s="1943"/>
      <c r="AY37" s="1943"/>
      <c r="AZ37" s="1943"/>
      <c r="BA37" s="1943"/>
      <c r="BB37" s="1943"/>
      <c r="BC37" s="1943"/>
      <c r="BD37" s="1943"/>
      <c r="BE37" s="1943"/>
    </row>
    <row r="38" spans="1:60" ht="24" customHeight="1">
      <c r="A38" s="2023" t="s">
        <v>583</v>
      </c>
      <c r="B38" s="2023"/>
      <c r="C38" s="2023"/>
      <c r="D38" s="2023"/>
      <c r="E38" s="2023"/>
      <c r="F38" s="2023"/>
      <c r="G38" s="2023"/>
      <c r="H38" s="2023"/>
      <c r="I38" s="2023"/>
      <c r="J38" s="2023"/>
      <c r="K38" s="2023"/>
      <c r="L38" s="2023"/>
      <c r="M38" s="2239" t="s">
        <v>677</v>
      </c>
      <c r="N38" s="2239"/>
      <c r="O38" s="2239"/>
      <c r="P38" s="2239"/>
      <c r="Q38" s="2239"/>
      <c r="R38" s="2239"/>
      <c r="S38" s="2239"/>
      <c r="T38" s="2239"/>
      <c r="U38" s="495"/>
      <c r="V38" s="2239" t="s">
        <v>678</v>
      </c>
      <c r="W38" s="2239"/>
      <c r="X38" s="2239"/>
      <c r="Y38" s="2239"/>
      <c r="Z38" s="2239"/>
      <c r="AA38" s="2239"/>
      <c r="AB38" s="2239"/>
      <c r="AC38" s="2239"/>
      <c r="AD38" s="496"/>
      <c r="AE38" s="2239" t="s">
        <v>679</v>
      </c>
      <c r="AF38" s="2239"/>
      <c r="AG38" s="2239"/>
      <c r="AH38" s="2239"/>
      <c r="AI38" s="2239"/>
      <c r="AJ38" s="2239"/>
      <c r="AK38" s="2239"/>
      <c r="AL38" s="2239"/>
      <c r="AM38" s="497"/>
      <c r="AN38" s="1943" t="s">
        <v>424</v>
      </c>
      <c r="AO38" s="1943"/>
      <c r="AP38" s="1943"/>
      <c r="AQ38" s="1943"/>
      <c r="AR38" s="1943"/>
      <c r="AS38" s="1943"/>
      <c r="AT38" s="1943"/>
      <c r="AU38" s="1943"/>
      <c r="AV38" s="1943"/>
      <c r="AW38" s="2231" t="s">
        <v>356</v>
      </c>
      <c r="AX38" s="2231"/>
      <c r="AY38" s="2231"/>
      <c r="AZ38" s="2231"/>
      <c r="BA38" s="2231"/>
      <c r="BB38" s="2231"/>
      <c r="BC38" s="2231"/>
      <c r="BD38" s="2231"/>
      <c r="BE38" s="2231"/>
    </row>
    <row r="39" spans="1:60" ht="27.9" customHeight="1">
      <c r="A39" s="219"/>
      <c r="B39" s="2229" t="s">
        <v>125</v>
      </c>
      <c r="C39" s="2229"/>
      <c r="D39" s="2229"/>
      <c r="E39" s="2229"/>
      <c r="F39" s="2229"/>
      <c r="G39" s="2229"/>
      <c r="H39" s="2229"/>
      <c r="I39" s="2229"/>
      <c r="J39" s="2229"/>
      <c r="K39" s="2229"/>
      <c r="L39" s="220"/>
      <c r="M39" s="2240">
        <f>V20</f>
        <v>405168491</v>
      </c>
      <c r="N39" s="2240"/>
      <c r="O39" s="2240"/>
      <c r="P39" s="2240"/>
      <c r="Q39" s="2240"/>
      <c r="R39" s="2240"/>
      <c r="S39" s="2240"/>
      <c r="T39" s="2240"/>
      <c r="U39" s="498"/>
      <c r="V39" s="2241">
        <f>M39</f>
        <v>405168491</v>
      </c>
      <c r="W39" s="2241"/>
      <c r="X39" s="2241"/>
      <c r="Y39" s="2241"/>
      <c r="Z39" s="2241"/>
      <c r="AA39" s="2241"/>
      <c r="AB39" s="2241"/>
      <c r="AC39" s="2241"/>
      <c r="AD39" s="359"/>
      <c r="AE39" s="2242">
        <f>V39/M39*100</f>
        <v>100</v>
      </c>
      <c r="AF39" s="2242"/>
      <c r="AG39" s="2242"/>
      <c r="AH39" s="2242"/>
      <c r="AI39" s="2242"/>
      <c r="AJ39" s="2242"/>
      <c r="AK39" s="2242"/>
      <c r="AL39" s="2242"/>
      <c r="AM39" s="498"/>
      <c r="AN39" s="2242">
        <f>前年度貼付!$E$260</f>
        <v>100</v>
      </c>
      <c r="AO39" s="2242"/>
      <c r="AP39" s="2242"/>
      <c r="AQ39" s="2242"/>
      <c r="AR39" s="2242"/>
      <c r="AS39" s="2242"/>
      <c r="AT39" s="2242"/>
      <c r="AU39" s="2242"/>
      <c r="AV39" s="498"/>
      <c r="AW39" s="2243">
        <f>AE39-AN39</f>
        <v>0</v>
      </c>
      <c r="AX39" s="2243"/>
      <c r="AY39" s="2243"/>
      <c r="AZ39" s="2243"/>
      <c r="BA39" s="2243"/>
      <c r="BB39" s="2243"/>
      <c r="BC39" s="2243"/>
      <c r="BD39" s="2243"/>
      <c r="BE39" s="218"/>
    </row>
    <row r="40" spans="1:60" ht="27.9" customHeight="1">
      <c r="A40" s="188"/>
      <c r="B40" s="1932" t="s">
        <v>196</v>
      </c>
      <c r="C40" s="1932"/>
      <c r="D40" s="1932"/>
      <c r="E40" s="1932"/>
      <c r="F40" s="1932"/>
      <c r="G40" s="1932"/>
      <c r="H40" s="1932"/>
      <c r="I40" s="1932"/>
      <c r="J40" s="1932"/>
      <c r="K40" s="1932"/>
      <c r="L40" s="197"/>
      <c r="M40" s="2232">
        <f>V24</f>
        <v>224153980</v>
      </c>
      <c r="N40" s="2232"/>
      <c r="O40" s="2232"/>
      <c r="P40" s="2232"/>
      <c r="Q40" s="2232"/>
      <c r="R40" s="2232"/>
      <c r="S40" s="2232"/>
      <c r="T40" s="2232"/>
      <c r="U40" s="499"/>
      <c r="V40" s="2232">
        <f>M40</f>
        <v>224153980</v>
      </c>
      <c r="W40" s="2232"/>
      <c r="X40" s="2232"/>
      <c r="Y40" s="2232"/>
      <c r="Z40" s="2232"/>
      <c r="AA40" s="2232"/>
      <c r="AB40" s="2232"/>
      <c r="AC40" s="2232"/>
      <c r="AD40" s="499"/>
      <c r="AE40" s="2233">
        <f>V40/M40*100</f>
        <v>100</v>
      </c>
      <c r="AF40" s="2233"/>
      <c r="AG40" s="2233"/>
      <c r="AH40" s="2233"/>
      <c r="AI40" s="2233"/>
      <c r="AJ40" s="2233"/>
      <c r="AK40" s="2233"/>
      <c r="AL40" s="2233"/>
      <c r="AM40" s="499"/>
      <c r="AN40" s="2234">
        <f>前年度貼付!$E$261</f>
        <v>100</v>
      </c>
      <c r="AO40" s="2234"/>
      <c r="AP40" s="2234"/>
      <c r="AQ40" s="2234"/>
      <c r="AR40" s="2234"/>
      <c r="AS40" s="2234"/>
      <c r="AT40" s="2234"/>
      <c r="AU40" s="2234"/>
      <c r="AV40" s="499"/>
      <c r="AW40" s="2235">
        <f>AE40-AN40</f>
        <v>0</v>
      </c>
      <c r="AX40" s="2235"/>
      <c r="AY40" s="2235"/>
      <c r="AZ40" s="2235"/>
      <c r="BA40" s="2235"/>
      <c r="BB40" s="2235"/>
      <c r="BC40" s="2235"/>
      <c r="BD40" s="2235"/>
      <c r="BE40" s="197"/>
    </row>
    <row r="41" spans="1:60" ht="27.9" customHeight="1">
      <c r="A41" s="190"/>
      <c r="B41" s="2008" t="s">
        <v>476</v>
      </c>
      <c r="C41" s="2008"/>
      <c r="D41" s="2008"/>
      <c r="E41" s="2008"/>
      <c r="F41" s="2008"/>
      <c r="G41" s="2008"/>
      <c r="H41" s="2008"/>
      <c r="I41" s="2008"/>
      <c r="J41" s="2008"/>
      <c r="K41" s="2008"/>
      <c r="L41" s="214"/>
      <c r="M41" s="2236">
        <f>M39+M40</f>
        <v>629322471</v>
      </c>
      <c r="N41" s="2236"/>
      <c r="O41" s="2236"/>
      <c r="P41" s="2236"/>
      <c r="Q41" s="2236"/>
      <c r="R41" s="2236"/>
      <c r="S41" s="2236"/>
      <c r="T41" s="2236"/>
      <c r="U41" s="500"/>
      <c r="V41" s="2236">
        <f>V39+V40</f>
        <v>629322471</v>
      </c>
      <c r="W41" s="2236"/>
      <c r="X41" s="2236"/>
      <c r="Y41" s="2236"/>
      <c r="Z41" s="2236"/>
      <c r="AA41" s="2236"/>
      <c r="AB41" s="2236"/>
      <c r="AC41" s="2236"/>
      <c r="AD41" s="501"/>
      <c r="AE41" s="2234">
        <f>V41/M41*100</f>
        <v>100</v>
      </c>
      <c r="AF41" s="2234"/>
      <c r="AG41" s="2234"/>
      <c r="AH41" s="2234"/>
      <c r="AI41" s="2234"/>
      <c r="AJ41" s="2234"/>
      <c r="AK41" s="2234"/>
      <c r="AL41" s="2234"/>
      <c r="AM41" s="500"/>
      <c r="AN41" s="2237">
        <f>前年度貼付!$E$262</f>
        <v>100</v>
      </c>
      <c r="AO41" s="2237"/>
      <c r="AP41" s="2237"/>
      <c r="AQ41" s="2237"/>
      <c r="AR41" s="2237"/>
      <c r="AS41" s="2237"/>
      <c r="AT41" s="2237"/>
      <c r="AU41" s="2237"/>
      <c r="AV41" s="500"/>
      <c r="AW41" s="2238">
        <f>AE41-AN41</f>
        <v>0</v>
      </c>
      <c r="AX41" s="2238"/>
      <c r="AY41" s="2238"/>
      <c r="AZ41" s="2238"/>
      <c r="BA41" s="2238"/>
      <c r="BB41" s="2238"/>
      <c r="BC41" s="2238"/>
      <c r="BD41" s="2238"/>
      <c r="BE41" s="214"/>
      <c r="BF41" s="176"/>
    </row>
    <row r="42" spans="1:60" s="359" customFormat="1" ht="22.5" customHeight="1">
      <c r="A42" s="2183" t="s">
        <v>601</v>
      </c>
      <c r="B42" s="2183"/>
      <c r="C42" s="2183"/>
      <c r="D42" s="2183"/>
      <c r="E42" s="2183"/>
      <c r="F42" s="2183"/>
      <c r="G42" s="2183"/>
      <c r="H42" s="2183"/>
      <c r="I42" s="2183"/>
      <c r="J42" s="2183"/>
      <c r="K42" s="2183"/>
      <c r="L42" s="2183"/>
      <c r="M42" s="2183"/>
      <c r="N42" s="2183"/>
      <c r="O42" s="2183"/>
      <c r="P42" s="2183"/>
      <c r="Q42" s="2183"/>
      <c r="R42" s="2183"/>
      <c r="S42" s="2183"/>
      <c r="T42" s="477"/>
      <c r="U42" s="477"/>
      <c r="V42" s="477"/>
      <c r="W42" s="477"/>
      <c r="X42" s="477"/>
      <c r="Y42" s="477"/>
      <c r="Z42" s="477"/>
      <c r="AA42" s="477"/>
      <c r="AB42" s="477"/>
      <c r="AC42" s="477"/>
      <c r="AD42" s="477"/>
      <c r="AE42" s="477"/>
      <c r="AF42" s="477"/>
      <c r="AG42" s="477"/>
      <c r="AH42" s="477"/>
      <c r="AI42" s="477"/>
      <c r="AJ42" s="477"/>
      <c r="AK42" s="477"/>
      <c r="AL42" s="477"/>
      <c r="AM42" s="477"/>
      <c r="AN42" s="477"/>
      <c r="AO42" s="477"/>
      <c r="AP42" s="477"/>
      <c r="AQ42" s="477"/>
      <c r="AR42" s="477"/>
      <c r="AS42" s="477"/>
      <c r="AT42" s="477"/>
      <c r="AU42" s="477"/>
      <c r="AV42" s="477"/>
      <c r="AW42" s="477"/>
      <c r="AX42" s="477"/>
      <c r="AY42" s="477"/>
      <c r="AZ42" s="477"/>
      <c r="BA42" s="477"/>
      <c r="BB42" s="477"/>
      <c r="BC42" s="477"/>
      <c r="BD42" s="477"/>
      <c r="BE42" s="477"/>
    </row>
    <row r="43" spans="1:60" s="359" customFormat="1" ht="17.25" customHeight="1">
      <c r="A43" s="166"/>
      <c r="B43" s="166"/>
      <c r="C43" s="166"/>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6"/>
      <c r="AB43" s="166"/>
      <c r="AC43" s="166"/>
      <c r="AD43" s="166"/>
      <c r="AE43" s="166"/>
      <c r="AF43" s="166"/>
      <c r="AG43" s="166"/>
      <c r="AH43" s="166"/>
      <c r="AI43" s="166"/>
      <c r="AJ43" s="166"/>
      <c r="AK43" s="166"/>
      <c r="AL43" s="166"/>
      <c r="AM43" s="166"/>
      <c r="AN43" s="166"/>
      <c r="AO43" s="166"/>
      <c r="AP43" s="166"/>
      <c r="AQ43" s="166"/>
      <c r="AR43" s="2022" t="s">
        <v>408</v>
      </c>
      <c r="AS43" s="2022"/>
      <c r="AT43" s="2022"/>
      <c r="AU43" s="2022"/>
      <c r="AV43" s="2022"/>
      <c r="AW43" s="2022"/>
      <c r="AX43" s="2022"/>
      <c r="AY43" s="2022"/>
      <c r="AZ43" s="2022"/>
      <c r="BA43" s="2022"/>
      <c r="BB43" s="2022"/>
      <c r="BC43" s="2022"/>
      <c r="BD43" s="2022"/>
      <c r="BE43" s="2022"/>
    </row>
    <row r="44" spans="1:60" s="359" customFormat="1" ht="17.25" customHeight="1">
      <c r="A44" s="1942" t="s">
        <v>580</v>
      </c>
      <c r="B44" s="1942"/>
      <c r="C44" s="1942"/>
      <c r="D44" s="1942"/>
      <c r="E44" s="1942"/>
      <c r="F44" s="1942"/>
      <c r="G44" s="1942"/>
      <c r="H44" s="1942"/>
      <c r="I44" s="1942"/>
      <c r="J44" s="1942"/>
      <c r="K44" s="1942"/>
      <c r="L44" s="1942"/>
      <c r="M44" s="1951" t="s">
        <v>581</v>
      </c>
      <c r="N44" s="1951"/>
      <c r="O44" s="1951"/>
      <c r="P44" s="1951"/>
      <c r="Q44" s="1951"/>
      <c r="R44" s="1951"/>
      <c r="S44" s="1951"/>
      <c r="T44" s="1951"/>
      <c r="U44" s="1951"/>
      <c r="V44" s="1943" t="s">
        <v>582</v>
      </c>
      <c r="W44" s="1943"/>
      <c r="X44" s="1943"/>
      <c r="Y44" s="1943"/>
      <c r="Z44" s="1943"/>
      <c r="AA44" s="1943"/>
      <c r="AB44" s="1943"/>
      <c r="AC44" s="1943"/>
      <c r="AD44" s="1943"/>
      <c r="AE44" s="2230" t="s">
        <v>356</v>
      </c>
      <c r="AF44" s="2230"/>
      <c r="AG44" s="2230"/>
      <c r="AH44" s="2230"/>
      <c r="AI44" s="2230"/>
      <c r="AJ44" s="2230"/>
      <c r="AK44" s="2230"/>
      <c r="AL44" s="2230"/>
      <c r="AM44" s="2230"/>
      <c r="AN44" s="1943" t="s">
        <v>410</v>
      </c>
      <c r="AO44" s="1943"/>
      <c r="AP44" s="1943"/>
      <c r="AQ44" s="1943"/>
      <c r="AR44" s="1943"/>
      <c r="AS44" s="1943"/>
      <c r="AT44" s="1943"/>
      <c r="AU44" s="1943"/>
      <c r="AV44" s="1943"/>
      <c r="AW44" s="1943"/>
      <c r="AX44" s="1943"/>
      <c r="AY44" s="1943"/>
      <c r="AZ44" s="1943"/>
      <c r="BA44" s="1943"/>
      <c r="BB44" s="1943"/>
      <c r="BC44" s="1943"/>
      <c r="BD44" s="1943"/>
      <c r="BE44" s="1943"/>
    </row>
    <row r="45" spans="1:60" s="359" customFormat="1" ht="17.25" customHeight="1">
      <c r="A45" s="2001" t="s">
        <v>583</v>
      </c>
      <c r="B45" s="2001"/>
      <c r="C45" s="2001"/>
      <c r="D45" s="2001"/>
      <c r="E45" s="2001"/>
      <c r="F45" s="2001"/>
      <c r="G45" s="2001"/>
      <c r="H45" s="2001"/>
      <c r="I45" s="2001"/>
      <c r="J45" s="2001"/>
      <c r="K45" s="2001"/>
      <c r="L45" s="2001"/>
      <c r="M45" s="1951"/>
      <c r="N45" s="1951"/>
      <c r="O45" s="1951"/>
      <c r="P45" s="1951"/>
      <c r="Q45" s="1951"/>
      <c r="R45" s="1951"/>
      <c r="S45" s="1951"/>
      <c r="T45" s="1951"/>
      <c r="U45" s="1951"/>
      <c r="V45" s="1943"/>
      <c r="W45" s="1943"/>
      <c r="X45" s="1943"/>
      <c r="Y45" s="1943"/>
      <c r="Z45" s="1943"/>
      <c r="AA45" s="1943"/>
      <c r="AB45" s="1943"/>
      <c r="AC45" s="1943"/>
      <c r="AD45" s="1943"/>
      <c r="AE45" s="2230"/>
      <c r="AF45" s="2230"/>
      <c r="AG45" s="2230"/>
      <c r="AH45" s="2230"/>
      <c r="AI45" s="2230"/>
      <c r="AJ45" s="2230"/>
      <c r="AK45" s="2230"/>
      <c r="AL45" s="2230"/>
      <c r="AM45" s="2230"/>
      <c r="AN45" s="1943" t="s">
        <v>378</v>
      </c>
      <c r="AO45" s="1943"/>
      <c r="AP45" s="1943"/>
      <c r="AQ45" s="1943"/>
      <c r="AR45" s="1943"/>
      <c r="AS45" s="1943"/>
      <c r="AT45" s="1943"/>
      <c r="AU45" s="1943"/>
      <c r="AV45" s="1943"/>
      <c r="AW45" s="2231" t="s">
        <v>356</v>
      </c>
      <c r="AX45" s="2231"/>
      <c r="AY45" s="2231"/>
      <c r="AZ45" s="2231"/>
      <c r="BA45" s="2231"/>
      <c r="BB45" s="2231"/>
      <c r="BC45" s="2231"/>
      <c r="BD45" s="2231"/>
      <c r="BE45" s="2231"/>
    </row>
    <row r="46" spans="1:60" s="359" customFormat="1" ht="30" customHeight="1">
      <c r="A46" s="219"/>
      <c r="B46" s="2229" t="s">
        <v>128</v>
      </c>
      <c r="C46" s="2229"/>
      <c r="D46" s="2229"/>
      <c r="E46" s="2229"/>
      <c r="F46" s="2229"/>
      <c r="G46" s="2229"/>
      <c r="H46" s="2229"/>
      <c r="I46" s="2229"/>
      <c r="J46" s="2229"/>
      <c r="K46" s="2229"/>
      <c r="L46" s="220"/>
      <c r="M46" s="3083">
        <v>7146000</v>
      </c>
      <c r="N46" s="3084"/>
      <c r="O46" s="3084"/>
      <c r="P46" s="3084"/>
      <c r="Q46" s="3084"/>
      <c r="R46" s="3084"/>
      <c r="S46" s="3084"/>
      <c r="T46" s="3084"/>
      <c r="U46" s="502"/>
      <c r="V46" s="3085">
        <f>保健_財務諸表!B39</f>
        <v>6510030</v>
      </c>
      <c r="W46" s="3085"/>
      <c r="X46" s="3085"/>
      <c r="Y46" s="3085"/>
      <c r="Z46" s="3085"/>
      <c r="AA46" s="3085"/>
      <c r="AB46" s="3085"/>
      <c r="AC46" s="3085"/>
      <c r="AD46" s="503"/>
      <c r="AE46" s="2225">
        <f t="shared" ref="AE46:AE65" si="2">V46-M46</f>
        <v>-635970</v>
      </c>
      <c r="AF46" s="2225"/>
      <c r="AG46" s="2225"/>
      <c r="AH46" s="2225"/>
      <c r="AI46" s="2225"/>
      <c r="AJ46" s="2225"/>
      <c r="AK46" s="2225"/>
      <c r="AL46" s="2225"/>
      <c r="AM46" s="502"/>
      <c r="AN46" s="3085">
        <f>前年度貼付!$E$263</f>
        <v>6040584</v>
      </c>
      <c r="AO46" s="3085"/>
      <c r="AP46" s="3085"/>
      <c r="AQ46" s="3085"/>
      <c r="AR46" s="3085"/>
      <c r="AS46" s="3085"/>
      <c r="AT46" s="3085"/>
      <c r="AU46" s="3085"/>
      <c r="AV46" s="503"/>
      <c r="AW46" s="2225">
        <f t="shared" ref="AW46:AW65" si="3">V46-AN46</f>
        <v>469446</v>
      </c>
      <c r="AX46" s="2225"/>
      <c r="AY46" s="2225"/>
      <c r="AZ46" s="2225"/>
      <c r="BA46" s="2225"/>
      <c r="BB46" s="2225"/>
      <c r="BC46" s="2225"/>
      <c r="BD46" s="2225"/>
      <c r="BE46" s="220"/>
    </row>
    <row r="47" spans="1:60" s="359" customFormat="1" ht="30" customHeight="1">
      <c r="A47" s="188"/>
      <c r="B47" s="1932" t="s">
        <v>129</v>
      </c>
      <c r="C47" s="1932"/>
      <c r="D47" s="1932"/>
      <c r="E47" s="1932"/>
      <c r="F47" s="1932"/>
      <c r="G47" s="1932"/>
      <c r="H47" s="1932"/>
      <c r="I47" s="1932"/>
      <c r="J47" s="1932"/>
      <c r="K47" s="1932"/>
      <c r="L47" s="197"/>
      <c r="M47" s="3083">
        <v>560810000</v>
      </c>
      <c r="N47" s="3084"/>
      <c r="O47" s="3084"/>
      <c r="P47" s="3084"/>
      <c r="Q47" s="3084"/>
      <c r="R47" s="3084"/>
      <c r="S47" s="3084"/>
      <c r="T47" s="3084"/>
      <c r="U47" s="189"/>
      <c r="V47" s="3085">
        <f>保健_財務諸表!B40</f>
        <v>574362302</v>
      </c>
      <c r="W47" s="3085"/>
      <c r="X47" s="3085"/>
      <c r="Y47" s="3085"/>
      <c r="Z47" s="3085"/>
      <c r="AA47" s="3085"/>
      <c r="AB47" s="3085"/>
      <c r="AC47" s="3085"/>
      <c r="AD47" s="197"/>
      <c r="AE47" s="2225">
        <f t="shared" si="2"/>
        <v>13552302</v>
      </c>
      <c r="AF47" s="2225"/>
      <c r="AG47" s="2225"/>
      <c r="AH47" s="2225"/>
      <c r="AI47" s="2225"/>
      <c r="AJ47" s="2225"/>
      <c r="AK47" s="2225"/>
      <c r="AL47" s="2225"/>
      <c r="AM47" s="189"/>
      <c r="AN47" s="3085">
        <f>前年度貼付!$E$264</f>
        <v>550775667</v>
      </c>
      <c r="AO47" s="3085"/>
      <c r="AP47" s="3085"/>
      <c r="AQ47" s="3085"/>
      <c r="AR47" s="3085"/>
      <c r="AS47" s="3085"/>
      <c r="AT47" s="3085"/>
      <c r="AU47" s="3085"/>
      <c r="AV47" s="197"/>
      <c r="AW47" s="2225">
        <f t="shared" si="3"/>
        <v>23586635</v>
      </c>
      <c r="AX47" s="2225"/>
      <c r="AY47" s="2225"/>
      <c r="AZ47" s="2225"/>
      <c r="BA47" s="2225"/>
      <c r="BB47" s="2225"/>
      <c r="BC47" s="2225"/>
      <c r="BD47" s="2225"/>
      <c r="BE47" s="197"/>
    </row>
    <row r="48" spans="1:60" s="359" customFormat="1" ht="30" customHeight="1">
      <c r="A48" s="188"/>
      <c r="B48" s="1932" t="s">
        <v>149</v>
      </c>
      <c r="C48" s="1932"/>
      <c r="D48" s="1932"/>
      <c r="E48" s="1932"/>
      <c r="F48" s="1932"/>
      <c r="G48" s="1932"/>
      <c r="H48" s="1932"/>
      <c r="I48" s="1932"/>
      <c r="J48" s="1932"/>
      <c r="K48" s="1932"/>
      <c r="L48" s="197"/>
      <c r="M48" s="3083">
        <v>34605000</v>
      </c>
      <c r="N48" s="3084"/>
      <c r="O48" s="3084"/>
      <c r="P48" s="3084"/>
      <c r="Q48" s="3084"/>
      <c r="R48" s="3084"/>
      <c r="S48" s="3084"/>
      <c r="T48" s="3084"/>
      <c r="U48" s="189"/>
      <c r="V48" s="3085">
        <f>保健_財務諸表!B41</f>
        <v>20355535</v>
      </c>
      <c r="W48" s="3085"/>
      <c r="X48" s="3085"/>
      <c r="Y48" s="3085"/>
      <c r="Z48" s="3085"/>
      <c r="AA48" s="3085"/>
      <c r="AB48" s="3085"/>
      <c r="AC48" s="3085"/>
      <c r="AD48" s="197"/>
      <c r="AE48" s="2225">
        <f t="shared" si="2"/>
        <v>-14249465</v>
      </c>
      <c r="AF48" s="2225"/>
      <c r="AG48" s="2225"/>
      <c r="AH48" s="2225"/>
      <c r="AI48" s="2225"/>
      <c r="AJ48" s="2225"/>
      <c r="AK48" s="2225"/>
      <c r="AL48" s="2225"/>
      <c r="AM48" s="189"/>
      <c r="AN48" s="3085">
        <f>前年度貼付!$E$265</f>
        <v>19290386</v>
      </c>
      <c r="AO48" s="3085"/>
      <c r="AP48" s="3085"/>
      <c r="AQ48" s="3085"/>
      <c r="AR48" s="3085"/>
      <c r="AS48" s="3085"/>
      <c r="AT48" s="3085"/>
      <c r="AU48" s="3085"/>
      <c r="AV48" s="197"/>
      <c r="AW48" s="2225">
        <f t="shared" si="3"/>
        <v>1065149</v>
      </c>
      <c r="AX48" s="2225"/>
      <c r="AY48" s="2225"/>
      <c r="AZ48" s="2225"/>
      <c r="BA48" s="2225"/>
      <c r="BB48" s="2225"/>
      <c r="BC48" s="2225"/>
      <c r="BD48" s="2225"/>
      <c r="BE48" s="197"/>
    </row>
    <row r="49" spans="1:57" s="359" customFormat="1" ht="30" customHeight="1">
      <c r="A49" s="188"/>
      <c r="B49" s="1932" t="s">
        <v>130</v>
      </c>
      <c r="C49" s="1932"/>
      <c r="D49" s="1932"/>
      <c r="E49" s="1932"/>
      <c r="F49" s="1932"/>
      <c r="G49" s="1932"/>
      <c r="H49" s="1932"/>
      <c r="I49" s="1932"/>
      <c r="J49" s="1932"/>
      <c r="K49" s="1932"/>
      <c r="L49" s="197"/>
      <c r="M49" s="3083">
        <v>110000</v>
      </c>
      <c r="N49" s="3084"/>
      <c r="O49" s="3084"/>
      <c r="P49" s="3084"/>
      <c r="Q49" s="3084"/>
      <c r="R49" s="3084"/>
      <c r="S49" s="3084"/>
      <c r="T49" s="3084"/>
      <c r="U49" s="189"/>
      <c r="V49" s="3086">
        <v>0</v>
      </c>
      <c r="W49" s="3085"/>
      <c r="X49" s="3085"/>
      <c r="Y49" s="3085"/>
      <c r="Z49" s="3085"/>
      <c r="AA49" s="3085"/>
      <c r="AB49" s="3085"/>
      <c r="AC49" s="3085"/>
      <c r="AD49" s="197"/>
      <c r="AE49" s="2225">
        <f t="shared" si="2"/>
        <v>-110000</v>
      </c>
      <c r="AF49" s="2225"/>
      <c r="AG49" s="2225"/>
      <c r="AH49" s="2225"/>
      <c r="AI49" s="2225"/>
      <c r="AJ49" s="2225"/>
      <c r="AK49" s="2225"/>
      <c r="AL49" s="2225"/>
      <c r="AM49" s="189"/>
      <c r="AN49" s="3085">
        <f>前年度貼付!$E$266</f>
        <v>0</v>
      </c>
      <c r="AO49" s="3085"/>
      <c r="AP49" s="3085"/>
      <c r="AQ49" s="3085"/>
      <c r="AR49" s="3085"/>
      <c r="AS49" s="3085"/>
      <c r="AT49" s="3085"/>
      <c r="AU49" s="3085"/>
      <c r="AV49" s="197"/>
      <c r="AW49" s="2225">
        <f t="shared" si="3"/>
        <v>0</v>
      </c>
      <c r="AX49" s="2225"/>
      <c r="AY49" s="2225"/>
      <c r="AZ49" s="2225"/>
      <c r="BA49" s="2225"/>
      <c r="BB49" s="2225"/>
      <c r="BC49" s="2225"/>
      <c r="BD49" s="2225"/>
      <c r="BE49" s="197"/>
    </row>
    <row r="50" spans="1:57" s="359" customFormat="1" ht="30" customHeight="1">
      <c r="A50" s="187"/>
      <c r="B50" s="2227" t="s">
        <v>131</v>
      </c>
      <c r="C50" s="2227"/>
      <c r="D50" s="2227"/>
      <c r="E50" s="2227"/>
      <c r="F50" s="2227"/>
      <c r="G50" s="2227"/>
      <c r="H50" s="2227"/>
      <c r="I50" s="2227"/>
      <c r="J50" s="2227"/>
      <c r="K50" s="2227"/>
      <c r="L50" s="218"/>
      <c r="M50" s="3083">
        <v>700000</v>
      </c>
      <c r="N50" s="3084"/>
      <c r="O50" s="3084"/>
      <c r="P50" s="3084"/>
      <c r="Q50" s="3084"/>
      <c r="R50" s="3084"/>
      <c r="S50" s="3084"/>
      <c r="T50" s="3084"/>
      <c r="U50" s="167"/>
      <c r="V50" s="3085">
        <f>保健_財務諸表!B42</f>
        <v>543780</v>
      </c>
      <c r="W50" s="3085"/>
      <c r="X50" s="3085"/>
      <c r="Y50" s="3085"/>
      <c r="Z50" s="3085"/>
      <c r="AA50" s="3085"/>
      <c r="AB50" s="3085"/>
      <c r="AC50" s="3085"/>
      <c r="AD50" s="218"/>
      <c r="AE50" s="2225">
        <f t="shared" si="2"/>
        <v>-156220</v>
      </c>
      <c r="AF50" s="2225"/>
      <c r="AG50" s="2225"/>
      <c r="AH50" s="2225"/>
      <c r="AI50" s="2225"/>
      <c r="AJ50" s="2225"/>
      <c r="AK50" s="2225"/>
      <c r="AL50" s="2225"/>
      <c r="AM50" s="167"/>
      <c r="AN50" s="3085">
        <f>前年度貼付!$E$267</f>
        <v>418088</v>
      </c>
      <c r="AO50" s="3085"/>
      <c r="AP50" s="3085"/>
      <c r="AQ50" s="3085"/>
      <c r="AR50" s="3085"/>
      <c r="AS50" s="3085"/>
      <c r="AT50" s="3085"/>
      <c r="AU50" s="3085"/>
      <c r="AV50" s="218"/>
      <c r="AW50" s="2225">
        <f t="shared" si="3"/>
        <v>125692</v>
      </c>
      <c r="AX50" s="2225"/>
      <c r="AY50" s="2225"/>
      <c r="AZ50" s="2225"/>
      <c r="BA50" s="2225"/>
      <c r="BB50" s="2225"/>
      <c r="BC50" s="2225"/>
      <c r="BD50" s="2225"/>
      <c r="BE50" s="218"/>
    </row>
    <row r="51" spans="1:57" s="359" customFormat="1" ht="30" customHeight="1">
      <c r="A51" s="188"/>
      <c r="B51" s="1932" t="s">
        <v>150</v>
      </c>
      <c r="C51" s="1932"/>
      <c r="D51" s="1932"/>
      <c r="E51" s="1932"/>
      <c r="F51" s="1932"/>
      <c r="G51" s="1932"/>
      <c r="H51" s="1932"/>
      <c r="I51" s="1932"/>
      <c r="J51" s="1932"/>
      <c r="K51" s="1932"/>
      <c r="L51" s="197"/>
      <c r="M51" s="3083">
        <v>186000</v>
      </c>
      <c r="N51" s="3084"/>
      <c r="O51" s="3084"/>
      <c r="P51" s="3084"/>
      <c r="Q51" s="3084"/>
      <c r="R51" s="3084"/>
      <c r="S51" s="3084"/>
      <c r="T51" s="3084"/>
      <c r="U51" s="189"/>
      <c r="V51" s="3085">
        <f>保健_財務諸表!B43</f>
        <v>170673</v>
      </c>
      <c r="W51" s="3085"/>
      <c r="X51" s="3085"/>
      <c r="Y51" s="3085"/>
      <c r="Z51" s="3085"/>
      <c r="AA51" s="3085"/>
      <c r="AB51" s="3085"/>
      <c r="AC51" s="3085"/>
      <c r="AD51" s="197"/>
      <c r="AE51" s="2225">
        <f t="shared" si="2"/>
        <v>-15327</v>
      </c>
      <c r="AF51" s="2225"/>
      <c r="AG51" s="2225"/>
      <c r="AH51" s="2225"/>
      <c r="AI51" s="2225"/>
      <c r="AJ51" s="2225"/>
      <c r="AK51" s="2225"/>
      <c r="AL51" s="2225"/>
      <c r="AM51" s="189"/>
      <c r="AN51" s="3085">
        <f>前年度貼付!$E$268</f>
        <v>108839</v>
      </c>
      <c r="AO51" s="3085"/>
      <c r="AP51" s="3085"/>
      <c r="AQ51" s="3085"/>
      <c r="AR51" s="3085"/>
      <c r="AS51" s="3085"/>
      <c r="AT51" s="3085"/>
      <c r="AU51" s="3085"/>
      <c r="AV51" s="197"/>
      <c r="AW51" s="2225">
        <f t="shared" si="3"/>
        <v>61834</v>
      </c>
      <c r="AX51" s="2225"/>
      <c r="AY51" s="2225"/>
      <c r="AZ51" s="2225"/>
      <c r="BA51" s="2225"/>
      <c r="BB51" s="2225"/>
      <c r="BC51" s="2225"/>
      <c r="BD51" s="2225"/>
      <c r="BE51" s="197"/>
    </row>
    <row r="52" spans="1:57" s="359" customFormat="1" ht="30" customHeight="1">
      <c r="A52" s="188"/>
      <c r="B52" s="1932" t="s">
        <v>132</v>
      </c>
      <c r="C52" s="1932"/>
      <c r="D52" s="1932"/>
      <c r="E52" s="1932"/>
      <c r="F52" s="1932"/>
      <c r="G52" s="1932"/>
      <c r="H52" s="1932"/>
      <c r="I52" s="1932"/>
      <c r="J52" s="1932"/>
      <c r="K52" s="1932"/>
      <c r="L52" s="197"/>
      <c r="M52" s="3083">
        <v>0</v>
      </c>
      <c r="N52" s="3084"/>
      <c r="O52" s="3084"/>
      <c r="P52" s="3084"/>
      <c r="Q52" s="3084"/>
      <c r="R52" s="3084"/>
      <c r="S52" s="3084"/>
      <c r="T52" s="3084"/>
      <c r="U52" s="189"/>
      <c r="V52" s="3085">
        <f>保健_財務諸表!B44</f>
        <v>0</v>
      </c>
      <c r="W52" s="3085"/>
      <c r="X52" s="3085"/>
      <c r="Y52" s="3085"/>
      <c r="Z52" s="3085"/>
      <c r="AA52" s="3085"/>
      <c r="AB52" s="3085"/>
      <c r="AC52" s="3085"/>
      <c r="AD52" s="197"/>
      <c r="AE52" s="2225">
        <f t="shared" si="2"/>
        <v>0</v>
      </c>
      <c r="AF52" s="2225"/>
      <c r="AG52" s="2225"/>
      <c r="AH52" s="2225"/>
      <c r="AI52" s="2225"/>
      <c r="AJ52" s="2225"/>
      <c r="AK52" s="2225"/>
      <c r="AL52" s="2225"/>
      <c r="AM52" s="189"/>
      <c r="AN52" s="3085">
        <f>前年度貼付!$E$269</f>
        <v>0</v>
      </c>
      <c r="AO52" s="3085"/>
      <c r="AP52" s="3085"/>
      <c r="AQ52" s="3085"/>
      <c r="AR52" s="3085"/>
      <c r="AS52" s="3085"/>
      <c r="AT52" s="3085"/>
      <c r="AU52" s="3085"/>
      <c r="AV52" s="197"/>
      <c r="AW52" s="2225">
        <f t="shared" si="3"/>
        <v>0</v>
      </c>
      <c r="AX52" s="2225"/>
      <c r="AY52" s="2225"/>
      <c r="AZ52" s="2225"/>
      <c r="BA52" s="2225"/>
      <c r="BB52" s="2225"/>
      <c r="BC52" s="2225"/>
      <c r="BD52" s="2225"/>
      <c r="BE52" s="197"/>
    </row>
    <row r="53" spans="1:57" s="359" customFormat="1" ht="30" customHeight="1">
      <c r="A53" s="187"/>
      <c r="B53" s="2227" t="s">
        <v>133</v>
      </c>
      <c r="C53" s="2227"/>
      <c r="D53" s="2227"/>
      <c r="E53" s="2227"/>
      <c r="F53" s="2227"/>
      <c r="G53" s="2227"/>
      <c r="H53" s="2227"/>
      <c r="I53" s="2227"/>
      <c r="J53" s="2227"/>
      <c r="K53" s="2227"/>
      <c r="L53" s="218"/>
      <c r="M53" s="3083">
        <v>5240000</v>
      </c>
      <c r="N53" s="3084"/>
      <c r="O53" s="3084"/>
      <c r="P53" s="3084"/>
      <c r="Q53" s="3084"/>
      <c r="R53" s="3084"/>
      <c r="S53" s="3084"/>
      <c r="T53" s="3084"/>
      <c r="U53" s="167"/>
      <c r="V53" s="3085">
        <f>保健_財務諸表!B45</f>
        <v>4535066</v>
      </c>
      <c r="W53" s="3085"/>
      <c r="X53" s="3085"/>
      <c r="Y53" s="3085"/>
      <c r="Z53" s="3085"/>
      <c r="AA53" s="3085"/>
      <c r="AB53" s="3085"/>
      <c r="AC53" s="3085"/>
      <c r="AD53" s="218"/>
      <c r="AE53" s="2225">
        <f t="shared" si="2"/>
        <v>-704934</v>
      </c>
      <c r="AF53" s="2225"/>
      <c r="AG53" s="2225"/>
      <c r="AH53" s="2225"/>
      <c r="AI53" s="2225"/>
      <c r="AJ53" s="2225"/>
      <c r="AK53" s="2225"/>
      <c r="AL53" s="2225"/>
      <c r="AM53" s="167"/>
      <c r="AN53" s="3085">
        <f>前年度貼付!$E$270</f>
        <v>26431455</v>
      </c>
      <c r="AO53" s="3085"/>
      <c r="AP53" s="3085"/>
      <c r="AQ53" s="3085"/>
      <c r="AR53" s="3085"/>
      <c r="AS53" s="3085"/>
      <c r="AT53" s="3085"/>
      <c r="AU53" s="3085"/>
      <c r="AV53" s="218"/>
      <c r="AW53" s="2225">
        <f t="shared" si="3"/>
        <v>-21896389</v>
      </c>
      <c r="AX53" s="2225"/>
      <c r="AY53" s="2225"/>
      <c r="AZ53" s="2225"/>
      <c r="BA53" s="2225"/>
      <c r="BB53" s="2225"/>
      <c r="BC53" s="2225"/>
      <c r="BD53" s="2225"/>
      <c r="BE53" s="218"/>
    </row>
    <row r="54" spans="1:57" s="359" customFormat="1" ht="30" customHeight="1">
      <c r="A54" s="188"/>
      <c r="B54" s="1932" t="s">
        <v>135</v>
      </c>
      <c r="C54" s="1932"/>
      <c r="D54" s="1932"/>
      <c r="E54" s="1932"/>
      <c r="F54" s="1932"/>
      <c r="G54" s="1932"/>
      <c r="H54" s="1932"/>
      <c r="I54" s="1932"/>
      <c r="J54" s="1932"/>
      <c r="K54" s="1932"/>
      <c r="L54" s="197"/>
      <c r="M54" s="3083">
        <v>0</v>
      </c>
      <c r="N54" s="3084"/>
      <c r="O54" s="3084"/>
      <c r="P54" s="3084"/>
      <c r="Q54" s="3084"/>
      <c r="R54" s="3084"/>
      <c r="S54" s="3084"/>
      <c r="T54" s="3084"/>
      <c r="U54" s="189"/>
      <c r="V54" s="3085">
        <f>保健_財務諸表!B46</f>
        <v>0</v>
      </c>
      <c r="W54" s="3085"/>
      <c r="X54" s="3085"/>
      <c r="Y54" s="3085"/>
      <c r="Z54" s="3085"/>
      <c r="AA54" s="3085"/>
      <c r="AB54" s="3085"/>
      <c r="AC54" s="3085"/>
      <c r="AD54" s="197"/>
      <c r="AE54" s="2225">
        <f t="shared" si="2"/>
        <v>0</v>
      </c>
      <c r="AF54" s="2225"/>
      <c r="AG54" s="2225"/>
      <c r="AH54" s="2225"/>
      <c r="AI54" s="2225"/>
      <c r="AJ54" s="2225"/>
      <c r="AK54" s="2225"/>
      <c r="AL54" s="2225"/>
      <c r="AM54" s="189"/>
      <c r="AN54" s="3085">
        <f>前年度貼付!$E$271</f>
        <v>59832</v>
      </c>
      <c r="AO54" s="3085"/>
      <c r="AP54" s="3085"/>
      <c r="AQ54" s="3085"/>
      <c r="AR54" s="3085"/>
      <c r="AS54" s="3085"/>
      <c r="AT54" s="3085"/>
      <c r="AU54" s="3085"/>
      <c r="AV54" s="197"/>
      <c r="AW54" s="2225">
        <f t="shared" si="3"/>
        <v>-59832</v>
      </c>
      <c r="AX54" s="2225"/>
      <c r="AY54" s="2225"/>
      <c r="AZ54" s="2225"/>
      <c r="BA54" s="2225"/>
      <c r="BB54" s="2225"/>
      <c r="BC54" s="2225"/>
      <c r="BD54" s="2225"/>
      <c r="BE54" s="197"/>
    </row>
    <row r="55" spans="1:57" s="359" customFormat="1" ht="30" customHeight="1">
      <c r="A55" s="187"/>
      <c r="B55" s="2227" t="s">
        <v>136</v>
      </c>
      <c r="C55" s="2227"/>
      <c r="D55" s="2227"/>
      <c r="E55" s="2227"/>
      <c r="F55" s="2227"/>
      <c r="G55" s="2227"/>
      <c r="H55" s="2227"/>
      <c r="I55" s="2227"/>
      <c r="J55" s="2227"/>
      <c r="K55" s="2227"/>
      <c r="L55" s="218"/>
      <c r="M55" s="3083">
        <v>0</v>
      </c>
      <c r="N55" s="3084"/>
      <c r="O55" s="3084"/>
      <c r="P55" s="3084"/>
      <c r="Q55" s="3084"/>
      <c r="R55" s="3084"/>
      <c r="S55" s="3084"/>
      <c r="T55" s="3084"/>
      <c r="U55" s="167"/>
      <c r="V55" s="3085">
        <f>保健_財務諸表!B47</f>
        <v>0</v>
      </c>
      <c r="W55" s="3085"/>
      <c r="X55" s="3085"/>
      <c r="Y55" s="3085"/>
      <c r="Z55" s="3085"/>
      <c r="AA55" s="3085"/>
      <c r="AB55" s="3085"/>
      <c r="AC55" s="3085"/>
      <c r="AD55" s="218"/>
      <c r="AE55" s="2225">
        <f t="shared" si="2"/>
        <v>0</v>
      </c>
      <c r="AF55" s="2225"/>
      <c r="AG55" s="2225"/>
      <c r="AH55" s="2225"/>
      <c r="AI55" s="2225"/>
      <c r="AJ55" s="2225"/>
      <c r="AK55" s="2225"/>
      <c r="AL55" s="2225"/>
      <c r="AM55" s="167"/>
      <c r="AN55" s="3085">
        <f>前年度貼付!$E$272</f>
        <v>0</v>
      </c>
      <c r="AO55" s="3085"/>
      <c r="AP55" s="3085"/>
      <c r="AQ55" s="3085"/>
      <c r="AR55" s="3085"/>
      <c r="AS55" s="3085"/>
      <c r="AT55" s="3085"/>
      <c r="AU55" s="3085"/>
      <c r="AV55" s="218"/>
      <c r="AW55" s="2225">
        <f t="shared" si="3"/>
        <v>0</v>
      </c>
      <c r="AX55" s="2225"/>
      <c r="AY55" s="2225"/>
      <c r="AZ55" s="2225"/>
      <c r="BA55" s="2225"/>
      <c r="BB55" s="2225"/>
      <c r="BC55" s="2225"/>
      <c r="BD55" s="2225"/>
      <c r="BE55" s="218"/>
    </row>
    <row r="56" spans="1:57" s="359" customFormat="1" ht="30" customHeight="1">
      <c r="A56" s="188"/>
      <c r="B56" s="1932" t="s">
        <v>151</v>
      </c>
      <c r="C56" s="1932"/>
      <c r="D56" s="1932"/>
      <c r="E56" s="1932"/>
      <c r="F56" s="1932"/>
      <c r="G56" s="1932"/>
      <c r="H56" s="1932"/>
      <c r="I56" s="1932"/>
      <c r="J56" s="1932"/>
      <c r="K56" s="1932"/>
      <c r="L56" s="197"/>
      <c r="M56" s="3083">
        <v>26000</v>
      </c>
      <c r="N56" s="3084"/>
      <c r="O56" s="3084"/>
      <c r="P56" s="3084"/>
      <c r="Q56" s="3084"/>
      <c r="R56" s="3084"/>
      <c r="S56" s="3084"/>
      <c r="T56" s="3084"/>
      <c r="U56" s="189"/>
      <c r="V56" s="3085">
        <f>保健_財務諸表!B48</f>
        <v>28027</v>
      </c>
      <c r="W56" s="3085"/>
      <c r="X56" s="3085"/>
      <c r="Y56" s="3085"/>
      <c r="Z56" s="3085"/>
      <c r="AA56" s="3085"/>
      <c r="AB56" s="3085"/>
      <c r="AC56" s="3085"/>
      <c r="AD56" s="197"/>
      <c r="AE56" s="2225">
        <f t="shared" si="2"/>
        <v>2027</v>
      </c>
      <c r="AF56" s="2225"/>
      <c r="AG56" s="2225"/>
      <c r="AH56" s="2225"/>
      <c r="AI56" s="2225"/>
      <c r="AJ56" s="2225"/>
      <c r="AK56" s="2225"/>
      <c r="AL56" s="2225"/>
      <c r="AM56" s="189"/>
      <c r="AN56" s="3085">
        <f>前年度貼付!$E$273</f>
        <v>24585</v>
      </c>
      <c r="AO56" s="3085"/>
      <c r="AP56" s="3085"/>
      <c r="AQ56" s="3085"/>
      <c r="AR56" s="3085"/>
      <c r="AS56" s="3085"/>
      <c r="AT56" s="3085"/>
      <c r="AU56" s="3085"/>
      <c r="AV56" s="197"/>
      <c r="AW56" s="2225">
        <f t="shared" si="3"/>
        <v>3442</v>
      </c>
      <c r="AX56" s="2225"/>
      <c r="AY56" s="2225"/>
      <c r="AZ56" s="2225"/>
      <c r="BA56" s="2225"/>
      <c r="BB56" s="2225"/>
      <c r="BC56" s="2225"/>
      <c r="BD56" s="2225"/>
      <c r="BE56" s="197"/>
    </row>
    <row r="57" spans="1:57" s="359" customFormat="1" ht="30" customHeight="1">
      <c r="A57" s="188"/>
      <c r="B57" s="1932" t="s">
        <v>137</v>
      </c>
      <c r="C57" s="1932"/>
      <c r="D57" s="1932"/>
      <c r="E57" s="1932"/>
      <c r="F57" s="1932"/>
      <c r="G57" s="1932"/>
      <c r="H57" s="1932"/>
      <c r="I57" s="1932"/>
      <c r="J57" s="1932"/>
      <c r="K57" s="1932"/>
      <c r="L57" s="197"/>
      <c r="M57" s="3087">
        <v>3363000</v>
      </c>
      <c r="N57" s="3088"/>
      <c r="O57" s="3088"/>
      <c r="P57" s="3088"/>
      <c r="Q57" s="3088"/>
      <c r="R57" s="3088"/>
      <c r="S57" s="3088"/>
      <c r="T57" s="3088"/>
      <c r="U57" s="189"/>
      <c r="V57" s="3088">
        <f>保健_財務諸表!B49</f>
        <v>3453940</v>
      </c>
      <c r="W57" s="3088"/>
      <c r="X57" s="3088"/>
      <c r="Y57" s="3088"/>
      <c r="Z57" s="3088"/>
      <c r="AA57" s="3088"/>
      <c r="AB57" s="3088"/>
      <c r="AC57" s="3088"/>
      <c r="AD57" s="197"/>
      <c r="AE57" s="2215">
        <f t="shared" si="2"/>
        <v>90940</v>
      </c>
      <c r="AF57" s="2215"/>
      <c r="AG57" s="2215"/>
      <c r="AH57" s="2215"/>
      <c r="AI57" s="2215"/>
      <c r="AJ57" s="2215"/>
      <c r="AK57" s="2215"/>
      <c r="AL57" s="2215"/>
      <c r="AM57" s="189"/>
      <c r="AN57" s="3088">
        <f>前年度貼付!$E$274</f>
        <v>4888697</v>
      </c>
      <c r="AO57" s="3088"/>
      <c r="AP57" s="3088"/>
      <c r="AQ57" s="3088"/>
      <c r="AR57" s="3088"/>
      <c r="AS57" s="3088"/>
      <c r="AT57" s="3088"/>
      <c r="AU57" s="3088"/>
      <c r="AV57" s="197"/>
      <c r="AW57" s="2215">
        <f t="shared" si="3"/>
        <v>-1434757</v>
      </c>
      <c r="AX57" s="2215"/>
      <c r="AY57" s="2215"/>
      <c r="AZ57" s="2215"/>
      <c r="BA57" s="2215"/>
      <c r="BB57" s="2215"/>
      <c r="BC57" s="2215"/>
      <c r="BD57" s="2215"/>
      <c r="BE57" s="197"/>
    </row>
    <row r="58" spans="1:57" s="359" customFormat="1" ht="30" customHeight="1">
      <c r="A58" s="188"/>
      <c r="B58" s="1932" t="s">
        <v>152</v>
      </c>
      <c r="C58" s="1932"/>
      <c r="D58" s="1932"/>
      <c r="E58" s="1932"/>
      <c r="F58" s="1932"/>
      <c r="G58" s="1932"/>
      <c r="H58" s="1932"/>
      <c r="I58" s="1932"/>
      <c r="J58" s="1932"/>
      <c r="K58" s="1932"/>
      <c r="L58" s="197"/>
      <c r="M58" s="3087">
        <v>0</v>
      </c>
      <c r="N58" s="3088"/>
      <c r="O58" s="3088"/>
      <c r="P58" s="3088"/>
      <c r="Q58" s="3088"/>
      <c r="R58" s="3088"/>
      <c r="S58" s="3088"/>
      <c r="T58" s="3088"/>
      <c r="U58" s="189"/>
      <c r="V58" s="3088">
        <f>保健_財務諸表!B50</f>
        <v>0</v>
      </c>
      <c r="W58" s="3088"/>
      <c r="X58" s="3088"/>
      <c r="Y58" s="3088"/>
      <c r="Z58" s="3088"/>
      <c r="AA58" s="3088"/>
      <c r="AB58" s="3088"/>
      <c r="AC58" s="3088"/>
      <c r="AD58" s="197"/>
      <c r="AE58" s="2215">
        <f t="shared" si="2"/>
        <v>0</v>
      </c>
      <c r="AF58" s="2215"/>
      <c r="AG58" s="2215"/>
      <c r="AH58" s="2215"/>
      <c r="AI58" s="2215"/>
      <c r="AJ58" s="2215"/>
      <c r="AK58" s="2215"/>
      <c r="AL58" s="2215"/>
      <c r="AM58" s="189"/>
      <c r="AN58" s="3088">
        <f>前年度貼付!$E$275</f>
        <v>74014</v>
      </c>
      <c r="AO58" s="3088"/>
      <c r="AP58" s="3088"/>
      <c r="AQ58" s="3088"/>
      <c r="AR58" s="3088"/>
      <c r="AS58" s="3088"/>
      <c r="AT58" s="3088"/>
      <c r="AU58" s="3088"/>
      <c r="AV58" s="197"/>
      <c r="AW58" s="2215">
        <f t="shared" si="3"/>
        <v>-74014</v>
      </c>
      <c r="AX58" s="2215"/>
      <c r="AY58" s="2215"/>
      <c r="AZ58" s="2215"/>
      <c r="BA58" s="2215"/>
      <c r="BB58" s="2215"/>
      <c r="BC58" s="2215"/>
      <c r="BD58" s="2215"/>
      <c r="BE58" s="197"/>
    </row>
    <row r="59" spans="1:57" s="359" customFormat="1" ht="30" customHeight="1">
      <c r="A59" s="188"/>
      <c r="B59" s="1932" t="s">
        <v>138</v>
      </c>
      <c r="C59" s="1932"/>
      <c r="D59" s="1932"/>
      <c r="E59" s="1932"/>
      <c r="F59" s="1932"/>
      <c r="G59" s="1932"/>
      <c r="H59" s="1932"/>
      <c r="I59" s="1932"/>
      <c r="J59" s="1932"/>
      <c r="K59" s="1932"/>
      <c r="L59" s="197"/>
      <c r="M59" s="3087">
        <v>2077000</v>
      </c>
      <c r="N59" s="3088"/>
      <c r="O59" s="3088"/>
      <c r="P59" s="3088"/>
      <c r="Q59" s="3088"/>
      <c r="R59" s="3088"/>
      <c r="S59" s="3088"/>
      <c r="T59" s="3088"/>
      <c r="U59" s="189"/>
      <c r="V59" s="3088">
        <f>保健_財務諸表!B51</f>
        <v>1768131</v>
      </c>
      <c r="W59" s="3088"/>
      <c r="X59" s="3088"/>
      <c r="Y59" s="3088"/>
      <c r="Z59" s="3088"/>
      <c r="AA59" s="3088"/>
      <c r="AB59" s="3088"/>
      <c r="AC59" s="3088"/>
      <c r="AD59" s="197"/>
      <c r="AE59" s="2215">
        <f t="shared" si="2"/>
        <v>-308869</v>
      </c>
      <c r="AF59" s="2215"/>
      <c r="AG59" s="2215"/>
      <c r="AH59" s="2215"/>
      <c r="AI59" s="2215"/>
      <c r="AJ59" s="2215"/>
      <c r="AK59" s="2215"/>
      <c r="AL59" s="2215"/>
      <c r="AM59" s="189"/>
      <c r="AN59" s="3088">
        <f>前年度貼付!$E$276</f>
        <v>2058419</v>
      </c>
      <c r="AO59" s="3088"/>
      <c r="AP59" s="3088"/>
      <c r="AQ59" s="3088"/>
      <c r="AR59" s="3088"/>
      <c r="AS59" s="3088"/>
      <c r="AT59" s="3088"/>
      <c r="AU59" s="3088"/>
      <c r="AV59" s="197"/>
      <c r="AW59" s="2215">
        <f t="shared" si="3"/>
        <v>-290288</v>
      </c>
      <c r="AX59" s="2215"/>
      <c r="AY59" s="2215"/>
      <c r="AZ59" s="2215"/>
      <c r="BA59" s="2215"/>
      <c r="BB59" s="2215"/>
      <c r="BC59" s="2215"/>
      <c r="BD59" s="2215"/>
      <c r="BE59" s="197"/>
    </row>
    <row r="60" spans="1:57" s="359" customFormat="1" ht="30" customHeight="1">
      <c r="A60" s="188"/>
      <c r="B60" s="1932" t="s">
        <v>125</v>
      </c>
      <c r="C60" s="1932"/>
      <c r="D60" s="1932"/>
      <c r="E60" s="1932"/>
      <c r="F60" s="1932"/>
      <c r="G60" s="1932"/>
      <c r="H60" s="1932"/>
      <c r="I60" s="1932"/>
      <c r="J60" s="1932"/>
      <c r="K60" s="1932"/>
      <c r="L60" s="197"/>
      <c r="M60" s="3089">
        <v>593000</v>
      </c>
      <c r="N60" s="3090"/>
      <c r="O60" s="3090"/>
      <c r="P60" s="3090"/>
      <c r="Q60" s="3090"/>
      <c r="R60" s="3090"/>
      <c r="S60" s="3090"/>
      <c r="T60" s="3090"/>
      <c r="U60" s="189"/>
      <c r="V60" s="3088">
        <f>保健_財務諸表!B52</f>
        <v>565872</v>
      </c>
      <c r="W60" s="3088"/>
      <c r="X60" s="3088"/>
      <c r="Y60" s="3088"/>
      <c r="Z60" s="3088"/>
      <c r="AA60" s="3088"/>
      <c r="AB60" s="3088"/>
      <c r="AC60" s="3088"/>
      <c r="AD60" s="197"/>
      <c r="AE60" s="2215">
        <f t="shared" si="2"/>
        <v>-27128</v>
      </c>
      <c r="AF60" s="2215"/>
      <c r="AG60" s="2215"/>
      <c r="AH60" s="2215"/>
      <c r="AI60" s="2215"/>
      <c r="AJ60" s="2215"/>
      <c r="AK60" s="2215"/>
      <c r="AL60" s="2215"/>
      <c r="AM60" s="189"/>
      <c r="AN60" s="3088">
        <f>前年度貼付!$E$277</f>
        <v>725721</v>
      </c>
      <c r="AO60" s="3088"/>
      <c r="AP60" s="3088"/>
      <c r="AQ60" s="3088"/>
      <c r="AR60" s="3088"/>
      <c r="AS60" s="3088"/>
      <c r="AT60" s="3088"/>
      <c r="AU60" s="3088"/>
      <c r="AV60" s="197"/>
      <c r="AW60" s="2215">
        <f t="shared" si="3"/>
        <v>-159849</v>
      </c>
      <c r="AX60" s="2215"/>
      <c r="AY60" s="2215"/>
      <c r="AZ60" s="2215"/>
      <c r="BA60" s="2215"/>
      <c r="BB60" s="2215"/>
      <c r="BC60" s="2215"/>
      <c r="BD60" s="2215"/>
      <c r="BE60" s="197"/>
    </row>
    <row r="61" spans="1:57" s="359" customFormat="1" ht="30" customHeight="1">
      <c r="A61" s="188"/>
      <c r="B61" s="1932" t="s">
        <v>140</v>
      </c>
      <c r="C61" s="1932"/>
      <c r="D61" s="1932"/>
      <c r="E61" s="1932"/>
      <c r="F61" s="1932"/>
      <c r="G61" s="1932"/>
      <c r="H61" s="1932"/>
      <c r="I61" s="1932"/>
      <c r="J61" s="1932"/>
      <c r="K61" s="1932"/>
      <c r="L61" s="197"/>
      <c r="M61" s="3083">
        <v>2726000</v>
      </c>
      <c r="N61" s="3084"/>
      <c r="O61" s="3084"/>
      <c r="P61" s="3084"/>
      <c r="Q61" s="3084"/>
      <c r="R61" s="3084"/>
      <c r="S61" s="3084"/>
      <c r="T61" s="3084"/>
      <c r="U61" s="189"/>
      <c r="V61" s="3085">
        <f>保健_財務諸表!B53</f>
        <v>2868615</v>
      </c>
      <c r="W61" s="3085"/>
      <c r="X61" s="3085"/>
      <c r="Y61" s="3085"/>
      <c r="Z61" s="3085"/>
      <c r="AA61" s="3085"/>
      <c r="AB61" s="3085"/>
      <c r="AC61" s="3085"/>
      <c r="AD61" s="197"/>
      <c r="AE61" s="2225">
        <f t="shared" si="2"/>
        <v>142615</v>
      </c>
      <c r="AF61" s="2225"/>
      <c r="AG61" s="2225"/>
      <c r="AH61" s="2225"/>
      <c r="AI61" s="2225"/>
      <c r="AJ61" s="2225"/>
      <c r="AK61" s="2225"/>
      <c r="AL61" s="2225"/>
      <c r="AM61" s="189"/>
      <c r="AN61" s="3085">
        <f>前年度貼付!$E$278</f>
        <v>2767401</v>
      </c>
      <c r="AO61" s="3085"/>
      <c r="AP61" s="3085"/>
      <c r="AQ61" s="3085"/>
      <c r="AR61" s="3085"/>
      <c r="AS61" s="3085"/>
      <c r="AT61" s="3085"/>
      <c r="AU61" s="3085"/>
      <c r="AV61" s="197"/>
      <c r="AW61" s="2225">
        <f t="shared" si="3"/>
        <v>101214</v>
      </c>
      <c r="AX61" s="2225"/>
      <c r="AY61" s="2225"/>
      <c r="AZ61" s="2225"/>
      <c r="BA61" s="2225"/>
      <c r="BB61" s="2225"/>
      <c r="BC61" s="2225"/>
      <c r="BD61" s="2225"/>
      <c r="BE61" s="197"/>
    </row>
    <row r="62" spans="1:57" s="359" customFormat="1" ht="30" customHeight="1">
      <c r="A62" s="188"/>
      <c r="B62" s="1932" t="s">
        <v>142</v>
      </c>
      <c r="C62" s="1932"/>
      <c r="D62" s="1932"/>
      <c r="E62" s="1932"/>
      <c r="F62" s="1932"/>
      <c r="G62" s="1932"/>
      <c r="H62" s="1932"/>
      <c r="I62" s="1932"/>
      <c r="J62" s="1932"/>
      <c r="K62" s="1932"/>
      <c r="L62" s="197"/>
      <c r="M62" s="3091">
        <v>0</v>
      </c>
      <c r="N62" s="3092"/>
      <c r="O62" s="3092"/>
      <c r="P62" s="3092"/>
      <c r="Q62" s="3092"/>
      <c r="R62" s="3092"/>
      <c r="S62" s="3092"/>
      <c r="T62" s="3092"/>
      <c r="U62" s="189"/>
      <c r="V62" s="3088">
        <f>保健_附属明細表!I116</f>
        <v>0</v>
      </c>
      <c r="W62" s="3088"/>
      <c r="X62" s="3088"/>
      <c r="Y62" s="3088"/>
      <c r="Z62" s="3088"/>
      <c r="AA62" s="3088"/>
      <c r="AB62" s="3088"/>
      <c r="AC62" s="3088"/>
      <c r="AD62" s="197"/>
      <c r="AE62" s="2215">
        <f t="shared" si="2"/>
        <v>0</v>
      </c>
      <c r="AF62" s="2215"/>
      <c r="AG62" s="2215"/>
      <c r="AH62" s="2215"/>
      <c r="AI62" s="2215"/>
      <c r="AJ62" s="2215"/>
      <c r="AK62" s="2215"/>
      <c r="AL62" s="2215"/>
      <c r="AM62" s="189"/>
      <c r="AN62" s="3088">
        <f>前年度貼付!$E$279</f>
        <v>0</v>
      </c>
      <c r="AO62" s="3088"/>
      <c r="AP62" s="3088"/>
      <c r="AQ62" s="3088"/>
      <c r="AR62" s="3088"/>
      <c r="AS62" s="3088"/>
      <c r="AT62" s="3088"/>
      <c r="AU62" s="3088"/>
      <c r="AV62" s="197"/>
      <c r="AW62" s="2215">
        <f t="shared" si="3"/>
        <v>0</v>
      </c>
      <c r="AX62" s="2215"/>
      <c r="AY62" s="2215"/>
      <c r="AZ62" s="2215"/>
      <c r="BA62" s="2215"/>
      <c r="BB62" s="2215"/>
      <c r="BC62" s="2215"/>
      <c r="BD62" s="2215"/>
      <c r="BE62" s="197"/>
    </row>
    <row r="63" spans="1:57" s="359" customFormat="1" ht="30" customHeight="1">
      <c r="A63" s="188"/>
      <c r="B63" s="1932" t="s">
        <v>143</v>
      </c>
      <c r="C63" s="1932"/>
      <c r="D63" s="1932"/>
      <c r="E63" s="1932"/>
      <c r="F63" s="1932"/>
      <c r="G63" s="1932"/>
      <c r="H63" s="1932"/>
      <c r="I63" s="1932"/>
      <c r="J63" s="1932"/>
      <c r="K63" s="1932"/>
      <c r="L63" s="197"/>
      <c r="M63" s="3091">
        <v>0</v>
      </c>
      <c r="N63" s="3092"/>
      <c r="O63" s="3092"/>
      <c r="P63" s="3092"/>
      <c r="Q63" s="3092"/>
      <c r="R63" s="3092"/>
      <c r="S63" s="3092"/>
      <c r="T63" s="3092"/>
      <c r="U63" s="189"/>
      <c r="V63" s="3088">
        <f>保健_財務諸表!C56</f>
        <v>0</v>
      </c>
      <c r="W63" s="3088"/>
      <c r="X63" s="3088"/>
      <c r="Y63" s="3088"/>
      <c r="Z63" s="3088"/>
      <c r="AA63" s="3088"/>
      <c r="AB63" s="3088"/>
      <c r="AC63" s="3088"/>
      <c r="AD63" s="197"/>
      <c r="AE63" s="2215">
        <f t="shared" si="2"/>
        <v>0</v>
      </c>
      <c r="AF63" s="2215"/>
      <c r="AG63" s="2215"/>
      <c r="AH63" s="2215"/>
      <c r="AI63" s="2215"/>
      <c r="AJ63" s="2215"/>
      <c r="AK63" s="2215"/>
      <c r="AL63" s="2215"/>
      <c r="AM63" s="189"/>
      <c r="AN63" s="3088">
        <f>前年度貼付!$E$280</f>
        <v>0</v>
      </c>
      <c r="AO63" s="3088"/>
      <c r="AP63" s="3088"/>
      <c r="AQ63" s="3088"/>
      <c r="AR63" s="3088"/>
      <c r="AS63" s="3088"/>
      <c r="AT63" s="3088"/>
      <c r="AU63" s="3088"/>
      <c r="AV63" s="197"/>
      <c r="AW63" s="2215">
        <f t="shared" si="3"/>
        <v>0</v>
      </c>
      <c r="AX63" s="2215"/>
      <c r="AY63" s="2215"/>
      <c r="AZ63" s="2215"/>
      <c r="BA63" s="2215"/>
      <c r="BB63" s="2215"/>
      <c r="BC63" s="2215"/>
      <c r="BD63" s="2215"/>
      <c r="BE63" s="197"/>
    </row>
    <row r="64" spans="1:57" s="359" customFormat="1" ht="30" customHeight="1">
      <c r="A64" s="190"/>
      <c r="B64" s="1932" t="s">
        <v>144</v>
      </c>
      <c r="C64" s="1932"/>
      <c r="D64" s="1932"/>
      <c r="E64" s="1932"/>
      <c r="F64" s="1932"/>
      <c r="G64" s="1932"/>
      <c r="H64" s="1932"/>
      <c r="I64" s="1932"/>
      <c r="J64" s="1932"/>
      <c r="K64" s="1932"/>
      <c r="L64" s="197"/>
      <c r="M64" s="3091">
        <v>0</v>
      </c>
      <c r="N64" s="3092"/>
      <c r="O64" s="3092"/>
      <c r="P64" s="3092"/>
      <c r="Q64" s="3092"/>
      <c r="R64" s="3092"/>
      <c r="S64" s="3092"/>
      <c r="T64" s="3092"/>
      <c r="U64" s="189"/>
      <c r="V64" s="3088">
        <f>保健_財務諸表!C57</f>
        <v>0</v>
      </c>
      <c r="W64" s="3088"/>
      <c r="X64" s="3088"/>
      <c r="Y64" s="3088"/>
      <c r="Z64" s="3088"/>
      <c r="AA64" s="3088"/>
      <c r="AB64" s="3088"/>
      <c r="AC64" s="3088"/>
      <c r="AD64" s="197"/>
      <c r="AE64" s="2215">
        <f t="shared" si="2"/>
        <v>0</v>
      </c>
      <c r="AF64" s="2215"/>
      <c r="AG64" s="2215"/>
      <c r="AH64" s="2215"/>
      <c r="AI64" s="2215"/>
      <c r="AJ64" s="2215"/>
      <c r="AK64" s="2215"/>
      <c r="AL64" s="2215"/>
      <c r="AM64" s="189"/>
      <c r="AN64" s="3088">
        <f>前年度貼付!$E$281</f>
        <v>538895</v>
      </c>
      <c r="AO64" s="3088"/>
      <c r="AP64" s="3088"/>
      <c r="AQ64" s="3088"/>
      <c r="AR64" s="3088"/>
      <c r="AS64" s="3088"/>
      <c r="AT64" s="3088"/>
      <c r="AU64" s="3088"/>
      <c r="AV64" s="197"/>
      <c r="AW64" s="2215">
        <f t="shared" si="3"/>
        <v>-538895</v>
      </c>
      <c r="AX64" s="2215"/>
      <c r="AY64" s="2215"/>
      <c r="AZ64" s="2215"/>
      <c r="BA64" s="2215"/>
      <c r="BB64" s="2215"/>
      <c r="BC64" s="2215"/>
      <c r="BD64" s="2215"/>
      <c r="BE64" s="197"/>
    </row>
    <row r="65" spans="1:57" s="359" customFormat="1" ht="30" customHeight="1">
      <c r="A65" s="190"/>
      <c r="B65" s="2008" t="s">
        <v>476</v>
      </c>
      <c r="C65" s="2008"/>
      <c r="D65" s="2008"/>
      <c r="E65" s="2008"/>
      <c r="F65" s="2008"/>
      <c r="G65" s="2008"/>
      <c r="H65" s="2008"/>
      <c r="I65" s="2008"/>
      <c r="J65" s="2008"/>
      <c r="K65" s="2008"/>
      <c r="L65" s="214"/>
      <c r="M65" s="2216">
        <f>SUM(M46:T64)</f>
        <v>617582000</v>
      </c>
      <c r="N65" s="2216"/>
      <c r="O65" s="2216"/>
      <c r="P65" s="2216"/>
      <c r="Q65" s="2216"/>
      <c r="R65" s="2216"/>
      <c r="S65" s="2216"/>
      <c r="T65" s="2216"/>
      <c r="U65" s="191"/>
      <c r="V65" s="2217">
        <f>SUM(V46:AC64)</f>
        <v>615161971</v>
      </c>
      <c r="W65" s="2217"/>
      <c r="X65" s="2217"/>
      <c r="Y65" s="2217"/>
      <c r="Z65" s="2217"/>
      <c r="AA65" s="2217"/>
      <c r="AB65" s="2217"/>
      <c r="AC65" s="2217"/>
      <c r="AD65" s="214"/>
      <c r="AE65" s="2218">
        <f t="shared" si="2"/>
        <v>-2420029</v>
      </c>
      <c r="AF65" s="2218"/>
      <c r="AG65" s="2218"/>
      <c r="AH65" s="2218"/>
      <c r="AI65" s="2218"/>
      <c r="AJ65" s="2218"/>
      <c r="AK65" s="2218"/>
      <c r="AL65" s="2218"/>
      <c r="AM65" s="191"/>
      <c r="AN65" s="2217">
        <f>SUM(AN46:AU64)</f>
        <v>614202583</v>
      </c>
      <c r="AO65" s="2217"/>
      <c r="AP65" s="2217"/>
      <c r="AQ65" s="2217"/>
      <c r="AR65" s="2217"/>
      <c r="AS65" s="2217"/>
      <c r="AT65" s="2217"/>
      <c r="AU65" s="2217"/>
      <c r="AV65" s="214"/>
      <c r="AW65" s="2219">
        <f t="shared" si="3"/>
        <v>959388</v>
      </c>
      <c r="AX65" s="2219"/>
      <c r="AY65" s="2219"/>
      <c r="AZ65" s="2219"/>
      <c r="BA65" s="2219"/>
      <c r="BB65" s="2219"/>
      <c r="BC65" s="2219"/>
      <c r="BD65" s="2219"/>
      <c r="BE65" s="214"/>
    </row>
    <row r="66" spans="1:57" s="359" customFormat="1" ht="17.25" customHeight="1">
      <c r="A66" s="167"/>
      <c r="B66" s="177"/>
      <c r="C66" s="177"/>
      <c r="D66" s="177"/>
      <c r="E66" s="177"/>
      <c r="F66" s="177"/>
      <c r="G66" s="177"/>
      <c r="H66" s="177"/>
      <c r="I66" s="177"/>
      <c r="J66" s="177"/>
      <c r="K66" s="177"/>
      <c r="L66" s="167"/>
      <c r="M66" s="202"/>
      <c r="N66" s="202"/>
      <c r="O66" s="202"/>
      <c r="P66" s="202"/>
      <c r="Q66" s="202"/>
      <c r="R66" s="202"/>
      <c r="S66" s="202"/>
      <c r="T66" s="202"/>
      <c r="U66" s="167"/>
      <c r="V66" s="202"/>
      <c r="W66" s="202"/>
      <c r="X66" s="202"/>
      <c r="Y66" s="202"/>
      <c r="Z66" s="202"/>
      <c r="AA66" s="202"/>
      <c r="AB66" s="202"/>
      <c r="AC66" s="202"/>
      <c r="AD66" s="167"/>
      <c r="AE66" s="204"/>
      <c r="AF66" s="204"/>
      <c r="AG66" s="204"/>
      <c r="AH66" s="204"/>
      <c r="AI66" s="204"/>
      <c r="AJ66" s="204"/>
      <c r="AK66" s="204"/>
      <c r="AL66" s="204"/>
      <c r="AM66" s="167"/>
      <c r="AN66" s="202"/>
      <c r="AO66" s="202"/>
      <c r="AP66" s="202"/>
      <c r="AQ66" s="202"/>
      <c r="AR66" s="202"/>
      <c r="AS66" s="202"/>
      <c r="AT66" s="202"/>
      <c r="AU66" s="202"/>
      <c r="AV66" s="167"/>
      <c r="AW66" s="204"/>
      <c r="AX66" s="204"/>
      <c r="AY66" s="204"/>
      <c r="AZ66" s="204"/>
      <c r="BA66" s="204"/>
      <c r="BB66" s="204"/>
      <c r="BC66" s="204"/>
      <c r="BD66" s="204"/>
      <c r="BE66" s="167"/>
    </row>
    <row r="67" spans="1:57" s="359" customFormat="1" ht="17.25" customHeight="1">
      <c r="A67" s="167"/>
      <c r="B67" s="177"/>
      <c r="C67" s="177"/>
      <c r="D67" s="177"/>
      <c r="E67" s="177"/>
      <c r="F67" s="177"/>
      <c r="G67" s="177"/>
      <c r="H67" s="177"/>
      <c r="I67" s="177"/>
      <c r="J67" s="177"/>
      <c r="K67" s="177"/>
      <c r="L67" s="167"/>
      <c r="M67" s="504"/>
      <c r="N67" s="504"/>
      <c r="O67" s="504"/>
      <c r="P67" s="504"/>
      <c r="Q67" s="504"/>
      <c r="R67" s="504"/>
      <c r="S67" s="504"/>
      <c r="T67" s="504"/>
      <c r="U67" s="504"/>
      <c r="V67" s="504"/>
      <c r="W67" s="504"/>
      <c r="X67" s="504"/>
      <c r="Y67" s="167"/>
      <c r="Z67" s="209"/>
      <c r="AA67" s="209"/>
      <c r="AB67" s="209"/>
      <c r="AC67" s="209"/>
      <c r="AD67" s="209"/>
      <c r="AE67" s="209"/>
      <c r="AF67" s="209"/>
      <c r="AG67" s="209"/>
      <c r="AH67" s="209"/>
      <c r="AI67" s="209"/>
      <c r="AJ67" s="209"/>
      <c r="AK67" s="209"/>
      <c r="AL67" s="167"/>
      <c r="AM67" s="166"/>
      <c r="AN67" s="166"/>
      <c r="AO67" s="166"/>
      <c r="AP67" s="166"/>
      <c r="AQ67" s="166"/>
      <c r="AR67" s="166"/>
      <c r="AS67" s="166"/>
      <c r="AT67" s="166"/>
      <c r="AU67" s="166"/>
      <c r="AV67" s="166"/>
      <c r="AW67" s="166"/>
      <c r="AX67" s="166"/>
      <c r="AY67" s="166"/>
      <c r="AZ67" s="166"/>
      <c r="BA67" s="166"/>
      <c r="BB67" s="166"/>
      <c r="BC67" s="166"/>
      <c r="BD67" s="166"/>
      <c r="BE67" s="166"/>
    </row>
    <row r="68" spans="1:57" s="359" customFormat="1" ht="17.25" customHeight="1">
      <c r="A68" s="173" t="s">
        <v>680</v>
      </c>
      <c r="B68" s="173"/>
      <c r="C68" s="173"/>
      <c r="D68" s="173"/>
      <c r="E68" s="173"/>
      <c r="F68" s="173"/>
      <c r="G68" s="173"/>
      <c r="H68" s="173"/>
      <c r="I68" s="173"/>
      <c r="J68" s="173"/>
      <c r="K68" s="173"/>
      <c r="L68" s="173"/>
      <c r="M68" s="173"/>
      <c r="N68" s="173"/>
      <c r="O68" s="173"/>
      <c r="P68" s="173"/>
      <c r="Q68" s="173"/>
      <c r="R68" s="173"/>
      <c r="S68" s="173"/>
      <c r="T68" s="173"/>
      <c r="U68" s="173"/>
      <c r="V68" s="173"/>
      <c r="W68" s="173"/>
      <c r="X68" s="173"/>
      <c r="Y68" s="173"/>
      <c r="Z68" s="173"/>
      <c r="AA68" s="173"/>
      <c r="AB68" s="173"/>
      <c r="AC68" s="173"/>
      <c r="AD68" s="173"/>
      <c r="AE68" s="173"/>
      <c r="AF68" s="173"/>
      <c r="AG68" s="173"/>
      <c r="AH68" s="173"/>
      <c r="AI68" s="173"/>
      <c r="AJ68" s="166"/>
      <c r="AK68" s="166"/>
      <c r="AL68" s="166"/>
      <c r="AM68" s="166"/>
      <c r="AN68" s="166"/>
      <c r="AO68" s="166"/>
      <c r="AP68" s="166"/>
      <c r="AQ68" s="166"/>
      <c r="AR68" s="166"/>
      <c r="AS68" s="166"/>
      <c r="AT68" s="166"/>
      <c r="AU68" s="166"/>
      <c r="AV68" s="166"/>
      <c r="AW68" s="166"/>
      <c r="AX68" s="166"/>
      <c r="AY68" s="166"/>
      <c r="AZ68" s="166"/>
      <c r="BA68" s="166"/>
      <c r="BB68" s="166"/>
      <c r="BC68" s="166"/>
      <c r="BD68" s="166"/>
      <c r="BE68" s="166"/>
    </row>
    <row r="69" spans="1:57" s="359" customFormat="1" ht="17.25" customHeight="1">
      <c r="A69" s="166"/>
      <c r="B69" s="166"/>
      <c r="C69" s="166"/>
      <c r="D69" s="166"/>
      <c r="E69" s="166"/>
      <c r="F69" s="166"/>
      <c r="G69" s="166"/>
      <c r="H69" s="166"/>
      <c r="I69" s="166"/>
      <c r="J69" s="166"/>
      <c r="K69" s="166"/>
      <c r="L69" s="166"/>
      <c r="M69" s="166"/>
      <c r="N69" s="166"/>
      <c r="O69" s="166"/>
      <c r="P69" s="166"/>
      <c r="Q69" s="166"/>
      <c r="R69" s="166"/>
      <c r="S69" s="166"/>
      <c r="T69" s="166"/>
      <c r="U69" s="166"/>
      <c r="V69" s="166"/>
      <c r="W69" s="166"/>
      <c r="X69" s="166"/>
      <c r="Y69" s="166"/>
      <c r="Z69" s="166"/>
      <c r="AA69" s="166"/>
      <c r="AB69" s="166"/>
      <c r="AC69" s="166"/>
      <c r="AD69" s="166"/>
      <c r="AE69" s="166"/>
      <c r="AF69" s="166"/>
      <c r="AG69" s="166"/>
      <c r="AH69" s="166"/>
      <c r="AI69" s="166"/>
      <c r="AJ69" s="166"/>
      <c r="AK69" s="166"/>
      <c r="AL69" s="166"/>
      <c r="AM69" s="166"/>
      <c r="AN69" s="166"/>
      <c r="AO69" s="166"/>
      <c r="AQ69" s="505"/>
      <c r="AR69" s="505"/>
      <c r="AS69" s="505"/>
      <c r="AT69" s="505"/>
      <c r="AU69" s="505"/>
      <c r="AV69" s="505"/>
      <c r="AW69" s="505"/>
      <c r="AX69" s="505"/>
      <c r="AY69" s="505"/>
      <c r="AZ69" s="505"/>
      <c r="BA69" s="506" t="s">
        <v>408</v>
      </c>
      <c r="BB69" s="505"/>
      <c r="BC69" s="505"/>
      <c r="BD69" s="176"/>
      <c r="BE69" s="176"/>
    </row>
    <row r="70" spans="1:57" s="359" customFormat="1" ht="21" customHeight="1">
      <c r="A70" s="2206" t="s">
        <v>681</v>
      </c>
      <c r="B70" s="2206"/>
      <c r="C70" s="2206"/>
      <c r="D70" s="2206"/>
      <c r="E70" s="2206"/>
      <c r="F70" s="2206"/>
      <c r="G70" s="2206"/>
      <c r="H70" s="2206"/>
      <c r="I70" s="2206"/>
      <c r="J70" s="2206"/>
      <c r="K70" s="2206"/>
      <c r="L70" s="2206"/>
      <c r="M70" s="2206"/>
      <c r="N70" s="2206"/>
      <c r="O70" s="2206"/>
      <c r="P70" s="2206" t="s">
        <v>581</v>
      </c>
      <c r="Q70" s="2206"/>
      <c r="R70" s="2206"/>
      <c r="S70" s="2206"/>
      <c r="T70" s="2206"/>
      <c r="U70" s="2206"/>
      <c r="V70" s="2206"/>
      <c r="W70" s="2206"/>
      <c r="X70" s="2207" t="s">
        <v>682</v>
      </c>
      <c r="Y70" s="2207"/>
      <c r="Z70" s="2207"/>
      <c r="AA70" s="2207"/>
      <c r="AB70" s="2207"/>
      <c r="AC70" s="2207"/>
      <c r="AD70" s="2207"/>
      <c r="AE70" s="2207"/>
      <c r="AF70" s="1943" t="s">
        <v>683</v>
      </c>
      <c r="AG70" s="1943"/>
      <c r="AH70" s="1943"/>
      <c r="AI70" s="1943"/>
      <c r="AJ70" s="1943"/>
      <c r="AK70" s="1943"/>
      <c r="AL70" s="1943"/>
      <c r="AM70" s="1943"/>
      <c r="AN70" s="1943"/>
      <c r="AO70" s="1943"/>
      <c r="AP70" s="1943"/>
      <c r="AQ70" s="1943"/>
      <c r="AR70" s="1943"/>
      <c r="AS70" s="1943"/>
      <c r="AT70" s="1943"/>
      <c r="AU70" s="1943"/>
      <c r="AV70" s="1943"/>
      <c r="AW70" s="1943"/>
      <c r="AX70" s="1943"/>
      <c r="AY70" s="1943"/>
      <c r="AZ70" s="1943"/>
      <c r="BA70" s="1943"/>
      <c r="BB70" s="1943"/>
      <c r="BC70" s="1943"/>
      <c r="BD70" s="1943"/>
      <c r="BE70" s="1943"/>
    </row>
    <row r="71" spans="1:57" s="359" customFormat="1" ht="21" customHeight="1">
      <c r="A71" s="2208" t="s">
        <v>684</v>
      </c>
      <c r="B71" s="2208"/>
      <c r="C71" s="2208"/>
      <c r="D71" s="502"/>
      <c r="E71" s="2196" t="s">
        <v>153</v>
      </c>
      <c r="F71" s="2196"/>
      <c r="G71" s="2196"/>
      <c r="H71" s="2196"/>
      <c r="I71" s="2196"/>
      <c r="J71" s="2196"/>
      <c r="K71" s="2196"/>
      <c r="L71" s="2196"/>
      <c r="M71" s="2196"/>
      <c r="N71" s="2196"/>
      <c r="O71" s="502"/>
      <c r="P71" s="3093">
        <v>492252000</v>
      </c>
      <c r="Q71" s="3094"/>
      <c r="R71" s="3094"/>
      <c r="S71" s="3094"/>
      <c r="T71" s="3094"/>
      <c r="U71" s="3094"/>
      <c r="V71" s="3094"/>
      <c r="W71" s="3094"/>
      <c r="X71" s="3093">
        <v>519738662</v>
      </c>
      <c r="Y71" s="3094"/>
      <c r="Z71" s="3094"/>
      <c r="AA71" s="3094"/>
      <c r="AB71" s="3094"/>
      <c r="AC71" s="3094"/>
      <c r="AD71" s="3094"/>
      <c r="AE71" s="3094"/>
      <c r="AF71" s="507"/>
      <c r="AG71" s="2197" t="s">
        <v>685</v>
      </c>
      <c r="AH71" s="2197"/>
      <c r="AI71" s="2197"/>
      <c r="AJ71" s="2197"/>
      <c r="AK71" s="2197"/>
      <c r="AL71" s="2197"/>
      <c r="AM71" s="2197"/>
      <c r="AN71" s="2197"/>
      <c r="AO71" s="2197"/>
      <c r="AP71" s="2197"/>
      <c r="AQ71" s="2197"/>
      <c r="AR71" s="2197"/>
      <c r="AS71" s="2197"/>
      <c r="AT71" s="2197"/>
      <c r="AU71" s="2197"/>
      <c r="AV71" s="2197"/>
      <c r="AW71" s="2197"/>
      <c r="AX71" s="2197"/>
      <c r="AY71" s="2197"/>
      <c r="AZ71" s="2197"/>
      <c r="BA71" s="2197"/>
      <c r="BB71" s="2197"/>
      <c r="BC71" s="2197"/>
      <c r="BD71" s="2197"/>
      <c r="BE71" s="499"/>
    </row>
    <row r="72" spans="1:57" s="359" customFormat="1" ht="21" customHeight="1">
      <c r="A72" s="2208"/>
      <c r="B72" s="2208"/>
      <c r="C72" s="2208"/>
      <c r="D72" s="502"/>
      <c r="E72" s="2209" t="s">
        <v>686</v>
      </c>
      <c r="F72" s="2209"/>
      <c r="G72" s="2209"/>
      <c r="H72" s="2209"/>
      <c r="I72" s="2209"/>
      <c r="J72" s="2209"/>
      <c r="K72" s="2209"/>
      <c r="L72" s="2209"/>
      <c r="M72" s="2209"/>
      <c r="N72" s="2209"/>
      <c r="O72" s="2209"/>
      <c r="P72" s="2192">
        <f>SUM(P73:W75)</f>
        <v>5000</v>
      </c>
      <c r="Q72" s="2192"/>
      <c r="R72" s="2192"/>
      <c r="S72" s="2192"/>
      <c r="T72" s="2192"/>
      <c r="U72" s="2192"/>
      <c r="V72" s="2192"/>
      <c r="W72" s="2192"/>
      <c r="X72" s="2192">
        <f>SUM(X73:AE75)</f>
        <v>0</v>
      </c>
      <c r="Y72" s="2192"/>
      <c r="Z72" s="2192"/>
      <c r="AA72" s="2192"/>
      <c r="AB72" s="2192"/>
      <c r="AC72" s="2192"/>
      <c r="AD72" s="2192"/>
      <c r="AE72" s="2192"/>
      <c r="AF72" s="507"/>
      <c r="AG72" s="2197" t="s">
        <v>687</v>
      </c>
      <c r="AH72" s="2197"/>
      <c r="AI72" s="2197"/>
      <c r="AJ72" s="2197"/>
      <c r="AK72" s="2197"/>
      <c r="AL72" s="2197"/>
      <c r="AM72" s="2197"/>
      <c r="AN72" s="2197"/>
      <c r="AO72" s="2197"/>
      <c r="AP72" s="2197"/>
      <c r="AQ72" s="2197"/>
      <c r="AR72" s="2197"/>
      <c r="AS72" s="2197"/>
      <c r="AT72" s="2197"/>
      <c r="AU72" s="2197"/>
      <c r="AV72" s="2197"/>
      <c r="AW72" s="2197"/>
      <c r="AX72" s="2197"/>
      <c r="AY72" s="2197"/>
      <c r="AZ72" s="2197"/>
      <c r="BA72" s="2197"/>
      <c r="BB72" s="2197"/>
      <c r="BC72" s="2197"/>
      <c r="BD72" s="2197"/>
      <c r="BE72" s="499"/>
    </row>
    <row r="73" spans="1:57" s="359" customFormat="1" ht="21" customHeight="1">
      <c r="A73" s="2208"/>
      <c r="B73" s="2208"/>
      <c r="C73" s="2208"/>
      <c r="D73" s="2184" t="s">
        <v>644</v>
      </c>
      <c r="E73" s="2210" t="s">
        <v>154</v>
      </c>
      <c r="F73" s="2210"/>
      <c r="G73" s="2210"/>
      <c r="H73" s="2210"/>
      <c r="I73" s="2210"/>
      <c r="J73" s="2210"/>
      <c r="K73" s="2210"/>
      <c r="L73" s="2210"/>
      <c r="M73" s="2210"/>
      <c r="N73" s="2210"/>
      <c r="O73" s="2210"/>
      <c r="P73" s="3095">
        <v>1000</v>
      </c>
      <c r="Q73" s="3096"/>
      <c r="R73" s="3096"/>
      <c r="S73" s="3096"/>
      <c r="T73" s="3096"/>
      <c r="U73" s="3096"/>
      <c r="V73" s="3096"/>
      <c r="W73" s="3096"/>
      <c r="X73" s="3093">
        <v>0</v>
      </c>
      <c r="Y73" s="3094"/>
      <c r="Z73" s="3094"/>
      <c r="AA73" s="3094"/>
      <c r="AB73" s="3094"/>
      <c r="AC73" s="3094"/>
      <c r="AD73" s="3094"/>
      <c r="AE73" s="3094"/>
      <c r="AF73" s="2211"/>
      <c r="AG73" s="2211"/>
      <c r="AH73" s="2211"/>
      <c r="AI73" s="2211"/>
      <c r="AJ73" s="2211"/>
      <c r="AK73" s="2211"/>
      <c r="AL73" s="2211"/>
      <c r="AM73" s="2211"/>
      <c r="AN73" s="2211"/>
      <c r="AO73" s="2211"/>
      <c r="AP73" s="2211"/>
      <c r="AQ73" s="2211"/>
      <c r="AR73" s="2211"/>
      <c r="AS73" s="2211"/>
      <c r="AT73" s="2211"/>
      <c r="AU73" s="2211"/>
      <c r="AV73" s="2211"/>
      <c r="AW73" s="2211"/>
      <c r="AX73" s="2211"/>
      <c r="AY73" s="2211"/>
      <c r="AZ73" s="2211"/>
      <c r="BA73" s="2211"/>
      <c r="BB73" s="2211"/>
      <c r="BC73" s="2211"/>
      <c r="BD73" s="2211"/>
      <c r="BE73" s="2211"/>
    </row>
    <row r="74" spans="1:57" s="359" customFormat="1" ht="21" customHeight="1">
      <c r="A74" s="2208"/>
      <c r="B74" s="2208"/>
      <c r="C74" s="2208"/>
      <c r="D74" s="2184"/>
      <c r="E74" s="2210" t="s">
        <v>155</v>
      </c>
      <c r="F74" s="2210"/>
      <c r="G74" s="2210"/>
      <c r="H74" s="2210"/>
      <c r="I74" s="2210"/>
      <c r="J74" s="2210"/>
      <c r="K74" s="2210"/>
      <c r="L74" s="2210"/>
      <c r="M74" s="2210"/>
      <c r="N74" s="2210"/>
      <c r="O74" s="2210"/>
      <c r="P74" s="3095">
        <v>2000</v>
      </c>
      <c r="Q74" s="3096"/>
      <c r="R74" s="3096"/>
      <c r="S74" s="3096"/>
      <c r="T74" s="3096"/>
      <c r="U74" s="3096"/>
      <c r="V74" s="3096"/>
      <c r="W74" s="3096"/>
      <c r="X74" s="3093">
        <v>0</v>
      </c>
      <c r="Y74" s="3094"/>
      <c r="Z74" s="3094"/>
      <c r="AA74" s="3094"/>
      <c r="AB74" s="3094"/>
      <c r="AC74" s="3094"/>
      <c r="AD74" s="3094"/>
      <c r="AE74" s="3094"/>
      <c r="AF74" s="507"/>
      <c r="AG74" s="508"/>
      <c r="AH74" s="508"/>
      <c r="AI74" s="508"/>
      <c r="AJ74" s="508"/>
      <c r="AK74" s="508"/>
      <c r="AL74" s="508"/>
      <c r="AM74" s="508"/>
      <c r="AN74" s="508"/>
      <c r="AO74" s="508"/>
      <c r="AP74" s="508"/>
      <c r="AQ74" s="508"/>
      <c r="AR74" s="508"/>
      <c r="AS74" s="508"/>
      <c r="AT74" s="508"/>
      <c r="AU74" s="508"/>
      <c r="AV74" s="508"/>
      <c r="AW74" s="508"/>
      <c r="AX74" s="508"/>
      <c r="AY74" s="508"/>
      <c r="AZ74" s="508"/>
      <c r="BA74" s="508"/>
      <c r="BB74" s="508"/>
      <c r="BC74" s="508"/>
      <c r="BD74" s="508"/>
      <c r="BE74" s="499"/>
    </row>
    <row r="75" spans="1:57" s="359" customFormat="1" ht="21" customHeight="1">
      <c r="A75" s="2208"/>
      <c r="B75" s="2208"/>
      <c r="C75" s="2208"/>
      <c r="D75" s="2184"/>
      <c r="E75" s="2210" t="s">
        <v>156</v>
      </c>
      <c r="F75" s="2210"/>
      <c r="G75" s="2210"/>
      <c r="H75" s="2210"/>
      <c r="I75" s="2210"/>
      <c r="J75" s="2210"/>
      <c r="K75" s="2210"/>
      <c r="L75" s="2210"/>
      <c r="M75" s="2210"/>
      <c r="N75" s="2210"/>
      <c r="O75" s="2210"/>
      <c r="P75" s="3095">
        <v>2000</v>
      </c>
      <c r="Q75" s="3096"/>
      <c r="R75" s="3096"/>
      <c r="S75" s="3096"/>
      <c r="T75" s="3096"/>
      <c r="U75" s="3096"/>
      <c r="V75" s="3096"/>
      <c r="W75" s="3096"/>
      <c r="X75" s="3093">
        <v>0</v>
      </c>
      <c r="Y75" s="3094"/>
      <c r="Z75" s="3094"/>
      <c r="AA75" s="3094"/>
      <c r="AB75" s="3094"/>
      <c r="AC75" s="3094"/>
      <c r="AD75" s="3094"/>
      <c r="AE75" s="3094"/>
      <c r="AF75" s="507"/>
      <c r="AG75" s="508"/>
      <c r="AH75" s="508"/>
      <c r="AI75" s="508"/>
      <c r="AJ75" s="508"/>
      <c r="AK75" s="508"/>
      <c r="AL75" s="508"/>
      <c r="AM75" s="508"/>
      <c r="AN75" s="508"/>
      <c r="AO75" s="508"/>
      <c r="AP75" s="508"/>
      <c r="AQ75" s="508"/>
      <c r="AR75" s="508"/>
      <c r="AS75" s="508"/>
      <c r="AT75" s="508"/>
      <c r="AU75" s="508"/>
      <c r="AV75" s="508"/>
      <c r="AW75" s="508"/>
      <c r="AX75" s="508"/>
      <c r="AY75" s="508"/>
      <c r="AZ75" s="508"/>
      <c r="BA75" s="508"/>
      <c r="BB75" s="508"/>
      <c r="BC75" s="508"/>
      <c r="BD75" s="508"/>
      <c r="BE75" s="499"/>
    </row>
    <row r="76" spans="1:57" s="359" customFormat="1" ht="21" customHeight="1">
      <c r="A76" s="2208"/>
      <c r="B76" s="2208"/>
      <c r="C76" s="2208"/>
      <c r="D76" s="502"/>
      <c r="E76" s="2196" t="s">
        <v>157</v>
      </c>
      <c r="F76" s="2196"/>
      <c r="G76" s="2196"/>
      <c r="H76" s="2196"/>
      <c r="I76" s="2196"/>
      <c r="J76" s="2196"/>
      <c r="K76" s="2196"/>
      <c r="L76" s="2196"/>
      <c r="M76" s="2196"/>
      <c r="N76" s="2196"/>
      <c r="O76" s="502"/>
      <c r="P76" s="3093">
        <v>18180000</v>
      </c>
      <c r="Q76" s="3094"/>
      <c r="R76" s="3094"/>
      <c r="S76" s="3094"/>
      <c r="T76" s="3094"/>
      <c r="U76" s="3094"/>
      <c r="V76" s="3094"/>
      <c r="W76" s="3094"/>
      <c r="X76" s="3093">
        <v>16486080</v>
      </c>
      <c r="Y76" s="3094"/>
      <c r="Z76" s="3094"/>
      <c r="AA76" s="3094"/>
      <c r="AB76" s="3094"/>
      <c r="AC76" s="3094"/>
      <c r="AD76" s="3094"/>
      <c r="AE76" s="3094"/>
      <c r="AF76" s="507"/>
      <c r="AG76" s="2205" t="s">
        <v>157</v>
      </c>
      <c r="AH76" s="2205"/>
      <c r="AI76" s="2205"/>
      <c r="AJ76" s="2205"/>
      <c r="AK76" s="2205"/>
      <c r="AL76" s="2205"/>
      <c r="AM76" s="2205"/>
      <c r="AN76" s="2205"/>
      <c r="AO76" s="2205"/>
      <c r="AP76" s="2205"/>
      <c r="AQ76" s="2205"/>
      <c r="AR76" s="2205"/>
      <c r="AS76" s="2205"/>
      <c r="AT76" s="2205"/>
      <c r="AU76" s="2205"/>
      <c r="AV76" s="2205"/>
      <c r="AW76" s="2205"/>
      <c r="AX76" s="2205"/>
      <c r="AY76" s="2205"/>
      <c r="AZ76" s="2205"/>
      <c r="BA76" s="2205"/>
      <c r="BB76" s="2205"/>
      <c r="BC76" s="2205"/>
      <c r="BD76" s="2205"/>
      <c r="BE76" s="499"/>
    </row>
    <row r="77" spans="1:57" s="359" customFormat="1" ht="21" customHeight="1">
      <c r="A77" s="2208"/>
      <c r="B77" s="2208"/>
      <c r="C77" s="2208"/>
      <c r="D77" s="502"/>
      <c r="E77" s="2196" t="s">
        <v>158</v>
      </c>
      <c r="F77" s="2196"/>
      <c r="G77" s="2196"/>
      <c r="H77" s="2196"/>
      <c r="I77" s="2196"/>
      <c r="J77" s="2196"/>
      <c r="K77" s="2196"/>
      <c r="L77" s="2196"/>
      <c r="M77" s="2196"/>
      <c r="N77" s="2196"/>
      <c r="O77" s="502"/>
      <c r="P77" s="3093">
        <v>207000</v>
      </c>
      <c r="Q77" s="3094"/>
      <c r="R77" s="3094"/>
      <c r="S77" s="3094"/>
      <c r="T77" s="3094"/>
      <c r="U77" s="3094"/>
      <c r="V77" s="3094"/>
      <c r="W77" s="3094"/>
      <c r="X77" s="3093">
        <v>116500</v>
      </c>
      <c r="Y77" s="3094"/>
      <c r="Z77" s="3094"/>
      <c r="AA77" s="3094"/>
      <c r="AB77" s="3094"/>
      <c r="AC77" s="3094"/>
      <c r="AD77" s="3094"/>
      <c r="AE77" s="3094"/>
      <c r="AF77" s="507"/>
      <c r="AG77" s="509"/>
      <c r="AH77" s="509"/>
      <c r="AI77" s="509"/>
      <c r="AJ77" s="509"/>
      <c r="AK77" s="509"/>
      <c r="AL77" s="509"/>
      <c r="AM77" s="509"/>
      <c r="AN77" s="509"/>
      <c r="AO77" s="509"/>
      <c r="AP77" s="509"/>
      <c r="AQ77" s="509"/>
      <c r="AR77" s="509"/>
      <c r="AS77" s="509"/>
      <c r="AT77" s="509"/>
      <c r="AU77" s="509"/>
      <c r="AV77" s="509"/>
      <c r="AW77" s="509"/>
      <c r="AX77" s="509"/>
      <c r="AY77" s="509"/>
      <c r="AZ77" s="509"/>
      <c r="BA77" s="509"/>
      <c r="BB77" s="509"/>
      <c r="BC77" s="509"/>
      <c r="BD77" s="509"/>
      <c r="BE77" s="499"/>
    </row>
    <row r="78" spans="1:57" s="359" customFormat="1" ht="21" customHeight="1">
      <c r="A78" s="2208"/>
      <c r="B78" s="2208"/>
      <c r="C78" s="2208"/>
      <c r="D78" s="502"/>
      <c r="E78" s="2196" t="s">
        <v>159</v>
      </c>
      <c r="F78" s="2196"/>
      <c r="G78" s="2196"/>
      <c r="H78" s="2196"/>
      <c r="I78" s="2196"/>
      <c r="J78" s="2196"/>
      <c r="K78" s="2196"/>
      <c r="L78" s="2196"/>
      <c r="M78" s="2196"/>
      <c r="N78" s="2196"/>
      <c r="O78" s="502"/>
      <c r="P78" s="3093">
        <v>10741000</v>
      </c>
      <c r="Q78" s="3094"/>
      <c r="R78" s="3094"/>
      <c r="S78" s="3094"/>
      <c r="T78" s="3094"/>
      <c r="U78" s="3094"/>
      <c r="V78" s="3094"/>
      <c r="W78" s="3094"/>
      <c r="X78" s="3093">
        <v>2658535</v>
      </c>
      <c r="Y78" s="3094"/>
      <c r="Z78" s="3094"/>
      <c r="AA78" s="3094"/>
      <c r="AB78" s="3094"/>
      <c r="AC78" s="3094"/>
      <c r="AD78" s="3094"/>
      <c r="AE78" s="3094"/>
      <c r="AF78" s="507"/>
      <c r="AG78" s="509"/>
      <c r="AH78" s="509"/>
      <c r="AI78" s="509"/>
      <c r="AJ78" s="509"/>
      <c r="AK78" s="509"/>
      <c r="AL78" s="509"/>
      <c r="AM78" s="509"/>
      <c r="AN78" s="509"/>
      <c r="AO78" s="509"/>
      <c r="AP78" s="509"/>
      <c r="AQ78" s="509"/>
      <c r="AR78" s="509"/>
      <c r="AS78" s="509"/>
      <c r="AT78" s="509"/>
      <c r="AU78" s="509"/>
      <c r="AV78" s="509"/>
      <c r="AW78" s="509"/>
      <c r="AX78" s="509"/>
      <c r="AY78" s="509"/>
      <c r="AZ78" s="509"/>
      <c r="BA78" s="509"/>
      <c r="BB78" s="509"/>
      <c r="BC78" s="509"/>
      <c r="BD78" s="509"/>
      <c r="BE78" s="499"/>
    </row>
    <row r="79" spans="1:57" s="359" customFormat="1" ht="21" customHeight="1">
      <c r="A79" s="2208"/>
      <c r="B79" s="2208"/>
      <c r="C79" s="2208"/>
      <c r="D79" s="502"/>
      <c r="E79" s="2204" t="s">
        <v>160</v>
      </c>
      <c r="F79" s="2204"/>
      <c r="G79" s="2204"/>
      <c r="H79" s="2204"/>
      <c r="I79" s="2204"/>
      <c r="J79" s="2204"/>
      <c r="K79" s="2204"/>
      <c r="L79" s="2204"/>
      <c r="M79" s="2204"/>
      <c r="N79" s="2204"/>
      <c r="O79" s="502"/>
      <c r="P79" s="3093">
        <v>4529000</v>
      </c>
      <c r="Q79" s="3094"/>
      <c r="R79" s="3094"/>
      <c r="S79" s="3094"/>
      <c r="T79" s="3094"/>
      <c r="U79" s="3094"/>
      <c r="V79" s="3094"/>
      <c r="W79" s="3094"/>
      <c r="X79" s="3093">
        <v>3814577</v>
      </c>
      <c r="Y79" s="3094"/>
      <c r="Z79" s="3094"/>
      <c r="AA79" s="3094"/>
      <c r="AB79" s="3094"/>
      <c r="AC79" s="3094"/>
      <c r="AD79" s="3094"/>
      <c r="AE79" s="3094"/>
      <c r="AF79" s="507"/>
      <c r="AG79" s="2197" t="s">
        <v>688</v>
      </c>
      <c r="AH79" s="2197"/>
      <c r="AI79" s="2197"/>
      <c r="AJ79" s="2197"/>
      <c r="AK79" s="2197"/>
      <c r="AL79" s="2197"/>
      <c r="AM79" s="2197"/>
      <c r="AN79" s="2197"/>
      <c r="AO79" s="2197"/>
      <c r="AP79" s="2197"/>
      <c r="AQ79" s="2197"/>
      <c r="AR79" s="2197"/>
      <c r="AS79" s="2197"/>
      <c r="AT79" s="2197"/>
      <c r="AU79" s="2197"/>
      <c r="AV79" s="2197"/>
      <c r="AW79" s="2197"/>
      <c r="AX79" s="2197"/>
      <c r="AY79" s="2197"/>
      <c r="AZ79" s="2197"/>
      <c r="BA79" s="2197"/>
      <c r="BB79" s="2197"/>
      <c r="BC79" s="2197"/>
      <c r="BD79" s="2197"/>
      <c r="BE79" s="499"/>
    </row>
    <row r="80" spans="1:57" s="359" customFormat="1" ht="21" customHeight="1">
      <c r="A80" s="2208"/>
      <c r="B80" s="2208"/>
      <c r="C80" s="2208"/>
      <c r="D80" s="502"/>
      <c r="E80" s="2196" t="s">
        <v>108</v>
      </c>
      <c r="F80" s="2196"/>
      <c r="G80" s="2196"/>
      <c r="H80" s="2196"/>
      <c r="I80" s="2196"/>
      <c r="J80" s="2196"/>
      <c r="K80" s="2196"/>
      <c r="L80" s="2196"/>
      <c r="M80" s="2196"/>
      <c r="N80" s="2196"/>
      <c r="O80" s="502"/>
      <c r="P80" s="3093">
        <v>5378000</v>
      </c>
      <c r="Q80" s="3094"/>
      <c r="R80" s="3094"/>
      <c r="S80" s="3094"/>
      <c r="T80" s="3094"/>
      <c r="U80" s="3094"/>
      <c r="V80" s="3094"/>
      <c r="W80" s="3094"/>
      <c r="X80" s="3093">
        <v>4512573</v>
      </c>
      <c r="Y80" s="3094"/>
      <c r="Z80" s="3094"/>
      <c r="AA80" s="3094"/>
      <c r="AB80" s="3094"/>
      <c r="AC80" s="3094"/>
      <c r="AD80" s="3094"/>
      <c r="AE80" s="3094"/>
      <c r="AF80" s="507"/>
      <c r="AG80" s="2197" t="s">
        <v>689</v>
      </c>
      <c r="AH80" s="2197"/>
      <c r="AI80" s="2197"/>
      <c r="AJ80" s="2197"/>
      <c r="AK80" s="2197"/>
      <c r="AL80" s="2197"/>
      <c r="AM80" s="2197"/>
      <c r="AN80" s="2197"/>
      <c r="AO80" s="2197"/>
      <c r="AP80" s="2197"/>
      <c r="AQ80" s="2197"/>
      <c r="AR80" s="2197"/>
      <c r="AS80" s="2197"/>
      <c r="AT80" s="2197"/>
      <c r="AU80" s="2197"/>
      <c r="AV80" s="2197"/>
      <c r="AW80" s="2197"/>
      <c r="AX80" s="2197"/>
      <c r="AY80" s="2197"/>
      <c r="AZ80" s="2197"/>
      <c r="BA80" s="2197"/>
      <c r="BB80" s="2197"/>
      <c r="BC80" s="2197"/>
      <c r="BD80" s="2197"/>
      <c r="BE80" s="499"/>
    </row>
    <row r="81" spans="1:92" s="359" customFormat="1" ht="21" customHeight="1">
      <c r="A81" s="2208"/>
      <c r="B81" s="2208"/>
      <c r="C81" s="2208"/>
      <c r="D81" s="510"/>
      <c r="E81" s="2181" t="s">
        <v>690</v>
      </c>
      <c r="F81" s="2181"/>
      <c r="G81" s="2181"/>
      <c r="H81" s="2181"/>
      <c r="I81" s="2181"/>
      <c r="J81" s="2181"/>
      <c r="K81" s="2181"/>
      <c r="L81" s="2181"/>
      <c r="M81" s="2181"/>
      <c r="N81" s="2181"/>
      <c r="O81" s="510"/>
      <c r="P81" s="2182">
        <f>P71+P72+P76+P77+P78+P79+P80</f>
        <v>531292000</v>
      </c>
      <c r="Q81" s="2182"/>
      <c r="R81" s="2182"/>
      <c r="S81" s="2182"/>
      <c r="T81" s="2182"/>
      <c r="U81" s="2182"/>
      <c r="V81" s="2182"/>
      <c r="W81" s="2182"/>
      <c r="X81" s="2192">
        <f>X71+X72+X76+X77+X78+X79+X80</f>
        <v>547326927</v>
      </c>
      <c r="Y81" s="2192"/>
      <c r="Z81" s="2192"/>
      <c r="AA81" s="2192"/>
      <c r="AB81" s="2192"/>
      <c r="AC81" s="2192"/>
      <c r="AD81" s="2192"/>
      <c r="AE81" s="2192"/>
      <c r="AF81" s="507"/>
      <c r="AG81" s="511"/>
      <c r="AH81" s="511"/>
      <c r="AI81" s="511"/>
      <c r="AJ81" s="511"/>
      <c r="AK81" s="511"/>
      <c r="AL81" s="511"/>
      <c r="AM81" s="511"/>
      <c r="AN81" s="511"/>
      <c r="AO81" s="511"/>
      <c r="AP81" s="511"/>
      <c r="AQ81" s="511"/>
      <c r="AR81" s="511"/>
      <c r="AS81" s="511"/>
      <c r="AT81" s="511"/>
      <c r="AU81" s="511"/>
      <c r="AV81" s="511"/>
      <c r="AW81" s="511"/>
      <c r="AX81" s="511"/>
      <c r="AY81" s="511"/>
      <c r="AZ81" s="511"/>
      <c r="BA81" s="511"/>
      <c r="BB81" s="511"/>
      <c r="BC81" s="511"/>
      <c r="BD81" s="511"/>
      <c r="BE81" s="499"/>
    </row>
    <row r="82" spans="1:92" ht="21" customHeight="1">
      <c r="A82" s="2202" t="s">
        <v>691</v>
      </c>
      <c r="B82" s="2202"/>
      <c r="C82" s="2202"/>
      <c r="D82" s="502"/>
      <c r="E82" s="2203" t="s">
        <v>161</v>
      </c>
      <c r="F82" s="2203"/>
      <c r="G82" s="2203"/>
      <c r="H82" s="2203"/>
      <c r="I82" s="2203"/>
      <c r="J82" s="2203"/>
      <c r="K82" s="2203"/>
      <c r="L82" s="2203"/>
      <c r="M82" s="2203"/>
      <c r="N82" s="2203"/>
      <c r="O82" s="502"/>
      <c r="P82" s="3093">
        <v>0</v>
      </c>
      <c r="Q82" s="3094"/>
      <c r="R82" s="3094"/>
      <c r="S82" s="3094"/>
      <c r="T82" s="3094"/>
      <c r="U82" s="3094"/>
      <c r="V82" s="3094"/>
      <c r="W82" s="3094"/>
      <c r="X82" s="2201">
        <v>0</v>
      </c>
      <c r="Y82" s="2192"/>
      <c r="Z82" s="2192"/>
      <c r="AA82" s="2192"/>
      <c r="AB82" s="2192"/>
      <c r="AC82" s="2192"/>
      <c r="AD82" s="2192"/>
      <c r="AE82" s="2192"/>
      <c r="AF82" s="507"/>
      <c r="AG82" s="2197"/>
      <c r="AH82" s="2197"/>
      <c r="AI82" s="2197"/>
      <c r="AJ82" s="2197"/>
      <c r="AK82" s="2197"/>
      <c r="AL82" s="2197"/>
      <c r="AM82" s="2197"/>
      <c r="AN82" s="2197"/>
      <c r="AO82" s="2197"/>
      <c r="AP82" s="2197"/>
      <c r="AQ82" s="2197"/>
      <c r="AR82" s="2197"/>
      <c r="AS82" s="2197"/>
      <c r="AT82" s="2197"/>
      <c r="AU82" s="2197"/>
      <c r="AV82" s="2197"/>
      <c r="AW82" s="2197"/>
      <c r="AX82" s="2197"/>
      <c r="AY82" s="2197"/>
      <c r="AZ82" s="2197"/>
      <c r="BA82" s="2197"/>
      <c r="BB82" s="2197"/>
      <c r="BC82" s="2197"/>
      <c r="BD82" s="2197"/>
      <c r="BE82" s="499"/>
    </row>
    <row r="83" spans="1:92" ht="21" customHeight="1">
      <c r="A83" s="2202"/>
      <c r="B83" s="2202"/>
      <c r="C83" s="2202"/>
      <c r="D83" s="502"/>
      <c r="E83" s="2196" t="s">
        <v>690</v>
      </c>
      <c r="F83" s="2196"/>
      <c r="G83" s="2196"/>
      <c r="H83" s="2196"/>
      <c r="I83" s="2196"/>
      <c r="J83" s="2196"/>
      <c r="K83" s="2196"/>
      <c r="L83" s="2196"/>
      <c r="M83" s="2196"/>
      <c r="N83" s="2196"/>
      <c r="O83" s="502"/>
      <c r="P83" s="2192">
        <f>SUM(P82:W82)</f>
        <v>0</v>
      </c>
      <c r="Q83" s="2192"/>
      <c r="R83" s="2192"/>
      <c r="S83" s="2192"/>
      <c r="T83" s="2192"/>
      <c r="U83" s="2192"/>
      <c r="V83" s="2192"/>
      <c r="W83" s="2192"/>
      <c r="X83" s="2192">
        <f>SUM(X82:AE82)</f>
        <v>0</v>
      </c>
      <c r="Y83" s="2192"/>
      <c r="Z83" s="2192"/>
      <c r="AA83" s="2192"/>
      <c r="AB83" s="2192"/>
      <c r="AC83" s="2192"/>
      <c r="AD83" s="2192"/>
      <c r="AE83" s="2192"/>
      <c r="AF83" s="507"/>
      <c r="AG83" s="2194"/>
      <c r="AH83" s="2194"/>
      <c r="AI83" s="2194"/>
      <c r="AJ83" s="2194"/>
      <c r="AK83" s="2194"/>
      <c r="AL83" s="2194"/>
      <c r="AM83" s="2194"/>
      <c r="AN83" s="2194"/>
      <c r="AO83" s="2194"/>
      <c r="AP83" s="2194"/>
      <c r="AQ83" s="2194"/>
      <c r="AR83" s="2194"/>
      <c r="AS83" s="2194"/>
      <c r="AT83" s="2194"/>
      <c r="AU83" s="2194"/>
      <c r="AV83" s="2194"/>
      <c r="AW83" s="2194"/>
      <c r="AX83" s="2194"/>
      <c r="AY83" s="2194"/>
      <c r="AZ83" s="2194"/>
      <c r="BA83" s="2194"/>
      <c r="BB83" s="2194"/>
      <c r="BC83" s="2194"/>
      <c r="BD83" s="2194"/>
      <c r="BE83" s="499"/>
    </row>
    <row r="84" spans="1:92" ht="21" customHeight="1">
      <c r="A84" s="2199" t="s">
        <v>692</v>
      </c>
      <c r="B84" s="2199"/>
      <c r="C84" s="2199"/>
      <c r="D84" s="502"/>
      <c r="E84" s="2200" t="s">
        <v>162</v>
      </c>
      <c r="F84" s="2200"/>
      <c r="G84" s="2200"/>
      <c r="H84" s="2200"/>
      <c r="I84" s="2200"/>
      <c r="J84" s="2200"/>
      <c r="K84" s="2200"/>
      <c r="L84" s="2200"/>
      <c r="M84" s="2200"/>
      <c r="N84" s="2200"/>
      <c r="O84" s="502"/>
      <c r="P84" s="3093">
        <v>0</v>
      </c>
      <c r="Q84" s="3094"/>
      <c r="R84" s="3094"/>
      <c r="S84" s="3094"/>
      <c r="T84" s="3094"/>
      <c r="U84" s="3094"/>
      <c r="V84" s="3094"/>
      <c r="W84" s="3094"/>
      <c r="X84" s="2201">
        <v>0</v>
      </c>
      <c r="Y84" s="2192"/>
      <c r="Z84" s="2192"/>
      <c r="AA84" s="2192"/>
      <c r="AB84" s="2192"/>
      <c r="AC84" s="2192"/>
      <c r="AD84" s="2192"/>
      <c r="AE84" s="2192"/>
      <c r="AF84" s="507"/>
      <c r="AG84" s="2194"/>
      <c r="AH84" s="2194"/>
      <c r="AI84" s="2194"/>
      <c r="AJ84" s="2194"/>
      <c r="AK84" s="2194"/>
      <c r="AL84" s="2194"/>
      <c r="AM84" s="2194"/>
      <c r="AN84" s="2194"/>
      <c r="AO84" s="2194"/>
      <c r="AP84" s="2194"/>
      <c r="AQ84" s="2194"/>
      <c r="AR84" s="2194"/>
      <c r="AS84" s="2194"/>
      <c r="AT84" s="2194"/>
      <c r="AU84" s="2194"/>
      <c r="AV84" s="2194"/>
      <c r="AW84" s="2194"/>
      <c r="AX84" s="2194"/>
      <c r="AY84" s="2194"/>
      <c r="AZ84" s="2194"/>
      <c r="BA84" s="2194"/>
      <c r="BB84" s="2194"/>
      <c r="BC84" s="2194"/>
      <c r="BD84" s="2194"/>
      <c r="BE84" s="499"/>
    </row>
    <row r="85" spans="1:92" s="359" customFormat="1" ht="21" customHeight="1">
      <c r="A85" s="2199"/>
      <c r="B85" s="2199"/>
      <c r="C85" s="2199"/>
      <c r="D85" s="502"/>
      <c r="E85" s="2181" t="s">
        <v>690</v>
      </c>
      <c r="F85" s="2181"/>
      <c r="G85" s="2181"/>
      <c r="H85" s="2181"/>
      <c r="I85" s="2181"/>
      <c r="J85" s="2181"/>
      <c r="K85" s="2181"/>
      <c r="L85" s="2181"/>
      <c r="M85" s="2181"/>
      <c r="N85" s="2181"/>
      <c r="O85" s="502"/>
      <c r="P85" s="2192">
        <f>SUM(P84:W84)</f>
        <v>0</v>
      </c>
      <c r="Q85" s="2192"/>
      <c r="R85" s="2192"/>
      <c r="S85" s="2192"/>
      <c r="T85" s="2192"/>
      <c r="U85" s="2192"/>
      <c r="V85" s="2192"/>
      <c r="W85" s="2192"/>
      <c r="X85" s="2192">
        <f>SUM(X84:AE84)</f>
        <v>0</v>
      </c>
      <c r="Y85" s="2192"/>
      <c r="Z85" s="2192"/>
      <c r="AA85" s="2192"/>
      <c r="AB85" s="2192"/>
      <c r="AC85" s="2192"/>
      <c r="AD85" s="2192"/>
      <c r="AE85" s="2192"/>
      <c r="AF85" s="507"/>
      <c r="AG85" s="2194"/>
      <c r="AH85" s="2194"/>
      <c r="AI85" s="2194"/>
      <c r="AJ85" s="2194"/>
      <c r="AK85" s="2194"/>
      <c r="AL85" s="2194"/>
      <c r="AM85" s="2194"/>
      <c r="AN85" s="2194"/>
      <c r="AO85" s="2194"/>
      <c r="AP85" s="2194"/>
      <c r="AQ85" s="2194"/>
      <c r="AR85" s="2194"/>
      <c r="AS85" s="2194"/>
      <c r="AT85" s="2194"/>
      <c r="AU85" s="2194"/>
      <c r="AV85" s="2194"/>
      <c r="AW85" s="2194"/>
      <c r="AX85" s="2194"/>
      <c r="AY85" s="2194"/>
      <c r="AZ85" s="2194"/>
      <c r="BA85" s="2194"/>
      <c r="BB85" s="2194"/>
      <c r="BC85" s="2194"/>
      <c r="BD85" s="2194"/>
      <c r="BE85" s="499"/>
      <c r="CK85" s="504"/>
    </row>
    <row r="86" spans="1:92" s="359" customFormat="1" ht="21" customHeight="1">
      <c r="A86" s="2195" t="s">
        <v>693</v>
      </c>
      <c r="B86" s="2195"/>
      <c r="C86" s="2195"/>
      <c r="D86" s="502"/>
      <c r="E86" s="2196" t="s">
        <v>163</v>
      </c>
      <c r="F86" s="2196"/>
      <c r="G86" s="2196"/>
      <c r="H86" s="2196"/>
      <c r="I86" s="2196"/>
      <c r="J86" s="2196"/>
      <c r="K86" s="2196"/>
      <c r="L86" s="2196"/>
      <c r="M86" s="2196"/>
      <c r="N86" s="2196"/>
      <c r="O86" s="502"/>
      <c r="P86" s="3093">
        <v>0</v>
      </c>
      <c r="Q86" s="3094"/>
      <c r="R86" s="3094"/>
      <c r="S86" s="3094"/>
      <c r="T86" s="3094"/>
      <c r="U86" s="3094"/>
      <c r="V86" s="3094"/>
      <c r="W86" s="3094"/>
      <c r="X86" s="3093">
        <v>0</v>
      </c>
      <c r="Y86" s="3094"/>
      <c r="Z86" s="3094"/>
      <c r="AA86" s="3094"/>
      <c r="AB86" s="3094"/>
      <c r="AC86" s="3094"/>
      <c r="AD86" s="3094"/>
      <c r="AE86" s="3094"/>
      <c r="AF86" s="507"/>
      <c r="AG86" s="2197"/>
      <c r="AH86" s="2197"/>
      <c r="AI86" s="2197"/>
      <c r="AJ86" s="2197"/>
      <c r="AK86" s="2197"/>
      <c r="AL86" s="2197"/>
      <c r="AM86" s="2197"/>
      <c r="AN86" s="2197"/>
      <c r="AO86" s="2197"/>
      <c r="AP86" s="2197"/>
      <c r="AQ86" s="2197"/>
      <c r="AR86" s="2197"/>
      <c r="AS86" s="2197"/>
      <c r="AT86" s="2197"/>
      <c r="AU86" s="2197"/>
      <c r="AV86" s="2197"/>
      <c r="AW86" s="2197"/>
      <c r="AX86" s="2197"/>
      <c r="AY86" s="2197"/>
      <c r="AZ86" s="2197"/>
      <c r="BA86" s="2197"/>
      <c r="BB86" s="2197"/>
      <c r="BC86" s="2197"/>
      <c r="BD86" s="2197"/>
      <c r="BE86" s="499"/>
    </row>
    <row r="87" spans="1:92" s="359" customFormat="1" ht="21" customHeight="1">
      <c r="A87" s="2195"/>
      <c r="B87" s="2195"/>
      <c r="C87" s="2195"/>
      <c r="D87" s="502"/>
      <c r="E87" s="2198" t="s">
        <v>164</v>
      </c>
      <c r="F87" s="2198"/>
      <c r="G87" s="2198"/>
      <c r="H87" s="2198"/>
      <c r="I87" s="2198"/>
      <c r="J87" s="2198"/>
      <c r="K87" s="2198"/>
      <c r="L87" s="2198"/>
      <c r="M87" s="2198"/>
      <c r="N87" s="2198"/>
      <c r="O87" s="502"/>
      <c r="P87" s="3095">
        <v>2077000</v>
      </c>
      <c r="Q87" s="3096"/>
      <c r="R87" s="3096"/>
      <c r="S87" s="3096"/>
      <c r="T87" s="3096"/>
      <c r="U87" s="3096"/>
      <c r="V87" s="3096"/>
      <c r="W87" s="3096"/>
      <c r="X87" s="3095">
        <v>1768131</v>
      </c>
      <c r="Y87" s="3096"/>
      <c r="Z87" s="3096"/>
      <c r="AA87" s="3096"/>
      <c r="AB87" s="3096"/>
      <c r="AC87" s="3096"/>
      <c r="AD87" s="3096"/>
      <c r="AE87" s="3096"/>
      <c r="AF87" s="507"/>
      <c r="AG87" s="512"/>
      <c r="AH87" s="512"/>
      <c r="AI87" s="512"/>
      <c r="AJ87" s="512"/>
      <c r="AK87" s="512"/>
      <c r="AL87" s="512"/>
      <c r="AM87" s="512"/>
      <c r="AN87" s="512"/>
      <c r="AO87" s="512"/>
      <c r="AP87" s="512"/>
      <c r="AQ87" s="512"/>
      <c r="AR87" s="512"/>
      <c r="AS87" s="512"/>
      <c r="AT87" s="512"/>
      <c r="AU87" s="512"/>
      <c r="AV87" s="512"/>
      <c r="AW87" s="512"/>
      <c r="AX87" s="512"/>
      <c r="AY87" s="512"/>
      <c r="AZ87" s="512"/>
      <c r="BA87" s="512"/>
      <c r="BB87" s="512"/>
      <c r="BC87" s="512"/>
      <c r="BD87" s="512"/>
      <c r="BE87" s="499"/>
    </row>
    <row r="88" spans="1:92" s="359" customFormat="1" ht="21" customHeight="1">
      <c r="A88" s="2195"/>
      <c r="B88" s="2195"/>
      <c r="C88" s="2195"/>
      <c r="D88" s="502"/>
      <c r="E88" s="2198" t="s">
        <v>165</v>
      </c>
      <c r="F88" s="2198"/>
      <c r="G88" s="2198"/>
      <c r="H88" s="2198"/>
      <c r="I88" s="2198"/>
      <c r="J88" s="2198"/>
      <c r="K88" s="2198"/>
      <c r="L88" s="2198"/>
      <c r="M88" s="2198"/>
      <c r="N88" s="2198"/>
      <c r="O88" s="502"/>
      <c r="P88" s="3093">
        <v>557000</v>
      </c>
      <c r="Q88" s="3094"/>
      <c r="R88" s="3094"/>
      <c r="S88" s="3094"/>
      <c r="T88" s="3094"/>
      <c r="U88" s="3094"/>
      <c r="V88" s="3094"/>
      <c r="W88" s="3094"/>
      <c r="X88" s="3093">
        <v>356493</v>
      </c>
      <c r="Y88" s="3094"/>
      <c r="Z88" s="3094"/>
      <c r="AA88" s="3094"/>
      <c r="AB88" s="3094"/>
      <c r="AC88" s="3094"/>
      <c r="AD88" s="3094"/>
      <c r="AE88" s="3094"/>
      <c r="AF88" s="507"/>
      <c r="AG88" s="2197"/>
      <c r="AH88" s="2197"/>
      <c r="AI88" s="2197"/>
      <c r="AJ88" s="2197"/>
      <c r="AK88" s="2197"/>
      <c r="AL88" s="2197"/>
      <c r="AM88" s="2197"/>
      <c r="AN88" s="2197"/>
      <c r="AO88" s="2197"/>
      <c r="AP88" s="2197"/>
      <c r="AQ88" s="2197"/>
      <c r="AR88" s="2197"/>
      <c r="AS88" s="2197"/>
      <c r="AT88" s="2197"/>
      <c r="AU88" s="2197"/>
      <c r="AV88" s="2197"/>
      <c r="AW88" s="2197"/>
      <c r="AX88" s="2197"/>
      <c r="AY88" s="2197"/>
      <c r="AZ88" s="2197"/>
      <c r="BA88" s="2197"/>
      <c r="BB88" s="2197"/>
      <c r="BC88" s="2197"/>
      <c r="BD88" s="2197"/>
      <c r="BE88" s="499"/>
    </row>
    <row r="89" spans="1:92" s="359" customFormat="1" ht="21" customHeight="1">
      <c r="A89" s="2195"/>
      <c r="B89" s="2195"/>
      <c r="C89" s="2195"/>
      <c r="D89" s="510"/>
      <c r="E89" s="2181" t="s">
        <v>690</v>
      </c>
      <c r="F89" s="2181"/>
      <c r="G89" s="2181"/>
      <c r="H89" s="2181"/>
      <c r="I89" s="2181"/>
      <c r="J89" s="2181"/>
      <c r="K89" s="2181"/>
      <c r="L89" s="2181"/>
      <c r="M89" s="2181"/>
      <c r="N89" s="2181"/>
      <c r="O89" s="510"/>
      <c r="P89" s="2182">
        <f>SUM(P86:W88)</f>
        <v>2634000</v>
      </c>
      <c r="Q89" s="2182"/>
      <c r="R89" s="2182"/>
      <c r="S89" s="2182"/>
      <c r="T89" s="2182"/>
      <c r="U89" s="2182"/>
      <c r="V89" s="2182"/>
      <c r="W89" s="2182"/>
      <c r="X89" s="2192">
        <f>SUM(X86:AE88)</f>
        <v>2124624</v>
      </c>
      <c r="Y89" s="2192"/>
      <c r="Z89" s="2192"/>
      <c r="AA89" s="2192"/>
      <c r="AB89" s="2192"/>
      <c r="AC89" s="2192"/>
      <c r="AD89" s="2192"/>
      <c r="AE89" s="2192"/>
      <c r="AF89" s="507"/>
      <c r="AG89" s="510"/>
      <c r="AH89" s="510"/>
      <c r="AI89" s="510"/>
      <c r="AJ89" s="510"/>
      <c r="AK89" s="510"/>
      <c r="AL89" s="510"/>
      <c r="AM89" s="510"/>
      <c r="AN89" s="510"/>
      <c r="AO89" s="510"/>
      <c r="AP89" s="510"/>
      <c r="AQ89" s="510"/>
      <c r="AR89" s="510"/>
      <c r="AS89" s="510"/>
      <c r="AT89" s="510"/>
      <c r="AU89" s="510"/>
      <c r="AV89" s="510"/>
      <c r="AW89" s="510"/>
      <c r="AX89" s="510"/>
      <c r="AY89" s="510"/>
      <c r="AZ89" s="510"/>
      <c r="BA89" s="510"/>
      <c r="BB89" s="510"/>
      <c r="BC89" s="510"/>
      <c r="BD89" s="510"/>
      <c r="BE89" s="499"/>
    </row>
    <row r="90" spans="1:92" s="359" customFormat="1" ht="21" customHeight="1">
      <c r="A90" s="2193" t="s">
        <v>694</v>
      </c>
      <c r="B90" s="2193"/>
      <c r="C90" s="2193"/>
      <c r="D90" s="513"/>
      <c r="E90" s="2088" t="s">
        <v>166</v>
      </c>
      <c r="F90" s="2088"/>
      <c r="G90" s="2088"/>
      <c r="H90" s="2088"/>
      <c r="I90" s="2088"/>
      <c r="J90" s="2088"/>
      <c r="K90" s="2088"/>
      <c r="L90" s="2088"/>
      <c r="M90" s="2088"/>
      <c r="N90" s="2088"/>
      <c r="O90" s="514"/>
      <c r="P90" s="3093">
        <v>12588000</v>
      </c>
      <c r="Q90" s="3094"/>
      <c r="R90" s="3094"/>
      <c r="S90" s="3094"/>
      <c r="T90" s="3094"/>
      <c r="U90" s="3094"/>
      <c r="V90" s="3094"/>
      <c r="W90" s="3094"/>
      <c r="X90" s="3093">
        <v>9572043</v>
      </c>
      <c r="Y90" s="3094"/>
      <c r="Z90" s="3094"/>
      <c r="AA90" s="3094"/>
      <c r="AB90" s="3094"/>
      <c r="AC90" s="3094"/>
      <c r="AD90" s="3094"/>
      <c r="AE90" s="3094"/>
      <c r="AF90" s="507"/>
      <c r="AG90" s="2194"/>
      <c r="AH90" s="2194"/>
      <c r="AI90" s="2194"/>
      <c r="AJ90" s="2194"/>
      <c r="AK90" s="2194"/>
      <c r="AL90" s="2194"/>
      <c r="AM90" s="2194"/>
      <c r="AN90" s="2194"/>
      <c r="AO90" s="2194"/>
      <c r="AP90" s="2194"/>
      <c r="AQ90" s="2194"/>
      <c r="AR90" s="2194"/>
      <c r="AS90" s="2194"/>
      <c r="AT90" s="2194"/>
      <c r="AU90" s="2194"/>
      <c r="AV90" s="2194"/>
      <c r="AW90" s="2194"/>
      <c r="AX90" s="2194"/>
      <c r="AY90" s="2194"/>
      <c r="AZ90" s="2194"/>
      <c r="BA90" s="2194"/>
      <c r="BB90" s="2194"/>
      <c r="BC90" s="2194"/>
      <c r="BD90" s="2194"/>
      <c r="BE90" s="499"/>
      <c r="BG90" s="515"/>
      <c r="BH90" s="515"/>
      <c r="BI90" s="515"/>
      <c r="BJ90" s="515"/>
      <c r="BK90" s="515"/>
      <c r="BL90" s="515"/>
      <c r="BM90" s="515"/>
      <c r="BN90" s="515"/>
      <c r="BO90" s="515"/>
      <c r="BP90" s="515"/>
      <c r="BQ90" s="515"/>
      <c r="BR90" s="515"/>
      <c r="BS90" s="515"/>
      <c r="BT90" s="515"/>
      <c r="BU90" s="515"/>
      <c r="BV90" s="515"/>
      <c r="BW90" s="515"/>
      <c r="BX90" s="515"/>
      <c r="BY90" s="515"/>
      <c r="BZ90" s="515"/>
      <c r="CA90" s="515"/>
      <c r="CB90" s="515"/>
      <c r="CC90" s="515"/>
      <c r="CD90" s="515"/>
      <c r="CE90" s="515"/>
      <c r="CF90" s="515"/>
      <c r="CG90" s="515"/>
      <c r="CH90" s="515"/>
      <c r="CI90" s="515"/>
      <c r="CJ90" s="515"/>
      <c r="CK90" s="515"/>
      <c r="CL90" s="515"/>
      <c r="CM90" s="515"/>
      <c r="CN90" s="515"/>
    </row>
    <row r="91" spans="1:92" s="359" customFormat="1" ht="21" customHeight="1">
      <c r="A91" s="2193"/>
      <c r="B91" s="2193"/>
      <c r="C91" s="2193"/>
      <c r="D91" s="513"/>
      <c r="E91" s="2088" t="s">
        <v>167</v>
      </c>
      <c r="F91" s="2088"/>
      <c r="G91" s="2088"/>
      <c r="H91" s="2088"/>
      <c r="I91" s="2088"/>
      <c r="J91" s="2088"/>
      <c r="K91" s="2088"/>
      <c r="L91" s="2088"/>
      <c r="M91" s="2088"/>
      <c r="N91" s="2088"/>
      <c r="O91" s="514"/>
      <c r="P91" s="3093">
        <v>22204000</v>
      </c>
      <c r="Q91" s="3094"/>
      <c r="R91" s="3094"/>
      <c r="S91" s="3094"/>
      <c r="T91" s="3094"/>
      <c r="U91" s="3094"/>
      <c r="V91" s="3094"/>
      <c r="W91" s="3094"/>
      <c r="X91" s="3093">
        <v>10938482</v>
      </c>
      <c r="Y91" s="3094"/>
      <c r="Z91" s="3094"/>
      <c r="AA91" s="3094"/>
      <c r="AB91" s="3094"/>
      <c r="AC91" s="3094"/>
      <c r="AD91" s="3094"/>
      <c r="AE91" s="3094"/>
      <c r="AF91" s="507"/>
      <c r="AG91" s="2194"/>
      <c r="AH91" s="2194"/>
      <c r="AI91" s="2194"/>
      <c r="AJ91" s="2194"/>
      <c r="AK91" s="2194"/>
      <c r="AL91" s="2194"/>
      <c r="AM91" s="2194"/>
      <c r="AN91" s="2194"/>
      <c r="AO91" s="2194"/>
      <c r="AP91" s="2194"/>
      <c r="AQ91" s="2194"/>
      <c r="AR91" s="2194"/>
      <c r="AS91" s="2194"/>
      <c r="AT91" s="2194"/>
      <c r="AU91" s="2194"/>
      <c r="AV91" s="2194"/>
      <c r="AW91" s="2194"/>
      <c r="AX91" s="2194"/>
      <c r="AY91" s="2194"/>
      <c r="AZ91" s="2194"/>
      <c r="BA91" s="2194"/>
      <c r="BB91" s="2194"/>
      <c r="BC91" s="2194"/>
      <c r="BD91" s="2194"/>
      <c r="BE91" s="499"/>
    </row>
    <row r="92" spans="1:92" s="359" customFormat="1" ht="21" customHeight="1">
      <c r="A92" s="2193"/>
      <c r="B92" s="2193"/>
      <c r="C92" s="2193"/>
      <c r="D92" s="510"/>
      <c r="E92" s="2181" t="s">
        <v>690</v>
      </c>
      <c r="F92" s="2181"/>
      <c r="G92" s="2181"/>
      <c r="H92" s="2181"/>
      <c r="I92" s="2181"/>
      <c r="J92" s="2181"/>
      <c r="K92" s="2181"/>
      <c r="L92" s="2181"/>
      <c r="M92" s="2181"/>
      <c r="N92" s="2181"/>
      <c r="O92" s="510"/>
      <c r="P92" s="2192">
        <f>SUM(P90:W91)</f>
        <v>34792000</v>
      </c>
      <c r="Q92" s="2192"/>
      <c r="R92" s="2192"/>
      <c r="S92" s="2192"/>
      <c r="T92" s="2192"/>
      <c r="U92" s="2192"/>
      <c r="V92" s="2192"/>
      <c r="W92" s="2192"/>
      <c r="X92" s="2192">
        <f>SUM(X90:AE91)</f>
        <v>20510525</v>
      </c>
      <c r="Y92" s="2192"/>
      <c r="Z92" s="2192"/>
      <c r="AA92" s="2192"/>
      <c r="AB92" s="2192"/>
      <c r="AC92" s="2192"/>
      <c r="AD92" s="2192"/>
      <c r="AE92" s="2192"/>
      <c r="AF92" s="507"/>
      <c r="AG92" s="510"/>
      <c r="AH92" s="510"/>
      <c r="AI92" s="510"/>
      <c r="AJ92" s="510"/>
      <c r="AK92" s="510"/>
      <c r="AL92" s="510"/>
      <c r="AM92" s="510"/>
      <c r="AN92" s="510"/>
      <c r="AO92" s="510"/>
      <c r="AP92" s="510"/>
      <c r="AQ92" s="510"/>
      <c r="AR92" s="510"/>
      <c r="AS92" s="510"/>
      <c r="AT92" s="510"/>
      <c r="AU92" s="510"/>
      <c r="AV92" s="510"/>
      <c r="AW92" s="510"/>
      <c r="AX92" s="510"/>
      <c r="AY92" s="510"/>
      <c r="AZ92" s="510"/>
      <c r="BA92" s="510"/>
      <c r="BB92" s="510"/>
      <c r="BC92" s="510"/>
      <c r="BD92" s="510"/>
      <c r="BE92" s="499"/>
    </row>
    <row r="93" spans="1:92" s="359" customFormat="1" ht="21" customHeight="1">
      <c r="A93" s="2184" t="s">
        <v>108</v>
      </c>
      <c r="B93" s="2184"/>
      <c r="C93" s="2184"/>
      <c r="D93" s="516"/>
      <c r="E93" s="2185" t="s">
        <v>168</v>
      </c>
      <c r="F93" s="2185"/>
      <c r="G93" s="2185"/>
      <c r="H93" s="2185"/>
      <c r="I93" s="2185"/>
      <c r="J93" s="2185"/>
      <c r="K93" s="2185"/>
      <c r="L93" s="2185"/>
      <c r="M93" s="2185"/>
      <c r="N93" s="2185"/>
      <c r="O93" s="510"/>
      <c r="P93" s="3093">
        <v>2582000</v>
      </c>
      <c r="Q93" s="3094"/>
      <c r="R93" s="3094"/>
      <c r="S93" s="3094"/>
      <c r="T93" s="3094"/>
      <c r="U93" s="3094"/>
      <c r="V93" s="3094"/>
      <c r="W93" s="3094"/>
      <c r="X93" s="3093">
        <v>2719220</v>
      </c>
      <c r="Y93" s="3094"/>
      <c r="Z93" s="3094"/>
      <c r="AA93" s="3094"/>
      <c r="AB93" s="3094"/>
      <c r="AC93" s="3094"/>
      <c r="AD93" s="3094"/>
      <c r="AE93" s="3094"/>
      <c r="AF93" s="507"/>
      <c r="AG93" s="2188"/>
      <c r="AH93" s="2188"/>
      <c r="AI93" s="2188"/>
      <c r="AJ93" s="2188"/>
      <c r="AK93" s="2188"/>
      <c r="AL93" s="2188"/>
      <c r="AM93" s="2188"/>
      <c r="AN93" s="2188"/>
      <c r="AO93" s="2188"/>
      <c r="AP93" s="2188"/>
      <c r="AQ93" s="2188"/>
      <c r="AR93" s="2188"/>
      <c r="AS93" s="2188"/>
      <c r="AT93" s="2188"/>
      <c r="AU93" s="2188"/>
      <c r="AV93" s="2188"/>
      <c r="AW93" s="2188"/>
      <c r="AX93" s="2188"/>
      <c r="AY93" s="2188"/>
      <c r="AZ93" s="2188"/>
      <c r="BA93" s="2188"/>
      <c r="BB93" s="2188"/>
      <c r="BC93" s="2188"/>
      <c r="BD93" s="2188"/>
      <c r="BE93" s="499"/>
    </row>
    <row r="94" spans="1:92" s="359" customFormat="1" ht="21" customHeight="1">
      <c r="A94" s="2184"/>
      <c r="B94" s="2184"/>
      <c r="C94" s="2184"/>
      <c r="D94" s="516"/>
      <c r="E94" s="2189" t="s">
        <v>169</v>
      </c>
      <c r="F94" s="2189"/>
      <c r="G94" s="2189"/>
      <c r="H94" s="2189"/>
      <c r="I94" s="2189"/>
      <c r="J94" s="2189"/>
      <c r="K94" s="2189"/>
      <c r="L94" s="2189"/>
      <c r="M94" s="2189"/>
      <c r="N94" s="2189"/>
      <c r="O94" s="510"/>
      <c r="P94" s="3093">
        <v>4082000</v>
      </c>
      <c r="Q94" s="3094"/>
      <c r="R94" s="3094"/>
      <c r="S94" s="3094"/>
      <c r="T94" s="3094"/>
      <c r="U94" s="3094"/>
      <c r="V94" s="3094"/>
      <c r="W94" s="3094"/>
      <c r="X94" s="3095">
        <v>2200200</v>
      </c>
      <c r="Y94" s="3096"/>
      <c r="Z94" s="3096"/>
      <c r="AA94" s="3096"/>
      <c r="AB94" s="3096"/>
      <c r="AC94" s="3096"/>
      <c r="AD94" s="3096"/>
      <c r="AE94" s="3096"/>
      <c r="AF94" s="517"/>
      <c r="AG94" s="518"/>
      <c r="AH94" s="518"/>
      <c r="AI94" s="518"/>
      <c r="AJ94" s="518"/>
      <c r="AK94" s="518"/>
      <c r="AL94" s="518"/>
      <c r="AM94" s="518"/>
      <c r="AN94" s="518"/>
      <c r="AO94" s="518"/>
      <c r="AP94" s="518"/>
      <c r="AQ94" s="518"/>
      <c r="AR94" s="518"/>
      <c r="AS94" s="518"/>
      <c r="AT94" s="518"/>
      <c r="AU94" s="518"/>
      <c r="AV94" s="518"/>
      <c r="AW94" s="518"/>
      <c r="AX94" s="518"/>
      <c r="AY94" s="518"/>
      <c r="AZ94" s="518"/>
      <c r="BA94" s="518"/>
      <c r="BB94" s="518"/>
      <c r="BC94" s="518"/>
      <c r="BD94" s="518"/>
      <c r="BE94" s="503"/>
    </row>
    <row r="95" spans="1:92" s="359" customFormat="1" ht="21" customHeight="1">
      <c r="A95" s="2184"/>
      <c r="B95" s="2184"/>
      <c r="C95" s="2184"/>
      <c r="D95" s="516"/>
      <c r="E95" s="2189" t="s">
        <v>170</v>
      </c>
      <c r="F95" s="2189"/>
      <c r="G95" s="2189"/>
      <c r="H95" s="2189"/>
      <c r="I95" s="2189"/>
      <c r="J95" s="2189"/>
      <c r="K95" s="2189"/>
      <c r="L95" s="2189"/>
      <c r="M95" s="2189"/>
      <c r="N95" s="2189"/>
      <c r="O95" s="510"/>
      <c r="P95" s="3093">
        <v>35623000</v>
      </c>
      <c r="Q95" s="3094"/>
      <c r="R95" s="3094"/>
      <c r="S95" s="3094"/>
      <c r="T95" s="3094"/>
      <c r="U95" s="3094"/>
      <c r="V95" s="3094"/>
      <c r="W95" s="3094"/>
      <c r="X95" s="3095">
        <v>32378192</v>
      </c>
      <c r="Y95" s="3096"/>
      <c r="Z95" s="3096"/>
      <c r="AA95" s="3096"/>
      <c r="AB95" s="3096"/>
      <c r="AC95" s="3096"/>
      <c r="AD95" s="3096"/>
      <c r="AE95" s="3096"/>
      <c r="AF95" s="517"/>
      <c r="AG95" s="518"/>
      <c r="AH95" s="518"/>
      <c r="AI95" s="518"/>
      <c r="AJ95" s="518"/>
      <c r="AK95" s="518"/>
      <c r="AL95" s="518"/>
      <c r="AM95" s="518"/>
      <c r="AN95" s="518"/>
      <c r="AO95" s="518"/>
      <c r="AP95" s="518"/>
      <c r="AQ95" s="518"/>
      <c r="AR95" s="518"/>
      <c r="AS95" s="518"/>
      <c r="AT95" s="518"/>
      <c r="AU95" s="518"/>
      <c r="AV95" s="518"/>
      <c r="AW95" s="518"/>
      <c r="AX95" s="518"/>
      <c r="AY95" s="518"/>
      <c r="AZ95" s="518"/>
      <c r="BA95" s="518"/>
      <c r="BB95" s="518"/>
      <c r="BC95" s="518"/>
      <c r="BD95" s="518"/>
      <c r="BE95" s="503"/>
    </row>
    <row r="96" spans="1:92" s="359" customFormat="1" ht="21" customHeight="1">
      <c r="A96" s="2184"/>
      <c r="B96" s="2184"/>
      <c r="C96" s="2184"/>
      <c r="D96" s="516"/>
      <c r="E96" s="2189" t="s">
        <v>171</v>
      </c>
      <c r="F96" s="2189"/>
      <c r="G96" s="2189"/>
      <c r="H96" s="2189"/>
      <c r="I96" s="2189"/>
      <c r="J96" s="2189"/>
      <c r="K96" s="2189"/>
      <c r="L96" s="2189"/>
      <c r="M96" s="2189"/>
      <c r="N96" s="2189"/>
      <c r="O96" s="510"/>
      <c r="P96" s="3093">
        <v>6577000</v>
      </c>
      <c r="Q96" s="3094"/>
      <c r="R96" s="3094"/>
      <c r="S96" s="3094"/>
      <c r="T96" s="3094"/>
      <c r="U96" s="3094"/>
      <c r="V96" s="3094"/>
      <c r="W96" s="3094"/>
      <c r="X96" s="3095">
        <v>7902283</v>
      </c>
      <c r="Y96" s="3096"/>
      <c r="Z96" s="3096"/>
      <c r="AA96" s="3096"/>
      <c r="AB96" s="3096"/>
      <c r="AC96" s="3096"/>
      <c r="AD96" s="3096"/>
      <c r="AE96" s="3096"/>
      <c r="AF96" s="517"/>
      <c r="AG96" s="518"/>
      <c r="AH96" s="518"/>
      <c r="AI96" s="518"/>
      <c r="AJ96" s="518"/>
      <c r="AK96" s="518"/>
      <c r="AL96" s="518"/>
      <c r="AM96" s="518"/>
      <c r="AN96" s="518"/>
      <c r="AO96" s="518"/>
      <c r="AP96" s="518"/>
      <c r="AQ96" s="518"/>
      <c r="AR96" s="518"/>
      <c r="AS96" s="518"/>
      <c r="AT96" s="518"/>
      <c r="AU96" s="518"/>
      <c r="AV96" s="518"/>
      <c r="AW96" s="518"/>
      <c r="AX96" s="518"/>
      <c r="AY96" s="518"/>
      <c r="AZ96" s="518"/>
      <c r="BA96" s="518"/>
      <c r="BB96" s="518"/>
      <c r="BC96" s="518"/>
      <c r="BD96" s="518"/>
      <c r="BE96" s="503"/>
    </row>
    <row r="97" spans="1:57" s="359" customFormat="1" ht="21" customHeight="1">
      <c r="A97" s="2184"/>
      <c r="B97" s="2184"/>
      <c r="C97" s="2184"/>
      <c r="D97" s="516"/>
      <c r="E97" s="2181" t="s">
        <v>690</v>
      </c>
      <c r="F97" s="2181"/>
      <c r="G97" s="2181"/>
      <c r="H97" s="2181"/>
      <c r="I97" s="2181"/>
      <c r="J97" s="2181"/>
      <c r="K97" s="2181"/>
      <c r="L97" s="2181"/>
      <c r="M97" s="2181"/>
      <c r="N97" s="2181"/>
      <c r="O97" s="510"/>
      <c r="P97" s="2182">
        <f>SUM(P93:W96)</f>
        <v>48864000</v>
      </c>
      <c r="Q97" s="2182"/>
      <c r="R97" s="2182"/>
      <c r="S97" s="2182"/>
      <c r="T97" s="2182"/>
      <c r="U97" s="2182"/>
      <c r="V97" s="2182"/>
      <c r="W97" s="2182"/>
      <c r="X97" s="2192">
        <f>SUM(X93:AE96)</f>
        <v>45199895</v>
      </c>
      <c r="Y97" s="2192"/>
      <c r="Z97" s="2192"/>
      <c r="AA97" s="2192"/>
      <c r="AB97" s="2192"/>
      <c r="AC97" s="2192"/>
      <c r="AD97" s="2192"/>
      <c r="AE97" s="2192"/>
      <c r="AF97" s="517"/>
      <c r="AG97" s="502"/>
      <c r="AH97" s="502"/>
      <c r="AI97" s="502"/>
      <c r="AJ97" s="502"/>
      <c r="AK97" s="502"/>
      <c r="AL97" s="502"/>
      <c r="AM97" s="502"/>
      <c r="AN97" s="502"/>
      <c r="AO97" s="502"/>
      <c r="AP97" s="502"/>
      <c r="AQ97" s="502"/>
      <c r="AR97" s="502"/>
      <c r="AS97" s="502"/>
      <c r="AT97" s="502"/>
      <c r="AU97" s="502"/>
      <c r="AV97" s="502"/>
      <c r="AW97" s="502"/>
      <c r="AX97" s="502"/>
      <c r="AY97" s="502"/>
      <c r="AZ97" s="502"/>
      <c r="BA97" s="502"/>
      <c r="BB97" s="502"/>
      <c r="BC97" s="502"/>
      <c r="BD97" s="502"/>
      <c r="BE97" s="503"/>
    </row>
    <row r="98" spans="1:57" s="359" customFormat="1" ht="21" customHeight="1">
      <c r="A98" s="519"/>
      <c r="B98" s="2181" t="s">
        <v>695</v>
      </c>
      <c r="C98" s="2181"/>
      <c r="D98" s="2181"/>
      <c r="E98" s="2181"/>
      <c r="F98" s="2181"/>
      <c r="G98" s="2181"/>
      <c r="H98" s="2181"/>
      <c r="I98" s="2181"/>
      <c r="J98" s="2181"/>
      <c r="K98" s="2181"/>
      <c r="L98" s="2181"/>
      <c r="M98" s="2181"/>
      <c r="N98" s="2181"/>
      <c r="O98" s="510"/>
      <c r="P98" s="2182">
        <f>SUM(P81,P83,P85,P89,P92,P97,)</f>
        <v>617582000</v>
      </c>
      <c r="Q98" s="2182"/>
      <c r="R98" s="2182"/>
      <c r="S98" s="2182"/>
      <c r="T98" s="2182"/>
      <c r="U98" s="2182"/>
      <c r="V98" s="2182"/>
      <c r="W98" s="2182"/>
      <c r="X98" s="2182">
        <f>SUM(X81,X83,X85,X89,X92,X97,)</f>
        <v>615161971</v>
      </c>
      <c r="Y98" s="2182"/>
      <c r="Z98" s="2182"/>
      <c r="AA98" s="2182"/>
      <c r="AB98" s="2182"/>
      <c r="AC98" s="2182"/>
      <c r="AD98" s="2182"/>
      <c r="AE98" s="2182"/>
      <c r="AF98" s="520"/>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1"/>
      <c r="BD98" s="501"/>
      <c r="BE98" s="500"/>
    </row>
    <row r="99" spans="1:57" s="359" customFormat="1" ht="24.9" customHeight="1"/>
    <row r="100" spans="1:57" s="359" customFormat="1" ht="24.9" customHeight="1">
      <c r="A100" s="2183" t="s">
        <v>696</v>
      </c>
      <c r="B100" s="2183"/>
      <c r="C100" s="2183"/>
      <c r="D100" s="2183"/>
      <c r="E100" s="2183"/>
      <c r="F100" s="2183"/>
      <c r="G100" s="2183"/>
      <c r="H100" s="2183"/>
      <c r="I100" s="2183"/>
      <c r="J100" s="2183"/>
      <c r="K100" s="2183"/>
      <c r="L100" s="2183"/>
      <c r="M100" s="2183"/>
      <c r="N100" s="2183"/>
      <c r="O100" s="2183"/>
      <c r="P100" s="2183"/>
      <c r="Q100" s="2183"/>
      <c r="R100" s="2183"/>
      <c r="S100" s="477"/>
      <c r="T100" s="477"/>
      <c r="U100" s="477"/>
      <c r="V100" s="477"/>
      <c r="W100" s="477"/>
      <c r="X100" s="477"/>
      <c r="Y100" s="477"/>
      <c r="Z100" s="477"/>
      <c r="AA100" s="477"/>
      <c r="AB100" s="477"/>
      <c r="AC100" s="477"/>
      <c r="AD100" s="477"/>
      <c r="AE100" s="477"/>
      <c r="AF100" s="477"/>
      <c r="AG100" s="477"/>
      <c r="AH100" s="477"/>
      <c r="AI100" s="477"/>
      <c r="AJ100" s="477"/>
      <c r="AK100" s="477"/>
      <c r="AL100" s="477"/>
      <c r="AM100" s="477"/>
      <c r="AN100" s="477"/>
      <c r="AO100" s="477"/>
      <c r="AP100" s="477"/>
      <c r="AQ100" s="477"/>
      <c r="AR100" s="477"/>
      <c r="AS100" s="477"/>
      <c r="AT100" s="477"/>
      <c r="AU100" s="477"/>
      <c r="AV100" s="477"/>
      <c r="AW100" s="477"/>
      <c r="AX100" s="477"/>
      <c r="AY100" s="477"/>
      <c r="AZ100" s="477"/>
      <c r="BA100" s="477"/>
      <c r="BB100" s="477"/>
      <c r="BC100" s="477"/>
      <c r="BD100" s="477"/>
      <c r="BE100" s="477"/>
    </row>
    <row r="101" spans="1:57" s="359" customFormat="1" ht="24.9" customHeight="1">
      <c r="A101" s="3097" t="str">
        <f>IF(保健_財務諸表!G50&gt;0,"　　本年度における収支決算を行った結果、当期損失金として"&amp;IF(保健_財務諸表!G50=0,"0",IF(保健_財務諸表!G50&gt;=100000000,TEXT(INT(保健_財務諸表!G50/100000000),"#,##0")&amp;"億","")&amp;IF(MOD(INT(保健_財務諸表!G50/10000),10000)&gt;0,TEXT(MOD(INT(保健_財務諸表!G50/10000),10000),"#,##0")&amp;"万","")&amp;IF(MOD(保健_財務諸表!G50,10000)&gt;0,TEXT(MOD(保健_財務諸表!G50,10000),"#,##0"),""))&amp;"円を生じたが、","　　本年度における収支決算を行った結果、当期利益金として"&amp;IF(保健_財務諸表!C60=0,"0",IF(保健_財務諸表!C60&gt;=100000000,TEXT(INT(保健_財務諸表!C60/100000000),"#,##0")&amp;"億","")&amp;IF(MOD(INT(保健_財務諸表!C60/10000),10000)&gt;0,TEXT(MOD(INT(保健_財務諸表!C60/10000),10000),"#,##0")&amp;"万","")&amp;IF(MOD(保健_財務諸表!C60,10000)&gt;0,TEXT(MOD(保健_財務諸表!C60,10000),"#,##0"),""))&amp;"円"&amp;"を生じた。")</f>
        <v>　　本年度における収支決算を行った結果、当期利益金として1,426万5,140円を生じた。</v>
      </c>
      <c r="B101" s="3098"/>
      <c r="C101" s="3098"/>
      <c r="D101" s="3098"/>
      <c r="E101" s="3098"/>
      <c r="F101" s="3098"/>
      <c r="G101" s="3098"/>
      <c r="H101" s="3098"/>
      <c r="I101" s="3098"/>
      <c r="J101" s="3098"/>
      <c r="K101" s="3098"/>
      <c r="L101" s="3098"/>
      <c r="M101" s="3098"/>
      <c r="N101" s="3098"/>
      <c r="O101" s="3098"/>
      <c r="P101" s="3098"/>
      <c r="Q101" s="3098"/>
      <c r="R101" s="3098"/>
      <c r="S101" s="3098"/>
      <c r="T101" s="3098"/>
      <c r="U101" s="3098"/>
      <c r="V101" s="3098"/>
      <c r="W101" s="3098"/>
      <c r="X101" s="3098"/>
      <c r="Y101" s="3098"/>
      <c r="Z101" s="3098"/>
      <c r="AA101" s="3098"/>
      <c r="AB101" s="3098"/>
      <c r="AC101" s="3098"/>
      <c r="AD101" s="3098"/>
      <c r="AE101" s="3098"/>
      <c r="AF101" s="3098"/>
      <c r="AG101" s="3098"/>
      <c r="AH101" s="3098"/>
      <c r="AI101" s="3098"/>
      <c r="AJ101" s="3098"/>
      <c r="AK101" s="3098"/>
      <c r="AL101" s="3098"/>
      <c r="AM101" s="3098"/>
      <c r="AN101" s="3098"/>
      <c r="AO101" s="3098"/>
      <c r="AP101" s="3098"/>
      <c r="AQ101" s="3098"/>
      <c r="AR101" s="3098"/>
      <c r="AS101" s="3098"/>
      <c r="AT101" s="3098"/>
      <c r="AU101" s="3098"/>
      <c r="AV101" s="3098"/>
      <c r="AW101" s="3098"/>
      <c r="AX101" s="3098"/>
      <c r="AY101" s="3098"/>
      <c r="AZ101" s="3098"/>
      <c r="BA101" s="3098"/>
      <c r="BB101" s="3098"/>
      <c r="BC101" s="3098"/>
      <c r="BD101" s="3098"/>
      <c r="BE101" s="3098"/>
    </row>
    <row r="102" spans="1:57" s="359" customFormat="1" ht="24.9" customHeight="1">
      <c r="A102" s="3097" t="str">
        <f>IF(保健_財務諸表!G50&gt;0,"　　前年度より繰り越した積立金"&amp;IF(保健_附属明細表!E147=0,"0",IF(保健_附属明細表!E147&gt;=100000000,TEXT(INT(保健_附属明細表!E147/100000000),"#,##0")&amp;"億","")&amp;IF(MOD(INT(保健_附属明細表!E147/10000),10000)&gt;0,TEXT(MOD(INT(保健_附属明細表!E147/10000),10000),"#,##0")&amp;"万","")&amp;IF(MOD(保健_附属明細表!E147,10000)&gt;0,TEXT(MOD(保健_附属明細表!E147,10000),"#,##0"),""))&amp;"円を取り崩して補てんした。なお、翌年度に繰り越す積立金は、","　　この利益金に前年度より繰り越した積立金"&amp;IF(保健_附属明細表!E147=0,"0",IF(保健_附属明細表!E147&gt;=100000000,TEXT(INT(保健_附属明細表!E147/100000000),"#,##0")&amp;"億","")&amp;IF(MOD(INT(保健_附属明細表!E147/10000),10000)&gt;0,TEXT(MOD(INT(保健_附属明細表!E147/10000),10000),"#,##0")&amp;"万","")&amp;IF(MOD(保健_附属明細表!E147,10000)&gt;0,TEXT(MOD(保健_附属明細表!E147,10000),"#,##0"),""))&amp;"円"&amp;"を合わせ、翌年度に繰り越す積立金は、")</f>
        <v>　　この利益金に前年度より繰り越した積立金2億7,094万7,604円を合わせ、翌年度に繰り越す積立金は、</v>
      </c>
      <c r="B102" s="3098"/>
      <c r="C102" s="3098"/>
      <c r="D102" s="3098"/>
      <c r="E102" s="3098"/>
      <c r="F102" s="3098"/>
      <c r="G102" s="3098"/>
      <c r="H102" s="3098"/>
      <c r="I102" s="3098"/>
      <c r="J102" s="3098"/>
      <c r="K102" s="3098"/>
      <c r="L102" s="3098"/>
      <c r="M102" s="3098"/>
      <c r="N102" s="3098"/>
      <c r="O102" s="3098"/>
      <c r="P102" s="3098"/>
      <c r="Q102" s="3098"/>
      <c r="R102" s="3098"/>
      <c r="S102" s="3098"/>
      <c r="T102" s="3098"/>
      <c r="U102" s="3098"/>
      <c r="V102" s="3098"/>
      <c r="W102" s="3098"/>
      <c r="X102" s="3098"/>
      <c r="Y102" s="3098"/>
      <c r="Z102" s="3098"/>
      <c r="AA102" s="3098"/>
      <c r="AB102" s="3098"/>
      <c r="AC102" s="3098"/>
      <c r="AD102" s="3098"/>
      <c r="AE102" s="3098"/>
      <c r="AF102" s="3098"/>
      <c r="AG102" s="3098"/>
      <c r="AH102" s="3098"/>
      <c r="AI102" s="3098"/>
      <c r="AJ102" s="3099"/>
      <c r="AK102" s="3099"/>
      <c r="AL102" s="3099"/>
      <c r="AM102" s="3099"/>
      <c r="AN102" s="3099"/>
      <c r="AO102" s="3099"/>
      <c r="AP102" s="3099"/>
      <c r="AQ102" s="3099"/>
      <c r="AR102" s="3099"/>
      <c r="AS102" s="3099"/>
      <c r="AT102" s="3099"/>
      <c r="AU102" s="3099"/>
      <c r="AV102" s="3099"/>
      <c r="AW102" s="3099"/>
      <c r="AX102" s="3099"/>
      <c r="AY102" s="3099"/>
      <c r="AZ102" s="3099"/>
      <c r="BA102" s="3099"/>
      <c r="BB102" s="3099"/>
      <c r="BC102" s="3098"/>
      <c r="BD102" s="3098"/>
      <c r="BE102" s="3098"/>
    </row>
    <row r="103" spans="1:57" s="359" customFormat="1" ht="24.9" customHeight="1">
      <c r="A103" s="3097" t="str">
        <f>"　"&amp;IF(保健_附属明細表!Q147=0,"0",IF(保健_附属明細表!Q147&gt;=100000000,TEXT(INT(保健_附属明細表!Q147/100000000),"#,##0")&amp;"億","")&amp;IF(MOD(INT(保健_附属明細表!Q147/10000),10000)&gt;0,TEXT(MOD(INT(保健_附属明細表!Q147/10000),10000),"#,##0")&amp;"万","")&amp;IF(MOD(保健_附属明細表!Q147,10000)&gt;0,TEXT(MOD(保健_附属明細表!Q147,10000),"#,##0"),""))&amp;"円"&amp;"となる。"</f>
        <v>　2億8,521万2,744円となる。</v>
      </c>
      <c r="B103" s="3098"/>
      <c r="C103" s="3098"/>
      <c r="D103" s="3098"/>
      <c r="E103" s="3098"/>
      <c r="F103" s="3098"/>
      <c r="G103" s="3098"/>
      <c r="H103" s="3098"/>
      <c r="I103" s="3098"/>
      <c r="J103" s="3098"/>
      <c r="K103" s="3098"/>
      <c r="L103" s="3098"/>
      <c r="M103" s="3098"/>
      <c r="N103" s="3098"/>
      <c r="O103" s="3098"/>
      <c r="P103" s="3098"/>
      <c r="Q103" s="3098"/>
      <c r="R103" s="3098"/>
      <c r="S103" s="3098"/>
      <c r="T103" s="3098"/>
      <c r="U103" s="3098"/>
      <c r="V103" s="3098"/>
      <c r="W103" s="3098"/>
      <c r="X103" s="3098"/>
      <c r="Y103" s="3098"/>
      <c r="Z103" s="3098"/>
      <c r="AA103" s="3098"/>
      <c r="AB103" s="3098"/>
      <c r="AC103" s="3098"/>
      <c r="AD103" s="3098"/>
      <c r="AE103" s="3098"/>
      <c r="AF103" s="3098"/>
      <c r="AG103" s="3098"/>
      <c r="AH103" s="3098"/>
      <c r="AI103" s="3098"/>
      <c r="AJ103" s="3099"/>
      <c r="AK103" s="3099"/>
      <c r="AL103" s="3099"/>
      <c r="AM103" s="3099"/>
      <c r="AN103" s="3099"/>
      <c r="AO103" s="3099"/>
      <c r="AP103" s="3099"/>
      <c r="AQ103" s="3099"/>
      <c r="AR103" s="3099"/>
      <c r="AS103" s="3099"/>
      <c r="AT103" s="3099"/>
      <c r="AU103" s="3099"/>
      <c r="AV103" s="3099"/>
      <c r="AW103" s="3099"/>
      <c r="AX103" s="3099"/>
      <c r="AY103" s="3099"/>
      <c r="AZ103" s="3099"/>
      <c r="BA103" s="3099"/>
      <c r="BB103" s="3099"/>
      <c r="BC103" s="3098"/>
      <c r="BD103" s="3098"/>
      <c r="BE103" s="3098"/>
    </row>
    <row r="104" spans="1:57" s="359" customFormat="1" ht="24.9" customHeight="1">
      <c r="A104" s="173"/>
      <c r="B104" s="466"/>
      <c r="C104" s="466"/>
      <c r="D104" s="466"/>
      <c r="E104" s="466"/>
      <c r="F104" s="466"/>
      <c r="G104" s="466"/>
      <c r="H104" s="466"/>
      <c r="I104" s="466"/>
      <c r="J104" s="466"/>
      <c r="K104" s="466"/>
      <c r="L104" s="466"/>
      <c r="M104" s="466"/>
      <c r="N104" s="466"/>
      <c r="O104" s="466"/>
      <c r="P104" s="466"/>
      <c r="Q104" s="466"/>
      <c r="R104" s="466"/>
      <c r="S104" s="466"/>
      <c r="T104" s="466"/>
      <c r="U104" s="466"/>
      <c r="V104" s="466"/>
      <c r="W104" s="466"/>
      <c r="X104" s="466"/>
      <c r="Y104" s="466"/>
      <c r="Z104" s="466"/>
      <c r="AA104" s="466"/>
      <c r="AB104" s="466"/>
      <c r="AC104" s="466"/>
      <c r="AD104" s="466"/>
      <c r="AE104" s="466"/>
      <c r="AF104" s="466"/>
      <c r="AG104" s="466"/>
      <c r="AH104" s="466"/>
      <c r="AI104" s="466"/>
      <c r="AJ104" s="524"/>
      <c r="AK104" s="524"/>
      <c r="AL104" s="524"/>
      <c r="AM104" s="524"/>
      <c r="AN104" s="524"/>
      <c r="AO104" s="524"/>
      <c r="AP104" s="524"/>
      <c r="AQ104" s="524"/>
      <c r="AR104" s="524"/>
      <c r="AS104" s="524"/>
      <c r="AT104" s="524"/>
      <c r="AU104" s="524"/>
      <c r="AV104" s="524"/>
      <c r="AW104" s="524"/>
      <c r="AX104" s="524"/>
      <c r="AY104" s="524"/>
      <c r="AZ104" s="524"/>
      <c r="BA104" s="524"/>
      <c r="BB104" s="524"/>
      <c r="BC104" s="466"/>
      <c r="BD104" s="466"/>
      <c r="BE104" s="466"/>
    </row>
    <row r="105" spans="1:57" s="359" customFormat="1" ht="24.9" customHeight="1">
      <c r="A105" s="525"/>
      <c r="B105" s="524"/>
      <c r="C105" s="524"/>
      <c r="D105" s="524"/>
      <c r="E105" s="524"/>
      <c r="F105" s="524"/>
      <c r="G105" s="524"/>
      <c r="H105" s="524"/>
      <c r="I105" s="524"/>
      <c r="J105" s="524"/>
      <c r="K105" s="524"/>
      <c r="L105" s="524"/>
      <c r="M105" s="524"/>
      <c r="N105" s="524"/>
      <c r="O105" s="524"/>
      <c r="P105" s="524"/>
      <c r="Q105" s="524"/>
      <c r="R105" s="524"/>
      <c r="S105" s="524"/>
      <c r="T105" s="524"/>
      <c r="U105" s="524"/>
      <c r="V105" s="524"/>
      <c r="W105" s="524"/>
      <c r="X105" s="524"/>
      <c r="Y105" s="524"/>
      <c r="Z105" s="524"/>
      <c r="AA105" s="524"/>
      <c r="AB105" s="524"/>
      <c r="AC105" s="524"/>
      <c r="AD105" s="524"/>
      <c r="AE105" s="524"/>
      <c r="AF105" s="524"/>
      <c r="AG105" s="524"/>
      <c r="AH105" s="524"/>
      <c r="AI105" s="524"/>
      <c r="AJ105" s="524"/>
      <c r="AK105" s="524"/>
      <c r="AL105" s="524"/>
      <c r="AM105" s="524"/>
      <c r="AN105" s="524"/>
      <c r="AO105" s="524"/>
      <c r="AP105" s="524"/>
      <c r="AQ105" s="524"/>
      <c r="AR105" s="216"/>
      <c r="AS105" s="216"/>
      <c r="AT105" s="216"/>
      <c r="AU105" s="216"/>
      <c r="AV105" s="216"/>
      <c r="AW105" s="216"/>
      <c r="AX105" s="216"/>
      <c r="AY105" s="216"/>
      <c r="AZ105" s="216"/>
      <c r="BA105" s="216"/>
      <c r="BB105" s="216"/>
      <c r="BC105" s="216"/>
      <c r="BD105" s="173"/>
      <c r="BE105" s="173"/>
    </row>
    <row r="106" spans="1:57" s="359" customFormat="1" ht="24.9" customHeight="1">
      <c r="A106" s="173"/>
    </row>
    <row r="107" spans="1:57" s="359" customFormat="1" ht="24.9" customHeight="1">
      <c r="A107" s="525"/>
    </row>
    <row r="108" spans="1:57" s="359" customFormat="1" ht="24.9" customHeight="1"/>
    <row r="109" spans="1:57" s="359" customFormat="1" ht="24.9" customHeight="1"/>
    <row r="110" spans="1:57" s="359" customFormat="1" ht="24.9" customHeight="1"/>
    <row r="111" spans="1:57" s="359" customFormat="1" ht="24.9" customHeight="1"/>
    <row r="112" spans="1:57" s="359" customFormat="1" ht="24.9" customHeight="1"/>
    <row r="113" s="359" customFormat="1" ht="24.9" customHeight="1"/>
    <row r="114" s="359" customFormat="1" ht="24.9" customHeight="1"/>
    <row r="115" s="359" customFormat="1" ht="24.9" customHeight="1"/>
    <row r="116" s="359" customFormat="1" ht="24.9" customHeight="1"/>
    <row r="117" s="359" customFormat="1" ht="24.9" customHeight="1"/>
    <row r="118" s="359" customFormat="1" ht="24.9" customHeight="1"/>
    <row r="119" s="359" customFormat="1" ht="24.9" customHeight="1"/>
    <row r="120" s="359" customFormat="1" ht="24.9" customHeight="1"/>
    <row r="121" s="359" customFormat="1" ht="24.9" customHeight="1"/>
    <row r="122" s="359" customFormat="1" ht="24.9" customHeight="1"/>
    <row r="123" s="359" customFormat="1" ht="24.9" customHeight="1"/>
    <row r="124" s="359" customFormat="1" ht="24.9" customHeight="1"/>
    <row r="125" s="359" customFormat="1" ht="24.9" customHeight="1"/>
    <row r="126" s="359" customFormat="1" ht="24.9" customHeight="1"/>
    <row r="127" s="359" customFormat="1" ht="24.9" customHeight="1"/>
    <row r="128" s="359" customFormat="1" ht="24.9" customHeight="1"/>
    <row r="129" s="359" customFormat="1" ht="24.9" customHeight="1"/>
    <row r="130" s="359" customFormat="1" ht="24.9" customHeight="1"/>
    <row r="131" s="359" customFormat="1" ht="24.9" customHeight="1"/>
    <row r="132" s="359" customFormat="1" ht="24.9" customHeight="1"/>
    <row r="133" s="359" customFormat="1" ht="24.9" customHeight="1"/>
    <row r="134" s="359" customFormat="1" ht="24.9" customHeight="1"/>
    <row r="135" s="359" customFormat="1" ht="24.9" customHeight="1"/>
    <row r="136" s="359" customFormat="1" ht="24.9" customHeight="1"/>
    <row r="137" s="359" customFormat="1" ht="24.9" customHeight="1"/>
    <row r="138" s="359" customFormat="1" ht="24.9" customHeight="1"/>
    <row r="139" s="359" customFormat="1" ht="24.9" customHeight="1"/>
    <row r="140" s="359" customFormat="1" ht="24.9" customHeight="1"/>
    <row r="141" s="359" customFormat="1" ht="24.9" customHeight="1"/>
    <row r="142" s="359" customFormat="1" ht="24.9" customHeight="1"/>
    <row r="143" s="359" customFormat="1" ht="24.9" customHeight="1"/>
    <row r="144" s="359" customFormat="1" ht="24.9" customHeight="1"/>
    <row r="145" spans="1:57" s="359" customFormat="1" ht="24.9" customHeight="1"/>
    <row r="146" spans="1:57" s="359" customFormat="1" ht="24.9" customHeight="1"/>
    <row r="147" spans="1:57" s="359" customFormat="1" ht="24.9" customHeight="1"/>
    <row r="148" spans="1:57" ht="24.9" customHeight="1">
      <c r="A148" s="359"/>
      <c r="B148" s="359"/>
      <c r="C148" s="359"/>
      <c r="D148" s="359"/>
      <c r="E148" s="359"/>
      <c r="F148" s="359"/>
      <c r="G148" s="359"/>
      <c r="H148" s="359"/>
      <c r="I148" s="359"/>
      <c r="J148" s="359"/>
      <c r="K148" s="359"/>
      <c r="L148" s="359"/>
      <c r="M148" s="359"/>
      <c r="N148" s="359"/>
      <c r="O148" s="359"/>
      <c r="P148" s="359"/>
      <c r="Q148" s="359"/>
      <c r="R148" s="359"/>
      <c r="S148" s="359"/>
      <c r="T148" s="359"/>
      <c r="U148" s="359"/>
      <c r="V148" s="359"/>
      <c r="W148" s="359"/>
      <c r="X148" s="359"/>
      <c r="Y148" s="359"/>
      <c r="Z148" s="359"/>
      <c r="AA148" s="359"/>
      <c r="AB148" s="359"/>
      <c r="AC148" s="359"/>
      <c r="AD148" s="359"/>
      <c r="AE148" s="359"/>
      <c r="AF148" s="359"/>
      <c r="AG148" s="359"/>
      <c r="AH148" s="359"/>
      <c r="AI148" s="359"/>
      <c r="AJ148" s="359"/>
      <c r="AK148" s="359"/>
      <c r="AL148" s="359"/>
      <c r="AM148" s="359"/>
      <c r="AN148" s="359"/>
      <c r="AO148" s="359"/>
      <c r="AP148" s="359"/>
      <c r="AQ148" s="359"/>
      <c r="AR148" s="359"/>
      <c r="AS148" s="359"/>
      <c r="AT148" s="359"/>
      <c r="AU148" s="359"/>
      <c r="AV148" s="359"/>
      <c r="AW148" s="359"/>
      <c r="AX148" s="359"/>
      <c r="AY148" s="359"/>
      <c r="AZ148" s="359"/>
      <c r="BA148" s="359"/>
      <c r="BB148" s="359"/>
      <c r="BC148" s="359"/>
      <c r="BD148" s="359"/>
      <c r="BE148" s="359"/>
    </row>
    <row r="149" spans="1:57" ht="24.9" customHeight="1">
      <c r="A149" s="359"/>
      <c r="B149" s="359"/>
      <c r="C149" s="359"/>
      <c r="D149" s="359"/>
      <c r="E149" s="359"/>
      <c r="F149" s="359"/>
      <c r="G149" s="359"/>
      <c r="H149" s="359"/>
      <c r="I149" s="359"/>
      <c r="J149" s="359"/>
      <c r="K149" s="359"/>
      <c r="L149" s="359"/>
      <c r="M149" s="359"/>
      <c r="N149" s="359"/>
      <c r="O149" s="359"/>
      <c r="P149" s="359"/>
      <c r="Q149" s="359"/>
      <c r="R149" s="359"/>
      <c r="S149" s="359"/>
      <c r="T149" s="359"/>
      <c r="U149" s="359"/>
      <c r="V149" s="359"/>
      <c r="W149" s="359"/>
      <c r="X149" s="359"/>
      <c r="Y149" s="359"/>
      <c r="Z149" s="359"/>
      <c r="AA149" s="359"/>
      <c r="AB149" s="359"/>
      <c r="AC149" s="359"/>
      <c r="AD149" s="359"/>
      <c r="AE149" s="359"/>
      <c r="AF149" s="359"/>
      <c r="AG149" s="359"/>
      <c r="AH149" s="359"/>
      <c r="AI149" s="359"/>
      <c r="AJ149" s="359"/>
      <c r="AK149" s="359"/>
      <c r="AL149" s="359"/>
      <c r="AM149" s="359"/>
      <c r="AN149" s="359"/>
      <c r="AO149" s="359"/>
      <c r="AP149" s="359"/>
      <c r="AQ149" s="359"/>
      <c r="AR149" s="359"/>
      <c r="AS149" s="359"/>
      <c r="AT149" s="359"/>
      <c r="AU149" s="359"/>
      <c r="AV149" s="359"/>
      <c r="AW149" s="359"/>
      <c r="AX149" s="359"/>
      <c r="AY149" s="359"/>
      <c r="AZ149" s="359"/>
      <c r="BA149" s="359"/>
      <c r="BB149" s="359"/>
      <c r="BC149" s="359"/>
      <c r="BD149" s="359"/>
      <c r="BE149" s="359"/>
    </row>
    <row r="150" spans="1:57" ht="24.9" customHeight="1">
      <c r="A150" s="359"/>
      <c r="B150" s="359"/>
      <c r="C150" s="359"/>
      <c r="D150" s="359"/>
      <c r="E150" s="359"/>
      <c r="F150" s="359"/>
      <c r="G150" s="359"/>
      <c r="H150" s="359"/>
      <c r="I150" s="359"/>
      <c r="J150" s="359"/>
      <c r="K150" s="359"/>
      <c r="L150" s="359"/>
      <c r="M150" s="359"/>
      <c r="N150" s="359"/>
      <c r="O150" s="359"/>
      <c r="P150" s="359"/>
      <c r="Q150" s="359"/>
      <c r="R150" s="359"/>
      <c r="S150" s="359"/>
      <c r="T150" s="359"/>
      <c r="U150" s="359"/>
      <c r="V150" s="359"/>
      <c r="W150" s="359"/>
      <c r="X150" s="359"/>
      <c r="Y150" s="359"/>
      <c r="Z150" s="359"/>
      <c r="AA150" s="359"/>
      <c r="AB150" s="359"/>
      <c r="AC150" s="359"/>
      <c r="AD150" s="359"/>
      <c r="AE150" s="359"/>
      <c r="AF150" s="359"/>
      <c r="AG150" s="359"/>
      <c r="AH150" s="359"/>
      <c r="AI150" s="359"/>
      <c r="AJ150" s="359"/>
      <c r="AK150" s="359"/>
      <c r="AL150" s="359"/>
      <c r="AM150" s="359"/>
      <c r="AN150" s="359"/>
      <c r="AO150" s="359"/>
      <c r="AP150" s="359"/>
      <c r="AQ150" s="359"/>
      <c r="AR150" s="359"/>
      <c r="AS150" s="359"/>
      <c r="AT150" s="359"/>
      <c r="AU150" s="359"/>
      <c r="AV150" s="359"/>
      <c r="AW150" s="359"/>
      <c r="AX150" s="359"/>
      <c r="AY150" s="359"/>
      <c r="AZ150" s="359"/>
      <c r="BA150" s="359"/>
      <c r="BB150" s="359"/>
      <c r="BC150" s="359"/>
      <c r="BD150" s="359"/>
      <c r="BE150" s="359"/>
    </row>
    <row r="151" spans="1:57" ht="24.9" customHeight="1">
      <c r="A151" s="359"/>
      <c r="B151" s="359"/>
      <c r="C151" s="359"/>
      <c r="D151" s="359"/>
      <c r="E151" s="359"/>
      <c r="F151" s="359"/>
      <c r="G151" s="359"/>
      <c r="H151" s="359"/>
      <c r="I151" s="359"/>
      <c r="J151" s="359"/>
      <c r="K151" s="359"/>
      <c r="L151" s="359"/>
      <c r="M151" s="359"/>
      <c r="N151" s="359"/>
      <c r="O151" s="359"/>
      <c r="P151" s="359"/>
      <c r="Q151" s="359"/>
      <c r="R151" s="359"/>
      <c r="S151" s="359"/>
      <c r="T151" s="359"/>
      <c r="U151" s="359"/>
      <c r="V151" s="359"/>
      <c r="W151" s="359"/>
      <c r="X151" s="359"/>
      <c r="Y151" s="359"/>
      <c r="Z151" s="359"/>
      <c r="AA151" s="359"/>
      <c r="AB151" s="359"/>
      <c r="AC151" s="359"/>
      <c r="AD151" s="359"/>
      <c r="AE151" s="359"/>
      <c r="AF151" s="359"/>
      <c r="AG151" s="359"/>
      <c r="AH151" s="359"/>
      <c r="AI151" s="359"/>
      <c r="AJ151" s="359"/>
      <c r="AK151" s="359"/>
      <c r="AL151" s="359"/>
      <c r="AM151" s="359"/>
      <c r="AN151" s="359"/>
      <c r="AO151" s="359"/>
      <c r="AP151" s="359"/>
      <c r="AQ151" s="359"/>
      <c r="AR151" s="359"/>
      <c r="AS151" s="359"/>
      <c r="AT151" s="359"/>
      <c r="AU151" s="359"/>
      <c r="AV151" s="359"/>
      <c r="AW151" s="359"/>
      <c r="AX151" s="359"/>
      <c r="AY151" s="359"/>
      <c r="AZ151" s="359"/>
      <c r="BA151" s="359"/>
      <c r="BB151" s="359"/>
      <c r="BC151" s="359"/>
      <c r="BD151" s="359"/>
      <c r="BE151" s="359"/>
    </row>
    <row r="152" spans="1:57" ht="24.9" customHeight="1">
      <c r="A152" s="359"/>
      <c r="B152" s="359"/>
      <c r="C152" s="359"/>
      <c r="D152" s="359"/>
      <c r="E152" s="359"/>
      <c r="F152" s="359"/>
      <c r="G152" s="359"/>
      <c r="H152" s="359"/>
      <c r="I152" s="359"/>
      <c r="J152" s="359"/>
      <c r="K152" s="359"/>
      <c r="L152" s="359"/>
      <c r="M152" s="359"/>
      <c r="N152" s="359"/>
      <c r="O152" s="359"/>
      <c r="P152" s="359"/>
      <c r="Q152" s="359"/>
      <c r="R152" s="359"/>
      <c r="S152" s="359"/>
      <c r="T152" s="359"/>
      <c r="U152" s="359"/>
      <c r="V152" s="359"/>
      <c r="W152" s="359"/>
      <c r="X152" s="359"/>
      <c r="Y152" s="359"/>
      <c r="Z152" s="359"/>
      <c r="AA152" s="359"/>
      <c r="AB152" s="359"/>
      <c r="AC152" s="359"/>
      <c r="AD152" s="359"/>
      <c r="AE152" s="359"/>
      <c r="AF152" s="359"/>
      <c r="AG152" s="359"/>
      <c r="AH152" s="359"/>
      <c r="AI152" s="359"/>
      <c r="AJ152" s="359"/>
      <c r="AK152" s="359"/>
      <c r="AL152" s="359"/>
      <c r="AM152" s="359"/>
      <c r="AN152" s="359"/>
      <c r="AO152" s="359"/>
      <c r="AP152" s="359"/>
      <c r="AQ152" s="359"/>
      <c r="AR152" s="359"/>
      <c r="AS152" s="359"/>
      <c r="AT152" s="359"/>
      <c r="AU152" s="359"/>
      <c r="AV152" s="359"/>
      <c r="AW152" s="359"/>
      <c r="AX152" s="359"/>
      <c r="AY152" s="359"/>
      <c r="AZ152" s="359"/>
      <c r="BA152" s="359"/>
      <c r="BB152" s="359"/>
      <c r="BC152" s="359"/>
      <c r="BD152" s="359"/>
      <c r="BE152" s="359"/>
    </row>
    <row r="153" spans="1:57" ht="24.9" customHeight="1">
      <c r="A153" s="359"/>
      <c r="B153" s="359"/>
      <c r="C153" s="359"/>
      <c r="D153" s="359"/>
      <c r="E153" s="359"/>
      <c r="F153" s="359"/>
      <c r="G153" s="359"/>
      <c r="H153" s="359"/>
      <c r="I153" s="359"/>
      <c r="J153" s="359"/>
      <c r="K153" s="359"/>
      <c r="L153" s="359"/>
      <c r="M153" s="359"/>
      <c r="N153" s="359"/>
      <c r="O153" s="359"/>
      <c r="P153" s="359"/>
      <c r="Q153" s="359"/>
      <c r="R153" s="359"/>
      <c r="S153" s="359"/>
      <c r="T153" s="359"/>
      <c r="U153" s="359"/>
      <c r="V153" s="359"/>
      <c r="W153" s="359"/>
      <c r="X153" s="359"/>
      <c r="Y153" s="359"/>
      <c r="Z153" s="359"/>
      <c r="AA153" s="359"/>
      <c r="AB153" s="359"/>
      <c r="AC153" s="359"/>
      <c r="AD153" s="359"/>
      <c r="AE153" s="359"/>
      <c r="AF153" s="359"/>
      <c r="AG153" s="359"/>
      <c r="AH153" s="359"/>
      <c r="AI153" s="359"/>
      <c r="AJ153" s="359"/>
      <c r="AK153" s="359"/>
      <c r="AL153" s="359"/>
      <c r="AM153" s="359"/>
      <c r="AN153" s="359"/>
      <c r="AO153" s="359"/>
      <c r="AP153" s="359"/>
      <c r="AQ153" s="359"/>
      <c r="AR153" s="359"/>
      <c r="AS153" s="359"/>
      <c r="AT153" s="359"/>
      <c r="AU153" s="359"/>
      <c r="AV153" s="359"/>
      <c r="AW153" s="359"/>
      <c r="AX153" s="359"/>
      <c r="AY153" s="359"/>
      <c r="AZ153" s="359"/>
      <c r="BA153" s="359"/>
      <c r="BB153" s="359"/>
      <c r="BC153" s="359"/>
      <c r="BD153" s="359"/>
      <c r="BE153" s="359"/>
    </row>
    <row r="154" spans="1:57" ht="24.9" customHeight="1">
      <c r="A154" s="359"/>
      <c r="B154" s="359"/>
      <c r="C154" s="359"/>
      <c r="D154" s="359"/>
      <c r="E154" s="359"/>
      <c r="F154" s="359"/>
      <c r="G154" s="359"/>
      <c r="H154" s="359"/>
      <c r="I154" s="359"/>
      <c r="J154" s="359"/>
      <c r="K154" s="359"/>
      <c r="L154" s="359"/>
      <c r="M154" s="359"/>
      <c r="N154" s="359"/>
      <c r="O154" s="359"/>
      <c r="P154" s="359"/>
      <c r="Q154" s="359"/>
      <c r="R154" s="359"/>
      <c r="S154" s="359"/>
      <c r="T154" s="359"/>
      <c r="U154" s="359"/>
      <c r="V154" s="359"/>
      <c r="W154" s="359"/>
      <c r="X154" s="359"/>
      <c r="Y154" s="359"/>
      <c r="Z154" s="359"/>
      <c r="AA154" s="359"/>
      <c r="AB154" s="359"/>
      <c r="AC154" s="359"/>
      <c r="AD154" s="359"/>
      <c r="AE154" s="359"/>
      <c r="AF154" s="359"/>
      <c r="AG154" s="359"/>
      <c r="AH154" s="359"/>
      <c r="AI154" s="359"/>
      <c r="AJ154" s="359"/>
      <c r="AK154" s="359"/>
      <c r="AL154" s="359"/>
      <c r="AM154" s="359"/>
      <c r="AN154" s="359"/>
      <c r="AO154" s="359"/>
      <c r="AP154" s="359"/>
      <c r="AQ154" s="359"/>
      <c r="AR154" s="359"/>
      <c r="AS154" s="359"/>
      <c r="AT154" s="359"/>
      <c r="AU154" s="359"/>
      <c r="AV154" s="359"/>
      <c r="AW154" s="359"/>
      <c r="AX154" s="359"/>
      <c r="AY154" s="359"/>
      <c r="AZ154" s="359"/>
      <c r="BA154" s="359"/>
      <c r="BB154" s="359"/>
      <c r="BC154" s="359"/>
      <c r="BD154" s="359"/>
      <c r="BE154" s="359"/>
    </row>
    <row r="155" spans="1:57" ht="24.9" customHeight="1">
      <c r="A155" s="359"/>
      <c r="B155" s="359"/>
      <c r="C155" s="359"/>
      <c r="D155" s="359"/>
      <c r="E155" s="359"/>
      <c r="F155" s="359"/>
      <c r="G155" s="359"/>
      <c r="H155" s="359"/>
      <c r="I155" s="359"/>
      <c r="J155" s="359"/>
      <c r="K155" s="359"/>
      <c r="L155" s="359"/>
      <c r="M155" s="359"/>
      <c r="N155" s="359"/>
      <c r="O155" s="359"/>
      <c r="P155" s="359"/>
      <c r="Q155" s="359"/>
      <c r="R155" s="359"/>
      <c r="S155" s="359"/>
      <c r="T155" s="359"/>
      <c r="U155" s="359"/>
      <c r="V155" s="359"/>
      <c r="W155" s="359"/>
      <c r="X155" s="359"/>
      <c r="Y155" s="359"/>
      <c r="Z155" s="359"/>
      <c r="AA155" s="359"/>
      <c r="AB155" s="359"/>
      <c r="AC155" s="359"/>
      <c r="AD155" s="359"/>
      <c r="AE155" s="359"/>
      <c r="AF155" s="359"/>
      <c r="AG155" s="359"/>
      <c r="AH155" s="359"/>
      <c r="AI155" s="359"/>
      <c r="AJ155" s="359"/>
      <c r="AK155" s="359"/>
      <c r="AL155" s="359"/>
      <c r="AM155" s="359"/>
      <c r="AN155" s="359"/>
      <c r="AO155" s="359"/>
      <c r="AP155" s="359"/>
      <c r="AQ155" s="359"/>
      <c r="AR155" s="359"/>
      <c r="AS155" s="359"/>
      <c r="AT155" s="359"/>
      <c r="AU155" s="359"/>
      <c r="AV155" s="359"/>
      <c r="AW155" s="359"/>
      <c r="AX155" s="359"/>
      <c r="AY155" s="359"/>
      <c r="AZ155" s="359"/>
      <c r="BA155" s="359"/>
      <c r="BB155" s="359"/>
      <c r="BC155" s="359"/>
      <c r="BD155" s="359"/>
      <c r="BE155" s="359"/>
    </row>
    <row r="156" spans="1:57" ht="24.9" customHeight="1">
      <c r="A156" s="359"/>
      <c r="B156" s="359"/>
      <c r="C156" s="359"/>
      <c r="D156" s="359"/>
      <c r="E156" s="359"/>
      <c r="F156" s="359"/>
      <c r="G156" s="359"/>
      <c r="H156" s="359"/>
      <c r="I156" s="359"/>
      <c r="J156" s="359"/>
      <c r="K156" s="359"/>
      <c r="L156" s="359"/>
      <c r="M156" s="359"/>
      <c r="N156" s="359"/>
      <c r="O156" s="359"/>
      <c r="P156" s="359"/>
      <c r="Q156" s="359"/>
      <c r="R156" s="359"/>
      <c r="S156" s="359"/>
      <c r="T156" s="359"/>
      <c r="U156" s="359"/>
      <c r="V156" s="359"/>
      <c r="W156" s="359"/>
      <c r="X156" s="359"/>
      <c r="Y156" s="359"/>
      <c r="Z156" s="359"/>
      <c r="AA156" s="359"/>
      <c r="AB156" s="359"/>
      <c r="AC156" s="359"/>
      <c r="AD156" s="359"/>
      <c r="AE156" s="359"/>
      <c r="AF156" s="359"/>
      <c r="AG156" s="359"/>
      <c r="AH156" s="359"/>
      <c r="AI156" s="359"/>
      <c r="AJ156" s="359"/>
      <c r="AK156" s="359"/>
      <c r="AL156" s="359"/>
      <c r="AM156" s="359"/>
      <c r="AN156" s="359"/>
      <c r="AO156" s="359"/>
      <c r="AP156" s="359"/>
      <c r="AQ156" s="359"/>
      <c r="AR156" s="359"/>
      <c r="AS156" s="359"/>
      <c r="AT156" s="359"/>
      <c r="AU156" s="359"/>
      <c r="AV156" s="359"/>
      <c r="AW156" s="359"/>
      <c r="AX156" s="359"/>
      <c r="AY156" s="359"/>
      <c r="AZ156" s="359"/>
      <c r="BA156" s="359"/>
      <c r="BB156" s="359"/>
      <c r="BC156" s="359"/>
      <c r="BD156" s="359"/>
      <c r="BE156" s="359"/>
    </row>
    <row r="157" spans="1:57" ht="24.9" customHeight="1">
      <c r="A157" s="359"/>
      <c r="B157" s="359"/>
      <c r="C157" s="359"/>
      <c r="D157" s="359"/>
      <c r="E157" s="359"/>
      <c r="F157" s="359"/>
      <c r="G157" s="359"/>
      <c r="H157" s="359"/>
      <c r="I157" s="359"/>
      <c r="J157" s="359"/>
      <c r="K157" s="359"/>
      <c r="L157" s="359"/>
      <c r="M157" s="359"/>
      <c r="N157" s="359"/>
      <c r="O157" s="359"/>
      <c r="P157" s="359"/>
      <c r="Q157" s="359"/>
      <c r="R157" s="359"/>
      <c r="S157" s="359"/>
      <c r="T157" s="359"/>
      <c r="U157" s="359"/>
      <c r="V157" s="359"/>
      <c r="W157" s="359"/>
      <c r="X157" s="359"/>
      <c r="Y157" s="359"/>
      <c r="Z157" s="359"/>
      <c r="AA157" s="359"/>
      <c r="AB157" s="359"/>
      <c r="AC157" s="359"/>
      <c r="AD157" s="359"/>
      <c r="AE157" s="359"/>
      <c r="AF157" s="359"/>
      <c r="AG157" s="359"/>
      <c r="AH157" s="359"/>
      <c r="AI157" s="359"/>
      <c r="AJ157" s="359"/>
      <c r="AK157" s="359"/>
      <c r="AL157" s="359"/>
      <c r="AM157" s="359"/>
      <c r="AN157" s="359"/>
      <c r="AO157" s="359"/>
      <c r="AP157" s="359"/>
      <c r="AQ157" s="359"/>
      <c r="AR157" s="359"/>
      <c r="AS157" s="359"/>
      <c r="AT157" s="359"/>
      <c r="AU157" s="359"/>
      <c r="AV157" s="359"/>
      <c r="AW157" s="359"/>
      <c r="AX157" s="359"/>
      <c r="AY157" s="359"/>
      <c r="AZ157" s="359"/>
      <c r="BA157" s="359"/>
      <c r="BB157" s="359"/>
      <c r="BC157" s="359"/>
      <c r="BD157" s="359"/>
      <c r="BE157" s="359"/>
    </row>
    <row r="158" spans="1:57" ht="24.9" customHeight="1">
      <c r="A158" s="359"/>
      <c r="B158" s="359"/>
      <c r="C158" s="359"/>
      <c r="D158" s="359"/>
      <c r="E158" s="359"/>
      <c r="F158" s="359"/>
      <c r="G158" s="359"/>
      <c r="H158" s="359"/>
      <c r="I158" s="359"/>
      <c r="J158" s="359"/>
      <c r="K158" s="359"/>
      <c r="L158" s="359"/>
      <c r="M158" s="359"/>
      <c r="N158" s="359"/>
      <c r="O158" s="359"/>
      <c r="P158" s="359"/>
      <c r="Q158" s="359"/>
      <c r="R158" s="359"/>
      <c r="S158" s="359"/>
      <c r="T158" s="359"/>
      <c r="U158" s="359"/>
      <c r="V158" s="359"/>
      <c r="W158" s="359"/>
      <c r="X158" s="359"/>
      <c r="Y158" s="359"/>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c r="AZ158" s="359"/>
      <c r="BA158" s="359"/>
      <c r="BB158" s="359"/>
      <c r="BC158" s="359"/>
      <c r="BD158" s="359"/>
      <c r="BE158" s="359"/>
    </row>
    <row r="159" spans="1:57" ht="24.9" customHeight="1">
      <c r="A159" s="359"/>
      <c r="B159" s="359"/>
      <c r="C159" s="359"/>
      <c r="D159" s="359"/>
      <c r="E159" s="359"/>
      <c r="F159" s="359"/>
      <c r="G159" s="359"/>
      <c r="H159" s="359"/>
      <c r="I159" s="359"/>
      <c r="J159" s="359"/>
      <c r="K159" s="359"/>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row>
    <row r="160" spans="1:57" ht="24.9" customHeight="1">
      <c r="A160" s="359"/>
      <c r="B160" s="359"/>
      <c r="C160" s="359"/>
      <c r="D160" s="359"/>
      <c r="E160" s="359"/>
      <c r="F160" s="359"/>
      <c r="G160" s="359"/>
      <c r="H160" s="359"/>
      <c r="I160" s="359"/>
      <c r="J160" s="359"/>
      <c r="K160" s="359"/>
      <c r="L160" s="359"/>
      <c r="M160" s="359"/>
      <c r="N160" s="359"/>
      <c r="O160" s="359"/>
      <c r="P160" s="359"/>
      <c r="Q160" s="359"/>
      <c r="R160" s="359"/>
      <c r="S160" s="359"/>
      <c r="T160" s="359"/>
      <c r="U160" s="359"/>
      <c r="V160" s="359"/>
      <c r="W160" s="359"/>
      <c r="X160" s="359"/>
      <c r="Y160" s="359"/>
      <c r="Z160" s="359"/>
      <c r="AA160" s="359"/>
      <c r="AB160" s="359"/>
      <c r="AC160" s="359"/>
      <c r="AD160" s="359"/>
      <c r="AE160" s="359"/>
      <c r="AF160" s="359"/>
      <c r="AG160" s="359"/>
      <c r="AH160" s="359"/>
      <c r="AI160" s="359"/>
      <c r="AJ160" s="359"/>
      <c r="AK160" s="359"/>
      <c r="AL160" s="359"/>
      <c r="AM160" s="359"/>
      <c r="AN160" s="359"/>
      <c r="AO160" s="359"/>
      <c r="AP160" s="359"/>
      <c r="AQ160" s="359"/>
      <c r="AR160" s="359"/>
      <c r="AS160" s="359"/>
      <c r="AT160" s="359"/>
      <c r="AU160" s="359"/>
      <c r="AV160" s="359"/>
      <c r="AW160" s="359"/>
      <c r="AX160" s="359"/>
      <c r="AY160" s="359"/>
      <c r="AZ160" s="359"/>
      <c r="BA160" s="359"/>
      <c r="BB160" s="359"/>
      <c r="BC160" s="359"/>
      <c r="BD160" s="359"/>
      <c r="BE160" s="359"/>
    </row>
    <row r="161" spans="1:57" ht="24.9" customHeight="1">
      <c r="A161" s="359"/>
      <c r="B161" s="359"/>
      <c r="C161" s="359"/>
      <c r="D161" s="359"/>
      <c r="E161" s="359"/>
      <c r="F161" s="359"/>
      <c r="G161" s="359"/>
      <c r="H161" s="359"/>
      <c r="I161" s="359"/>
      <c r="J161" s="359"/>
      <c r="K161" s="359"/>
      <c r="L161" s="359"/>
      <c r="M161" s="359"/>
      <c r="N161" s="359"/>
      <c r="O161" s="359"/>
      <c r="P161" s="359"/>
      <c r="Q161" s="359"/>
      <c r="R161" s="359"/>
      <c r="S161" s="359"/>
      <c r="T161" s="359"/>
      <c r="U161" s="359"/>
      <c r="V161" s="359"/>
      <c r="W161" s="359"/>
      <c r="X161" s="359"/>
      <c r="Y161" s="359"/>
      <c r="Z161" s="359"/>
      <c r="AA161" s="359"/>
      <c r="AB161" s="359"/>
      <c r="AC161" s="359"/>
      <c r="AD161" s="359"/>
      <c r="AE161" s="359"/>
      <c r="AF161" s="359"/>
      <c r="AG161" s="359"/>
      <c r="AH161" s="359"/>
      <c r="AI161" s="359"/>
      <c r="AJ161" s="359"/>
      <c r="AK161" s="359"/>
      <c r="AL161" s="359"/>
      <c r="AM161" s="359"/>
      <c r="AN161" s="359"/>
      <c r="AO161" s="359"/>
      <c r="AP161" s="359"/>
      <c r="AQ161" s="359"/>
      <c r="AR161" s="359"/>
      <c r="AS161" s="359"/>
      <c r="AT161" s="359"/>
      <c r="AU161" s="359"/>
      <c r="AV161" s="359"/>
      <c r="AW161" s="359"/>
      <c r="AX161" s="359"/>
      <c r="AY161" s="359"/>
      <c r="AZ161" s="359"/>
      <c r="BA161" s="359"/>
      <c r="BB161" s="359"/>
      <c r="BC161" s="359"/>
      <c r="BD161" s="359"/>
      <c r="BE161" s="359"/>
    </row>
    <row r="162" spans="1:57" ht="24.9" customHeight="1">
      <c r="A162" s="359"/>
      <c r="B162" s="359"/>
      <c r="C162" s="359"/>
      <c r="D162" s="359"/>
      <c r="E162" s="359"/>
      <c r="F162" s="359"/>
      <c r="G162" s="359"/>
      <c r="H162" s="359"/>
      <c r="I162" s="359"/>
      <c r="J162" s="359"/>
      <c r="K162" s="359"/>
      <c r="L162" s="359"/>
      <c r="M162" s="359"/>
      <c r="N162" s="359"/>
      <c r="O162" s="359"/>
      <c r="P162" s="359"/>
      <c r="Q162" s="359"/>
      <c r="R162" s="359"/>
      <c r="S162" s="359"/>
      <c r="T162" s="359"/>
      <c r="U162" s="359"/>
      <c r="V162" s="359"/>
      <c r="W162" s="359"/>
      <c r="X162" s="359"/>
      <c r="Y162" s="359"/>
      <c r="Z162" s="359"/>
      <c r="AA162" s="359"/>
      <c r="AB162" s="359"/>
      <c r="AC162" s="359"/>
      <c r="AD162" s="359"/>
      <c r="AE162" s="359"/>
      <c r="AF162" s="359"/>
      <c r="AG162" s="359"/>
      <c r="AH162" s="359"/>
      <c r="AI162" s="359"/>
      <c r="AJ162" s="359"/>
      <c r="AK162" s="359"/>
      <c r="AL162" s="359"/>
      <c r="AM162" s="359"/>
      <c r="AN162" s="359"/>
      <c r="AO162" s="359"/>
      <c r="AP162" s="359"/>
      <c r="AQ162" s="359"/>
      <c r="AR162" s="359"/>
      <c r="AS162" s="359"/>
      <c r="AT162" s="359"/>
      <c r="AU162" s="359"/>
      <c r="AV162" s="359"/>
      <c r="AW162" s="359"/>
      <c r="AX162" s="359"/>
      <c r="AY162" s="359"/>
      <c r="AZ162" s="359"/>
      <c r="BA162" s="359"/>
      <c r="BB162" s="359"/>
      <c r="BC162" s="359"/>
      <c r="BD162" s="359"/>
      <c r="BE162" s="359"/>
    </row>
    <row r="163" spans="1:57" ht="24.9" customHeight="1">
      <c r="A163" s="359"/>
      <c r="B163" s="359"/>
      <c r="C163" s="359"/>
      <c r="D163" s="359"/>
      <c r="E163" s="359"/>
      <c r="F163" s="359"/>
      <c r="G163" s="359"/>
      <c r="H163" s="359"/>
      <c r="I163" s="359"/>
      <c r="J163" s="359"/>
      <c r="K163" s="359"/>
      <c r="L163" s="359"/>
      <c r="M163" s="359"/>
      <c r="N163" s="359"/>
      <c r="O163" s="359"/>
      <c r="P163" s="359"/>
      <c r="Q163" s="359"/>
      <c r="R163" s="359"/>
      <c r="S163" s="359"/>
      <c r="T163" s="359"/>
      <c r="U163" s="359"/>
      <c r="V163" s="359"/>
      <c r="W163" s="359"/>
      <c r="X163" s="359"/>
      <c r="Y163" s="359"/>
      <c r="Z163" s="359"/>
      <c r="AA163" s="359"/>
      <c r="AB163" s="359"/>
      <c r="AC163" s="359"/>
      <c r="AD163" s="359"/>
      <c r="AE163" s="359"/>
      <c r="AF163" s="359"/>
      <c r="AG163" s="359"/>
      <c r="AH163" s="359"/>
      <c r="AI163" s="359"/>
      <c r="AJ163" s="359"/>
      <c r="AK163" s="359"/>
      <c r="AL163" s="359"/>
      <c r="AM163" s="359"/>
      <c r="AN163" s="359"/>
      <c r="AO163" s="359"/>
      <c r="AP163" s="359"/>
      <c r="AQ163" s="359"/>
      <c r="AR163" s="359"/>
      <c r="AS163" s="359"/>
      <c r="AT163" s="359"/>
      <c r="AU163" s="359"/>
      <c r="AV163" s="359"/>
      <c r="AW163" s="359"/>
      <c r="AX163" s="359"/>
      <c r="AY163" s="359"/>
      <c r="AZ163" s="359"/>
      <c r="BA163" s="359"/>
      <c r="BB163" s="359"/>
      <c r="BC163" s="359"/>
      <c r="BD163" s="359"/>
      <c r="BE163" s="359"/>
    </row>
    <row r="164" spans="1:57" ht="24.9" customHeight="1">
      <c r="A164" s="359"/>
      <c r="B164" s="359"/>
      <c r="C164" s="359"/>
      <c r="D164" s="359"/>
      <c r="E164" s="359"/>
      <c r="F164" s="359"/>
      <c r="G164" s="359"/>
      <c r="H164" s="359"/>
      <c r="I164" s="359"/>
      <c r="J164" s="359"/>
      <c r="K164" s="359"/>
      <c r="L164" s="359"/>
      <c r="M164" s="359"/>
      <c r="N164" s="359"/>
      <c r="O164" s="359"/>
      <c r="P164" s="359"/>
      <c r="Q164" s="359"/>
      <c r="R164" s="359"/>
      <c r="S164" s="359"/>
      <c r="T164" s="359"/>
      <c r="U164" s="359"/>
      <c r="V164" s="359"/>
      <c r="W164" s="359"/>
      <c r="X164" s="359"/>
      <c r="Y164" s="359"/>
      <c r="Z164" s="359"/>
      <c r="AA164" s="359"/>
      <c r="AB164" s="359"/>
      <c r="AC164" s="359"/>
      <c r="AD164" s="359"/>
      <c r="AE164" s="359"/>
      <c r="AF164" s="359"/>
      <c r="AG164" s="359"/>
      <c r="AH164" s="359"/>
      <c r="AI164" s="359"/>
      <c r="AJ164" s="359"/>
      <c r="AK164" s="359"/>
      <c r="AL164" s="359"/>
      <c r="AM164" s="359"/>
      <c r="AN164" s="359"/>
      <c r="AO164" s="359"/>
      <c r="AP164" s="359"/>
      <c r="AQ164" s="359"/>
      <c r="AR164" s="359"/>
      <c r="AS164" s="359"/>
      <c r="AT164" s="359"/>
      <c r="AU164" s="359"/>
      <c r="AV164" s="359"/>
      <c r="AW164" s="359"/>
      <c r="AX164" s="359"/>
      <c r="AY164" s="359"/>
      <c r="AZ164" s="359"/>
      <c r="BA164" s="359"/>
      <c r="BB164" s="359"/>
      <c r="BC164" s="359"/>
      <c r="BD164" s="359"/>
      <c r="BE164" s="359"/>
    </row>
    <row r="165" spans="1:57" ht="24.9" customHeight="1">
      <c r="A165" s="359"/>
      <c r="B165" s="359"/>
      <c r="C165" s="359"/>
      <c r="D165" s="359"/>
      <c r="E165" s="359"/>
      <c r="F165" s="359"/>
      <c r="G165" s="359"/>
      <c r="H165" s="359"/>
      <c r="I165" s="359"/>
      <c r="J165" s="359"/>
      <c r="K165" s="359"/>
      <c r="L165" s="359"/>
      <c r="M165" s="359"/>
      <c r="N165" s="359"/>
      <c r="O165" s="359"/>
      <c r="P165" s="359"/>
      <c r="Q165" s="359"/>
      <c r="R165" s="359"/>
      <c r="S165" s="359"/>
      <c r="T165" s="359"/>
      <c r="U165" s="359"/>
      <c r="V165" s="359"/>
      <c r="W165" s="359"/>
      <c r="X165" s="359"/>
      <c r="Y165" s="359"/>
      <c r="Z165" s="359"/>
      <c r="AA165" s="359"/>
      <c r="AB165" s="359"/>
      <c r="AC165" s="359"/>
      <c r="AD165" s="359"/>
      <c r="AE165" s="359"/>
      <c r="AF165" s="359"/>
      <c r="AG165" s="359"/>
      <c r="AH165" s="359"/>
      <c r="AI165" s="359"/>
      <c r="AJ165" s="359"/>
      <c r="AK165" s="359"/>
      <c r="AL165" s="359"/>
      <c r="AM165" s="359"/>
      <c r="AN165" s="359"/>
      <c r="AO165" s="359"/>
      <c r="AP165" s="359"/>
      <c r="AQ165" s="359"/>
      <c r="AR165" s="359"/>
      <c r="AS165" s="359"/>
      <c r="AT165" s="359"/>
      <c r="AU165" s="359"/>
      <c r="AV165" s="359"/>
      <c r="AW165" s="359"/>
      <c r="AX165" s="359"/>
      <c r="AY165" s="359"/>
      <c r="AZ165" s="359"/>
      <c r="BA165" s="359"/>
      <c r="BB165" s="359"/>
      <c r="BC165" s="359"/>
      <c r="BD165" s="359"/>
      <c r="BE165" s="359"/>
    </row>
    <row r="166" spans="1:57" ht="24.9" customHeight="1">
      <c r="A166" s="359"/>
      <c r="B166" s="359"/>
      <c r="C166" s="359"/>
      <c r="D166" s="359"/>
      <c r="E166" s="359"/>
      <c r="F166" s="359"/>
      <c r="G166" s="359"/>
      <c r="H166" s="359"/>
      <c r="I166" s="359"/>
      <c r="J166" s="359"/>
      <c r="K166" s="359"/>
      <c r="L166" s="359"/>
      <c r="M166" s="359"/>
      <c r="N166" s="359"/>
      <c r="O166" s="359"/>
      <c r="P166" s="359"/>
      <c r="Q166" s="359"/>
      <c r="R166" s="359"/>
      <c r="S166" s="359"/>
      <c r="T166" s="359"/>
      <c r="U166" s="359"/>
      <c r="V166" s="359"/>
      <c r="W166" s="359"/>
      <c r="X166" s="359"/>
      <c r="Y166" s="359"/>
      <c r="Z166" s="359"/>
      <c r="AA166" s="359"/>
      <c r="AB166" s="359"/>
      <c r="AC166" s="359"/>
      <c r="AD166" s="359"/>
      <c r="AE166" s="359"/>
      <c r="AF166" s="359"/>
      <c r="AG166" s="359"/>
      <c r="AH166" s="359"/>
      <c r="AI166" s="359"/>
      <c r="AJ166" s="359"/>
      <c r="AK166" s="359"/>
      <c r="AL166" s="359"/>
      <c r="AM166" s="359"/>
      <c r="AN166" s="359"/>
      <c r="AO166" s="359"/>
      <c r="AP166" s="359"/>
      <c r="AQ166" s="359"/>
      <c r="AR166" s="359"/>
      <c r="AS166" s="359"/>
      <c r="AT166" s="359"/>
      <c r="AU166" s="359"/>
      <c r="AV166" s="359"/>
      <c r="AW166" s="359"/>
      <c r="AX166" s="359"/>
      <c r="AY166" s="359"/>
      <c r="AZ166" s="359"/>
      <c r="BA166" s="359"/>
      <c r="BB166" s="359"/>
      <c r="BC166" s="359"/>
      <c r="BD166" s="359"/>
      <c r="BE166" s="359"/>
    </row>
    <row r="167" spans="1:57" ht="24.9" customHeight="1">
      <c r="A167" s="359"/>
      <c r="B167" s="359"/>
      <c r="C167" s="359"/>
      <c r="D167" s="359"/>
      <c r="E167" s="359"/>
      <c r="F167" s="359"/>
      <c r="G167" s="359"/>
      <c r="H167" s="359"/>
      <c r="I167" s="359"/>
      <c r="J167" s="359"/>
      <c r="K167" s="359"/>
      <c r="L167" s="359"/>
      <c r="M167" s="359"/>
      <c r="N167" s="359"/>
      <c r="O167" s="359"/>
      <c r="P167" s="359"/>
      <c r="Q167" s="359"/>
      <c r="R167" s="359"/>
      <c r="S167" s="359"/>
      <c r="T167" s="359"/>
      <c r="U167" s="359"/>
      <c r="V167" s="359"/>
      <c r="W167" s="359"/>
      <c r="X167" s="359"/>
      <c r="Y167" s="359"/>
      <c r="Z167" s="359"/>
      <c r="AA167" s="359"/>
      <c r="AB167" s="359"/>
      <c r="AC167" s="359"/>
      <c r="AD167" s="359"/>
      <c r="AE167" s="359"/>
      <c r="AF167" s="359"/>
      <c r="AG167" s="359"/>
      <c r="AH167" s="359"/>
      <c r="AI167" s="359"/>
      <c r="AJ167" s="359"/>
      <c r="AK167" s="359"/>
      <c r="AL167" s="359"/>
      <c r="AM167" s="359"/>
      <c r="AN167" s="359"/>
      <c r="AO167" s="359"/>
      <c r="AP167" s="359"/>
      <c r="AQ167" s="359"/>
      <c r="AR167" s="359"/>
      <c r="AS167" s="359"/>
      <c r="AT167" s="359"/>
      <c r="AU167" s="359"/>
      <c r="AV167" s="359"/>
      <c r="AW167" s="359"/>
      <c r="AX167" s="359"/>
      <c r="AY167" s="359"/>
      <c r="AZ167" s="359"/>
      <c r="BA167" s="359"/>
      <c r="BB167" s="359"/>
      <c r="BC167" s="359"/>
      <c r="BD167" s="359"/>
      <c r="BE167" s="359"/>
    </row>
    <row r="168" spans="1:57" ht="24.9" customHeight="1">
      <c r="A168" s="359"/>
      <c r="B168" s="359"/>
      <c r="C168" s="359"/>
      <c r="D168" s="359"/>
      <c r="E168" s="359"/>
      <c r="F168" s="359"/>
      <c r="G168" s="359"/>
      <c r="H168" s="359"/>
      <c r="I168" s="359"/>
      <c r="J168" s="359"/>
      <c r="K168" s="359"/>
      <c r="L168" s="359"/>
      <c r="M168" s="359"/>
      <c r="N168" s="359"/>
      <c r="O168" s="359"/>
      <c r="P168" s="359"/>
      <c r="Q168" s="359"/>
      <c r="R168" s="359"/>
      <c r="S168" s="359"/>
      <c r="T168" s="359"/>
      <c r="U168" s="359"/>
      <c r="V168" s="359"/>
      <c r="W168" s="359"/>
      <c r="X168" s="359"/>
      <c r="Y168" s="359"/>
      <c r="Z168" s="359"/>
      <c r="AA168" s="359"/>
      <c r="AB168" s="359"/>
      <c r="AC168" s="359"/>
      <c r="AD168" s="359"/>
      <c r="AE168" s="359"/>
      <c r="AF168" s="359"/>
      <c r="AG168" s="359"/>
      <c r="AH168" s="359"/>
      <c r="AI168" s="359"/>
      <c r="AJ168" s="359"/>
      <c r="AK168" s="359"/>
      <c r="AL168" s="359"/>
      <c r="AM168" s="359"/>
      <c r="AN168" s="359"/>
      <c r="AO168" s="359"/>
      <c r="AP168" s="359"/>
      <c r="AQ168" s="359"/>
      <c r="AR168" s="359"/>
      <c r="AS168" s="359"/>
      <c r="AT168" s="359"/>
      <c r="AU168" s="359"/>
      <c r="AV168" s="359"/>
      <c r="AW168" s="359"/>
      <c r="AX168" s="359"/>
      <c r="AY168" s="359"/>
      <c r="AZ168" s="359"/>
      <c r="BA168" s="359"/>
      <c r="BB168" s="359"/>
      <c r="BC168" s="359"/>
      <c r="BD168" s="359"/>
      <c r="BE168" s="359"/>
    </row>
    <row r="169" spans="1:57" ht="24.9" customHeight="1">
      <c r="A169" s="359"/>
      <c r="B169" s="359"/>
      <c r="C169" s="359"/>
      <c r="D169" s="359"/>
      <c r="E169" s="359"/>
      <c r="F169" s="359"/>
      <c r="G169" s="359"/>
      <c r="H169" s="359"/>
      <c r="I169" s="359"/>
      <c r="J169" s="359"/>
      <c r="K169" s="359"/>
      <c r="L169" s="359"/>
      <c r="M169" s="359"/>
      <c r="N169" s="359"/>
      <c r="O169" s="359"/>
      <c r="P169" s="359"/>
      <c r="Q169" s="359"/>
      <c r="R169" s="359"/>
      <c r="S169" s="359"/>
      <c r="T169" s="359"/>
      <c r="U169" s="359"/>
      <c r="V169" s="359"/>
      <c r="W169" s="359"/>
      <c r="X169" s="359"/>
      <c r="Y169" s="359"/>
      <c r="Z169" s="359"/>
      <c r="AA169" s="359"/>
      <c r="AB169" s="359"/>
      <c r="AC169" s="359"/>
      <c r="AD169" s="359"/>
      <c r="AE169" s="359"/>
      <c r="AF169" s="359"/>
      <c r="AG169" s="359"/>
      <c r="AH169" s="359"/>
      <c r="AI169" s="359"/>
      <c r="AJ169" s="359"/>
      <c r="AK169" s="359"/>
      <c r="AL169" s="359"/>
      <c r="AM169" s="359"/>
      <c r="AN169" s="359"/>
      <c r="AO169" s="359"/>
      <c r="AP169" s="359"/>
      <c r="AQ169" s="359"/>
      <c r="AR169" s="359"/>
      <c r="AS169" s="359"/>
      <c r="AT169" s="359"/>
      <c r="AU169" s="359"/>
      <c r="AV169" s="359"/>
      <c r="AW169" s="359"/>
      <c r="AX169" s="359"/>
      <c r="AY169" s="359"/>
      <c r="AZ169" s="359"/>
      <c r="BA169" s="359"/>
      <c r="BB169" s="359"/>
      <c r="BC169" s="359"/>
      <c r="BD169" s="359"/>
      <c r="BE169" s="359"/>
    </row>
    <row r="170" spans="1:57" ht="24.9" customHeight="1">
      <c r="A170" s="359"/>
      <c r="B170" s="359"/>
      <c r="C170" s="359"/>
      <c r="D170" s="359"/>
      <c r="E170" s="359"/>
      <c r="F170" s="359"/>
      <c r="G170" s="359"/>
      <c r="H170" s="359"/>
      <c r="I170" s="359"/>
      <c r="J170" s="359"/>
      <c r="K170" s="359"/>
      <c r="L170" s="359"/>
      <c r="M170" s="359"/>
      <c r="N170" s="359"/>
      <c r="O170" s="359"/>
      <c r="P170" s="359"/>
      <c r="Q170" s="359"/>
      <c r="R170" s="359"/>
      <c r="S170" s="359"/>
      <c r="T170" s="359"/>
      <c r="U170" s="359"/>
      <c r="V170" s="359"/>
      <c r="W170" s="359"/>
      <c r="X170" s="359"/>
      <c r="Y170" s="359"/>
      <c r="Z170" s="359"/>
      <c r="AA170" s="359"/>
      <c r="AB170" s="359"/>
      <c r="AC170" s="359"/>
      <c r="AD170" s="359"/>
      <c r="AE170" s="359"/>
      <c r="AF170" s="359"/>
      <c r="AG170" s="359"/>
      <c r="AH170" s="359"/>
      <c r="AI170" s="359"/>
      <c r="AJ170" s="359"/>
      <c r="AK170" s="359"/>
      <c r="AL170" s="359"/>
      <c r="AM170" s="359"/>
      <c r="AN170" s="359"/>
      <c r="AO170" s="359"/>
      <c r="AP170" s="359"/>
      <c r="AQ170" s="359"/>
      <c r="AR170" s="359"/>
      <c r="AS170" s="359"/>
      <c r="AT170" s="359"/>
      <c r="AU170" s="359"/>
      <c r="AV170" s="359"/>
      <c r="AW170" s="359"/>
      <c r="AX170" s="359"/>
      <c r="AY170" s="359"/>
      <c r="AZ170" s="359"/>
      <c r="BA170" s="359"/>
      <c r="BB170" s="359"/>
      <c r="BC170" s="359"/>
      <c r="BD170" s="359"/>
      <c r="BE170" s="359"/>
    </row>
    <row r="171" spans="1:57" ht="24.9" customHeight="1">
      <c r="A171" s="359"/>
      <c r="B171" s="359"/>
      <c r="C171" s="359"/>
      <c r="D171" s="359"/>
      <c r="E171" s="359"/>
      <c r="F171" s="359"/>
      <c r="G171" s="359"/>
      <c r="H171" s="359"/>
      <c r="I171" s="359"/>
      <c r="J171" s="359"/>
      <c r="K171" s="359"/>
      <c r="L171" s="359"/>
      <c r="M171" s="359"/>
      <c r="N171" s="359"/>
      <c r="O171" s="359"/>
      <c r="P171" s="359"/>
      <c r="Q171" s="359"/>
      <c r="R171" s="359"/>
      <c r="S171" s="359"/>
      <c r="T171" s="359"/>
      <c r="U171" s="359"/>
      <c r="V171" s="359"/>
      <c r="W171" s="359"/>
      <c r="X171" s="359"/>
      <c r="Y171" s="359"/>
      <c r="Z171" s="359"/>
      <c r="AA171" s="359"/>
      <c r="AB171" s="359"/>
      <c r="AC171" s="359"/>
      <c r="AD171" s="359"/>
      <c r="AE171" s="359"/>
      <c r="AF171" s="359"/>
      <c r="AG171" s="359"/>
      <c r="AH171" s="359"/>
      <c r="AI171" s="359"/>
      <c r="AJ171" s="359"/>
      <c r="AK171" s="359"/>
      <c r="AL171" s="359"/>
      <c r="AM171" s="359"/>
      <c r="AN171" s="359"/>
      <c r="AO171" s="359"/>
      <c r="AP171" s="359"/>
      <c r="AQ171" s="359"/>
      <c r="AR171" s="359"/>
      <c r="AS171" s="359"/>
      <c r="AT171" s="359"/>
      <c r="AU171" s="359"/>
      <c r="AV171" s="359"/>
      <c r="AW171" s="359"/>
      <c r="AX171" s="359"/>
      <c r="AY171" s="359"/>
      <c r="AZ171" s="359"/>
      <c r="BA171" s="359"/>
      <c r="BB171" s="359"/>
      <c r="BC171" s="359"/>
      <c r="BD171" s="359"/>
      <c r="BE171" s="359"/>
    </row>
    <row r="172" spans="1:57" ht="24.9" customHeight="1">
      <c r="A172" s="359"/>
      <c r="B172" s="359"/>
      <c r="C172" s="359"/>
      <c r="D172" s="359"/>
      <c r="E172" s="359"/>
      <c r="F172" s="359"/>
      <c r="G172" s="359"/>
      <c r="H172" s="359"/>
      <c r="I172" s="359"/>
      <c r="J172" s="359"/>
      <c r="K172" s="359"/>
      <c r="L172" s="359"/>
      <c r="M172" s="359"/>
      <c r="N172" s="359"/>
      <c r="O172" s="359"/>
      <c r="P172" s="359"/>
      <c r="Q172" s="359"/>
      <c r="R172" s="359"/>
      <c r="S172" s="359"/>
      <c r="T172" s="359"/>
      <c r="U172" s="359"/>
      <c r="V172" s="359"/>
      <c r="W172" s="359"/>
      <c r="X172" s="359"/>
      <c r="Y172" s="359"/>
      <c r="Z172" s="359"/>
      <c r="AA172" s="359"/>
      <c r="AB172" s="359"/>
      <c r="AC172" s="359"/>
      <c r="AD172" s="359"/>
      <c r="AE172" s="359"/>
      <c r="AF172" s="359"/>
      <c r="AG172" s="359"/>
      <c r="AH172" s="359"/>
      <c r="AI172" s="359"/>
      <c r="AJ172" s="359"/>
      <c r="AK172" s="359"/>
      <c r="AL172" s="359"/>
      <c r="AM172" s="359"/>
      <c r="AN172" s="359"/>
      <c r="AO172" s="359"/>
      <c r="AP172" s="359"/>
      <c r="AQ172" s="359"/>
      <c r="AR172" s="359"/>
      <c r="AS172" s="359"/>
      <c r="AT172" s="359"/>
      <c r="AU172" s="359"/>
      <c r="AV172" s="359"/>
      <c r="AW172" s="359"/>
      <c r="AX172" s="359"/>
      <c r="AY172" s="359"/>
      <c r="AZ172" s="359"/>
      <c r="BA172" s="359"/>
      <c r="BB172" s="359"/>
      <c r="BC172" s="359"/>
      <c r="BD172" s="359"/>
      <c r="BE172" s="359"/>
    </row>
    <row r="173" spans="1:57" ht="24.9" customHeight="1">
      <c r="A173" s="359"/>
      <c r="B173" s="359"/>
      <c r="C173" s="359"/>
      <c r="D173" s="359"/>
      <c r="E173" s="359"/>
      <c r="F173" s="359"/>
      <c r="G173" s="359"/>
      <c r="H173" s="359"/>
      <c r="I173" s="359"/>
      <c r="J173" s="359"/>
      <c r="K173" s="359"/>
      <c r="L173" s="359"/>
      <c r="M173" s="359"/>
      <c r="N173" s="359"/>
      <c r="O173" s="359"/>
      <c r="P173" s="359"/>
      <c r="Q173" s="359"/>
      <c r="R173" s="359"/>
      <c r="S173" s="359"/>
      <c r="T173" s="359"/>
      <c r="U173" s="359"/>
      <c r="V173" s="359"/>
      <c r="W173" s="359"/>
      <c r="X173" s="359"/>
      <c r="Y173" s="359"/>
      <c r="Z173" s="359"/>
      <c r="AA173" s="359"/>
      <c r="AB173" s="359"/>
      <c r="AC173" s="359"/>
      <c r="AD173" s="359"/>
      <c r="AE173" s="359"/>
      <c r="AF173" s="359"/>
      <c r="AG173" s="359"/>
      <c r="AH173" s="359"/>
      <c r="AI173" s="359"/>
      <c r="AJ173" s="359"/>
      <c r="AK173" s="359"/>
      <c r="AL173" s="359"/>
      <c r="AM173" s="359"/>
      <c r="AN173" s="359"/>
      <c r="AO173" s="359"/>
      <c r="AP173" s="359"/>
      <c r="AQ173" s="359"/>
      <c r="AR173" s="359"/>
      <c r="AS173" s="359"/>
      <c r="AT173" s="359"/>
      <c r="AU173" s="359"/>
      <c r="AV173" s="359"/>
      <c r="AW173" s="359"/>
      <c r="AX173" s="359"/>
      <c r="AY173" s="359"/>
      <c r="AZ173" s="359"/>
      <c r="BA173" s="359"/>
      <c r="BB173" s="359"/>
      <c r="BC173" s="359"/>
      <c r="BD173" s="359"/>
      <c r="BE173" s="359"/>
    </row>
    <row r="174" spans="1:57" ht="24.9" customHeight="1">
      <c r="A174" s="359"/>
      <c r="B174" s="359"/>
      <c r="C174" s="359"/>
      <c r="D174" s="359"/>
      <c r="E174" s="359"/>
      <c r="F174" s="359"/>
      <c r="G174" s="359"/>
      <c r="H174" s="359"/>
      <c r="I174" s="359"/>
      <c r="J174" s="359"/>
      <c r="K174" s="359"/>
      <c r="L174" s="359"/>
      <c r="M174" s="359"/>
      <c r="N174" s="359"/>
      <c r="O174" s="359"/>
      <c r="P174" s="359"/>
      <c r="Q174" s="359"/>
      <c r="R174" s="359"/>
      <c r="S174" s="359"/>
      <c r="T174" s="359"/>
      <c r="U174" s="359"/>
      <c r="V174" s="359"/>
      <c r="W174" s="359"/>
      <c r="X174" s="359"/>
      <c r="Y174" s="359"/>
      <c r="Z174" s="359"/>
      <c r="AA174" s="359"/>
      <c r="AB174" s="359"/>
      <c r="AC174" s="359"/>
      <c r="AD174" s="359"/>
      <c r="AE174" s="359"/>
      <c r="AF174" s="359"/>
      <c r="AG174" s="359"/>
      <c r="AH174" s="359"/>
      <c r="AI174" s="359"/>
      <c r="AJ174" s="359"/>
      <c r="AK174" s="359"/>
      <c r="AL174" s="359"/>
      <c r="AM174" s="359"/>
      <c r="AN174" s="359"/>
      <c r="AO174" s="359"/>
      <c r="AP174" s="359"/>
      <c r="AQ174" s="359"/>
      <c r="AR174" s="359"/>
      <c r="AS174" s="359"/>
      <c r="AT174" s="359"/>
      <c r="AU174" s="359"/>
      <c r="AV174" s="359"/>
      <c r="AW174" s="359"/>
      <c r="AX174" s="359"/>
      <c r="AY174" s="359"/>
      <c r="AZ174" s="359"/>
      <c r="BA174" s="359"/>
      <c r="BB174" s="359"/>
      <c r="BC174" s="359"/>
      <c r="BD174" s="359"/>
      <c r="BE174" s="359"/>
    </row>
    <row r="175" spans="1:57" ht="24.9" customHeight="1">
      <c r="A175" s="359"/>
      <c r="B175" s="359"/>
      <c r="C175" s="359"/>
      <c r="D175" s="359"/>
      <c r="E175" s="359"/>
      <c r="F175" s="359"/>
      <c r="G175" s="359"/>
      <c r="H175" s="359"/>
      <c r="I175" s="359"/>
      <c r="J175" s="359"/>
      <c r="K175" s="359"/>
      <c r="L175" s="359"/>
      <c r="M175" s="359"/>
      <c r="N175" s="359"/>
      <c r="O175" s="359"/>
      <c r="P175" s="359"/>
      <c r="Q175" s="359"/>
      <c r="R175" s="359"/>
      <c r="S175" s="359"/>
      <c r="T175" s="359"/>
      <c r="U175" s="359"/>
      <c r="V175" s="359"/>
      <c r="W175" s="359"/>
      <c r="X175" s="359"/>
      <c r="Y175" s="359"/>
      <c r="Z175" s="359"/>
      <c r="AA175" s="359"/>
      <c r="AB175" s="359"/>
      <c r="AC175" s="359"/>
      <c r="AD175" s="359"/>
      <c r="AE175" s="359"/>
      <c r="AF175" s="359"/>
      <c r="AG175" s="359"/>
      <c r="AH175" s="359"/>
      <c r="AI175" s="359"/>
      <c r="AJ175" s="359"/>
      <c r="AK175" s="359"/>
      <c r="AL175" s="359"/>
      <c r="AM175" s="359"/>
      <c r="AN175" s="359"/>
      <c r="AO175" s="359"/>
      <c r="AP175" s="359"/>
      <c r="AQ175" s="359"/>
      <c r="AR175" s="359"/>
      <c r="AS175" s="359"/>
      <c r="AT175" s="359"/>
      <c r="AU175" s="359"/>
      <c r="AV175" s="359"/>
      <c r="AW175" s="359"/>
      <c r="AX175" s="359"/>
      <c r="AY175" s="359"/>
      <c r="AZ175" s="359"/>
      <c r="BA175" s="359"/>
      <c r="BB175" s="359"/>
      <c r="BC175" s="359"/>
      <c r="BD175" s="359"/>
      <c r="BE175" s="359"/>
    </row>
    <row r="176" spans="1:57" ht="24.9" customHeight="1">
      <c r="A176" s="359"/>
      <c r="B176" s="359"/>
      <c r="C176" s="359"/>
      <c r="D176" s="359"/>
      <c r="E176" s="359"/>
      <c r="F176" s="359"/>
      <c r="G176" s="359"/>
      <c r="H176" s="359"/>
      <c r="I176" s="359"/>
      <c r="J176" s="359"/>
      <c r="K176" s="359"/>
      <c r="L176" s="359"/>
      <c r="M176" s="359"/>
      <c r="N176" s="359"/>
      <c r="O176" s="359"/>
      <c r="P176" s="359"/>
      <c r="Q176" s="359"/>
      <c r="R176" s="359"/>
      <c r="S176" s="359"/>
      <c r="T176" s="359"/>
      <c r="U176" s="359"/>
      <c r="V176" s="359"/>
      <c r="W176" s="359"/>
      <c r="X176" s="359"/>
      <c r="Y176" s="359"/>
      <c r="Z176" s="359"/>
      <c r="AA176" s="359"/>
      <c r="AB176" s="359"/>
      <c r="AC176" s="359"/>
      <c r="AD176" s="359"/>
      <c r="AE176" s="359"/>
      <c r="AF176" s="359"/>
      <c r="AG176" s="359"/>
      <c r="AH176" s="359"/>
      <c r="AI176" s="359"/>
      <c r="AJ176" s="359"/>
      <c r="AK176" s="359"/>
      <c r="AL176" s="359"/>
      <c r="AM176" s="359"/>
      <c r="AN176" s="359"/>
      <c r="AO176" s="359"/>
      <c r="AP176" s="359"/>
      <c r="AQ176" s="359"/>
      <c r="AR176" s="359"/>
      <c r="AS176" s="359"/>
      <c r="AT176" s="359"/>
      <c r="AU176" s="359"/>
      <c r="AV176" s="359"/>
      <c r="AW176" s="359"/>
      <c r="AX176" s="359"/>
      <c r="AY176" s="359"/>
      <c r="AZ176" s="359"/>
      <c r="BA176" s="359"/>
      <c r="BB176" s="359"/>
      <c r="BC176" s="359"/>
      <c r="BD176" s="359"/>
      <c r="BE176" s="359"/>
    </row>
    <row r="177" spans="1:57" ht="24.9" customHeight="1">
      <c r="A177" s="359"/>
      <c r="B177" s="359"/>
      <c r="C177" s="359"/>
      <c r="D177" s="359"/>
      <c r="E177" s="359"/>
      <c r="F177" s="359"/>
      <c r="G177" s="359"/>
      <c r="H177" s="359"/>
      <c r="I177" s="359"/>
      <c r="J177" s="359"/>
      <c r="K177" s="359"/>
      <c r="L177" s="359"/>
      <c r="M177" s="359"/>
      <c r="N177" s="359"/>
      <c r="O177" s="359"/>
      <c r="P177" s="359"/>
      <c r="Q177" s="359"/>
      <c r="R177" s="359"/>
      <c r="S177" s="359"/>
      <c r="T177" s="359"/>
      <c r="U177" s="359"/>
      <c r="V177" s="359"/>
      <c r="W177" s="359"/>
      <c r="X177" s="359"/>
      <c r="Y177" s="359"/>
      <c r="Z177" s="359"/>
      <c r="AA177" s="359"/>
      <c r="AB177" s="359"/>
      <c r="AC177" s="359"/>
      <c r="AD177" s="359"/>
      <c r="AE177" s="359"/>
      <c r="AF177" s="359"/>
      <c r="AG177" s="359"/>
      <c r="AH177" s="359"/>
      <c r="AI177" s="359"/>
      <c r="AJ177" s="359"/>
      <c r="AK177" s="359"/>
      <c r="AL177" s="359"/>
      <c r="AM177" s="359"/>
      <c r="AN177" s="359"/>
      <c r="AO177" s="359"/>
      <c r="AP177" s="359"/>
      <c r="AQ177" s="359"/>
      <c r="AR177" s="359"/>
      <c r="AS177" s="359"/>
      <c r="AT177" s="359"/>
      <c r="AU177" s="359"/>
      <c r="AV177" s="359"/>
      <c r="AW177" s="359"/>
      <c r="AX177" s="359"/>
      <c r="AY177" s="359"/>
      <c r="AZ177" s="359"/>
      <c r="BA177" s="359"/>
      <c r="BB177" s="359"/>
      <c r="BC177" s="359"/>
      <c r="BD177" s="359"/>
      <c r="BE177" s="359"/>
    </row>
  </sheetData>
  <sheetProtection formatCells="0" formatColumns="0" formatRows="0" insertColumns="0" insertRows="0" insertHyperlinks="0" deleteColumns="0" deleteRows="0" selectLockedCells="1"/>
  <mergeCells count="400">
    <mergeCell ref="A4:V4"/>
    <mergeCell ref="A6:M6"/>
    <mergeCell ref="A7:M7"/>
    <mergeCell ref="O7:T8"/>
    <mergeCell ref="W7:AB8"/>
    <mergeCell ref="AE7:AJ8"/>
    <mergeCell ref="A8:M8"/>
    <mergeCell ref="B9:L9"/>
    <mergeCell ref="O9:T9"/>
    <mergeCell ref="W9:AB9"/>
    <mergeCell ref="AE9:AJ9"/>
    <mergeCell ref="B10:L10"/>
    <mergeCell ref="O10:T10"/>
    <mergeCell ref="W10:AB10"/>
    <mergeCell ref="AE10:AJ10"/>
    <mergeCell ref="B11:L11"/>
    <mergeCell ref="O11:T11"/>
    <mergeCell ref="W11:AB11"/>
    <mergeCell ref="AE11:AJ11"/>
    <mergeCell ref="B12:L12"/>
    <mergeCell ref="O12:T12"/>
    <mergeCell ref="W12:AB12"/>
    <mergeCell ref="AE12:AJ12"/>
    <mergeCell ref="B13:L13"/>
    <mergeCell ref="O13:T13"/>
    <mergeCell ref="V13:AC13"/>
    <mergeCell ref="AE13:AJ13"/>
    <mergeCell ref="A15:Q15"/>
    <mergeCell ref="A16:Q16"/>
    <mergeCell ref="AR17:BE17"/>
    <mergeCell ref="A18:L18"/>
    <mergeCell ref="M18:U19"/>
    <mergeCell ref="V18:AD19"/>
    <mergeCell ref="AE18:AM19"/>
    <mergeCell ref="AN18:BE18"/>
    <mergeCell ref="A19:L19"/>
    <mergeCell ref="AN19:AV19"/>
    <mergeCell ref="AW19:BE19"/>
    <mergeCell ref="B20:K20"/>
    <mergeCell ref="M20:T20"/>
    <mergeCell ref="V20:AC20"/>
    <mergeCell ref="AE20:AL20"/>
    <mergeCell ref="AN20:AU20"/>
    <mergeCell ref="AW20:BD20"/>
    <mergeCell ref="BH20:BO20"/>
    <mergeCell ref="BQ20:BR20"/>
    <mergeCell ref="B21:K21"/>
    <mergeCell ref="M21:T21"/>
    <mergeCell ref="V21:AC21"/>
    <mergeCell ref="AE21:AL21"/>
    <mergeCell ref="AN21:AU21"/>
    <mergeCell ref="AW21:BD21"/>
    <mergeCell ref="B22:K22"/>
    <mergeCell ref="M22:T22"/>
    <mergeCell ref="V22:AC22"/>
    <mergeCell ref="AE22:AL22"/>
    <mergeCell ref="AN22:AU22"/>
    <mergeCell ref="AW22:BD22"/>
    <mergeCell ref="B23:K23"/>
    <mergeCell ref="M23:T23"/>
    <mergeCell ref="V23:AC23"/>
    <mergeCell ref="AE23:AL23"/>
    <mergeCell ref="AN23:AU23"/>
    <mergeCell ref="AW23:BD23"/>
    <mergeCell ref="BH23:BO23"/>
    <mergeCell ref="BQ23:BR23"/>
    <mergeCell ref="B24:K24"/>
    <mergeCell ref="M24:T24"/>
    <mergeCell ref="V24:AC24"/>
    <mergeCell ref="AE24:AL24"/>
    <mergeCell ref="AN24:AU24"/>
    <mergeCell ref="AW24:BD24"/>
    <mergeCell ref="BH24:BO24"/>
    <mergeCell ref="BQ24:BR24"/>
    <mergeCell ref="B25:K25"/>
    <mergeCell ref="M25:T25"/>
    <mergeCell ref="V25:AC25"/>
    <mergeCell ref="AE25:AL25"/>
    <mergeCell ref="AN25:AU25"/>
    <mergeCell ref="AW25:BD25"/>
    <mergeCell ref="B26:K26"/>
    <mergeCell ref="M26:T26"/>
    <mergeCell ref="V26:AC26"/>
    <mergeCell ref="AE26:AL26"/>
    <mergeCell ref="AN26:AU26"/>
    <mergeCell ref="AW26:BD26"/>
    <mergeCell ref="B27:K27"/>
    <mergeCell ref="M27:T27"/>
    <mergeCell ref="V27:AC27"/>
    <mergeCell ref="AE27:AL27"/>
    <mergeCell ref="AN27:AU27"/>
    <mergeCell ref="AW27:BD27"/>
    <mergeCell ref="B28:K28"/>
    <mergeCell ref="M28:T28"/>
    <mergeCell ref="V28:AC28"/>
    <mergeCell ref="AE28:AL28"/>
    <mergeCell ref="AN28:AU28"/>
    <mergeCell ref="AW28:BD28"/>
    <mergeCell ref="B29:K29"/>
    <mergeCell ref="M29:T29"/>
    <mergeCell ref="V29:AC29"/>
    <mergeCell ref="AE29:AL29"/>
    <mergeCell ref="AN29:AU29"/>
    <mergeCell ref="AW29:BD29"/>
    <mergeCell ref="B30:K30"/>
    <mergeCell ref="M30:T30"/>
    <mergeCell ref="V30:AC30"/>
    <mergeCell ref="AE30:AL30"/>
    <mergeCell ref="AN30:AU30"/>
    <mergeCell ref="AW30:BD30"/>
    <mergeCell ref="B31:K31"/>
    <mergeCell ref="M31:T31"/>
    <mergeCell ref="V31:AC31"/>
    <mergeCell ref="AE31:AL31"/>
    <mergeCell ref="AN31:AU31"/>
    <mergeCell ref="AW31:BD31"/>
    <mergeCell ref="B32:K32"/>
    <mergeCell ref="M32:T32"/>
    <mergeCell ref="V32:AC32"/>
    <mergeCell ref="AE32:AL32"/>
    <mergeCell ref="AN32:AU32"/>
    <mergeCell ref="AW32:BD32"/>
    <mergeCell ref="B33:K33"/>
    <mergeCell ref="M33:T33"/>
    <mergeCell ref="V33:AC33"/>
    <mergeCell ref="AE33:AL33"/>
    <mergeCell ref="AN33:AU33"/>
    <mergeCell ref="AW33:BD33"/>
    <mergeCell ref="A35:S35"/>
    <mergeCell ref="AR36:BE36"/>
    <mergeCell ref="A37:L37"/>
    <mergeCell ref="M37:U37"/>
    <mergeCell ref="V37:AD37"/>
    <mergeCell ref="AE37:AM37"/>
    <mergeCell ref="AN37:BE37"/>
    <mergeCell ref="A38:L38"/>
    <mergeCell ref="M38:T38"/>
    <mergeCell ref="V38:AC38"/>
    <mergeCell ref="AE38:AL38"/>
    <mergeCell ref="AN38:AV38"/>
    <mergeCell ref="AW38:BE38"/>
    <mergeCell ref="B39:K39"/>
    <mergeCell ref="M39:T39"/>
    <mergeCell ref="V39:AC39"/>
    <mergeCell ref="AE39:AL39"/>
    <mergeCell ref="AN39:AU39"/>
    <mergeCell ref="AW39:BD39"/>
    <mergeCell ref="B40:K40"/>
    <mergeCell ref="M40:T40"/>
    <mergeCell ref="V40:AC40"/>
    <mergeCell ref="AE40:AL40"/>
    <mergeCell ref="AN40:AU40"/>
    <mergeCell ref="AW40:BD40"/>
    <mergeCell ref="B41:K41"/>
    <mergeCell ref="M41:T41"/>
    <mergeCell ref="V41:AC41"/>
    <mergeCell ref="AE41:AL41"/>
    <mergeCell ref="AN41:AU41"/>
    <mergeCell ref="AW41:BD41"/>
    <mergeCell ref="A42:S42"/>
    <mergeCell ref="AR43:BE43"/>
    <mergeCell ref="A44:L44"/>
    <mergeCell ref="M44:U45"/>
    <mergeCell ref="V44:AD45"/>
    <mergeCell ref="AE44:AM45"/>
    <mergeCell ref="AN44:BE44"/>
    <mergeCell ref="A45:L45"/>
    <mergeCell ref="AN45:AV45"/>
    <mergeCell ref="AW45:BE45"/>
    <mergeCell ref="B46:K46"/>
    <mergeCell ref="M46:T46"/>
    <mergeCell ref="V46:AC46"/>
    <mergeCell ref="AE46:AL46"/>
    <mergeCell ref="AN46:AU46"/>
    <mergeCell ref="AW46:BD46"/>
    <mergeCell ref="B47:K47"/>
    <mergeCell ref="M47:T47"/>
    <mergeCell ref="V47:AC47"/>
    <mergeCell ref="AE47:AL47"/>
    <mergeCell ref="AN47:AU47"/>
    <mergeCell ref="AW47:BD47"/>
    <mergeCell ref="B48:K48"/>
    <mergeCell ref="M48:T48"/>
    <mergeCell ref="V48:AC48"/>
    <mergeCell ref="AE48:AL48"/>
    <mergeCell ref="AN48:AU48"/>
    <mergeCell ref="AW48:BD48"/>
    <mergeCell ref="B49:K49"/>
    <mergeCell ref="M49:T49"/>
    <mergeCell ref="V49:AC49"/>
    <mergeCell ref="AE49:AL49"/>
    <mergeCell ref="AN49:AU49"/>
    <mergeCell ref="AW49:BD49"/>
    <mergeCell ref="B50:K50"/>
    <mergeCell ref="M50:T50"/>
    <mergeCell ref="V50:AC50"/>
    <mergeCell ref="AE50:AL50"/>
    <mergeCell ref="AN50:AU50"/>
    <mergeCell ref="AW50:BD50"/>
    <mergeCell ref="B51:K51"/>
    <mergeCell ref="M51:T51"/>
    <mergeCell ref="V51:AC51"/>
    <mergeCell ref="AE51:AL51"/>
    <mergeCell ref="AN51:AU51"/>
    <mergeCell ref="AW51:BD51"/>
    <mergeCell ref="B52:K52"/>
    <mergeCell ref="M52:T52"/>
    <mergeCell ref="V52:AC52"/>
    <mergeCell ref="AE52:AL52"/>
    <mergeCell ref="AN52:AU52"/>
    <mergeCell ref="AW52:BD52"/>
    <mergeCell ref="B53:K53"/>
    <mergeCell ref="M53:T53"/>
    <mergeCell ref="V53:AC53"/>
    <mergeCell ref="AE53:AL53"/>
    <mergeCell ref="AN53:AU53"/>
    <mergeCell ref="AW53:BD53"/>
    <mergeCell ref="B54:K54"/>
    <mergeCell ref="M54:T54"/>
    <mergeCell ref="V54:AC54"/>
    <mergeCell ref="AE54:AL54"/>
    <mergeCell ref="AN54:AU54"/>
    <mergeCell ref="AW54:BD54"/>
    <mergeCell ref="B55:K55"/>
    <mergeCell ref="M55:T55"/>
    <mergeCell ref="V55:AC55"/>
    <mergeCell ref="AE55:AL55"/>
    <mergeCell ref="AN55:AU55"/>
    <mergeCell ref="AW55:BD55"/>
    <mergeCell ref="B56:K56"/>
    <mergeCell ref="M56:T56"/>
    <mergeCell ref="V56:AC56"/>
    <mergeCell ref="AE56:AL56"/>
    <mergeCell ref="AN56:AU56"/>
    <mergeCell ref="AW56:BD56"/>
    <mergeCell ref="B57:K57"/>
    <mergeCell ref="M57:T57"/>
    <mergeCell ref="V57:AC57"/>
    <mergeCell ref="AE57:AL57"/>
    <mergeCell ref="AN57:AU57"/>
    <mergeCell ref="AW57:BD57"/>
    <mergeCell ref="B58:K58"/>
    <mergeCell ref="M58:T58"/>
    <mergeCell ref="V58:AC58"/>
    <mergeCell ref="AE58:AL58"/>
    <mergeCell ref="AN58:AU58"/>
    <mergeCell ref="AW58:BD58"/>
    <mergeCell ref="B59:K59"/>
    <mergeCell ref="M59:T59"/>
    <mergeCell ref="V59:AC59"/>
    <mergeCell ref="AE59:AL59"/>
    <mergeCell ref="AN59:AU59"/>
    <mergeCell ref="AW59:BD59"/>
    <mergeCell ref="B60:K60"/>
    <mergeCell ref="M60:T60"/>
    <mergeCell ref="V60:AC60"/>
    <mergeCell ref="AE60:AL60"/>
    <mergeCell ref="AN60:AU60"/>
    <mergeCell ref="AW60:BD60"/>
    <mergeCell ref="B61:K61"/>
    <mergeCell ref="M61:T61"/>
    <mergeCell ref="V61:AC61"/>
    <mergeCell ref="AE61:AL61"/>
    <mergeCell ref="AN61:AU61"/>
    <mergeCell ref="AW61:BD61"/>
    <mergeCell ref="B62:K62"/>
    <mergeCell ref="M62:T62"/>
    <mergeCell ref="V62:AC62"/>
    <mergeCell ref="AE62:AL62"/>
    <mergeCell ref="AN62:AU62"/>
    <mergeCell ref="AW62:BD62"/>
    <mergeCell ref="B63:K63"/>
    <mergeCell ref="M63:T63"/>
    <mergeCell ref="V63:AC63"/>
    <mergeCell ref="AE63:AL63"/>
    <mergeCell ref="AN63:AU63"/>
    <mergeCell ref="AW63:BD63"/>
    <mergeCell ref="B64:K64"/>
    <mergeCell ref="M64:T64"/>
    <mergeCell ref="V64:AC64"/>
    <mergeCell ref="AE64:AL64"/>
    <mergeCell ref="AN64:AU64"/>
    <mergeCell ref="AW64:BD64"/>
    <mergeCell ref="B65:K65"/>
    <mergeCell ref="M65:T65"/>
    <mergeCell ref="V65:AC65"/>
    <mergeCell ref="AE65:AL65"/>
    <mergeCell ref="AN65:AU65"/>
    <mergeCell ref="AW65:BD65"/>
    <mergeCell ref="A70:O70"/>
    <mergeCell ref="P70:W70"/>
    <mergeCell ref="X70:AE70"/>
    <mergeCell ref="AF70:BE70"/>
    <mergeCell ref="A71:C81"/>
    <mergeCell ref="E71:N71"/>
    <mergeCell ref="P71:W71"/>
    <mergeCell ref="X71:AE71"/>
    <mergeCell ref="AG71:BD71"/>
    <mergeCell ref="E72:O72"/>
    <mergeCell ref="P72:W72"/>
    <mergeCell ref="X72:AE72"/>
    <mergeCell ref="AG72:BD72"/>
    <mergeCell ref="D73:D75"/>
    <mergeCell ref="E73:O73"/>
    <mergeCell ref="P73:W73"/>
    <mergeCell ref="X73:AE73"/>
    <mergeCell ref="AF73:BE73"/>
    <mergeCell ref="E74:O74"/>
    <mergeCell ref="P74:W74"/>
    <mergeCell ref="X74:AE74"/>
    <mergeCell ref="E75:O75"/>
    <mergeCell ref="P75:W75"/>
    <mergeCell ref="X75:AE75"/>
    <mergeCell ref="E76:N76"/>
    <mergeCell ref="P76:W76"/>
    <mergeCell ref="X76:AE76"/>
    <mergeCell ref="AG76:BD76"/>
    <mergeCell ref="E77:N77"/>
    <mergeCell ref="P77:W77"/>
    <mergeCell ref="X77:AE77"/>
    <mergeCell ref="E78:N78"/>
    <mergeCell ref="P78:W78"/>
    <mergeCell ref="X78:AE78"/>
    <mergeCell ref="E79:N79"/>
    <mergeCell ref="P79:W79"/>
    <mergeCell ref="X79:AE79"/>
    <mergeCell ref="AG79:BD79"/>
    <mergeCell ref="E80:N80"/>
    <mergeCell ref="P80:W80"/>
    <mergeCell ref="X80:AE80"/>
    <mergeCell ref="AG80:BD80"/>
    <mergeCell ref="E81:N81"/>
    <mergeCell ref="P81:W81"/>
    <mergeCell ref="X81:AE81"/>
    <mergeCell ref="A82:C83"/>
    <mergeCell ref="E82:N82"/>
    <mergeCell ref="P82:W82"/>
    <mergeCell ref="X82:AE82"/>
    <mergeCell ref="AG82:BD82"/>
    <mergeCell ref="E83:N83"/>
    <mergeCell ref="P83:W83"/>
    <mergeCell ref="X83:AE83"/>
    <mergeCell ref="AG83:BD83"/>
    <mergeCell ref="A84:C85"/>
    <mergeCell ref="E84:N84"/>
    <mergeCell ref="P84:W84"/>
    <mergeCell ref="X84:AE84"/>
    <mergeCell ref="AG84:BD84"/>
    <mergeCell ref="E85:N85"/>
    <mergeCell ref="P85:W85"/>
    <mergeCell ref="X85:AE85"/>
    <mergeCell ref="AG85:BD85"/>
    <mergeCell ref="A86:C89"/>
    <mergeCell ref="E86:N86"/>
    <mergeCell ref="P86:W86"/>
    <mergeCell ref="X86:AE86"/>
    <mergeCell ref="AG86:BD86"/>
    <mergeCell ref="E87:N87"/>
    <mergeCell ref="P87:W87"/>
    <mergeCell ref="X87:AE87"/>
    <mergeCell ref="E88:N88"/>
    <mergeCell ref="P88:W88"/>
    <mergeCell ref="X88:AE88"/>
    <mergeCell ref="AG88:BD88"/>
    <mergeCell ref="E89:N89"/>
    <mergeCell ref="P89:W89"/>
    <mergeCell ref="X89:AE89"/>
    <mergeCell ref="A90:C92"/>
    <mergeCell ref="E90:N90"/>
    <mergeCell ref="P90:W90"/>
    <mergeCell ref="X90:AE90"/>
    <mergeCell ref="AG90:BD90"/>
    <mergeCell ref="E91:N91"/>
    <mergeCell ref="P91:W91"/>
    <mergeCell ref="X91:AE91"/>
    <mergeCell ref="AG91:BD91"/>
    <mergeCell ref="E92:N92"/>
    <mergeCell ref="P92:W92"/>
    <mergeCell ref="X92:AE92"/>
    <mergeCell ref="B98:N98"/>
    <mergeCell ref="P98:W98"/>
    <mergeCell ref="X98:AE98"/>
    <mergeCell ref="A100:R100"/>
    <mergeCell ref="A93:C97"/>
    <mergeCell ref="E93:N93"/>
    <mergeCell ref="P93:W93"/>
    <mergeCell ref="X93:AE93"/>
    <mergeCell ref="AG93:BD93"/>
    <mergeCell ref="E94:N94"/>
    <mergeCell ref="P94:W94"/>
    <mergeCell ref="X94:AE94"/>
    <mergeCell ref="E95:N95"/>
    <mergeCell ref="P95:W95"/>
    <mergeCell ref="X95:AE95"/>
    <mergeCell ref="E96:N96"/>
    <mergeCell ref="P96:W96"/>
    <mergeCell ref="X96:AE96"/>
    <mergeCell ref="E97:N97"/>
    <mergeCell ref="P97:W97"/>
    <mergeCell ref="X97:AE97"/>
  </mergeCells>
  <phoneticPr fontId="155"/>
  <conditionalFormatting sqref="B101 B102 B103 C101 C102 C103 D101 D102 D103 E101 E102 E103 F101 F102 F103 G101 G102 G103 H101 H102 H103 I101 I102 I103 J101 J102 J103 K101 K102 K103 L101 L102 L103 M21 M22 M23 M25 M26 M27 M28 M29 M30 M31 M32 M46 M47 M48 M49 M50 M51 M52 M53 M54 M55 M56 M57 M58 M59 M60 M61 M62 M63 M64 M101 M102 M103 N101 N102 N103 O9 O10 O11 O12 O13 O101 O102 O103 P71 P73 P74 P75 P76 P77 P78 P79 P80 P82 P84 P86 P87 P88 P90 P91 P93 P94 P95 P96 P101 P102 P103 Q101 Q102 Q103 R101 R102 R103 S101 S102 S103 T101 T102 T103 U101 U102 U103 V21 V22 V23 V25 V26 V27 V28 V30 V49 V101 V102 V103 W9 W10 W11 W12 W101 W102 W103 X71 X73 X74 X75 X76 X77 X78 X79 X80 X82 X84 X86 X87 X88 X90 X91 X93 X94 X95 X96 X101 X102 X103 Y101 Y102 Y103 Z101 Z102 Z103 AA101 AA102 AA103 AB101 AB102 AB103 AC101 AC102 AC103 AD101 AD102 AD103 AE101 AE102 AE103 AF101 AF102 AF103 AG101 AG102 AG103 AH101 AH102 AH103 AI101 AI102 AI103 AJ101 AJ102 AJ103 AK101 AK102 AK103 AL101 AL102 AL103 AM101 AM102 AM103 AN101 AN102 AN103 AO101 AO102 AO103 AP101 AP102 AP103 AQ101 AQ102 AQ103 AR101 AR102 AR103 AS101 AS102 AS103 AT101 AT102 AT103 AU101 AU102 AU103 AV101 AV102 AV103 AW101 AW102 AW103 AX101 AX102 AX103 AY101 AY102 AY103 AZ101 AZ102 AZ103 BA101 BA102 BA103 BB101 BB102 BB103 BC101 BC102 BC103 BD101 BD102 BD103 BE101 BE102 BE103">
    <cfRule type="expression" dxfId="6" priority="1">
      <formula>AND(入力色表示=1,NOT(_xlfn.ISFORMULA(B101)))</formula>
    </cfRule>
  </conditionalFormatting>
  <dataValidations count="58">
    <dataValidation allowBlank="1" showInputMessage="1" promptTitle="手入力セル" prompt="反映先：報告_保健P20-22 M20,AE21&#10;他の帳票：なし" sqref="M21"/>
    <dataValidation allowBlank="1" showInputMessage="1" promptTitle="手入力セル" prompt="反映先：報告_保健P20-22 M20,AE22&#10;他の帳票：なし" sqref="M22"/>
    <dataValidation allowBlank="1" showInputMessage="1" promptTitle="手入力セル" prompt="反映先：報告_保健P20-22 M20,AE23&#10;他の帳票：なし" sqref="M23"/>
    <dataValidation allowBlank="1" showInputMessage="1" promptTitle="手入力セル" prompt="反映先：報告_保健P20-22 M24,AE25&#10;他の帳票：なし" sqref="M25"/>
    <dataValidation allowBlank="1" showInputMessage="1" promptTitle="手入力セル" prompt="反映先：報告_保健P20-22 M24,AE26&#10;他の帳票：なし" sqref="M26"/>
    <dataValidation allowBlank="1" showInputMessage="1" promptTitle="手入力セル" prompt="反映先：報告_保健P20-22 M33,AE27&#10;他の帳票：なし" sqref="M27"/>
    <dataValidation allowBlank="1" showInputMessage="1" promptTitle="手入力セル" prompt="反映先：報告_保健P20-22 M33,AE28&#10;他の帳票：なし" sqref="M28"/>
    <dataValidation allowBlank="1" showInputMessage="1" promptTitle="手入力セル" prompt="反映先：報告_保健P20-22 M33,AE29&#10;他の帳票：なし" sqref="M29"/>
    <dataValidation allowBlank="1" showInputMessage="1" promptTitle="手入力セル" prompt="反映先：報告_保健P20-22 AE30&#10;他の帳票：なし" sqref="M30"/>
    <dataValidation allowBlank="1" showInputMessage="1" promptTitle="手入力セル" prompt="反映先：報告_保健P20-22 M33,AE31&#10;他の帳票：なし" sqref="M31"/>
    <dataValidation allowBlank="1" showInputMessage="1" promptTitle="手入力セル" prompt="反映先：報告_保健P20-22 M33,AE32&#10;他の帳票：なし" sqref="M32"/>
    <dataValidation allowBlank="1" showInputMessage="1" promptTitle="手入力セル" prompt="反映先：報告_保健P20-22 M65,AE46、保健_附属明細表 E136&#10;他の帳票：保健_附属明細表" sqref="M46"/>
    <dataValidation allowBlank="1" showInputMessage="1" promptTitle="手入力セル" prompt="反映先：報告_保健P20-22 M65,AE47&#10;他の帳票：なし" sqref="M47"/>
    <dataValidation allowBlank="1" showInputMessage="1" promptTitle="手入力セル" prompt="反映先：報告_保健P20-22 M65,AE48&#10;他の帳票：なし" sqref="M48"/>
    <dataValidation allowBlank="1" showInputMessage="1" promptTitle="手入力セル" prompt="反映先：報告_保健P20-22 M65,AE49、保健_附属明細表 E137&#10;他の帳票：保健_附属明細表" sqref="M49"/>
    <dataValidation allowBlank="1" showInputMessage="1" promptTitle="手入力セル" prompt="反映先：報告_保健P20-22 M65,AE50、保健_附属明細表 E138&#10;他の帳票：保健_附属明細表" sqref="M50"/>
    <dataValidation allowBlank="1" showInputMessage="1" promptTitle="手入力セル" prompt="反映先：報告_保健P20-22 M65,AE51&#10;他の帳票：なし" sqref="M51"/>
    <dataValidation allowBlank="1" showInputMessage="1" promptTitle="手入力セル" prompt="反映先：報告_保健P20-22 M65,AE52&#10;他の帳票：なし" sqref="M52"/>
    <dataValidation allowBlank="1" showInputMessage="1" promptTitle="手入力セル" prompt="反映先：報告_保健P20-22 M65,AE53&#10;他の帳票：なし" sqref="M53"/>
    <dataValidation allowBlank="1" showInputMessage="1" promptTitle="手入力セル" prompt="反映先：報告_保健P20-22 M65,AE54&#10;他の帳票：なし" sqref="M54"/>
    <dataValidation allowBlank="1" showInputMessage="1" promptTitle="手入力セル" prompt="反映先：報告_保健P20-22 M65,AE55&#10;他の帳票：なし" sqref="M55"/>
    <dataValidation allowBlank="1" showInputMessage="1" promptTitle="手入力セル" prompt="反映先：報告_保健P20-22 M65,AE56&#10;他の帳票：なし" sqref="M56"/>
    <dataValidation allowBlank="1" showInputMessage="1" promptTitle="手入力セル" prompt="反映先：報告_保健P20-22 M65,AE57&#10;他の帳票：なし" sqref="M57"/>
    <dataValidation allowBlank="1" showInputMessage="1" promptTitle="手入力セル" prompt="反映先：報告_保健P20-22 M65,AE58&#10;他の帳票：なし" sqref="M58"/>
    <dataValidation allowBlank="1" showInputMessage="1" promptTitle="手入力セル" prompt="反映先：報告_保健P20-22 M65,AE59&#10;他の帳票：なし" sqref="M59"/>
    <dataValidation allowBlank="1" showInputMessage="1" promptTitle="手入力セル" prompt="反映先：報告_保健P20-22 M65,AE60&#10;他の帳票：なし" sqref="M60"/>
    <dataValidation allowBlank="1" showInputMessage="1" promptTitle="手入力セル" prompt="反映先：報告_保健P20-22 M65,AE61&#10;他の帳票：なし" sqref="M61"/>
    <dataValidation allowBlank="1" showInputMessage="1" promptTitle="手入力セル" prompt="反映先：報告_保健P20-22 M65,AE62&#10;他の帳票：なし" sqref="M62"/>
    <dataValidation allowBlank="1" showInputMessage="1" promptTitle="手入力セル" prompt="反映先：報告_保健P20-22 M65,AE63&#10;他の帳票：なし" sqref="M63"/>
    <dataValidation allowBlank="1" showInputMessage="1" promptTitle="手入力セル" prompt="反映先：報告_保健P20-22 M65,AE64&#10;他の帳票：なし" sqref="M64"/>
    <dataValidation allowBlank="1" showInputMessage="1" promptTitle="手入力セル" prompt="反映先：報告_保健P20-22 AE9&#10;他の帳票：なし" sqref="O9 W9"/>
    <dataValidation allowBlank="1" showInputMessage="1" promptTitle="手入力セル" prompt="反映先：報告_保健P20-22 AE10&#10;他の帳票：なし" sqref="O10 W10"/>
    <dataValidation allowBlank="1" showInputMessage="1" promptTitle="手入力セル" prompt="反映先：報告_保健P20-22 AE11&#10;他の帳票：なし" sqref="O11 W11"/>
    <dataValidation allowBlank="1" showInputMessage="1" promptTitle="手入力セル" prompt="反映先：報告_保健P20-22 AE12&#10;他の帳票：なし" sqref="O12 W12"/>
    <dataValidation allowBlank="1" showInputMessage="1" promptTitle="手入力セル" prompt="反映先：報告_保健P20-22 AE13&#10;他の帳票：なし" sqref="O13"/>
    <dataValidation allowBlank="1" showInputMessage="1" promptTitle="手入力セル" prompt="反映先：報告_保健P20-22 P81&#10;他の帳票：なし" sqref="P71 P76 P77 P78 P79 P80"/>
    <dataValidation allowBlank="1" showInputMessage="1" promptTitle="手入力セル" prompt="反映先：報告_保健P20-22 P72&#10;他の帳票：なし" sqref="P73 P74 P75"/>
    <dataValidation allowBlank="1" showInputMessage="1" promptTitle="手入力セル" prompt="反映先：報告_保健P20-22 P83&#10;他の帳票：なし" sqref="P82"/>
    <dataValidation allowBlank="1" showInputMessage="1" promptTitle="手入力セル" prompt="反映先：報告_保健P20-22 P85&#10;他の帳票：なし" sqref="P84"/>
    <dataValidation allowBlank="1" showInputMessage="1" promptTitle="手入力セル" prompt="反映先：報告_保健P20-22 P89&#10;他の帳票：なし" sqref="P86 P87 P88"/>
    <dataValidation allowBlank="1" showInputMessage="1" promptTitle="手入力セル" prompt="反映先：報告_保健P20-22 P92&#10;他の帳票：なし" sqref="P90 P91"/>
    <dataValidation allowBlank="1" showInputMessage="1" promptTitle="手入力セル" prompt="反映先：報告_保健P20-22 P97&#10;他の帳票：なし" sqref="P93 P94 P95 P96"/>
    <dataValidation allowBlank="1" showInputMessage="1" promptTitle="手入力セル" prompt="反映先：報告_保健P20-22 V20,AE21,AW21&#10;他の帳票：保健_財務諸表、保健_附属明細表、保健_決算精算表" sqref="V21"/>
    <dataValidation allowBlank="1" showInputMessage="1" promptTitle="手入力セル" prompt="反映先：報告_保健P20-22 V20,AE22,AW22&#10;他の帳票：保健_財務諸表、保健_附属明細表、保健_決算精算表" sqref="V22"/>
    <dataValidation allowBlank="1" showInputMessage="1" promptTitle="手入力セル" prompt="反映先：報告_保健P20-22 V20,AE23,AW23&#10;他の帳票：保健_財務諸表、保健_附属明細表、保健_決算精算表" sqref="V23"/>
    <dataValidation allowBlank="1" showInputMessage="1" promptTitle="手入力セル" prompt="反映先：報告_保健P20-22 V24,AE25,AW25&#10;他の帳票：保健_財務諸表、保健_附属明細表、保健_決算精算表" sqref="V25"/>
    <dataValidation allowBlank="1" showInputMessage="1" promptTitle="手入力セル" prompt="反映先：報告_保健P20-22 V24,AE26,AW26&#10;他の帳票：保健_財務諸表、保健_附属明細表、保健_決算精算表" sqref="V26"/>
    <dataValidation allowBlank="1" showInputMessage="1" promptTitle="手入力セル" prompt="反映先：報告_保健P20-22 V33,AE27,AW27&#10;他の帳票：なし" sqref="V27"/>
    <dataValidation allowBlank="1" showInputMessage="1" promptTitle="手入力セル" prompt="反映先：報告_保健P20-22 V33,AE28,AW28&#10;他の帳票：なし" sqref="V28"/>
    <dataValidation allowBlank="1" showInputMessage="1" promptTitle="手入力セル" prompt="反映先：報告_保健P20-22 V33,AE30,AW30&#10;他の帳票：なし" sqref="V30"/>
    <dataValidation allowBlank="1" showInputMessage="1" promptTitle="手入力セル" prompt="反映先：報告_保健P20-22 V65,AE49,AW49&#10;他の帳票：なし" sqref="V49"/>
    <dataValidation allowBlank="1" showInputMessage="1" promptTitle="手入力セル" prompt="反映先：報告_保健P20-22 X81&#10;他の帳票：なし" sqref="X71 X76 X77 X78 X79 X80"/>
    <dataValidation allowBlank="1" showInputMessage="1" promptTitle="手入力セル" prompt="反映先：報告_保健P20-22 X72&#10;他の帳票：なし" sqref="X73 X74 X75"/>
    <dataValidation allowBlank="1" showInputMessage="1" promptTitle="手入力セル" prompt="反映先：報告_保健P20-22 X83&#10;他の帳票：なし" sqref="X82"/>
    <dataValidation allowBlank="1" showInputMessage="1" promptTitle="手入力セル" prompt="反映先：報告_保健P20-22 X85&#10;他の帳票：なし" sqref="X84"/>
    <dataValidation allowBlank="1" showInputMessage="1" promptTitle="手入力セル" prompt="反映先：報告_保健P20-22 X89&#10;他の帳票：なし" sqref="X86 X87 X88"/>
    <dataValidation allowBlank="1" showInputMessage="1" promptTitle="手入力セル" prompt="反映先：報告_保健P20-22 X92&#10;他の帳票：なし" sqref="X90 X91"/>
    <dataValidation allowBlank="1" showInputMessage="1" promptTitle="手入力セル" prompt="反映先：報告_保健P20-22 X97&#10;他の帳票：なし" sqref="X93 X94 X95 X96"/>
  </dataValidations>
  <printOptions horizontalCentered="1"/>
  <pageMargins left="0.78749999999999998" right="0.59027777777777801" top="0.39374999999999999" bottom="0.31527777777777799" header="0.511811023622047" footer="0.27569444444444402"/>
  <pageSetup paperSize="9" firstPageNumber="20" fitToHeight="0" orientation="portrait" cellComments="atEnd" useFirstPageNumber="1" horizontalDpi="300" verticalDpi="300"/>
  <headerFooter>
    <oddFooter>&amp;C&amp;"ＭＳ 明朝,Regular"&amp;12－ &amp;P －</oddFooter>
  </headerFooter>
  <rowBreaks count="2" manualBreakCount="2">
    <brk id="41" max="16383" man="1"/>
    <brk id="67" max="16383"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46B93-F86C-4088-B0FD-C111EC397A49}">
  <sheetPr codeName="Sheet19"/>
  <dimension ref="A1:IW129"/>
  <sheetViews>
    <sheetView zoomScaleNormal="100" zoomScalePageLayoutView="60" workbookViewId="0">
      <selection sqref="A1:U1"/>
    </sheetView>
  </sheetViews>
  <sheetFormatPr defaultColWidth="1.6640625" defaultRowHeight="13.2"/>
  <cols>
    <col min="1" max="1" width="1.33203125" style="104" customWidth="1"/>
    <col min="2" max="2" width="1.88671875" style="104" customWidth="1"/>
    <col min="3" max="4" width="1.6640625" style="104"/>
    <col min="5" max="5" width="2" style="104" customWidth="1"/>
    <col min="6" max="8" width="1.6640625" style="104"/>
    <col min="9" max="9" width="1.88671875" style="104" customWidth="1"/>
    <col min="10" max="10" width="1.33203125" style="104" customWidth="1"/>
    <col min="11" max="11" width="1.6640625" style="104"/>
    <col min="12" max="12" width="1.33203125" style="104" customWidth="1"/>
    <col min="13" max="13" width="1.6640625" style="104"/>
    <col min="14" max="14" width="1.33203125" style="104" customWidth="1"/>
    <col min="15" max="21" width="1.6640625" style="104"/>
    <col min="22" max="37" width="1.77734375" style="104" customWidth="1"/>
    <col min="38" max="41" width="1.6640625" style="104"/>
    <col min="42" max="42" width="1.33203125" style="104" customWidth="1"/>
    <col min="43" max="48" width="1.6640625" style="104"/>
    <col min="49" max="52" width="1.77734375" style="104" customWidth="1"/>
    <col min="53" max="55" width="1.88671875" style="104" customWidth="1"/>
    <col min="56" max="56" width="1.77734375" style="104" customWidth="1"/>
    <col min="57" max="59" width="1.6640625" style="104"/>
    <col min="60" max="60" width="2.44140625" style="104" customWidth="1"/>
    <col min="61" max="61" width="8.33203125" style="104" customWidth="1"/>
    <col min="62" max="65" width="1.6640625" style="104"/>
    <col min="66" max="66" width="15" style="104" customWidth="1"/>
    <col min="67" max="67" width="19.77734375" style="104" customWidth="1"/>
    <col min="68" max="257" width="1.6640625" style="104"/>
  </cols>
  <sheetData>
    <row r="1" spans="1:63" ht="24.9" customHeight="1">
      <c r="A1" s="1928" t="s">
        <v>697</v>
      </c>
      <c r="B1" s="1928"/>
      <c r="C1" s="1928"/>
      <c r="D1" s="1928"/>
      <c r="E1" s="1928"/>
      <c r="F1" s="1928"/>
      <c r="G1" s="1928"/>
      <c r="H1" s="1928"/>
      <c r="I1" s="1928"/>
      <c r="J1" s="1928"/>
      <c r="K1" s="1928"/>
      <c r="L1" s="1928"/>
      <c r="M1" s="1928"/>
      <c r="N1" s="1928"/>
      <c r="O1" s="1928"/>
      <c r="P1" s="1928"/>
      <c r="Q1" s="1928"/>
      <c r="R1" s="1928"/>
      <c r="S1" s="1928"/>
      <c r="T1" s="1928"/>
      <c r="U1" s="1928"/>
    </row>
    <row r="2" spans="1:63" ht="18" customHeight="1">
      <c r="A2" s="1887" t="s">
        <v>607</v>
      </c>
      <c r="B2" s="1887"/>
      <c r="C2" s="1887"/>
      <c r="D2" s="1887"/>
      <c r="E2" s="1887"/>
      <c r="F2" s="1887"/>
      <c r="G2" s="1887"/>
      <c r="H2" s="1887"/>
      <c r="I2" s="1887"/>
      <c r="J2" s="1887"/>
      <c r="K2" s="1887"/>
      <c r="L2" s="1887"/>
      <c r="M2" s="1887"/>
      <c r="N2" s="1887"/>
    </row>
    <row r="3" spans="1:63" ht="15" customHeight="1">
      <c r="AU3" s="1888" t="s">
        <v>408</v>
      </c>
      <c r="AV3" s="1888"/>
      <c r="AW3" s="1888"/>
      <c r="AX3" s="1888"/>
      <c r="AY3" s="1888"/>
      <c r="AZ3" s="1888"/>
      <c r="BA3" s="1888"/>
      <c r="BB3" s="1888"/>
      <c r="BC3" s="1888"/>
      <c r="BD3" s="1888"/>
      <c r="BE3" s="1888"/>
      <c r="BF3" s="1888"/>
      <c r="BG3" s="1888"/>
      <c r="BH3" s="1888"/>
      <c r="BI3" s="325"/>
    </row>
    <row r="4" spans="1:63" ht="24.9" customHeight="1">
      <c r="A4" s="1879" t="s">
        <v>580</v>
      </c>
      <c r="B4" s="1879"/>
      <c r="C4" s="1879"/>
      <c r="D4" s="1879"/>
      <c r="E4" s="1879"/>
      <c r="F4" s="1879"/>
      <c r="G4" s="1879"/>
      <c r="H4" s="1879"/>
      <c r="I4" s="1879"/>
      <c r="J4" s="1879"/>
      <c r="K4" s="1879"/>
      <c r="L4" s="1879"/>
      <c r="M4" s="1879"/>
      <c r="N4" s="1879"/>
      <c r="O4" s="1879"/>
      <c r="P4" s="1845" t="s">
        <v>581</v>
      </c>
      <c r="Q4" s="1845"/>
      <c r="R4" s="1845"/>
      <c r="S4" s="1845"/>
      <c r="T4" s="1845"/>
      <c r="U4" s="1845"/>
      <c r="V4" s="1845"/>
      <c r="W4" s="1845"/>
      <c r="X4" s="1845"/>
      <c r="Y4" s="1871" t="s">
        <v>582</v>
      </c>
      <c r="Z4" s="1871"/>
      <c r="AA4" s="1871"/>
      <c r="AB4" s="1871"/>
      <c r="AC4" s="1871"/>
      <c r="AD4" s="1871"/>
      <c r="AE4" s="1871"/>
      <c r="AF4" s="1871"/>
      <c r="AG4" s="1871"/>
      <c r="AH4" s="1845" t="s">
        <v>356</v>
      </c>
      <c r="AI4" s="1845"/>
      <c r="AJ4" s="1845"/>
      <c r="AK4" s="1845"/>
      <c r="AL4" s="1845"/>
      <c r="AM4" s="1845"/>
      <c r="AN4" s="1845"/>
      <c r="AO4" s="1845"/>
      <c r="AP4" s="1845"/>
      <c r="AQ4" s="1845" t="s">
        <v>646</v>
      </c>
      <c r="AR4" s="1845"/>
      <c r="AS4" s="1845"/>
      <c r="AT4" s="1845"/>
      <c r="AU4" s="1845"/>
      <c r="AV4" s="1845"/>
      <c r="AW4" s="1845"/>
      <c r="AX4" s="1845"/>
      <c r="AY4" s="1845"/>
      <c r="AZ4" s="1845"/>
      <c r="BA4" s="1845"/>
      <c r="BB4" s="1845"/>
      <c r="BC4" s="1845"/>
      <c r="BD4" s="1845"/>
      <c r="BE4" s="1845"/>
      <c r="BF4" s="1845"/>
      <c r="BG4" s="1845"/>
      <c r="BH4" s="1845"/>
    </row>
    <row r="5" spans="1:63" ht="24.9" customHeight="1">
      <c r="A5" s="2180" t="s">
        <v>583</v>
      </c>
      <c r="B5" s="2180"/>
      <c r="C5" s="2180"/>
      <c r="D5" s="2180"/>
      <c r="E5" s="2180"/>
      <c r="F5" s="2180"/>
      <c r="G5" s="2180"/>
      <c r="H5" s="2180"/>
      <c r="I5" s="2180"/>
      <c r="J5" s="2180"/>
      <c r="K5" s="2180"/>
      <c r="L5" s="2180"/>
      <c r="M5" s="2180"/>
      <c r="N5" s="350"/>
      <c r="O5" s="526"/>
      <c r="P5" s="1845"/>
      <c r="Q5" s="1845"/>
      <c r="R5" s="1845"/>
      <c r="S5" s="1845"/>
      <c r="T5" s="1845"/>
      <c r="U5" s="1845"/>
      <c r="V5" s="1845"/>
      <c r="W5" s="1845"/>
      <c r="X5" s="1845"/>
      <c r="Y5" s="1871"/>
      <c r="Z5" s="1871"/>
      <c r="AA5" s="1871"/>
      <c r="AB5" s="1871"/>
      <c r="AC5" s="1871"/>
      <c r="AD5" s="1871"/>
      <c r="AE5" s="1871"/>
      <c r="AF5" s="1871"/>
      <c r="AG5" s="1871"/>
      <c r="AH5" s="1845"/>
      <c r="AI5" s="1845"/>
      <c r="AJ5" s="1845"/>
      <c r="AK5" s="1845"/>
      <c r="AL5" s="1845"/>
      <c r="AM5" s="1845"/>
      <c r="AN5" s="1845"/>
      <c r="AO5" s="1845"/>
      <c r="AP5" s="1845"/>
      <c r="AQ5" s="1845" t="s">
        <v>378</v>
      </c>
      <c r="AR5" s="1845"/>
      <c r="AS5" s="1845"/>
      <c r="AT5" s="1845"/>
      <c r="AU5" s="1845"/>
      <c r="AV5" s="1845"/>
      <c r="AW5" s="1845"/>
      <c r="AX5" s="1845"/>
      <c r="AY5" s="1845"/>
      <c r="AZ5" s="2162" t="s">
        <v>356</v>
      </c>
      <c r="BA5" s="2162"/>
      <c r="BB5" s="2162"/>
      <c r="BC5" s="2162"/>
      <c r="BD5" s="2162"/>
      <c r="BE5" s="2162"/>
      <c r="BF5" s="2162"/>
      <c r="BG5" s="2162"/>
      <c r="BH5" s="2162"/>
    </row>
    <row r="6" spans="1:63" ht="35.1" customHeight="1">
      <c r="A6" s="331"/>
      <c r="B6" s="1866" t="s">
        <v>172</v>
      </c>
      <c r="C6" s="1866"/>
      <c r="D6" s="1866"/>
      <c r="E6" s="1866"/>
      <c r="F6" s="1866"/>
      <c r="G6" s="1866"/>
      <c r="H6" s="1866"/>
      <c r="I6" s="1866"/>
      <c r="J6" s="1866"/>
      <c r="K6" s="1866"/>
      <c r="L6" s="1866"/>
      <c r="M6" s="1866"/>
      <c r="N6" s="1866"/>
      <c r="O6" s="330"/>
      <c r="P6" s="2156">
        <v>10679000</v>
      </c>
      <c r="Q6" s="2157"/>
      <c r="R6" s="2157"/>
      <c r="S6" s="2157"/>
      <c r="T6" s="2157"/>
      <c r="U6" s="2157"/>
      <c r="V6" s="2157"/>
      <c r="W6" s="2157"/>
      <c r="X6" s="457"/>
      <c r="Y6" s="1916">
        <f>貸付_財務諸表!F37</f>
        <v>10920960</v>
      </c>
      <c r="Z6" s="1916"/>
      <c r="AA6" s="1916"/>
      <c r="AB6" s="1916"/>
      <c r="AC6" s="1916"/>
      <c r="AD6" s="1916"/>
      <c r="AE6" s="1916"/>
      <c r="AF6" s="1916"/>
      <c r="AG6" s="356"/>
      <c r="AH6" s="2161">
        <f>Y6-P6</f>
        <v>241960</v>
      </c>
      <c r="AI6" s="2161"/>
      <c r="AJ6" s="2161"/>
      <c r="AK6" s="2161"/>
      <c r="AL6" s="2161"/>
      <c r="AM6" s="2161"/>
      <c r="AN6" s="2161"/>
      <c r="AO6" s="2161"/>
      <c r="AP6" s="447"/>
      <c r="AQ6" s="1916">
        <f>前年度貼付!$E$283</f>
        <v>12712000</v>
      </c>
      <c r="AR6" s="1916"/>
      <c r="AS6" s="1916"/>
      <c r="AT6" s="1916"/>
      <c r="AU6" s="1916"/>
      <c r="AV6" s="1916"/>
      <c r="AW6" s="1916"/>
      <c r="AX6" s="1916"/>
      <c r="AY6" s="447"/>
      <c r="AZ6" s="2160">
        <f>Y6-AQ6</f>
        <v>-1791040</v>
      </c>
      <c r="BA6" s="2160"/>
      <c r="BB6" s="2160"/>
      <c r="BC6" s="2160"/>
      <c r="BD6" s="2160"/>
      <c r="BE6" s="2160"/>
      <c r="BF6" s="2160"/>
      <c r="BG6" s="2160"/>
      <c r="BH6" s="113"/>
    </row>
    <row r="7" spans="1:63" ht="35.1" customHeight="1">
      <c r="A7" s="331"/>
      <c r="B7" s="1866" t="s">
        <v>38</v>
      </c>
      <c r="C7" s="1866"/>
      <c r="D7" s="1866"/>
      <c r="E7" s="1866"/>
      <c r="F7" s="1866"/>
      <c r="G7" s="1866"/>
      <c r="H7" s="1866"/>
      <c r="I7" s="1866"/>
      <c r="J7" s="1866"/>
      <c r="K7" s="1866"/>
      <c r="L7" s="1866"/>
      <c r="M7" s="1866"/>
      <c r="N7" s="1866"/>
      <c r="O7" s="330"/>
      <c r="P7" s="1892">
        <v>44000</v>
      </c>
      <c r="Q7" s="1884"/>
      <c r="R7" s="1884"/>
      <c r="S7" s="1884"/>
      <c r="T7" s="1884"/>
      <c r="U7" s="1884"/>
      <c r="V7" s="1884"/>
      <c r="W7" s="1884"/>
      <c r="X7" s="458"/>
      <c r="Y7" s="2158">
        <f>貸付_財務諸表!F41</f>
        <v>42000</v>
      </c>
      <c r="Z7" s="2158"/>
      <c r="AA7" s="2158"/>
      <c r="AB7" s="2158"/>
      <c r="AC7" s="2158"/>
      <c r="AD7" s="2158"/>
      <c r="AE7" s="2158"/>
      <c r="AF7" s="2158"/>
      <c r="AG7" s="452"/>
      <c r="AH7" s="1912">
        <f>Y7-P7</f>
        <v>-2000</v>
      </c>
      <c r="AI7" s="1912"/>
      <c r="AJ7" s="1912"/>
      <c r="AK7" s="1912"/>
      <c r="AL7" s="1912"/>
      <c r="AM7" s="1912"/>
      <c r="AN7" s="1912"/>
      <c r="AO7" s="1912"/>
      <c r="AP7" s="453"/>
      <c r="AQ7" s="2158">
        <f>前年度貼付!$E$284</f>
        <v>44000</v>
      </c>
      <c r="AR7" s="2158"/>
      <c r="AS7" s="2158"/>
      <c r="AT7" s="2158"/>
      <c r="AU7" s="2158"/>
      <c r="AV7" s="2158"/>
      <c r="AW7" s="2158"/>
      <c r="AX7" s="2158"/>
      <c r="AY7" s="453"/>
      <c r="AZ7" s="2154">
        <f>Y7-AQ7</f>
        <v>-2000</v>
      </c>
      <c r="BA7" s="2154"/>
      <c r="BB7" s="2154"/>
      <c r="BC7" s="2154"/>
      <c r="BD7" s="2154"/>
      <c r="BE7" s="2154"/>
      <c r="BF7" s="2154"/>
      <c r="BG7" s="2154"/>
      <c r="BH7" s="109"/>
    </row>
    <row r="8" spans="1:63" ht="35.1" customHeight="1">
      <c r="A8" s="331"/>
      <c r="B8" s="1866" t="s">
        <v>106</v>
      </c>
      <c r="C8" s="1866"/>
      <c r="D8" s="1866"/>
      <c r="E8" s="1866"/>
      <c r="F8" s="1866"/>
      <c r="G8" s="1866"/>
      <c r="H8" s="1866"/>
      <c r="I8" s="1866"/>
      <c r="J8" s="1866"/>
      <c r="K8" s="1866"/>
      <c r="L8" s="1866"/>
      <c r="M8" s="1866"/>
      <c r="N8" s="1866"/>
      <c r="O8" s="330"/>
      <c r="P8" s="1892">
        <v>0</v>
      </c>
      <c r="Q8" s="1884"/>
      <c r="R8" s="1884"/>
      <c r="S8" s="1884"/>
      <c r="T8" s="1884"/>
      <c r="U8" s="1884"/>
      <c r="V8" s="1884"/>
      <c r="W8" s="1884"/>
      <c r="X8" s="453"/>
      <c r="Y8" s="2158">
        <f>貸付_財務諸表!F44</f>
        <v>0</v>
      </c>
      <c r="Z8" s="2158"/>
      <c r="AA8" s="2158"/>
      <c r="AB8" s="2158"/>
      <c r="AC8" s="2158"/>
      <c r="AD8" s="2158"/>
      <c r="AE8" s="2158"/>
      <c r="AF8" s="2158"/>
      <c r="AG8" s="452"/>
      <c r="AH8" s="1912">
        <f>Y8-P8</f>
        <v>0</v>
      </c>
      <c r="AI8" s="1912"/>
      <c r="AJ8" s="1912"/>
      <c r="AK8" s="1912"/>
      <c r="AL8" s="1912"/>
      <c r="AM8" s="1912"/>
      <c r="AN8" s="1912"/>
      <c r="AO8" s="1912"/>
      <c r="AP8" s="453"/>
      <c r="AQ8" s="2158">
        <f>前年度貼付!$E$285</f>
        <v>0</v>
      </c>
      <c r="AR8" s="2158"/>
      <c r="AS8" s="2158"/>
      <c r="AT8" s="2158"/>
      <c r="AU8" s="2158"/>
      <c r="AV8" s="2158"/>
      <c r="AW8" s="2158"/>
      <c r="AX8" s="2158"/>
      <c r="AY8" s="453"/>
      <c r="AZ8" s="2154">
        <f>Y8-AQ8</f>
        <v>0</v>
      </c>
      <c r="BA8" s="2154"/>
      <c r="BB8" s="2154"/>
      <c r="BC8" s="2154"/>
      <c r="BD8" s="2154"/>
      <c r="BE8" s="2154"/>
      <c r="BF8" s="2154"/>
      <c r="BG8" s="2154"/>
      <c r="BH8" s="109"/>
    </row>
    <row r="9" spans="1:63" ht="35.1" customHeight="1">
      <c r="A9" s="331"/>
      <c r="B9" s="1871" t="s">
        <v>698</v>
      </c>
      <c r="C9" s="1871"/>
      <c r="D9" s="1871"/>
      <c r="E9" s="1871"/>
      <c r="F9" s="1871"/>
      <c r="G9" s="1871"/>
      <c r="H9" s="1871"/>
      <c r="I9" s="1871"/>
      <c r="J9" s="1871"/>
      <c r="K9" s="1871"/>
      <c r="L9" s="1871"/>
      <c r="M9" s="1871"/>
      <c r="N9" s="1871"/>
      <c r="O9" s="330"/>
      <c r="P9" s="2376">
        <f>SUM(P6:W8)</f>
        <v>10723000</v>
      </c>
      <c r="Q9" s="2376"/>
      <c r="R9" s="2376"/>
      <c r="S9" s="2376"/>
      <c r="T9" s="2376"/>
      <c r="U9" s="2376"/>
      <c r="V9" s="2376"/>
      <c r="W9" s="2376"/>
      <c r="X9" s="527"/>
      <c r="Y9" s="2377">
        <f>SUM(Y6:AF8)</f>
        <v>10962960</v>
      </c>
      <c r="Z9" s="2377"/>
      <c r="AA9" s="2377"/>
      <c r="AB9" s="2377"/>
      <c r="AC9" s="2377"/>
      <c r="AD9" s="2377"/>
      <c r="AE9" s="2377"/>
      <c r="AF9" s="2377"/>
      <c r="AG9" s="528"/>
      <c r="AH9" s="2378">
        <f>Y9-P9</f>
        <v>239960</v>
      </c>
      <c r="AI9" s="2378"/>
      <c r="AJ9" s="2378"/>
      <c r="AK9" s="2378"/>
      <c r="AL9" s="2378"/>
      <c r="AM9" s="2378"/>
      <c r="AN9" s="2378"/>
      <c r="AO9" s="2378"/>
      <c r="AP9" s="527"/>
      <c r="AQ9" s="2377">
        <f>SUM(AQ6:AX8)</f>
        <v>12756000</v>
      </c>
      <c r="AR9" s="2377"/>
      <c r="AS9" s="2377"/>
      <c r="AT9" s="2377"/>
      <c r="AU9" s="2377"/>
      <c r="AV9" s="2377"/>
      <c r="AW9" s="2377"/>
      <c r="AX9" s="2377"/>
      <c r="AY9" s="527"/>
      <c r="AZ9" s="1917">
        <f>Y9-AQ9</f>
        <v>-1793040</v>
      </c>
      <c r="BA9" s="1917"/>
      <c r="BB9" s="1917"/>
      <c r="BC9" s="1917"/>
      <c r="BD9" s="1917"/>
      <c r="BE9" s="1917"/>
      <c r="BF9" s="1917"/>
      <c r="BG9" s="1917"/>
      <c r="BH9" s="529"/>
      <c r="BI9" s="530"/>
    </row>
    <row r="10" spans="1:63" ht="39" customHeight="1">
      <c r="A10" s="322"/>
      <c r="B10" s="335"/>
      <c r="C10" s="335"/>
      <c r="D10" s="335"/>
      <c r="E10" s="335"/>
      <c r="F10" s="335"/>
      <c r="G10" s="335"/>
      <c r="H10" s="335"/>
      <c r="I10" s="335"/>
      <c r="J10" s="335"/>
      <c r="K10" s="335"/>
      <c r="L10" s="325"/>
      <c r="M10" s="322"/>
      <c r="N10" s="118"/>
      <c r="O10" s="118"/>
      <c r="P10" s="118"/>
      <c r="Q10" s="118"/>
      <c r="R10" s="118"/>
      <c r="S10" s="118"/>
      <c r="T10" s="118"/>
      <c r="U10" s="118"/>
      <c r="V10" s="356"/>
      <c r="W10" s="118"/>
      <c r="X10" s="118"/>
      <c r="Y10" s="118"/>
      <c r="Z10" s="118"/>
      <c r="AA10" s="118"/>
      <c r="AB10" s="118"/>
      <c r="AC10" s="118"/>
      <c r="AD10" s="118"/>
      <c r="AE10" s="356"/>
      <c r="AF10" s="531"/>
      <c r="AG10" s="531"/>
      <c r="AH10" s="531"/>
      <c r="AI10" s="531"/>
      <c r="AJ10" s="531"/>
      <c r="AK10" s="531"/>
      <c r="AL10" s="531"/>
      <c r="AM10" s="531"/>
      <c r="AN10" s="356"/>
      <c r="AO10" s="118"/>
      <c r="AP10" s="118"/>
      <c r="AQ10" s="118"/>
      <c r="AR10" s="118"/>
      <c r="AS10" s="118"/>
      <c r="AT10" s="118"/>
      <c r="AU10" s="118"/>
      <c r="AV10" s="118"/>
      <c r="AW10" s="356"/>
      <c r="AX10" s="531"/>
      <c r="AY10" s="531"/>
      <c r="AZ10" s="531"/>
      <c r="BA10" s="531"/>
      <c r="BB10" s="531"/>
      <c r="BC10" s="531"/>
      <c r="BD10" s="531"/>
      <c r="BE10" s="531"/>
      <c r="BF10" s="87"/>
      <c r="BG10" s="81"/>
      <c r="BH10" s="81"/>
    </row>
    <row r="11" spans="1:63" ht="18" customHeight="1">
      <c r="A11" s="1887" t="s">
        <v>611</v>
      </c>
      <c r="B11" s="1887"/>
      <c r="C11" s="1887"/>
      <c r="D11" s="1887"/>
      <c r="E11" s="1887"/>
      <c r="F11" s="1887"/>
      <c r="G11" s="1887"/>
      <c r="H11" s="1887"/>
      <c r="I11" s="1887"/>
      <c r="J11" s="1887"/>
      <c r="K11" s="1887"/>
      <c r="L11" s="1887"/>
      <c r="M11" s="1887"/>
    </row>
    <row r="12" spans="1:63" ht="15" customHeight="1">
      <c r="AU12" s="1888" t="s">
        <v>408</v>
      </c>
      <c r="AV12" s="1888"/>
      <c r="AW12" s="1888"/>
      <c r="AX12" s="1888"/>
      <c r="AY12" s="1888"/>
      <c r="AZ12" s="1888"/>
      <c r="BA12" s="1888"/>
      <c r="BB12" s="1888"/>
      <c r="BC12" s="1888"/>
      <c r="BD12" s="1888"/>
      <c r="BE12" s="1888"/>
      <c r="BF12" s="1888"/>
      <c r="BG12" s="1888"/>
      <c r="BH12" s="1888"/>
      <c r="BI12" s="325"/>
      <c r="BJ12" s="325"/>
      <c r="BK12" s="325"/>
    </row>
    <row r="13" spans="1:63" ht="22.5" customHeight="1">
      <c r="A13" s="1879" t="s">
        <v>580</v>
      </c>
      <c r="B13" s="1879"/>
      <c r="C13" s="1879"/>
      <c r="D13" s="1879"/>
      <c r="E13" s="1879"/>
      <c r="F13" s="1879"/>
      <c r="G13" s="1879"/>
      <c r="H13" s="1879"/>
      <c r="I13" s="1879"/>
      <c r="J13" s="1879"/>
      <c r="K13" s="1879"/>
      <c r="L13" s="1879"/>
      <c r="M13" s="1879"/>
      <c r="N13" s="1879"/>
      <c r="O13" s="1879"/>
      <c r="P13" s="1845" t="s">
        <v>581</v>
      </c>
      <c r="Q13" s="1845"/>
      <c r="R13" s="1845"/>
      <c r="S13" s="1845"/>
      <c r="T13" s="1845"/>
      <c r="U13" s="1845"/>
      <c r="V13" s="1845"/>
      <c r="W13" s="1845"/>
      <c r="X13" s="1845"/>
      <c r="Y13" s="1871" t="s">
        <v>582</v>
      </c>
      <c r="Z13" s="1871"/>
      <c r="AA13" s="1871"/>
      <c r="AB13" s="1871"/>
      <c r="AC13" s="1871"/>
      <c r="AD13" s="1871"/>
      <c r="AE13" s="1871"/>
      <c r="AF13" s="1871"/>
      <c r="AG13" s="1871"/>
      <c r="AH13" s="1845" t="s">
        <v>356</v>
      </c>
      <c r="AI13" s="1845"/>
      <c r="AJ13" s="1845"/>
      <c r="AK13" s="1845"/>
      <c r="AL13" s="1845"/>
      <c r="AM13" s="1845"/>
      <c r="AN13" s="1845"/>
      <c r="AO13" s="1845"/>
      <c r="AP13" s="1845"/>
      <c r="AQ13" s="1845" t="s">
        <v>646</v>
      </c>
      <c r="AR13" s="1845"/>
      <c r="AS13" s="1845"/>
      <c r="AT13" s="1845"/>
      <c r="AU13" s="1845"/>
      <c r="AV13" s="1845"/>
      <c r="AW13" s="1845"/>
      <c r="AX13" s="1845"/>
      <c r="AY13" s="1845"/>
      <c r="AZ13" s="1845"/>
      <c r="BA13" s="1845"/>
      <c r="BB13" s="1845"/>
      <c r="BC13" s="1845"/>
      <c r="BD13" s="1845"/>
      <c r="BE13" s="1845"/>
      <c r="BF13" s="1845"/>
      <c r="BG13" s="1845"/>
      <c r="BH13" s="1845"/>
      <c r="BI13" s="81"/>
    </row>
    <row r="14" spans="1:63" ht="22.5" customHeight="1">
      <c r="A14" s="2180" t="s">
        <v>583</v>
      </c>
      <c r="B14" s="2180"/>
      <c r="C14" s="2180"/>
      <c r="D14" s="2180"/>
      <c r="E14" s="2180"/>
      <c r="F14" s="2180"/>
      <c r="G14" s="2180"/>
      <c r="H14" s="2180"/>
      <c r="I14" s="2180"/>
      <c r="J14" s="2180"/>
      <c r="K14" s="2180"/>
      <c r="L14" s="2180"/>
      <c r="M14" s="2180"/>
      <c r="N14" s="350"/>
      <c r="O14" s="350"/>
      <c r="P14" s="1845"/>
      <c r="Q14" s="1845"/>
      <c r="R14" s="1845"/>
      <c r="S14" s="1845"/>
      <c r="T14" s="1845"/>
      <c r="U14" s="1845"/>
      <c r="V14" s="1845"/>
      <c r="W14" s="1845"/>
      <c r="X14" s="1845"/>
      <c r="Y14" s="1871"/>
      <c r="Z14" s="1871"/>
      <c r="AA14" s="1871"/>
      <c r="AB14" s="1871"/>
      <c r="AC14" s="1871"/>
      <c r="AD14" s="1871"/>
      <c r="AE14" s="1871"/>
      <c r="AF14" s="1871"/>
      <c r="AG14" s="1871"/>
      <c r="AH14" s="1845"/>
      <c r="AI14" s="1845"/>
      <c r="AJ14" s="1845"/>
      <c r="AK14" s="1845"/>
      <c r="AL14" s="1845"/>
      <c r="AM14" s="1845"/>
      <c r="AN14" s="1845"/>
      <c r="AO14" s="1845"/>
      <c r="AP14" s="1845"/>
      <c r="AQ14" s="1880" t="s">
        <v>378</v>
      </c>
      <c r="AR14" s="1880"/>
      <c r="AS14" s="1880"/>
      <c r="AT14" s="1880"/>
      <c r="AU14" s="1880"/>
      <c r="AV14" s="1880"/>
      <c r="AW14" s="1880"/>
      <c r="AX14" s="1880"/>
      <c r="AY14" s="1880"/>
      <c r="AZ14" s="1845" t="s">
        <v>356</v>
      </c>
      <c r="BA14" s="1845"/>
      <c r="BB14" s="1845"/>
      <c r="BC14" s="1845"/>
      <c r="BD14" s="1845"/>
      <c r="BE14" s="1845"/>
      <c r="BF14" s="1845"/>
      <c r="BG14" s="1845"/>
      <c r="BH14" s="1845"/>
      <c r="BI14" s="81"/>
    </row>
    <row r="15" spans="1:63" ht="25.5" customHeight="1">
      <c r="A15" s="331"/>
      <c r="B15" s="1866" t="s">
        <v>128</v>
      </c>
      <c r="C15" s="1866"/>
      <c r="D15" s="1866"/>
      <c r="E15" s="1866"/>
      <c r="F15" s="1866"/>
      <c r="G15" s="1866"/>
      <c r="H15" s="1866"/>
      <c r="I15" s="1866"/>
      <c r="J15" s="1866"/>
      <c r="K15" s="1866"/>
      <c r="L15" s="1866"/>
      <c r="M15" s="1866"/>
      <c r="N15" s="1866"/>
      <c r="O15" s="329"/>
      <c r="P15" s="1884">
        <f>貸付_入力!C48</f>
        <v>7148000</v>
      </c>
      <c r="Q15" s="1884"/>
      <c r="R15" s="1884"/>
      <c r="S15" s="1884"/>
      <c r="T15" s="1884"/>
      <c r="U15" s="1884"/>
      <c r="V15" s="1884"/>
      <c r="W15" s="1884"/>
      <c r="X15" s="458"/>
      <c r="Y15" s="2158">
        <f>貸付_財務諸表!B37</f>
        <v>6345567</v>
      </c>
      <c r="Z15" s="2158"/>
      <c r="AA15" s="2158"/>
      <c r="AB15" s="2158"/>
      <c r="AC15" s="2158"/>
      <c r="AD15" s="2158"/>
      <c r="AE15" s="2158"/>
      <c r="AF15" s="2158"/>
      <c r="AG15" s="455"/>
      <c r="AH15" s="1912">
        <f t="shared" ref="AH15:AH32" si="0">Y15-P15</f>
        <v>-802433</v>
      </c>
      <c r="AI15" s="1912"/>
      <c r="AJ15" s="1912"/>
      <c r="AK15" s="1912"/>
      <c r="AL15" s="1912"/>
      <c r="AM15" s="1912"/>
      <c r="AN15" s="1912"/>
      <c r="AO15" s="1912"/>
      <c r="AP15" s="451"/>
      <c r="AQ15" s="2158">
        <f>前年度貼付!$E$286</f>
        <v>6160420</v>
      </c>
      <c r="AR15" s="2158"/>
      <c r="AS15" s="2158"/>
      <c r="AT15" s="2158"/>
      <c r="AU15" s="2158"/>
      <c r="AV15" s="2158"/>
      <c r="AW15" s="2158"/>
      <c r="AX15" s="2158"/>
      <c r="AY15" s="451"/>
      <c r="AZ15" s="1912">
        <f t="shared" ref="AZ15:AZ32" si="1">Y15-AQ15</f>
        <v>185147</v>
      </c>
      <c r="BA15" s="1912"/>
      <c r="BB15" s="1912"/>
      <c r="BC15" s="1912"/>
      <c r="BD15" s="1912"/>
      <c r="BE15" s="1912"/>
      <c r="BF15" s="1912"/>
      <c r="BG15" s="1912"/>
      <c r="BH15" s="532"/>
      <c r="BI15" s="81"/>
    </row>
    <row r="16" spans="1:63" ht="25.5" customHeight="1">
      <c r="A16" s="331"/>
      <c r="B16" s="1866" t="s">
        <v>129</v>
      </c>
      <c r="C16" s="1866"/>
      <c r="D16" s="1866"/>
      <c r="E16" s="1866"/>
      <c r="F16" s="1866"/>
      <c r="G16" s="1866"/>
      <c r="H16" s="1866"/>
      <c r="I16" s="1866"/>
      <c r="J16" s="1866"/>
      <c r="K16" s="1866"/>
      <c r="L16" s="1866"/>
      <c r="M16" s="1866"/>
      <c r="N16" s="1866"/>
      <c r="O16" s="329"/>
      <c r="P16" s="1892">
        <v>11000</v>
      </c>
      <c r="Q16" s="1884"/>
      <c r="R16" s="1884"/>
      <c r="S16" s="1884"/>
      <c r="T16" s="1884"/>
      <c r="U16" s="1884"/>
      <c r="V16" s="1884"/>
      <c r="W16" s="1884"/>
      <c r="X16" s="458"/>
      <c r="Y16" s="2158">
        <f>貸付_財務諸表!B38</f>
        <v>23507</v>
      </c>
      <c r="Z16" s="2158"/>
      <c r="AA16" s="2158"/>
      <c r="AB16" s="2158"/>
      <c r="AC16" s="2158"/>
      <c r="AD16" s="2158"/>
      <c r="AE16" s="2158"/>
      <c r="AF16" s="2158"/>
      <c r="AG16" s="455"/>
      <c r="AH16" s="1912">
        <f t="shared" si="0"/>
        <v>12507</v>
      </c>
      <c r="AI16" s="1912"/>
      <c r="AJ16" s="1912"/>
      <c r="AK16" s="1912"/>
      <c r="AL16" s="1912"/>
      <c r="AM16" s="1912"/>
      <c r="AN16" s="1912"/>
      <c r="AO16" s="1912"/>
      <c r="AP16" s="451"/>
      <c r="AQ16" s="2158">
        <f>前年度貼付!$E$287</f>
        <v>10890</v>
      </c>
      <c r="AR16" s="2158"/>
      <c r="AS16" s="2158"/>
      <c r="AT16" s="2158"/>
      <c r="AU16" s="2158"/>
      <c r="AV16" s="2158"/>
      <c r="AW16" s="2158"/>
      <c r="AX16" s="2158"/>
      <c r="AY16" s="451"/>
      <c r="AZ16" s="1912">
        <f t="shared" si="1"/>
        <v>12617</v>
      </c>
      <c r="BA16" s="1912"/>
      <c r="BB16" s="1912"/>
      <c r="BC16" s="1912"/>
      <c r="BD16" s="1912"/>
      <c r="BE16" s="1912"/>
      <c r="BF16" s="1912"/>
      <c r="BG16" s="1912"/>
      <c r="BH16" s="532"/>
      <c r="BI16" s="81"/>
    </row>
    <row r="17" spans="1:61" ht="25.5" customHeight="1">
      <c r="A17" s="331"/>
      <c r="B17" s="1866" t="s">
        <v>130</v>
      </c>
      <c r="C17" s="1866"/>
      <c r="D17" s="1866"/>
      <c r="E17" s="1866"/>
      <c r="F17" s="1866"/>
      <c r="G17" s="1866"/>
      <c r="H17" s="1866"/>
      <c r="I17" s="1866"/>
      <c r="J17" s="1866"/>
      <c r="K17" s="1866"/>
      <c r="L17" s="1866"/>
      <c r="M17" s="1866"/>
      <c r="N17" s="1866"/>
      <c r="O17" s="329"/>
      <c r="P17" s="1884">
        <f>貸付_入力!C49</f>
        <v>364000</v>
      </c>
      <c r="Q17" s="1884"/>
      <c r="R17" s="1884"/>
      <c r="S17" s="1884"/>
      <c r="T17" s="1884"/>
      <c r="U17" s="1884"/>
      <c r="V17" s="1884"/>
      <c r="W17" s="1884"/>
      <c r="X17" s="458"/>
      <c r="Y17" s="2158">
        <f>貸付_財務諸表!B39</f>
        <v>0</v>
      </c>
      <c r="Z17" s="2158"/>
      <c r="AA17" s="2158"/>
      <c r="AB17" s="2158"/>
      <c r="AC17" s="2158"/>
      <c r="AD17" s="2158"/>
      <c r="AE17" s="2158"/>
      <c r="AF17" s="2158"/>
      <c r="AG17" s="455"/>
      <c r="AH17" s="1912">
        <f t="shared" si="0"/>
        <v>-364000</v>
      </c>
      <c r="AI17" s="1912"/>
      <c r="AJ17" s="1912"/>
      <c r="AK17" s="1912"/>
      <c r="AL17" s="1912"/>
      <c r="AM17" s="1912"/>
      <c r="AN17" s="1912"/>
      <c r="AO17" s="1912"/>
      <c r="AP17" s="451"/>
      <c r="AQ17" s="2158">
        <f>前年度貼付!$E$288</f>
        <v>0</v>
      </c>
      <c r="AR17" s="2158"/>
      <c r="AS17" s="2158"/>
      <c r="AT17" s="2158"/>
      <c r="AU17" s="2158"/>
      <c r="AV17" s="2158"/>
      <c r="AW17" s="2158"/>
      <c r="AX17" s="2158"/>
      <c r="AY17" s="451"/>
      <c r="AZ17" s="1912">
        <f t="shared" si="1"/>
        <v>0</v>
      </c>
      <c r="BA17" s="1912"/>
      <c r="BB17" s="1912"/>
      <c r="BC17" s="1912"/>
      <c r="BD17" s="1912"/>
      <c r="BE17" s="1912"/>
      <c r="BF17" s="1912"/>
      <c r="BG17" s="1912"/>
      <c r="BH17" s="532"/>
      <c r="BI17" s="81"/>
    </row>
    <row r="18" spans="1:61" ht="25.5" customHeight="1">
      <c r="A18" s="331"/>
      <c r="B18" s="1866" t="s">
        <v>131</v>
      </c>
      <c r="C18" s="1866"/>
      <c r="D18" s="1866"/>
      <c r="E18" s="1866"/>
      <c r="F18" s="1866"/>
      <c r="G18" s="1866"/>
      <c r="H18" s="1866"/>
      <c r="I18" s="1866"/>
      <c r="J18" s="1866"/>
      <c r="K18" s="1866"/>
      <c r="L18" s="1866"/>
      <c r="M18" s="1866"/>
      <c r="N18" s="1866"/>
      <c r="O18" s="329"/>
      <c r="P18" s="1884">
        <f>貸付_入力!C50</f>
        <v>1489000</v>
      </c>
      <c r="Q18" s="1884"/>
      <c r="R18" s="1884"/>
      <c r="S18" s="1884"/>
      <c r="T18" s="1884"/>
      <c r="U18" s="1884"/>
      <c r="V18" s="1884"/>
      <c r="W18" s="1884"/>
      <c r="X18" s="458"/>
      <c r="Y18" s="2158">
        <f>貸付_財務諸表!B40</f>
        <v>635259</v>
      </c>
      <c r="Z18" s="2158"/>
      <c r="AA18" s="2158"/>
      <c r="AB18" s="2158"/>
      <c r="AC18" s="2158"/>
      <c r="AD18" s="2158"/>
      <c r="AE18" s="2158"/>
      <c r="AF18" s="2158"/>
      <c r="AG18" s="455"/>
      <c r="AH18" s="1912">
        <f t="shared" si="0"/>
        <v>-853741</v>
      </c>
      <c r="AI18" s="1912"/>
      <c r="AJ18" s="1912"/>
      <c r="AK18" s="1912"/>
      <c r="AL18" s="1912"/>
      <c r="AM18" s="1912"/>
      <c r="AN18" s="1912"/>
      <c r="AO18" s="1912"/>
      <c r="AP18" s="451"/>
      <c r="AQ18" s="2158">
        <f>前年度貼付!$E$289</f>
        <v>365797</v>
      </c>
      <c r="AR18" s="2158"/>
      <c r="AS18" s="2158"/>
      <c r="AT18" s="2158"/>
      <c r="AU18" s="2158"/>
      <c r="AV18" s="2158"/>
      <c r="AW18" s="2158"/>
      <c r="AX18" s="2158"/>
      <c r="AY18" s="451"/>
      <c r="AZ18" s="1912">
        <f t="shared" si="1"/>
        <v>269462</v>
      </c>
      <c r="BA18" s="1912"/>
      <c r="BB18" s="1912"/>
      <c r="BC18" s="1912"/>
      <c r="BD18" s="1912"/>
      <c r="BE18" s="1912"/>
      <c r="BF18" s="1912"/>
      <c r="BG18" s="1912"/>
      <c r="BH18" s="532"/>
      <c r="BI18" s="81"/>
    </row>
    <row r="19" spans="1:61" ht="25.5" customHeight="1">
      <c r="A19" s="331"/>
      <c r="B19" s="1866" t="s">
        <v>132</v>
      </c>
      <c r="C19" s="1866"/>
      <c r="D19" s="1866"/>
      <c r="E19" s="1866"/>
      <c r="F19" s="1866"/>
      <c r="G19" s="1866"/>
      <c r="H19" s="1866"/>
      <c r="I19" s="1866"/>
      <c r="J19" s="1866"/>
      <c r="K19" s="1866"/>
      <c r="L19" s="1866"/>
      <c r="M19" s="1866"/>
      <c r="N19" s="1866"/>
      <c r="O19" s="329"/>
      <c r="P19" s="1892">
        <v>5351000</v>
      </c>
      <c r="Q19" s="1884"/>
      <c r="R19" s="1884"/>
      <c r="S19" s="1884"/>
      <c r="T19" s="1884"/>
      <c r="U19" s="1884"/>
      <c r="V19" s="1884"/>
      <c r="W19" s="1884"/>
      <c r="X19" s="458"/>
      <c r="Y19" s="2158">
        <f>貸付_財務諸表!B41</f>
        <v>4403185</v>
      </c>
      <c r="Z19" s="2158"/>
      <c r="AA19" s="2158"/>
      <c r="AB19" s="2158"/>
      <c r="AC19" s="2158"/>
      <c r="AD19" s="2158"/>
      <c r="AE19" s="2158"/>
      <c r="AF19" s="2158"/>
      <c r="AG19" s="455"/>
      <c r="AH19" s="1912">
        <f t="shared" si="0"/>
        <v>-947815</v>
      </c>
      <c r="AI19" s="1912"/>
      <c r="AJ19" s="1912"/>
      <c r="AK19" s="1912"/>
      <c r="AL19" s="1912"/>
      <c r="AM19" s="1912"/>
      <c r="AN19" s="1912"/>
      <c r="AO19" s="1912"/>
      <c r="AP19" s="451"/>
      <c r="AQ19" s="2158">
        <f>前年度貼付!$E$290</f>
        <v>3977910</v>
      </c>
      <c r="AR19" s="2158"/>
      <c r="AS19" s="2158"/>
      <c r="AT19" s="2158"/>
      <c r="AU19" s="2158"/>
      <c r="AV19" s="2158"/>
      <c r="AW19" s="2158"/>
      <c r="AX19" s="2158"/>
      <c r="AY19" s="451"/>
      <c r="AZ19" s="1912">
        <f t="shared" si="1"/>
        <v>425275</v>
      </c>
      <c r="BA19" s="1912"/>
      <c r="BB19" s="1912"/>
      <c r="BC19" s="1912"/>
      <c r="BD19" s="1912"/>
      <c r="BE19" s="1912"/>
      <c r="BF19" s="1912"/>
      <c r="BG19" s="1912"/>
      <c r="BH19" s="532"/>
      <c r="BI19" s="81"/>
    </row>
    <row r="20" spans="1:61" ht="25.5" customHeight="1">
      <c r="A20" s="331"/>
      <c r="B20" s="1866" t="s">
        <v>133</v>
      </c>
      <c r="C20" s="1866"/>
      <c r="D20" s="1866"/>
      <c r="E20" s="1866"/>
      <c r="F20" s="1866"/>
      <c r="G20" s="1866"/>
      <c r="H20" s="1866"/>
      <c r="I20" s="1866"/>
      <c r="J20" s="1866"/>
      <c r="K20" s="1866"/>
      <c r="L20" s="1866"/>
      <c r="M20" s="1866"/>
      <c r="N20" s="1866"/>
      <c r="O20" s="329"/>
      <c r="P20" s="1892">
        <v>230000</v>
      </c>
      <c r="Q20" s="1884"/>
      <c r="R20" s="1884"/>
      <c r="S20" s="1884"/>
      <c r="T20" s="1884"/>
      <c r="U20" s="1884"/>
      <c r="V20" s="1884"/>
      <c r="W20" s="1884"/>
      <c r="X20" s="458"/>
      <c r="Y20" s="2158">
        <f>貸付_財務諸表!B42</f>
        <v>229663</v>
      </c>
      <c r="Z20" s="2158"/>
      <c r="AA20" s="2158"/>
      <c r="AB20" s="2158"/>
      <c r="AC20" s="2158"/>
      <c r="AD20" s="2158"/>
      <c r="AE20" s="2158"/>
      <c r="AF20" s="2158"/>
      <c r="AG20" s="455"/>
      <c r="AH20" s="1912">
        <f t="shared" si="0"/>
        <v>-337</v>
      </c>
      <c r="AI20" s="1912"/>
      <c r="AJ20" s="1912"/>
      <c r="AK20" s="1912"/>
      <c r="AL20" s="1912"/>
      <c r="AM20" s="1912"/>
      <c r="AN20" s="1912"/>
      <c r="AO20" s="1912"/>
      <c r="AP20" s="451"/>
      <c r="AQ20" s="2158">
        <f>前年度貼付!$E$291</f>
        <v>3695884</v>
      </c>
      <c r="AR20" s="2158"/>
      <c r="AS20" s="2158"/>
      <c r="AT20" s="2158"/>
      <c r="AU20" s="2158"/>
      <c r="AV20" s="2158"/>
      <c r="AW20" s="2158"/>
      <c r="AX20" s="2158"/>
      <c r="AY20" s="451"/>
      <c r="AZ20" s="1912">
        <f t="shared" si="1"/>
        <v>-3466221</v>
      </c>
      <c r="BA20" s="1912"/>
      <c r="BB20" s="1912"/>
      <c r="BC20" s="1912"/>
      <c r="BD20" s="1912"/>
      <c r="BE20" s="1912"/>
      <c r="BF20" s="1912"/>
      <c r="BG20" s="1912"/>
      <c r="BH20" s="532"/>
      <c r="BI20" s="81"/>
    </row>
    <row r="21" spans="1:61" ht="25.5" customHeight="1">
      <c r="A21" s="331"/>
      <c r="B21" s="1866" t="s">
        <v>136</v>
      </c>
      <c r="C21" s="1866"/>
      <c r="D21" s="1866"/>
      <c r="E21" s="1866"/>
      <c r="F21" s="1866"/>
      <c r="G21" s="1866"/>
      <c r="H21" s="1866"/>
      <c r="I21" s="1866"/>
      <c r="J21" s="1866"/>
      <c r="K21" s="1866"/>
      <c r="L21" s="1866"/>
      <c r="M21" s="1866"/>
      <c r="N21" s="1866"/>
      <c r="O21" s="329"/>
      <c r="P21" s="1892">
        <v>100000</v>
      </c>
      <c r="Q21" s="1884"/>
      <c r="R21" s="1884"/>
      <c r="S21" s="1884"/>
      <c r="T21" s="1884"/>
      <c r="U21" s="1884"/>
      <c r="V21" s="1884"/>
      <c r="W21" s="1884"/>
      <c r="X21" s="458"/>
      <c r="Y21" s="2178">
        <v>0</v>
      </c>
      <c r="Z21" s="2158"/>
      <c r="AA21" s="2158"/>
      <c r="AB21" s="2158"/>
      <c r="AC21" s="2158"/>
      <c r="AD21" s="2158"/>
      <c r="AE21" s="2158"/>
      <c r="AF21" s="2158"/>
      <c r="AG21" s="455"/>
      <c r="AH21" s="1912">
        <f t="shared" si="0"/>
        <v>-100000</v>
      </c>
      <c r="AI21" s="1912"/>
      <c r="AJ21" s="1912"/>
      <c r="AK21" s="1912"/>
      <c r="AL21" s="1912"/>
      <c r="AM21" s="1912"/>
      <c r="AN21" s="1912"/>
      <c r="AO21" s="1912"/>
      <c r="AP21" s="451"/>
      <c r="AQ21" s="2158">
        <f>前年度貼付!$E$292</f>
        <v>0</v>
      </c>
      <c r="AR21" s="2158"/>
      <c r="AS21" s="2158"/>
      <c r="AT21" s="2158"/>
      <c r="AU21" s="2158"/>
      <c r="AV21" s="2158"/>
      <c r="AW21" s="2158"/>
      <c r="AX21" s="2158"/>
      <c r="AY21" s="451"/>
      <c r="AZ21" s="1912">
        <f t="shared" si="1"/>
        <v>0</v>
      </c>
      <c r="BA21" s="1912"/>
      <c r="BB21" s="1912"/>
      <c r="BC21" s="1912"/>
      <c r="BD21" s="1912"/>
      <c r="BE21" s="1912"/>
      <c r="BF21" s="1912"/>
      <c r="BG21" s="1912"/>
      <c r="BH21" s="532"/>
      <c r="BI21" s="81"/>
    </row>
    <row r="22" spans="1:61" ht="25.5" customHeight="1">
      <c r="A22" s="331"/>
      <c r="B22" s="1866" t="s">
        <v>137</v>
      </c>
      <c r="C22" s="1866"/>
      <c r="D22" s="1866"/>
      <c r="E22" s="1866"/>
      <c r="F22" s="1866"/>
      <c r="G22" s="1866"/>
      <c r="H22" s="1866"/>
      <c r="I22" s="1866"/>
      <c r="J22" s="1866"/>
      <c r="K22" s="1866"/>
      <c r="L22" s="1866"/>
      <c r="M22" s="1866"/>
      <c r="N22" s="1866"/>
      <c r="O22" s="329"/>
      <c r="P22" s="1892">
        <v>913000</v>
      </c>
      <c r="Q22" s="1884"/>
      <c r="R22" s="1884"/>
      <c r="S22" s="1884"/>
      <c r="T22" s="1884"/>
      <c r="U22" s="1884"/>
      <c r="V22" s="1884"/>
      <c r="W22" s="1884"/>
      <c r="X22" s="458"/>
      <c r="Y22" s="2158">
        <f>貸付_財務諸表!B43</f>
        <v>912240</v>
      </c>
      <c r="Z22" s="2158"/>
      <c r="AA22" s="2158"/>
      <c r="AB22" s="2158"/>
      <c r="AC22" s="2158"/>
      <c r="AD22" s="2158"/>
      <c r="AE22" s="2158"/>
      <c r="AF22" s="2158"/>
      <c r="AG22" s="455"/>
      <c r="AH22" s="1912">
        <f t="shared" si="0"/>
        <v>-760</v>
      </c>
      <c r="AI22" s="1912"/>
      <c r="AJ22" s="1912"/>
      <c r="AK22" s="1912"/>
      <c r="AL22" s="1912"/>
      <c r="AM22" s="1912"/>
      <c r="AN22" s="1912"/>
      <c r="AO22" s="1912"/>
      <c r="AP22" s="451"/>
      <c r="AQ22" s="2158">
        <f>前年度貼付!$E$293</f>
        <v>768012</v>
      </c>
      <c r="AR22" s="2158"/>
      <c r="AS22" s="2158"/>
      <c r="AT22" s="2158"/>
      <c r="AU22" s="2158"/>
      <c r="AV22" s="2158"/>
      <c r="AW22" s="2158"/>
      <c r="AX22" s="2158"/>
      <c r="AY22" s="451"/>
      <c r="AZ22" s="1912">
        <f t="shared" si="1"/>
        <v>144228</v>
      </c>
      <c r="BA22" s="1912"/>
      <c r="BB22" s="1912"/>
      <c r="BC22" s="1912"/>
      <c r="BD22" s="1912"/>
      <c r="BE22" s="1912"/>
      <c r="BF22" s="1912"/>
      <c r="BG22" s="1912"/>
      <c r="BH22" s="532"/>
      <c r="BI22" s="81"/>
    </row>
    <row r="23" spans="1:61" ht="25.5" customHeight="1">
      <c r="A23" s="331"/>
      <c r="B23" s="1866" t="s">
        <v>152</v>
      </c>
      <c r="C23" s="1866"/>
      <c r="D23" s="1866"/>
      <c r="E23" s="1866"/>
      <c r="F23" s="1866"/>
      <c r="G23" s="1866"/>
      <c r="H23" s="1866"/>
      <c r="I23" s="1866"/>
      <c r="J23" s="1866"/>
      <c r="K23" s="1866"/>
      <c r="L23" s="1866"/>
      <c r="M23" s="1866"/>
      <c r="N23" s="1866"/>
      <c r="O23" s="329"/>
      <c r="P23" s="1892">
        <v>0</v>
      </c>
      <c r="Q23" s="1884"/>
      <c r="R23" s="1884"/>
      <c r="S23" s="1884"/>
      <c r="T23" s="1884"/>
      <c r="U23" s="1884"/>
      <c r="V23" s="1884"/>
      <c r="W23" s="1884"/>
      <c r="X23" s="458"/>
      <c r="Y23" s="2178">
        <v>0</v>
      </c>
      <c r="Z23" s="2158"/>
      <c r="AA23" s="2158"/>
      <c r="AB23" s="2158"/>
      <c r="AC23" s="2158"/>
      <c r="AD23" s="2158"/>
      <c r="AE23" s="2158"/>
      <c r="AF23" s="2158"/>
      <c r="AG23" s="455"/>
      <c r="AH23" s="1912">
        <f t="shared" si="0"/>
        <v>0</v>
      </c>
      <c r="AI23" s="1912"/>
      <c r="AJ23" s="1912"/>
      <c r="AK23" s="1912"/>
      <c r="AL23" s="1912"/>
      <c r="AM23" s="1912"/>
      <c r="AN23" s="1912"/>
      <c r="AO23" s="1912"/>
      <c r="AP23" s="451"/>
      <c r="AQ23" s="2158">
        <f>前年度貼付!$E$294</f>
        <v>0</v>
      </c>
      <c r="AR23" s="2158"/>
      <c r="AS23" s="2158"/>
      <c r="AT23" s="2158"/>
      <c r="AU23" s="2158"/>
      <c r="AV23" s="2158"/>
      <c r="AW23" s="2158"/>
      <c r="AX23" s="2158"/>
      <c r="AY23" s="451"/>
      <c r="AZ23" s="1912">
        <f t="shared" si="1"/>
        <v>0</v>
      </c>
      <c r="BA23" s="1912"/>
      <c r="BB23" s="1912"/>
      <c r="BC23" s="1912"/>
      <c r="BD23" s="1912"/>
      <c r="BE23" s="1912"/>
      <c r="BF23" s="1912"/>
      <c r="BG23" s="1912"/>
      <c r="BH23" s="532"/>
      <c r="BI23" s="81"/>
    </row>
    <row r="24" spans="1:61" ht="25.5" customHeight="1">
      <c r="A24" s="331"/>
      <c r="B24" s="1866" t="s">
        <v>138</v>
      </c>
      <c r="C24" s="1866"/>
      <c r="D24" s="1866"/>
      <c r="E24" s="1866"/>
      <c r="F24" s="1866"/>
      <c r="G24" s="1866"/>
      <c r="H24" s="1866"/>
      <c r="I24" s="1866"/>
      <c r="J24" s="1866"/>
      <c r="K24" s="1866"/>
      <c r="L24" s="1866"/>
      <c r="M24" s="1866"/>
      <c r="N24" s="1866"/>
      <c r="O24" s="329"/>
      <c r="P24" s="1892">
        <v>689000</v>
      </c>
      <c r="Q24" s="1884"/>
      <c r="R24" s="1884"/>
      <c r="S24" s="1884"/>
      <c r="T24" s="1884"/>
      <c r="U24" s="1884"/>
      <c r="V24" s="1884"/>
      <c r="W24" s="1884"/>
      <c r="X24" s="458"/>
      <c r="Y24" s="2158">
        <f>貸付_財務諸表!B44</f>
        <v>323822</v>
      </c>
      <c r="Z24" s="2158"/>
      <c r="AA24" s="2158"/>
      <c r="AB24" s="2158"/>
      <c r="AC24" s="2158"/>
      <c r="AD24" s="2158"/>
      <c r="AE24" s="2158"/>
      <c r="AF24" s="2158"/>
      <c r="AG24" s="455"/>
      <c r="AH24" s="1912">
        <f t="shared" si="0"/>
        <v>-365178</v>
      </c>
      <c r="AI24" s="1912"/>
      <c r="AJ24" s="1912"/>
      <c r="AK24" s="1912"/>
      <c r="AL24" s="1912"/>
      <c r="AM24" s="1912"/>
      <c r="AN24" s="1912"/>
      <c r="AO24" s="1912"/>
      <c r="AP24" s="451"/>
      <c r="AQ24" s="2158">
        <f>前年度貼付!$E$295</f>
        <v>344075</v>
      </c>
      <c r="AR24" s="2158"/>
      <c r="AS24" s="2158"/>
      <c r="AT24" s="2158"/>
      <c r="AU24" s="2158"/>
      <c r="AV24" s="2158"/>
      <c r="AW24" s="2158"/>
      <c r="AX24" s="2158"/>
      <c r="AY24" s="451"/>
      <c r="AZ24" s="1912">
        <f t="shared" si="1"/>
        <v>-20253</v>
      </c>
      <c r="BA24" s="1912"/>
      <c r="BB24" s="1912"/>
      <c r="BC24" s="1912"/>
      <c r="BD24" s="1912"/>
      <c r="BE24" s="1912"/>
      <c r="BF24" s="1912"/>
      <c r="BG24" s="1912"/>
      <c r="BH24" s="532"/>
      <c r="BI24" s="81"/>
    </row>
    <row r="25" spans="1:61" ht="25.5" customHeight="1">
      <c r="A25" s="331"/>
      <c r="B25" s="1866" t="s">
        <v>173</v>
      </c>
      <c r="C25" s="1866"/>
      <c r="D25" s="1866"/>
      <c r="E25" s="1866"/>
      <c r="F25" s="1866"/>
      <c r="G25" s="1866"/>
      <c r="H25" s="1866"/>
      <c r="I25" s="1866"/>
      <c r="J25" s="1866"/>
      <c r="K25" s="1866"/>
      <c r="L25" s="1866"/>
      <c r="M25" s="1866"/>
      <c r="N25" s="1866"/>
      <c r="O25" s="329"/>
      <c r="P25" s="1892">
        <v>0</v>
      </c>
      <c r="Q25" s="1884"/>
      <c r="R25" s="1884"/>
      <c r="S25" s="1884"/>
      <c r="T25" s="1884"/>
      <c r="U25" s="1884"/>
      <c r="V25" s="1884"/>
      <c r="W25" s="1884"/>
      <c r="X25" s="458"/>
      <c r="Y25" s="2178">
        <v>0</v>
      </c>
      <c r="Z25" s="2158"/>
      <c r="AA25" s="2158"/>
      <c r="AB25" s="2158"/>
      <c r="AC25" s="2158"/>
      <c r="AD25" s="2158"/>
      <c r="AE25" s="2158"/>
      <c r="AF25" s="2158"/>
      <c r="AG25" s="455"/>
      <c r="AH25" s="1912">
        <f t="shared" si="0"/>
        <v>0</v>
      </c>
      <c r="AI25" s="1912"/>
      <c r="AJ25" s="1912"/>
      <c r="AK25" s="1912"/>
      <c r="AL25" s="1912"/>
      <c r="AM25" s="1912"/>
      <c r="AN25" s="1912"/>
      <c r="AO25" s="1912"/>
      <c r="AP25" s="451"/>
      <c r="AQ25" s="2158">
        <f>前年度貼付!$E$296</f>
        <v>0</v>
      </c>
      <c r="AR25" s="2158"/>
      <c r="AS25" s="2158"/>
      <c r="AT25" s="2158"/>
      <c r="AU25" s="2158"/>
      <c r="AV25" s="2158"/>
      <c r="AW25" s="2158"/>
      <c r="AX25" s="2158"/>
      <c r="AY25" s="451"/>
      <c r="AZ25" s="1912">
        <f t="shared" si="1"/>
        <v>0</v>
      </c>
      <c r="BA25" s="1912"/>
      <c r="BB25" s="1912"/>
      <c r="BC25" s="1912"/>
      <c r="BD25" s="1912"/>
      <c r="BE25" s="1912"/>
      <c r="BF25" s="1912"/>
      <c r="BG25" s="1912"/>
      <c r="BH25" s="532"/>
      <c r="BI25" s="81"/>
    </row>
    <row r="26" spans="1:61" ht="25.5" customHeight="1">
      <c r="A26" s="331"/>
      <c r="B26" s="1866" t="s">
        <v>125</v>
      </c>
      <c r="C26" s="1866"/>
      <c r="D26" s="1866"/>
      <c r="E26" s="1866"/>
      <c r="F26" s="1866"/>
      <c r="G26" s="1866"/>
      <c r="H26" s="1866"/>
      <c r="I26" s="1866"/>
      <c r="J26" s="1866"/>
      <c r="K26" s="1866"/>
      <c r="L26" s="1866"/>
      <c r="M26" s="1866"/>
      <c r="N26" s="1866"/>
      <c r="O26" s="329"/>
      <c r="P26" s="1892">
        <v>2061000</v>
      </c>
      <c r="Q26" s="1884"/>
      <c r="R26" s="1884"/>
      <c r="S26" s="1884"/>
      <c r="T26" s="1884"/>
      <c r="U26" s="1884"/>
      <c r="V26" s="1884"/>
      <c r="W26" s="1884"/>
      <c r="X26" s="458"/>
      <c r="Y26" s="2158">
        <f>貸付_財務諸表!B45</f>
        <v>1896954</v>
      </c>
      <c r="Z26" s="2158"/>
      <c r="AA26" s="2158"/>
      <c r="AB26" s="2158"/>
      <c r="AC26" s="2158"/>
      <c r="AD26" s="2158"/>
      <c r="AE26" s="2158"/>
      <c r="AF26" s="2158"/>
      <c r="AG26" s="455"/>
      <c r="AH26" s="1912">
        <f t="shared" si="0"/>
        <v>-164046</v>
      </c>
      <c r="AI26" s="1912"/>
      <c r="AJ26" s="1912"/>
      <c r="AK26" s="1912"/>
      <c r="AL26" s="1912"/>
      <c r="AM26" s="1912"/>
      <c r="AN26" s="1912"/>
      <c r="AO26" s="1912"/>
      <c r="AP26" s="451"/>
      <c r="AQ26" s="2158">
        <f>前年度貼付!$E$297</f>
        <v>1630292</v>
      </c>
      <c r="AR26" s="2158"/>
      <c r="AS26" s="2158"/>
      <c r="AT26" s="2158"/>
      <c r="AU26" s="2158"/>
      <c r="AV26" s="2158"/>
      <c r="AW26" s="2158"/>
      <c r="AX26" s="2158"/>
      <c r="AY26" s="451"/>
      <c r="AZ26" s="1912">
        <f t="shared" si="1"/>
        <v>266662</v>
      </c>
      <c r="BA26" s="1912"/>
      <c r="BB26" s="1912"/>
      <c r="BC26" s="1912"/>
      <c r="BD26" s="1912"/>
      <c r="BE26" s="1912"/>
      <c r="BF26" s="1912"/>
      <c r="BG26" s="1912"/>
      <c r="BH26" s="532"/>
      <c r="BI26" s="81"/>
    </row>
    <row r="27" spans="1:61" ht="25.5" customHeight="1">
      <c r="A27" s="331"/>
      <c r="B27" s="1866" t="s">
        <v>174</v>
      </c>
      <c r="C27" s="1866"/>
      <c r="D27" s="1866"/>
      <c r="E27" s="1866"/>
      <c r="F27" s="1866"/>
      <c r="G27" s="1866"/>
      <c r="H27" s="1866"/>
      <c r="I27" s="1866"/>
      <c r="J27" s="1866"/>
      <c r="K27" s="1866"/>
      <c r="L27" s="1866"/>
      <c r="M27" s="1866"/>
      <c r="N27" s="1866"/>
      <c r="O27" s="329"/>
      <c r="P27" s="1892">
        <v>113000</v>
      </c>
      <c r="Q27" s="1884"/>
      <c r="R27" s="1884"/>
      <c r="S27" s="1884"/>
      <c r="T27" s="1884"/>
      <c r="U27" s="1884"/>
      <c r="V27" s="1884"/>
      <c r="W27" s="1884"/>
      <c r="X27" s="458"/>
      <c r="Y27" s="2158">
        <f>貸付_財務諸表!B46</f>
        <v>112191</v>
      </c>
      <c r="Z27" s="2158"/>
      <c r="AA27" s="2158"/>
      <c r="AB27" s="2158"/>
      <c r="AC27" s="2158"/>
      <c r="AD27" s="2158"/>
      <c r="AE27" s="2158"/>
      <c r="AF27" s="2158"/>
      <c r="AG27" s="455"/>
      <c r="AH27" s="1912">
        <f t="shared" si="0"/>
        <v>-809</v>
      </c>
      <c r="AI27" s="1912"/>
      <c r="AJ27" s="1912"/>
      <c r="AK27" s="1912"/>
      <c r="AL27" s="1912"/>
      <c r="AM27" s="1912"/>
      <c r="AN27" s="1912"/>
      <c r="AO27" s="1912"/>
      <c r="AP27" s="451"/>
      <c r="AQ27" s="2158">
        <f>前年度貼付!$E$298</f>
        <v>1156845</v>
      </c>
      <c r="AR27" s="2158"/>
      <c r="AS27" s="2158"/>
      <c r="AT27" s="2158"/>
      <c r="AU27" s="2158"/>
      <c r="AV27" s="2158"/>
      <c r="AW27" s="2158"/>
      <c r="AX27" s="2158"/>
      <c r="AY27" s="451"/>
      <c r="AZ27" s="1912">
        <f t="shared" si="1"/>
        <v>-1044654</v>
      </c>
      <c r="BA27" s="1912"/>
      <c r="BB27" s="1912"/>
      <c r="BC27" s="1912"/>
      <c r="BD27" s="1912"/>
      <c r="BE27" s="1912"/>
      <c r="BF27" s="1912"/>
      <c r="BG27" s="1912"/>
      <c r="BH27" s="532"/>
      <c r="BI27" s="81"/>
    </row>
    <row r="28" spans="1:61" ht="25.5" customHeight="1">
      <c r="A28" s="331"/>
      <c r="B28" s="1866" t="s">
        <v>175</v>
      </c>
      <c r="C28" s="1866"/>
      <c r="D28" s="1866"/>
      <c r="E28" s="1866"/>
      <c r="F28" s="1866"/>
      <c r="G28" s="1866"/>
      <c r="H28" s="1866"/>
      <c r="I28" s="1866"/>
      <c r="J28" s="1866"/>
      <c r="K28" s="1866"/>
      <c r="L28" s="1866"/>
      <c r="M28" s="1866"/>
      <c r="N28" s="1866"/>
      <c r="O28" s="329"/>
      <c r="P28" s="1892">
        <v>0</v>
      </c>
      <c r="Q28" s="1884"/>
      <c r="R28" s="1884"/>
      <c r="S28" s="1884"/>
      <c r="T28" s="1884"/>
      <c r="U28" s="1884"/>
      <c r="V28" s="1884"/>
      <c r="W28" s="1884"/>
      <c r="X28" s="458"/>
      <c r="Y28" s="2178">
        <v>0</v>
      </c>
      <c r="Z28" s="2158"/>
      <c r="AA28" s="2158"/>
      <c r="AB28" s="2158"/>
      <c r="AC28" s="2158"/>
      <c r="AD28" s="2158"/>
      <c r="AE28" s="2158"/>
      <c r="AF28" s="2158"/>
      <c r="AG28" s="455"/>
      <c r="AH28" s="1912">
        <f t="shared" si="0"/>
        <v>0</v>
      </c>
      <c r="AI28" s="1912"/>
      <c r="AJ28" s="1912"/>
      <c r="AK28" s="1912"/>
      <c r="AL28" s="1912"/>
      <c r="AM28" s="1912"/>
      <c r="AN28" s="1912"/>
      <c r="AO28" s="1912"/>
      <c r="AP28" s="451"/>
      <c r="AQ28" s="2158">
        <f>前年度貼付!$E$299</f>
        <v>0</v>
      </c>
      <c r="AR28" s="2158"/>
      <c r="AS28" s="2158"/>
      <c r="AT28" s="2158"/>
      <c r="AU28" s="2158"/>
      <c r="AV28" s="2158"/>
      <c r="AW28" s="2158"/>
      <c r="AX28" s="2158"/>
      <c r="AY28" s="451"/>
      <c r="AZ28" s="1912">
        <f t="shared" si="1"/>
        <v>0</v>
      </c>
      <c r="BA28" s="1912"/>
      <c r="BB28" s="1912"/>
      <c r="BC28" s="1912"/>
      <c r="BD28" s="1912"/>
      <c r="BE28" s="1912"/>
      <c r="BF28" s="1912"/>
      <c r="BG28" s="1912"/>
      <c r="BH28" s="532"/>
      <c r="BI28" s="81"/>
    </row>
    <row r="29" spans="1:61" ht="25.5" customHeight="1">
      <c r="A29" s="331"/>
      <c r="B29" s="1866" t="s">
        <v>176</v>
      </c>
      <c r="C29" s="1866"/>
      <c r="D29" s="1866"/>
      <c r="E29" s="1866"/>
      <c r="F29" s="1866"/>
      <c r="G29" s="1866"/>
      <c r="H29" s="1866"/>
      <c r="I29" s="1866"/>
      <c r="J29" s="1866"/>
      <c r="K29" s="1866"/>
      <c r="L29" s="1866"/>
      <c r="M29" s="1866"/>
      <c r="N29" s="1866"/>
      <c r="O29" s="329"/>
      <c r="P29" s="1892">
        <v>0</v>
      </c>
      <c r="Q29" s="1884"/>
      <c r="R29" s="1884"/>
      <c r="S29" s="1884"/>
      <c r="T29" s="1884"/>
      <c r="U29" s="1884"/>
      <c r="V29" s="1884"/>
      <c r="W29" s="1884"/>
      <c r="X29" s="458"/>
      <c r="Y29" s="2178">
        <v>0</v>
      </c>
      <c r="Z29" s="2158"/>
      <c r="AA29" s="2158"/>
      <c r="AB29" s="2158"/>
      <c r="AC29" s="2158"/>
      <c r="AD29" s="2158"/>
      <c r="AE29" s="2158"/>
      <c r="AF29" s="2158"/>
      <c r="AG29" s="455"/>
      <c r="AH29" s="1912">
        <f t="shared" si="0"/>
        <v>0</v>
      </c>
      <c r="AI29" s="1912"/>
      <c r="AJ29" s="1912"/>
      <c r="AK29" s="1912"/>
      <c r="AL29" s="1912"/>
      <c r="AM29" s="1912"/>
      <c r="AN29" s="1912"/>
      <c r="AO29" s="1912"/>
      <c r="AP29" s="451"/>
      <c r="AQ29" s="2158">
        <f>前年度貼付!$E$300</f>
        <v>0</v>
      </c>
      <c r="AR29" s="2158"/>
      <c r="AS29" s="2158"/>
      <c r="AT29" s="2158"/>
      <c r="AU29" s="2158"/>
      <c r="AV29" s="2158"/>
      <c r="AW29" s="2158"/>
      <c r="AX29" s="2158"/>
      <c r="AY29" s="451"/>
      <c r="AZ29" s="1912">
        <f t="shared" si="1"/>
        <v>0</v>
      </c>
      <c r="BA29" s="1912"/>
      <c r="BB29" s="1912"/>
      <c r="BC29" s="1912"/>
      <c r="BD29" s="1912"/>
      <c r="BE29" s="1912"/>
      <c r="BF29" s="1912"/>
      <c r="BG29" s="1912"/>
      <c r="BH29" s="532"/>
      <c r="BI29" s="81"/>
    </row>
    <row r="30" spans="1:61" ht="25.5" customHeight="1">
      <c r="A30" s="331"/>
      <c r="B30" s="1866" t="s">
        <v>142</v>
      </c>
      <c r="C30" s="1866"/>
      <c r="D30" s="1866"/>
      <c r="E30" s="1866"/>
      <c r="F30" s="1866"/>
      <c r="G30" s="1866"/>
      <c r="H30" s="1866"/>
      <c r="I30" s="1866"/>
      <c r="J30" s="1866"/>
      <c r="K30" s="1866"/>
      <c r="L30" s="1866"/>
      <c r="M30" s="1866"/>
      <c r="N30" s="1866"/>
      <c r="O30" s="329"/>
      <c r="P30" s="1892">
        <v>0</v>
      </c>
      <c r="Q30" s="1884"/>
      <c r="R30" s="1884"/>
      <c r="S30" s="1884"/>
      <c r="T30" s="1884"/>
      <c r="U30" s="1884"/>
      <c r="V30" s="1884"/>
      <c r="W30" s="1884"/>
      <c r="X30" s="458"/>
      <c r="Y30" s="2158">
        <f>貸付_附属明細表!H84</f>
        <v>0</v>
      </c>
      <c r="Z30" s="2158"/>
      <c r="AA30" s="2158"/>
      <c r="AB30" s="2158"/>
      <c r="AC30" s="2158"/>
      <c r="AD30" s="2158"/>
      <c r="AE30" s="2158"/>
      <c r="AF30" s="2158"/>
      <c r="AG30" s="455"/>
      <c r="AH30" s="1912">
        <f t="shared" si="0"/>
        <v>0</v>
      </c>
      <c r="AI30" s="1912"/>
      <c r="AJ30" s="1912"/>
      <c r="AK30" s="1912"/>
      <c r="AL30" s="1912"/>
      <c r="AM30" s="1912"/>
      <c r="AN30" s="1912"/>
      <c r="AO30" s="1912"/>
      <c r="AP30" s="451"/>
      <c r="AQ30" s="2158">
        <f>前年度貼付!$E$301</f>
        <v>0</v>
      </c>
      <c r="AR30" s="2158"/>
      <c r="AS30" s="2158"/>
      <c r="AT30" s="2158"/>
      <c r="AU30" s="2158"/>
      <c r="AV30" s="2158"/>
      <c r="AW30" s="2158"/>
      <c r="AX30" s="2158"/>
      <c r="AY30" s="451"/>
      <c r="AZ30" s="1912">
        <f t="shared" si="1"/>
        <v>0</v>
      </c>
      <c r="BA30" s="1912"/>
      <c r="BB30" s="1912"/>
      <c r="BC30" s="1912"/>
      <c r="BD30" s="1912"/>
      <c r="BE30" s="1912"/>
      <c r="BF30" s="1912"/>
      <c r="BG30" s="1912"/>
      <c r="BH30" s="532"/>
      <c r="BI30" s="81"/>
    </row>
    <row r="31" spans="1:61" ht="25.5" customHeight="1">
      <c r="A31" s="331"/>
      <c r="B31" s="1866" t="s">
        <v>143</v>
      </c>
      <c r="C31" s="1866"/>
      <c r="D31" s="1866"/>
      <c r="E31" s="1866"/>
      <c r="F31" s="1866"/>
      <c r="G31" s="1866"/>
      <c r="H31" s="1866"/>
      <c r="I31" s="1866"/>
      <c r="J31" s="1866"/>
      <c r="K31" s="1866"/>
      <c r="L31" s="1866"/>
      <c r="M31" s="1866"/>
      <c r="N31" s="1866"/>
      <c r="O31" s="329"/>
      <c r="P31" s="1892">
        <v>0</v>
      </c>
      <c r="Q31" s="1884"/>
      <c r="R31" s="1884"/>
      <c r="S31" s="1884"/>
      <c r="T31" s="1884"/>
      <c r="U31" s="1884"/>
      <c r="V31" s="1884"/>
      <c r="W31" s="1884"/>
      <c r="X31" s="458"/>
      <c r="Y31" s="1884">
        <f>貸付_財務諸表!C50</f>
        <v>0</v>
      </c>
      <c r="Z31" s="1884"/>
      <c r="AA31" s="1884"/>
      <c r="AB31" s="1884"/>
      <c r="AC31" s="1884"/>
      <c r="AD31" s="1884"/>
      <c r="AE31" s="1884"/>
      <c r="AF31" s="1884"/>
      <c r="AG31" s="455"/>
      <c r="AH31" s="1912">
        <f t="shared" si="0"/>
        <v>0</v>
      </c>
      <c r="AI31" s="1912"/>
      <c r="AJ31" s="1912"/>
      <c r="AK31" s="1912"/>
      <c r="AL31" s="1912"/>
      <c r="AM31" s="1912"/>
      <c r="AN31" s="1912"/>
      <c r="AO31" s="1912"/>
      <c r="AP31" s="451"/>
      <c r="AQ31" s="1884">
        <f>前年度貼付!$E$302</f>
        <v>0</v>
      </c>
      <c r="AR31" s="1884"/>
      <c r="AS31" s="1884"/>
      <c r="AT31" s="1884"/>
      <c r="AU31" s="1884"/>
      <c r="AV31" s="1884"/>
      <c r="AW31" s="1884"/>
      <c r="AX31" s="1884"/>
      <c r="AY31" s="451"/>
      <c r="AZ31" s="1912">
        <f t="shared" si="1"/>
        <v>0</v>
      </c>
      <c r="BA31" s="1912"/>
      <c r="BB31" s="1912"/>
      <c r="BC31" s="1912"/>
      <c r="BD31" s="1912"/>
      <c r="BE31" s="1912"/>
      <c r="BF31" s="1912"/>
      <c r="BG31" s="1912"/>
      <c r="BH31" s="532"/>
      <c r="BI31" s="81"/>
    </row>
    <row r="32" spans="1:61" ht="30" customHeight="1">
      <c r="A32" s="331"/>
      <c r="B32" s="1871" t="s">
        <v>698</v>
      </c>
      <c r="C32" s="1871"/>
      <c r="D32" s="1871"/>
      <c r="E32" s="1871"/>
      <c r="F32" s="1871"/>
      <c r="G32" s="1871"/>
      <c r="H32" s="1871"/>
      <c r="I32" s="1871"/>
      <c r="J32" s="1871"/>
      <c r="K32" s="1871"/>
      <c r="L32" s="1871"/>
      <c r="M32" s="1871"/>
      <c r="N32" s="1871"/>
      <c r="O32" s="329"/>
      <c r="P32" s="1889">
        <f>SUM(P15:W31)</f>
        <v>18469000</v>
      </c>
      <c r="Q32" s="1889"/>
      <c r="R32" s="1889"/>
      <c r="S32" s="1889"/>
      <c r="T32" s="1889"/>
      <c r="U32" s="1889"/>
      <c r="V32" s="1889"/>
      <c r="W32" s="1889"/>
      <c r="X32" s="451"/>
      <c r="Y32" s="2155">
        <f>SUM(Y15:AF31)</f>
        <v>14882388</v>
      </c>
      <c r="Z32" s="2155"/>
      <c r="AA32" s="2155"/>
      <c r="AB32" s="2155"/>
      <c r="AC32" s="2155"/>
      <c r="AD32" s="2155"/>
      <c r="AE32" s="2155"/>
      <c r="AF32" s="2155"/>
      <c r="AG32" s="455"/>
      <c r="AH32" s="1912">
        <f t="shared" si="0"/>
        <v>-3586612</v>
      </c>
      <c r="AI32" s="1912"/>
      <c r="AJ32" s="1912"/>
      <c r="AK32" s="1912"/>
      <c r="AL32" s="1912"/>
      <c r="AM32" s="1912"/>
      <c r="AN32" s="1912"/>
      <c r="AO32" s="1912"/>
      <c r="AP32" s="451"/>
      <c r="AQ32" s="2155">
        <f>SUM(AQ15:AX31)</f>
        <v>18110125</v>
      </c>
      <c r="AR32" s="2155"/>
      <c r="AS32" s="2155"/>
      <c r="AT32" s="2155"/>
      <c r="AU32" s="2155"/>
      <c r="AV32" s="2155"/>
      <c r="AW32" s="2155"/>
      <c r="AX32" s="2155"/>
      <c r="AY32" s="451"/>
      <c r="AZ32" s="1912">
        <f t="shared" si="1"/>
        <v>-3227737</v>
      </c>
      <c r="BA32" s="1912"/>
      <c r="BB32" s="1912"/>
      <c r="BC32" s="1912"/>
      <c r="BD32" s="1912"/>
      <c r="BE32" s="1912"/>
      <c r="BF32" s="1912"/>
      <c r="BG32" s="1912"/>
      <c r="BH32" s="532"/>
      <c r="BI32" s="81"/>
    </row>
    <row r="33" spans="1:76" ht="18.75" customHeight="1">
      <c r="A33" s="322"/>
      <c r="B33" s="335"/>
      <c r="C33" s="533"/>
      <c r="D33" s="533"/>
      <c r="E33" s="533"/>
      <c r="F33" s="533"/>
      <c r="G33" s="533"/>
      <c r="H33" s="533"/>
      <c r="I33" s="533"/>
      <c r="J33" s="533"/>
      <c r="K33" s="533"/>
      <c r="L33" s="533"/>
      <c r="M33" s="533"/>
      <c r="N33" s="533"/>
      <c r="O33" s="322"/>
      <c r="P33" s="534"/>
      <c r="Q33" s="534"/>
      <c r="R33" s="534"/>
      <c r="S33" s="534"/>
      <c r="T33" s="534"/>
      <c r="U33" s="534"/>
      <c r="V33" s="534"/>
      <c r="W33" s="534"/>
      <c r="X33" s="355"/>
      <c r="Y33" s="534"/>
      <c r="Z33" s="534"/>
      <c r="AA33" s="534"/>
      <c r="AB33" s="534"/>
      <c r="AC33" s="534"/>
      <c r="AD33" s="534"/>
      <c r="AE33" s="534"/>
      <c r="AF33" s="534"/>
      <c r="AG33" s="355"/>
      <c r="AH33" s="449"/>
      <c r="AI33" s="449"/>
      <c r="AJ33" s="449"/>
      <c r="AK33" s="449"/>
      <c r="AL33" s="449"/>
      <c r="AM33" s="449"/>
      <c r="AN33" s="449"/>
      <c r="AO33" s="449"/>
      <c r="AP33" s="355"/>
      <c r="AQ33" s="534"/>
      <c r="AR33" s="534"/>
      <c r="AS33" s="534"/>
      <c r="AT33" s="534"/>
      <c r="AU33" s="534"/>
      <c r="AV33" s="534"/>
      <c r="AW33" s="534"/>
      <c r="AX33" s="534"/>
      <c r="AY33" s="355"/>
      <c r="AZ33" s="449"/>
      <c r="BA33" s="449"/>
      <c r="BB33" s="449"/>
      <c r="BC33" s="449"/>
      <c r="BD33" s="449"/>
      <c r="BE33" s="449"/>
      <c r="BF33" s="449"/>
      <c r="BG33" s="449"/>
      <c r="BH33" s="163"/>
      <c r="BI33" s="81"/>
    </row>
    <row r="34" spans="1:76" ht="18" customHeight="1">
      <c r="A34" s="1887" t="s">
        <v>699</v>
      </c>
      <c r="B34" s="1887"/>
      <c r="C34" s="1887"/>
      <c r="D34" s="1887"/>
      <c r="E34" s="1887"/>
      <c r="F34" s="1887"/>
      <c r="G34" s="1887"/>
      <c r="H34" s="1887"/>
      <c r="I34" s="1887"/>
      <c r="J34" s="1887"/>
      <c r="K34" s="1887"/>
      <c r="L34" s="1887"/>
      <c r="M34" s="1887"/>
      <c r="N34" s="1887"/>
      <c r="O34" s="1887"/>
      <c r="P34" s="1887"/>
      <c r="Q34" s="1887"/>
      <c r="R34" s="1887"/>
      <c r="S34" s="1887"/>
      <c r="T34" s="1887"/>
    </row>
    <row r="35" spans="1:76" ht="15" customHeight="1">
      <c r="A35" s="81"/>
      <c r="AR35" s="1923" t="s">
        <v>416</v>
      </c>
      <c r="AS35" s="1923"/>
      <c r="AT35" s="1923"/>
      <c r="AU35" s="1923"/>
      <c r="AV35" s="1923"/>
      <c r="AW35" s="1923"/>
      <c r="AX35" s="1923"/>
      <c r="AY35" s="1923"/>
      <c r="AZ35" s="1923"/>
      <c r="BA35" s="1923"/>
      <c r="BB35" s="1923"/>
      <c r="BC35" s="1923"/>
      <c r="BD35" s="1923"/>
      <c r="BE35" s="1923"/>
      <c r="BF35" s="1923"/>
      <c r="BG35" s="1923"/>
      <c r="BH35" s="1923"/>
    </row>
    <row r="36" spans="1:76" ht="18" customHeight="1">
      <c r="A36" s="1845" t="s">
        <v>497</v>
      </c>
      <c r="B36" s="1845"/>
      <c r="C36" s="1845"/>
      <c r="D36" s="1845"/>
      <c r="E36" s="1845"/>
      <c r="F36" s="1845"/>
      <c r="G36" s="1845"/>
      <c r="H36" s="1845"/>
      <c r="I36" s="1845"/>
      <c r="J36" s="1845"/>
      <c r="K36" s="1845"/>
      <c r="L36" s="1845"/>
      <c r="M36" s="2375" t="s">
        <v>700</v>
      </c>
      <c r="N36" s="2375"/>
      <c r="O36" s="2375"/>
      <c r="P36" s="2375"/>
      <c r="Q36" s="2375"/>
      <c r="R36" s="2375"/>
      <c r="S36" s="2375"/>
      <c r="T36" s="2375"/>
      <c r="U36" s="2375"/>
      <c r="V36" s="1839" t="str">
        <f>"令　和　"&amp;入力ガイド!$C$6&amp;"　年　度"</f>
        <v>令　和　7　年　度</v>
      </c>
      <c r="W36" s="1839"/>
      <c r="X36" s="1839"/>
      <c r="Y36" s="1839"/>
      <c r="Z36" s="1839"/>
      <c r="AA36" s="1839"/>
      <c r="AB36" s="1839"/>
      <c r="AC36" s="1839"/>
      <c r="AD36" s="1839"/>
      <c r="AE36" s="1839"/>
      <c r="AF36" s="1839"/>
      <c r="AG36" s="1839"/>
      <c r="AH36" s="1839"/>
      <c r="AI36" s="1839"/>
      <c r="AJ36" s="1839"/>
      <c r="AK36" s="1839"/>
      <c r="AL36" s="1839"/>
      <c r="AM36" s="1839"/>
      <c r="AN36" s="1839"/>
      <c r="AO36" s="1839"/>
      <c r="AP36" s="1839"/>
      <c r="AQ36" s="1839"/>
      <c r="AR36" s="1839"/>
      <c r="AS36" s="1839"/>
      <c r="AT36" s="1839" t="s">
        <v>701</v>
      </c>
      <c r="AU36" s="1839"/>
      <c r="AV36" s="1839"/>
      <c r="AW36" s="1839"/>
      <c r="AX36" s="1839"/>
      <c r="AY36" s="1839"/>
      <c r="AZ36" s="1839"/>
      <c r="BA36" s="1839"/>
      <c r="BB36" s="1839"/>
      <c r="BC36" s="1839"/>
      <c r="BD36" s="1839"/>
      <c r="BE36" s="1839"/>
      <c r="BF36" s="1839"/>
      <c r="BG36" s="1839"/>
      <c r="BH36" s="1839"/>
    </row>
    <row r="37" spans="1:76" ht="16.5" customHeight="1">
      <c r="A37" s="1845"/>
      <c r="B37" s="1845"/>
      <c r="C37" s="1845"/>
      <c r="D37" s="1845"/>
      <c r="E37" s="1845"/>
      <c r="F37" s="1845"/>
      <c r="G37" s="1845"/>
      <c r="H37" s="1845"/>
      <c r="I37" s="1845"/>
      <c r="J37" s="1845"/>
      <c r="K37" s="1845"/>
      <c r="L37" s="1845"/>
      <c r="M37" s="2375"/>
      <c r="N37" s="2375"/>
      <c r="O37" s="2375"/>
      <c r="P37" s="2375"/>
      <c r="Q37" s="2375"/>
      <c r="R37" s="2375"/>
      <c r="S37" s="2375"/>
      <c r="T37" s="2375"/>
      <c r="U37" s="2375"/>
      <c r="V37" s="1839" t="s">
        <v>702</v>
      </c>
      <c r="W37" s="1839"/>
      <c r="X37" s="1839"/>
      <c r="Y37" s="1839"/>
      <c r="Z37" s="1839"/>
      <c r="AA37" s="1839"/>
      <c r="AB37" s="1839"/>
      <c r="AC37" s="1839"/>
      <c r="AD37" s="1839" t="s">
        <v>703</v>
      </c>
      <c r="AE37" s="1839"/>
      <c r="AF37" s="1839"/>
      <c r="AG37" s="1839"/>
      <c r="AH37" s="1839"/>
      <c r="AI37" s="1839"/>
      <c r="AJ37" s="1839"/>
      <c r="AK37" s="1839"/>
      <c r="AL37" s="1839" t="s">
        <v>704</v>
      </c>
      <c r="AM37" s="1839"/>
      <c r="AN37" s="1839"/>
      <c r="AO37" s="1839"/>
      <c r="AP37" s="1839"/>
      <c r="AQ37" s="1839"/>
      <c r="AR37" s="1839"/>
      <c r="AS37" s="1839"/>
      <c r="AT37" s="1839" t="s">
        <v>705</v>
      </c>
      <c r="AU37" s="1839"/>
      <c r="AV37" s="1839"/>
      <c r="AW37" s="1839"/>
      <c r="AX37" s="1839"/>
      <c r="AY37" s="1839"/>
      <c r="AZ37" s="1839"/>
      <c r="BA37" s="1839"/>
      <c r="BB37" s="1839" t="s">
        <v>706</v>
      </c>
      <c r="BC37" s="1839"/>
      <c r="BD37" s="1839"/>
      <c r="BE37" s="1839"/>
      <c r="BF37" s="1839"/>
      <c r="BG37" s="1839"/>
      <c r="BH37" s="1839"/>
    </row>
    <row r="38" spans="1:76" ht="27" customHeight="1">
      <c r="A38" s="2373" t="s">
        <v>707</v>
      </c>
      <c r="B38" s="2373"/>
      <c r="C38" s="535"/>
      <c r="D38" s="2374" t="s">
        <v>708</v>
      </c>
      <c r="E38" s="2374"/>
      <c r="F38" s="2374"/>
      <c r="G38" s="2374"/>
      <c r="H38" s="2374"/>
      <c r="I38" s="2374"/>
      <c r="J38" s="2374"/>
      <c r="K38" s="2374"/>
      <c r="L38" s="536"/>
      <c r="M38" s="2309">
        <f>貸付_附属明細表!F20</f>
        <v>105000000</v>
      </c>
      <c r="N38" s="2309"/>
      <c r="O38" s="2309"/>
      <c r="P38" s="2309"/>
      <c r="Q38" s="2309"/>
      <c r="R38" s="2309"/>
      <c r="S38" s="2309"/>
      <c r="T38" s="2309"/>
      <c r="U38" s="2309"/>
      <c r="V38" s="1878">
        <f>貸付_附属明細表!J20</f>
        <v>0</v>
      </c>
      <c r="W38" s="1878"/>
      <c r="X38" s="1878"/>
      <c r="Y38" s="1878"/>
      <c r="Z38" s="1878"/>
      <c r="AA38" s="1878"/>
      <c r="AB38" s="1878"/>
      <c r="AC38" s="1878"/>
      <c r="AD38" s="2366">
        <f>貸付_附属明細表!N20</f>
        <v>105000000</v>
      </c>
      <c r="AE38" s="2366"/>
      <c r="AF38" s="2366"/>
      <c r="AG38" s="2366"/>
      <c r="AH38" s="2366"/>
      <c r="AI38" s="2366"/>
      <c r="AJ38" s="2366"/>
      <c r="AK38" s="2366"/>
      <c r="AL38" s="1891">
        <f>M38+V38-AD38</f>
        <v>0</v>
      </c>
      <c r="AM38" s="1891"/>
      <c r="AN38" s="1891"/>
      <c r="AO38" s="1891"/>
      <c r="AP38" s="1891"/>
      <c r="AQ38" s="1891"/>
      <c r="AR38" s="1891"/>
      <c r="AS38" s="1891"/>
      <c r="AT38" s="1886">
        <f>AL38-M38</f>
        <v>-105000000</v>
      </c>
      <c r="AU38" s="1886"/>
      <c r="AV38" s="1886"/>
      <c r="AW38" s="1886"/>
      <c r="AX38" s="1886"/>
      <c r="AY38" s="1886"/>
      <c r="AZ38" s="1886"/>
      <c r="BA38" s="1886"/>
      <c r="BB38" s="2372">
        <f>AT38/M38*100</f>
        <v>-100</v>
      </c>
      <c r="BC38" s="2372"/>
      <c r="BD38" s="2372"/>
      <c r="BE38" s="2372"/>
      <c r="BF38" s="2372"/>
      <c r="BG38" s="2372"/>
      <c r="BH38" s="2372"/>
    </row>
    <row r="39" spans="1:76" ht="27" customHeight="1">
      <c r="A39" s="2373"/>
      <c r="B39" s="2373"/>
      <c r="C39" s="1839" t="s">
        <v>351</v>
      </c>
      <c r="D39" s="1839"/>
      <c r="E39" s="1839"/>
      <c r="F39" s="1839"/>
      <c r="G39" s="1839"/>
      <c r="H39" s="1839"/>
      <c r="I39" s="1839"/>
      <c r="J39" s="1839"/>
      <c r="K39" s="1839"/>
      <c r="L39" s="1839"/>
      <c r="M39" s="2284">
        <f>SUM(M38:U38)</f>
        <v>105000000</v>
      </c>
      <c r="N39" s="2284"/>
      <c r="O39" s="2284"/>
      <c r="P39" s="2284"/>
      <c r="Q39" s="2284"/>
      <c r="R39" s="2284"/>
      <c r="S39" s="2284"/>
      <c r="T39" s="2284"/>
      <c r="U39" s="2284"/>
      <c r="V39" s="2284">
        <f>SUM(V38:AC38)</f>
        <v>0</v>
      </c>
      <c r="W39" s="2284"/>
      <c r="X39" s="2284"/>
      <c r="Y39" s="2284"/>
      <c r="Z39" s="2284"/>
      <c r="AA39" s="2284"/>
      <c r="AB39" s="2284"/>
      <c r="AC39" s="2284"/>
      <c r="AD39" s="2284">
        <f>SUM(AD38:AK38)</f>
        <v>105000000</v>
      </c>
      <c r="AE39" s="2284"/>
      <c r="AF39" s="2284"/>
      <c r="AG39" s="2284"/>
      <c r="AH39" s="2284"/>
      <c r="AI39" s="2284"/>
      <c r="AJ39" s="2284"/>
      <c r="AK39" s="2284"/>
      <c r="AL39" s="1890">
        <f>M39+V39-AD39</f>
        <v>0</v>
      </c>
      <c r="AM39" s="1890"/>
      <c r="AN39" s="1890"/>
      <c r="AO39" s="1890"/>
      <c r="AP39" s="1890"/>
      <c r="AQ39" s="1890"/>
      <c r="AR39" s="1890"/>
      <c r="AS39" s="1890"/>
      <c r="AT39" s="1886">
        <f>AL39-M39</f>
        <v>-105000000</v>
      </c>
      <c r="AU39" s="1886"/>
      <c r="AV39" s="1886"/>
      <c r="AW39" s="1886"/>
      <c r="AX39" s="1886"/>
      <c r="AY39" s="1886"/>
      <c r="AZ39" s="1886"/>
      <c r="BA39" s="1886"/>
      <c r="BB39" s="2372">
        <f>AT39/M39*100</f>
        <v>-100</v>
      </c>
      <c r="BC39" s="2372"/>
      <c r="BD39" s="2372"/>
      <c r="BE39" s="2372"/>
      <c r="BF39" s="2372"/>
      <c r="BG39" s="2372"/>
      <c r="BH39" s="2372"/>
    </row>
    <row r="40" spans="1:76" ht="27" customHeight="1">
      <c r="A40" s="90"/>
      <c r="B40" s="2365" t="s">
        <v>709</v>
      </c>
      <c r="C40" s="2365"/>
      <c r="D40" s="2365"/>
      <c r="E40" s="2365"/>
      <c r="F40" s="2365"/>
      <c r="G40" s="2365"/>
      <c r="H40" s="2365"/>
      <c r="I40" s="2365"/>
      <c r="J40" s="2365"/>
      <c r="K40" s="2365"/>
      <c r="L40" s="113"/>
      <c r="M40" s="2366">
        <f>貸付_附属明細表!F13</f>
        <v>957879024</v>
      </c>
      <c r="N40" s="2366"/>
      <c r="O40" s="2366"/>
      <c r="P40" s="2366"/>
      <c r="Q40" s="2366"/>
      <c r="R40" s="2366"/>
      <c r="S40" s="2366"/>
      <c r="T40" s="2366"/>
      <c r="U40" s="2366"/>
      <c r="V40" s="2367">
        <f>AD40+AL40-M40</f>
        <v>126110000</v>
      </c>
      <c r="W40" s="2367"/>
      <c r="X40" s="2367"/>
      <c r="Y40" s="2367"/>
      <c r="Z40" s="2367"/>
      <c r="AA40" s="2367"/>
      <c r="AB40" s="2367"/>
      <c r="AC40" s="2367"/>
      <c r="AD40" s="2366">
        <f>貸付_附属明細表!N13</f>
        <v>234813316</v>
      </c>
      <c r="AE40" s="2366"/>
      <c r="AF40" s="2366"/>
      <c r="AG40" s="2366"/>
      <c r="AH40" s="2366"/>
      <c r="AI40" s="2366"/>
      <c r="AJ40" s="2366"/>
      <c r="AK40" s="2366"/>
      <c r="AL40" s="2368">
        <f>貸付_財務諸表!B19</f>
        <v>849175708</v>
      </c>
      <c r="AM40" s="2368"/>
      <c r="AN40" s="2368"/>
      <c r="AO40" s="2368"/>
      <c r="AP40" s="2368"/>
      <c r="AQ40" s="2368"/>
      <c r="AR40" s="2368"/>
      <c r="AS40" s="2368"/>
      <c r="AT40" s="2369">
        <f>AL40-M40</f>
        <v>-108703316</v>
      </c>
      <c r="AU40" s="2369"/>
      <c r="AV40" s="2369"/>
      <c r="AW40" s="2369"/>
      <c r="AX40" s="2369"/>
      <c r="AY40" s="2369"/>
      <c r="AZ40" s="2369"/>
      <c r="BA40" s="2369"/>
      <c r="BB40" s="2370">
        <f>AT40/M40*100</f>
        <v>-11.348334526218835</v>
      </c>
      <c r="BC40" s="2370"/>
      <c r="BD40" s="2370"/>
      <c r="BE40" s="2370"/>
      <c r="BF40" s="2370"/>
      <c r="BG40" s="2370"/>
      <c r="BH40" s="2370"/>
    </row>
    <row r="41" spans="1:76" ht="27" customHeight="1">
      <c r="A41" s="108"/>
      <c r="B41" s="1873" t="s">
        <v>710</v>
      </c>
      <c r="C41" s="1873"/>
      <c r="D41" s="1873"/>
      <c r="E41" s="1873"/>
      <c r="F41" s="1873"/>
      <c r="G41" s="1873"/>
      <c r="H41" s="1873"/>
      <c r="I41" s="1873"/>
      <c r="J41" s="1873"/>
      <c r="K41" s="1873"/>
      <c r="L41" s="109"/>
      <c r="M41" s="1885">
        <f>Q79+Q80</f>
        <v>524014932</v>
      </c>
      <c r="N41" s="1885"/>
      <c r="O41" s="1885"/>
      <c r="P41" s="1885"/>
      <c r="Q41" s="1885"/>
      <c r="R41" s="1885"/>
      <c r="S41" s="1885"/>
      <c r="T41" s="1885"/>
      <c r="U41" s="1885"/>
      <c r="V41" s="2371"/>
      <c r="W41" s="2371"/>
      <c r="X41" s="2371"/>
      <c r="Y41" s="2371"/>
      <c r="Z41" s="2371"/>
      <c r="AA41" s="2371"/>
      <c r="AB41" s="2371"/>
      <c r="AC41" s="2371"/>
      <c r="AD41" s="2371"/>
      <c r="AE41" s="2371"/>
      <c r="AF41" s="2371"/>
      <c r="AG41" s="2371"/>
      <c r="AH41" s="2371"/>
      <c r="AI41" s="2371"/>
      <c r="AJ41" s="2371"/>
      <c r="AK41" s="2371"/>
      <c r="AL41" s="1885">
        <f>AG79+AG80</f>
        <v>396178868</v>
      </c>
      <c r="AM41" s="1885"/>
      <c r="AN41" s="1885"/>
      <c r="AO41" s="1885"/>
      <c r="AP41" s="1885"/>
      <c r="AQ41" s="1885"/>
      <c r="AR41" s="1885"/>
      <c r="AS41" s="1885"/>
      <c r="AT41" s="1886">
        <f>AL41-M41</f>
        <v>-127836064</v>
      </c>
      <c r="AU41" s="1886"/>
      <c r="AV41" s="1886"/>
      <c r="AW41" s="1886"/>
      <c r="AX41" s="1886"/>
      <c r="AY41" s="1886"/>
      <c r="AZ41" s="1886"/>
      <c r="BA41" s="1886"/>
      <c r="BB41" s="2372">
        <f>AT41/M41*100</f>
        <v>-24.395500241203049</v>
      </c>
      <c r="BC41" s="2372"/>
      <c r="BD41" s="2372"/>
      <c r="BE41" s="2372"/>
      <c r="BF41" s="2372"/>
      <c r="BG41" s="2372"/>
      <c r="BH41" s="2372"/>
    </row>
    <row r="42" spans="1:76" ht="27" customHeight="1">
      <c r="A42" s="108"/>
      <c r="B42" s="1866" t="s">
        <v>711</v>
      </c>
      <c r="C42" s="1866"/>
      <c r="D42" s="1866"/>
      <c r="E42" s="1866"/>
      <c r="F42" s="1866"/>
      <c r="G42" s="1866"/>
      <c r="H42" s="1866"/>
      <c r="I42" s="1866"/>
      <c r="J42" s="1866"/>
      <c r="K42" s="1866"/>
      <c r="L42" s="109"/>
      <c r="M42" s="2360">
        <f>M41/M40*100</f>
        <v>54.705752905181058</v>
      </c>
      <c r="N42" s="2360"/>
      <c r="O42" s="2360"/>
      <c r="P42" s="2360"/>
      <c r="Q42" s="2360"/>
      <c r="R42" s="2360"/>
      <c r="S42" s="2360"/>
      <c r="T42" s="2360"/>
      <c r="U42" s="2360"/>
      <c r="V42" s="2361"/>
      <c r="W42" s="2361"/>
      <c r="X42" s="2361"/>
      <c r="Y42" s="2361"/>
      <c r="Z42" s="2361"/>
      <c r="AA42" s="2361"/>
      <c r="AB42" s="2361"/>
      <c r="AC42" s="2361"/>
      <c r="AD42" s="2361"/>
      <c r="AE42" s="2361"/>
      <c r="AF42" s="2361"/>
      <c r="AG42" s="2361"/>
      <c r="AH42" s="2361"/>
      <c r="AI42" s="2361"/>
      <c r="AJ42" s="2361"/>
      <c r="AK42" s="2361"/>
      <c r="AL42" s="2362">
        <f>AL41/AL40*100</f>
        <v>46.654522057995564</v>
      </c>
      <c r="AM42" s="2362"/>
      <c r="AN42" s="2362"/>
      <c r="AO42" s="2362"/>
      <c r="AP42" s="2362"/>
      <c r="AQ42" s="2362"/>
      <c r="AR42" s="2362"/>
      <c r="AS42" s="2362"/>
      <c r="AT42" s="2363"/>
      <c r="AU42" s="2363"/>
      <c r="AV42" s="2363"/>
      <c r="AW42" s="2363"/>
      <c r="AX42" s="2363"/>
      <c r="AY42" s="2363"/>
      <c r="AZ42" s="2363"/>
      <c r="BA42" s="2363"/>
      <c r="BB42" s="2364"/>
      <c r="BC42" s="2364"/>
      <c r="BD42" s="2364"/>
      <c r="BE42" s="2364"/>
      <c r="BF42" s="2364"/>
      <c r="BG42" s="2364"/>
      <c r="BH42" s="2364"/>
    </row>
    <row r="43" spans="1:76" ht="27" customHeight="1">
      <c r="A43" s="50"/>
      <c r="B43" s="44"/>
      <c r="C43" s="44"/>
      <c r="D43" s="152"/>
      <c r="E43" s="44"/>
      <c r="F43" s="44"/>
      <c r="G43" s="44"/>
      <c r="H43" s="44"/>
      <c r="I43" s="44"/>
      <c r="J43" s="44"/>
      <c r="K43" s="87"/>
      <c r="L43" s="537"/>
      <c r="M43" s="538"/>
      <c r="N43" s="538"/>
      <c r="O43" s="538"/>
      <c r="P43" s="538"/>
      <c r="Q43" s="538"/>
      <c r="R43" s="538"/>
      <c r="S43" s="538"/>
      <c r="T43" s="538"/>
      <c r="U43" s="151"/>
      <c r="V43" s="538"/>
      <c r="W43" s="538"/>
      <c r="X43" s="538"/>
      <c r="Y43" s="538"/>
      <c r="Z43" s="538"/>
      <c r="AA43" s="538"/>
      <c r="AB43" s="538"/>
      <c r="AC43" s="151"/>
      <c r="AD43" s="538"/>
      <c r="AE43" s="538"/>
      <c r="AF43" s="538"/>
      <c r="AG43" s="538"/>
      <c r="AH43" s="538"/>
      <c r="AI43" s="538"/>
      <c r="AJ43" s="538"/>
      <c r="AK43" s="537"/>
      <c r="AL43" s="538"/>
      <c r="AM43" s="538"/>
      <c r="AN43" s="538"/>
      <c r="AO43" s="538"/>
      <c r="AP43" s="538"/>
      <c r="AQ43" s="538"/>
      <c r="AR43" s="538"/>
      <c r="AS43" s="538"/>
      <c r="AT43" s="539"/>
      <c r="AU43" s="538"/>
      <c r="AV43" s="538"/>
      <c r="AW43" s="538"/>
      <c r="AX43" s="538"/>
      <c r="AY43" s="538"/>
      <c r="AZ43" s="538"/>
      <c r="BA43" s="538"/>
      <c r="BB43" s="538"/>
      <c r="BC43" s="540"/>
      <c r="BD43" s="538"/>
      <c r="BE43" s="538"/>
      <c r="BF43" s="538"/>
      <c r="BG43" s="538"/>
      <c r="BH43" s="81"/>
    </row>
    <row r="44" spans="1:76" ht="18" customHeight="1">
      <c r="A44" s="1887" t="s">
        <v>712</v>
      </c>
      <c r="B44" s="1887"/>
      <c r="C44" s="1887"/>
      <c r="D44" s="1887"/>
      <c r="E44" s="1887"/>
      <c r="F44" s="1887"/>
      <c r="G44" s="1887"/>
      <c r="H44" s="1887"/>
      <c r="I44" s="1887"/>
      <c r="J44" s="1887"/>
      <c r="K44" s="1887"/>
      <c r="L44" s="1887"/>
      <c r="M44" s="1887"/>
      <c r="N44" s="1887"/>
      <c r="O44" s="81"/>
      <c r="P44" s="81"/>
      <c r="Q44" s="81"/>
      <c r="R44" s="81"/>
      <c r="S44" s="81"/>
      <c r="T44" s="81"/>
      <c r="U44" s="81"/>
      <c r="V44" s="81"/>
      <c r="W44" s="81"/>
      <c r="X44" s="81"/>
      <c r="Y44" s="81"/>
      <c r="Z44" s="81"/>
      <c r="AA44" s="81"/>
      <c r="AB44" s="81"/>
      <c r="AC44" s="81"/>
      <c r="AD44" s="81"/>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row>
    <row r="45" spans="1:76" ht="18" customHeight="1">
      <c r="A45" s="81"/>
      <c r="B45" s="81"/>
      <c r="C45" s="81"/>
      <c r="D45" s="81"/>
      <c r="E45" s="81"/>
      <c r="F45" s="81"/>
      <c r="G45" s="81"/>
      <c r="H45" s="81"/>
      <c r="I45" s="81"/>
      <c r="J45" s="81"/>
      <c r="K45" s="81"/>
      <c r="L45" s="81"/>
      <c r="M45" s="81"/>
      <c r="N45" s="81"/>
      <c r="O45" s="81"/>
      <c r="P45" s="81"/>
      <c r="Q45" s="81"/>
      <c r="R45" s="81"/>
      <c r="S45" s="81"/>
      <c r="T45" s="81"/>
      <c r="U45" s="81"/>
      <c r="V45" s="81"/>
      <c r="W45" s="81"/>
      <c r="X45" s="81"/>
      <c r="Y45" s="81"/>
      <c r="Z45" s="81"/>
      <c r="AA45" s="81"/>
      <c r="AB45" s="81"/>
      <c r="AC45" s="81"/>
      <c r="AD45" s="81"/>
      <c r="AE45" s="81"/>
      <c r="AF45" s="81"/>
      <c r="AG45" s="81"/>
      <c r="AH45" s="81"/>
      <c r="AI45" s="81"/>
      <c r="AJ45" s="81"/>
      <c r="AK45" s="81"/>
      <c r="AL45" s="81"/>
      <c r="AM45" s="81"/>
      <c r="AN45" s="81"/>
      <c r="AO45" s="81"/>
      <c r="AP45" s="81"/>
      <c r="AQ45" s="81"/>
      <c r="AR45" s="81"/>
      <c r="AS45" s="81"/>
      <c r="AT45" s="81"/>
      <c r="AU45" s="81"/>
      <c r="AV45" s="81"/>
      <c r="AW45" s="81"/>
      <c r="AX45" s="81"/>
      <c r="AY45" s="81"/>
      <c r="AZ45" s="81"/>
      <c r="BA45" s="81"/>
      <c r="BB45" s="81"/>
      <c r="BC45" s="81"/>
      <c r="BD45" s="81"/>
      <c r="BE45" s="81"/>
      <c r="BF45" s="81"/>
      <c r="BG45" s="81"/>
      <c r="BH45" s="143" t="s">
        <v>713</v>
      </c>
    </row>
    <row r="46" spans="1:76" ht="15" customHeight="1">
      <c r="A46" s="1845" t="s">
        <v>714</v>
      </c>
      <c r="B46" s="1845"/>
      <c r="C46" s="1845"/>
      <c r="D46" s="1845"/>
      <c r="E46" s="1845"/>
      <c r="F46" s="1845"/>
      <c r="G46" s="1845"/>
      <c r="H46" s="1845"/>
      <c r="I46" s="1845"/>
      <c r="J46" s="1845"/>
      <c r="K46" s="1845"/>
      <c r="L46" s="1845"/>
      <c r="M46" s="1845" t="s">
        <v>715</v>
      </c>
      <c r="N46" s="1845"/>
      <c r="O46" s="1845"/>
      <c r="P46" s="1845"/>
      <c r="Q46" s="1845"/>
      <c r="R46" s="1845"/>
      <c r="S46" s="1845"/>
      <c r="T46" s="1845"/>
      <c r="U46" s="1845"/>
      <c r="V46" s="1845"/>
      <c r="W46" s="541"/>
      <c r="X46" s="1866" t="s">
        <v>716</v>
      </c>
      <c r="Y46" s="1866"/>
      <c r="Z46" s="1866"/>
      <c r="AA46" s="1866"/>
      <c r="AB46" s="1866"/>
      <c r="AC46" s="1866"/>
      <c r="AD46" s="1866"/>
      <c r="AE46" s="1866"/>
      <c r="AF46" s="541"/>
      <c r="AG46" s="542"/>
      <c r="AH46" s="1866" t="s">
        <v>717</v>
      </c>
      <c r="AI46" s="1866"/>
      <c r="AJ46" s="1866"/>
      <c r="AK46" s="1866"/>
      <c r="AL46" s="1866"/>
      <c r="AM46" s="1866"/>
      <c r="AN46" s="543"/>
      <c r="AO46" s="542"/>
      <c r="AP46" s="1866" t="s">
        <v>718</v>
      </c>
      <c r="AQ46" s="1866"/>
      <c r="AR46" s="1866"/>
      <c r="AS46" s="1866"/>
      <c r="AT46" s="1866"/>
      <c r="AU46" s="1866"/>
      <c r="AV46" s="1866"/>
      <c r="AW46" s="1866"/>
      <c r="AX46" s="70"/>
      <c r="AY46" s="1871" t="s">
        <v>719</v>
      </c>
      <c r="AZ46" s="1871"/>
      <c r="BA46" s="1871"/>
      <c r="BB46" s="1871"/>
      <c r="BC46" s="1871"/>
      <c r="BD46" s="1871"/>
      <c r="BE46" s="1871"/>
      <c r="BF46" s="1871"/>
      <c r="BG46" s="1871"/>
      <c r="BH46" s="543"/>
      <c r="BI46" s="325"/>
      <c r="BJ46" s="325"/>
      <c r="BK46" s="325"/>
      <c r="BL46" s="325"/>
      <c r="BM46" s="325"/>
      <c r="BN46" s="325"/>
      <c r="BO46" s="325"/>
      <c r="BP46" s="325"/>
      <c r="BQ46" s="325"/>
      <c r="BR46" s="325"/>
      <c r="BS46" s="325"/>
      <c r="BT46" s="325"/>
      <c r="BU46" s="325"/>
      <c r="BV46" s="325"/>
      <c r="BW46" s="325"/>
      <c r="BX46" s="325"/>
    </row>
    <row r="47" spans="1:76" ht="20.100000000000001" customHeight="1">
      <c r="A47" s="86"/>
      <c r="B47" s="2145" t="s">
        <v>178</v>
      </c>
      <c r="C47" s="2145"/>
      <c r="D47" s="2145"/>
      <c r="E47" s="2145"/>
      <c r="F47" s="2145"/>
      <c r="G47" s="2145"/>
      <c r="H47" s="2145"/>
      <c r="I47" s="2145"/>
      <c r="J47" s="2145"/>
      <c r="K47" s="2145"/>
      <c r="L47" s="113"/>
      <c r="M47" s="2335" t="s">
        <v>720</v>
      </c>
      <c r="N47" s="2335"/>
      <c r="O47" s="2335"/>
      <c r="P47" s="2335"/>
      <c r="Q47" s="2335"/>
      <c r="R47" s="2335"/>
      <c r="S47" s="2335"/>
      <c r="T47" s="2336">
        <v>2.66</v>
      </c>
      <c r="U47" s="2337"/>
      <c r="V47" s="2337"/>
      <c r="W47" s="2345">
        <v>2000</v>
      </c>
      <c r="X47" s="2346"/>
      <c r="Y47" s="2346"/>
      <c r="Z47" s="2346"/>
      <c r="AA47" s="2346"/>
      <c r="AB47" s="2346"/>
      <c r="AC47" s="2346"/>
      <c r="AD47" s="2346"/>
      <c r="AE47" s="2346"/>
      <c r="AF47" s="87"/>
      <c r="AG47" s="2340">
        <v>120</v>
      </c>
      <c r="AH47" s="2341"/>
      <c r="AI47" s="2341"/>
      <c r="AJ47" s="2341"/>
      <c r="AK47" s="2357" t="s">
        <v>721</v>
      </c>
      <c r="AL47" s="2357"/>
      <c r="AM47" s="2357"/>
      <c r="AN47" s="2357"/>
      <c r="AO47" s="545"/>
      <c r="AP47" s="2331" t="s">
        <v>722</v>
      </c>
      <c r="AQ47" s="2331"/>
      <c r="AR47" s="2331"/>
      <c r="AS47" s="2331"/>
      <c r="AT47" s="2331"/>
      <c r="AU47" s="2331"/>
      <c r="AV47" s="2331"/>
      <c r="AW47" s="2331"/>
      <c r="AX47" s="546"/>
      <c r="AY47" s="547"/>
      <c r="AZ47" s="547"/>
      <c r="BA47" s="547"/>
      <c r="BB47" s="547"/>
      <c r="BC47" s="547"/>
      <c r="BD47" s="547"/>
      <c r="BE47" s="547"/>
      <c r="BF47" s="547"/>
      <c r="BG47" s="547"/>
      <c r="BH47" s="546"/>
    </row>
    <row r="48" spans="1:76" ht="20.100000000000001" customHeight="1">
      <c r="A48" s="86"/>
      <c r="B48" s="2145"/>
      <c r="C48" s="2145"/>
      <c r="D48" s="2145"/>
      <c r="E48" s="2145"/>
      <c r="F48" s="2145"/>
      <c r="G48" s="2145"/>
      <c r="H48" s="2145"/>
      <c r="I48" s="2145"/>
      <c r="J48" s="2145"/>
      <c r="K48" s="2145"/>
      <c r="L48" s="113"/>
      <c r="M48" s="2342" t="s">
        <v>723</v>
      </c>
      <c r="N48" s="2342"/>
      <c r="O48" s="2342"/>
      <c r="P48" s="2342"/>
      <c r="Q48" s="2342"/>
      <c r="R48" s="2342"/>
      <c r="S48" s="2342"/>
      <c r="T48" s="2358">
        <v>1.26</v>
      </c>
      <c r="U48" s="2359"/>
      <c r="V48" s="2359"/>
      <c r="W48" s="2346"/>
      <c r="X48" s="2346"/>
      <c r="Y48" s="2346"/>
      <c r="Z48" s="2346"/>
      <c r="AA48" s="2346"/>
      <c r="AB48" s="2346"/>
      <c r="AC48" s="2346"/>
      <c r="AD48" s="2346"/>
      <c r="AE48" s="2346"/>
      <c r="AF48" s="87"/>
      <c r="AG48" s="2341"/>
      <c r="AH48" s="2341"/>
      <c r="AI48" s="2341"/>
      <c r="AJ48" s="2341"/>
      <c r="AK48" s="2357"/>
      <c r="AL48" s="2357"/>
      <c r="AM48" s="2357"/>
      <c r="AN48" s="2357"/>
      <c r="AO48" s="545"/>
      <c r="AP48" s="2331"/>
      <c r="AQ48" s="2331"/>
      <c r="AR48" s="2331"/>
      <c r="AS48" s="2331"/>
      <c r="AT48" s="2331"/>
      <c r="AU48" s="2331"/>
      <c r="AV48" s="2331"/>
      <c r="AW48" s="2331"/>
      <c r="AX48" s="546"/>
      <c r="AY48" s="548"/>
      <c r="AZ48" s="548"/>
      <c r="BA48" s="548"/>
      <c r="BB48" s="548"/>
      <c r="BC48" s="548"/>
      <c r="BD48" s="548"/>
      <c r="BE48" s="548"/>
      <c r="BF48" s="548"/>
      <c r="BG48" s="548"/>
      <c r="BH48" s="546"/>
    </row>
    <row r="49" spans="1:115" ht="20.100000000000001" customHeight="1">
      <c r="A49" s="90"/>
      <c r="B49" s="1866" t="s">
        <v>179</v>
      </c>
      <c r="C49" s="1866"/>
      <c r="D49" s="1866"/>
      <c r="E49" s="1866"/>
      <c r="F49" s="1866"/>
      <c r="G49" s="1866"/>
      <c r="H49" s="1866"/>
      <c r="I49" s="1866"/>
      <c r="J49" s="1866"/>
      <c r="K49" s="1866"/>
      <c r="L49" s="91"/>
      <c r="M49" s="2335" t="s">
        <v>720</v>
      </c>
      <c r="N49" s="2335"/>
      <c r="O49" s="2335"/>
      <c r="P49" s="2335"/>
      <c r="Q49" s="2335"/>
      <c r="R49" s="2335"/>
      <c r="S49" s="2335"/>
      <c r="T49" s="2336">
        <v>2.66</v>
      </c>
      <c r="U49" s="2337"/>
      <c r="V49" s="2337"/>
      <c r="W49" s="2338">
        <v>18000</v>
      </c>
      <c r="X49" s="2339"/>
      <c r="Y49" s="2339"/>
      <c r="Z49" s="2339"/>
      <c r="AA49" s="2339"/>
      <c r="AB49" s="2339"/>
      <c r="AC49" s="2339"/>
      <c r="AD49" s="2339"/>
      <c r="AE49" s="2339"/>
      <c r="AF49" s="549"/>
      <c r="AG49" s="2340">
        <v>360</v>
      </c>
      <c r="AH49" s="2341"/>
      <c r="AI49" s="2341"/>
      <c r="AJ49" s="2341"/>
      <c r="AK49" s="1913" t="s">
        <v>241</v>
      </c>
      <c r="AL49" s="1913"/>
      <c r="AM49" s="1913"/>
      <c r="AN49" s="91"/>
      <c r="AO49" s="550"/>
      <c r="AP49" s="2331" t="s">
        <v>724</v>
      </c>
      <c r="AQ49" s="2331"/>
      <c r="AR49" s="2331"/>
      <c r="AS49" s="2331"/>
      <c r="AT49" s="2331"/>
      <c r="AU49" s="2331"/>
      <c r="AV49" s="2331"/>
      <c r="AW49" s="2331"/>
      <c r="AX49" s="551"/>
      <c r="AY49" s="552"/>
      <c r="AZ49" s="553" t="s">
        <v>725</v>
      </c>
      <c r="BA49" s="553"/>
      <c r="BB49" s="553"/>
      <c r="BC49" s="553"/>
      <c r="BD49" s="553"/>
      <c r="BE49" s="553"/>
      <c r="BF49" s="553"/>
      <c r="BG49" s="553"/>
      <c r="BH49" s="551"/>
    </row>
    <row r="50" spans="1:115" ht="20.100000000000001" customHeight="1">
      <c r="A50" s="86"/>
      <c r="B50" s="1866"/>
      <c r="C50" s="1866"/>
      <c r="D50" s="1866"/>
      <c r="E50" s="1866"/>
      <c r="F50" s="1866"/>
      <c r="G50" s="1866"/>
      <c r="H50" s="1866"/>
      <c r="I50" s="1866"/>
      <c r="J50" s="1866"/>
      <c r="K50" s="1866"/>
      <c r="L50" s="97"/>
      <c r="M50" s="2342" t="s">
        <v>723</v>
      </c>
      <c r="N50" s="2342"/>
      <c r="O50" s="2342"/>
      <c r="P50" s="2342"/>
      <c r="Q50" s="2342"/>
      <c r="R50" s="2342"/>
      <c r="S50" s="2342"/>
      <c r="T50" s="2343">
        <v>1.26</v>
      </c>
      <c r="U50" s="2344"/>
      <c r="V50" s="2344"/>
      <c r="W50" s="2339"/>
      <c r="X50" s="2339"/>
      <c r="Y50" s="2339"/>
      <c r="Z50" s="2339"/>
      <c r="AA50" s="2339"/>
      <c r="AB50" s="2339"/>
      <c r="AC50" s="2339"/>
      <c r="AD50" s="2339"/>
      <c r="AE50" s="2339"/>
      <c r="AF50" s="87"/>
      <c r="AG50" s="2341"/>
      <c r="AH50" s="2341"/>
      <c r="AI50" s="2341"/>
      <c r="AJ50" s="2341"/>
      <c r="AK50" s="1913"/>
      <c r="AL50" s="1913"/>
      <c r="AM50" s="1913"/>
      <c r="AN50" s="113"/>
      <c r="AO50" s="545"/>
      <c r="AP50" s="2331"/>
      <c r="AQ50" s="2331"/>
      <c r="AR50" s="2331"/>
      <c r="AS50" s="2331"/>
      <c r="AT50" s="2331"/>
      <c r="AU50" s="2331"/>
      <c r="AV50" s="2331"/>
      <c r="AW50" s="2331"/>
      <c r="AX50" s="546"/>
      <c r="AY50" s="554"/>
      <c r="AZ50" s="555" t="s">
        <v>726</v>
      </c>
      <c r="BA50" s="555"/>
      <c r="BB50" s="555"/>
      <c r="BC50" s="555"/>
      <c r="BD50" s="555"/>
      <c r="BE50" s="555"/>
      <c r="BF50" s="555"/>
      <c r="BG50" s="555"/>
      <c r="BH50" s="546"/>
    </row>
    <row r="51" spans="1:115" ht="20.100000000000001" customHeight="1">
      <c r="A51" s="556"/>
      <c r="B51" s="2323" t="s">
        <v>180</v>
      </c>
      <c r="C51" s="2323"/>
      <c r="D51" s="2323"/>
      <c r="E51" s="2323"/>
      <c r="F51" s="2323"/>
      <c r="G51" s="2323"/>
      <c r="H51" s="2323"/>
      <c r="I51" s="2323"/>
      <c r="J51" s="2323"/>
      <c r="K51" s="2323"/>
      <c r="L51" s="91"/>
      <c r="M51" s="2335" t="s">
        <v>720</v>
      </c>
      <c r="N51" s="2335"/>
      <c r="O51" s="2335"/>
      <c r="P51" s="2335"/>
      <c r="Q51" s="2335"/>
      <c r="R51" s="2335"/>
      <c r="S51" s="2335"/>
      <c r="T51" s="2336">
        <v>2.4</v>
      </c>
      <c r="U51" s="2337"/>
      <c r="V51" s="2337"/>
      <c r="W51" s="2311">
        <v>3000</v>
      </c>
      <c r="X51" s="2308"/>
      <c r="Y51" s="2308"/>
      <c r="Z51" s="2308"/>
      <c r="AA51" s="2308"/>
      <c r="AB51" s="2308"/>
      <c r="AC51" s="2308"/>
      <c r="AD51" s="2308"/>
      <c r="AE51" s="2308"/>
      <c r="AF51" s="91"/>
      <c r="AG51" s="2340">
        <v>360</v>
      </c>
      <c r="AH51" s="2341"/>
      <c r="AI51" s="2341"/>
      <c r="AJ51" s="2341"/>
      <c r="AK51" s="1871" t="s">
        <v>241</v>
      </c>
      <c r="AL51" s="1871"/>
      <c r="AM51" s="1871"/>
      <c r="AN51" s="91"/>
      <c r="AO51" s="90"/>
      <c r="AP51" s="2331" t="s">
        <v>241</v>
      </c>
      <c r="AQ51" s="2331"/>
      <c r="AR51" s="2331"/>
      <c r="AS51" s="2331"/>
      <c r="AT51" s="2331"/>
      <c r="AU51" s="2331"/>
      <c r="AV51" s="2331"/>
      <c r="AW51" s="2331"/>
      <c r="AX51" s="91"/>
      <c r="AY51" s="378"/>
      <c r="AZ51" s="2331" t="s">
        <v>241</v>
      </c>
      <c r="BA51" s="2331"/>
      <c r="BB51" s="2331"/>
      <c r="BC51" s="2331"/>
      <c r="BD51" s="2331"/>
      <c r="BE51" s="2331"/>
      <c r="BF51" s="2331"/>
      <c r="BG51" s="2331"/>
      <c r="BH51" s="551"/>
    </row>
    <row r="52" spans="1:115" ht="20.100000000000001" customHeight="1">
      <c r="A52" s="557"/>
      <c r="B52" s="2323"/>
      <c r="C52" s="2323"/>
      <c r="D52" s="2323"/>
      <c r="E52" s="2323"/>
      <c r="F52" s="2323"/>
      <c r="G52" s="2323"/>
      <c r="H52" s="2323"/>
      <c r="I52" s="2323"/>
      <c r="J52" s="2323"/>
      <c r="K52" s="2323"/>
      <c r="L52" s="97"/>
      <c r="M52" s="2342" t="s">
        <v>723</v>
      </c>
      <c r="N52" s="2342"/>
      <c r="O52" s="2342"/>
      <c r="P52" s="2342"/>
      <c r="Q52" s="2342"/>
      <c r="R52" s="2342"/>
      <c r="S52" s="2342"/>
      <c r="T52" s="2343">
        <v>1</v>
      </c>
      <c r="U52" s="2344"/>
      <c r="V52" s="2344"/>
      <c r="W52" s="558" t="s">
        <v>16</v>
      </c>
      <c r="X52" s="2356" t="s">
        <v>727</v>
      </c>
      <c r="Y52" s="2356"/>
      <c r="Z52" s="2356"/>
      <c r="AA52" s="2356"/>
      <c r="AB52" s="2356"/>
      <c r="AC52" s="2356"/>
      <c r="AD52" s="2356"/>
      <c r="AE52" s="2356"/>
      <c r="AF52" s="559" t="s">
        <v>360</v>
      </c>
      <c r="AG52" s="2341"/>
      <c r="AH52" s="2341"/>
      <c r="AI52" s="2341"/>
      <c r="AJ52" s="2341"/>
      <c r="AK52" s="1871"/>
      <c r="AL52" s="1871"/>
      <c r="AM52" s="1871"/>
      <c r="AN52" s="97"/>
      <c r="AO52" s="96"/>
      <c r="AP52" s="2331"/>
      <c r="AQ52" s="2331"/>
      <c r="AR52" s="2331"/>
      <c r="AS52" s="2331"/>
      <c r="AT52" s="2331"/>
      <c r="AU52" s="2331"/>
      <c r="AV52" s="2331"/>
      <c r="AW52" s="2331"/>
      <c r="AX52" s="97"/>
      <c r="AY52" s="381"/>
      <c r="AZ52" s="2331"/>
      <c r="BA52" s="2331"/>
      <c r="BB52" s="2331"/>
      <c r="BC52" s="2331"/>
      <c r="BD52" s="2331"/>
      <c r="BE52" s="2331"/>
      <c r="BF52" s="2331"/>
      <c r="BG52" s="2331"/>
      <c r="BH52" s="546"/>
    </row>
    <row r="53" spans="1:115" ht="20.100000000000001" customHeight="1">
      <c r="A53" s="2353" t="s">
        <v>728</v>
      </c>
      <c r="B53" s="2353"/>
      <c r="C53" s="2353"/>
      <c r="D53" s="2353"/>
      <c r="E53" s="549"/>
      <c r="F53" s="1866" t="s">
        <v>181</v>
      </c>
      <c r="G53" s="1866"/>
      <c r="H53" s="1866"/>
      <c r="I53" s="1866"/>
      <c r="J53" s="1866"/>
      <c r="K53" s="1866"/>
      <c r="L53" s="91"/>
      <c r="M53" s="2335" t="s">
        <v>720</v>
      </c>
      <c r="N53" s="2335"/>
      <c r="O53" s="2335"/>
      <c r="P53" s="2335"/>
      <c r="Q53" s="2335"/>
      <c r="R53" s="2335"/>
      <c r="S53" s="2335"/>
      <c r="T53" s="2336">
        <v>2.2200000000000002</v>
      </c>
      <c r="U53" s="2337"/>
      <c r="V53" s="2337"/>
      <c r="W53" s="2354">
        <v>2000</v>
      </c>
      <c r="X53" s="2355"/>
      <c r="Y53" s="2355"/>
      <c r="Z53" s="2355"/>
      <c r="AA53" s="2355"/>
      <c r="AB53" s="2355"/>
      <c r="AC53" s="2355"/>
      <c r="AD53" s="2355"/>
      <c r="AE53" s="2355"/>
      <c r="AF53" s="549"/>
      <c r="AG53" s="2340">
        <v>360</v>
      </c>
      <c r="AH53" s="2341"/>
      <c r="AI53" s="2341"/>
      <c r="AJ53" s="2341"/>
      <c r="AK53" s="1913" t="s">
        <v>241</v>
      </c>
      <c r="AL53" s="1913"/>
      <c r="AM53" s="1913"/>
      <c r="AN53" s="91"/>
      <c r="AO53" s="550"/>
      <c r="AP53" s="2331" t="s">
        <v>722</v>
      </c>
      <c r="AQ53" s="2331"/>
      <c r="AR53" s="2331"/>
      <c r="AS53" s="2331"/>
      <c r="AT53" s="2331"/>
      <c r="AU53" s="2331"/>
      <c r="AV53" s="2331"/>
      <c r="AW53" s="2331"/>
      <c r="AX53" s="551"/>
      <c r="AY53" s="378"/>
      <c r="AZ53" s="2331" t="s">
        <v>241</v>
      </c>
      <c r="BA53" s="2331"/>
      <c r="BB53" s="2331"/>
      <c r="BC53" s="2331"/>
      <c r="BD53" s="2331"/>
      <c r="BE53" s="2331"/>
      <c r="BF53" s="2331"/>
      <c r="BG53" s="2331"/>
      <c r="BH53" s="551"/>
    </row>
    <row r="54" spans="1:115" ht="20.100000000000001" customHeight="1">
      <c r="A54" s="2353"/>
      <c r="B54" s="2353"/>
      <c r="C54" s="2353"/>
      <c r="D54" s="2353"/>
      <c r="E54" s="383"/>
      <c r="F54" s="1866"/>
      <c r="G54" s="1866"/>
      <c r="H54" s="1866"/>
      <c r="I54" s="1866"/>
      <c r="J54" s="1866"/>
      <c r="K54" s="1866"/>
      <c r="L54" s="97"/>
      <c r="M54" s="2342" t="s">
        <v>723</v>
      </c>
      <c r="N54" s="2342"/>
      <c r="O54" s="2342"/>
      <c r="P54" s="2342"/>
      <c r="Q54" s="2342"/>
      <c r="R54" s="2342"/>
      <c r="S54" s="2342"/>
      <c r="T54" s="2343">
        <v>0.93</v>
      </c>
      <c r="U54" s="2344"/>
      <c r="V54" s="2344"/>
      <c r="W54" s="2355"/>
      <c r="X54" s="2355"/>
      <c r="Y54" s="2355"/>
      <c r="Z54" s="2355"/>
      <c r="AA54" s="2355"/>
      <c r="AB54" s="2355"/>
      <c r="AC54" s="2355"/>
      <c r="AD54" s="2355"/>
      <c r="AE54" s="2355"/>
      <c r="AF54" s="370"/>
      <c r="AG54" s="2341"/>
      <c r="AH54" s="2341"/>
      <c r="AI54" s="2341"/>
      <c r="AJ54" s="2341"/>
      <c r="AK54" s="1913"/>
      <c r="AL54" s="1913"/>
      <c r="AM54" s="1913"/>
      <c r="AN54" s="97"/>
      <c r="AO54" s="560"/>
      <c r="AP54" s="2331"/>
      <c r="AQ54" s="2331"/>
      <c r="AR54" s="2331"/>
      <c r="AS54" s="2331"/>
      <c r="AT54" s="2331"/>
      <c r="AU54" s="2331"/>
      <c r="AV54" s="2331"/>
      <c r="AW54" s="2331"/>
      <c r="AX54" s="561"/>
      <c r="AY54" s="381"/>
      <c r="AZ54" s="2331"/>
      <c r="BA54" s="2331"/>
      <c r="BB54" s="2331"/>
      <c r="BC54" s="2331"/>
      <c r="BD54" s="2331"/>
      <c r="BE54" s="2331"/>
      <c r="BF54" s="2331"/>
      <c r="BG54" s="2331"/>
      <c r="BH54" s="546"/>
    </row>
    <row r="55" spans="1:115" ht="20.100000000000001" customHeight="1">
      <c r="A55" s="2353"/>
      <c r="B55" s="2353"/>
      <c r="C55" s="2353"/>
      <c r="D55" s="2353"/>
      <c r="E55" s="549"/>
      <c r="F55" s="1866" t="s">
        <v>182</v>
      </c>
      <c r="G55" s="1866"/>
      <c r="H55" s="1866"/>
      <c r="I55" s="1866"/>
      <c r="J55" s="1866"/>
      <c r="K55" s="1866"/>
      <c r="L55" s="91"/>
      <c r="M55" s="2335" t="s">
        <v>720</v>
      </c>
      <c r="N55" s="2335"/>
      <c r="O55" s="2335"/>
      <c r="P55" s="2335"/>
      <c r="Q55" s="2335"/>
      <c r="R55" s="2335"/>
      <c r="S55" s="2335"/>
      <c r="T55" s="2336">
        <v>2.2200000000000002</v>
      </c>
      <c r="U55" s="2337"/>
      <c r="V55" s="2337"/>
      <c r="W55" s="2354">
        <v>18000</v>
      </c>
      <c r="X55" s="2355"/>
      <c r="Y55" s="2355"/>
      <c r="Z55" s="2355"/>
      <c r="AA55" s="2355"/>
      <c r="AB55" s="2355"/>
      <c r="AC55" s="2355"/>
      <c r="AD55" s="2355"/>
      <c r="AE55" s="2355"/>
      <c r="AF55" s="549"/>
      <c r="AG55" s="2340">
        <v>360</v>
      </c>
      <c r="AH55" s="2341"/>
      <c r="AI55" s="2341"/>
      <c r="AJ55" s="2341"/>
      <c r="AK55" s="1913" t="s">
        <v>241</v>
      </c>
      <c r="AL55" s="1913"/>
      <c r="AM55" s="1913"/>
      <c r="AN55" s="91"/>
      <c r="AO55" s="550"/>
      <c r="AP55" s="2331" t="s">
        <v>241</v>
      </c>
      <c r="AQ55" s="2331"/>
      <c r="AR55" s="2331"/>
      <c r="AS55" s="2331"/>
      <c r="AT55" s="2331"/>
      <c r="AU55" s="2331"/>
      <c r="AV55" s="2331"/>
      <c r="AW55" s="2331"/>
      <c r="AX55" s="551"/>
      <c r="AY55" s="378"/>
      <c r="AZ55" s="2331" t="s">
        <v>241</v>
      </c>
      <c r="BA55" s="2331"/>
      <c r="BB55" s="2331"/>
      <c r="BC55" s="2331"/>
      <c r="BD55" s="2331"/>
      <c r="BE55" s="2331"/>
      <c r="BF55" s="2331"/>
      <c r="BG55" s="2331"/>
      <c r="BH55" s="551"/>
    </row>
    <row r="56" spans="1:115" ht="20.100000000000001" customHeight="1">
      <c r="A56" s="2353"/>
      <c r="B56" s="2353"/>
      <c r="C56" s="2353"/>
      <c r="D56" s="2353"/>
      <c r="E56" s="383"/>
      <c r="F56" s="1866"/>
      <c r="G56" s="1866"/>
      <c r="H56" s="1866"/>
      <c r="I56" s="1866"/>
      <c r="J56" s="1866"/>
      <c r="K56" s="1866"/>
      <c r="L56" s="97"/>
      <c r="M56" s="2342" t="s">
        <v>723</v>
      </c>
      <c r="N56" s="2342"/>
      <c r="O56" s="2342"/>
      <c r="P56" s="2342"/>
      <c r="Q56" s="2342"/>
      <c r="R56" s="2342"/>
      <c r="S56" s="2342"/>
      <c r="T56" s="2343">
        <v>0.93</v>
      </c>
      <c r="U56" s="2344"/>
      <c r="V56" s="2344"/>
      <c r="W56" s="2355"/>
      <c r="X56" s="2355"/>
      <c r="Y56" s="2355"/>
      <c r="Z56" s="2355"/>
      <c r="AA56" s="2355"/>
      <c r="AB56" s="2355"/>
      <c r="AC56" s="2355"/>
      <c r="AD56" s="2355"/>
      <c r="AE56" s="2355"/>
      <c r="AF56" s="370"/>
      <c r="AG56" s="2341"/>
      <c r="AH56" s="2341"/>
      <c r="AI56" s="2341"/>
      <c r="AJ56" s="2341"/>
      <c r="AK56" s="1913"/>
      <c r="AL56" s="1913"/>
      <c r="AM56" s="1913"/>
      <c r="AN56" s="97"/>
      <c r="AO56" s="560"/>
      <c r="AP56" s="2331"/>
      <c r="AQ56" s="2331"/>
      <c r="AR56" s="2331"/>
      <c r="AS56" s="2331"/>
      <c r="AT56" s="2331"/>
      <c r="AU56" s="2331"/>
      <c r="AV56" s="2331"/>
      <c r="AW56" s="2331"/>
      <c r="AX56" s="561"/>
      <c r="AY56" s="381"/>
      <c r="AZ56" s="2331"/>
      <c r="BA56" s="2331"/>
      <c r="BB56" s="2331"/>
      <c r="BC56" s="2331"/>
      <c r="BD56" s="2331"/>
      <c r="BE56" s="2331"/>
      <c r="BF56" s="2331"/>
      <c r="BG56" s="2331"/>
      <c r="BH56" s="546"/>
    </row>
    <row r="57" spans="1:115" ht="20.100000000000001" customHeight="1">
      <c r="A57" s="2353"/>
      <c r="B57" s="2353"/>
      <c r="C57" s="2353"/>
      <c r="D57" s="2353"/>
      <c r="E57" s="87"/>
      <c r="F57" s="1866" t="s">
        <v>183</v>
      </c>
      <c r="G57" s="1866"/>
      <c r="H57" s="1866"/>
      <c r="I57" s="1866"/>
      <c r="J57" s="1866"/>
      <c r="K57" s="1866"/>
      <c r="L57" s="113"/>
      <c r="M57" s="2335" t="s">
        <v>720</v>
      </c>
      <c r="N57" s="2335"/>
      <c r="O57" s="2335"/>
      <c r="P57" s="2335"/>
      <c r="Q57" s="2335"/>
      <c r="R57" s="2335"/>
      <c r="S57" s="2335"/>
      <c r="T57" s="2336">
        <v>2.2200000000000002</v>
      </c>
      <c r="U57" s="2337"/>
      <c r="V57" s="2337"/>
      <c r="W57" s="2351">
        <v>19000</v>
      </c>
      <c r="X57" s="2352"/>
      <c r="Y57" s="2352"/>
      <c r="Z57" s="2352"/>
      <c r="AA57" s="2352"/>
      <c r="AB57" s="2352"/>
      <c r="AC57" s="2352"/>
      <c r="AD57" s="2352"/>
      <c r="AE57" s="2352"/>
      <c r="AF57" s="87"/>
      <c r="AG57" s="2340">
        <v>360</v>
      </c>
      <c r="AH57" s="2341"/>
      <c r="AI57" s="2341"/>
      <c r="AJ57" s="2341"/>
      <c r="AK57" s="1871" t="s">
        <v>241</v>
      </c>
      <c r="AL57" s="1871"/>
      <c r="AM57" s="1871"/>
      <c r="AN57" s="113"/>
      <c r="AO57" s="545"/>
      <c r="AP57" s="2331" t="s">
        <v>241</v>
      </c>
      <c r="AQ57" s="2331"/>
      <c r="AR57" s="2331"/>
      <c r="AS57" s="2331"/>
      <c r="AT57" s="2331"/>
      <c r="AU57" s="2331"/>
      <c r="AV57" s="2331"/>
      <c r="AW57" s="2331"/>
      <c r="AX57" s="546"/>
      <c r="AY57" s="378"/>
      <c r="AZ57" s="2331" t="s">
        <v>241</v>
      </c>
      <c r="BA57" s="2331"/>
      <c r="BB57" s="2331"/>
      <c r="BC57" s="2331"/>
      <c r="BD57" s="2331"/>
      <c r="BE57" s="2331"/>
      <c r="BF57" s="2331"/>
      <c r="BG57" s="2331"/>
      <c r="BH57" s="551"/>
    </row>
    <row r="58" spans="1:115" ht="20.100000000000001" customHeight="1">
      <c r="A58" s="2353"/>
      <c r="B58" s="2353"/>
      <c r="C58" s="2353"/>
      <c r="D58" s="2353"/>
      <c r="E58" s="383"/>
      <c r="F58" s="1866"/>
      <c r="G58" s="1866"/>
      <c r="H58" s="1866"/>
      <c r="I58" s="1866"/>
      <c r="J58" s="1866"/>
      <c r="K58" s="1866"/>
      <c r="L58" s="97"/>
      <c r="M58" s="2342" t="s">
        <v>723</v>
      </c>
      <c r="N58" s="2342"/>
      <c r="O58" s="2342"/>
      <c r="P58" s="2342"/>
      <c r="Q58" s="2342"/>
      <c r="R58" s="2342"/>
      <c r="S58" s="2342"/>
      <c r="T58" s="2343">
        <v>0.93</v>
      </c>
      <c r="U58" s="2344"/>
      <c r="V58" s="2344"/>
      <c r="W58" s="2352"/>
      <c r="X58" s="2352"/>
      <c r="Y58" s="2352"/>
      <c r="Z58" s="2352"/>
      <c r="AA58" s="2352"/>
      <c r="AB58" s="2352"/>
      <c r="AC58" s="2352"/>
      <c r="AD58" s="2352"/>
      <c r="AE58" s="2352"/>
      <c r="AF58" s="370"/>
      <c r="AG58" s="2341"/>
      <c r="AH58" s="2341"/>
      <c r="AI58" s="2341"/>
      <c r="AJ58" s="2341"/>
      <c r="AK58" s="1871"/>
      <c r="AL58" s="1871"/>
      <c r="AM58" s="1871"/>
      <c r="AN58" s="97"/>
      <c r="AO58" s="560"/>
      <c r="AP58" s="2331"/>
      <c r="AQ58" s="2331"/>
      <c r="AR58" s="2331"/>
      <c r="AS58" s="2331"/>
      <c r="AT58" s="2331"/>
      <c r="AU58" s="2331"/>
      <c r="AV58" s="2331"/>
      <c r="AW58" s="2331"/>
      <c r="AX58" s="561"/>
      <c r="AY58" s="381"/>
      <c r="AZ58" s="2331"/>
      <c r="BA58" s="2331"/>
      <c r="BB58" s="2331"/>
      <c r="BC58" s="2331"/>
      <c r="BD58" s="2331"/>
      <c r="BE58" s="2331"/>
      <c r="BF58" s="2331"/>
      <c r="BG58" s="2331"/>
      <c r="BH58" s="546"/>
    </row>
    <row r="59" spans="1:115" ht="20.100000000000001" customHeight="1">
      <c r="A59" s="2307" t="s">
        <v>729</v>
      </c>
      <c r="B59" s="2307"/>
      <c r="C59" s="2307"/>
      <c r="D59" s="2307"/>
      <c r="E59" s="549"/>
      <c r="F59" s="1866" t="s">
        <v>184</v>
      </c>
      <c r="G59" s="1866"/>
      <c r="H59" s="1866"/>
      <c r="I59" s="1866"/>
      <c r="J59" s="1866"/>
      <c r="K59" s="1866"/>
      <c r="L59" s="91"/>
      <c r="M59" s="2335" t="s">
        <v>720</v>
      </c>
      <c r="N59" s="2335"/>
      <c r="O59" s="2335"/>
      <c r="P59" s="2335"/>
      <c r="Q59" s="2335"/>
      <c r="R59" s="2335"/>
      <c r="S59" s="2335"/>
      <c r="T59" s="2336">
        <v>2.66</v>
      </c>
      <c r="U59" s="2337"/>
      <c r="V59" s="2337"/>
      <c r="W59" s="2338">
        <v>1000</v>
      </c>
      <c r="X59" s="2339"/>
      <c r="Y59" s="2339"/>
      <c r="Z59" s="2339"/>
      <c r="AA59" s="2339"/>
      <c r="AB59" s="2339"/>
      <c r="AC59" s="2339"/>
      <c r="AD59" s="2339"/>
      <c r="AE59" s="2339"/>
      <c r="AF59" s="549"/>
      <c r="AG59" s="2340">
        <v>120</v>
      </c>
      <c r="AH59" s="2341"/>
      <c r="AI59" s="2341"/>
      <c r="AJ59" s="2341"/>
      <c r="AK59" s="1871" t="s">
        <v>241</v>
      </c>
      <c r="AL59" s="1871"/>
      <c r="AM59" s="1871"/>
      <c r="AN59" s="91"/>
      <c r="AO59" s="90"/>
      <c r="AP59" s="2331" t="s">
        <v>241</v>
      </c>
      <c r="AQ59" s="2331"/>
      <c r="AR59" s="2331"/>
      <c r="AS59" s="2331"/>
      <c r="AT59" s="2331"/>
      <c r="AU59" s="2331"/>
      <c r="AV59" s="2331"/>
      <c r="AW59" s="2331"/>
      <c r="AX59" s="91"/>
      <c r="AY59" s="69"/>
      <c r="AZ59" s="69"/>
      <c r="BA59" s="69"/>
      <c r="BB59" s="69"/>
      <c r="BC59" s="69"/>
      <c r="BD59" s="69"/>
      <c r="BE59" s="69"/>
      <c r="BF59" s="69"/>
      <c r="BG59" s="69"/>
      <c r="BH59" s="91"/>
      <c r="BI59" s="322"/>
      <c r="BJ59" s="322"/>
      <c r="BK59" s="322"/>
      <c r="BL59" s="322"/>
      <c r="BM59" s="322"/>
      <c r="BN59" s="322"/>
      <c r="BO59" s="322"/>
      <c r="BP59" s="322"/>
      <c r="BQ59" s="322"/>
      <c r="BR59" s="322"/>
      <c r="BS59" s="322"/>
      <c r="BT59" s="322"/>
      <c r="BU59" s="322"/>
      <c r="BV59" s="322"/>
      <c r="BW59" s="322"/>
      <c r="BX59" s="322"/>
      <c r="BY59" s="322"/>
      <c r="BZ59" s="322"/>
      <c r="CA59" s="322"/>
      <c r="CB59" s="322"/>
      <c r="CC59" s="322"/>
      <c r="CD59" s="322"/>
      <c r="CE59" s="322"/>
      <c r="CF59" s="322"/>
      <c r="CG59" s="322"/>
      <c r="CH59" s="322"/>
      <c r="CI59" s="322"/>
      <c r="CJ59" s="322"/>
      <c r="CK59" s="322"/>
      <c r="CL59" s="322"/>
      <c r="CM59" s="322"/>
      <c r="CN59" s="322"/>
      <c r="CO59" s="322"/>
      <c r="CP59" s="322"/>
      <c r="CQ59" s="322"/>
      <c r="CR59" s="322"/>
      <c r="CS59" s="322"/>
      <c r="CT59" s="322"/>
      <c r="CU59" s="322"/>
      <c r="CV59" s="322"/>
      <c r="CW59" s="322"/>
      <c r="CX59" s="322"/>
      <c r="CY59" s="322"/>
      <c r="CZ59" s="322"/>
      <c r="DA59" s="322"/>
      <c r="DB59" s="322"/>
      <c r="DC59" s="322"/>
      <c r="DD59" s="322"/>
      <c r="DE59" s="322"/>
      <c r="DF59" s="322"/>
      <c r="DG59" s="322"/>
      <c r="DH59" s="322"/>
      <c r="DI59" s="322"/>
      <c r="DJ59" s="322"/>
      <c r="DK59" s="322"/>
    </row>
    <row r="60" spans="1:115" ht="20.100000000000001" customHeight="1">
      <c r="A60" s="2307"/>
      <c r="B60" s="2307"/>
      <c r="C60" s="2307"/>
      <c r="D60" s="2307"/>
      <c r="E60" s="370"/>
      <c r="F60" s="1866"/>
      <c r="G60" s="1866"/>
      <c r="H60" s="1866"/>
      <c r="I60" s="1866"/>
      <c r="J60" s="1866"/>
      <c r="K60" s="1866"/>
      <c r="L60" s="97"/>
      <c r="M60" s="2342" t="s">
        <v>723</v>
      </c>
      <c r="N60" s="2342"/>
      <c r="O60" s="2342"/>
      <c r="P60" s="2342"/>
      <c r="Q60" s="2342"/>
      <c r="R60" s="2342"/>
      <c r="S60" s="2342"/>
      <c r="T60" s="2343">
        <v>1.26</v>
      </c>
      <c r="U60" s="2344"/>
      <c r="V60" s="2344"/>
      <c r="W60" s="2339"/>
      <c r="X60" s="2339"/>
      <c r="Y60" s="2339"/>
      <c r="Z60" s="2339"/>
      <c r="AA60" s="2339"/>
      <c r="AB60" s="2339"/>
      <c r="AC60" s="2339"/>
      <c r="AD60" s="2339"/>
      <c r="AE60" s="2339"/>
      <c r="AF60" s="370"/>
      <c r="AG60" s="2341"/>
      <c r="AH60" s="2341"/>
      <c r="AI60" s="2341"/>
      <c r="AJ60" s="2341"/>
      <c r="AK60" s="1871"/>
      <c r="AL60" s="1871"/>
      <c r="AM60" s="1871"/>
      <c r="AN60" s="97"/>
      <c r="AO60" s="96"/>
      <c r="AP60" s="2331"/>
      <c r="AQ60" s="2331"/>
      <c r="AR60" s="2331"/>
      <c r="AS60" s="2331"/>
      <c r="AT60" s="2331"/>
      <c r="AU60" s="2331"/>
      <c r="AV60" s="2331"/>
      <c r="AW60" s="2331"/>
      <c r="AX60" s="97"/>
      <c r="AY60" s="347"/>
      <c r="AZ60" s="347"/>
      <c r="BA60" s="347"/>
      <c r="BB60" s="347"/>
      <c r="BC60" s="347"/>
      <c r="BD60" s="347"/>
      <c r="BE60" s="347"/>
      <c r="BF60" s="347"/>
      <c r="BG60" s="347"/>
      <c r="BH60" s="97"/>
      <c r="BI60" s="562"/>
      <c r="BJ60" s="562"/>
      <c r="BK60" s="562"/>
      <c r="BL60" s="562"/>
      <c r="BM60" s="456"/>
      <c r="BN60" s="563"/>
      <c r="BO60" s="563"/>
      <c r="BP60" s="563"/>
      <c r="BQ60" s="563"/>
      <c r="BR60" s="563"/>
      <c r="BS60" s="563"/>
      <c r="BT60" s="563"/>
      <c r="BU60" s="563"/>
      <c r="BV60" s="563"/>
      <c r="BW60" s="456"/>
      <c r="BX60" s="544"/>
      <c r="BY60" s="544"/>
      <c r="BZ60" s="544"/>
      <c r="CA60" s="544"/>
      <c r="CB60" s="544"/>
      <c r="CC60" s="544"/>
      <c r="CD60" s="544"/>
      <c r="CE60" s="544"/>
      <c r="CF60" s="544"/>
      <c r="CG60" s="456"/>
      <c r="CH60" s="326"/>
      <c r="CI60" s="326"/>
      <c r="CJ60" s="326"/>
      <c r="CK60" s="326"/>
      <c r="CL60" s="335"/>
      <c r="CM60" s="335"/>
      <c r="CN60" s="335"/>
      <c r="CO60" s="456"/>
      <c r="CP60" s="323"/>
      <c r="CQ60" s="323"/>
      <c r="CR60" s="323"/>
      <c r="CS60" s="323"/>
      <c r="CT60" s="323"/>
      <c r="CU60" s="323"/>
      <c r="CV60" s="323"/>
      <c r="CW60" s="323"/>
      <c r="CX60" s="456"/>
      <c r="CY60" s="456"/>
      <c r="CZ60" s="564"/>
      <c r="DA60" s="564"/>
      <c r="DB60" s="564"/>
      <c r="DC60" s="335"/>
      <c r="DD60" s="335"/>
      <c r="DE60" s="335"/>
      <c r="DF60" s="564"/>
      <c r="DG60" s="564"/>
      <c r="DH60" s="564"/>
      <c r="DI60" s="322"/>
      <c r="DJ60" s="322"/>
      <c r="DK60" s="322"/>
    </row>
    <row r="61" spans="1:115" ht="20.100000000000001" customHeight="1">
      <c r="A61" s="2307"/>
      <c r="B61" s="2307"/>
      <c r="C61" s="2307"/>
      <c r="D61" s="2307"/>
      <c r="E61" s="87"/>
      <c r="F61" s="1866" t="s">
        <v>185</v>
      </c>
      <c r="G61" s="1866"/>
      <c r="H61" s="1866"/>
      <c r="I61" s="1866"/>
      <c r="J61" s="1866"/>
      <c r="K61" s="1866"/>
      <c r="L61" s="113"/>
      <c r="M61" s="2335" t="s">
        <v>720</v>
      </c>
      <c r="N61" s="2335"/>
      <c r="O61" s="2335"/>
      <c r="P61" s="2335"/>
      <c r="Q61" s="2335"/>
      <c r="R61" s="2335"/>
      <c r="S61" s="2335"/>
      <c r="T61" s="2336">
        <v>2.66</v>
      </c>
      <c r="U61" s="2337"/>
      <c r="V61" s="2337"/>
      <c r="W61" s="2345">
        <v>2000</v>
      </c>
      <c r="X61" s="2346"/>
      <c r="Y61" s="2346"/>
      <c r="Z61" s="2346"/>
      <c r="AA61" s="2346"/>
      <c r="AB61" s="2346"/>
      <c r="AC61" s="2346"/>
      <c r="AD61" s="2346"/>
      <c r="AE61" s="2346"/>
      <c r="AF61" s="87"/>
      <c r="AG61" s="2340">
        <v>120</v>
      </c>
      <c r="AH61" s="2341"/>
      <c r="AI61" s="2341"/>
      <c r="AJ61" s="2341"/>
      <c r="AK61" s="1833" t="s">
        <v>241</v>
      </c>
      <c r="AL61" s="1833"/>
      <c r="AM61" s="1833"/>
      <c r="AN61" s="113"/>
      <c r="AO61" s="86"/>
      <c r="AP61" s="2331" t="s">
        <v>241</v>
      </c>
      <c r="AQ61" s="2331"/>
      <c r="AR61" s="2331"/>
      <c r="AS61" s="2331"/>
      <c r="AT61" s="2331"/>
      <c r="AU61" s="2331"/>
      <c r="AV61" s="2331"/>
      <c r="AW61" s="2331"/>
      <c r="AX61" s="113"/>
      <c r="AY61" s="69"/>
      <c r="AZ61" s="69"/>
      <c r="BA61" s="69"/>
      <c r="BB61" s="69"/>
      <c r="BC61" s="69"/>
      <c r="BD61" s="69"/>
      <c r="BE61" s="69"/>
      <c r="BF61" s="69"/>
      <c r="BG61" s="69"/>
      <c r="BH61" s="113"/>
      <c r="BI61" s="562"/>
      <c r="BJ61" s="562"/>
      <c r="BK61" s="562"/>
      <c r="BL61" s="562"/>
      <c r="BM61" s="456"/>
      <c r="BN61" s="563"/>
      <c r="BO61" s="563"/>
      <c r="BP61" s="563"/>
      <c r="BQ61" s="563"/>
      <c r="BR61" s="563"/>
      <c r="BS61" s="563"/>
      <c r="BT61" s="563"/>
      <c r="BU61" s="563"/>
      <c r="BV61" s="563"/>
      <c r="BW61" s="456"/>
      <c r="BX61" s="565"/>
      <c r="BY61" s="566"/>
      <c r="BZ61" s="566"/>
      <c r="CA61" s="566"/>
      <c r="CB61" s="566"/>
      <c r="CC61" s="566"/>
      <c r="CD61" s="566"/>
      <c r="CE61" s="566"/>
      <c r="CF61" s="566"/>
      <c r="CG61" s="567"/>
      <c r="CH61" s="326"/>
      <c r="CI61" s="326"/>
      <c r="CJ61" s="326"/>
      <c r="CK61" s="326"/>
      <c r="CL61" s="335"/>
      <c r="CM61" s="335"/>
      <c r="CN61" s="335"/>
      <c r="CO61" s="456"/>
      <c r="CP61" s="325"/>
      <c r="CQ61" s="325"/>
      <c r="CR61" s="325"/>
      <c r="CS61" s="325"/>
      <c r="CT61" s="325"/>
      <c r="CU61" s="325"/>
      <c r="CV61" s="325"/>
      <c r="CW61" s="325"/>
      <c r="CX61" s="456"/>
      <c r="CY61" s="456"/>
      <c r="CZ61" s="568"/>
      <c r="DA61" s="568"/>
      <c r="DB61" s="568"/>
      <c r="DC61" s="335"/>
      <c r="DD61" s="335"/>
      <c r="DE61" s="335"/>
      <c r="DF61" s="568"/>
      <c r="DG61" s="568"/>
      <c r="DH61" s="568"/>
      <c r="DI61" s="322"/>
      <c r="DJ61" s="322"/>
      <c r="DK61" s="322"/>
    </row>
    <row r="62" spans="1:115" ht="20.100000000000001" customHeight="1">
      <c r="A62" s="2307"/>
      <c r="B62" s="2307"/>
      <c r="C62" s="2307"/>
      <c r="D62" s="2307"/>
      <c r="E62" s="87"/>
      <c r="F62" s="1866"/>
      <c r="G62" s="1866"/>
      <c r="H62" s="1866"/>
      <c r="I62" s="1866"/>
      <c r="J62" s="1866"/>
      <c r="K62" s="1866"/>
      <c r="L62" s="113"/>
      <c r="M62" s="2342" t="s">
        <v>723</v>
      </c>
      <c r="N62" s="2342"/>
      <c r="O62" s="2342"/>
      <c r="P62" s="2342"/>
      <c r="Q62" s="2342"/>
      <c r="R62" s="2342"/>
      <c r="S62" s="2342"/>
      <c r="T62" s="2343">
        <v>1.26</v>
      </c>
      <c r="U62" s="2344"/>
      <c r="V62" s="2344"/>
      <c r="W62" s="2346"/>
      <c r="X62" s="2346"/>
      <c r="Y62" s="2346"/>
      <c r="Z62" s="2346"/>
      <c r="AA62" s="2346"/>
      <c r="AB62" s="2346"/>
      <c r="AC62" s="2346"/>
      <c r="AD62" s="2346"/>
      <c r="AE62" s="2346"/>
      <c r="AF62" s="87"/>
      <c r="AG62" s="2341"/>
      <c r="AH62" s="2341"/>
      <c r="AI62" s="2341"/>
      <c r="AJ62" s="2341"/>
      <c r="AK62" s="1833"/>
      <c r="AL62" s="1833"/>
      <c r="AM62" s="1833"/>
      <c r="AN62" s="113"/>
      <c r="AO62" s="86"/>
      <c r="AP62" s="2331"/>
      <c r="AQ62" s="2331"/>
      <c r="AR62" s="2331"/>
      <c r="AS62" s="2331"/>
      <c r="AT62" s="2331"/>
      <c r="AU62" s="2331"/>
      <c r="AV62" s="2331"/>
      <c r="AW62" s="2331"/>
      <c r="AX62" s="113"/>
      <c r="AY62" s="347"/>
      <c r="AZ62" s="347"/>
      <c r="BA62" s="347"/>
      <c r="BB62" s="347"/>
      <c r="BC62" s="347"/>
      <c r="BD62" s="347"/>
      <c r="BE62" s="347"/>
      <c r="BF62" s="347"/>
      <c r="BG62" s="347"/>
      <c r="BH62" s="113"/>
      <c r="BI62" s="322"/>
      <c r="BJ62" s="322"/>
      <c r="BK62" s="322"/>
      <c r="BL62" s="322"/>
      <c r="BM62" s="322"/>
      <c r="BN62" s="322"/>
      <c r="BO62" s="322"/>
      <c r="BP62" s="322"/>
      <c r="BQ62" s="322"/>
      <c r="BR62" s="322"/>
      <c r="BS62" s="322"/>
      <c r="BT62" s="322"/>
      <c r="BU62" s="322"/>
      <c r="BV62" s="322"/>
      <c r="BW62" s="322"/>
      <c r="BX62" s="322"/>
      <c r="BY62" s="322"/>
      <c r="BZ62" s="322"/>
      <c r="CA62" s="322"/>
      <c r="CB62" s="322"/>
      <c r="CC62" s="322"/>
      <c r="CD62" s="322"/>
      <c r="CE62" s="322"/>
      <c r="CF62" s="322"/>
      <c r="CG62" s="322"/>
      <c r="CH62" s="322"/>
      <c r="CI62" s="322"/>
      <c r="CJ62" s="322"/>
      <c r="CK62" s="322"/>
      <c r="CL62" s="322"/>
      <c r="CM62" s="322"/>
      <c r="CN62" s="322"/>
      <c r="CO62" s="322"/>
      <c r="CP62" s="322"/>
      <c r="CQ62" s="322"/>
      <c r="CR62" s="322"/>
      <c r="CS62" s="322"/>
      <c r="CT62" s="322"/>
      <c r="CU62" s="322"/>
      <c r="CV62" s="322"/>
      <c r="CW62" s="322"/>
      <c r="CX62" s="322"/>
      <c r="CY62" s="322"/>
      <c r="CZ62" s="322"/>
      <c r="DA62" s="322"/>
      <c r="DB62" s="322"/>
      <c r="DC62" s="322"/>
      <c r="DD62" s="322"/>
      <c r="DE62" s="322"/>
      <c r="DF62" s="322"/>
      <c r="DG62" s="322"/>
      <c r="DH62" s="322"/>
      <c r="DI62" s="322"/>
      <c r="DJ62" s="322"/>
      <c r="DK62" s="322"/>
    </row>
    <row r="63" spans="1:115" ht="20.100000000000001" customHeight="1">
      <c r="A63" s="2307"/>
      <c r="B63" s="2307"/>
      <c r="C63" s="2307"/>
      <c r="D63" s="2307"/>
      <c r="E63" s="549"/>
      <c r="F63" s="1866" t="s">
        <v>186</v>
      </c>
      <c r="G63" s="1866"/>
      <c r="H63" s="1866"/>
      <c r="I63" s="1866"/>
      <c r="J63" s="1866"/>
      <c r="K63" s="1866"/>
      <c r="L63" s="91"/>
      <c r="M63" s="2335" t="s">
        <v>720</v>
      </c>
      <c r="N63" s="2335"/>
      <c r="O63" s="2335"/>
      <c r="P63" s="2335"/>
      <c r="Q63" s="2335"/>
      <c r="R63" s="2335"/>
      <c r="S63" s="2335"/>
      <c r="T63" s="2336">
        <v>2.66</v>
      </c>
      <c r="U63" s="2337"/>
      <c r="V63" s="2337"/>
      <c r="W63" s="2347" t="s">
        <v>730</v>
      </c>
      <c r="X63" s="2347"/>
      <c r="Y63" s="2347"/>
      <c r="Z63" s="2347"/>
      <c r="AA63" s="2347"/>
      <c r="AB63" s="2348" t="s">
        <v>177</v>
      </c>
      <c r="AC63" s="2348"/>
      <c r="AD63" s="2349">
        <v>150</v>
      </c>
      <c r="AE63" s="2350"/>
      <c r="AF63" s="2350"/>
      <c r="AG63" s="2340">
        <v>150</v>
      </c>
      <c r="AH63" s="2341"/>
      <c r="AI63" s="2341"/>
      <c r="AJ63" s="2341"/>
      <c r="AK63" s="1871" t="s">
        <v>241</v>
      </c>
      <c r="AL63" s="1871"/>
      <c r="AM63" s="1871"/>
      <c r="AN63" s="91"/>
      <c r="AO63" s="90"/>
      <c r="AP63" s="2331" t="s">
        <v>241</v>
      </c>
      <c r="AQ63" s="2331"/>
      <c r="AR63" s="2331"/>
      <c r="AS63" s="2331"/>
      <c r="AT63" s="2331"/>
      <c r="AU63" s="2331"/>
      <c r="AV63" s="2331"/>
      <c r="AW63" s="2331"/>
      <c r="AX63" s="91"/>
      <c r="AY63" s="69"/>
      <c r="AZ63" s="69"/>
      <c r="BA63" s="69"/>
      <c r="BB63" s="69"/>
      <c r="BC63" s="69"/>
      <c r="BD63" s="69"/>
      <c r="BE63" s="69"/>
      <c r="BF63" s="69"/>
      <c r="BG63" s="69"/>
      <c r="BH63" s="91"/>
    </row>
    <row r="64" spans="1:115" ht="20.100000000000001" customHeight="1">
      <c r="A64" s="2307"/>
      <c r="B64" s="2307"/>
      <c r="C64" s="2307"/>
      <c r="D64" s="2307"/>
      <c r="E64" s="370"/>
      <c r="F64" s="1866"/>
      <c r="G64" s="1866"/>
      <c r="H64" s="1866"/>
      <c r="I64" s="1866"/>
      <c r="J64" s="1866"/>
      <c r="K64" s="1866"/>
      <c r="L64" s="97"/>
      <c r="M64" s="2342" t="s">
        <v>723</v>
      </c>
      <c r="N64" s="2342"/>
      <c r="O64" s="2342"/>
      <c r="P64" s="2342"/>
      <c r="Q64" s="2342"/>
      <c r="R64" s="2342"/>
      <c r="S64" s="2342"/>
      <c r="T64" s="2343">
        <v>1.26</v>
      </c>
      <c r="U64" s="2344"/>
      <c r="V64" s="2344"/>
      <c r="W64" s="2347"/>
      <c r="X64" s="2347"/>
      <c r="Y64" s="2347"/>
      <c r="Z64" s="2347"/>
      <c r="AA64" s="2347"/>
      <c r="AB64" s="2348"/>
      <c r="AC64" s="2348"/>
      <c r="AD64" s="2350"/>
      <c r="AE64" s="2350"/>
      <c r="AF64" s="2350"/>
      <c r="AG64" s="2341"/>
      <c r="AH64" s="2341"/>
      <c r="AI64" s="2341"/>
      <c r="AJ64" s="2341"/>
      <c r="AK64" s="1871"/>
      <c r="AL64" s="1871"/>
      <c r="AM64" s="1871"/>
      <c r="AN64" s="97"/>
      <c r="AO64" s="96"/>
      <c r="AP64" s="2331"/>
      <c r="AQ64" s="2331"/>
      <c r="AR64" s="2331"/>
      <c r="AS64" s="2331"/>
      <c r="AT64" s="2331"/>
      <c r="AU64" s="2331"/>
      <c r="AV64" s="2331"/>
      <c r="AW64" s="2331"/>
      <c r="AX64" s="97"/>
      <c r="AY64" s="347"/>
      <c r="AZ64" s="347"/>
      <c r="BA64" s="347"/>
      <c r="BB64" s="347"/>
      <c r="BC64" s="347"/>
      <c r="BD64" s="347"/>
      <c r="BE64" s="347"/>
      <c r="BF64" s="347"/>
      <c r="BG64" s="347"/>
      <c r="BH64" s="97"/>
    </row>
    <row r="65" spans="1:67" ht="20.100000000000001" customHeight="1">
      <c r="A65" s="2307"/>
      <c r="B65" s="2307"/>
      <c r="C65" s="2307"/>
      <c r="D65" s="2307"/>
      <c r="E65" s="87"/>
      <c r="F65" s="1866" t="s">
        <v>187</v>
      </c>
      <c r="G65" s="1866"/>
      <c r="H65" s="1866"/>
      <c r="I65" s="1866"/>
      <c r="J65" s="1866"/>
      <c r="K65" s="1866"/>
      <c r="L65" s="113"/>
      <c r="M65" s="2335" t="s">
        <v>720</v>
      </c>
      <c r="N65" s="2335"/>
      <c r="O65" s="2335"/>
      <c r="P65" s="2335"/>
      <c r="Q65" s="2335"/>
      <c r="R65" s="2335"/>
      <c r="S65" s="2335"/>
      <c r="T65" s="2336">
        <v>2.66</v>
      </c>
      <c r="U65" s="2337"/>
      <c r="V65" s="2337"/>
      <c r="W65" s="2345">
        <v>2000</v>
      </c>
      <c r="X65" s="2346"/>
      <c r="Y65" s="2346"/>
      <c r="Z65" s="2346"/>
      <c r="AA65" s="2346"/>
      <c r="AB65" s="2346"/>
      <c r="AC65" s="2346"/>
      <c r="AD65" s="2346"/>
      <c r="AE65" s="2346"/>
      <c r="AF65" s="87"/>
      <c r="AG65" s="2340">
        <v>120</v>
      </c>
      <c r="AH65" s="2341"/>
      <c r="AI65" s="2341"/>
      <c r="AJ65" s="2341"/>
      <c r="AK65" s="1833" t="s">
        <v>241</v>
      </c>
      <c r="AL65" s="1833"/>
      <c r="AM65" s="1833"/>
      <c r="AN65" s="113"/>
      <c r="AO65" s="86"/>
      <c r="AP65" s="2331" t="s">
        <v>241</v>
      </c>
      <c r="AQ65" s="2331"/>
      <c r="AR65" s="2331"/>
      <c r="AS65" s="2331"/>
      <c r="AT65" s="2331"/>
      <c r="AU65" s="2331"/>
      <c r="AV65" s="2331"/>
      <c r="AW65" s="2331"/>
      <c r="AX65" s="113"/>
      <c r="AY65" s="69"/>
      <c r="AZ65" s="69"/>
      <c r="BA65" s="69"/>
      <c r="BB65" s="69"/>
      <c r="BC65" s="69"/>
      <c r="BD65" s="69"/>
      <c r="BE65" s="69"/>
      <c r="BF65" s="69"/>
      <c r="BG65" s="69"/>
      <c r="BH65" s="113"/>
    </row>
    <row r="66" spans="1:67" ht="20.100000000000001" customHeight="1">
      <c r="A66" s="2307"/>
      <c r="B66" s="2307"/>
      <c r="C66" s="2307"/>
      <c r="D66" s="2307"/>
      <c r="E66" s="87"/>
      <c r="F66" s="1866"/>
      <c r="G66" s="1866"/>
      <c r="H66" s="1866"/>
      <c r="I66" s="1866"/>
      <c r="J66" s="1866"/>
      <c r="K66" s="1866"/>
      <c r="L66" s="113"/>
      <c r="M66" s="2342" t="s">
        <v>723</v>
      </c>
      <c r="N66" s="2342"/>
      <c r="O66" s="2342"/>
      <c r="P66" s="2342"/>
      <c r="Q66" s="2342"/>
      <c r="R66" s="2342"/>
      <c r="S66" s="2342"/>
      <c r="T66" s="2343">
        <v>1.26</v>
      </c>
      <c r="U66" s="2344"/>
      <c r="V66" s="2344"/>
      <c r="W66" s="2346"/>
      <c r="X66" s="2346"/>
      <c r="Y66" s="2346"/>
      <c r="Z66" s="2346"/>
      <c r="AA66" s="2346"/>
      <c r="AB66" s="2346"/>
      <c r="AC66" s="2346"/>
      <c r="AD66" s="2346"/>
      <c r="AE66" s="2346"/>
      <c r="AF66" s="87"/>
      <c r="AG66" s="2341"/>
      <c r="AH66" s="2341"/>
      <c r="AI66" s="2341"/>
      <c r="AJ66" s="2341"/>
      <c r="AK66" s="1833"/>
      <c r="AL66" s="1833"/>
      <c r="AM66" s="1833"/>
      <c r="AN66" s="113"/>
      <c r="AO66" s="86"/>
      <c r="AP66" s="2331"/>
      <c r="AQ66" s="2331"/>
      <c r="AR66" s="2331"/>
      <c r="AS66" s="2331"/>
      <c r="AT66" s="2331"/>
      <c r="AU66" s="2331"/>
      <c r="AV66" s="2331"/>
      <c r="AW66" s="2331"/>
      <c r="AX66" s="113"/>
      <c r="AY66" s="347"/>
      <c r="AZ66" s="347"/>
      <c r="BA66" s="347"/>
      <c r="BB66" s="347"/>
      <c r="BC66" s="347"/>
      <c r="BD66" s="347"/>
      <c r="BE66" s="347"/>
      <c r="BF66" s="347"/>
      <c r="BG66" s="347"/>
      <c r="BH66" s="113"/>
    </row>
    <row r="67" spans="1:67" ht="20.100000000000001" customHeight="1">
      <c r="A67" s="2307"/>
      <c r="B67" s="2307"/>
      <c r="C67" s="2307"/>
      <c r="D67" s="2307"/>
      <c r="E67" s="549"/>
      <c r="F67" s="1866" t="s">
        <v>189</v>
      </c>
      <c r="G67" s="1866"/>
      <c r="H67" s="1866"/>
      <c r="I67" s="1866"/>
      <c r="J67" s="1866"/>
      <c r="K67" s="1866"/>
      <c r="L67" s="91"/>
      <c r="M67" s="2335" t="s">
        <v>720</v>
      </c>
      <c r="N67" s="2335"/>
      <c r="O67" s="2335"/>
      <c r="P67" s="2335"/>
      <c r="Q67" s="2335"/>
      <c r="R67" s="2335"/>
      <c r="S67" s="2335"/>
      <c r="T67" s="2336">
        <v>2.66</v>
      </c>
      <c r="U67" s="2337"/>
      <c r="V67" s="2337"/>
      <c r="W67" s="2338">
        <v>2000</v>
      </c>
      <c r="X67" s="2339"/>
      <c r="Y67" s="2339"/>
      <c r="Z67" s="2339"/>
      <c r="AA67" s="2339"/>
      <c r="AB67" s="2339"/>
      <c r="AC67" s="2339"/>
      <c r="AD67" s="2339"/>
      <c r="AE67" s="2339"/>
      <c r="AF67" s="549"/>
      <c r="AG67" s="2340">
        <v>120</v>
      </c>
      <c r="AH67" s="2341"/>
      <c r="AI67" s="2341"/>
      <c r="AJ67" s="2341"/>
      <c r="AK67" s="1871" t="s">
        <v>241</v>
      </c>
      <c r="AL67" s="1871"/>
      <c r="AM67" s="1871"/>
      <c r="AN67" s="91"/>
      <c r="AO67" s="90"/>
      <c r="AP67" s="2331" t="s">
        <v>241</v>
      </c>
      <c r="AQ67" s="2331"/>
      <c r="AR67" s="2331"/>
      <c r="AS67" s="2331"/>
      <c r="AT67" s="2331"/>
      <c r="AU67" s="2331"/>
      <c r="AV67" s="2331"/>
      <c r="AW67" s="2331"/>
      <c r="AX67" s="91"/>
      <c r="AY67" s="69"/>
      <c r="AZ67" s="69"/>
      <c r="BA67" s="69"/>
      <c r="BB67" s="69"/>
      <c r="BC67" s="69"/>
      <c r="BD67" s="69"/>
      <c r="BE67" s="69"/>
      <c r="BF67" s="69"/>
      <c r="BG67" s="69"/>
      <c r="BH67" s="91"/>
    </row>
    <row r="68" spans="1:67" ht="20.100000000000001" customHeight="1">
      <c r="A68" s="2307"/>
      <c r="B68" s="2307"/>
      <c r="C68" s="2307"/>
      <c r="D68" s="2307"/>
      <c r="E68" s="370"/>
      <c r="F68" s="1866"/>
      <c r="G68" s="1866"/>
      <c r="H68" s="1866"/>
      <c r="I68" s="1866"/>
      <c r="J68" s="1866"/>
      <c r="K68" s="1866"/>
      <c r="L68" s="97"/>
      <c r="M68" s="2342" t="s">
        <v>723</v>
      </c>
      <c r="N68" s="2342"/>
      <c r="O68" s="2342"/>
      <c r="P68" s="2342"/>
      <c r="Q68" s="2342"/>
      <c r="R68" s="2342"/>
      <c r="S68" s="2342"/>
      <c r="T68" s="2343">
        <v>1.26</v>
      </c>
      <c r="U68" s="2344"/>
      <c r="V68" s="2344"/>
      <c r="W68" s="2339"/>
      <c r="X68" s="2339"/>
      <c r="Y68" s="2339"/>
      <c r="Z68" s="2339"/>
      <c r="AA68" s="2339"/>
      <c r="AB68" s="2339"/>
      <c r="AC68" s="2339"/>
      <c r="AD68" s="2339"/>
      <c r="AE68" s="2339"/>
      <c r="AF68" s="370"/>
      <c r="AG68" s="2341"/>
      <c r="AH68" s="2341"/>
      <c r="AI68" s="2341"/>
      <c r="AJ68" s="2341"/>
      <c r="AK68" s="1871"/>
      <c r="AL68" s="1871"/>
      <c r="AM68" s="1871"/>
      <c r="AN68" s="97"/>
      <c r="AO68" s="96"/>
      <c r="AP68" s="2331"/>
      <c r="AQ68" s="2331"/>
      <c r="AR68" s="2331"/>
      <c r="AS68" s="2331"/>
      <c r="AT68" s="2331"/>
      <c r="AU68" s="2331"/>
      <c r="AV68" s="2331"/>
      <c r="AW68" s="2331"/>
      <c r="AX68" s="97"/>
      <c r="AY68" s="347"/>
      <c r="AZ68" s="347"/>
      <c r="BA68" s="347"/>
      <c r="BB68" s="347"/>
      <c r="BC68" s="347"/>
      <c r="BD68" s="347"/>
      <c r="BE68" s="347"/>
      <c r="BF68" s="347"/>
      <c r="BG68" s="347"/>
      <c r="BH68" s="97"/>
    </row>
    <row r="69" spans="1:67" ht="20.100000000000001" customHeight="1">
      <c r="A69" s="90"/>
      <c r="B69" s="1866" t="s">
        <v>190</v>
      </c>
      <c r="C69" s="1866"/>
      <c r="D69" s="1866"/>
      <c r="E69" s="1866"/>
      <c r="F69" s="1866"/>
      <c r="G69" s="1866"/>
      <c r="H69" s="1866"/>
      <c r="I69" s="1866"/>
      <c r="J69" s="1866"/>
      <c r="K69" s="1866"/>
      <c r="L69" s="91"/>
      <c r="M69" s="69"/>
      <c r="N69" s="1866" t="s">
        <v>731</v>
      </c>
      <c r="O69" s="1866"/>
      <c r="P69" s="1866"/>
      <c r="Q69" s="1866"/>
      <c r="R69" s="1866"/>
      <c r="S69" s="1866"/>
      <c r="T69" s="1866"/>
      <c r="U69" s="1866"/>
      <c r="V69" s="91"/>
      <c r="W69" s="81"/>
      <c r="X69" s="2330" t="s">
        <v>732</v>
      </c>
      <c r="Y69" s="2330"/>
      <c r="Z69" s="2330"/>
      <c r="AA69" s="2330"/>
      <c r="AB69" s="2330"/>
      <c r="AC69" s="2330"/>
      <c r="AD69" s="2330"/>
      <c r="AE69" s="2330"/>
      <c r="AF69" s="148"/>
      <c r="AG69" s="1881" t="s">
        <v>733</v>
      </c>
      <c r="AH69" s="1881"/>
      <c r="AI69" s="1881"/>
      <c r="AJ69" s="1881"/>
      <c r="AK69" s="1881"/>
      <c r="AL69" s="1881"/>
      <c r="AM69" s="1881"/>
      <c r="AN69" s="1881"/>
      <c r="AO69" s="90"/>
      <c r="AP69" s="2331" t="s">
        <v>241</v>
      </c>
      <c r="AQ69" s="2331"/>
      <c r="AR69" s="2331"/>
      <c r="AS69" s="2331"/>
      <c r="AT69" s="2331"/>
      <c r="AU69" s="2331"/>
      <c r="AV69" s="2331"/>
      <c r="AW69" s="2331"/>
      <c r="AX69" s="91"/>
      <c r="AY69" s="549"/>
      <c r="AZ69" s="549"/>
      <c r="BA69" s="549"/>
      <c r="BB69" s="549"/>
      <c r="BC69" s="549"/>
      <c r="BD69" s="549"/>
      <c r="BE69" s="549"/>
      <c r="BF69" s="549"/>
      <c r="BG69" s="549"/>
      <c r="BH69" s="91"/>
    </row>
    <row r="70" spans="1:67" ht="20.100000000000001" customHeight="1">
      <c r="A70" s="96"/>
      <c r="B70" s="1866"/>
      <c r="C70" s="1866"/>
      <c r="D70" s="1866"/>
      <c r="E70" s="1866"/>
      <c r="F70" s="1866"/>
      <c r="G70" s="1866"/>
      <c r="H70" s="1866"/>
      <c r="I70" s="1866"/>
      <c r="J70" s="1866"/>
      <c r="K70" s="1866"/>
      <c r="L70" s="97"/>
      <c r="M70" s="347"/>
      <c r="N70" s="1866"/>
      <c r="O70" s="1866"/>
      <c r="P70" s="1866"/>
      <c r="Q70" s="1866"/>
      <c r="R70" s="1866"/>
      <c r="S70" s="1866"/>
      <c r="T70" s="1866"/>
      <c r="U70" s="1866"/>
      <c r="V70" s="97"/>
      <c r="W70" s="81"/>
      <c r="X70" s="2332" t="s">
        <v>734</v>
      </c>
      <c r="Y70" s="2332"/>
      <c r="Z70" s="2332"/>
      <c r="AA70" s="2332"/>
      <c r="AB70" s="2332"/>
      <c r="AC70" s="2332"/>
      <c r="AD70" s="2332"/>
      <c r="AE70" s="2332"/>
      <c r="AF70" s="569"/>
      <c r="AG70" s="1881"/>
      <c r="AH70" s="1881"/>
      <c r="AI70" s="1881"/>
      <c r="AJ70" s="1881"/>
      <c r="AK70" s="1881"/>
      <c r="AL70" s="1881"/>
      <c r="AM70" s="1881"/>
      <c r="AN70" s="1881"/>
      <c r="AO70" s="96"/>
      <c r="AP70" s="2331"/>
      <c r="AQ70" s="2331"/>
      <c r="AR70" s="2331"/>
      <c r="AS70" s="2331"/>
      <c r="AT70" s="2331"/>
      <c r="AU70" s="2331"/>
      <c r="AV70" s="2331"/>
      <c r="AW70" s="2331"/>
      <c r="AX70" s="97"/>
      <c r="AY70" s="370"/>
      <c r="AZ70" s="370"/>
      <c r="BA70" s="370"/>
      <c r="BB70" s="370"/>
      <c r="BC70" s="370"/>
      <c r="BD70" s="370"/>
      <c r="BE70" s="370"/>
      <c r="BF70" s="370"/>
      <c r="BG70" s="370"/>
      <c r="BH70" s="97"/>
    </row>
    <row r="71" spans="1:67" ht="18" customHeight="1">
      <c r="A71" s="2333"/>
      <c r="B71" s="2333"/>
      <c r="C71" s="2333"/>
      <c r="D71" s="2334"/>
      <c r="E71" s="2334"/>
      <c r="F71" s="2334"/>
      <c r="G71" s="2334"/>
      <c r="H71" s="2334"/>
      <c r="I71" s="2334"/>
      <c r="J71" s="2334"/>
      <c r="K71" s="2334"/>
      <c r="L71" s="2334"/>
      <c r="M71" s="2334"/>
      <c r="N71" s="2334"/>
      <c r="O71" s="2334"/>
      <c r="P71" s="2334"/>
      <c r="Q71" s="2334"/>
      <c r="R71" s="2334"/>
      <c r="S71" s="2334"/>
      <c r="T71" s="2334"/>
      <c r="U71" s="2334"/>
      <c r="V71" s="2334"/>
      <c r="W71" s="2334"/>
      <c r="X71" s="2334"/>
      <c r="Y71" s="2334"/>
      <c r="Z71" s="2334"/>
      <c r="AA71" s="2334"/>
      <c r="AB71" s="2334"/>
      <c r="AC71" s="2334"/>
      <c r="AD71" s="2334"/>
      <c r="AE71" s="2334"/>
      <c r="AF71" s="2334"/>
      <c r="AG71" s="2334"/>
      <c r="AH71" s="2334"/>
      <c r="AI71" s="2334"/>
      <c r="AJ71" s="2334"/>
      <c r="AK71" s="2334"/>
      <c r="AL71" s="2334"/>
      <c r="AM71" s="2334"/>
      <c r="AN71" s="2334"/>
      <c r="AO71" s="2334"/>
      <c r="AP71" s="2334"/>
      <c r="AQ71" s="2334"/>
      <c r="AR71" s="2334"/>
      <c r="AS71" s="2334"/>
      <c r="AT71" s="2334"/>
      <c r="AU71" s="2334"/>
      <c r="AV71" s="2334"/>
      <c r="AW71" s="2334"/>
      <c r="AX71" s="2334"/>
      <c r="AY71" s="2334"/>
      <c r="AZ71" s="2334"/>
      <c r="BA71" s="2334"/>
      <c r="BB71" s="2334"/>
      <c r="BC71" s="2334"/>
      <c r="BD71" s="2334"/>
      <c r="BE71" s="2334"/>
      <c r="BF71" s="2334"/>
      <c r="BG71" s="2334"/>
      <c r="BH71" s="2334"/>
    </row>
    <row r="72" spans="1:67" ht="21" customHeight="1">
      <c r="A72" s="81"/>
      <c r="B72" s="81"/>
      <c r="C72" s="81"/>
      <c r="D72" s="1906"/>
      <c r="E72" s="1906"/>
      <c r="F72" s="1906"/>
      <c r="G72" s="1906"/>
      <c r="H72" s="1906"/>
      <c r="I72" s="1906"/>
      <c r="J72" s="1906"/>
      <c r="K72" s="1906"/>
      <c r="L72" s="1906"/>
      <c r="M72" s="1906"/>
      <c r="N72" s="1906"/>
      <c r="O72" s="1906"/>
      <c r="P72" s="1906"/>
      <c r="Q72" s="1906"/>
      <c r="R72" s="1906"/>
      <c r="S72" s="1906"/>
      <c r="T72" s="1906"/>
      <c r="U72" s="1906"/>
      <c r="V72" s="1906"/>
      <c r="W72" s="1906"/>
      <c r="X72" s="1906"/>
      <c r="Y72" s="1906"/>
      <c r="Z72" s="1906"/>
      <c r="AA72" s="1906"/>
      <c r="AB72" s="1906"/>
      <c r="AC72" s="1906"/>
      <c r="AD72" s="1906"/>
      <c r="AE72" s="1906"/>
      <c r="AF72" s="1906"/>
      <c r="AG72" s="1906"/>
      <c r="AH72" s="1906"/>
      <c r="AI72" s="1906"/>
      <c r="AJ72" s="1906"/>
      <c r="AK72" s="1906"/>
      <c r="AL72" s="1906"/>
      <c r="AM72" s="1906"/>
      <c r="AN72" s="1906"/>
      <c r="AO72" s="1906"/>
      <c r="AP72" s="1906"/>
      <c r="AQ72" s="1906"/>
      <c r="AR72" s="1906"/>
      <c r="AS72" s="1906"/>
      <c r="AT72" s="1906"/>
      <c r="AU72" s="1906"/>
      <c r="AV72" s="1906"/>
      <c r="AW72" s="1906"/>
      <c r="AX72" s="1906"/>
      <c r="AY72" s="1906"/>
      <c r="AZ72" s="1906"/>
      <c r="BA72" s="1906"/>
      <c r="BB72" s="1906"/>
      <c r="BC72" s="1906"/>
      <c r="BD72" s="1906"/>
      <c r="BE72" s="1906"/>
      <c r="BF72" s="1906"/>
      <c r="BG72" s="1906"/>
      <c r="BH72" s="81"/>
    </row>
    <row r="73" spans="1:67" ht="21" customHeight="1">
      <c r="A73" s="1887" t="s">
        <v>735</v>
      </c>
      <c r="B73" s="1887"/>
      <c r="C73" s="1887"/>
      <c r="D73" s="1887"/>
      <c r="E73" s="1887"/>
      <c r="F73" s="1887"/>
      <c r="G73" s="1887"/>
      <c r="H73" s="1887"/>
      <c r="I73" s="1887"/>
      <c r="J73" s="1887"/>
      <c r="K73" s="1887"/>
      <c r="L73" s="1887"/>
      <c r="M73" s="1887"/>
      <c r="N73" s="1887"/>
      <c r="O73" s="1887"/>
      <c r="P73" s="1887"/>
      <c r="Q73" s="1887"/>
      <c r="R73" s="1887"/>
      <c r="S73" s="81"/>
      <c r="T73" s="81"/>
      <c r="U73" s="81"/>
      <c r="V73" s="81"/>
      <c r="W73" s="81"/>
      <c r="X73" s="81"/>
      <c r="Y73" s="81"/>
      <c r="Z73" s="81"/>
      <c r="AA73" s="81"/>
      <c r="AB73" s="81"/>
      <c r="AC73" s="81"/>
      <c r="AD73" s="81"/>
      <c r="AE73" s="81"/>
      <c r="AF73" s="81"/>
      <c r="AG73" s="81"/>
      <c r="AH73" s="81"/>
      <c r="AI73" s="81"/>
      <c r="AJ73" s="81"/>
      <c r="AK73" s="81"/>
      <c r="AL73" s="81"/>
      <c r="AM73" s="81"/>
      <c r="AN73" s="81"/>
      <c r="AO73" s="81"/>
      <c r="AP73" s="81"/>
      <c r="AQ73" s="81"/>
      <c r="AR73" s="81"/>
      <c r="AS73" s="81"/>
      <c r="AT73" s="81"/>
      <c r="AU73" s="81"/>
      <c r="AV73" s="81"/>
      <c r="AW73" s="81"/>
      <c r="AX73" s="81"/>
      <c r="AY73" s="81"/>
      <c r="AZ73" s="81"/>
      <c r="BA73" s="81"/>
      <c r="BB73" s="81"/>
      <c r="BC73" s="81"/>
      <c r="BD73" s="81"/>
      <c r="BE73" s="81"/>
      <c r="BF73" s="81"/>
      <c r="BG73" s="81"/>
      <c r="BH73" s="81"/>
    </row>
    <row r="74" spans="1:67" ht="18" customHeight="1">
      <c r="A74" s="81"/>
      <c r="B74" s="81"/>
      <c r="C74" s="81"/>
      <c r="D74" s="81"/>
      <c r="E74" s="81"/>
      <c r="F74" s="81"/>
      <c r="G74" s="81"/>
      <c r="H74" s="81"/>
      <c r="I74" s="81"/>
      <c r="J74" s="81"/>
      <c r="K74" s="81"/>
      <c r="L74" s="81"/>
      <c r="M74" s="81"/>
      <c r="N74" s="81"/>
      <c r="O74" s="81"/>
      <c r="P74" s="81"/>
      <c r="Q74" s="81"/>
      <c r="R74" s="81"/>
      <c r="S74" s="81"/>
      <c r="T74" s="81"/>
      <c r="U74" s="81"/>
      <c r="V74" s="81"/>
      <c r="W74" s="81"/>
      <c r="X74" s="81"/>
      <c r="Y74" s="81"/>
      <c r="Z74" s="81"/>
      <c r="AA74" s="81"/>
      <c r="AB74" s="81"/>
      <c r="AC74" s="81"/>
      <c r="AD74" s="81"/>
      <c r="AE74" s="81"/>
      <c r="AF74" s="81"/>
      <c r="AG74" s="81"/>
      <c r="AH74" s="81"/>
      <c r="AI74" s="81"/>
      <c r="AJ74" s="81"/>
      <c r="AK74" s="81"/>
      <c r="AL74" s="81"/>
      <c r="AM74" s="81"/>
      <c r="AN74" s="81"/>
      <c r="AO74" s="81"/>
      <c r="AP74" s="81"/>
      <c r="AQ74" s="81"/>
      <c r="AR74" s="1888" t="s">
        <v>736</v>
      </c>
      <c r="AS74" s="1888"/>
      <c r="AT74" s="1888"/>
      <c r="AU74" s="1888"/>
      <c r="AV74" s="1888"/>
      <c r="AW74" s="1888"/>
      <c r="AX74" s="1888"/>
      <c r="AY74" s="1888"/>
      <c r="AZ74" s="1888"/>
      <c r="BA74" s="1888"/>
      <c r="BB74" s="1888"/>
      <c r="BC74" s="1888"/>
      <c r="BD74" s="1888"/>
      <c r="BE74" s="1888"/>
      <c r="BF74" s="1888"/>
      <c r="BG74" s="1888"/>
      <c r="BH74" s="1888"/>
    </row>
    <row r="75" spans="1:67" ht="15" customHeight="1">
      <c r="A75" s="1845" t="s">
        <v>737</v>
      </c>
      <c r="B75" s="1845"/>
      <c r="C75" s="1845"/>
      <c r="D75" s="1845"/>
      <c r="E75" s="1845"/>
      <c r="F75" s="1845"/>
      <c r="G75" s="1845"/>
      <c r="H75" s="1845"/>
      <c r="I75" s="1845"/>
      <c r="J75" s="1845"/>
      <c r="K75" s="1845"/>
      <c r="L75" s="1845"/>
      <c r="M75" s="1845" t="s">
        <v>738</v>
      </c>
      <c r="N75" s="1845"/>
      <c r="O75" s="1845"/>
      <c r="P75" s="1845"/>
      <c r="Q75" s="1845"/>
      <c r="R75" s="1845"/>
      <c r="S75" s="1845"/>
      <c r="T75" s="1845"/>
      <c r="U75" s="1845"/>
      <c r="V75" s="1845"/>
      <c r="W75" s="1845"/>
      <c r="X75" s="1845"/>
      <c r="Y75" s="1845"/>
      <c r="Z75" s="1845"/>
      <c r="AA75" s="1845"/>
      <c r="AB75" s="1845"/>
      <c r="AC75" s="1845" t="s">
        <v>739</v>
      </c>
      <c r="AD75" s="1845"/>
      <c r="AE75" s="1845"/>
      <c r="AF75" s="1845"/>
      <c r="AG75" s="1845"/>
      <c r="AH75" s="1845"/>
      <c r="AI75" s="1845"/>
      <c r="AJ75" s="1845"/>
      <c r="AK75" s="1845"/>
      <c r="AL75" s="1845"/>
      <c r="AM75" s="1845"/>
      <c r="AN75" s="1845"/>
      <c r="AO75" s="1845"/>
      <c r="AP75" s="1845"/>
      <c r="AQ75" s="1845"/>
      <c r="AR75" s="1845"/>
      <c r="AS75" s="1845" t="s">
        <v>740</v>
      </c>
      <c r="AT75" s="1845"/>
      <c r="AU75" s="1845"/>
      <c r="AV75" s="1845"/>
      <c r="AW75" s="1845"/>
      <c r="AX75" s="1845"/>
      <c r="AY75" s="1845"/>
      <c r="AZ75" s="1845"/>
      <c r="BA75" s="1845"/>
      <c r="BB75" s="1845"/>
      <c r="BC75" s="1845"/>
      <c r="BD75" s="1845"/>
      <c r="BE75" s="1845"/>
      <c r="BF75" s="1845"/>
      <c r="BG75" s="1845"/>
      <c r="BH75" s="1845"/>
    </row>
    <row r="76" spans="1:67" ht="24" customHeight="1">
      <c r="A76" s="1845"/>
      <c r="B76" s="1845"/>
      <c r="C76" s="1845"/>
      <c r="D76" s="1845"/>
      <c r="E76" s="1845"/>
      <c r="F76" s="1845"/>
      <c r="G76" s="1845"/>
      <c r="H76" s="1845"/>
      <c r="I76" s="1845"/>
      <c r="J76" s="1845"/>
      <c r="K76" s="1845"/>
      <c r="L76" s="1845"/>
      <c r="M76" s="2324" t="s">
        <v>741</v>
      </c>
      <c r="N76" s="2324"/>
      <c r="O76" s="2324"/>
      <c r="P76" s="2324"/>
      <c r="Q76" s="2325" t="s">
        <v>742</v>
      </c>
      <c r="R76" s="2325"/>
      <c r="S76" s="2325"/>
      <c r="T76" s="2325"/>
      <c r="U76" s="2325"/>
      <c r="V76" s="2325"/>
      <c r="W76" s="2325"/>
      <c r="X76" s="2325"/>
      <c r="Y76" s="2326" t="s">
        <v>743</v>
      </c>
      <c r="Z76" s="2326"/>
      <c r="AA76" s="2326"/>
      <c r="AB76" s="2326"/>
      <c r="AC76" s="2324" t="s">
        <v>741</v>
      </c>
      <c r="AD76" s="2324"/>
      <c r="AE76" s="2324"/>
      <c r="AF76" s="2324"/>
      <c r="AG76" s="2325" t="s">
        <v>742</v>
      </c>
      <c r="AH76" s="2325"/>
      <c r="AI76" s="2325"/>
      <c r="AJ76" s="2325"/>
      <c r="AK76" s="2325"/>
      <c r="AL76" s="2325"/>
      <c r="AM76" s="2325"/>
      <c r="AN76" s="2325"/>
      <c r="AO76" s="2326" t="s">
        <v>743</v>
      </c>
      <c r="AP76" s="2326"/>
      <c r="AQ76" s="2326"/>
      <c r="AR76" s="2326"/>
      <c r="AS76" s="1833" t="s">
        <v>741</v>
      </c>
      <c r="AT76" s="1833"/>
      <c r="AU76" s="1833"/>
      <c r="AV76" s="1833"/>
      <c r="AW76" s="1911" t="s">
        <v>742</v>
      </c>
      <c r="AX76" s="1911"/>
      <c r="AY76" s="1911"/>
      <c r="AZ76" s="1911"/>
      <c r="BA76" s="1911"/>
      <c r="BB76" s="1911"/>
      <c r="BC76" s="1911"/>
      <c r="BD76" s="1911"/>
      <c r="BE76" s="2326" t="s">
        <v>743</v>
      </c>
      <c r="BF76" s="2326"/>
      <c r="BG76" s="2326"/>
      <c r="BH76" s="2326"/>
      <c r="BN76" s="571"/>
    </row>
    <row r="77" spans="1:67" ht="24" customHeight="1">
      <c r="A77" s="1845"/>
      <c r="B77" s="1845"/>
      <c r="C77" s="1845"/>
      <c r="D77" s="1845"/>
      <c r="E77" s="1845"/>
      <c r="F77" s="1845"/>
      <c r="G77" s="1845"/>
      <c r="H77" s="1845"/>
      <c r="I77" s="1845"/>
      <c r="J77" s="1845"/>
      <c r="K77" s="1845"/>
      <c r="L77" s="1845"/>
      <c r="M77" s="2327" t="s">
        <v>744</v>
      </c>
      <c r="N77" s="2327"/>
      <c r="O77" s="2327"/>
      <c r="P77" s="2327"/>
      <c r="Q77" s="2126" t="s">
        <v>745</v>
      </c>
      <c r="R77" s="2126"/>
      <c r="S77" s="2126"/>
      <c r="T77" s="2126"/>
      <c r="U77" s="2126"/>
      <c r="V77" s="2126"/>
      <c r="W77" s="2126"/>
      <c r="X77" s="2126"/>
      <c r="Y77" s="2328"/>
      <c r="Z77" s="2328"/>
      <c r="AA77" s="2328"/>
      <c r="AB77" s="2328"/>
      <c r="AC77" s="2327" t="s">
        <v>746</v>
      </c>
      <c r="AD77" s="2327"/>
      <c r="AE77" s="2327"/>
      <c r="AF77" s="2327"/>
      <c r="AG77" s="2126" t="s">
        <v>747</v>
      </c>
      <c r="AH77" s="2126"/>
      <c r="AI77" s="2126"/>
      <c r="AJ77" s="2126"/>
      <c r="AK77" s="2126"/>
      <c r="AL77" s="2126"/>
      <c r="AM77" s="2126"/>
      <c r="AN77" s="2126"/>
      <c r="AO77" s="2328"/>
      <c r="AP77" s="2328"/>
      <c r="AQ77" s="2328"/>
      <c r="AR77" s="2328"/>
      <c r="AS77" s="2126" t="s">
        <v>748</v>
      </c>
      <c r="AT77" s="2126"/>
      <c r="AU77" s="2126"/>
      <c r="AV77" s="2126"/>
      <c r="AW77" s="2126" t="s">
        <v>749</v>
      </c>
      <c r="AX77" s="2126"/>
      <c r="AY77" s="2126"/>
      <c r="AZ77" s="2126"/>
      <c r="BA77" s="2126"/>
      <c r="BB77" s="2126"/>
      <c r="BC77" s="2126"/>
      <c r="BD77" s="2126"/>
      <c r="BE77" s="2329"/>
      <c r="BF77" s="2329"/>
      <c r="BG77" s="2329"/>
      <c r="BH77" s="2329"/>
    </row>
    <row r="78" spans="1:67" ht="23.25" customHeight="1">
      <c r="A78" s="86"/>
      <c r="B78" s="1866" t="s">
        <v>178</v>
      </c>
      <c r="C78" s="1866"/>
      <c r="D78" s="1866"/>
      <c r="E78" s="1866"/>
      <c r="F78" s="1866"/>
      <c r="G78" s="1866"/>
      <c r="H78" s="1866"/>
      <c r="I78" s="1866"/>
      <c r="J78" s="1866"/>
      <c r="K78" s="1866"/>
      <c r="L78" s="87"/>
      <c r="M78" s="1878">
        <f>前年度貼付!$E$303</f>
        <v>107</v>
      </c>
      <c r="N78" s="1878"/>
      <c r="O78" s="1878"/>
      <c r="P78" s="1878"/>
      <c r="Q78" s="2287">
        <f>前年度貼付!$E$315</f>
        <v>93501952</v>
      </c>
      <c r="R78" s="2287"/>
      <c r="S78" s="2287"/>
      <c r="T78" s="2287"/>
      <c r="U78" s="2287"/>
      <c r="V78" s="2287"/>
      <c r="W78" s="2287"/>
      <c r="X78" s="2287"/>
      <c r="Y78" s="2288">
        <f t="shared" ref="Y78:Y83" si="2">ROUND(Q78/$Q$92*100,3)</f>
        <v>9.7609999999999992</v>
      </c>
      <c r="Z78" s="2288"/>
      <c r="AA78" s="2288"/>
      <c r="AB78" s="2288"/>
      <c r="AC78" s="1877">
        <v>119</v>
      </c>
      <c r="AD78" s="1878"/>
      <c r="AE78" s="1878"/>
      <c r="AF78" s="1878"/>
      <c r="AG78" s="2289">
        <v>111636857</v>
      </c>
      <c r="AH78" s="2287"/>
      <c r="AI78" s="2287"/>
      <c r="AJ78" s="2287"/>
      <c r="AK78" s="2287"/>
      <c r="AL78" s="2287"/>
      <c r="AM78" s="2287"/>
      <c r="AN78" s="2287"/>
      <c r="AO78" s="2288">
        <f t="shared" ref="AO78:AO83" si="3">ROUND(AG78/$AG$92*100,3)</f>
        <v>13.146000000000001</v>
      </c>
      <c r="AP78" s="2288"/>
      <c r="AQ78" s="2288"/>
      <c r="AR78" s="2288"/>
      <c r="AS78" s="2286">
        <f t="shared" ref="AS78:AS92" si="4">AC78-M78</f>
        <v>12</v>
      </c>
      <c r="AT78" s="2286"/>
      <c r="AU78" s="2286"/>
      <c r="AV78" s="2286"/>
      <c r="AW78" s="2286">
        <f t="shared" ref="AW78:AW92" si="5">AG78-Q78</f>
        <v>18134905</v>
      </c>
      <c r="AX78" s="2286"/>
      <c r="AY78" s="2286"/>
      <c r="AZ78" s="2286"/>
      <c r="BA78" s="2286"/>
      <c r="BB78" s="2286"/>
      <c r="BC78" s="2286"/>
      <c r="BD78" s="2286"/>
      <c r="BE78" s="2282">
        <f>AO78-Y78</f>
        <v>3.3850000000000016</v>
      </c>
      <c r="BF78" s="2282"/>
      <c r="BG78" s="2282"/>
      <c r="BH78" s="2282"/>
    </row>
    <row r="79" spans="1:67" ht="33" customHeight="1">
      <c r="A79" s="108"/>
      <c r="B79" s="1866" t="s">
        <v>179</v>
      </c>
      <c r="C79" s="1866"/>
      <c r="D79" s="1866"/>
      <c r="E79" s="1866"/>
      <c r="F79" s="1866"/>
      <c r="G79" s="1866"/>
      <c r="H79" s="1866"/>
      <c r="I79" s="1866"/>
      <c r="J79" s="1866"/>
      <c r="K79" s="1866"/>
      <c r="L79" s="155"/>
      <c r="M79" s="1868">
        <f>前年度貼付!$E$304</f>
        <v>295</v>
      </c>
      <c r="N79" s="1868"/>
      <c r="O79" s="1868"/>
      <c r="P79" s="1868"/>
      <c r="Q79" s="2287">
        <f>前年度貼付!$E$316</f>
        <v>520519169</v>
      </c>
      <c r="R79" s="2287"/>
      <c r="S79" s="2287"/>
      <c r="T79" s="2287"/>
      <c r="U79" s="2287"/>
      <c r="V79" s="2287"/>
      <c r="W79" s="2287"/>
      <c r="X79" s="2287"/>
      <c r="Y79" s="2288">
        <f t="shared" si="2"/>
        <v>54.341000000000001</v>
      </c>
      <c r="Z79" s="2288"/>
      <c r="AA79" s="2288"/>
      <c r="AB79" s="2288"/>
      <c r="AC79" s="1867">
        <v>247</v>
      </c>
      <c r="AD79" s="1868"/>
      <c r="AE79" s="1868"/>
      <c r="AF79" s="1868"/>
      <c r="AG79" s="2289">
        <v>393439258</v>
      </c>
      <c r="AH79" s="2287"/>
      <c r="AI79" s="2287"/>
      <c r="AJ79" s="2287"/>
      <c r="AK79" s="2287"/>
      <c r="AL79" s="2287"/>
      <c r="AM79" s="2287"/>
      <c r="AN79" s="2287"/>
      <c r="AO79" s="2288">
        <f t="shared" si="3"/>
        <v>46.332000000000001</v>
      </c>
      <c r="AP79" s="2288"/>
      <c r="AQ79" s="2288"/>
      <c r="AR79" s="2288"/>
      <c r="AS79" s="2286">
        <f t="shared" si="4"/>
        <v>-48</v>
      </c>
      <c r="AT79" s="2286"/>
      <c r="AU79" s="2286"/>
      <c r="AV79" s="2286"/>
      <c r="AW79" s="2286">
        <f t="shared" si="5"/>
        <v>-127079911</v>
      </c>
      <c r="AX79" s="2286"/>
      <c r="AY79" s="2286"/>
      <c r="AZ79" s="2286"/>
      <c r="BA79" s="2286"/>
      <c r="BB79" s="2286"/>
      <c r="BC79" s="2286"/>
      <c r="BD79" s="2286"/>
      <c r="BE79" s="2282">
        <f>AO79-Y79</f>
        <v>-8.0090000000000003</v>
      </c>
      <c r="BF79" s="2282"/>
      <c r="BG79" s="2282"/>
      <c r="BH79" s="2282"/>
      <c r="BN79" s="104">
        <f t="shared" ref="BN79:BN84" si="6">Q78/$Q$92*100</f>
        <v>9.7613529117221809</v>
      </c>
      <c r="BO79" s="104">
        <f t="shared" ref="BO79:BO84" si="7">AG78/$AG$92*100</f>
        <v>13.146496767192026</v>
      </c>
    </row>
    <row r="80" spans="1:67" ht="33" customHeight="1">
      <c r="A80" s="108"/>
      <c r="B80" s="2323" t="s">
        <v>180</v>
      </c>
      <c r="C80" s="2323"/>
      <c r="D80" s="2323"/>
      <c r="E80" s="2323"/>
      <c r="F80" s="2323"/>
      <c r="G80" s="2323"/>
      <c r="H80" s="2323"/>
      <c r="I80" s="2323"/>
      <c r="J80" s="2323"/>
      <c r="K80" s="2323"/>
      <c r="L80" s="155"/>
      <c r="M80" s="1868">
        <f>前年度貼付!$E$305</f>
        <v>4</v>
      </c>
      <c r="N80" s="1868"/>
      <c r="O80" s="1868"/>
      <c r="P80" s="1868"/>
      <c r="Q80" s="2287">
        <f>前年度貼付!$E$317</f>
        <v>3495763</v>
      </c>
      <c r="R80" s="2287"/>
      <c r="S80" s="2287"/>
      <c r="T80" s="2287"/>
      <c r="U80" s="2287"/>
      <c r="V80" s="2287"/>
      <c r="W80" s="2287"/>
      <c r="X80" s="2287"/>
      <c r="Y80" s="2288">
        <f t="shared" si="2"/>
        <v>0.36499999999999999</v>
      </c>
      <c r="Z80" s="2288"/>
      <c r="AA80" s="2288"/>
      <c r="AB80" s="2288"/>
      <c r="AC80" s="1867">
        <v>3</v>
      </c>
      <c r="AD80" s="1868"/>
      <c r="AE80" s="1868"/>
      <c r="AF80" s="1868"/>
      <c r="AG80" s="2289">
        <v>2739610</v>
      </c>
      <c r="AH80" s="2287"/>
      <c r="AI80" s="2287"/>
      <c r="AJ80" s="2287"/>
      <c r="AK80" s="2287"/>
      <c r="AL80" s="2287"/>
      <c r="AM80" s="2287"/>
      <c r="AN80" s="2287"/>
      <c r="AO80" s="2288">
        <f t="shared" si="3"/>
        <v>0.32300000000000001</v>
      </c>
      <c r="AP80" s="2288"/>
      <c r="AQ80" s="2288"/>
      <c r="AR80" s="2288"/>
      <c r="AS80" s="2286">
        <f t="shared" si="4"/>
        <v>-1</v>
      </c>
      <c r="AT80" s="2286"/>
      <c r="AU80" s="2286"/>
      <c r="AV80" s="2286"/>
      <c r="AW80" s="2286">
        <f t="shared" si="5"/>
        <v>-756153</v>
      </c>
      <c r="AX80" s="2286"/>
      <c r="AY80" s="2286"/>
      <c r="AZ80" s="2286"/>
      <c r="BA80" s="2286"/>
      <c r="BB80" s="2286"/>
      <c r="BC80" s="2286"/>
      <c r="BD80" s="2286"/>
      <c r="BE80" s="2321">
        <f>ROUND(AO80,2)-ROUND(Y80,2)</f>
        <v>-4.9999999999999989E-2</v>
      </c>
      <c r="BF80" s="2282"/>
      <c r="BG80" s="2282"/>
      <c r="BH80" s="2282"/>
      <c r="BN80" s="104">
        <f t="shared" si="6"/>
        <v>54.340804627537189</v>
      </c>
      <c r="BO80" s="104">
        <f t="shared" si="7"/>
        <v>46.331902136795463</v>
      </c>
    </row>
    <row r="81" spans="1:67" ht="33" customHeight="1">
      <c r="A81" s="2307" t="s">
        <v>728</v>
      </c>
      <c r="B81" s="2307"/>
      <c r="C81" s="2307"/>
      <c r="D81" s="90"/>
      <c r="E81" s="2145" t="s">
        <v>181</v>
      </c>
      <c r="F81" s="2145"/>
      <c r="G81" s="2145"/>
      <c r="H81" s="2145"/>
      <c r="I81" s="2145"/>
      <c r="J81" s="2145"/>
      <c r="K81" s="2145"/>
      <c r="L81" s="549"/>
      <c r="M81" s="2308">
        <f>前年度貼付!$E$306</f>
        <v>1</v>
      </c>
      <c r="N81" s="2308"/>
      <c r="O81" s="2308"/>
      <c r="P81" s="2308"/>
      <c r="Q81" s="2309">
        <f>前年度貼付!$E$318</f>
        <v>96527</v>
      </c>
      <c r="R81" s="2309"/>
      <c r="S81" s="2309"/>
      <c r="T81" s="2309"/>
      <c r="U81" s="2309"/>
      <c r="V81" s="2309"/>
      <c r="W81" s="2309"/>
      <c r="X81" s="2309"/>
      <c r="Y81" s="2310">
        <f t="shared" si="2"/>
        <v>0.01</v>
      </c>
      <c r="Z81" s="2310"/>
      <c r="AA81" s="2310"/>
      <c r="AB81" s="2310"/>
      <c r="AC81" s="2311">
        <v>1</v>
      </c>
      <c r="AD81" s="2308"/>
      <c r="AE81" s="2308"/>
      <c r="AF81" s="2308"/>
      <c r="AG81" s="2312">
        <v>32261</v>
      </c>
      <c r="AH81" s="2309"/>
      <c r="AI81" s="2309"/>
      <c r="AJ81" s="2309"/>
      <c r="AK81" s="2309"/>
      <c r="AL81" s="2309"/>
      <c r="AM81" s="2309"/>
      <c r="AN81" s="2309"/>
      <c r="AO81" s="2310">
        <f t="shared" si="3"/>
        <v>4.0000000000000001E-3</v>
      </c>
      <c r="AP81" s="2310"/>
      <c r="AQ81" s="2310"/>
      <c r="AR81" s="2310"/>
      <c r="AS81" s="2304">
        <f t="shared" si="4"/>
        <v>0</v>
      </c>
      <c r="AT81" s="2304"/>
      <c r="AU81" s="2304"/>
      <c r="AV81" s="2304"/>
      <c r="AW81" s="2304">
        <f t="shared" si="5"/>
        <v>-64266</v>
      </c>
      <c r="AX81" s="2304"/>
      <c r="AY81" s="2304"/>
      <c r="AZ81" s="2304"/>
      <c r="BA81" s="2304"/>
      <c r="BB81" s="2304"/>
      <c r="BC81" s="2304"/>
      <c r="BD81" s="2304"/>
      <c r="BE81" s="2305">
        <f>AO81-Y81</f>
        <v>-6.0000000000000001E-3</v>
      </c>
      <c r="BF81" s="2305"/>
      <c r="BG81" s="2305"/>
      <c r="BH81" s="2305"/>
      <c r="BN81" s="104">
        <f t="shared" si="6"/>
        <v>0.36494827764387916</v>
      </c>
      <c r="BO81" s="104">
        <f t="shared" si="7"/>
        <v>0.32261992120010102</v>
      </c>
    </row>
    <row r="82" spans="1:67" ht="33" customHeight="1">
      <c r="A82" s="2307"/>
      <c r="B82" s="2307"/>
      <c r="C82" s="2307"/>
      <c r="D82" s="572"/>
      <c r="E82" s="2296" t="s">
        <v>182</v>
      </c>
      <c r="F82" s="2296"/>
      <c r="G82" s="2296"/>
      <c r="H82" s="2296"/>
      <c r="I82" s="2296"/>
      <c r="J82" s="2296"/>
      <c r="K82" s="2296"/>
      <c r="L82" s="573"/>
      <c r="M82" s="2297">
        <f>前年度貼付!$E$307</f>
        <v>0</v>
      </c>
      <c r="N82" s="2297"/>
      <c r="O82" s="2297"/>
      <c r="P82" s="2297"/>
      <c r="Q82" s="2298">
        <f>前年度貼付!$E$319</f>
        <v>0</v>
      </c>
      <c r="R82" s="2298"/>
      <c r="S82" s="2298"/>
      <c r="T82" s="2298"/>
      <c r="U82" s="2298"/>
      <c r="V82" s="2298"/>
      <c r="W82" s="2298"/>
      <c r="X82" s="2298"/>
      <c r="Y82" s="2299">
        <f t="shared" si="2"/>
        <v>0</v>
      </c>
      <c r="Z82" s="2299"/>
      <c r="AA82" s="2299"/>
      <c r="AB82" s="2299"/>
      <c r="AC82" s="2300">
        <v>0</v>
      </c>
      <c r="AD82" s="2297"/>
      <c r="AE82" s="2297"/>
      <c r="AF82" s="2297"/>
      <c r="AG82" s="2301">
        <v>0</v>
      </c>
      <c r="AH82" s="2298"/>
      <c r="AI82" s="2298"/>
      <c r="AJ82" s="2298"/>
      <c r="AK82" s="2298"/>
      <c r="AL82" s="2298"/>
      <c r="AM82" s="2298"/>
      <c r="AN82" s="2298"/>
      <c r="AO82" s="2299">
        <f t="shared" si="3"/>
        <v>0</v>
      </c>
      <c r="AP82" s="2299"/>
      <c r="AQ82" s="2299"/>
      <c r="AR82" s="2299"/>
      <c r="AS82" s="2294">
        <f t="shared" si="4"/>
        <v>0</v>
      </c>
      <c r="AT82" s="2294"/>
      <c r="AU82" s="2294"/>
      <c r="AV82" s="2294"/>
      <c r="AW82" s="2294">
        <f t="shared" si="5"/>
        <v>0</v>
      </c>
      <c r="AX82" s="2294"/>
      <c r="AY82" s="2294"/>
      <c r="AZ82" s="2294"/>
      <c r="BA82" s="2294"/>
      <c r="BB82" s="2294"/>
      <c r="BC82" s="2294"/>
      <c r="BD82" s="2294"/>
      <c r="BE82" s="2322">
        <f>AO82-Y82</f>
        <v>0</v>
      </c>
      <c r="BF82" s="2322"/>
      <c r="BG82" s="2322"/>
      <c r="BH82" s="2322"/>
      <c r="BN82" s="104">
        <f t="shared" si="6"/>
        <v>1.0077159806351496E-2</v>
      </c>
      <c r="BO82" s="104">
        <f t="shared" si="7"/>
        <v>3.7990959581241344E-3</v>
      </c>
    </row>
    <row r="83" spans="1:67" ht="33" customHeight="1">
      <c r="A83" s="2307"/>
      <c r="B83" s="2307"/>
      <c r="C83" s="2307"/>
      <c r="D83" s="370"/>
      <c r="E83" s="2148" t="s">
        <v>183</v>
      </c>
      <c r="F83" s="2148"/>
      <c r="G83" s="2148"/>
      <c r="H83" s="2148"/>
      <c r="I83" s="2148"/>
      <c r="J83" s="2148"/>
      <c r="K83" s="2148"/>
      <c r="L83" s="370"/>
      <c r="M83" s="2315">
        <f>前年度貼付!$E$308</f>
        <v>0</v>
      </c>
      <c r="N83" s="2315"/>
      <c r="O83" s="2315"/>
      <c r="P83" s="2315"/>
      <c r="Q83" s="2316">
        <f>前年度貼付!$E$320</f>
        <v>0</v>
      </c>
      <c r="R83" s="2316"/>
      <c r="S83" s="2316"/>
      <c r="T83" s="2316"/>
      <c r="U83" s="2316"/>
      <c r="V83" s="2316"/>
      <c r="W83" s="2316"/>
      <c r="X83" s="2316"/>
      <c r="Y83" s="2317">
        <f t="shared" si="2"/>
        <v>0</v>
      </c>
      <c r="Z83" s="2317"/>
      <c r="AA83" s="2317"/>
      <c r="AB83" s="2317"/>
      <c r="AC83" s="2318">
        <v>0</v>
      </c>
      <c r="AD83" s="2315"/>
      <c r="AE83" s="2315"/>
      <c r="AF83" s="2315"/>
      <c r="AG83" s="2319">
        <v>0</v>
      </c>
      <c r="AH83" s="2316"/>
      <c r="AI83" s="2316"/>
      <c r="AJ83" s="2316"/>
      <c r="AK83" s="2316"/>
      <c r="AL83" s="2316"/>
      <c r="AM83" s="2316"/>
      <c r="AN83" s="2316"/>
      <c r="AO83" s="2317">
        <f t="shared" si="3"/>
        <v>0</v>
      </c>
      <c r="AP83" s="2317"/>
      <c r="AQ83" s="2317"/>
      <c r="AR83" s="2317"/>
      <c r="AS83" s="2290">
        <f t="shared" si="4"/>
        <v>0</v>
      </c>
      <c r="AT83" s="2290"/>
      <c r="AU83" s="2290"/>
      <c r="AV83" s="2290"/>
      <c r="AW83" s="2290">
        <f t="shared" si="5"/>
        <v>0</v>
      </c>
      <c r="AX83" s="2290"/>
      <c r="AY83" s="2290"/>
      <c r="AZ83" s="2290"/>
      <c r="BA83" s="2290"/>
      <c r="BB83" s="2290"/>
      <c r="BC83" s="2290"/>
      <c r="BD83" s="2290"/>
      <c r="BE83" s="2320">
        <f>AO83-Y83</f>
        <v>0</v>
      </c>
      <c r="BF83" s="2320"/>
      <c r="BG83" s="2320"/>
      <c r="BH83" s="2320"/>
      <c r="BN83" s="104">
        <f t="shared" si="6"/>
        <v>0</v>
      </c>
      <c r="BO83" s="104">
        <f t="shared" si="7"/>
        <v>0</v>
      </c>
    </row>
    <row r="84" spans="1:67" ht="33" customHeight="1">
      <c r="A84" s="2307"/>
      <c r="B84" s="2307"/>
      <c r="C84" s="2307"/>
      <c r="D84" s="87"/>
      <c r="E84" s="1866" t="s">
        <v>351</v>
      </c>
      <c r="F84" s="1866"/>
      <c r="G84" s="1866"/>
      <c r="H84" s="1866"/>
      <c r="I84" s="1866"/>
      <c r="J84" s="1866"/>
      <c r="K84" s="1866"/>
      <c r="L84" s="87"/>
      <c r="M84" s="1874">
        <f>SUM(M81:P83)</f>
        <v>1</v>
      </c>
      <c r="N84" s="1874"/>
      <c r="O84" s="1874"/>
      <c r="P84" s="1874"/>
      <c r="Q84" s="2284">
        <f>SUM(Q81:X83)</f>
        <v>96527</v>
      </c>
      <c r="R84" s="2284"/>
      <c r="S84" s="2284"/>
      <c r="T84" s="2284"/>
      <c r="U84" s="2284"/>
      <c r="V84" s="2284"/>
      <c r="W84" s="2284"/>
      <c r="X84" s="2284"/>
      <c r="Y84" s="2288">
        <f>SUM(Y81:AB83)</f>
        <v>0.01</v>
      </c>
      <c r="Z84" s="2288"/>
      <c r="AA84" s="2288"/>
      <c r="AB84" s="2288"/>
      <c r="AC84" s="1874">
        <f>SUM(AC81:AF83)</f>
        <v>1</v>
      </c>
      <c r="AD84" s="1874"/>
      <c r="AE84" s="1874"/>
      <c r="AF84" s="1874"/>
      <c r="AG84" s="2284">
        <f>SUM(AG81:AN83)</f>
        <v>32261</v>
      </c>
      <c r="AH84" s="2284"/>
      <c r="AI84" s="2284"/>
      <c r="AJ84" s="2284"/>
      <c r="AK84" s="2284"/>
      <c r="AL84" s="2284"/>
      <c r="AM84" s="2284"/>
      <c r="AN84" s="2284"/>
      <c r="AO84" s="2288">
        <f>SUM(AO81:AR83)</f>
        <v>4.0000000000000001E-3</v>
      </c>
      <c r="AP84" s="2288"/>
      <c r="AQ84" s="2288"/>
      <c r="AR84" s="2288"/>
      <c r="AS84" s="2286">
        <f t="shared" si="4"/>
        <v>0</v>
      </c>
      <c r="AT84" s="2286"/>
      <c r="AU84" s="2286"/>
      <c r="AV84" s="2286"/>
      <c r="AW84" s="2286">
        <f t="shared" si="5"/>
        <v>-64266</v>
      </c>
      <c r="AX84" s="2286"/>
      <c r="AY84" s="2286"/>
      <c r="AZ84" s="2286"/>
      <c r="BA84" s="2286"/>
      <c r="BB84" s="2286"/>
      <c r="BC84" s="2286"/>
      <c r="BD84" s="2286"/>
      <c r="BE84" s="2282">
        <f>AO84-Y84</f>
        <v>-6.0000000000000001E-3</v>
      </c>
      <c r="BF84" s="2282"/>
      <c r="BG84" s="2282"/>
      <c r="BH84" s="2282"/>
      <c r="BN84" s="104">
        <f t="shared" si="6"/>
        <v>0</v>
      </c>
      <c r="BO84" s="104">
        <f t="shared" si="7"/>
        <v>0</v>
      </c>
    </row>
    <row r="85" spans="1:67" ht="33" customHeight="1">
      <c r="A85" s="2307" t="s">
        <v>729</v>
      </c>
      <c r="B85" s="2307"/>
      <c r="C85" s="2307"/>
      <c r="D85" s="549"/>
      <c r="E85" s="2145" t="s">
        <v>184</v>
      </c>
      <c r="F85" s="2145"/>
      <c r="G85" s="2145"/>
      <c r="H85" s="2145"/>
      <c r="I85" s="2145"/>
      <c r="J85" s="2145"/>
      <c r="K85" s="2145"/>
      <c r="L85" s="549"/>
      <c r="M85" s="2308">
        <f>前年度貼付!$E$309</f>
        <v>1</v>
      </c>
      <c r="N85" s="2308"/>
      <c r="O85" s="2308"/>
      <c r="P85" s="2308"/>
      <c r="Q85" s="2309">
        <f>前年度貼付!$E$321</f>
        <v>202555</v>
      </c>
      <c r="R85" s="2309"/>
      <c r="S85" s="2309"/>
      <c r="T85" s="2309"/>
      <c r="U85" s="2309"/>
      <c r="V85" s="2309"/>
      <c r="W85" s="2309"/>
      <c r="X85" s="2309"/>
      <c r="Y85" s="2310">
        <f>ROUND(Q85/$Q$92*100,3)</f>
        <v>2.1000000000000001E-2</v>
      </c>
      <c r="Z85" s="2310"/>
      <c r="AA85" s="2310"/>
      <c r="AB85" s="2310"/>
      <c r="AC85" s="2311">
        <v>1</v>
      </c>
      <c r="AD85" s="2308"/>
      <c r="AE85" s="2308"/>
      <c r="AF85" s="2308"/>
      <c r="AG85" s="2312">
        <v>160132</v>
      </c>
      <c r="AH85" s="2309"/>
      <c r="AI85" s="2309"/>
      <c r="AJ85" s="2309"/>
      <c r="AK85" s="2309"/>
      <c r="AL85" s="2309"/>
      <c r="AM85" s="2309"/>
      <c r="AN85" s="2309"/>
      <c r="AO85" s="2310">
        <f>ROUND(AG85/$AG$92*100,3)</f>
        <v>1.9E-2</v>
      </c>
      <c r="AP85" s="2310"/>
      <c r="AQ85" s="2310"/>
      <c r="AR85" s="2310"/>
      <c r="AS85" s="2304">
        <f t="shared" si="4"/>
        <v>0</v>
      </c>
      <c r="AT85" s="2304"/>
      <c r="AU85" s="2304"/>
      <c r="AV85" s="2304"/>
      <c r="AW85" s="2304">
        <f t="shared" si="5"/>
        <v>-42423</v>
      </c>
      <c r="AX85" s="2304"/>
      <c r="AY85" s="2304"/>
      <c r="AZ85" s="2304"/>
      <c r="BA85" s="2304"/>
      <c r="BB85" s="2304"/>
      <c r="BC85" s="2304"/>
      <c r="BD85" s="2304"/>
      <c r="BE85" s="2305">
        <f>AO85-Y85+0.002</f>
        <v>0</v>
      </c>
      <c r="BF85" s="2305"/>
      <c r="BG85" s="2305"/>
      <c r="BH85" s="2305"/>
    </row>
    <row r="86" spans="1:67" ht="33" customHeight="1">
      <c r="A86" s="2307"/>
      <c r="B86" s="2307"/>
      <c r="C86" s="2307"/>
      <c r="D86" s="572"/>
      <c r="E86" s="2296" t="s">
        <v>185</v>
      </c>
      <c r="F86" s="2296"/>
      <c r="G86" s="2296"/>
      <c r="H86" s="2296"/>
      <c r="I86" s="2296"/>
      <c r="J86" s="2296"/>
      <c r="K86" s="2296"/>
      <c r="L86" s="573"/>
      <c r="M86" s="2297">
        <f>前年度貼付!$E$310</f>
        <v>75</v>
      </c>
      <c r="N86" s="2297"/>
      <c r="O86" s="2297"/>
      <c r="P86" s="2297"/>
      <c r="Q86" s="2298">
        <f>前年度貼付!$E$322</f>
        <v>64933373</v>
      </c>
      <c r="R86" s="2298"/>
      <c r="S86" s="2298"/>
      <c r="T86" s="2298"/>
      <c r="U86" s="2298"/>
      <c r="V86" s="2298"/>
      <c r="W86" s="2298"/>
      <c r="X86" s="2298"/>
      <c r="Y86" s="2299">
        <f>ROUND(Q86/$Q$92*100,4)</f>
        <v>6.7789000000000001</v>
      </c>
      <c r="Z86" s="2299"/>
      <c r="AA86" s="2299"/>
      <c r="AB86" s="2299"/>
      <c r="AC86" s="2300">
        <v>78</v>
      </c>
      <c r="AD86" s="2297"/>
      <c r="AE86" s="2297"/>
      <c r="AF86" s="2297"/>
      <c r="AG86" s="2301">
        <v>70948742</v>
      </c>
      <c r="AH86" s="2298"/>
      <c r="AI86" s="2298"/>
      <c r="AJ86" s="2298"/>
      <c r="AK86" s="2298"/>
      <c r="AL86" s="2298"/>
      <c r="AM86" s="2298"/>
      <c r="AN86" s="2298"/>
      <c r="AO86" s="2299">
        <f>ROUNDDOWN(AG86/$AG$92*100,3)</f>
        <v>8.3550000000000004</v>
      </c>
      <c r="AP86" s="2299"/>
      <c r="AQ86" s="2299"/>
      <c r="AR86" s="2299"/>
      <c r="AS86" s="2294">
        <f t="shared" si="4"/>
        <v>3</v>
      </c>
      <c r="AT86" s="2294"/>
      <c r="AU86" s="2294"/>
      <c r="AV86" s="2294"/>
      <c r="AW86" s="2294">
        <f t="shared" si="5"/>
        <v>6015369</v>
      </c>
      <c r="AX86" s="2294"/>
      <c r="AY86" s="2294"/>
      <c r="AZ86" s="2294"/>
      <c r="BA86" s="2294"/>
      <c r="BB86" s="2294"/>
      <c r="BC86" s="2294"/>
      <c r="BD86" s="2294"/>
      <c r="BE86" s="2306">
        <f>AO86-Y86</f>
        <v>1.5761000000000003</v>
      </c>
      <c r="BF86" s="2306"/>
      <c r="BG86" s="2306"/>
      <c r="BH86" s="2306"/>
      <c r="BN86" s="104">
        <f>Q85/$Q$92*100</f>
        <v>2.1146198520367639E-2</v>
      </c>
      <c r="BO86" s="104">
        <f>AG85/$AG$92*100</f>
        <v>1.8857345834485412E-2</v>
      </c>
    </row>
    <row r="87" spans="1:67" ht="33" customHeight="1">
      <c r="A87" s="2307"/>
      <c r="B87" s="2307"/>
      <c r="C87" s="2307"/>
      <c r="D87" s="572"/>
      <c r="E87" s="2296" t="s">
        <v>186</v>
      </c>
      <c r="F87" s="2296"/>
      <c r="G87" s="2296"/>
      <c r="H87" s="2296"/>
      <c r="I87" s="2296"/>
      <c r="J87" s="2296"/>
      <c r="K87" s="2296"/>
      <c r="L87" s="573"/>
      <c r="M87" s="2297">
        <f>前年度貼付!$E$311</f>
        <v>285</v>
      </c>
      <c r="N87" s="2297"/>
      <c r="O87" s="2297"/>
      <c r="P87" s="2297"/>
      <c r="Q87" s="2298">
        <f>前年度貼付!$E$323</f>
        <v>267210788</v>
      </c>
      <c r="R87" s="2298"/>
      <c r="S87" s="2298"/>
      <c r="T87" s="2298"/>
      <c r="U87" s="2298"/>
      <c r="V87" s="2298"/>
      <c r="W87" s="2298"/>
      <c r="X87" s="2298"/>
      <c r="Y87" s="2313">
        <f>前年度貼付!$E$327</f>
        <v>27.89</v>
      </c>
      <c r="Z87" s="2313"/>
      <c r="AA87" s="2313"/>
      <c r="AB87" s="2313"/>
      <c r="AC87" s="2300">
        <v>274</v>
      </c>
      <c r="AD87" s="2297"/>
      <c r="AE87" s="2297"/>
      <c r="AF87" s="2297"/>
      <c r="AG87" s="2301">
        <v>261289703</v>
      </c>
      <c r="AH87" s="2298"/>
      <c r="AI87" s="2298"/>
      <c r="AJ87" s="2298"/>
      <c r="AK87" s="2298"/>
      <c r="AL87" s="2298"/>
      <c r="AM87" s="2298"/>
      <c r="AN87" s="2298"/>
      <c r="AO87" s="2314">
        <f>ROUND(AG87/$AG$92*100,2)</f>
        <v>30.77</v>
      </c>
      <c r="AP87" s="2299"/>
      <c r="AQ87" s="2299"/>
      <c r="AR87" s="2299"/>
      <c r="AS87" s="2294">
        <f t="shared" si="4"/>
        <v>-11</v>
      </c>
      <c r="AT87" s="2294"/>
      <c r="AU87" s="2294"/>
      <c r="AV87" s="2294"/>
      <c r="AW87" s="2294">
        <f t="shared" si="5"/>
        <v>-5921085</v>
      </c>
      <c r="AX87" s="2294"/>
      <c r="AY87" s="2294"/>
      <c r="AZ87" s="2294"/>
      <c r="BA87" s="2294"/>
      <c r="BB87" s="2294"/>
      <c r="BC87" s="2294"/>
      <c r="BD87" s="2294"/>
      <c r="BE87" s="2295">
        <f>AO87-Y87</f>
        <v>2.879999999999999</v>
      </c>
      <c r="BF87" s="2295"/>
      <c r="BG87" s="2295"/>
      <c r="BH87" s="2295"/>
      <c r="BN87" s="104">
        <f>Q86/$Q$92*100</f>
        <v>6.778869917084644</v>
      </c>
      <c r="BO87" s="104">
        <f>AG86/$AG$92*100</f>
        <v>8.3550131417560536</v>
      </c>
    </row>
    <row r="88" spans="1:67" ht="33" customHeight="1">
      <c r="A88" s="2307"/>
      <c r="B88" s="2307"/>
      <c r="C88" s="2307"/>
      <c r="D88" s="572"/>
      <c r="E88" s="2296" t="s">
        <v>187</v>
      </c>
      <c r="F88" s="2296"/>
      <c r="G88" s="2296"/>
      <c r="H88" s="2296"/>
      <c r="I88" s="2296"/>
      <c r="J88" s="2296"/>
      <c r="K88" s="2296"/>
      <c r="L88" s="573"/>
      <c r="M88" s="2297">
        <f>前年度貼付!$E$312</f>
        <v>18</v>
      </c>
      <c r="N88" s="2297"/>
      <c r="O88" s="2297"/>
      <c r="P88" s="2297"/>
      <c r="Q88" s="2298">
        <f>前年度貼付!$E$324</f>
        <v>7918897</v>
      </c>
      <c r="R88" s="2298"/>
      <c r="S88" s="2298"/>
      <c r="T88" s="2298"/>
      <c r="U88" s="2298"/>
      <c r="V88" s="2298"/>
      <c r="W88" s="2298"/>
      <c r="X88" s="2298"/>
      <c r="Y88" s="2299">
        <f>ROUND(Q88/$Q$92*100,3)</f>
        <v>0.82699999999999996</v>
      </c>
      <c r="Z88" s="2299"/>
      <c r="AA88" s="2299"/>
      <c r="AB88" s="2299"/>
      <c r="AC88" s="2300">
        <v>15</v>
      </c>
      <c r="AD88" s="2297"/>
      <c r="AE88" s="2297"/>
      <c r="AF88" s="2297"/>
      <c r="AG88" s="2301">
        <v>8929145</v>
      </c>
      <c r="AH88" s="2298"/>
      <c r="AI88" s="2298"/>
      <c r="AJ88" s="2298"/>
      <c r="AK88" s="2298"/>
      <c r="AL88" s="2298"/>
      <c r="AM88" s="2298"/>
      <c r="AN88" s="2298"/>
      <c r="AO88" s="2299">
        <f>ROUND(AG88/$AG$92*100,3)</f>
        <v>1.052</v>
      </c>
      <c r="AP88" s="2299"/>
      <c r="AQ88" s="2299"/>
      <c r="AR88" s="2299"/>
      <c r="AS88" s="2294">
        <f t="shared" si="4"/>
        <v>-3</v>
      </c>
      <c r="AT88" s="2294"/>
      <c r="AU88" s="2294"/>
      <c r="AV88" s="2294"/>
      <c r="AW88" s="2294">
        <f t="shared" si="5"/>
        <v>1010248</v>
      </c>
      <c r="AX88" s="2294"/>
      <c r="AY88" s="2294"/>
      <c r="AZ88" s="2294"/>
      <c r="BA88" s="2294"/>
      <c r="BB88" s="2294"/>
      <c r="BC88" s="2294"/>
      <c r="BD88" s="2294"/>
      <c r="BE88" s="2302">
        <f>ROUND(AO88,2)-ROUND(Y88,2)</f>
        <v>0.22000000000000008</v>
      </c>
      <c r="BF88" s="2303"/>
      <c r="BG88" s="2303"/>
      <c r="BH88" s="2303"/>
      <c r="BN88" s="104">
        <f>Q87/$Q$92*100</f>
        <v>27.896089308246509</v>
      </c>
      <c r="BO88" s="104">
        <f>AG87/$AG$92*100</f>
        <v>30.769804239383635</v>
      </c>
    </row>
    <row r="89" spans="1:67" ht="33" customHeight="1">
      <c r="A89" s="2307"/>
      <c r="B89" s="2307"/>
      <c r="C89" s="2307"/>
      <c r="D89" s="370"/>
      <c r="E89" s="2148" t="s">
        <v>189</v>
      </c>
      <c r="F89" s="2148"/>
      <c r="G89" s="2148"/>
      <c r="H89" s="2148"/>
      <c r="I89" s="2148"/>
      <c r="J89" s="2148"/>
      <c r="K89" s="2148"/>
      <c r="L89" s="370"/>
      <c r="M89" s="2315">
        <f>前年度貼付!$E$313</f>
        <v>0</v>
      </c>
      <c r="N89" s="2315"/>
      <c r="O89" s="2315"/>
      <c r="P89" s="2315"/>
      <c r="Q89" s="2316">
        <f>前年度貼付!$E$325</f>
        <v>0</v>
      </c>
      <c r="R89" s="2316"/>
      <c r="S89" s="2316"/>
      <c r="T89" s="2316"/>
      <c r="U89" s="2316"/>
      <c r="V89" s="2316"/>
      <c r="W89" s="2316"/>
      <c r="X89" s="2316"/>
      <c r="Y89" s="2317">
        <f>ROUND(Q89/$Q$92*100,3)</f>
        <v>0</v>
      </c>
      <c r="Z89" s="2317"/>
      <c r="AA89" s="2317"/>
      <c r="AB89" s="2317"/>
      <c r="AC89" s="2318">
        <v>0</v>
      </c>
      <c r="AD89" s="2315"/>
      <c r="AE89" s="2315"/>
      <c r="AF89" s="2315"/>
      <c r="AG89" s="2319">
        <v>0</v>
      </c>
      <c r="AH89" s="2316"/>
      <c r="AI89" s="2316"/>
      <c r="AJ89" s="2316"/>
      <c r="AK89" s="2316"/>
      <c r="AL89" s="2316"/>
      <c r="AM89" s="2316"/>
      <c r="AN89" s="2316"/>
      <c r="AO89" s="2317">
        <f>ROUND(AG89/$AG$92*100,3)</f>
        <v>0</v>
      </c>
      <c r="AP89" s="2317"/>
      <c r="AQ89" s="2317"/>
      <c r="AR89" s="2317"/>
      <c r="AS89" s="2290">
        <f t="shared" si="4"/>
        <v>0</v>
      </c>
      <c r="AT89" s="2290"/>
      <c r="AU89" s="2290"/>
      <c r="AV89" s="2290"/>
      <c r="AW89" s="2290">
        <f t="shared" si="5"/>
        <v>0</v>
      </c>
      <c r="AX89" s="2290"/>
      <c r="AY89" s="2290"/>
      <c r="AZ89" s="2290"/>
      <c r="BA89" s="2290"/>
      <c r="BB89" s="2290"/>
      <c r="BC89" s="2290"/>
      <c r="BD89" s="2290"/>
      <c r="BE89" s="2291">
        <f>AO89-Y89</f>
        <v>0</v>
      </c>
      <c r="BF89" s="2291"/>
      <c r="BG89" s="2291"/>
      <c r="BH89" s="2291"/>
      <c r="BN89" s="104">
        <f>Q88/$Q$92*100</f>
        <v>0.82671159943888706</v>
      </c>
      <c r="BO89" s="104">
        <f>AG88/$AG$92*100</f>
        <v>1.0515073518801128</v>
      </c>
    </row>
    <row r="90" spans="1:67" ht="33" customHeight="1">
      <c r="A90" s="2307"/>
      <c r="B90" s="2307"/>
      <c r="C90" s="2307"/>
      <c r="D90" s="87"/>
      <c r="E90" s="1866" t="s">
        <v>351</v>
      </c>
      <c r="F90" s="1866"/>
      <c r="G90" s="1866"/>
      <c r="H90" s="1866"/>
      <c r="I90" s="1866"/>
      <c r="J90" s="1866"/>
      <c r="K90" s="1866"/>
      <c r="L90" s="87"/>
      <c r="M90" s="1874">
        <f>SUM(M85:P89)</f>
        <v>379</v>
      </c>
      <c r="N90" s="1874"/>
      <c r="O90" s="1874"/>
      <c r="P90" s="1874"/>
      <c r="Q90" s="2284">
        <f>SUM(Q85:X89)</f>
        <v>340265613</v>
      </c>
      <c r="R90" s="2284"/>
      <c r="S90" s="2284"/>
      <c r="T90" s="2284"/>
      <c r="U90" s="2284"/>
      <c r="V90" s="2284"/>
      <c r="W90" s="2284"/>
      <c r="X90" s="2284"/>
      <c r="Y90" s="2288">
        <f>ROUND(Q90/$Q$92*100,3)</f>
        <v>35.523000000000003</v>
      </c>
      <c r="Z90" s="2288"/>
      <c r="AA90" s="2288"/>
      <c r="AB90" s="2288"/>
      <c r="AC90" s="1874">
        <f>SUM(AC85:AF89)</f>
        <v>368</v>
      </c>
      <c r="AD90" s="1874"/>
      <c r="AE90" s="1874"/>
      <c r="AF90" s="1874"/>
      <c r="AG90" s="2284">
        <f>SUM(AG85:AN89)</f>
        <v>341327722</v>
      </c>
      <c r="AH90" s="2284"/>
      <c r="AI90" s="2284"/>
      <c r="AJ90" s="2284"/>
      <c r="AK90" s="2284"/>
      <c r="AL90" s="2284"/>
      <c r="AM90" s="2284"/>
      <c r="AN90" s="2284"/>
      <c r="AO90" s="2288">
        <f>ROUNDDOWN(AG90/$AG$92*100,3)</f>
        <v>40.195</v>
      </c>
      <c r="AP90" s="2288"/>
      <c r="AQ90" s="2288"/>
      <c r="AR90" s="2288"/>
      <c r="AS90" s="2286">
        <f t="shared" si="4"/>
        <v>-11</v>
      </c>
      <c r="AT90" s="2286"/>
      <c r="AU90" s="2286"/>
      <c r="AV90" s="2286"/>
      <c r="AW90" s="2286">
        <f t="shared" si="5"/>
        <v>1062109</v>
      </c>
      <c r="AX90" s="2286"/>
      <c r="AY90" s="2286"/>
      <c r="AZ90" s="2286"/>
      <c r="BA90" s="2286"/>
      <c r="BB90" s="2286"/>
      <c r="BC90" s="2286"/>
      <c r="BD90" s="2286"/>
      <c r="BE90" s="2292">
        <f>ROUND(AO90,2)-ROUND(Y90,2)</f>
        <v>4.68</v>
      </c>
      <c r="BF90" s="2293"/>
      <c r="BG90" s="2293"/>
      <c r="BH90" s="2293"/>
      <c r="BN90" s="104">
        <f>Q89/$Q$92*100</f>
        <v>0</v>
      </c>
      <c r="BO90" s="104">
        <f>AG89/$AG$92*100</f>
        <v>0</v>
      </c>
    </row>
    <row r="91" spans="1:67" ht="33" customHeight="1">
      <c r="A91" s="96"/>
      <c r="B91" s="1866" t="s">
        <v>190</v>
      </c>
      <c r="C91" s="1866"/>
      <c r="D91" s="1866"/>
      <c r="E91" s="1866"/>
      <c r="F91" s="1866"/>
      <c r="G91" s="1866"/>
      <c r="H91" s="1866"/>
      <c r="I91" s="1866"/>
      <c r="J91" s="1866"/>
      <c r="K91" s="1866"/>
      <c r="L91" s="155"/>
      <c r="M91" s="1868">
        <f>前年度貼付!$E$314</f>
        <v>0</v>
      </c>
      <c r="N91" s="1868"/>
      <c r="O91" s="1868"/>
      <c r="P91" s="1868"/>
      <c r="Q91" s="2287">
        <f>前年度貼付!$E$326</f>
        <v>0</v>
      </c>
      <c r="R91" s="2287"/>
      <c r="S91" s="2287"/>
      <c r="T91" s="2287"/>
      <c r="U91" s="2287"/>
      <c r="V91" s="2287"/>
      <c r="W91" s="2287"/>
      <c r="X91" s="2287"/>
      <c r="Y91" s="2288">
        <f>ROUND(Q91/$Q$92*100,3)</f>
        <v>0</v>
      </c>
      <c r="Z91" s="2288"/>
      <c r="AA91" s="2288"/>
      <c r="AB91" s="2288"/>
      <c r="AC91" s="1867">
        <v>0</v>
      </c>
      <c r="AD91" s="1868"/>
      <c r="AE91" s="1868"/>
      <c r="AF91" s="1868"/>
      <c r="AG91" s="2289">
        <v>0</v>
      </c>
      <c r="AH91" s="2287"/>
      <c r="AI91" s="2287"/>
      <c r="AJ91" s="2287"/>
      <c r="AK91" s="2287"/>
      <c r="AL91" s="2287"/>
      <c r="AM91" s="2287"/>
      <c r="AN91" s="2287"/>
      <c r="AO91" s="2288">
        <f>ROUND(AG91/$AG$92*100,3)</f>
        <v>0</v>
      </c>
      <c r="AP91" s="2288"/>
      <c r="AQ91" s="2288"/>
      <c r="AR91" s="2288"/>
      <c r="AS91" s="2286">
        <f t="shared" si="4"/>
        <v>0</v>
      </c>
      <c r="AT91" s="2286"/>
      <c r="AU91" s="2286"/>
      <c r="AV91" s="2286"/>
      <c r="AW91" s="2286">
        <f t="shared" si="5"/>
        <v>0</v>
      </c>
      <c r="AX91" s="2286"/>
      <c r="AY91" s="2286"/>
      <c r="AZ91" s="2286"/>
      <c r="BA91" s="2286"/>
      <c r="BB91" s="2286"/>
      <c r="BC91" s="2286"/>
      <c r="BD91" s="2286"/>
      <c r="BE91" s="2282">
        <f>AO91-Y91</f>
        <v>0</v>
      </c>
      <c r="BF91" s="2282"/>
      <c r="BG91" s="2282"/>
      <c r="BH91" s="2282"/>
    </row>
    <row r="92" spans="1:67" ht="33" customHeight="1">
      <c r="A92" s="96"/>
      <c r="B92" s="1871" t="s">
        <v>750</v>
      </c>
      <c r="C92" s="1871"/>
      <c r="D92" s="1871"/>
      <c r="E92" s="1871"/>
      <c r="F92" s="1871"/>
      <c r="G92" s="1871"/>
      <c r="H92" s="1871"/>
      <c r="I92" s="1871"/>
      <c r="J92" s="1871"/>
      <c r="K92" s="1871"/>
      <c r="L92" s="370"/>
      <c r="M92" s="2283">
        <f>SUM(M91:P91,M90:P90,M84,M78:P80)</f>
        <v>786</v>
      </c>
      <c r="N92" s="2283"/>
      <c r="O92" s="2283"/>
      <c r="P92" s="2283"/>
      <c r="Q92" s="2284">
        <f>SUM(Q90:X91,Q84,Q78:X80)</f>
        <v>957879024</v>
      </c>
      <c r="R92" s="2284"/>
      <c r="S92" s="2284"/>
      <c r="T92" s="2284"/>
      <c r="U92" s="2284"/>
      <c r="V92" s="2284"/>
      <c r="W92" s="2284"/>
      <c r="X92" s="2284"/>
      <c r="Y92" s="2285">
        <f>Y78+Y79+Y80+Y84+Y90+Y91</f>
        <v>100</v>
      </c>
      <c r="Z92" s="2285"/>
      <c r="AA92" s="2285"/>
      <c r="AB92" s="2285"/>
      <c r="AC92" s="2283">
        <f>SUM(AC91:AF91,AC90:AF90,AC84,AC78:AF80)</f>
        <v>738</v>
      </c>
      <c r="AD92" s="2283"/>
      <c r="AE92" s="2283"/>
      <c r="AF92" s="2283"/>
      <c r="AG92" s="2284">
        <f>SUM(AG90:AN91,AG84,AG78:AN80)</f>
        <v>849175708</v>
      </c>
      <c r="AH92" s="2284"/>
      <c r="AI92" s="2284"/>
      <c r="AJ92" s="2284"/>
      <c r="AK92" s="2284"/>
      <c r="AL92" s="2284"/>
      <c r="AM92" s="2284"/>
      <c r="AN92" s="2284"/>
      <c r="AO92" s="2285">
        <f>AO78+AO79+AO80+AO84+AO90+AO91</f>
        <v>100</v>
      </c>
      <c r="AP92" s="2285"/>
      <c r="AQ92" s="2285"/>
      <c r="AR92" s="2285"/>
      <c r="AS92" s="2286">
        <f t="shared" si="4"/>
        <v>-48</v>
      </c>
      <c r="AT92" s="2286"/>
      <c r="AU92" s="2286"/>
      <c r="AV92" s="2286"/>
      <c r="AW92" s="2286">
        <f t="shared" si="5"/>
        <v>-108703316</v>
      </c>
      <c r="AX92" s="2286"/>
      <c r="AY92" s="2286"/>
      <c r="AZ92" s="2286"/>
      <c r="BA92" s="2286"/>
      <c r="BB92" s="2286"/>
      <c r="BC92" s="2286"/>
      <c r="BD92" s="2286"/>
      <c r="BE92" s="2282">
        <f>AO92-Y92</f>
        <v>0</v>
      </c>
      <c r="BF92" s="2282"/>
      <c r="BG92" s="2282"/>
      <c r="BH92" s="2282"/>
    </row>
    <row r="93" spans="1:67" s="81" customFormat="1" ht="33" customHeight="1">
      <c r="A93" s="2281" t="s">
        <v>751</v>
      </c>
      <c r="B93" s="2281"/>
      <c r="C93" s="2281"/>
      <c r="D93" s="2281"/>
      <c r="E93" s="2281"/>
      <c r="F93" s="2281"/>
      <c r="G93" s="2281"/>
      <c r="H93" s="2281"/>
      <c r="I93" s="2281"/>
      <c r="J93" s="2281"/>
      <c r="K93" s="2281"/>
      <c r="L93" s="2281"/>
      <c r="M93" s="2281"/>
      <c r="N93" s="2281"/>
      <c r="O93" s="2281"/>
      <c r="P93" s="2281"/>
      <c r="Q93" s="2281"/>
      <c r="R93" s="2281"/>
      <c r="S93" s="2281"/>
      <c r="T93" s="2281"/>
      <c r="U93" s="2281"/>
      <c r="V93" s="2281"/>
      <c r="W93" s="2281"/>
    </row>
    <row r="94" spans="1:67" ht="34.5" customHeight="1">
      <c r="A94" s="142" t="str">
        <f>IF(貸付_財務諸表!C54&gt;0,"  　本年度における収支決算を行った結果、当期利益金として"&amp;IF(貸付_財務諸表!C54=0,"0",IF(貸付_財務諸表!C54&gt;=100000000,TEXT(INT(貸付_財務諸表!C54/100000000),"#,##0")&amp;"億","")&amp;IF(MOD(INT(貸付_財務諸表!C54/10000),10000)&gt;0,TEXT(MOD(INT(貸付_財務諸表!C54/10000),10000),"#,##0")&amp;"万","")&amp;IF(MOD(貸付_財務諸表!C54,10000)&gt;0,TEXT(MOD(貸付_財務諸表!C54,10000),"#,##0"),""))&amp;"円を生じた。","  　本年度における収支決算を行った結果、当期損失金として"&amp;IF(貸付_財務諸表!G47=0,"0",IF(貸付_財務諸表!G47&gt;=100000000,TEXT(INT(貸付_財務諸表!G47/100000000),"#,##0")&amp;"億","")&amp;IF(MOD(INT(貸付_財務諸表!G47/10000),10000)&gt;0,TEXT(MOD(INT(貸付_財務諸表!G47/10000),10000),"#,##0")&amp;"万","")&amp;IF(MOD(貸付_財務諸表!G47,10000)&gt;0,TEXT(MOD(貸付_財務諸表!G47,10000),"#,##0"),""))&amp;"円"&amp;"を生じたが、前年度より繰り越した積立金")</f>
        <v xml:space="preserve">  　本年度における収支決算を行った結果、当期損失金として391万9,428円を生じたが、前年度より繰り越した積立金</v>
      </c>
      <c r="B94" s="459"/>
      <c r="C94" s="459"/>
      <c r="D94" s="459"/>
      <c r="E94" s="459"/>
      <c r="F94" s="459"/>
      <c r="G94" s="459"/>
      <c r="H94" s="459"/>
      <c r="I94" s="459"/>
      <c r="J94" s="459"/>
      <c r="K94" s="459"/>
      <c r="L94" s="459"/>
      <c r="M94" s="459"/>
      <c r="N94" s="459"/>
      <c r="O94" s="459"/>
      <c r="P94" s="459"/>
      <c r="Q94" s="459"/>
      <c r="R94" s="459"/>
      <c r="S94" s="459"/>
      <c r="T94" s="459"/>
      <c r="U94" s="459"/>
      <c r="V94" s="459"/>
      <c r="W94" s="459"/>
      <c r="X94" s="459"/>
      <c r="Y94" s="459"/>
      <c r="Z94" s="459"/>
      <c r="AA94" s="459"/>
      <c r="AB94" s="459"/>
      <c r="AC94" s="459"/>
      <c r="AD94" s="459"/>
      <c r="AE94" s="459"/>
      <c r="AF94" s="459"/>
      <c r="AG94" s="459"/>
      <c r="AH94" s="459"/>
      <c r="AI94" s="459"/>
      <c r="AJ94" s="459"/>
      <c r="AK94" s="459"/>
      <c r="AL94" s="459"/>
      <c r="AM94" s="459"/>
      <c r="AN94" s="459"/>
      <c r="AO94" s="459"/>
      <c r="AP94" s="459"/>
      <c r="AQ94" s="459"/>
      <c r="AR94" s="459"/>
      <c r="AS94" s="459"/>
      <c r="AT94" s="459"/>
      <c r="AU94" s="459"/>
      <c r="AV94" s="459"/>
      <c r="AW94" s="459"/>
      <c r="AX94" s="459"/>
      <c r="AY94" s="459"/>
      <c r="AZ94" s="459"/>
      <c r="BA94" s="459"/>
      <c r="BB94" s="459"/>
      <c r="BC94" s="459"/>
      <c r="BD94" s="459"/>
      <c r="BE94" s="459"/>
      <c r="BF94" s="459"/>
      <c r="BG94" s="459"/>
      <c r="BH94" s="459"/>
    </row>
    <row r="95" spans="1:67" ht="24.9" customHeight="1">
      <c r="A95" s="142" t="str">
        <f>IF(貸付_財務諸表!C54&gt;0,"　この利益金に前年度より繰り越した積立金"&amp;IF(貸付_附属明細表!E90=0,"0",IF(貸付_附属明細表!E90&gt;=100000000,TEXT(INT(貸付_附属明細表!E90/100000000),"#,##0")&amp;"億","")&amp;IF(MOD(INT(貸付_附属明細表!E90/10000),10000)&gt;0,TEXT(MOD(INT(貸付_附属明細表!E90/10000),10000),"#,##0")&amp;"万","")&amp;IF(MOD(貸付_附属明細表!E90,10000)&gt;0,TEXT(MOD(貸付_附属明細表!E90,10000),"#,##0"),""))&amp;"円を合わせ、","　"&amp;IF(貸付_附属明細表!E90=0,"0",IF(貸付_附属明細表!E90&gt;=100000000,TEXT(INT(貸付_附属明細表!E90/100000000),"#,##0")&amp;"億","")&amp;IF(MOD(INT(貸付_附属明細表!E90/10000),10000)&gt;0,TEXT(MOD(INT(貸付_附属明細表!E90/10000),10000),"#,##0")&amp;"万","")&amp;IF(MOD(貸付_附属明細表!E90,10000)&gt;0,TEXT(MOD(貸付_附属明細表!E90,10000),"#,##0"),""))&amp;"円"&amp;"を取り崩して補てんした。")</f>
        <v>　19億6,105万2,168円を取り崩して補てんした。</v>
      </c>
      <c r="B95" s="459"/>
      <c r="C95" s="459"/>
      <c r="D95" s="459"/>
      <c r="E95" s="459"/>
      <c r="F95" s="459"/>
      <c r="G95" s="459"/>
      <c r="H95" s="459"/>
      <c r="I95" s="459"/>
      <c r="J95" s="459"/>
      <c r="K95" s="459"/>
      <c r="L95" s="459"/>
      <c r="M95" s="459"/>
      <c r="N95" s="459"/>
      <c r="O95" s="459"/>
      <c r="P95" s="459"/>
      <c r="Q95" s="459"/>
      <c r="R95" s="459"/>
      <c r="S95" s="459"/>
      <c r="T95" s="459"/>
      <c r="U95" s="459"/>
      <c r="V95" s="459"/>
      <c r="W95" s="459"/>
      <c r="X95" s="459"/>
      <c r="Y95" s="459"/>
      <c r="Z95" s="459"/>
      <c r="AA95" s="459"/>
      <c r="AB95" s="459"/>
      <c r="AC95" s="459"/>
      <c r="AD95" s="459"/>
      <c r="AE95" s="459"/>
      <c r="AF95" s="459"/>
      <c r="AG95" s="459"/>
      <c r="AH95" s="459"/>
      <c r="AI95" s="459"/>
      <c r="AJ95" s="459"/>
      <c r="AK95" s="459"/>
      <c r="AL95" s="459"/>
      <c r="AM95" s="459"/>
      <c r="AN95" s="459"/>
      <c r="AO95" s="459"/>
      <c r="AP95" s="459"/>
      <c r="AQ95" s="459"/>
      <c r="AR95" s="459"/>
      <c r="AS95" s="459"/>
      <c r="AT95" s="459"/>
      <c r="AU95" s="459"/>
      <c r="AV95" s="459"/>
      <c r="AW95" s="459"/>
      <c r="AX95" s="459"/>
      <c r="AY95" s="459"/>
      <c r="AZ95" s="459"/>
      <c r="BA95" s="459"/>
      <c r="BB95" s="459"/>
      <c r="BC95" s="459"/>
      <c r="BD95" s="459"/>
      <c r="BE95" s="459"/>
      <c r="BF95" s="459"/>
      <c r="BG95" s="459"/>
      <c r="BH95" s="459"/>
    </row>
    <row r="96" spans="1:67" ht="24.9" customHeight="1">
      <c r="A96" s="142" t="s">
        <v>752</v>
      </c>
      <c r="B96" s="142" t="str">
        <f>IF(貸付_財務諸表!C54&gt;0,"　翌年度へ繰り越す積立金は、"&amp;IF(貸付_附属明細表!Q90=0,"0",IF(貸付_附属明細表!Q90&gt;=100000000,TEXT(INT(貸付_附属明細表!Q90/100000000),"#,##0")&amp;"億","")&amp;IF(MOD(INT(貸付_附属明細表!Q90/10000),10000)&gt;0,TEXT(MOD(INT(貸付_附属明細表!Q90/10000),10000),"#,##0")&amp;"万","")&amp;IF(MOD(貸付_附属明細表!Q90,10000)&gt;0,TEXT(MOD(貸付_附属明細表!Q90,10000),"#,##0"),""))&amp;"円となる。","　なお、翌年度へ繰り越す積立金は、"&amp;IF(貸付_附属明細表!Q90=0,"0",IF(貸付_附属明細表!Q90&gt;=100000000,TEXT(INT(貸付_附属明細表!Q90/100000000),"#,##0")&amp;"億","")&amp;IF(MOD(INT(貸付_附属明細表!Q90/10000),10000)&gt;0,TEXT(MOD(INT(貸付_附属明細表!Q90/10000),10000),"#,##0")&amp;"万","")&amp;IF(MOD(貸付_附属明細表!Q90,10000)&gt;0,TEXT(MOD(貸付_附属明細表!Q90,10000),"#,##0"),""))&amp;"円"&amp;"となる。")</f>
        <v>　なお、翌年度へ繰り越す積立金は、19億5,713万2,740円となる。</v>
      </c>
      <c r="C96" s="459"/>
      <c r="D96" s="459"/>
      <c r="E96" s="459"/>
      <c r="F96" s="459"/>
      <c r="G96" s="459"/>
      <c r="H96" s="459"/>
      <c r="I96" s="459"/>
      <c r="J96" s="459"/>
      <c r="K96" s="459"/>
      <c r="L96" s="459"/>
      <c r="M96" s="459"/>
      <c r="N96" s="459"/>
      <c r="O96" s="459"/>
      <c r="P96" s="459"/>
      <c r="Q96" s="459"/>
      <c r="R96" s="459"/>
      <c r="S96" s="459"/>
      <c r="T96" s="459"/>
      <c r="U96" s="459"/>
      <c r="V96" s="459"/>
      <c r="W96" s="459"/>
      <c r="X96" s="459"/>
      <c r="Y96" s="459"/>
      <c r="Z96" s="459"/>
      <c r="AA96" s="459"/>
      <c r="AB96" s="459"/>
      <c r="AC96" s="459"/>
      <c r="AD96" s="459"/>
      <c r="AE96" s="459"/>
      <c r="AF96" s="459"/>
      <c r="AG96" s="459"/>
      <c r="AH96" s="459"/>
      <c r="AI96" s="459"/>
      <c r="AJ96" s="459"/>
      <c r="AK96" s="459"/>
      <c r="AL96" s="459"/>
      <c r="AM96" s="459"/>
      <c r="AN96" s="459"/>
      <c r="AO96" s="353"/>
      <c r="AP96" s="353"/>
      <c r="AQ96" s="353"/>
      <c r="AR96" s="353"/>
      <c r="AS96" s="353"/>
      <c r="AT96" s="353"/>
      <c r="AU96" s="353"/>
      <c r="AV96" s="353"/>
      <c r="AW96" s="353"/>
      <c r="AX96" s="353"/>
      <c r="AY96" s="353"/>
      <c r="AZ96" s="353"/>
      <c r="BA96" s="353"/>
      <c r="BB96" s="353"/>
      <c r="BC96" s="353"/>
      <c r="BD96" s="353"/>
      <c r="BE96" s="353"/>
      <c r="BF96" s="353"/>
      <c r="BG96" s="353"/>
      <c r="BH96" s="353"/>
    </row>
    <row r="98" spans="1:60" ht="18.75" customHeight="1">
      <c r="A98" s="461" t="s">
        <v>753</v>
      </c>
      <c r="B98" s="463"/>
      <c r="C98" s="463"/>
      <c r="D98" s="463"/>
      <c r="E98" s="463"/>
      <c r="F98" s="463"/>
      <c r="G98" s="463"/>
      <c r="H98" s="463"/>
      <c r="I98" s="463"/>
      <c r="J98" s="574"/>
      <c r="K98" s="574"/>
      <c r="L98" s="574"/>
      <c r="M98" s="574"/>
    </row>
    <row r="99" spans="1:60" ht="18.75" customHeight="1">
      <c r="A99" s="463"/>
      <c r="B99" s="463"/>
      <c r="C99" s="463"/>
      <c r="D99" s="463"/>
      <c r="E99" s="463"/>
      <c r="F99" s="463"/>
      <c r="G99" s="463"/>
      <c r="H99" s="463"/>
      <c r="I99" s="463"/>
      <c r="J99" s="574"/>
      <c r="K99" s="574"/>
      <c r="L99" s="574"/>
      <c r="M99" s="574"/>
    </row>
    <row r="100" spans="1:60" ht="18.75" customHeight="1">
      <c r="A100" s="463" t="s">
        <v>754</v>
      </c>
      <c r="B100" s="463"/>
      <c r="C100" s="463"/>
      <c r="D100" s="463"/>
      <c r="E100" s="463"/>
      <c r="F100" s="463"/>
      <c r="G100" s="463"/>
      <c r="H100" s="463"/>
      <c r="I100" s="463"/>
      <c r="J100" s="574"/>
      <c r="K100" s="574"/>
      <c r="L100" s="574"/>
      <c r="M100" s="574"/>
    </row>
    <row r="101" spans="1:60" ht="18.75" customHeight="1">
      <c r="A101" s="463" t="s">
        <v>755</v>
      </c>
      <c r="B101" s="463"/>
      <c r="C101" s="463"/>
      <c r="D101" s="463"/>
      <c r="E101" s="463"/>
      <c r="F101" s="463"/>
      <c r="G101" s="463"/>
      <c r="H101" s="463"/>
      <c r="I101" s="463"/>
      <c r="J101" s="574"/>
      <c r="K101" s="574"/>
      <c r="L101" s="574"/>
      <c r="M101" s="574"/>
    </row>
    <row r="102" spans="1:60" ht="18.75" customHeight="1">
      <c r="A102" s="463" t="s">
        <v>657</v>
      </c>
      <c r="B102" s="463"/>
      <c r="C102" s="463"/>
      <c r="D102" s="463"/>
      <c r="E102" s="574"/>
      <c r="F102" s="574"/>
      <c r="H102" s="463"/>
      <c r="I102" s="463"/>
      <c r="J102" s="574"/>
      <c r="K102" s="574"/>
      <c r="L102" s="574"/>
      <c r="M102" s="574"/>
      <c r="X102" s="106" t="s">
        <v>551</v>
      </c>
    </row>
    <row r="103" spans="1:60" ht="18.75" customHeight="1">
      <c r="A103" s="463"/>
      <c r="B103" s="463"/>
      <c r="C103" s="575" t="s">
        <v>658</v>
      </c>
      <c r="D103" s="463"/>
      <c r="E103" s="574"/>
      <c r="F103" s="574"/>
      <c r="H103" s="463"/>
      <c r="I103" s="463"/>
      <c r="J103" s="576"/>
      <c r="K103" s="576"/>
      <c r="L103" s="576"/>
      <c r="M103" s="576"/>
      <c r="X103" s="106" t="s">
        <v>551</v>
      </c>
    </row>
    <row r="104" spans="1:60" ht="18.75" customHeight="1">
      <c r="A104" s="463"/>
      <c r="B104" s="463"/>
      <c r="C104" s="575" t="s">
        <v>658</v>
      </c>
      <c r="D104" s="463"/>
      <c r="E104" s="574"/>
      <c r="F104" s="574"/>
      <c r="H104" s="463"/>
      <c r="I104" s="463"/>
      <c r="J104" s="576"/>
      <c r="K104" s="576"/>
      <c r="L104" s="576"/>
      <c r="M104" s="576"/>
      <c r="X104" s="106" t="s">
        <v>551</v>
      </c>
    </row>
    <row r="105" spans="1:60" ht="18.75" customHeight="1">
      <c r="A105" s="463" t="s">
        <v>756</v>
      </c>
      <c r="B105" s="463"/>
      <c r="C105" s="463"/>
      <c r="D105" s="463"/>
      <c r="E105" s="463"/>
      <c r="F105" s="463"/>
      <c r="G105" s="463"/>
      <c r="H105" s="463"/>
      <c r="I105" s="463"/>
      <c r="J105" s="576"/>
      <c r="K105" s="576"/>
      <c r="L105" s="576"/>
      <c r="M105" s="576"/>
    </row>
    <row r="106" spans="1:60" ht="18.75" customHeight="1">
      <c r="A106" s="463" t="s">
        <v>660</v>
      </c>
      <c r="B106" s="463"/>
      <c r="C106" s="463"/>
      <c r="D106" s="463"/>
      <c r="E106" s="463"/>
      <c r="F106" s="463"/>
      <c r="G106" s="463"/>
      <c r="H106" s="463"/>
      <c r="I106" s="463"/>
      <c r="J106" s="576"/>
      <c r="K106" s="576"/>
      <c r="L106" s="576"/>
      <c r="M106" s="576"/>
    </row>
    <row r="107" spans="1:60" ht="18.75" customHeight="1">
      <c r="A107" s="463" t="s">
        <v>661</v>
      </c>
      <c r="B107" s="463"/>
      <c r="C107" s="463"/>
      <c r="D107" s="463"/>
      <c r="E107" s="463"/>
      <c r="F107" s="463"/>
      <c r="G107" s="463"/>
      <c r="H107" s="463"/>
      <c r="I107" s="463"/>
      <c r="J107" s="576"/>
      <c r="K107" s="576"/>
      <c r="L107" s="576"/>
      <c r="M107" s="576"/>
    </row>
    <row r="108" spans="1:60" ht="18.75" customHeight="1">
      <c r="A108" s="463"/>
      <c r="B108" s="463"/>
      <c r="C108" s="463"/>
      <c r="D108" s="463"/>
      <c r="E108" s="463"/>
      <c r="F108" s="463"/>
      <c r="G108" s="463"/>
      <c r="H108" s="463"/>
      <c r="I108" s="463"/>
      <c r="J108" s="576"/>
      <c r="K108" s="576"/>
      <c r="L108" s="576"/>
      <c r="M108" s="576"/>
    </row>
    <row r="109" spans="1:60" ht="34.5" customHeight="1">
      <c r="A109" s="142" t="s">
        <v>757</v>
      </c>
      <c r="B109" s="459"/>
      <c r="C109" s="459"/>
      <c r="D109" s="459"/>
      <c r="E109" s="459"/>
      <c r="F109" s="459"/>
      <c r="G109" s="459"/>
      <c r="H109" s="459"/>
      <c r="I109" s="459"/>
      <c r="J109" s="459"/>
      <c r="K109" s="459"/>
      <c r="L109" s="459"/>
      <c r="M109" s="459"/>
      <c r="N109" s="459"/>
      <c r="O109" s="459"/>
      <c r="P109" s="459"/>
      <c r="Q109" s="459"/>
      <c r="R109" s="459"/>
      <c r="S109" s="459"/>
      <c r="T109" s="459"/>
      <c r="U109" s="459"/>
      <c r="V109" s="459"/>
      <c r="W109" s="459"/>
      <c r="X109" s="459"/>
      <c r="Y109" s="459"/>
      <c r="Z109" s="459"/>
      <c r="AA109" s="459"/>
      <c r="AB109" s="459"/>
      <c r="AC109" s="459"/>
      <c r="AD109" s="459"/>
      <c r="AE109" s="459"/>
      <c r="AF109" s="459"/>
      <c r="AG109" s="459"/>
      <c r="AH109" s="459"/>
      <c r="AI109" s="459"/>
      <c r="AJ109" s="459"/>
      <c r="AK109" s="459"/>
      <c r="AL109" s="459"/>
      <c r="AM109" s="459"/>
      <c r="AN109" s="459"/>
      <c r="AO109" s="459"/>
      <c r="AP109" s="459"/>
      <c r="AQ109" s="459"/>
      <c r="AR109" s="459"/>
      <c r="AS109" s="459"/>
      <c r="AT109" s="459"/>
      <c r="AU109" s="459"/>
      <c r="AV109" s="459"/>
      <c r="AW109" s="459"/>
      <c r="AX109" s="459"/>
      <c r="AY109" s="459"/>
      <c r="AZ109" s="459"/>
      <c r="BA109" s="459"/>
      <c r="BB109" s="459"/>
      <c r="BC109" s="459"/>
      <c r="BD109" s="459"/>
      <c r="BE109" s="459"/>
      <c r="BF109" s="459"/>
      <c r="BG109" s="459"/>
      <c r="BH109" s="459"/>
    </row>
    <row r="110" spans="1:60" ht="24.9" customHeight="1">
      <c r="A110" s="142" t="s">
        <v>758</v>
      </c>
      <c r="B110" s="459"/>
      <c r="C110" s="459"/>
      <c r="D110" s="459"/>
      <c r="E110" s="459"/>
      <c r="F110" s="459"/>
      <c r="G110" s="459"/>
      <c r="H110" s="459"/>
      <c r="I110" s="459"/>
      <c r="J110" s="459"/>
      <c r="K110" s="459"/>
      <c r="L110" s="459"/>
      <c r="M110" s="459"/>
      <c r="N110" s="459"/>
      <c r="O110" s="459"/>
      <c r="P110" s="459"/>
      <c r="Q110" s="459"/>
      <c r="R110" s="459"/>
      <c r="S110" s="459"/>
      <c r="T110" s="459"/>
      <c r="U110" s="459"/>
      <c r="V110" s="459"/>
      <c r="W110" s="459"/>
      <c r="X110" s="459"/>
      <c r="Y110" s="459"/>
      <c r="Z110" s="459"/>
      <c r="AA110" s="459"/>
      <c r="AB110" s="459"/>
      <c r="AC110" s="459"/>
      <c r="AD110" s="459"/>
      <c r="AE110" s="459"/>
      <c r="AF110" s="459"/>
      <c r="AG110" s="459"/>
      <c r="AH110" s="459"/>
      <c r="AI110" s="459"/>
      <c r="AJ110" s="459"/>
      <c r="AK110" s="459"/>
      <c r="AL110" s="459"/>
      <c r="AM110" s="459"/>
      <c r="AN110" s="459"/>
      <c r="AO110" s="459"/>
      <c r="AP110" s="459"/>
      <c r="AQ110" s="459"/>
      <c r="AR110" s="459"/>
      <c r="AS110" s="459"/>
      <c r="AT110" s="459"/>
      <c r="AU110" s="459"/>
      <c r="AV110" s="459"/>
      <c r="AW110" s="459"/>
      <c r="AX110" s="459"/>
      <c r="AY110" s="459"/>
      <c r="AZ110" s="459"/>
      <c r="BA110" s="459"/>
      <c r="BB110" s="459"/>
      <c r="BC110" s="459"/>
      <c r="BD110" s="459"/>
      <c r="BE110" s="459"/>
      <c r="BF110" s="459"/>
      <c r="BG110" s="459"/>
      <c r="BH110" s="459"/>
    </row>
    <row r="111" spans="1:60" ht="24.9" customHeight="1">
      <c r="A111" s="142" t="s">
        <v>752</v>
      </c>
      <c r="B111" s="142" t="s">
        <v>759</v>
      </c>
      <c r="C111" s="459"/>
      <c r="D111" s="459"/>
      <c r="E111" s="459"/>
      <c r="F111" s="459"/>
      <c r="G111" s="459"/>
      <c r="H111" s="459"/>
      <c r="I111" s="459"/>
      <c r="J111" s="459"/>
      <c r="K111" s="459"/>
      <c r="L111" s="459"/>
      <c r="M111" s="459"/>
      <c r="N111" s="459"/>
      <c r="O111" s="459"/>
      <c r="P111" s="459"/>
      <c r="Q111" s="459"/>
      <c r="R111" s="459"/>
      <c r="S111" s="459"/>
      <c r="T111" s="459"/>
      <c r="U111" s="459"/>
      <c r="V111" s="459"/>
      <c r="W111" s="459"/>
      <c r="X111" s="459"/>
      <c r="Y111" s="459"/>
      <c r="Z111" s="459"/>
      <c r="AA111" s="459"/>
      <c r="AB111" s="459"/>
      <c r="AC111" s="459"/>
      <c r="AD111" s="459"/>
      <c r="AE111" s="459"/>
      <c r="AF111" s="459"/>
      <c r="AG111" s="459"/>
      <c r="AH111" s="459"/>
      <c r="AI111" s="459"/>
      <c r="AJ111" s="459"/>
      <c r="AK111" s="459"/>
      <c r="AL111" s="459"/>
      <c r="AM111" s="459"/>
      <c r="AN111" s="459"/>
      <c r="AO111" s="353"/>
      <c r="AP111" s="353"/>
      <c r="AQ111" s="353"/>
      <c r="AR111" s="353"/>
      <c r="AS111" s="353"/>
      <c r="AT111" s="353"/>
      <c r="AU111" s="353"/>
      <c r="AV111" s="353"/>
      <c r="AW111" s="353"/>
      <c r="AX111" s="353"/>
      <c r="AY111" s="353"/>
      <c r="AZ111" s="353"/>
      <c r="BA111" s="353"/>
      <c r="BB111" s="353"/>
      <c r="BC111" s="353"/>
      <c r="BD111" s="353"/>
      <c r="BE111" s="353"/>
      <c r="BF111" s="353"/>
      <c r="BG111" s="353"/>
      <c r="BH111" s="353"/>
    </row>
    <row r="112" spans="1:60" ht="24.9" customHeight="1">
      <c r="A112" s="142"/>
      <c r="B112" s="142"/>
      <c r="C112" s="459"/>
      <c r="D112" s="459"/>
      <c r="E112" s="459"/>
      <c r="F112" s="459"/>
      <c r="G112" s="459"/>
      <c r="H112" s="459"/>
      <c r="I112" s="459"/>
      <c r="J112" s="459"/>
      <c r="K112" s="459"/>
      <c r="L112" s="459"/>
      <c r="M112" s="459"/>
      <c r="N112" s="459"/>
      <c r="O112" s="459"/>
      <c r="P112" s="459"/>
      <c r="Q112" s="459"/>
      <c r="R112" s="459"/>
      <c r="S112" s="459"/>
      <c r="T112" s="459"/>
      <c r="U112" s="459"/>
      <c r="V112" s="459"/>
      <c r="W112" s="459"/>
      <c r="X112" s="459"/>
      <c r="Y112" s="459"/>
      <c r="Z112" s="459"/>
      <c r="AA112" s="459"/>
      <c r="AB112" s="459"/>
      <c r="AC112" s="459"/>
      <c r="AD112" s="459"/>
      <c r="AE112" s="459"/>
      <c r="AF112" s="459"/>
      <c r="AG112" s="459"/>
      <c r="AH112" s="459"/>
      <c r="AI112" s="459"/>
      <c r="AJ112" s="459"/>
      <c r="AK112" s="459"/>
      <c r="AL112" s="459"/>
      <c r="AM112" s="459"/>
      <c r="AN112" s="459"/>
      <c r="AO112" s="353"/>
      <c r="AP112" s="353"/>
      <c r="AQ112" s="353"/>
      <c r="AR112" s="353"/>
      <c r="AS112" s="353"/>
      <c r="AT112" s="353"/>
      <c r="AU112" s="353"/>
      <c r="AV112" s="353"/>
      <c r="AW112" s="353"/>
      <c r="AX112" s="353"/>
      <c r="AY112" s="353"/>
      <c r="AZ112" s="353"/>
      <c r="BA112" s="353"/>
      <c r="BB112" s="353"/>
      <c r="BC112" s="353"/>
      <c r="BD112" s="353"/>
      <c r="BE112" s="353"/>
      <c r="BF112" s="353"/>
      <c r="BG112" s="353"/>
      <c r="BH112" s="353"/>
    </row>
    <row r="113" spans="1:60" ht="18.75" customHeight="1">
      <c r="A113" s="3062" t="s">
        <v>662</v>
      </c>
      <c r="B113" s="3063"/>
      <c r="C113" s="3063"/>
      <c r="D113" s="3063"/>
      <c r="E113" s="3063"/>
      <c r="F113" s="3063"/>
      <c r="G113" s="3063"/>
      <c r="H113" s="3063"/>
      <c r="I113" s="3063"/>
      <c r="J113" s="3100"/>
      <c r="K113" s="576"/>
      <c r="L113" s="576"/>
      <c r="M113" s="576"/>
    </row>
    <row r="114" spans="1:60" ht="18.75" customHeight="1">
      <c r="A114" s="3062" t="s">
        <v>663</v>
      </c>
      <c r="B114" s="3063"/>
      <c r="C114" s="3063"/>
      <c r="D114" s="3063"/>
      <c r="E114" s="3063"/>
      <c r="F114" s="3063"/>
      <c r="G114" s="3063"/>
      <c r="H114" s="3063"/>
      <c r="I114" s="3063"/>
      <c r="J114" s="3100"/>
      <c r="K114" s="576"/>
      <c r="L114" s="576"/>
      <c r="M114" s="576"/>
    </row>
    <row r="115" spans="1:60" ht="18.75" customHeight="1">
      <c r="A115" s="3062" t="s">
        <v>664</v>
      </c>
      <c r="B115" s="3063"/>
      <c r="C115" s="3063"/>
      <c r="D115" s="3063"/>
      <c r="E115" s="3063"/>
      <c r="F115" s="463"/>
      <c r="G115" s="463"/>
      <c r="H115" s="463"/>
      <c r="I115" s="463"/>
      <c r="J115" s="576"/>
      <c r="K115" s="576"/>
      <c r="L115" s="576"/>
      <c r="M115" s="576"/>
    </row>
    <row r="116" spans="1:60" ht="18.75" customHeight="1">
      <c r="A116" s="463"/>
      <c r="B116" s="463"/>
      <c r="C116" s="463"/>
      <c r="D116" s="463"/>
      <c r="E116" s="463"/>
      <c r="F116" s="463"/>
      <c r="G116" s="463"/>
      <c r="H116" s="463"/>
      <c r="I116" s="463"/>
      <c r="J116" s="576"/>
      <c r="K116" s="576"/>
      <c r="L116" s="576"/>
      <c r="M116" s="576"/>
    </row>
    <row r="117" spans="1:60" ht="18.75" customHeight="1">
      <c r="A117" s="461" t="s">
        <v>760</v>
      </c>
      <c r="B117" s="463"/>
      <c r="C117" s="463"/>
      <c r="D117" s="463"/>
      <c r="E117" s="463"/>
      <c r="F117" s="463"/>
      <c r="G117" s="463"/>
      <c r="H117" s="463"/>
      <c r="I117" s="463"/>
      <c r="J117" s="576"/>
      <c r="K117" s="576"/>
      <c r="L117" s="576"/>
      <c r="M117" s="576"/>
    </row>
    <row r="118" spans="1:60" ht="18.75" customHeight="1">
      <c r="A118" s="463"/>
      <c r="B118" s="463"/>
      <c r="C118" s="463"/>
      <c r="D118" s="463"/>
      <c r="E118" s="463"/>
      <c r="F118" s="463"/>
      <c r="G118" s="463"/>
      <c r="H118" s="463"/>
      <c r="I118" s="463"/>
      <c r="J118" s="576"/>
      <c r="K118" s="576"/>
      <c r="L118" s="576"/>
      <c r="M118" s="576"/>
    </row>
    <row r="119" spans="1:60" ht="18.75" customHeight="1">
      <c r="A119" s="3062" t="s">
        <v>666</v>
      </c>
      <c r="B119" s="3063"/>
      <c r="C119" s="3063"/>
      <c r="D119" s="3063"/>
      <c r="E119" s="3063"/>
      <c r="F119" s="3063"/>
      <c r="G119" s="3063"/>
      <c r="H119" s="3063"/>
      <c r="I119" s="3063"/>
      <c r="J119" s="3101"/>
      <c r="K119" s="574"/>
      <c r="L119" s="574"/>
      <c r="M119" s="574"/>
    </row>
    <row r="120" spans="1:60" ht="18.75" customHeight="1">
      <c r="A120" s="3062" t="s">
        <v>667</v>
      </c>
      <c r="B120" s="3063"/>
      <c r="C120" s="3063"/>
      <c r="D120" s="3063"/>
      <c r="E120" s="3063"/>
      <c r="F120" s="3063"/>
      <c r="G120" s="3063"/>
      <c r="H120" s="3063"/>
      <c r="I120" s="3063"/>
      <c r="J120" s="3101"/>
      <c r="K120" s="574"/>
      <c r="L120" s="574"/>
      <c r="M120" s="574"/>
    </row>
    <row r="121" spans="1:60" ht="18.75" customHeight="1">
      <c r="A121" s="3062" t="s">
        <v>668</v>
      </c>
      <c r="B121" s="3063"/>
      <c r="C121" s="3063"/>
      <c r="D121" s="3063"/>
      <c r="E121" s="3063"/>
      <c r="F121" s="3063"/>
      <c r="G121" s="463"/>
      <c r="H121" s="463"/>
      <c r="I121" s="463"/>
      <c r="J121" s="574"/>
      <c r="K121" s="574"/>
      <c r="L121" s="574"/>
      <c r="M121" s="574"/>
    </row>
    <row r="122" spans="1:60" ht="18.75" customHeight="1">
      <c r="A122" s="463"/>
      <c r="B122" s="463"/>
      <c r="C122" s="463"/>
      <c r="D122" s="463"/>
      <c r="E122" s="463"/>
      <c r="F122" s="463"/>
      <c r="G122" s="463"/>
      <c r="H122" s="463"/>
      <c r="I122" s="574"/>
      <c r="J122" s="574"/>
      <c r="K122" s="574"/>
      <c r="L122" s="574"/>
      <c r="M122" s="574"/>
    </row>
    <row r="123" spans="1:60" ht="18.75" customHeight="1">
      <c r="A123" s="3062" t="s">
        <v>666</v>
      </c>
      <c r="B123" s="3063"/>
      <c r="C123" s="3063"/>
      <c r="D123" s="3063"/>
      <c r="E123" s="3063"/>
      <c r="F123" s="3063"/>
      <c r="G123" s="3063"/>
      <c r="H123" s="3063"/>
      <c r="I123" s="3101"/>
      <c r="J123" s="3101"/>
      <c r="K123" s="574"/>
      <c r="L123" s="574"/>
      <c r="M123" s="574"/>
    </row>
    <row r="124" spans="1:60" ht="18.75" customHeight="1">
      <c r="A124" s="3062" t="s">
        <v>669</v>
      </c>
      <c r="B124" s="3063"/>
      <c r="C124" s="3063"/>
      <c r="D124" s="3063"/>
      <c r="E124" s="3063"/>
      <c r="F124" s="3063"/>
      <c r="G124" s="3063"/>
      <c r="H124" s="3063"/>
      <c r="I124" s="3101"/>
      <c r="J124" s="3101"/>
      <c r="K124" s="574"/>
      <c r="L124" s="574"/>
      <c r="M124" s="574"/>
    </row>
    <row r="125" spans="1:60" ht="18.75" customHeight="1">
      <c r="A125" s="3062" t="s">
        <v>670</v>
      </c>
      <c r="B125" s="3063"/>
      <c r="C125" s="373"/>
      <c r="D125" s="373"/>
      <c r="E125" s="463"/>
      <c r="F125" s="463"/>
      <c r="G125" s="463"/>
      <c r="H125" s="463"/>
      <c r="I125" s="574"/>
      <c r="J125" s="574"/>
      <c r="K125" s="574"/>
      <c r="L125" s="574"/>
      <c r="M125" s="574"/>
    </row>
    <row r="126" spans="1:60" ht="24.9" customHeight="1">
      <c r="A126" s="574"/>
      <c r="B126" s="574"/>
      <c r="C126" s="574"/>
      <c r="D126" s="574"/>
      <c r="E126" s="574"/>
      <c r="F126" s="574"/>
      <c r="G126" s="574"/>
      <c r="H126" s="574"/>
      <c r="I126" s="574"/>
      <c r="J126" s="574"/>
      <c r="K126" s="574"/>
      <c r="L126" s="574"/>
      <c r="M126" s="574"/>
    </row>
    <row r="127" spans="1:60" ht="34.5" customHeight="1">
      <c r="A127" s="3102" t="s">
        <v>761</v>
      </c>
      <c r="B127" s="3103"/>
      <c r="C127" s="3103"/>
      <c r="D127" s="3103"/>
      <c r="E127" s="3103"/>
      <c r="F127" s="3103"/>
      <c r="G127" s="3103"/>
      <c r="H127" s="3103"/>
      <c r="I127" s="3103"/>
      <c r="J127" s="3103"/>
      <c r="K127" s="3103"/>
      <c r="L127" s="3103"/>
      <c r="M127" s="3103"/>
      <c r="N127" s="3103"/>
      <c r="O127" s="3103"/>
      <c r="P127" s="3103"/>
      <c r="Q127" s="3103"/>
      <c r="R127" s="3103"/>
      <c r="S127" s="3103"/>
      <c r="T127" s="3103"/>
      <c r="U127" s="3103"/>
      <c r="V127" s="3103"/>
      <c r="W127" s="3103"/>
      <c r="X127" s="3103"/>
      <c r="Y127" s="3103"/>
      <c r="Z127" s="3103"/>
      <c r="AA127" s="3103"/>
      <c r="AB127" s="3103"/>
      <c r="AC127" s="3103"/>
      <c r="AD127" s="3103"/>
      <c r="AE127" s="3103"/>
      <c r="AF127" s="3103"/>
      <c r="AG127" s="3103"/>
      <c r="AH127" s="3103"/>
      <c r="AI127" s="3103"/>
      <c r="AJ127" s="3103"/>
      <c r="AK127" s="3103"/>
      <c r="AL127" s="3103"/>
      <c r="AM127" s="3103"/>
      <c r="AN127" s="3103"/>
      <c r="AO127" s="3103"/>
      <c r="AP127" s="3103"/>
      <c r="AQ127" s="3103"/>
      <c r="AR127" s="3103"/>
      <c r="AS127" s="3103"/>
      <c r="AT127" s="3103"/>
      <c r="AU127" s="3103"/>
      <c r="AV127" s="3103"/>
      <c r="AW127" s="3103"/>
      <c r="AX127" s="3103"/>
      <c r="AY127" s="3103"/>
      <c r="AZ127" s="3103"/>
      <c r="BA127" s="3103"/>
      <c r="BB127" s="3103"/>
      <c r="BC127" s="3103"/>
      <c r="BD127" s="3103"/>
      <c r="BE127" s="3103"/>
      <c r="BF127" s="3103"/>
      <c r="BG127" s="3103"/>
      <c r="BH127" s="3103"/>
    </row>
    <row r="128" spans="1:60" ht="24.9" customHeight="1">
      <c r="A128" s="3102" t="s">
        <v>762</v>
      </c>
      <c r="B128" s="3103"/>
      <c r="C128" s="3103"/>
      <c r="D128" s="3103"/>
      <c r="E128" s="3103"/>
      <c r="F128" s="3103"/>
      <c r="G128" s="3103"/>
      <c r="H128" s="3103"/>
      <c r="I128" s="3103"/>
      <c r="J128" s="3103"/>
      <c r="K128" s="3103"/>
      <c r="L128" s="3103"/>
      <c r="M128" s="3103"/>
      <c r="N128" s="3103"/>
      <c r="O128" s="3103"/>
      <c r="P128" s="3103"/>
      <c r="Q128" s="3103"/>
      <c r="R128" s="3103"/>
      <c r="S128" s="3103"/>
      <c r="T128" s="3103"/>
      <c r="U128" s="3103"/>
      <c r="V128" s="3103"/>
      <c r="W128" s="3103"/>
      <c r="X128" s="3103"/>
      <c r="Y128" s="3103"/>
      <c r="Z128" s="3103"/>
      <c r="AA128" s="3103"/>
      <c r="AB128" s="3103"/>
      <c r="AC128" s="3103"/>
      <c r="AD128" s="3103"/>
      <c r="AE128" s="3103"/>
      <c r="AF128" s="3103"/>
      <c r="AG128" s="3103"/>
      <c r="AH128" s="3103"/>
      <c r="AI128" s="3103"/>
      <c r="AJ128" s="3103"/>
      <c r="AK128" s="3103"/>
      <c r="AL128" s="3103"/>
      <c r="AM128" s="3103"/>
      <c r="AN128" s="3103"/>
      <c r="AO128" s="3103"/>
      <c r="AP128" s="3103"/>
      <c r="AQ128" s="3103"/>
      <c r="AR128" s="3103"/>
      <c r="AS128" s="3103"/>
      <c r="AT128" s="3103"/>
      <c r="AU128" s="3103"/>
      <c r="AV128" s="3103"/>
      <c r="AW128" s="3103"/>
      <c r="AX128" s="3103"/>
      <c r="AY128" s="3103"/>
      <c r="AZ128" s="3103"/>
      <c r="BA128" s="3103"/>
      <c r="BB128" s="3103"/>
      <c r="BC128" s="3103"/>
      <c r="BD128" s="3103"/>
      <c r="BE128" s="3103"/>
      <c r="BF128" s="3103"/>
      <c r="BG128" s="3103"/>
      <c r="BH128" s="3103"/>
    </row>
    <row r="129" spans="1:60" ht="24.9" customHeight="1">
      <c r="A129" s="3102" t="s">
        <v>752</v>
      </c>
      <c r="B129" s="3102" t="s">
        <v>763</v>
      </c>
      <c r="C129" s="3103"/>
      <c r="D129" s="3103"/>
      <c r="E129" s="3103"/>
      <c r="F129" s="3103"/>
      <c r="G129" s="3103"/>
      <c r="H129" s="3103"/>
      <c r="I129" s="3103"/>
      <c r="J129" s="3103"/>
      <c r="K129" s="3103"/>
      <c r="L129" s="3103"/>
      <c r="M129" s="3103"/>
      <c r="N129" s="3103"/>
      <c r="O129" s="3103"/>
      <c r="P129" s="3103"/>
      <c r="Q129" s="3103"/>
      <c r="R129" s="3103"/>
      <c r="S129" s="3103"/>
      <c r="T129" s="3103"/>
      <c r="U129" s="3103"/>
      <c r="V129" s="3103"/>
      <c r="W129" s="3103"/>
      <c r="X129" s="3103"/>
      <c r="Y129" s="3103"/>
      <c r="Z129" s="3103"/>
      <c r="AA129" s="3103"/>
      <c r="AB129" s="3103"/>
      <c r="AC129" s="3103"/>
      <c r="AD129" s="3103"/>
      <c r="AE129" s="3103"/>
      <c r="AF129" s="3103"/>
      <c r="AG129" s="3103"/>
      <c r="AH129" s="3103"/>
      <c r="AI129" s="3103"/>
      <c r="AJ129" s="3103"/>
      <c r="AK129" s="3103"/>
      <c r="AL129" s="3103"/>
      <c r="AM129" s="3103"/>
      <c r="AN129" s="3103"/>
      <c r="AO129" s="3104"/>
      <c r="AP129" s="3104"/>
      <c r="AQ129" s="3104"/>
      <c r="AR129" s="3104"/>
      <c r="AS129" s="3104"/>
      <c r="AT129" s="3104"/>
      <c r="AU129" s="3104"/>
      <c r="AV129" s="3104"/>
      <c r="AW129" s="3104"/>
      <c r="AX129" s="3104"/>
      <c r="AY129" s="3104"/>
      <c r="AZ129" s="3104"/>
      <c r="BA129" s="3104"/>
      <c r="BB129" s="3104"/>
      <c r="BC129" s="3104"/>
      <c r="BD129" s="3104"/>
      <c r="BE129" s="3104"/>
      <c r="BF129" s="3104"/>
      <c r="BG129" s="3104"/>
      <c r="BH129" s="3104"/>
    </row>
  </sheetData>
  <sheetProtection formatCells="0" formatColumns="0" formatRows="0" insertColumns="0" insertRows="0" insertHyperlinks="0" deleteColumns="0" deleteRows="0" selectLockedCells="1"/>
  <mergeCells count="501">
    <mergeCell ref="A1:U1"/>
    <mergeCell ref="A2:N2"/>
    <mergeCell ref="AU3:BH3"/>
    <mergeCell ref="A4:O4"/>
    <mergeCell ref="P4:X5"/>
    <mergeCell ref="Y4:AG5"/>
    <mergeCell ref="AH4:AP5"/>
    <mergeCell ref="AQ4:BH4"/>
    <mergeCell ref="A5:M5"/>
    <mergeCell ref="AQ5:AY5"/>
    <mergeCell ref="AZ5:BH5"/>
    <mergeCell ref="B6:N6"/>
    <mergeCell ref="P6:W6"/>
    <mergeCell ref="Y6:AF6"/>
    <mergeCell ref="AH6:AO6"/>
    <mergeCell ref="AQ6:AX6"/>
    <mergeCell ref="AZ6:BG6"/>
    <mergeCell ref="B7:N7"/>
    <mergeCell ref="P7:W7"/>
    <mergeCell ref="Y7:AF7"/>
    <mergeCell ref="AH7:AO7"/>
    <mergeCell ref="AQ7:AX7"/>
    <mergeCell ref="AZ7:BG7"/>
    <mergeCell ref="B8:N8"/>
    <mergeCell ref="P8:W8"/>
    <mergeCell ref="Y8:AF8"/>
    <mergeCell ref="AH8:AO8"/>
    <mergeCell ref="AQ8:AX8"/>
    <mergeCell ref="AZ8:BG8"/>
    <mergeCell ref="B9:N9"/>
    <mergeCell ref="P9:W9"/>
    <mergeCell ref="Y9:AF9"/>
    <mergeCell ref="AH9:AO9"/>
    <mergeCell ref="AQ9:AX9"/>
    <mergeCell ref="AZ9:BG9"/>
    <mergeCell ref="A11:M11"/>
    <mergeCell ref="AU12:BH12"/>
    <mergeCell ref="A13:O13"/>
    <mergeCell ref="P13:X14"/>
    <mergeCell ref="Y13:AG14"/>
    <mergeCell ref="AH13:AP14"/>
    <mergeCell ref="AQ13:BH13"/>
    <mergeCell ref="A14:M14"/>
    <mergeCell ref="AQ14:AY14"/>
    <mergeCell ref="AZ14:BH14"/>
    <mergeCell ref="B15:N15"/>
    <mergeCell ref="P15:W15"/>
    <mergeCell ref="Y15:AF15"/>
    <mergeCell ref="AH15:AO15"/>
    <mergeCell ref="AQ15:AX15"/>
    <mergeCell ref="AZ15:BG15"/>
    <mergeCell ref="B16:N16"/>
    <mergeCell ref="P16:W16"/>
    <mergeCell ref="Y16:AF16"/>
    <mergeCell ref="AH16:AO16"/>
    <mergeCell ref="AQ16:AX16"/>
    <mergeCell ref="AZ16:BG16"/>
    <mergeCell ref="B17:N17"/>
    <mergeCell ref="P17:W17"/>
    <mergeCell ref="Y17:AF17"/>
    <mergeCell ref="AH17:AO17"/>
    <mergeCell ref="AQ17:AX17"/>
    <mergeCell ref="AZ17:BG17"/>
    <mergeCell ref="B18:N18"/>
    <mergeCell ref="P18:W18"/>
    <mergeCell ref="Y18:AF18"/>
    <mergeCell ref="AH18:AO18"/>
    <mergeCell ref="AQ18:AX18"/>
    <mergeCell ref="AZ18:BG18"/>
    <mergeCell ref="B19:N19"/>
    <mergeCell ref="P19:W19"/>
    <mergeCell ref="Y19:AF19"/>
    <mergeCell ref="AH19:AO19"/>
    <mergeCell ref="AQ19:AX19"/>
    <mergeCell ref="AZ19:BG19"/>
    <mergeCell ref="B20:N20"/>
    <mergeCell ref="P20:W20"/>
    <mergeCell ref="Y20:AF20"/>
    <mergeCell ref="AH20:AO20"/>
    <mergeCell ref="AQ20:AX20"/>
    <mergeCell ref="AZ20:BG20"/>
    <mergeCell ref="B21:N21"/>
    <mergeCell ref="P21:W21"/>
    <mergeCell ref="Y21:AF21"/>
    <mergeCell ref="AH21:AO21"/>
    <mergeCell ref="AQ21:AX21"/>
    <mergeCell ref="AZ21:BG21"/>
    <mergeCell ref="B22:N22"/>
    <mergeCell ref="P22:W22"/>
    <mergeCell ref="Y22:AF22"/>
    <mergeCell ref="AH22:AO22"/>
    <mergeCell ref="AQ22:AX22"/>
    <mergeCell ref="AZ22:BG22"/>
    <mergeCell ref="B23:N23"/>
    <mergeCell ref="P23:W23"/>
    <mergeCell ref="Y23:AF23"/>
    <mergeCell ref="AH23:AO23"/>
    <mergeCell ref="AQ23:AX23"/>
    <mergeCell ref="AZ23:BG23"/>
    <mergeCell ref="B24:N24"/>
    <mergeCell ref="P24:W24"/>
    <mergeCell ref="Y24:AF24"/>
    <mergeCell ref="AH24:AO24"/>
    <mergeCell ref="AQ24:AX24"/>
    <mergeCell ref="AZ24:BG24"/>
    <mergeCell ref="B25:N25"/>
    <mergeCell ref="P25:W25"/>
    <mergeCell ref="Y25:AF25"/>
    <mergeCell ref="AH25:AO25"/>
    <mergeCell ref="AQ25:AX25"/>
    <mergeCell ref="AZ25:BG25"/>
    <mergeCell ref="B26:N26"/>
    <mergeCell ref="P26:W26"/>
    <mergeCell ref="Y26:AF26"/>
    <mergeCell ref="AH26:AO26"/>
    <mergeCell ref="AQ26:AX26"/>
    <mergeCell ref="AZ26:BG26"/>
    <mergeCell ref="B27:N27"/>
    <mergeCell ref="P27:W27"/>
    <mergeCell ref="Y27:AF27"/>
    <mergeCell ref="AH27:AO27"/>
    <mergeCell ref="AQ27:AX27"/>
    <mergeCell ref="AZ27:BG27"/>
    <mergeCell ref="B28:N28"/>
    <mergeCell ref="P28:W28"/>
    <mergeCell ref="Y28:AF28"/>
    <mergeCell ref="AH28:AO28"/>
    <mergeCell ref="AQ28:AX28"/>
    <mergeCell ref="AZ28:BG28"/>
    <mergeCell ref="B29:N29"/>
    <mergeCell ref="P29:W29"/>
    <mergeCell ref="Y29:AF29"/>
    <mergeCell ref="AH29:AO29"/>
    <mergeCell ref="AQ29:AX29"/>
    <mergeCell ref="AZ29:BG29"/>
    <mergeCell ref="B30:N30"/>
    <mergeCell ref="P30:W30"/>
    <mergeCell ref="Y30:AF30"/>
    <mergeCell ref="AH30:AO30"/>
    <mergeCell ref="AQ30:AX30"/>
    <mergeCell ref="AZ30:BG30"/>
    <mergeCell ref="B31:N31"/>
    <mergeCell ref="P31:W31"/>
    <mergeCell ref="Y31:AF31"/>
    <mergeCell ref="AH31:AO31"/>
    <mergeCell ref="AQ31:AX31"/>
    <mergeCell ref="AZ31:BG31"/>
    <mergeCell ref="B32:N32"/>
    <mergeCell ref="P32:W32"/>
    <mergeCell ref="Y32:AF32"/>
    <mergeCell ref="AH32:AO32"/>
    <mergeCell ref="AQ32:AX32"/>
    <mergeCell ref="AZ32:BG32"/>
    <mergeCell ref="A34:T34"/>
    <mergeCell ref="AR35:BH35"/>
    <mergeCell ref="A36:L37"/>
    <mergeCell ref="M36:U37"/>
    <mergeCell ref="V36:AS36"/>
    <mergeCell ref="AT36:BH36"/>
    <mergeCell ref="V37:AC37"/>
    <mergeCell ref="AD37:AK37"/>
    <mergeCell ref="AL37:AS37"/>
    <mergeCell ref="AT37:BA37"/>
    <mergeCell ref="BB37:BH37"/>
    <mergeCell ref="A38:B39"/>
    <mergeCell ref="D38:K38"/>
    <mergeCell ref="M38:U38"/>
    <mergeCell ref="V38:AC38"/>
    <mergeCell ref="AD38:AK38"/>
    <mergeCell ref="AL38:AS38"/>
    <mergeCell ref="AT38:BA38"/>
    <mergeCell ref="BB38:BH38"/>
    <mergeCell ref="C39:L39"/>
    <mergeCell ref="M39:U39"/>
    <mergeCell ref="V39:AC39"/>
    <mergeCell ref="AD39:AK39"/>
    <mergeCell ref="AL39:AS39"/>
    <mergeCell ref="AT39:BA39"/>
    <mergeCell ref="BB39:BH39"/>
    <mergeCell ref="B40:K40"/>
    <mergeCell ref="M40:U40"/>
    <mergeCell ref="V40:AC40"/>
    <mergeCell ref="AD40:AK40"/>
    <mergeCell ref="AL40:AS40"/>
    <mergeCell ref="AT40:BA40"/>
    <mergeCell ref="BB40:BH40"/>
    <mergeCell ref="B41:K41"/>
    <mergeCell ref="M41:U41"/>
    <mergeCell ref="V41:AC41"/>
    <mergeCell ref="AD41:AK41"/>
    <mergeCell ref="AL41:AS41"/>
    <mergeCell ref="AT41:BA41"/>
    <mergeCell ref="BB41:BH41"/>
    <mergeCell ref="B42:K42"/>
    <mergeCell ref="M42:U42"/>
    <mergeCell ref="V42:AC42"/>
    <mergeCell ref="AD42:AK42"/>
    <mergeCell ref="AL42:AS42"/>
    <mergeCell ref="AT42:BA42"/>
    <mergeCell ref="BB42:BH42"/>
    <mergeCell ref="A44:N44"/>
    <mergeCell ref="A46:L46"/>
    <mergeCell ref="M46:V46"/>
    <mergeCell ref="X46:AE46"/>
    <mergeCell ref="AH46:AM46"/>
    <mergeCell ref="AP46:AW46"/>
    <mergeCell ref="AY46:BG46"/>
    <mergeCell ref="B47:K48"/>
    <mergeCell ref="M47:S47"/>
    <mergeCell ref="T47:V47"/>
    <mergeCell ref="W47:AE48"/>
    <mergeCell ref="AG47:AJ48"/>
    <mergeCell ref="AK47:AN48"/>
    <mergeCell ref="AP47:AW48"/>
    <mergeCell ref="M48:S48"/>
    <mergeCell ref="T48:V48"/>
    <mergeCell ref="B49:K50"/>
    <mergeCell ref="M49:S49"/>
    <mergeCell ref="T49:V49"/>
    <mergeCell ref="W49:AE50"/>
    <mergeCell ref="AG49:AJ50"/>
    <mergeCell ref="AK49:AM50"/>
    <mergeCell ref="AP49:AW50"/>
    <mergeCell ref="M50:S50"/>
    <mergeCell ref="T50:V50"/>
    <mergeCell ref="B51:K52"/>
    <mergeCell ref="M51:S51"/>
    <mergeCell ref="T51:V51"/>
    <mergeCell ref="W51:AE51"/>
    <mergeCell ref="AG51:AJ52"/>
    <mergeCell ref="AK51:AM52"/>
    <mergeCell ref="AP51:AW52"/>
    <mergeCell ref="AZ51:BG52"/>
    <mergeCell ref="M52:S52"/>
    <mergeCell ref="T52:V52"/>
    <mergeCell ref="X52:AE52"/>
    <mergeCell ref="A53:D58"/>
    <mergeCell ref="F53:K54"/>
    <mergeCell ref="M53:S53"/>
    <mergeCell ref="T53:V53"/>
    <mergeCell ref="W53:AE54"/>
    <mergeCell ref="AG53:AJ54"/>
    <mergeCell ref="AK53:AM54"/>
    <mergeCell ref="AP53:AW54"/>
    <mergeCell ref="AZ53:BG54"/>
    <mergeCell ref="M54:S54"/>
    <mergeCell ref="T54:V54"/>
    <mergeCell ref="F55:K56"/>
    <mergeCell ref="M55:S55"/>
    <mergeCell ref="T55:V55"/>
    <mergeCell ref="W55:AE56"/>
    <mergeCell ref="AG55:AJ56"/>
    <mergeCell ref="AK55:AM56"/>
    <mergeCell ref="AP55:AW56"/>
    <mergeCell ref="AZ55:BG56"/>
    <mergeCell ref="M56:S56"/>
    <mergeCell ref="T56:V56"/>
    <mergeCell ref="F57:K58"/>
    <mergeCell ref="M57:S57"/>
    <mergeCell ref="T57:V57"/>
    <mergeCell ref="W57:AE58"/>
    <mergeCell ref="AG57:AJ58"/>
    <mergeCell ref="AK57:AM58"/>
    <mergeCell ref="AP57:AW58"/>
    <mergeCell ref="AZ57:BG58"/>
    <mergeCell ref="M58:S58"/>
    <mergeCell ref="T58:V58"/>
    <mergeCell ref="A59:D68"/>
    <mergeCell ref="F59:K60"/>
    <mergeCell ref="M59:S59"/>
    <mergeCell ref="T59:V59"/>
    <mergeCell ref="W59:AE60"/>
    <mergeCell ref="AG59:AJ60"/>
    <mergeCell ref="AK59:AM60"/>
    <mergeCell ref="AP59:AW60"/>
    <mergeCell ref="M60:S60"/>
    <mergeCell ref="T60:V60"/>
    <mergeCell ref="F61:K62"/>
    <mergeCell ref="M61:S61"/>
    <mergeCell ref="T61:V61"/>
    <mergeCell ref="W61:AE62"/>
    <mergeCell ref="AG61:AJ62"/>
    <mergeCell ref="AK61:AM62"/>
    <mergeCell ref="AP61:AW62"/>
    <mergeCell ref="M62:S62"/>
    <mergeCell ref="T62:V62"/>
    <mergeCell ref="F63:K64"/>
    <mergeCell ref="M63:S63"/>
    <mergeCell ref="T63:V63"/>
    <mergeCell ref="W63:AA64"/>
    <mergeCell ref="AB63:AC64"/>
    <mergeCell ref="AD63:AF64"/>
    <mergeCell ref="AG63:AJ64"/>
    <mergeCell ref="AK63:AM64"/>
    <mergeCell ref="AP63:AW64"/>
    <mergeCell ref="M64:S64"/>
    <mergeCell ref="T64:V64"/>
    <mergeCell ref="F65:K66"/>
    <mergeCell ref="M65:S65"/>
    <mergeCell ref="T65:V65"/>
    <mergeCell ref="W65:AE66"/>
    <mergeCell ref="AG65:AJ66"/>
    <mergeCell ref="AK65:AM66"/>
    <mergeCell ref="AP65:AW66"/>
    <mergeCell ref="M66:S66"/>
    <mergeCell ref="T66:V66"/>
    <mergeCell ref="F67:K68"/>
    <mergeCell ref="M67:S67"/>
    <mergeCell ref="T67:V67"/>
    <mergeCell ref="W67:AE68"/>
    <mergeCell ref="AG67:AJ68"/>
    <mergeCell ref="AK67:AM68"/>
    <mergeCell ref="AP67:AW68"/>
    <mergeCell ref="M68:S68"/>
    <mergeCell ref="T68:V68"/>
    <mergeCell ref="B69:K70"/>
    <mergeCell ref="N69:U70"/>
    <mergeCell ref="X69:AE69"/>
    <mergeCell ref="AG69:AN70"/>
    <mergeCell ref="AP69:AW70"/>
    <mergeCell ref="X70:AE70"/>
    <mergeCell ref="A71:C71"/>
    <mergeCell ref="D71:BH71"/>
    <mergeCell ref="D72:BG72"/>
    <mergeCell ref="A73:R73"/>
    <mergeCell ref="AR74:BH74"/>
    <mergeCell ref="A75:L77"/>
    <mergeCell ref="M75:AB75"/>
    <mergeCell ref="AC75:AR75"/>
    <mergeCell ref="AS75:BH75"/>
    <mergeCell ref="M76:P76"/>
    <mergeCell ref="Q76:X76"/>
    <mergeCell ref="Y76:AB76"/>
    <mergeCell ref="AC76:AF76"/>
    <mergeCell ref="AG76:AN76"/>
    <mergeCell ref="AO76:AR76"/>
    <mergeCell ref="AS76:AV76"/>
    <mergeCell ref="AW76:BD76"/>
    <mergeCell ref="BE76:BH76"/>
    <mergeCell ref="M77:P77"/>
    <mergeCell ref="Q77:X77"/>
    <mergeCell ref="Y77:AB77"/>
    <mergeCell ref="AC77:AF77"/>
    <mergeCell ref="AG77:AN77"/>
    <mergeCell ref="AO77:AR77"/>
    <mergeCell ref="AS77:AV77"/>
    <mergeCell ref="AW77:BD77"/>
    <mergeCell ref="BE77:BH77"/>
    <mergeCell ref="BE78:BH78"/>
    <mergeCell ref="B79:K79"/>
    <mergeCell ref="M79:P79"/>
    <mergeCell ref="Q79:X79"/>
    <mergeCell ref="Y79:AB79"/>
    <mergeCell ref="AC79:AF79"/>
    <mergeCell ref="AG79:AN79"/>
    <mergeCell ref="AO79:AR79"/>
    <mergeCell ref="AS79:AV79"/>
    <mergeCell ref="AW79:BD79"/>
    <mergeCell ref="BE79:BH79"/>
    <mergeCell ref="B78:K78"/>
    <mergeCell ref="M78:P78"/>
    <mergeCell ref="Q78:X78"/>
    <mergeCell ref="Y78:AB78"/>
    <mergeCell ref="AC78:AF78"/>
    <mergeCell ref="AG78:AN78"/>
    <mergeCell ref="AO78:AR78"/>
    <mergeCell ref="AS78:AV78"/>
    <mergeCell ref="AW78:BD78"/>
    <mergeCell ref="B80:K80"/>
    <mergeCell ref="M80:P80"/>
    <mergeCell ref="Q80:X80"/>
    <mergeCell ref="Y80:AB80"/>
    <mergeCell ref="AC80:AF80"/>
    <mergeCell ref="AG80:AN80"/>
    <mergeCell ref="AO80:AR80"/>
    <mergeCell ref="AS80:AV80"/>
    <mergeCell ref="AW80:BD80"/>
    <mergeCell ref="BE80:BH80"/>
    <mergeCell ref="A81:C84"/>
    <mergeCell ref="E81:K81"/>
    <mergeCell ref="M81:P81"/>
    <mergeCell ref="Q81:X81"/>
    <mergeCell ref="Y81:AB81"/>
    <mergeCell ref="AC81:AF81"/>
    <mergeCell ref="AG81:AN81"/>
    <mergeCell ref="AO81:AR81"/>
    <mergeCell ref="AS81:AV81"/>
    <mergeCell ref="AW81:BD81"/>
    <mergeCell ref="BE81:BH81"/>
    <mergeCell ref="E82:K82"/>
    <mergeCell ref="M82:P82"/>
    <mergeCell ref="Q82:X82"/>
    <mergeCell ref="Y82:AB82"/>
    <mergeCell ref="AC82:AF82"/>
    <mergeCell ref="AG82:AN82"/>
    <mergeCell ref="AO82:AR82"/>
    <mergeCell ref="AS82:AV82"/>
    <mergeCell ref="AW82:BD82"/>
    <mergeCell ref="BE82:BH82"/>
    <mergeCell ref="E83:K83"/>
    <mergeCell ref="M83:P83"/>
    <mergeCell ref="Q83:X83"/>
    <mergeCell ref="Y83:AB83"/>
    <mergeCell ref="AC83:AF83"/>
    <mergeCell ref="AG83:AN83"/>
    <mergeCell ref="AO83:AR83"/>
    <mergeCell ref="AS83:AV83"/>
    <mergeCell ref="AW83:BD83"/>
    <mergeCell ref="BE83:BH83"/>
    <mergeCell ref="E84:K84"/>
    <mergeCell ref="M84:P84"/>
    <mergeCell ref="Q84:X84"/>
    <mergeCell ref="Y84:AB84"/>
    <mergeCell ref="AC84:AF84"/>
    <mergeCell ref="AG84:AN84"/>
    <mergeCell ref="AO84:AR84"/>
    <mergeCell ref="AS84:AV84"/>
    <mergeCell ref="AW84:BD84"/>
    <mergeCell ref="BE84:BH84"/>
    <mergeCell ref="A85:C90"/>
    <mergeCell ref="E85:K85"/>
    <mergeCell ref="M85:P85"/>
    <mergeCell ref="Q85:X85"/>
    <mergeCell ref="Y85:AB85"/>
    <mergeCell ref="AC85:AF85"/>
    <mergeCell ref="AG85:AN85"/>
    <mergeCell ref="AO85:AR85"/>
    <mergeCell ref="AS85:AV85"/>
    <mergeCell ref="E87:K87"/>
    <mergeCell ref="M87:P87"/>
    <mergeCell ref="Q87:X87"/>
    <mergeCell ref="Y87:AB87"/>
    <mergeCell ref="AC87:AF87"/>
    <mergeCell ref="AG87:AN87"/>
    <mergeCell ref="AO87:AR87"/>
    <mergeCell ref="AS87:AV87"/>
    <mergeCell ref="E89:K89"/>
    <mergeCell ref="M89:P89"/>
    <mergeCell ref="Q89:X89"/>
    <mergeCell ref="Y89:AB89"/>
    <mergeCell ref="AC89:AF89"/>
    <mergeCell ref="AG89:AN89"/>
    <mergeCell ref="AO89:AR89"/>
    <mergeCell ref="AW85:BD85"/>
    <mergeCell ref="BE85:BH85"/>
    <mergeCell ref="E86:K86"/>
    <mergeCell ref="M86:P86"/>
    <mergeCell ref="Q86:X86"/>
    <mergeCell ref="Y86:AB86"/>
    <mergeCell ref="AC86:AF86"/>
    <mergeCell ref="AG86:AN86"/>
    <mergeCell ref="AO86:AR86"/>
    <mergeCell ref="AS86:AV86"/>
    <mergeCell ref="AW86:BD86"/>
    <mergeCell ref="BE86:BH86"/>
    <mergeCell ref="AW87:BD87"/>
    <mergeCell ref="BE87:BH87"/>
    <mergeCell ref="E88:K88"/>
    <mergeCell ref="M88:P88"/>
    <mergeCell ref="Q88:X88"/>
    <mergeCell ref="Y88:AB88"/>
    <mergeCell ref="AC88:AF88"/>
    <mergeCell ref="AG88:AN88"/>
    <mergeCell ref="AO88:AR88"/>
    <mergeCell ref="AS88:AV88"/>
    <mergeCell ref="AW88:BD88"/>
    <mergeCell ref="BE88:BH88"/>
    <mergeCell ref="AS89:AV89"/>
    <mergeCell ref="AW89:BD89"/>
    <mergeCell ref="BE89:BH89"/>
    <mergeCell ref="E90:K90"/>
    <mergeCell ref="M90:P90"/>
    <mergeCell ref="Q90:X90"/>
    <mergeCell ref="Y90:AB90"/>
    <mergeCell ref="AC90:AF90"/>
    <mergeCell ref="AG90:AN90"/>
    <mergeCell ref="AO90:AR90"/>
    <mergeCell ref="AS90:AV90"/>
    <mergeCell ref="AW90:BD90"/>
    <mergeCell ref="BE90:BH90"/>
    <mergeCell ref="A93:W93"/>
    <mergeCell ref="BE91:BH91"/>
    <mergeCell ref="B92:K92"/>
    <mergeCell ref="M92:P92"/>
    <mergeCell ref="Q92:X92"/>
    <mergeCell ref="Y92:AB92"/>
    <mergeCell ref="AC92:AF92"/>
    <mergeCell ref="AG92:AN92"/>
    <mergeCell ref="AO92:AR92"/>
    <mergeCell ref="AS92:AV92"/>
    <mergeCell ref="AW92:BD92"/>
    <mergeCell ref="BE92:BH92"/>
    <mergeCell ref="B91:K91"/>
    <mergeCell ref="M91:P91"/>
    <mergeCell ref="Q91:X91"/>
    <mergeCell ref="Y91:AB91"/>
    <mergeCell ref="AC91:AF91"/>
    <mergeCell ref="AG91:AN91"/>
    <mergeCell ref="AO91:AR91"/>
    <mergeCell ref="AS91:AV91"/>
    <mergeCell ref="AW91:BD91"/>
  </mergeCells>
  <phoneticPr fontId="155"/>
  <conditionalFormatting sqref="A113 A114 A115 A119 A120 A121 A123 A124 A125 A127 A128 A129 B113 B114 B115 B119 B120 B121 B123 B124 B125 B127 B128 B129 C113 C114 C115 C119 C120 C121 C123 C124 C127 C128 C129 D113 D114 D115 D119 D120 D121 D123 D124 D127 D128 D129 E113 E114 E115 E119 E120 E121 E123 E124 E127 E128 E129 F113 F114 F119 F120 F121 F123 F124 F127 F128 F129 G113 G114 G119 G120 G123 G124 G127 G128 G129 H113 H114 H119 H120 H123 H124 H127 H128 H129 I113 I114 I119 I120 I123 I124 I127 I128 I129 J113 J114 J119 J120 J123 J124 J127 J128 J129 K127 K128 K129 L127 L128 L129 M127 M128 M129 N127 N128 N129 O127 O128 O129 P6 P7 P8 P16 P19 P20 P21 P22 P23 P24 P25 P26 P27 P28 P29 P30 P31 P127 P128 P129 Q127 Q128 Q129 R127 R128 R129 S127 S128 S129 T47 T48 T49 T50 T51 T52 T53 T54 T55 T56 T57 T58 T59 T60 T61 T62 T63 T64 T65 T66 T67 T68 T127 T128 T129 U127 U128 U129 V127 V128 V129 W47 W49 W51 W53 W55 W57 W59 W61 W65 W67 W127 W128 W129 X127 X128 X129 Y21 Y23 Y25 Y28 Y29 Y127 Y128 Y129 Z127 Z128 Z129 AA127 AA128 AA129 AB127 AB128 AB129 AC78 AC79 AC80 AC81 AC82 AC83 AC85 AC86 AC87 AC88 AC89 AC91 AC127 AC128 AC129 AD63 AD127 AD128 AD129 AE127 AE128 AE129 AF127 AF128 AF129 AG47 AG49 AG51 AG53 AG55 AG57 AG59 AG61 AG63 AG65 AG67 AG78 AG79 AG80 AG81 AG82 AG83 AG85 AG86 AG87 AG88 AG89 AG91 AG127 AG128 AG129 AH127 AH128 AH129 AI127 AI128 AI129 AJ127 AJ128 AJ129 AK127 AK128 AK129 AL127 AL128 AL129 AM127 AM128 AM129 AN127 AN128 AN129 AO127 AO128 AO129 AP127 AP128 AP129 AQ127 AQ128 AQ129 AR127 AR128 AR129 AS127 AS128 AS129 AT127 AT128 AT129 AU127 AU128 AU129 AV127 AV128 AV129 AW127 AW128 AW129 AX127 AX128 AX129 AY127 AY128 AY129 AZ127 AZ128 AZ129 BA127 BA128 BA129 BB127 BB128 BB129 BC127 BC128 BC129 BD127 BD128 BD129 BE127 BE128 BE129 BF127 BF128 BF129 BG127 BG128 BG129 BH127 BH128 BH129">
    <cfRule type="expression" dxfId="6" priority="1">
      <formula>AND(入力色表示=1,NOT(_xlfn.ISFORMULA(A113)))</formula>
    </cfRule>
  </conditionalFormatting>
  <dataValidations count="47">
    <dataValidation allowBlank="1" showInputMessage="1" promptTitle="手入力セル" prompt="反映先：報告_貸付P23-25 P9,AH6&#10;他の帳票：なし" sqref="P6"/>
    <dataValidation allowBlank="1" showInputMessage="1" promptTitle="手入力セル" prompt="反映先：報告_貸付P23-25 P9,AH7&#10;他の帳票：なし" sqref="P7"/>
    <dataValidation allowBlank="1" showInputMessage="1" promptTitle="手入力セル" prompt="反映先：報告_貸付P23-25 P9,AH8&#10;他の帳票：なし" sqref="P8"/>
    <dataValidation allowBlank="1" showInputMessage="1" promptTitle="手入力セル" prompt="反映先：報告_貸付P23-25 P32,AH16&#10;他の帳票：なし" sqref="P16"/>
    <dataValidation allowBlank="1" showInputMessage="1" promptTitle="手入力セル" prompt="反映先：報告_貸付P23-25 P32,AH19&#10;他の帳票：なし" sqref="P19"/>
    <dataValidation allowBlank="1" showInputMessage="1" promptTitle="手入力セル" prompt="反映先：報告_貸付P23-25 P32,AH20&#10;他の帳票：なし" sqref="P20"/>
    <dataValidation allowBlank="1" showInputMessage="1" promptTitle="手入力セル" prompt="反映先：報告_貸付P23-25 P32,AH21&#10;他の帳票：なし" sqref="P21"/>
    <dataValidation allowBlank="1" showInputMessage="1" promptTitle="手入力セル" prompt="反映先：報告_貸付P23-25 P32,AH22&#10;他の帳票：なし" sqref="P22"/>
    <dataValidation allowBlank="1" showInputMessage="1" promptTitle="手入力セル" prompt="反映先：報告_貸付P23-25 P32,AH23&#10;他の帳票：なし" sqref="P23"/>
    <dataValidation allowBlank="1" showInputMessage="1" promptTitle="手入力セル" prompt="反映先：報告_貸付P23-25 P32,AH24&#10;他の帳票：なし" sqref="P24"/>
    <dataValidation allowBlank="1" showInputMessage="1" promptTitle="手入力セル" prompt="反映先：報告_貸付P23-25 P32,AH25&#10;他の帳票：なし" sqref="P25"/>
    <dataValidation allowBlank="1" showInputMessage="1" promptTitle="手入力セル" prompt="反映先：報告_貸付P23-25 P32,AH26&#10;他の帳票：なし" sqref="P26"/>
    <dataValidation allowBlank="1" showInputMessage="1" promptTitle="手入力セル" prompt="反映先：報告_貸付P23-25 P32,AH27&#10;他の帳票：なし" sqref="P27"/>
    <dataValidation allowBlank="1" showInputMessage="1" promptTitle="手入力セル" prompt="反映先：報告_貸付P23-25 P32,AH28&#10;他の帳票：なし" sqref="P28"/>
    <dataValidation allowBlank="1" showInputMessage="1" promptTitle="手入力セル" prompt="反映先：報告_貸付P23-25 P32,AH29&#10;他の帳票：なし" sqref="P29"/>
    <dataValidation allowBlank="1" showInputMessage="1" promptTitle="手入力セル" prompt="反映先：報告_貸付P23-25 P32,AH30&#10;他の帳票：なし" sqref="P30"/>
    <dataValidation allowBlank="1" showInputMessage="1" promptTitle="手入力セル" prompt="反映先：報告_貸付P23-25 P32,AH31&#10;他の帳票：なし" sqref="P31"/>
    <dataValidation allowBlank="1" showInputMessage="1" promptTitle="手入力セル" prompt="反映先：なし（このセルのみ）" sqref="T47 T48 T49 T50 T51 T52 T53 T54 T55 T56 T57 T58 T59 T60 T61 T62 T63 T64 T65 T66 T67 T68 W47 W49 W51 W53 W55 W57 W59 W61 W65 W67 AD63 AG47 AG49 AG51 AG53 AG55 AG57 AG59 AG61 AG63 AG65 AG67"/>
    <dataValidation allowBlank="1" showInputMessage="1" promptTitle="手入力セル" prompt="反映先：報告_貸付P23-25 Y32,AH21,AZ21&#10;他の帳票：なし" sqref="Y21"/>
    <dataValidation allowBlank="1" showInputMessage="1" promptTitle="手入力セル" prompt="反映先：報告_貸付P23-25 Y32,AH23,AZ23&#10;他の帳票：なし" sqref="Y23"/>
    <dataValidation allowBlank="1" showInputMessage="1" promptTitle="手入力セル" prompt="反映先：報告_貸付P23-25 Y32,AH25,AZ25&#10;他の帳票：なし" sqref="Y25"/>
    <dataValidation allowBlank="1" showInputMessage="1" promptTitle="手入力セル" prompt="反映先：報告_貸付P23-25 Y32,AH28,AZ28&#10;他の帳票：なし" sqref="Y28"/>
    <dataValidation allowBlank="1" showInputMessage="1" promptTitle="手入力セル" prompt="反映先：報告_貸付P23-25 Y32,AH29,AZ29&#10;他の帳票：なし" sqref="Y29"/>
    <dataValidation allowBlank="1" showInputMessage="1" promptTitle="手入力セル" prompt="反映先：報告_貸付P23-25 AC92,AS78&#10;他の帳票：なし" sqref="AC78"/>
    <dataValidation allowBlank="1" showInputMessage="1" promptTitle="手入力セル" prompt="反映先：報告_貸付P23-25 AC92,AS79&#10;他の帳票：なし" sqref="AC79"/>
    <dataValidation allowBlank="1" showInputMessage="1" promptTitle="手入力セル" prompt="反映先：報告_貸付P23-25 AC92,AS80&#10;他の帳票：なし" sqref="AC80"/>
    <dataValidation allowBlank="1" showInputMessage="1" promptTitle="手入力セル" prompt="反映先：報告_貸付P23-25 AC84,AS81&#10;他の帳票：なし" sqref="AC81"/>
    <dataValidation allowBlank="1" showInputMessage="1" promptTitle="手入力セル" prompt="反映先：報告_貸付P23-25 AC84,AS82&#10;他の帳票：なし" sqref="AC82"/>
    <dataValidation allowBlank="1" showInputMessage="1" promptTitle="手入力セル" prompt="反映先：報告_貸付P23-25 AC84,AS83&#10;他の帳票：なし" sqref="AC83"/>
    <dataValidation allowBlank="1" showInputMessage="1" promptTitle="手入力セル" prompt="反映先：報告_貸付P23-25 AC90,AS85&#10;他の帳票：なし" sqref="AC85"/>
    <dataValidation allowBlank="1" showInputMessage="1" promptTitle="手入力セル" prompt="反映先：報告_貸付P23-25 AC90,AS86&#10;他の帳票：なし" sqref="AC86"/>
    <dataValidation allowBlank="1" showInputMessage="1" promptTitle="手入力セル" prompt="反映先：報告_貸付P23-25 AC90,AS87&#10;他の帳票：なし" sqref="AC87"/>
    <dataValidation allowBlank="1" showInputMessage="1" promptTitle="手入力セル" prompt="反映先：報告_貸付P23-25 AC90,AS88&#10;他の帳票：なし" sqref="AC88"/>
    <dataValidation allowBlank="1" showInputMessage="1" promptTitle="手入力セル" prompt="反映先：報告_貸付P23-25 AC90,AS89&#10;他の帳票：なし" sqref="AC89"/>
    <dataValidation allowBlank="1" showInputMessage="1" promptTitle="手入力セル" prompt="反映先：報告_貸付P23-25 AC92,AS91&#10;他の帳票：なし" sqref="AC91"/>
    <dataValidation allowBlank="1" showInputMessage="1" promptTitle="手入力セル" prompt="反映先：報告_貸付P23-25 AG92,AO78,AW78…&#10;他の帳票：貸付_入力" sqref="AG78"/>
    <dataValidation allowBlank="1" showInputMessage="1" promptTitle="手入力セル" prompt="反映先：報告_貸付P23-25 AG92,AL41,AO79…&#10;他の帳票：貸付_入力" sqref="AG79"/>
    <dataValidation allowBlank="1" showInputMessage="1" promptTitle="手入力セル" prompt="反映先：報告_貸付P23-25 AG92,AL41,AO80…&#10;他の帳票：貸付_入力" sqref="AG80"/>
    <dataValidation allowBlank="1" showInputMessage="1" promptTitle="手入力セル" prompt="反映先：報告_貸付P23-25 AG84,AO81,AW81…&#10;他の帳票：貸付_入力" sqref="AG81"/>
    <dataValidation allowBlank="1" showInputMessage="1" promptTitle="手入力セル" prompt="反映先：報告_貸付P23-25 AG84,AO82,AW82…&#10;他の帳票：貸付_入力" sqref="AG82"/>
    <dataValidation allowBlank="1" showInputMessage="1" promptTitle="手入力セル" prompt="反映先：報告_貸付P23-25 AG84,AO83,AW83…&#10;他の帳票：貸付_入力" sqref="AG83"/>
    <dataValidation allowBlank="1" showInputMessage="1" promptTitle="手入力セル" prompt="反映先：報告_貸付P23-25 AG90,AO85,AW85…&#10;他の帳票：貸付_入力" sqref="AG85"/>
    <dataValidation allowBlank="1" showInputMessage="1" promptTitle="手入力セル" prompt="反映先：報告_貸付P23-25 AG90,AO86,AW86…&#10;他の帳票：貸付_入力" sqref="AG86"/>
    <dataValidation allowBlank="1" showInputMessage="1" promptTitle="手入力セル" prompt="反映先：報告_貸付P23-25 AG90,AO87,AW87…&#10;他の帳票：貸付_入力" sqref="AG87"/>
    <dataValidation allowBlank="1" showInputMessage="1" promptTitle="手入力セル" prompt="反映先：報告_貸付P23-25 AG90,AO88,AW88…&#10;他の帳票：貸付_入力" sqref="AG88"/>
    <dataValidation allowBlank="1" showInputMessage="1" promptTitle="手入力セル" prompt="反映先：報告_貸付P23-25 AG90,AO89,AW89…&#10;他の帳票：貸付_入力" sqref="AG89"/>
    <dataValidation allowBlank="1" showInputMessage="1" promptTitle="手入力セル" prompt="反映先：報告_貸付P23-25 AG92,AO91,AW91&#10;他の帳票：貸付_入力" sqref="AG91"/>
  </dataValidations>
  <printOptions horizontalCentered="1"/>
  <pageMargins left="0.43333333333333302" right="0.196527777777778" top="0.78749999999999998" bottom="0.59027777777777801" header="0.511811023622047" footer="0.39374999999999999"/>
  <pageSetup paperSize="9" scale="88" firstPageNumber="23" orientation="portrait" useFirstPageNumber="1" horizontalDpi="300" verticalDpi="300"/>
  <headerFooter>
    <oddFooter>&amp;C&amp;"ＭＳ 明朝,Regular"&amp;12－ &amp;P －</oddFooter>
  </headerFooter>
  <rowBreaks count="3" manualBreakCount="3">
    <brk id="33" max="16383" man="1"/>
    <brk id="72" max="16383" man="1"/>
    <brk id="97" max="16383" man="1"/>
  </rowBreaks>
  <drawing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EB20B-9805-4264-A2E1-A49845F9DCAE}">
  <sheetPr codeName="Sheet20">
    <tabColor rgb="FFA6A6A6"/>
  </sheetPr>
  <dimension ref="A1:A188"/>
  <sheetViews>
    <sheetView zoomScaleNormal="100" zoomScalePageLayoutView="60" workbookViewId="0">
      <selection sqref="A1:G1"/>
    </sheetView>
  </sheetViews>
  <sheetFormatPr defaultColWidth="9" defaultRowHeight="13.2"/>
  <sheetData>
    <row r="1" ht="13.5" customHeight="1"/>
    <row r="2" ht="13.5" customHeight="1"/>
    <row r="3" ht="13.5" customHeight="1"/>
    <row r="4" ht="13.5" customHeight="1"/>
    <row r="5" ht="13.5" customHeight="1"/>
    <row r="6" ht="13.5" customHeight="1"/>
    <row r="7" ht="13.5" customHeight="1"/>
    <row r="8" ht="13.5" customHeight="1"/>
    <row r="9" ht="13.5" customHeight="1"/>
    <row r="10" ht="13.5" customHeight="1"/>
    <row r="11" ht="13.5" customHeight="1"/>
    <row r="12" ht="13.5" customHeight="1"/>
    <row r="13" ht="13.5" customHeight="1"/>
    <row r="14" ht="13.5" customHeight="1"/>
    <row r="15" ht="13.5" customHeight="1"/>
    <row r="16" ht="13.5" customHeight="1"/>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scale="95" firstPageNumber="26" orientation="portrait" useFirstPageNumber="1" horizontalDpi="300" verticalDpi="300"/>
  <headerFooter>
    <oddFooter>&amp;C&amp;"ＭＳ 明朝,Regular"－ &amp;P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6BB69-56E1-4396-8B61-EE990D2AB531}">
  <sheetPr codeName="Sheet21"/>
  <dimension ref="A1:IW188"/>
  <sheetViews>
    <sheetView zoomScaleNormal="100" zoomScalePageLayoutView="60" workbookViewId="0">
      <selection sqref="A1:G1"/>
    </sheetView>
  </sheetViews>
  <sheetFormatPr defaultColWidth="11.33203125" defaultRowHeight="13.2"/>
  <cols>
    <col min="1" max="1" width="12" style="582" customWidth="1"/>
    <col min="2" max="2" width="10.6640625" style="582" customWidth="1"/>
    <col min="3" max="4" width="11.33203125" style="582"/>
    <col min="5" max="5" width="12" style="582" customWidth="1"/>
    <col min="6" max="6" width="10.88671875" style="582" customWidth="1"/>
    <col min="7" max="7" width="12.21875" style="582" customWidth="1"/>
    <col min="8" max="8" width="12.33203125" style="582" customWidth="1"/>
    <col min="9" max="9" width="12.77734375" style="582" customWidth="1"/>
    <col min="10" max="10" width="2.44140625" style="582" customWidth="1"/>
    <col min="11" max="11" width="5" style="582" customWidth="1"/>
    <col min="12" max="12" width="13.88671875" style="582" customWidth="1"/>
    <col min="13" max="13" width="3.77734375" style="582" customWidth="1"/>
    <col min="14" max="14" width="4" style="582" customWidth="1"/>
    <col min="15" max="15" width="3.6640625" style="582" customWidth="1"/>
    <col min="16" max="257" width="11.33203125" style="582"/>
  </cols>
  <sheetData>
    <row r="1" spans="1:8" ht="18.75" customHeight="1">
      <c r="B1" s="583"/>
      <c r="D1" s="2386" t="s">
        <v>7</v>
      </c>
      <c r="E1" s="2386"/>
      <c r="F1" s="584"/>
      <c r="G1" s="583"/>
      <c r="H1" s="583"/>
    </row>
    <row r="2" spans="1:8" ht="19.5" customHeight="1">
      <c r="B2" s="583"/>
      <c r="D2" s="2387" t="s">
        <v>764</v>
      </c>
      <c r="E2" s="2387"/>
      <c r="F2" s="584"/>
      <c r="G2" s="583"/>
      <c r="H2" s="583"/>
    </row>
    <row r="3" spans="1:8" ht="12" customHeight="1">
      <c r="A3" s="585"/>
      <c r="B3" s="585"/>
      <c r="C3" s="586"/>
      <c r="D3" s="586"/>
      <c r="E3" s="585"/>
      <c r="F3" s="585"/>
      <c r="G3" s="2388" t="str">
        <f>"令和"&amp;IF((入力ガイド!$C$6+1)&gt;=10,MID("０１２３４５６７８９",INT((入力ガイド!$C$6+1)/10)+1,1),"")&amp;MID("０１２３４５６７８９",MOD((入力ガイド!$C$6+1),10)+1,1)&amp;"年３月３１日"&amp;"現在"</f>
        <v>令和８年３月３１日現在</v>
      </c>
      <c r="H3" s="2388"/>
    </row>
    <row r="4" spans="1:8" s="589" customFormat="1" ht="13.5" customHeight="1">
      <c r="A4" s="2389" t="s">
        <v>765</v>
      </c>
      <c r="B4" s="2389"/>
      <c r="C4" s="2389"/>
      <c r="D4" s="588" t="s">
        <v>455</v>
      </c>
      <c r="E4" s="2390" t="s">
        <v>766</v>
      </c>
      <c r="F4" s="2390"/>
      <c r="G4" s="2390"/>
      <c r="H4" s="587" t="s">
        <v>455</v>
      </c>
    </row>
    <row r="5" spans="1:8" ht="13.2" customHeight="1">
      <c r="A5" s="590"/>
      <c r="B5" s="591" t="s">
        <v>551</v>
      </c>
      <c r="C5" s="592" t="s">
        <v>551</v>
      </c>
      <c r="D5" s="593" t="s">
        <v>551</v>
      </c>
      <c r="E5" s="594"/>
      <c r="F5" s="591" t="s">
        <v>551</v>
      </c>
      <c r="G5" s="592" t="s">
        <v>551</v>
      </c>
      <c r="H5" s="595" t="s">
        <v>551</v>
      </c>
    </row>
    <row r="6" spans="1:8" ht="13.2" customHeight="1">
      <c r="A6" s="596" t="s">
        <v>767</v>
      </c>
      <c r="B6" s="597"/>
      <c r="C6" s="598"/>
      <c r="D6" s="599">
        <f>SUM(C7:C16)</f>
        <v>4035990451</v>
      </c>
      <c r="E6" s="600" t="s">
        <v>768</v>
      </c>
      <c r="F6" s="601"/>
      <c r="G6" s="602"/>
      <c r="H6" s="603">
        <f>SUM(G7:G11)</f>
        <v>78115256</v>
      </c>
    </row>
    <row r="7" spans="1:8" ht="13.2" customHeight="1">
      <c r="A7" s="604" t="s">
        <v>216</v>
      </c>
      <c r="B7" s="605"/>
      <c r="C7" s="606">
        <f>短期_附属明細表!M9</f>
        <v>3976508883</v>
      </c>
      <c r="D7" s="599"/>
      <c r="E7" s="607" t="s">
        <v>769</v>
      </c>
      <c r="F7" s="605"/>
      <c r="G7" s="601">
        <f>短期_附属明細表!G75</f>
        <v>41640951</v>
      </c>
      <c r="H7" s="603"/>
    </row>
    <row r="8" spans="1:8" ht="13.2" customHeight="1">
      <c r="A8" s="604" t="s">
        <v>234</v>
      </c>
      <c r="B8" s="605"/>
      <c r="C8" s="606">
        <f>短期_附属明細表!M16</f>
        <v>0</v>
      </c>
      <c r="D8" s="599"/>
      <c r="E8" s="607" t="s">
        <v>770</v>
      </c>
      <c r="F8" s="605"/>
      <c r="G8" s="601">
        <f>短期_附属明細表!G81</f>
        <v>6050</v>
      </c>
      <c r="H8" s="603"/>
    </row>
    <row r="9" spans="1:8" ht="13.2" customHeight="1">
      <c r="A9" s="604" t="s">
        <v>771</v>
      </c>
      <c r="B9" s="605"/>
      <c r="C9" s="606">
        <f>短期_附属明細表!M25</f>
        <v>0</v>
      </c>
      <c r="D9" s="599"/>
      <c r="E9" s="607" t="s">
        <v>772</v>
      </c>
      <c r="F9" s="605"/>
      <c r="G9" s="601">
        <f>短期_附属明細表!R92</f>
        <v>36468255</v>
      </c>
      <c r="H9" s="603"/>
    </row>
    <row r="10" spans="1:8" ht="13.2" customHeight="1">
      <c r="A10" s="604" t="s">
        <v>773</v>
      </c>
      <c r="B10" s="605"/>
      <c r="C10" s="606">
        <f>短期_附属明細表!G32</f>
        <v>0</v>
      </c>
      <c r="D10" s="599"/>
      <c r="F10" s="608"/>
      <c r="H10" s="603"/>
    </row>
    <row r="11" spans="1:8" ht="13.2" customHeight="1">
      <c r="A11" s="604" t="s">
        <v>774</v>
      </c>
      <c r="B11" s="605"/>
      <c r="C11" s="606">
        <f>短期_附属明細表!G42</f>
        <v>0</v>
      </c>
      <c r="D11" s="599"/>
      <c r="E11" s="607"/>
      <c r="F11" s="605"/>
      <c r="G11" s="601"/>
      <c r="H11" s="603"/>
    </row>
    <row r="12" spans="1:8" ht="13.2" customHeight="1">
      <c r="A12" s="604" t="s">
        <v>775</v>
      </c>
      <c r="B12" s="605"/>
      <c r="C12" s="606">
        <f>短期_附属明細表!G49</f>
        <v>54568</v>
      </c>
      <c r="D12" s="599"/>
      <c r="E12" s="600" t="s">
        <v>776</v>
      </c>
      <c r="F12" s="605"/>
      <c r="G12" s="601"/>
      <c r="H12" s="603">
        <f>SUM(G13)</f>
        <v>907739421</v>
      </c>
    </row>
    <row r="13" spans="1:8" ht="13.2" customHeight="1">
      <c r="A13" s="609" t="s">
        <v>197</v>
      </c>
      <c r="B13" s="610"/>
      <c r="C13" s="606">
        <f>短期_附属明細表!G56</f>
        <v>59427000</v>
      </c>
      <c r="D13" s="599"/>
      <c r="E13" s="611" t="s">
        <v>204</v>
      </c>
      <c r="F13" s="605"/>
      <c r="G13" s="601">
        <f>短期_決算精算表!I49</f>
        <v>907739421</v>
      </c>
      <c r="H13" s="603"/>
    </row>
    <row r="14" spans="1:8" ht="12" customHeight="1">
      <c r="A14" s="612"/>
      <c r="B14" s="608"/>
      <c r="C14" s="613"/>
      <c r="D14" s="599"/>
      <c r="E14" s="614"/>
      <c r="F14" s="608"/>
      <c r="G14" s="615"/>
      <c r="H14" s="616"/>
    </row>
    <row r="15" spans="1:8" ht="13.2" customHeight="1">
      <c r="A15" s="609"/>
      <c r="B15" s="605"/>
      <c r="C15" s="606"/>
      <c r="D15" s="617"/>
      <c r="E15" s="618" t="s">
        <v>777</v>
      </c>
      <c r="F15" s="601"/>
      <c r="G15" s="601"/>
      <c r="H15" s="603">
        <f>SUM(H6:H12)</f>
        <v>985854677</v>
      </c>
    </row>
    <row r="16" spans="1:8" ht="12.9" customHeight="1">
      <c r="A16" s="604"/>
      <c r="B16" s="601"/>
      <c r="C16" s="619"/>
      <c r="D16" s="617"/>
      <c r="E16" s="611"/>
      <c r="F16" s="601"/>
      <c r="G16" s="602"/>
      <c r="H16" s="603"/>
    </row>
    <row r="17" spans="1:12" ht="13.2" customHeight="1">
      <c r="A17" s="596"/>
      <c r="B17" s="601"/>
      <c r="C17" s="619"/>
      <c r="D17" s="617"/>
      <c r="E17" s="600" t="s">
        <v>778</v>
      </c>
      <c r="F17" s="601"/>
      <c r="G17" s="602"/>
      <c r="H17" s="603">
        <f>SUM(G18:G21)</f>
        <v>3050135774</v>
      </c>
    </row>
    <row r="18" spans="1:12" ht="13.2" customHeight="1">
      <c r="A18" s="604"/>
      <c r="B18" s="601"/>
      <c r="C18" s="614"/>
      <c r="D18" s="617"/>
      <c r="E18" s="620" t="s">
        <v>779</v>
      </c>
      <c r="F18" s="601"/>
      <c r="G18" s="602">
        <f>SUM(F19:F21)</f>
        <v>3050135774</v>
      </c>
      <c r="H18" s="603"/>
    </row>
    <row r="19" spans="1:12" ht="18" customHeight="1">
      <c r="A19" s="604"/>
      <c r="B19" s="601"/>
      <c r="C19" s="619"/>
      <c r="D19" s="617"/>
      <c r="E19" s="621" t="s">
        <v>780</v>
      </c>
      <c r="F19" s="601">
        <f>短期_附属明細表!Q99</f>
        <v>533584212</v>
      </c>
      <c r="G19" s="602"/>
      <c r="H19" s="603"/>
    </row>
    <row r="20" spans="1:12" ht="13.2" customHeight="1">
      <c r="A20" s="596"/>
      <c r="B20" s="601"/>
      <c r="C20" s="619"/>
      <c r="D20" s="617"/>
      <c r="E20" s="607" t="s">
        <v>202</v>
      </c>
      <c r="F20" s="601">
        <f>短期_附属明細表!Q100</f>
        <v>2358068031</v>
      </c>
      <c r="G20" s="601"/>
      <c r="H20" s="603"/>
    </row>
    <row r="21" spans="1:12" ht="13.2" customHeight="1">
      <c r="A21" s="596"/>
      <c r="B21" s="601"/>
      <c r="C21" s="619"/>
      <c r="D21" s="617"/>
      <c r="E21" s="607" t="s">
        <v>203</v>
      </c>
      <c r="F21" s="601">
        <f>短期_附属明細表!Q101</f>
        <v>158483531</v>
      </c>
      <c r="G21" s="602"/>
      <c r="H21" s="603"/>
    </row>
    <row r="22" spans="1:12" ht="12.75" customHeight="1">
      <c r="A22" s="604"/>
      <c r="B22" s="601"/>
      <c r="C22" s="606"/>
      <c r="D22" s="617"/>
      <c r="E22" s="622"/>
      <c r="G22" s="623"/>
      <c r="H22" s="603"/>
    </row>
    <row r="23" spans="1:12" ht="13.2" customHeight="1">
      <c r="A23" s="604"/>
      <c r="B23" s="601"/>
      <c r="C23" s="606"/>
      <c r="D23" s="617"/>
      <c r="E23" s="618" t="s">
        <v>781</v>
      </c>
      <c r="F23" s="601"/>
      <c r="G23" s="602"/>
      <c r="H23" s="603">
        <f>SUM(H17:H21)</f>
        <v>3050135774</v>
      </c>
    </row>
    <row r="24" spans="1:12" ht="9.75" customHeight="1">
      <c r="A24" s="604"/>
      <c r="B24" s="601"/>
      <c r="C24" s="619"/>
      <c r="D24" s="617"/>
      <c r="E24" s="618"/>
      <c r="F24" s="601"/>
      <c r="G24" s="602"/>
      <c r="H24" s="603"/>
    </row>
    <row r="25" spans="1:12" ht="13.5" customHeight="1">
      <c r="A25" s="2384" t="s">
        <v>782</v>
      </c>
      <c r="B25" s="2384"/>
      <c r="C25" s="2384"/>
      <c r="D25" s="624">
        <f>SUM(D6:D24)</f>
        <v>4035990451</v>
      </c>
      <c r="E25" s="2385" t="s">
        <v>783</v>
      </c>
      <c r="F25" s="2385"/>
      <c r="G25" s="2385"/>
      <c r="H25" s="625">
        <f>H15+H23</f>
        <v>4035990451</v>
      </c>
    </row>
    <row r="26" spans="1:12" ht="12" customHeight="1">
      <c r="A26" s="585"/>
      <c r="B26" s="585"/>
      <c r="C26" s="585"/>
      <c r="D26" s="585"/>
      <c r="E26" s="626"/>
      <c r="F26" s="627"/>
      <c r="G26" s="585"/>
      <c r="H26" s="585"/>
      <c r="L26" s="628"/>
    </row>
    <row r="27" spans="1:12" ht="12" customHeight="1">
      <c r="A27" s="629" t="s">
        <v>784</v>
      </c>
      <c r="B27" s="630"/>
      <c r="C27" s="630"/>
      <c r="D27" s="630"/>
      <c r="E27" s="630"/>
      <c r="F27" s="630"/>
      <c r="G27" s="630"/>
      <c r="H27" s="630"/>
      <c r="L27" s="628"/>
    </row>
    <row r="28" spans="1:12" ht="12" customHeight="1">
      <c r="A28" s="631" t="s">
        <v>785</v>
      </c>
      <c r="B28" s="632"/>
      <c r="C28" s="632"/>
      <c r="D28" s="632"/>
      <c r="E28" s="632"/>
      <c r="F28" s="632"/>
      <c r="G28" s="632"/>
      <c r="H28" s="632"/>
    </row>
    <row r="29" spans="1:12" ht="12" customHeight="1">
      <c r="A29" s="633" t="s">
        <v>786</v>
      </c>
      <c r="B29" s="633"/>
      <c r="C29" s="633"/>
      <c r="D29" s="633"/>
      <c r="E29" s="626"/>
      <c r="F29" s="626"/>
      <c r="G29" s="633"/>
      <c r="H29" s="633"/>
    </row>
    <row r="30" spans="1:12" ht="12" customHeight="1">
      <c r="A30" s="634"/>
      <c r="B30" s="629"/>
      <c r="C30" s="633"/>
      <c r="D30" s="633"/>
      <c r="E30" s="626"/>
      <c r="F30" s="626"/>
      <c r="G30" s="633"/>
      <c r="H30" s="633"/>
    </row>
    <row r="31" spans="1:12" ht="18.75" customHeight="1">
      <c r="B31" s="635"/>
      <c r="D31" s="2386" t="s">
        <v>7</v>
      </c>
      <c r="E31" s="2386"/>
      <c r="F31" s="584"/>
      <c r="G31" s="635"/>
      <c r="H31" s="635"/>
    </row>
    <row r="32" spans="1:12" ht="19.5" customHeight="1">
      <c r="B32" s="635"/>
      <c r="D32" s="2387" t="s">
        <v>787</v>
      </c>
      <c r="E32" s="2387"/>
      <c r="F32" s="584"/>
      <c r="G32" s="635"/>
      <c r="H32" s="635"/>
    </row>
    <row r="33" spans="1:14" ht="11.25" customHeight="1">
      <c r="A33" s="586"/>
      <c r="B33" s="586"/>
      <c r="C33" s="586"/>
      <c r="D33" s="586"/>
      <c r="E33" s="586"/>
      <c r="F33" s="586"/>
      <c r="G33" s="2379" t="str">
        <f>"自  "&amp;"令和"&amp;IF((入力ガイド!$C$6)&gt;=10,MID("０１２３４５６７８９",INT((入力ガイド!$C$6)/10)+1,1),"")&amp;MID("０１２３４５６７８９",MOD((入力ガイド!$C$6),10)+1,1)&amp;"年４月  １日"</f>
        <v>自  令和７年４月  １日</v>
      </c>
      <c r="H33" s="2379"/>
    </row>
    <row r="34" spans="1:14" ht="13.5" customHeight="1">
      <c r="A34" s="633"/>
      <c r="B34" s="633"/>
      <c r="C34" s="586"/>
      <c r="D34" s="586"/>
      <c r="E34" s="633"/>
      <c r="F34" s="633"/>
      <c r="G34" s="2379" t="str">
        <f>"至  "&amp;"令和"&amp;IF((入力ガイド!$C$6+1)&gt;=10,MID("０１２３４５６７８９",INT((入力ガイド!$C$6+1)/10)+1,1),"")&amp;MID("０１２３４５６７８９",MOD((入力ガイド!$C$6+1),10)+1,1)&amp;"年３月３１日"</f>
        <v>至  令和８年３月３１日</v>
      </c>
      <c r="H34" s="2379"/>
    </row>
    <row r="35" spans="1:14" ht="13.5" customHeight="1">
      <c r="A35" s="2380" t="s">
        <v>788</v>
      </c>
      <c r="B35" s="2380"/>
      <c r="C35" s="2380"/>
      <c r="D35" s="588" t="s">
        <v>455</v>
      </c>
      <c r="E35" s="2381" t="s">
        <v>789</v>
      </c>
      <c r="F35" s="2381"/>
      <c r="G35" s="2381"/>
      <c r="H35" s="587" t="s">
        <v>455</v>
      </c>
    </row>
    <row r="36" spans="1:14" ht="15.6" customHeight="1">
      <c r="A36" s="590"/>
      <c r="B36" s="591" t="s">
        <v>551</v>
      </c>
      <c r="C36" s="636" t="s">
        <v>551</v>
      </c>
      <c r="D36" s="593" t="s">
        <v>551</v>
      </c>
      <c r="E36" s="611"/>
      <c r="F36" s="591" t="s">
        <v>551</v>
      </c>
      <c r="G36" s="636" t="s">
        <v>551</v>
      </c>
      <c r="H36" s="637" t="s">
        <v>551</v>
      </c>
      <c r="K36" s="638" t="s">
        <v>790</v>
      </c>
      <c r="L36" s="633"/>
      <c r="M36" s="633"/>
      <c r="N36" s="633"/>
    </row>
    <row r="37" spans="1:14" ht="15.6" customHeight="1">
      <c r="A37" s="596" t="s">
        <v>791</v>
      </c>
      <c r="B37" s="601"/>
      <c r="C37" s="602"/>
      <c r="D37" s="617">
        <f>SUM(C38)</f>
        <v>12136363707</v>
      </c>
      <c r="E37" s="600" t="s">
        <v>792</v>
      </c>
      <c r="F37" s="639"/>
      <c r="G37" s="640"/>
      <c r="H37" s="641">
        <f>SUM(G38:G53)</f>
        <v>12981910092</v>
      </c>
      <c r="K37" s="642"/>
      <c r="L37" s="643"/>
      <c r="M37" s="643"/>
      <c r="N37" s="644"/>
    </row>
    <row r="38" spans="1:14" ht="15.6" customHeight="1">
      <c r="A38" s="645" t="s">
        <v>793</v>
      </c>
      <c r="B38" s="601"/>
      <c r="C38" s="602">
        <f>SUM(B39:B54)</f>
        <v>12136363707</v>
      </c>
      <c r="D38" s="617"/>
      <c r="E38" s="646" t="s">
        <v>794</v>
      </c>
      <c r="F38" s="639"/>
      <c r="G38" s="623">
        <f>SUM(F39:F47)</f>
        <v>12274245580</v>
      </c>
      <c r="H38" s="647"/>
      <c r="K38" s="648" t="s">
        <v>795</v>
      </c>
      <c r="L38" s="649" t="s">
        <v>796</v>
      </c>
      <c r="M38" s="649"/>
      <c r="N38" s="650"/>
    </row>
    <row r="39" spans="1:14" ht="15.6" customHeight="1">
      <c r="A39" s="651" t="s">
        <v>797</v>
      </c>
      <c r="B39" s="601">
        <f>短期_決算精算表!A23</f>
        <v>5264002497</v>
      </c>
      <c r="C39" s="602"/>
      <c r="D39" s="617"/>
      <c r="E39" s="652" t="s">
        <v>798</v>
      </c>
      <c r="F39" s="601">
        <f>短期_決算精算表!G44</f>
        <v>5622054228</v>
      </c>
      <c r="G39" s="602"/>
      <c r="H39" s="603"/>
      <c r="K39" s="653"/>
      <c r="L39" s="626">
        <f>F40+F42+F44</f>
        <v>997197452</v>
      </c>
      <c r="M39" s="605" t="s">
        <v>799</v>
      </c>
      <c r="N39" s="650"/>
    </row>
    <row r="40" spans="1:14" ht="15.6" customHeight="1">
      <c r="A40" s="651" t="s">
        <v>436</v>
      </c>
      <c r="B40" s="601">
        <f>短期_決算精算表!A24</f>
        <v>650334235</v>
      </c>
      <c r="C40" s="602"/>
      <c r="D40" s="617"/>
      <c r="E40" s="652" t="s">
        <v>31</v>
      </c>
      <c r="F40" s="601">
        <f>短期_決算精算表!G45</f>
        <v>496114904</v>
      </c>
      <c r="G40" s="602"/>
      <c r="H40" s="603"/>
      <c r="K40" s="648" t="s">
        <v>795</v>
      </c>
      <c r="L40" s="649" t="s">
        <v>800</v>
      </c>
      <c r="M40" s="649"/>
      <c r="N40" s="650"/>
    </row>
    <row r="41" spans="1:14" ht="15.6" customHeight="1">
      <c r="A41" s="651" t="s">
        <v>801</v>
      </c>
      <c r="B41" s="601">
        <f>短期_決算精算表!A25</f>
        <v>0</v>
      </c>
      <c r="C41" s="602"/>
      <c r="D41" s="617"/>
      <c r="E41" s="652" t="s">
        <v>802</v>
      </c>
      <c r="F41" s="601">
        <f>短期_決算精算表!G46</f>
        <v>5551497726</v>
      </c>
      <c r="G41" s="602"/>
      <c r="H41" s="603"/>
      <c r="K41" s="653"/>
      <c r="L41" s="1674">
        <v>0</v>
      </c>
      <c r="M41" s="605" t="s">
        <v>803</v>
      </c>
      <c r="N41" s="650"/>
    </row>
    <row r="42" spans="1:14" ht="15.6" customHeight="1">
      <c r="A42" s="651" t="s">
        <v>804</v>
      </c>
      <c r="B42" s="601">
        <f>短期_決算精算表!A26</f>
        <v>36346677</v>
      </c>
      <c r="C42" s="602"/>
      <c r="D42" s="617"/>
      <c r="E42" s="652" t="s">
        <v>805</v>
      </c>
      <c r="F42" s="601">
        <f>短期_決算精算表!G47</f>
        <v>496288832</v>
      </c>
      <c r="G42" s="602"/>
      <c r="H42" s="603"/>
      <c r="K42" s="648" t="s">
        <v>806</v>
      </c>
      <c r="L42" s="649" t="s">
        <v>807</v>
      </c>
      <c r="M42" s="649"/>
      <c r="N42" s="650"/>
    </row>
    <row r="43" spans="1:14" ht="15.6" customHeight="1">
      <c r="A43" s="654" t="s">
        <v>85</v>
      </c>
      <c r="B43" s="601">
        <f>短期_決算精算表!A27</f>
        <v>2096611727</v>
      </c>
      <c r="C43" s="602"/>
      <c r="D43" s="617"/>
      <c r="E43" s="621" t="s">
        <v>34</v>
      </c>
      <c r="F43" s="601">
        <f>短期_決算精算表!G48</f>
        <v>96062536</v>
      </c>
      <c r="G43" s="602"/>
      <c r="H43" s="603"/>
      <c r="K43" s="653"/>
      <c r="L43" s="626">
        <f>B48</f>
        <v>949753680</v>
      </c>
      <c r="M43" s="605" t="s">
        <v>808</v>
      </c>
      <c r="N43" s="650"/>
    </row>
    <row r="44" spans="1:14" ht="15.6" customHeight="1">
      <c r="A44" s="654" t="s">
        <v>86</v>
      </c>
      <c r="B44" s="601">
        <f>短期_決算精算表!A28</f>
        <v>2306088269</v>
      </c>
      <c r="C44" s="602"/>
      <c r="D44" s="617"/>
      <c r="E44" s="621" t="s">
        <v>35</v>
      </c>
      <c r="F44" s="601">
        <f>短期_決算精算表!G49</f>
        <v>4793716</v>
      </c>
      <c r="G44" s="602"/>
      <c r="H44" s="603"/>
      <c r="K44" s="653"/>
      <c r="L44" s="626"/>
      <c r="M44" s="649"/>
      <c r="N44" s="650"/>
    </row>
    <row r="45" spans="1:14" s="660" customFormat="1" ht="16.5" customHeight="1">
      <c r="A45" s="655" t="s">
        <v>809</v>
      </c>
      <c r="B45" s="601">
        <f>短期_決算精算表!A29</f>
        <v>0</v>
      </c>
      <c r="C45" s="656"/>
      <c r="D45" s="657"/>
      <c r="E45" s="658" t="s">
        <v>36</v>
      </c>
      <c r="F45" s="601">
        <f>短期_決算精算表!G50</f>
        <v>7419879</v>
      </c>
      <c r="G45" s="656"/>
      <c r="H45" s="659"/>
      <c r="K45" s="661"/>
      <c r="L45" s="662"/>
      <c r="M45" s="663"/>
      <c r="N45" s="664"/>
    </row>
    <row r="46" spans="1:14" ht="15.6" customHeight="1">
      <c r="A46" s="654" t="s">
        <v>89</v>
      </c>
      <c r="B46" s="601">
        <f>短期_決算精算表!A30</f>
        <v>871</v>
      </c>
      <c r="C46" s="602"/>
      <c r="D46" s="617"/>
      <c r="E46" s="665" t="s">
        <v>37</v>
      </c>
      <c r="F46" s="601">
        <f>短期_決算精算表!G51</f>
        <v>13759</v>
      </c>
      <c r="G46" s="602"/>
      <c r="H46" s="603"/>
      <c r="K46" s="648" t="s">
        <v>810</v>
      </c>
      <c r="L46" s="605" t="s">
        <v>811</v>
      </c>
      <c r="M46" s="649"/>
      <c r="N46" s="650"/>
    </row>
    <row r="47" spans="1:14" ht="15.6" customHeight="1">
      <c r="A47" s="654" t="s">
        <v>87</v>
      </c>
      <c r="B47" s="601">
        <f>短期_決算精算表!A31</f>
        <v>0</v>
      </c>
      <c r="C47" s="602"/>
      <c r="D47" s="617"/>
      <c r="E47" s="646" t="s">
        <v>812</v>
      </c>
      <c r="F47" s="601"/>
      <c r="G47" s="602">
        <f>SUM(F48:F53)</f>
        <v>706241674</v>
      </c>
      <c r="H47" s="603"/>
      <c r="K47" s="653"/>
      <c r="L47" s="666">
        <f>L39+L41-L43</f>
        <v>47443772</v>
      </c>
      <c r="M47" s="667"/>
      <c r="N47" s="650"/>
    </row>
    <row r="48" spans="1:14" ht="15" customHeight="1">
      <c r="A48" s="651" t="s">
        <v>90</v>
      </c>
      <c r="B48" s="601">
        <f>短期_決算精算表!A32</f>
        <v>949753680</v>
      </c>
      <c r="C48" s="602"/>
      <c r="D48" s="617"/>
      <c r="E48" s="621" t="s">
        <v>41</v>
      </c>
      <c r="F48" s="601">
        <f>短期_決算精算表!G52</f>
        <v>71223000</v>
      </c>
      <c r="G48" s="602"/>
      <c r="H48" s="603"/>
      <c r="K48" s="668"/>
      <c r="L48" s="669"/>
      <c r="M48" s="669"/>
      <c r="N48" s="670"/>
    </row>
    <row r="49" spans="1:16" ht="16.5" customHeight="1">
      <c r="A49" s="655" t="s">
        <v>813</v>
      </c>
      <c r="B49" s="601">
        <f>短期_決算精算表!A33</f>
        <v>0</v>
      </c>
      <c r="C49" s="602"/>
      <c r="D49" s="617"/>
      <c r="E49" s="621" t="s">
        <v>42</v>
      </c>
      <c r="F49" s="601">
        <f>短期_決算精算表!G53</f>
        <v>0</v>
      </c>
      <c r="G49" s="602"/>
      <c r="H49" s="603"/>
      <c r="K49" s="633"/>
      <c r="L49" s="633"/>
      <c r="M49" s="633"/>
      <c r="N49" s="633"/>
    </row>
    <row r="50" spans="1:16" ht="16.5" customHeight="1">
      <c r="A50" s="654" t="s">
        <v>92</v>
      </c>
      <c r="B50" s="601">
        <f>短期_決算精算表!A34</f>
        <v>83079703</v>
      </c>
      <c r="C50" s="602"/>
      <c r="D50" s="617"/>
      <c r="E50" s="671" t="s">
        <v>205</v>
      </c>
      <c r="F50" s="601">
        <f>短期_決算精算表!G54</f>
        <v>587326584</v>
      </c>
      <c r="G50" s="614"/>
      <c r="H50" s="603"/>
      <c r="K50" s="633"/>
      <c r="L50" s="633"/>
      <c r="M50" s="633"/>
      <c r="N50" s="633"/>
    </row>
    <row r="51" spans="1:16" ht="17.25" customHeight="1">
      <c r="A51" s="654" t="s">
        <v>814</v>
      </c>
      <c r="B51" s="601">
        <f>短期_決算精算表!A35</f>
        <v>0</v>
      </c>
      <c r="C51" s="602"/>
      <c r="D51" s="617"/>
      <c r="E51" s="672" t="s">
        <v>45</v>
      </c>
      <c r="F51" s="601">
        <f>短期_決算精算表!G55</f>
        <v>10496090</v>
      </c>
      <c r="G51" s="614"/>
      <c r="H51" s="603"/>
      <c r="K51" s="633"/>
      <c r="L51" s="633"/>
      <c r="M51" s="633"/>
      <c r="N51" s="633"/>
    </row>
    <row r="52" spans="1:16" ht="15.6" customHeight="1">
      <c r="A52" s="654" t="s">
        <v>815</v>
      </c>
      <c r="B52" s="601">
        <f>短期_決算精算表!A36</f>
        <v>0</v>
      </c>
      <c r="C52" s="602"/>
      <c r="D52" s="617"/>
      <c r="E52" s="607" t="s">
        <v>816</v>
      </c>
      <c r="F52" s="601">
        <f>短期_決算精算表!G56</f>
        <v>37196000</v>
      </c>
      <c r="G52" s="602"/>
      <c r="H52" s="603"/>
      <c r="K52" s="633"/>
      <c r="L52" s="633"/>
      <c r="M52" s="633"/>
      <c r="N52" s="633"/>
    </row>
    <row r="53" spans="1:16" ht="15.6" customHeight="1">
      <c r="A53" s="651" t="s">
        <v>175</v>
      </c>
      <c r="B53" s="601">
        <f>短期_決算精算表!A37</f>
        <v>137606038</v>
      </c>
      <c r="C53" s="602"/>
      <c r="D53" s="617"/>
      <c r="E53" s="646" t="s">
        <v>817</v>
      </c>
      <c r="F53" s="601"/>
      <c r="G53" s="602">
        <f>SUM(F54:F55)</f>
        <v>1422838</v>
      </c>
      <c r="H53" s="603"/>
      <c r="K53" s="633"/>
      <c r="L53" s="633"/>
      <c r="M53" s="633"/>
      <c r="N53" s="633"/>
    </row>
    <row r="54" spans="1:16" ht="18" customHeight="1">
      <c r="A54" s="651" t="s">
        <v>818</v>
      </c>
      <c r="B54" s="601">
        <f>短期_決算精算表!A38</f>
        <v>612540010</v>
      </c>
      <c r="C54" s="602"/>
      <c r="D54" s="617"/>
      <c r="E54" s="621" t="s">
        <v>819</v>
      </c>
      <c r="F54" s="601">
        <f>短期_決算精算表!G57</f>
        <v>0</v>
      </c>
      <c r="G54" s="602"/>
      <c r="H54" s="603"/>
      <c r="K54" s="633"/>
      <c r="L54" s="633"/>
      <c r="M54" s="633"/>
      <c r="N54" s="633"/>
    </row>
    <row r="55" spans="1:16" ht="15.6" customHeight="1">
      <c r="A55" s="612"/>
      <c r="B55" s="608"/>
      <c r="C55" s="602"/>
      <c r="D55" s="617"/>
      <c r="E55" s="607" t="s">
        <v>820</v>
      </c>
      <c r="F55" s="601">
        <f>短期_決算精算表!G58</f>
        <v>1422838</v>
      </c>
      <c r="G55" s="614"/>
      <c r="H55" s="616"/>
      <c r="K55" s="633"/>
      <c r="L55" s="633"/>
      <c r="M55" s="633"/>
      <c r="N55" s="633"/>
    </row>
    <row r="56" spans="1:16" ht="15.6" customHeight="1">
      <c r="A56" s="596" t="s">
        <v>821</v>
      </c>
      <c r="B56" s="601"/>
      <c r="C56" s="602"/>
      <c r="D56" s="617">
        <f>SUM(C57)</f>
        <v>11834281</v>
      </c>
      <c r="E56" s="600" t="s">
        <v>50</v>
      </c>
      <c r="F56" s="601"/>
      <c r="G56" s="602"/>
      <c r="H56" s="603">
        <f>SUM(G57)</f>
        <v>876229790</v>
      </c>
      <c r="K56" s="638" t="s">
        <v>822</v>
      </c>
      <c r="L56" s="633"/>
      <c r="M56" s="633"/>
      <c r="N56" s="633"/>
    </row>
    <row r="57" spans="1:16" ht="15.6" customHeight="1">
      <c r="A57" s="654" t="s">
        <v>98</v>
      </c>
      <c r="B57" s="673"/>
      <c r="C57" s="602">
        <f>短期_決算精算表!A39</f>
        <v>11834281</v>
      </c>
      <c r="D57" s="617"/>
      <c r="E57" s="674" t="s">
        <v>50</v>
      </c>
      <c r="F57" s="601"/>
      <c r="G57" s="602">
        <f>短期_決算精算表!G59</f>
        <v>876229790</v>
      </c>
      <c r="H57" s="603"/>
      <c r="K57" s="642"/>
      <c r="L57" s="643"/>
      <c r="M57" s="643"/>
      <c r="N57" s="644"/>
    </row>
    <row r="58" spans="1:16" ht="15.6" customHeight="1">
      <c r="A58" s="675" t="s">
        <v>112</v>
      </c>
      <c r="B58" s="601"/>
      <c r="C58" s="602"/>
      <c r="D58" s="617">
        <f>SUM(C59)</f>
        <v>907739421</v>
      </c>
      <c r="E58" s="596" t="s">
        <v>823</v>
      </c>
      <c r="F58" s="601"/>
      <c r="G58" s="602"/>
      <c r="H58" s="603">
        <f>SUM(G59)</f>
        <v>10567708</v>
      </c>
      <c r="K58" s="648" t="s">
        <v>795</v>
      </c>
      <c r="L58" s="649" t="s">
        <v>796</v>
      </c>
      <c r="M58" s="649"/>
      <c r="N58" s="650"/>
    </row>
    <row r="59" spans="1:16" ht="15.6" customHeight="1">
      <c r="A59" s="676" t="s">
        <v>112</v>
      </c>
      <c r="B59" s="601"/>
      <c r="C59" s="602">
        <f>短期_決算精算表!A40</f>
        <v>907739421</v>
      </c>
      <c r="D59" s="617"/>
      <c r="E59" s="677" t="s">
        <v>51</v>
      </c>
      <c r="F59" s="602"/>
      <c r="G59" s="602">
        <f>短期_決算精算表!G60</f>
        <v>10567708</v>
      </c>
      <c r="H59" s="603"/>
      <c r="K59" s="653"/>
      <c r="L59" s="626">
        <f>F39+F41+F43</f>
        <v>11269614490</v>
      </c>
      <c r="M59" s="605" t="s">
        <v>824</v>
      </c>
      <c r="N59" s="650"/>
    </row>
    <row r="60" spans="1:16" ht="15.6" customHeight="1">
      <c r="A60" s="596" t="s">
        <v>825</v>
      </c>
      <c r="B60" s="601"/>
      <c r="C60" s="614"/>
      <c r="D60" s="617">
        <f>C61</f>
        <v>0</v>
      </c>
      <c r="E60" s="596" t="s">
        <v>233</v>
      </c>
      <c r="F60" s="602"/>
      <c r="G60" s="602"/>
      <c r="H60" s="603">
        <f>SUM(G61:G62)</f>
        <v>0</v>
      </c>
      <c r="K60" s="653"/>
      <c r="L60" s="649" t="s">
        <v>826</v>
      </c>
      <c r="M60" s="649"/>
      <c r="N60" s="650"/>
    </row>
    <row r="61" spans="1:16" ht="15.6" customHeight="1">
      <c r="A61" s="678" t="s">
        <v>143</v>
      </c>
      <c r="B61" s="601"/>
      <c r="C61" s="602">
        <f>短期_決算精算表!A41</f>
        <v>0</v>
      </c>
      <c r="D61" s="617"/>
      <c r="E61" s="679" t="s">
        <v>191</v>
      </c>
      <c r="F61" s="602"/>
      <c r="G61" s="602">
        <f>MAX(0,-L67)</f>
        <v>0</v>
      </c>
      <c r="H61" s="603"/>
      <c r="K61" s="653"/>
      <c r="L61" s="626">
        <f>F45+F46+F48+F49+F50+F51+F52+G57+G59+F55</f>
        <v>1601895648</v>
      </c>
      <c r="M61" s="605" t="s">
        <v>827</v>
      </c>
      <c r="N61" s="650"/>
    </row>
    <row r="62" spans="1:16" ht="15.6" customHeight="1">
      <c r="A62" s="596" t="s">
        <v>828</v>
      </c>
      <c r="B62" s="601"/>
      <c r="C62" s="602"/>
      <c r="D62" s="680">
        <f>SUM(C63:C64)</f>
        <v>812770181</v>
      </c>
      <c r="E62" s="679" t="s">
        <v>192</v>
      </c>
      <c r="F62" s="602"/>
      <c r="G62" s="602">
        <f>MAX(0,-L47)</f>
        <v>0</v>
      </c>
      <c r="H62" s="616"/>
      <c r="K62" s="648" t="s">
        <v>806</v>
      </c>
      <c r="L62" s="649"/>
      <c r="M62" s="649"/>
      <c r="N62" s="650"/>
      <c r="P62" s="628"/>
    </row>
    <row r="63" spans="1:16" ht="15.6" customHeight="1">
      <c r="A63" s="654" t="s">
        <v>829</v>
      </c>
      <c r="B63" s="623"/>
      <c r="C63" s="681">
        <f>MAX(0,L67)</f>
        <v>765326409</v>
      </c>
      <c r="D63" s="680"/>
      <c r="E63" s="682"/>
      <c r="F63" s="608"/>
      <c r="G63" s="615"/>
      <c r="H63" s="616"/>
      <c r="K63" s="653"/>
      <c r="L63" s="626">
        <f>C38-B48+C57+C59+C61</f>
        <v>12106183729</v>
      </c>
      <c r="M63" s="605" t="s">
        <v>830</v>
      </c>
      <c r="N63" s="650"/>
      <c r="P63" s="628"/>
    </row>
    <row r="64" spans="1:16" ht="15.6" customHeight="1">
      <c r="A64" s="654" t="s">
        <v>831</v>
      </c>
      <c r="B64" s="601"/>
      <c r="C64" s="602">
        <f>MAX(0,L47)</f>
        <v>47443772</v>
      </c>
      <c r="D64" s="680"/>
      <c r="E64" s="682"/>
      <c r="F64" s="608"/>
      <c r="G64" s="615"/>
      <c r="H64" s="603"/>
      <c r="K64" s="653"/>
      <c r="L64" s="683" t="s">
        <v>832</v>
      </c>
      <c r="M64" s="649"/>
      <c r="N64" s="650"/>
      <c r="P64" s="628"/>
    </row>
    <row r="65" spans="1:14" ht="15.6" customHeight="1">
      <c r="A65" s="684"/>
      <c r="B65" s="685"/>
      <c r="C65" s="686"/>
      <c r="D65" s="687"/>
      <c r="E65" s="688"/>
      <c r="F65" s="689"/>
      <c r="G65" s="690"/>
      <c r="H65" s="691"/>
      <c r="K65" s="653"/>
      <c r="L65" s="1675">
        <v>0</v>
      </c>
      <c r="M65" s="605" t="s">
        <v>193</v>
      </c>
      <c r="N65" s="650"/>
    </row>
    <row r="66" spans="1:14" ht="15.6" customHeight="1">
      <c r="A66" s="2382" t="s">
        <v>833</v>
      </c>
      <c r="B66" s="2382"/>
      <c r="C66" s="2382"/>
      <c r="D66" s="692">
        <f>SUM(D37:D62)</f>
        <v>13868707590</v>
      </c>
      <c r="E66" s="2383" t="s">
        <v>833</v>
      </c>
      <c r="F66" s="2383"/>
      <c r="G66" s="2383"/>
      <c r="H66" s="691">
        <f>SUM(H37:H65)</f>
        <v>13868707590</v>
      </c>
      <c r="I66" s="693">
        <f>D66-H66</f>
        <v>0</v>
      </c>
      <c r="J66" s="694"/>
      <c r="K66" s="648" t="s">
        <v>810</v>
      </c>
      <c r="L66" s="605" t="s">
        <v>834</v>
      </c>
      <c r="M66" s="649"/>
      <c r="N66" s="650"/>
    </row>
    <row r="67" spans="1:14" ht="11.25" customHeight="1">
      <c r="A67" s="633"/>
      <c r="B67" s="633"/>
      <c r="C67" s="633"/>
      <c r="D67" s="633"/>
      <c r="E67" s="633"/>
      <c r="F67" s="633"/>
      <c r="G67" s="633"/>
      <c r="H67" s="633"/>
      <c r="K67" s="653"/>
      <c r="L67" s="666">
        <f>L59+L61-L63-L65</f>
        <v>765326409</v>
      </c>
      <c r="M67" s="667"/>
      <c r="N67" s="650"/>
    </row>
    <row r="68" spans="1:14" ht="12" customHeight="1">
      <c r="A68" s="633"/>
      <c r="B68" s="633"/>
      <c r="C68" s="633"/>
      <c r="D68" s="633"/>
      <c r="E68" s="695"/>
      <c r="F68" s="695"/>
      <c r="G68" s="633"/>
      <c r="H68" s="628"/>
      <c r="K68" s="649"/>
      <c r="L68" s="649"/>
    </row>
    <row r="69" spans="1:14" ht="12" customHeight="1">
      <c r="A69" s="695"/>
      <c r="B69" s="695"/>
      <c r="C69" s="695"/>
      <c r="D69" s="695"/>
      <c r="E69" s="695"/>
      <c r="F69" s="695"/>
      <c r="G69" s="695"/>
      <c r="K69" s="694"/>
      <c r="L69" s="694"/>
    </row>
    <row r="70" spans="1:14" ht="12" customHeight="1">
      <c r="A70" s="695"/>
      <c r="B70" s="695"/>
      <c r="C70" s="695"/>
      <c r="D70" s="695"/>
      <c r="E70" s="695"/>
      <c r="F70" s="695"/>
      <c r="G70" s="695"/>
    </row>
    <row r="71" spans="1:14" ht="24" customHeight="1">
      <c r="A71" s="695"/>
      <c r="B71" s="695"/>
      <c r="C71" s="695"/>
      <c r="D71" s="695"/>
      <c r="E71" s="633"/>
      <c r="F71" s="633"/>
      <c r="G71" s="695"/>
    </row>
    <row r="72" spans="1:14" ht="24" customHeight="1">
      <c r="A72" s="633"/>
      <c r="B72" s="633"/>
      <c r="C72" s="633"/>
      <c r="D72" s="633"/>
      <c r="G72" s="633"/>
      <c r="H72" s="633"/>
    </row>
    <row r="78" spans="1:14"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5">
    <mergeCell ref="D1:E1"/>
    <mergeCell ref="D2:E2"/>
    <mergeCell ref="G3:H3"/>
    <mergeCell ref="A4:C4"/>
    <mergeCell ref="E4:G4"/>
    <mergeCell ref="A25:C25"/>
    <mergeCell ref="E25:G25"/>
    <mergeCell ref="D31:E31"/>
    <mergeCell ref="D32:E32"/>
    <mergeCell ref="G33:H33"/>
    <mergeCell ref="G34:H34"/>
    <mergeCell ref="A35:C35"/>
    <mergeCell ref="E35:G35"/>
    <mergeCell ref="A66:C66"/>
    <mergeCell ref="E66:G66"/>
  </mergeCells>
  <phoneticPr fontId="155"/>
  <conditionalFormatting sqref="L41 L65">
    <cfRule type="expression" dxfId="6" priority="1">
      <formula>AND(入力色表示=1,NOT(_xlfn.ISFORMULA(L41)))</formula>
    </cfRule>
  </conditionalFormatting>
  <dataValidations count="2">
    <dataValidation allowBlank="1" showInputMessage="1" promptTitle="手入力セル" prompt="反映先：短期_財務諸表 L47&#10;他の帳票：報告_短期P11-13、短期_附属明細表、短期_決算精算表" sqref="L41"/>
    <dataValidation allowBlank="1" showInputMessage="1" promptTitle="手入力セル" prompt="反映先：短期_財務諸表 L67&#10;他の帳票：報告_短期P11-13、短期_附属明細表、短期_決算精算表" sqref="L65"/>
  </dataValidations>
  <pageMargins left="0.70833333333333304" right="0.196527777777778" top="0.23611111111111099" bottom="0.31527777777777799" header="0.511811023622047" footer="0.31527777777777799"/>
  <pageSetup paperSize="9" scale="90" firstPageNumber="27" orientation="portrait" cellComments="atEnd" useFirstPageNumber="1" horizontalDpi="300" verticalDpi="300"/>
  <headerFooter>
    <oddFooter>&amp;C&amp;"ＭＳ 明朝,Regular"- &amp;P -</oddFooter>
  </headerFooter>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92893-5015-4029-BC4B-1E91F82D80EF}">
  <sheetPr codeName="Sheet22"/>
  <dimension ref="A1:IW188"/>
  <sheetViews>
    <sheetView zoomScaleNormal="100" zoomScalePageLayoutView="60" workbookViewId="0">
      <selection sqref="A1:G1"/>
    </sheetView>
  </sheetViews>
  <sheetFormatPr defaultColWidth="10.6640625" defaultRowHeight="13.2"/>
  <cols>
    <col min="1" max="13" width="3.77734375" style="696" customWidth="1"/>
    <col min="14" max="14" width="4.33203125" style="696" customWidth="1"/>
    <col min="15" max="24" width="3.77734375" style="696" customWidth="1"/>
    <col min="25" max="27" width="4.109375" style="696" customWidth="1"/>
    <col min="28" max="257" width="10.6640625" style="696"/>
  </cols>
  <sheetData>
    <row r="1" spans="1:24" ht="20.100000000000001" customHeight="1">
      <c r="I1" s="2396" t="s">
        <v>835</v>
      </c>
      <c r="J1" s="2396"/>
      <c r="K1" s="2396"/>
      <c r="L1" s="2396"/>
      <c r="M1" s="2396"/>
      <c r="N1" s="2396"/>
      <c r="O1" s="2396"/>
      <c r="P1" s="2396"/>
      <c r="Q1" s="2477"/>
      <c r="R1" s="2477"/>
      <c r="S1" s="2477"/>
      <c r="T1" s="2477"/>
      <c r="U1" s="2477"/>
      <c r="V1" s="2477"/>
      <c r="W1" s="2477"/>
      <c r="X1" s="2477"/>
    </row>
    <row r="2" spans="1:24" ht="15"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0.10000000000000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9"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699" customFormat="1" ht="20.100000000000001" customHeight="1">
      <c r="A5" s="2442" t="s">
        <v>839</v>
      </c>
      <c r="B5" s="2442"/>
      <c r="C5" s="2442"/>
      <c r="D5" s="2442"/>
      <c r="E5" s="2442"/>
      <c r="F5" s="2442"/>
      <c r="G5" s="2452" t="s">
        <v>194</v>
      </c>
      <c r="H5" s="2452"/>
      <c r="I5" s="2452"/>
      <c r="J5" s="2452"/>
      <c r="K5" s="2452"/>
      <c r="L5" s="2452"/>
      <c r="M5" s="3105">
        <v>3939589431</v>
      </c>
      <c r="N5" s="3106"/>
      <c r="O5" s="3106"/>
      <c r="P5" s="3106"/>
      <c r="Q5" s="3106"/>
      <c r="R5" s="706"/>
      <c r="S5" s="2446" t="s">
        <v>840</v>
      </c>
      <c r="T5" s="2446"/>
      <c r="U5" s="2446"/>
      <c r="V5" s="2446"/>
      <c r="W5" s="2446"/>
      <c r="X5" s="2446"/>
    </row>
    <row r="6" spans="1:24" s="699" customFormat="1" ht="20.100000000000001" customHeight="1">
      <c r="A6" s="2480" t="s">
        <v>841</v>
      </c>
      <c r="B6" s="2480"/>
      <c r="C6" s="2480"/>
      <c r="D6" s="2480"/>
      <c r="E6" s="2480"/>
      <c r="F6" s="2480"/>
      <c r="G6" s="707"/>
      <c r="H6" s="708"/>
      <c r="I6" s="708"/>
      <c r="J6" s="708"/>
      <c r="K6" s="708"/>
      <c r="L6" s="709"/>
      <c r="M6" s="2475">
        <f>SUM(M5)</f>
        <v>3939589431</v>
      </c>
      <c r="N6" s="2475"/>
      <c r="O6" s="2475"/>
      <c r="P6" s="2475"/>
      <c r="Q6" s="2475"/>
      <c r="R6" s="710"/>
      <c r="S6" s="711"/>
      <c r="T6" s="712"/>
      <c r="U6" s="712"/>
      <c r="V6" s="712"/>
      <c r="W6" s="712"/>
      <c r="X6" s="713"/>
    </row>
    <row r="7" spans="1:24" s="699" customFormat="1" ht="20.100000000000001" customHeight="1">
      <c r="A7" s="2481" t="s">
        <v>842</v>
      </c>
      <c r="B7" s="2481"/>
      <c r="C7" s="2481"/>
      <c r="D7" s="2481"/>
      <c r="E7" s="2481"/>
      <c r="F7" s="2481"/>
      <c r="G7" s="2482" t="s">
        <v>195</v>
      </c>
      <c r="H7" s="2482"/>
      <c r="I7" s="2482"/>
      <c r="J7" s="2482"/>
      <c r="K7" s="2482"/>
      <c r="L7" s="2482"/>
      <c r="M7" s="3107">
        <v>36919452</v>
      </c>
      <c r="N7" s="3108"/>
      <c r="O7" s="3108"/>
      <c r="P7" s="3108"/>
      <c r="Q7" s="3108"/>
      <c r="R7" s="210"/>
      <c r="S7" s="2485" t="s">
        <v>843</v>
      </c>
      <c r="T7" s="2485"/>
      <c r="U7" s="2485"/>
      <c r="V7" s="2485"/>
      <c r="W7" s="2485"/>
      <c r="X7" s="2485"/>
    </row>
    <row r="8" spans="1:24" s="699" customFormat="1" ht="20.100000000000001" customHeight="1">
      <c r="A8" s="2480" t="s">
        <v>841</v>
      </c>
      <c r="B8" s="2480"/>
      <c r="C8" s="2480"/>
      <c r="D8" s="2480"/>
      <c r="E8" s="2480"/>
      <c r="F8" s="2480"/>
      <c r="G8" s="707"/>
      <c r="H8" s="708"/>
      <c r="I8" s="708"/>
      <c r="J8" s="708"/>
      <c r="K8" s="708"/>
      <c r="L8" s="709"/>
      <c r="M8" s="2475">
        <f>SUM(M7)</f>
        <v>36919452</v>
      </c>
      <c r="N8" s="2475"/>
      <c r="O8" s="2475"/>
      <c r="P8" s="2475"/>
      <c r="Q8" s="2475"/>
      <c r="R8" s="710"/>
      <c r="S8" s="711"/>
      <c r="T8" s="712"/>
      <c r="U8" s="712"/>
      <c r="V8" s="714"/>
      <c r="W8" s="714"/>
      <c r="X8" s="715"/>
    </row>
    <row r="9" spans="1:24" s="699" customFormat="1" ht="20.100000000000001" customHeight="1">
      <c r="A9" s="2404" t="s">
        <v>460</v>
      </c>
      <c r="B9" s="2404"/>
      <c r="C9" s="2404"/>
      <c r="D9" s="2404"/>
      <c r="E9" s="2404"/>
      <c r="F9" s="2404"/>
      <c r="G9" s="2469"/>
      <c r="H9" s="2469"/>
      <c r="I9" s="2469"/>
      <c r="J9" s="2469"/>
      <c r="K9" s="2469"/>
      <c r="L9" s="2469"/>
      <c r="M9" s="2447">
        <f>M6+M8</f>
        <v>3976508883</v>
      </c>
      <c r="N9" s="2447"/>
      <c r="O9" s="2447"/>
      <c r="P9" s="2447"/>
      <c r="Q9" s="2447"/>
      <c r="R9" s="716"/>
      <c r="S9" s="2470"/>
      <c r="T9" s="2470"/>
      <c r="U9" s="2470"/>
      <c r="V9" s="2470"/>
      <c r="W9" s="2470"/>
      <c r="X9" s="2470"/>
    </row>
    <row r="10" spans="1:24" ht="13.5" customHeight="1">
      <c r="A10" s="717"/>
      <c r="B10" s="718"/>
      <c r="C10" s="719"/>
      <c r="D10" s="719"/>
      <c r="E10" s="719"/>
      <c r="F10" s="719"/>
      <c r="G10" s="719"/>
    </row>
    <row r="11" spans="1:24" ht="20.100000000000001" hidden="1" customHeight="1">
      <c r="B11" s="720"/>
      <c r="C11" s="720"/>
      <c r="D11" s="720"/>
      <c r="E11" s="720"/>
      <c r="F11" s="720"/>
      <c r="G11" s="720"/>
      <c r="H11" s="720"/>
      <c r="I11" s="2396" t="s">
        <v>844</v>
      </c>
      <c r="J11" s="2396"/>
      <c r="K11" s="2396"/>
      <c r="L11" s="2396"/>
      <c r="M11" s="2396"/>
      <c r="N11" s="2396"/>
      <c r="O11" s="2396"/>
      <c r="P11" s="2396"/>
      <c r="Q11" s="720"/>
      <c r="R11" s="720"/>
      <c r="S11" s="720"/>
      <c r="T11" s="720"/>
      <c r="U11" s="720"/>
      <c r="V11" s="720"/>
      <c r="W11" s="720"/>
      <c r="X11" s="720"/>
    </row>
    <row r="12" spans="1:24" ht="15" hidden="1" customHeight="1">
      <c r="A12" s="697"/>
      <c r="B12" s="698"/>
      <c r="C12" s="698"/>
      <c r="D12" s="698"/>
      <c r="E12" s="698"/>
      <c r="F12" s="698"/>
      <c r="G12" s="698"/>
      <c r="H12" s="698"/>
      <c r="I12" s="698"/>
      <c r="J12" s="698"/>
      <c r="K12" s="698"/>
      <c r="L12" s="698"/>
      <c r="M12" s="698"/>
      <c r="N12" s="698"/>
      <c r="O12" s="698"/>
      <c r="P12" s="698"/>
      <c r="Q12" s="698"/>
      <c r="R12" s="698"/>
      <c r="S12" s="698"/>
      <c r="T12" s="698"/>
      <c r="U12" s="698"/>
      <c r="V12" s="698"/>
      <c r="W12" s="698"/>
      <c r="X12" s="698"/>
    </row>
    <row r="13" spans="1:24" s="699" customFormat="1" ht="20.100000000000001" hidden="1" customHeight="1">
      <c r="A13" s="2478" t="s">
        <v>836</v>
      </c>
      <c r="B13" s="2478"/>
      <c r="C13" s="2478"/>
      <c r="D13" s="2478"/>
      <c r="E13" s="2478"/>
      <c r="F13" s="2478"/>
      <c r="G13" s="2438" t="s">
        <v>452</v>
      </c>
      <c r="H13" s="2438"/>
      <c r="I13" s="2438"/>
      <c r="J13" s="2438"/>
      <c r="K13" s="2438"/>
      <c r="L13" s="2438"/>
      <c r="M13" s="2438" t="s">
        <v>837</v>
      </c>
      <c r="N13" s="2438"/>
      <c r="O13" s="2438"/>
      <c r="P13" s="2438"/>
      <c r="Q13" s="2438"/>
      <c r="R13" s="2438"/>
      <c r="S13" s="2417" t="s">
        <v>838</v>
      </c>
      <c r="T13" s="2417"/>
      <c r="U13" s="2417"/>
      <c r="V13" s="2417"/>
      <c r="W13" s="2417"/>
      <c r="X13" s="2417"/>
    </row>
    <row r="14" spans="1:24" s="699" customFormat="1" ht="9" hidden="1" customHeight="1">
      <c r="A14" s="700"/>
      <c r="B14" s="701"/>
      <c r="C14" s="701"/>
      <c r="D14" s="701"/>
      <c r="E14" s="701"/>
      <c r="F14" s="702"/>
      <c r="G14" s="703"/>
      <c r="H14" s="701"/>
      <c r="I14" s="701"/>
      <c r="J14" s="701"/>
      <c r="K14" s="701"/>
      <c r="L14" s="702"/>
      <c r="M14" s="703"/>
      <c r="N14" s="701"/>
      <c r="O14" s="701"/>
      <c r="P14" s="701"/>
      <c r="Q14" s="701"/>
      <c r="R14" s="704" t="s">
        <v>551</v>
      </c>
      <c r="S14" s="703"/>
      <c r="T14" s="701"/>
      <c r="U14" s="701"/>
      <c r="V14" s="701"/>
      <c r="W14" s="701"/>
      <c r="X14" s="705"/>
    </row>
    <row r="15" spans="1:24" s="699" customFormat="1" ht="29.25" hidden="1" customHeight="1">
      <c r="A15" s="2479"/>
      <c r="B15" s="2479"/>
      <c r="C15" s="2479"/>
      <c r="D15" s="2479"/>
      <c r="E15" s="2479"/>
      <c r="F15" s="2479"/>
      <c r="G15" s="2452"/>
      <c r="H15" s="2452"/>
      <c r="I15" s="2452"/>
      <c r="J15" s="2452"/>
      <c r="K15" s="2452"/>
      <c r="L15" s="2452"/>
      <c r="M15" s="2465">
        <v>0</v>
      </c>
      <c r="N15" s="2466"/>
      <c r="O15" s="2466"/>
      <c r="P15" s="2466"/>
      <c r="Q15" s="2466"/>
      <c r="R15" s="706"/>
      <c r="S15" s="2403"/>
      <c r="T15" s="2403"/>
      <c r="U15" s="2403"/>
      <c r="V15" s="2403"/>
      <c r="W15" s="2403"/>
      <c r="X15" s="2403"/>
    </row>
    <row r="16" spans="1:24" s="699" customFormat="1" ht="20.100000000000001" hidden="1" customHeight="1">
      <c r="A16" s="2404" t="s">
        <v>460</v>
      </c>
      <c r="B16" s="2404"/>
      <c r="C16" s="2404"/>
      <c r="D16" s="2404"/>
      <c r="E16" s="2404"/>
      <c r="F16" s="2404"/>
      <c r="G16" s="2469"/>
      <c r="H16" s="2469"/>
      <c r="I16" s="2469"/>
      <c r="J16" s="2469"/>
      <c r="K16" s="2469"/>
      <c r="L16" s="2469"/>
      <c r="M16" s="2447">
        <f>SUM(M14:Q15)</f>
        <v>0</v>
      </c>
      <c r="N16" s="2447"/>
      <c r="O16" s="2447"/>
      <c r="P16" s="2447"/>
      <c r="Q16" s="2447"/>
      <c r="R16" s="716"/>
      <c r="S16" s="2470"/>
      <c r="T16" s="2470"/>
      <c r="U16" s="2470"/>
      <c r="V16" s="2470"/>
      <c r="W16" s="2470"/>
      <c r="X16" s="2470"/>
    </row>
    <row r="17" spans="1:24" ht="13.5" hidden="1" customHeight="1">
      <c r="A17" s="717"/>
      <c r="B17" s="718"/>
      <c r="C17" s="719"/>
      <c r="D17" s="719"/>
      <c r="E17" s="719"/>
      <c r="F17" s="719"/>
      <c r="G17" s="719"/>
    </row>
    <row r="18" spans="1:24" ht="20.100000000000001" hidden="1" customHeight="1">
      <c r="I18" s="2396" t="s">
        <v>845</v>
      </c>
      <c r="J18" s="2396"/>
      <c r="K18" s="2396"/>
      <c r="L18" s="2396"/>
      <c r="M18" s="2396"/>
      <c r="N18" s="2396"/>
      <c r="O18" s="2396"/>
      <c r="P18" s="2396"/>
      <c r="Q18" s="2477"/>
      <c r="R18" s="2477"/>
      <c r="S18" s="2477"/>
      <c r="T18" s="2477"/>
      <c r="U18" s="2477"/>
      <c r="V18" s="2477"/>
      <c r="W18" s="2477"/>
      <c r="X18" s="2477"/>
    </row>
    <row r="19" spans="1:24" ht="12" hidden="1" customHeight="1">
      <c r="A19" s="697"/>
      <c r="B19" s="698"/>
      <c r="C19" s="698"/>
      <c r="D19" s="698"/>
      <c r="E19" s="698"/>
      <c r="F19" s="698"/>
      <c r="G19" s="698"/>
      <c r="H19" s="698"/>
      <c r="I19" s="698"/>
      <c r="J19" s="698"/>
      <c r="K19" s="698"/>
      <c r="L19" s="698"/>
      <c r="M19" s="698"/>
      <c r="N19" s="698"/>
      <c r="O19" s="698"/>
      <c r="P19" s="698"/>
      <c r="Q19" s="698"/>
      <c r="R19" s="698"/>
      <c r="S19" s="698"/>
      <c r="T19" s="698"/>
      <c r="U19" s="698"/>
      <c r="V19" s="698"/>
      <c r="W19" s="698"/>
      <c r="X19" s="698"/>
    </row>
    <row r="20" spans="1:24" s="699" customFormat="1" ht="20.100000000000001" hidden="1" customHeight="1">
      <c r="A20" s="2478" t="s">
        <v>836</v>
      </c>
      <c r="B20" s="2478"/>
      <c r="C20" s="2478"/>
      <c r="D20" s="2478"/>
      <c r="E20" s="2478"/>
      <c r="F20" s="2478"/>
      <c r="G20" s="2438" t="s">
        <v>452</v>
      </c>
      <c r="H20" s="2438"/>
      <c r="I20" s="2438"/>
      <c r="J20" s="2438"/>
      <c r="K20" s="2438"/>
      <c r="L20" s="2438"/>
      <c r="M20" s="2438" t="s">
        <v>837</v>
      </c>
      <c r="N20" s="2438"/>
      <c r="O20" s="2438"/>
      <c r="P20" s="2438"/>
      <c r="Q20" s="2438"/>
      <c r="R20" s="2438"/>
      <c r="S20" s="2417" t="s">
        <v>838</v>
      </c>
      <c r="T20" s="2417"/>
      <c r="U20" s="2417"/>
      <c r="V20" s="2417"/>
      <c r="W20" s="2417"/>
      <c r="X20" s="2417"/>
    </row>
    <row r="21" spans="1:24" s="699" customFormat="1" ht="9" hidden="1" customHeight="1">
      <c r="A21" s="700"/>
      <c r="B21" s="701"/>
      <c r="C21" s="701"/>
      <c r="D21" s="701"/>
      <c r="E21" s="701"/>
      <c r="F21" s="702"/>
      <c r="G21" s="703"/>
      <c r="H21" s="701"/>
      <c r="I21" s="701"/>
      <c r="J21" s="701"/>
      <c r="K21" s="701"/>
      <c r="L21" s="702"/>
      <c r="M21" s="703"/>
      <c r="N21" s="701"/>
      <c r="O21" s="701"/>
      <c r="P21" s="701"/>
      <c r="Q21" s="701"/>
      <c r="R21" s="704" t="s">
        <v>551</v>
      </c>
      <c r="S21" s="703"/>
      <c r="T21" s="701"/>
      <c r="U21" s="701"/>
      <c r="V21" s="701"/>
      <c r="W21" s="701"/>
      <c r="X21" s="705"/>
    </row>
    <row r="22" spans="1:24" s="699" customFormat="1" ht="20.100000000000001" hidden="1" customHeight="1">
      <c r="A22" s="2442"/>
      <c r="B22" s="2442"/>
      <c r="C22" s="2442"/>
      <c r="D22" s="2442"/>
      <c r="E22" s="2442"/>
      <c r="F22" s="2442"/>
      <c r="G22" s="2471"/>
      <c r="H22" s="2471"/>
      <c r="I22" s="2471"/>
      <c r="J22" s="2471"/>
      <c r="K22" s="2471"/>
      <c r="L22" s="2471"/>
      <c r="M22" s="2465">
        <v>0</v>
      </c>
      <c r="N22" s="2466"/>
      <c r="O22" s="2466"/>
      <c r="P22" s="2466"/>
      <c r="Q22" s="2466"/>
      <c r="R22" s="706"/>
      <c r="S22" s="2403"/>
      <c r="T22" s="2403"/>
      <c r="U22" s="2403"/>
      <c r="V22" s="2403"/>
      <c r="W22" s="2403"/>
      <c r="X22" s="2403"/>
    </row>
    <row r="23" spans="1:24" s="699" customFormat="1" ht="20.100000000000001" hidden="1" customHeight="1">
      <c r="A23" s="2442"/>
      <c r="B23" s="2442"/>
      <c r="C23" s="2442"/>
      <c r="D23" s="2442"/>
      <c r="E23" s="2442"/>
      <c r="F23" s="2442"/>
      <c r="G23" s="2472"/>
      <c r="H23" s="2472"/>
      <c r="I23" s="2472"/>
      <c r="J23" s="2472"/>
      <c r="K23" s="2472"/>
      <c r="L23" s="2472"/>
      <c r="M23" s="2465">
        <v>0</v>
      </c>
      <c r="N23" s="2466"/>
      <c r="O23" s="2466"/>
      <c r="P23" s="2466"/>
      <c r="Q23" s="2466"/>
      <c r="R23" s="210"/>
      <c r="S23" s="2403"/>
      <c r="T23" s="2403"/>
      <c r="U23" s="2403"/>
      <c r="V23" s="2403"/>
      <c r="W23" s="2403"/>
      <c r="X23" s="2403"/>
    </row>
    <row r="24" spans="1:24" s="699" customFormat="1" ht="20.100000000000001" hidden="1" customHeight="1">
      <c r="A24" s="2473"/>
      <c r="B24" s="2473"/>
      <c r="C24" s="2473"/>
      <c r="D24" s="2473"/>
      <c r="E24" s="2473"/>
      <c r="F24" s="2473"/>
      <c r="G24" s="2472"/>
      <c r="H24" s="2472"/>
      <c r="I24" s="2472"/>
      <c r="J24" s="2472"/>
      <c r="K24" s="2472"/>
      <c r="L24" s="2472"/>
      <c r="M24" s="2474">
        <v>0</v>
      </c>
      <c r="N24" s="2475"/>
      <c r="O24" s="2475"/>
      <c r="P24" s="2475"/>
      <c r="Q24" s="2475"/>
      <c r="R24" s="721"/>
      <c r="S24" s="2476"/>
      <c r="T24" s="2476"/>
      <c r="U24" s="2476"/>
      <c r="V24" s="2476"/>
      <c r="W24" s="2476"/>
      <c r="X24" s="2476"/>
    </row>
    <row r="25" spans="1:24" s="699" customFormat="1" ht="20.100000000000001" hidden="1" customHeight="1">
      <c r="A25" s="2404" t="s">
        <v>460</v>
      </c>
      <c r="B25" s="2404"/>
      <c r="C25" s="2404"/>
      <c r="D25" s="2404"/>
      <c r="E25" s="2404"/>
      <c r="F25" s="2404"/>
      <c r="G25" s="2469"/>
      <c r="H25" s="2469"/>
      <c r="I25" s="2469"/>
      <c r="J25" s="2469"/>
      <c r="K25" s="2469"/>
      <c r="L25" s="2469"/>
      <c r="M25" s="2447">
        <f>SUM(M22:Q24)</f>
        <v>0</v>
      </c>
      <c r="N25" s="2447"/>
      <c r="O25" s="2447"/>
      <c r="P25" s="2447"/>
      <c r="Q25" s="2447"/>
      <c r="R25" s="716"/>
      <c r="S25" s="2470"/>
      <c r="T25" s="2470"/>
      <c r="U25" s="2470"/>
      <c r="V25" s="2470"/>
      <c r="W25" s="2470"/>
      <c r="X25" s="2470"/>
    </row>
    <row r="26" spans="1:24" ht="12" hidden="1" customHeight="1">
      <c r="A26" s="717"/>
      <c r="B26" s="718"/>
      <c r="C26" s="719"/>
      <c r="D26" s="719"/>
      <c r="E26" s="719"/>
      <c r="F26" s="719"/>
      <c r="G26" s="719"/>
    </row>
    <row r="27" spans="1:24" ht="21" hidden="1" customHeight="1">
      <c r="B27" s="720"/>
      <c r="C27" s="720"/>
      <c r="D27" s="720"/>
      <c r="E27" s="720"/>
      <c r="F27" s="720"/>
      <c r="G27" s="720"/>
      <c r="H27" s="720"/>
      <c r="I27" s="2396" t="s">
        <v>846</v>
      </c>
      <c r="J27" s="2396"/>
      <c r="K27" s="2396"/>
      <c r="L27" s="2396"/>
      <c r="M27" s="2396"/>
      <c r="N27" s="2396"/>
      <c r="O27" s="2396"/>
      <c r="P27" s="2396"/>
      <c r="Q27" s="720"/>
      <c r="R27" s="720"/>
      <c r="S27" s="720"/>
      <c r="T27" s="720"/>
      <c r="U27" s="720"/>
      <c r="V27" s="720"/>
      <c r="W27" s="720"/>
      <c r="X27" s="720"/>
    </row>
    <row r="28" spans="1:24" ht="15" hidden="1" customHeight="1">
      <c r="A28" s="697"/>
      <c r="B28" s="698"/>
      <c r="C28" s="698"/>
      <c r="D28" s="698"/>
      <c r="E28" s="698"/>
      <c r="F28" s="698"/>
      <c r="G28" s="698"/>
      <c r="H28" s="698"/>
      <c r="I28" s="698"/>
      <c r="J28" s="698"/>
      <c r="K28" s="698"/>
      <c r="L28" s="698"/>
      <c r="M28" s="698"/>
      <c r="N28" s="698"/>
      <c r="O28" s="698"/>
      <c r="P28" s="698"/>
      <c r="Q28" s="698"/>
      <c r="R28" s="698"/>
      <c r="S28" s="698"/>
      <c r="T28" s="698"/>
      <c r="U28" s="698"/>
      <c r="V28" s="698"/>
      <c r="W28" s="698"/>
      <c r="X28" s="698"/>
    </row>
    <row r="29" spans="1:24" s="699" customFormat="1" ht="22.5" hidden="1" customHeight="1">
      <c r="A29" s="2414" t="s">
        <v>847</v>
      </c>
      <c r="B29" s="2414"/>
      <c r="C29" s="2414"/>
      <c r="D29" s="2414"/>
      <c r="E29" s="2414"/>
      <c r="F29" s="2414"/>
      <c r="G29" s="2438" t="s">
        <v>837</v>
      </c>
      <c r="H29" s="2438"/>
      <c r="I29" s="2438"/>
      <c r="J29" s="2438"/>
      <c r="K29" s="2438"/>
      <c r="L29" s="2438"/>
      <c r="M29" s="2438" t="s">
        <v>848</v>
      </c>
      <c r="N29" s="2438"/>
      <c r="O29" s="2438"/>
      <c r="P29" s="2438"/>
      <c r="Q29" s="2438"/>
      <c r="R29" s="2438"/>
      <c r="S29" s="2417" t="s">
        <v>838</v>
      </c>
      <c r="T29" s="2417"/>
      <c r="U29" s="2417"/>
      <c r="V29" s="2417"/>
      <c r="W29" s="2417"/>
      <c r="X29" s="2417"/>
    </row>
    <row r="30" spans="1:24" s="699" customFormat="1" ht="9" hidden="1" customHeight="1">
      <c r="A30" s="722"/>
      <c r="B30" s="723"/>
      <c r="C30" s="723"/>
      <c r="D30" s="723"/>
      <c r="E30" s="723"/>
      <c r="F30" s="724"/>
      <c r="G30" s="725"/>
      <c r="H30" s="723"/>
      <c r="I30" s="723"/>
      <c r="J30" s="723"/>
      <c r="K30" s="723"/>
      <c r="L30" s="704" t="s">
        <v>551</v>
      </c>
      <c r="M30" s="703"/>
      <c r="N30" s="701"/>
      <c r="O30" s="701"/>
      <c r="P30" s="701"/>
      <c r="Q30" s="701"/>
      <c r="R30" s="726"/>
      <c r="S30" s="703"/>
      <c r="T30" s="701"/>
      <c r="U30" s="701"/>
      <c r="V30" s="701"/>
      <c r="W30" s="701"/>
      <c r="X30" s="705"/>
    </row>
    <row r="31" spans="1:24" s="699" customFormat="1" ht="22.5" hidden="1" customHeight="1">
      <c r="A31" s="2442" t="s">
        <v>217</v>
      </c>
      <c r="B31" s="2442"/>
      <c r="C31" s="2442"/>
      <c r="D31" s="2442"/>
      <c r="E31" s="2442"/>
      <c r="F31" s="2442"/>
      <c r="G31" s="2466"/>
      <c r="H31" s="2466"/>
      <c r="I31" s="2466"/>
      <c r="J31" s="2466"/>
      <c r="K31" s="2466"/>
      <c r="L31" s="727"/>
      <c r="M31" s="2445" t="s">
        <v>482</v>
      </c>
      <c r="N31" s="2445"/>
      <c r="O31" s="2445"/>
      <c r="P31" s="2445"/>
      <c r="Q31" s="2445"/>
      <c r="R31" s="2445"/>
      <c r="S31" s="2467" t="s">
        <v>849</v>
      </c>
      <c r="T31" s="2467"/>
      <c r="U31" s="2467"/>
      <c r="V31" s="2467"/>
      <c r="W31" s="2467"/>
      <c r="X31" s="2467"/>
    </row>
    <row r="32" spans="1:24" s="699" customFormat="1" ht="22.5" hidden="1" customHeight="1">
      <c r="A32" s="2404" t="s">
        <v>460</v>
      </c>
      <c r="B32" s="2404"/>
      <c r="C32" s="2404"/>
      <c r="D32" s="2404"/>
      <c r="E32" s="2404"/>
      <c r="F32" s="2404"/>
      <c r="G32" s="2447">
        <f>SUM(G31:G31)</f>
        <v>0</v>
      </c>
      <c r="H32" s="2447"/>
      <c r="I32" s="2447"/>
      <c r="J32" s="2447"/>
      <c r="K32" s="2447"/>
      <c r="L32" s="728"/>
      <c r="M32" s="2448"/>
      <c r="N32" s="2448"/>
      <c r="O32" s="2448"/>
      <c r="P32" s="2448"/>
      <c r="Q32" s="2448"/>
      <c r="R32" s="2448"/>
      <c r="S32" s="2449"/>
      <c r="T32" s="2449"/>
      <c r="U32" s="2449"/>
      <c r="V32" s="2449"/>
      <c r="W32" s="2449"/>
      <c r="X32" s="2449"/>
    </row>
    <row r="33" spans="1:24" ht="23.25" hidden="1" customHeight="1">
      <c r="A33" s="717"/>
      <c r="B33" s="718"/>
      <c r="C33" s="719"/>
      <c r="D33" s="719"/>
      <c r="E33" s="719"/>
      <c r="F33" s="719"/>
      <c r="G33" s="2468"/>
      <c r="H33" s="2468"/>
      <c r="I33" s="2468"/>
      <c r="J33" s="2468"/>
      <c r="K33" s="2468"/>
    </row>
    <row r="34" spans="1:24" ht="20.100000000000001" hidden="1" customHeight="1">
      <c r="B34" s="720"/>
      <c r="C34" s="720"/>
      <c r="D34" s="720"/>
      <c r="E34" s="720"/>
      <c r="F34" s="720"/>
      <c r="G34" s="720"/>
      <c r="H34" s="720"/>
      <c r="I34" s="2396" t="s">
        <v>850</v>
      </c>
      <c r="J34" s="2396"/>
      <c r="K34" s="2396"/>
      <c r="L34" s="2396"/>
      <c r="M34" s="2396"/>
      <c r="N34" s="2396"/>
      <c r="O34" s="2396"/>
      <c r="P34" s="2396"/>
      <c r="Q34" s="720"/>
      <c r="R34" s="720"/>
      <c r="S34" s="720"/>
      <c r="T34" s="720"/>
      <c r="U34" s="720"/>
      <c r="V34" s="720"/>
      <c r="W34" s="720"/>
      <c r="X34" s="720"/>
    </row>
    <row r="35" spans="1:24" ht="12" hidden="1" customHeight="1">
      <c r="A35" s="697"/>
      <c r="B35" s="698"/>
      <c r="C35" s="698"/>
      <c r="D35" s="698"/>
      <c r="E35" s="698"/>
      <c r="F35" s="698"/>
      <c r="G35" s="698"/>
      <c r="H35" s="698"/>
      <c r="I35" s="698"/>
      <c r="J35" s="698"/>
      <c r="K35" s="698"/>
      <c r="L35" s="698"/>
      <c r="M35" s="698"/>
      <c r="N35" s="698"/>
      <c r="O35" s="698"/>
      <c r="P35" s="698"/>
      <c r="Q35" s="698"/>
      <c r="R35" s="698"/>
      <c r="S35" s="698"/>
      <c r="T35" s="698"/>
      <c r="U35" s="698"/>
      <c r="V35" s="698"/>
      <c r="W35" s="698"/>
      <c r="X35" s="698"/>
    </row>
    <row r="36" spans="1:24" s="699" customFormat="1" ht="20.100000000000001" hidden="1" customHeight="1">
      <c r="A36" s="2414" t="s">
        <v>847</v>
      </c>
      <c r="B36" s="2414"/>
      <c r="C36" s="2414"/>
      <c r="D36" s="2414"/>
      <c r="E36" s="2414"/>
      <c r="F36" s="2414"/>
      <c r="G36" s="2438" t="s">
        <v>837</v>
      </c>
      <c r="H36" s="2438"/>
      <c r="I36" s="2438"/>
      <c r="J36" s="2438"/>
      <c r="K36" s="2438"/>
      <c r="L36" s="2438"/>
      <c r="M36" s="2438" t="s">
        <v>848</v>
      </c>
      <c r="N36" s="2438"/>
      <c r="O36" s="2438"/>
      <c r="P36" s="2438"/>
      <c r="Q36" s="2438"/>
      <c r="R36" s="2438"/>
      <c r="S36" s="2417" t="s">
        <v>838</v>
      </c>
      <c r="T36" s="2417"/>
      <c r="U36" s="2417"/>
      <c r="V36" s="2417"/>
      <c r="W36" s="2417"/>
      <c r="X36" s="2417"/>
    </row>
    <row r="37" spans="1:24" s="699" customFormat="1" ht="9" hidden="1" customHeight="1">
      <c r="A37" s="700"/>
      <c r="B37" s="701"/>
      <c r="C37" s="701"/>
      <c r="D37" s="701"/>
      <c r="E37" s="701"/>
      <c r="F37" s="702"/>
      <c r="G37" s="703"/>
      <c r="H37" s="701"/>
      <c r="I37" s="701"/>
      <c r="J37" s="701"/>
      <c r="K37" s="701"/>
      <c r="L37" s="704" t="s">
        <v>551</v>
      </c>
      <c r="M37" s="703"/>
      <c r="N37" s="701"/>
      <c r="O37" s="701"/>
      <c r="P37" s="701"/>
      <c r="Q37" s="701"/>
      <c r="R37" s="726"/>
      <c r="S37" s="703"/>
      <c r="T37" s="701"/>
      <c r="U37" s="701"/>
      <c r="V37" s="701"/>
      <c r="W37" s="701"/>
      <c r="X37" s="705"/>
    </row>
    <row r="38" spans="1:24" s="699" customFormat="1" ht="20.100000000000001" hidden="1" customHeight="1">
      <c r="A38" s="2442"/>
      <c r="B38" s="2442"/>
      <c r="C38" s="2442"/>
      <c r="D38" s="2442"/>
      <c r="E38" s="2442"/>
      <c r="F38" s="2442"/>
      <c r="G38" s="2465">
        <v>0</v>
      </c>
      <c r="H38" s="2466"/>
      <c r="I38" s="2466"/>
      <c r="J38" s="2466"/>
      <c r="K38" s="2466"/>
      <c r="L38" s="729"/>
      <c r="M38" s="2445"/>
      <c r="N38" s="2445"/>
      <c r="O38" s="2445"/>
      <c r="P38" s="2445"/>
      <c r="Q38" s="2445"/>
      <c r="R38" s="2445"/>
      <c r="S38" s="2446"/>
      <c r="T38" s="2446"/>
      <c r="U38" s="2446"/>
      <c r="V38" s="2446"/>
      <c r="W38" s="2446"/>
      <c r="X38" s="2446"/>
    </row>
    <row r="39" spans="1:24" s="699" customFormat="1" ht="20.100000000000001" hidden="1" customHeight="1">
      <c r="A39" s="2442"/>
      <c r="B39" s="2442"/>
      <c r="C39" s="2442"/>
      <c r="D39" s="2442"/>
      <c r="E39" s="2442"/>
      <c r="F39" s="2442"/>
      <c r="G39" s="2465">
        <v>0</v>
      </c>
      <c r="H39" s="2466"/>
      <c r="I39" s="2466"/>
      <c r="J39" s="2466"/>
      <c r="K39" s="2466"/>
      <c r="L39" s="730"/>
      <c r="M39" s="2445"/>
      <c r="N39" s="2445"/>
      <c r="O39" s="2445"/>
      <c r="P39" s="2445"/>
      <c r="Q39" s="2445"/>
      <c r="R39" s="2445"/>
      <c r="S39" s="2446"/>
      <c r="T39" s="2446"/>
      <c r="U39" s="2446"/>
      <c r="V39" s="2446"/>
      <c r="W39" s="2446"/>
      <c r="X39" s="2446"/>
    </row>
    <row r="40" spans="1:24" s="699" customFormat="1" ht="20.100000000000001" hidden="1" customHeight="1">
      <c r="A40" s="2442"/>
      <c r="B40" s="2442"/>
      <c r="C40" s="2442"/>
      <c r="D40" s="2442"/>
      <c r="E40" s="2442"/>
      <c r="F40" s="2442"/>
      <c r="G40" s="2465">
        <v>0</v>
      </c>
      <c r="H40" s="2466"/>
      <c r="I40" s="2466"/>
      <c r="J40" s="2466"/>
      <c r="K40" s="2466"/>
      <c r="L40" s="727"/>
      <c r="M40" s="2445"/>
      <c r="N40" s="2445"/>
      <c r="O40" s="2445"/>
      <c r="P40" s="2445"/>
      <c r="Q40" s="2445"/>
      <c r="R40" s="2445"/>
      <c r="S40" s="2446"/>
      <c r="T40" s="2446"/>
      <c r="U40" s="2446"/>
      <c r="V40" s="2446"/>
      <c r="W40" s="2446"/>
      <c r="X40" s="2446"/>
    </row>
    <row r="41" spans="1:24" s="699" customFormat="1" ht="20.100000000000001" hidden="1" customHeight="1">
      <c r="A41" s="2442"/>
      <c r="B41" s="2442"/>
      <c r="C41" s="2442"/>
      <c r="D41" s="2442"/>
      <c r="E41" s="2442"/>
      <c r="F41" s="2442"/>
      <c r="G41" s="2465">
        <v>0</v>
      </c>
      <c r="H41" s="2466"/>
      <c r="I41" s="2466"/>
      <c r="J41" s="2466"/>
      <c r="K41" s="2466"/>
      <c r="L41" s="721"/>
      <c r="M41" s="2445"/>
      <c r="N41" s="2445"/>
      <c r="O41" s="2445"/>
      <c r="P41" s="2445"/>
      <c r="Q41" s="2445"/>
      <c r="R41" s="2445"/>
      <c r="S41" s="2446"/>
      <c r="T41" s="2446"/>
      <c r="U41" s="2446"/>
      <c r="V41" s="2446"/>
      <c r="W41" s="2446"/>
      <c r="X41" s="2446"/>
    </row>
    <row r="42" spans="1:24" s="699" customFormat="1" ht="20.100000000000001" hidden="1" customHeight="1">
      <c r="A42" s="2404" t="s">
        <v>460</v>
      </c>
      <c r="B42" s="2404"/>
      <c r="C42" s="2404"/>
      <c r="D42" s="2404"/>
      <c r="E42" s="2404"/>
      <c r="F42" s="2404"/>
      <c r="G42" s="2454">
        <f>SUM(G38:K41)</f>
        <v>0</v>
      </c>
      <c r="H42" s="2454"/>
      <c r="I42" s="2454"/>
      <c r="J42" s="2454"/>
      <c r="K42" s="2454"/>
      <c r="L42" s="731"/>
      <c r="M42" s="2448"/>
      <c r="N42" s="2448"/>
      <c r="O42" s="2448"/>
      <c r="P42" s="2448"/>
      <c r="Q42" s="2448"/>
      <c r="R42" s="2448"/>
      <c r="S42" s="2449"/>
      <c r="T42" s="2449"/>
      <c r="U42" s="2449"/>
      <c r="V42" s="2449"/>
      <c r="W42" s="2449"/>
      <c r="X42" s="2449"/>
    </row>
    <row r="43" spans="1:24" ht="12" customHeight="1">
      <c r="A43" s="732"/>
      <c r="B43" s="732"/>
      <c r="C43" s="732"/>
      <c r="D43" s="732"/>
      <c r="E43" s="732"/>
      <c r="F43" s="732"/>
      <c r="G43" s="290"/>
      <c r="H43" s="290"/>
      <c r="I43" s="290"/>
      <c r="J43" s="290"/>
      <c r="K43" s="290"/>
      <c r="L43" s="733"/>
      <c r="M43" s="734"/>
      <c r="N43" s="734"/>
      <c r="O43" s="734"/>
      <c r="P43" s="734"/>
      <c r="Q43" s="734"/>
      <c r="R43" s="734"/>
      <c r="S43" s="735"/>
      <c r="T43" s="735"/>
      <c r="U43" s="735"/>
      <c r="V43" s="735"/>
      <c r="W43" s="735"/>
      <c r="X43" s="735"/>
    </row>
    <row r="44" spans="1:24" ht="21" customHeight="1">
      <c r="B44" s="720"/>
      <c r="C44" s="720"/>
      <c r="D44" s="720"/>
      <c r="E44" s="720"/>
      <c r="F44" s="720"/>
      <c r="G44" s="720"/>
      <c r="H44" s="720"/>
      <c r="I44" s="2396" t="s">
        <v>851</v>
      </c>
      <c r="J44" s="2396"/>
      <c r="K44" s="2396"/>
      <c r="L44" s="2396"/>
      <c r="M44" s="2396"/>
      <c r="N44" s="2396"/>
      <c r="O44" s="2396"/>
      <c r="P44" s="2396"/>
      <c r="Q44" s="720"/>
      <c r="R44" s="720"/>
      <c r="S44" s="720"/>
      <c r="T44" s="720"/>
      <c r="U44" s="720"/>
      <c r="V44" s="720"/>
      <c r="W44" s="720"/>
      <c r="X44" s="720"/>
    </row>
    <row r="45" spans="1:24" ht="15" customHeight="1">
      <c r="A45" s="697"/>
      <c r="B45" s="698"/>
      <c r="C45" s="698"/>
      <c r="D45" s="698"/>
      <c r="E45" s="698"/>
      <c r="F45" s="698"/>
      <c r="G45" s="698"/>
      <c r="H45" s="698"/>
      <c r="I45" s="698"/>
      <c r="J45" s="698"/>
      <c r="K45" s="698"/>
      <c r="L45" s="698"/>
      <c r="M45" s="698"/>
      <c r="N45" s="698"/>
      <c r="O45" s="698"/>
      <c r="P45" s="698"/>
      <c r="Q45" s="698"/>
      <c r="R45" s="698"/>
      <c r="S45" s="698"/>
      <c r="T45" s="698"/>
      <c r="U45" s="698"/>
      <c r="V45" s="698"/>
      <c r="W45" s="698"/>
      <c r="X45" s="698"/>
    </row>
    <row r="46" spans="1:24" s="699" customFormat="1" ht="22.5" customHeight="1">
      <c r="A46" s="2414" t="s">
        <v>847</v>
      </c>
      <c r="B46" s="2414"/>
      <c r="C46" s="2414"/>
      <c r="D46" s="2414"/>
      <c r="E46" s="2414"/>
      <c r="F46" s="2414"/>
      <c r="G46" s="2438" t="s">
        <v>837</v>
      </c>
      <c r="H46" s="2438"/>
      <c r="I46" s="2438"/>
      <c r="J46" s="2438"/>
      <c r="K46" s="2438"/>
      <c r="L46" s="2438"/>
      <c r="M46" s="2438" t="s">
        <v>848</v>
      </c>
      <c r="N46" s="2438"/>
      <c r="O46" s="2438"/>
      <c r="P46" s="2438"/>
      <c r="Q46" s="2438"/>
      <c r="R46" s="2438"/>
      <c r="S46" s="2417" t="s">
        <v>838</v>
      </c>
      <c r="T46" s="2417"/>
      <c r="U46" s="2417"/>
      <c r="V46" s="2417"/>
      <c r="W46" s="2417"/>
      <c r="X46" s="2417"/>
    </row>
    <row r="47" spans="1:24" s="699" customFormat="1" ht="9" customHeight="1">
      <c r="A47" s="700"/>
      <c r="B47" s="701"/>
      <c r="C47" s="701"/>
      <c r="D47" s="701"/>
      <c r="E47" s="701"/>
      <c r="F47" s="702"/>
      <c r="G47" s="703"/>
      <c r="H47" s="701"/>
      <c r="I47" s="701"/>
      <c r="J47" s="701"/>
      <c r="K47" s="701"/>
      <c r="L47" s="704" t="s">
        <v>551</v>
      </c>
      <c r="M47" s="703"/>
      <c r="N47" s="701"/>
      <c r="O47" s="701"/>
      <c r="P47" s="701"/>
      <c r="Q47" s="701"/>
      <c r="R47" s="726"/>
      <c r="S47" s="703"/>
      <c r="T47" s="701"/>
      <c r="U47" s="701"/>
      <c r="V47" s="701"/>
      <c r="W47" s="701"/>
      <c r="X47" s="705"/>
    </row>
    <row r="48" spans="1:24" s="699" customFormat="1" ht="22.5" customHeight="1">
      <c r="A48" s="2442" t="s">
        <v>196</v>
      </c>
      <c r="B48" s="2442"/>
      <c r="C48" s="2442"/>
      <c r="D48" s="2442"/>
      <c r="E48" s="2442"/>
      <c r="F48" s="2442"/>
      <c r="G48" s="3109">
        <v>54568</v>
      </c>
      <c r="H48" s="3110"/>
      <c r="I48" s="3110"/>
      <c r="J48" s="3110"/>
      <c r="K48" s="3110"/>
      <c r="L48" s="730"/>
      <c r="M48" s="2445" t="s">
        <v>482</v>
      </c>
      <c r="N48" s="2445"/>
      <c r="O48" s="2445"/>
      <c r="P48" s="2445"/>
      <c r="Q48" s="2445"/>
      <c r="R48" s="2445"/>
      <c r="S48" s="2446" t="s">
        <v>852</v>
      </c>
      <c r="T48" s="2446"/>
      <c r="U48" s="2446"/>
      <c r="V48" s="2446"/>
      <c r="W48" s="2446"/>
      <c r="X48" s="2446"/>
    </row>
    <row r="49" spans="1:24" s="699" customFormat="1" ht="22.5" customHeight="1">
      <c r="A49" s="2404" t="s">
        <v>460</v>
      </c>
      <c r="B49" s="2404"/>
      <c r="C49" s="2404"/>
      <c r="D49" s="2404"/>
      <c r="E49" s="2404"/>
      <c r="F49" s="2404"/>
      <c r="G49" s="2447">
        <f>SUM(G48:K48)</f>
        <v>54568</v>
      </c>
      <c r="H49" s="2447"/>
      <c r="I49" s="2447"/>
      <c r="J49" s="2447"/>
      <c r="K49" s="2447"/>
      <c r="L49" s="731"/>
      <c r="M49" s="2448"/>
      <c r="N49" s="2448"/>
      <c r="O49" s="2448"/>
      <c r="P49" s="2448"/>
      <c r="Q49" s="2448"/>
      <c r="R49" s="2448"/>
      <c r="S49" s="2449"/>
      <c r="T49" s="2449"/>
      <c r="U49" s="2449"/>
      <c r="V49" s="2449"/>
      <c r="W49" s="2449"/>
      <c r="X49" s="2449"/>
    </row>
    <row r="50" spans="1:24" s="699" customFormat="1" ht="22.5" customHeight="1">
      <c r="A50" s="732"/>
      <c r="B50" s="732"/>
      <c r="C50" s="732"/>
      <c r="D50" s="732"/>
      <c r="E50" s="732"/>
      <c r="F50" s="732"/>
      <c r="G50" s="290"/>
      <c r="H50" s="290"/>
      <c r="I50" s="290"/>
      <c r="J50" s="290"/>
      <c r="K50" s="290"/>
      <c r="L50" s="733"/>
      <c r="M50" s="734"/>
      <c r="N50" s="734"/>
      <c r="O50" s="734"/>
      <c r="P50" s="734"/>
      <c r="Q50" s="734"/>
      <c r="R50" s="734"/>
      <c r="S50" s="735"/>
      <c r="T50" s="735"/>
      <c r="U50" s="735"/>
      <c r="V50" s="735"/>
      <c r="W50" s="735"/>
      <c r="X50" s="735"/>
    </row>
    <row r="51" spans="1:24" ht="20.100000000000001" customHeight="1">
      <c r="B51" s="720"/>
      <c r="C51" s="720"/>
      <c r="D51" s="720"/>
      <c r="E51" s="720"/>
      <c r="F51" s="720"/>
      <c r="G51" s="720"/>
      <c r="H51" s="2396" t="s">
        <v>853</v>
      </c>
      <c r="I51" s="2396"/>
      <c r="J51" s="2396"/>
      <c r="K51" s="2396"/>
      <c r="L51" s="2396"/>
      <c r="M51" s="2396"/>
      <c r="N51" s="2396"/>
      <c r="O51" s="2396"/>
      <c r="P51" s="2396"/>
      <c r="Q51" s="2396"/>
      <c r="R51" s="720"/>
      <c r="S51" s="720"/>
      <c r="T51" s="720"/>
      <c r="U51" s="720"/>
      <c r="V51" s="720"/>
      <c r="W51" s="720"/>
      <c r="X51" s="720"/>
    </row>
    <row r="52" spans="1:24" ht="12" customHeight="1">
      <c r="A52" s="697"/>
      <c r="B52" s="698"/>
      <c r="C52" s="698"/>
      <c r="D52" s="698"/>
      <c r="E52" s="698"/>
      <c r="F52" s="698"/>
      <c r="G52" s="698"/>
      <c r="H52" s="698"/>
      <c r="I52" s="698"/>
      <c r="J52" s="698"/>
      <c r="K52" s="698"/>
      <c r="L52" s="698"/>
      <c r="M52" s="698"/>
      <c r="N52" s="698"/>
      <c r="O52" s="698"/>
      <c r="P52" s="698"/>
      <c r="Q52" s="698"/>
      <c r="R52" s="698"/>
      <c r="S52" s="698"/>
      <c r="T52" s="698"/>
      <c r="U52" s="698"/>
      <c r="V52" s="698"/>
      <c r="W52" s="698"/>
      <c r="X52" s="698"/>
    </row>
    <row r="53" spans="1:24" s="699" customFormat="1" ht="20.100000000000001" customHeight="1">
      <c r="A53" s="2414" t="s">
        <v>847</v>
      </c>
      <c r="B53" s="2414"/>
      <c r="C53" s="2414"/>
      <c r="D53" s="2414"/>
      <c r="E53" s="2414"/>
      <c r="F53" s="2414"/>
      <c r="G53" s="2438" t="s">
        <v>837</v>
      </c>
      <c r="H53" s="2438"/>
      <c r="I53" s="2438"/>
      <c r="J53" s="2438"/>
      <c r="K53" s="2438"/>
      <c r="L53" s="2438"/>
      <c r="M53" s="2438" t="s">
        <v>848</v>
      </c>
      <c r="N53" s="2438"/>
      <c r="O53" s="2438"/>
      <c r="P53" s="2438"/>
      <c r="Q53" s="2438"/>
      <c r="R53" s="2438"/>
      <c r="S53" s="2417" t="s">
        <v>838</v>
      </c>
      <c r="T53" s="2417"/>
      <c r="U53" s="2417"/>
      <c r="V53" s="2417"/>
      <c r="W53" s="2417"/>
      <c r="X53" s="2417"/>
    </row>
    <row r="54" spans="1:24" s="699" customFormat="1" ht="9" customHeight="1">
      <c r="A54" s="700"/>
      <c r="B54" s="701"/>
      <c r="C54" s="701"/>
      <c r="D54" s="701"/>
      <c r="E54" s="701"/>
      <c r="F54" s="702"/>
      <c r="G54" s="703"/>
      <c r="H54" s="701"/>
      <c r="I54" s="701"/>
      <c r="J54" s="701"/>
      <c r="K54" s="701"/>
      <c r="L54" s="704" t="s">
        <v>551</v>
      </c>
      <c r="M54" s="703"/>
      <c r="N54" s="701"/>
      <c r="O54" s="701"/>
      <c r="P54" s="701"/>
      <c r="Q54" s="701"/>
      <c r="R54" s="726"/>
      <c r="S54" s="703"/>
      <c r="T54" s="701"/>
      <c r="U54" s="701"/>
      <c r="V54" s="701"/>
      <c r="W54" s="701"/>
      <c r="X54" s="705"/>
    </row>
    <row r="55" spans="1:24" s="699" customFormat="1" ht="20.100000000000001" customHeight="1">
      <c r="A55" s="2442" t="s">
        <v>197</v>
      </c>
      <c r="B55" s="2442"/>
      <c r="C55" s="2442"/>
      <c r="D55" s="2442"/>
      <c r="E55" s="2442"/>
      <c r="F55" s="2442"/>
      <c r="G55" s="3105">
        <v>59427000</v>
      </c>
      <c r="H55" s="3106"/>
      <c r="I55" s="3106"/>
      <c r="J55" s="3106"/>
      <c r="K55" s="3106"/>
      <c r="L55" s="730"/>
      <c r="M55" s="2464" t="s">
        <v>854</v>
      </c>
      <c r="N55" s="2464"/>
      <c r="O55" s="2464"/>
      <c r="P55" s="2464"/>
      <c r="Q55" s="2464"/>
      <c r="R55" s="2464"/>
      <c r="S55" s="2446"/>
      <c r="T55" s="2446"/>
      <c r="U55" s="2446"/>
      <c r="V55" s="2446"/>
      <c r="W55" s="2446"/>
      <c r="X55" s="2446"/>
    </row>
    <row r="56" spans="1:24" s="699" customFormat="1" ht="20.100000000000001" customHeight="1">
      <c r="A56" s="2404" t="s">
        <v>460</v>
      </c>
      <c r="B56" s="2404"/>
      <c r="C56" s="2404"/>
      <c r="D56" s="2404"/>
      <c r="E56" s="2404"/>
      <c r="F56" s="2404"/>
      <c r="G56" s="2454">
        <f>SUM(G55:K55)</f>
        <v>59427000</v>
      </c>
      <c r="H56" s="2454"/>
      <c r="I56" s="2454"/>
      <c r="J56" s="2454"/>
      <c r="K56" s="2454"/>
      <c r="L56" s="731"/>
      <c r="M56" s="2455"/>
      <c r="N56" s="2455"/>
      <c r="O56" s="2455"/>
      <c r="P56" s="2455"/>
      <c r="Q56" s="2455"/>
      <c r="R56" s="2455"/>
      <c r="S56" s="2456"/>
      <c r="T56" s="2456"/>
      <c r="U56" s="2456"/>
      <c r="V56" s="2456"/>
      <c r="W56" s="2456"/>
      <c r="X56" s="2456"/>
    </row>
    <row r="57" spans="1:24" ht="21" hidden="1" customHeight="1">
      <c r="B57" s="720"/>
      <c r="C57" s="720"/>
      <c r="D57" s="720"/>
      <c r="E57" s="720"/>
      <c r="F57" s="720"/>
      <c r="G57" s="720"/>
      <c r="H57" s="720"/>
      <c r="I57" s="2396" t="s">
        <v>850</v>
      </c>
      <c r="J57" s="2396"/>
      <c r="K57" s="2396"/>
      <c r="L57" s="2396"/>
      <c r="M57" s="2396"/>
      <c r="N57" s="2396"/>
      <c r="O57" s="2396"/>
      <c r="P57" s="2396"/>
      <c r="Q57" s="720"/>
      <c r="R57" s="720"/>
      <c r="S57" s="720"/>
      <c r="T57" s="720"/>
      <c r="U57" s="720"/>
      <c r="V57" s="736"/>
      <c r="W57" s="736"/>
      <c r="X57" s="736"/>
    </row>
    <row r="58" spans="1:24" ht="12" hidden="1" customHeight="1">
      <c r="B58" s="720"/>
      <c r="C58" s="720"/>
      <c r="D58" s="720"/>
      <c r="E58" s="720"/>
      <c r="F58" s="720"/>
      <c r="G58" s="720"/>
      <c r="H58" s="720"/>
      <c r="I58" s="584"/>
      <c r="J58" s="584"/>
      <c r="K58" s="584"/>
      <c r="L58" s="584"/>
      <c r="M58" s="584"/>
      <c r="N58" s="584"/>
      <c r="O58" s="584"/>
      <c r="P58" s="584"/>
      <c r="Q58" s="720"/>
      <c r="R58" s="720"/>
      <c r="S58" s="720"/>
      <c r="T58" s="720"/>
      <c r="U58" s="720"/>
      <c r="V58" s="736"/>
      <c r="W58" s="736"/>
      <c r="X58" s="736"/>
    </row>
    <row r="59" spans="1:24" ht="21" hidden="1" customHeight="1">
      <c r="A59" s="2414" t="s">
        <v>847</v>
      </c>
      <c r="B59" s="2414"/>
      <c r="C59" s="2414"/>
      <c r="D59" s="2414"/>
      <c r="E59" s="2414"/>
      <c r="F59" s="2414"/>
      <c r="G59" s="2438" t="s">
        <v>837</v>
      </c>
      <c r="H59" s="2438"/>
      <c r="I59" s="2438"/>
      <c r="J59" s="2438"/>
      <c r="K59" s="2438"/>
      <c r="L59" s="2438"/>
      <c r="M59" s="2438" t="s">
        <v>848</v>
      </c>
      <c r="N59" s="2438"/>
      <c r="O59" s="2438"/>
      <c r="P59" s="2438"/>
      <c r="Q59" s="2438"/>
      <c r="R59" s="2438"/>
      <c r="S59" s="2417" t="s">
        <v>838</v>
      </c>
      <c r="T59" s="2417"/>
      <c r="U59" s="2417"/>
      <c r="V59" s="2417"/>
      <c r="W59" s="2417"/>
      <c r="X59" s="2417"/>
    </row>
    <row r="60" spans="1:24" ht="9" hidden="1" customHeight="1">
      <c r="A60" s="700"/>
      <c r="B60" s="701"/>
      <c r="C60" s="701"/>
      <c r="D60" s="701"/>
      <c r="E60" s="701"/>
      <c r="F60" s="702"/>
      <c r="G60" s="703"/>
      <c r="H60" s="701"/>
      <c r="I60" s="701"/>
      <c r="J60" s="701"/>
      <c r="K60" s="701"/>
      <c r="L60" s="704" t="s">
        <v>551</v>
      </c>
      <c r="M60" s="703"/>
      <c r="N60" s="701"/>
      <c r="O60" s="701"/>
      <c r="P60" s="701"/>
      <c r="Q60" s="701"/>
      <c r="R60" s="726"/>
      <c r="S60" s="703"/>
      <c r="T60" s="701"/>
      <c r="U60" s="701"/>
      <c r="V60" s="701"/>
      <c r="W60" s="701"/>
      <c r="X60" s="705"/>
    </row>
    <row r="61" spans="1:24" s="210" customFormat="1" ht="18" hidden="1" customHeight="1">
      <c r="A61" s="2442"/>
      <c r="B61" s="2442"/>
      <c r="C61" s="2442"/>
      <c r="D61" s="2442"/>
      <c r="E61" s="2442"/>
      <c r="F61" s="2442"/>
      <c r="G61" s="2459">
        <v>0</v>
      </c>
      <c r="H61" s="2460"/>
      <c r="I61" s="2460"/>
      <c r="J61" s="2460"/>
      <c r="K61" s="2460"/>
      <c r="L61" s="737"/>
      <c r="M61" s="2463"/>
      <c r="N61" s="2463"/>
      <c r="O61" s="2463"/>
      <c r="P61" s="2463"/>
      <c r="Q61" s="2463"/>
      <c r="R61" s="2463"/>
      <c r="S61" s="2427"/>
      <c r="T61" s="2427"/>
      <c r="U61" s="2427"/>
      <c r="V61" s="2427"/>
      <c r="W61" s="2427"/>
      <c r="X61" s="2427"/>
    </row>
    <row r="62" spans="1:24" s="210" customFormat="1" ht="18" hidden="1" customHeight="1">
      <c r="A62" s="2442"/>
      <c r="B62" s="2442"/>
      <c r="C62" s="2442"/>
      <c r="D62" s="2442"/>
      <c r="E62" s="2442"/>
      <c r="F62" s="2442"/>
      <c r="G62" s="2459">
        <v>0</v>
      </c>
      <c r="H62" s="2460"/>
      <c r="I62" s="2460"/>
      <c r="J62" s="2460"/>
      <c r="K62" s="2460"/>
      <c r="L62" s="737"/>
      <c r="M62" s="2461"/>
      <c r="N62" s="2461"/>
      <c r="O62" s="2461"/>
      <c r="P62" s="2461"/>
      <c r="Q62" s="2461"/>
      <c r="R62" s="2461"/>
      <c r="S62" s="2462"/>
      <c r="T62" s="2462"/>
      <c r="U62" s="2462"/>
      <c r="V62" s="2462"/>
      <c r="W62" s="2462"/>
      <c r="X62" s="2462"/>
    </row>
    <row r="63" spans="1:24" s="210" customFormat="1" ht="21" hidden="1" customHeight="1">
      <c r="A63" s="2404" t="s">
        <v>460</v>
      </c>
      <c r="B63" s="2404"/>
      <c r="C63" s="2404"/>
      <c r="D63" s="2404"/>
      <c r="E63" s="2404"/>
      <c r="F63" s="2404"/>
      <c r="G63" s="2454">
        <f>SUM(G61:K62)</f>
        <v>0</v>
      </c>
      <c r="H63" s="2454"/>
      <c r="I63" s="2454"/>
      <c r="J63" s="2454"/>
      <c r="K63" s="2454"/>
      <c r="L63" s="731"/>
      <c r="M63" s="2455"/>
      <c r="N63" s="2455"/>
      <c r="O63" s="2455"/>
      <c r="P63" s="2455"/>
      <c r="Q63" s="2455"/>
      <c r="R63" s="2455"/>
      <c r="S63" s="2456"/>
      <c r="T63" s="2456"/>
      <c r="U63" s="2456"/>
      <c r="V63" s="2456"/>
      <c r="W63" s="2456"/>
      <c r="X63" s="2456"/>
    </row>
    <row r="64" spans="1:24" s="210" customFormat="1" ht="12" customHeight="1">
      <c r="A64" s="732"/>
      <c r="B64" s="732"/>
      <c r="C64" s="732"/>
      <c r="D64" s="732"/>
      <c r="E64" s="732"/>
      <c r="F64" s="732"/>
      <c r="G64" s="290"/>
      <c r="H64" s="290"/>
      <c r="I64" s="290"/>
      <c r="J64" s="290"/>
      <c r="K64" s="290"/>
      <c r="L64" s="733"/>
      <c r="M64" s="734"/>
      <c r="N64" s="734"/>
      <c r="O64" s="734"/>
      <c r="P64" s="734"/>
      <c r="Q64" s="734"/>
      <c r="R64" s="734"/>
      <c r="S64" s="735"/>
      <c r="T64" s="735"/>
      <c r="U64" s="735"/>
      <c r="V64" s="735"/>
      <c r="W64" s="735"/>
      <c r="X64" s="735"/>
    </row>
    <row r="65" spans="1:24" ht="20.100000000000001" customHeight="1">
      <c r="B65" s="720"/>
      <c r="C65" s="720"/>
      <c r="D65" s="720"/>
      <c r="E65" s="720"/>
      <c r="F65" s="720"/>
      <c r="G65" s="720"/>
      <c r="H65" s="720"/>
      <c r="I65" s="2396" t="s">
        <v>855</v>
      </c>
      <c r="J65" s="2396"/>
      <c r="K65" s="2396"/>
      <c r="L65" s="2396"/>
      <c r="M65" s="2396"/>
      <c r="N65" s="2396"/>
      <c r="O65" s="2396"/>
      <c r="P65" s="2396"/>
      <c r="Q65" s="720"/>
      <c r="R65" s="720"/>
      <c r="S65" s="720"/>
      <c r="T65" s="720"/>
      <c r="U65" s="720"/>
      <c r="V65" s="736"/>
      <c r="W65" s="736"/>
      <c r="X65" s="736"/>
    </row>
    <row r="66" spans="1:24" ht="12" customHeight="1">
      <c r="B66" s="720"/>
      <c r="C66" s="720"/>
      <c r="D66" s="720"/>
      <c r="E66" s="720"/>
      <c r="F66" s="720"/>
      <c r="G66" s="720"/>
      <c r="H66" s="720"/>
      <c r="I66" s="584"/>
      <c r="J66" s="584"/>
      <c r="K66" s="584"/>
      <c r="L66" s="584"/>
      <c r="M66" s="584"/>
      <c r="N66" s="584"/>
      <c r="O66" s="584"/>
      <c r="P66" s="584"/>
      <c r="Q66" s="720"/>
      <c r="R66" s="720"/>
      <c r="S66" s="720"/>
      <c r="T66" s="720"/>
      <c r="U66" s="720"/>
      <c r="V66" s="736"/>
      <c r="W66" s="736"/>
      <c r="X66" s="736"/>
    </row>
    <row r="67" spans="1:24" ht="20.100000000000001" customHeight="1">
      <c r="A67" s="2414" t="s">
        <v>847</v>
      </c>
      <c r="B67" s="2414"/>
      <c r="C67" s="2414"/>
      <c r="D67" s="2414"/>
      <c r="E67" s="2414"/>
      <c r="F67" s="2414"/>
      <c r="G67" s="2438" t="s">
        <v>837</v>
      </c>
      <c r="H67" s="2438"/>
      <c r="I67" s="2438"/>
      <c r="J67" s="2438"/>
      <c r="K67" s="2438"/>
      <c r="L67" s="2438"/>
      <c r="M67" s="2438" t="s">
        <v>848</v>
      </c>
      <c r="N67" s="2438"/>
      <c r="O67" s="2438"/>
      <c r="P67" s="2438"/>
      <c r="Q67" s="2438"/>
      <c r="R67" s="2438"/>
      <c r="S67" s="2417" t="s">
        <v>838</v>
      </c>
      <c r="T67" s="2417"/>
      <c r="U67" s="2417"/>
      <c r="V67" s="2417"/>
      <c r="W67" s="2417"/>
      <c r="X67" s="2417"/>
    </row>
    <row r="68" spans="1:24" ht="9" customHeight="1">
      <c r="A68" s="700"/>
      <c r="B68" s="701"/>
      <c r="C68" s="701"/>
      <c r="D68" s="701"/>
      <c r="E68" s="701"/>
      <c r="F68" s="702"/>
      <c r="G68" s="703"/>
      <c r="H68" s="701"/>
      <c r="I68" s="701"/>
      <c r="J68" s="701"/>
      <c r="K68" s="701"/>
      <c r="L68" s="704" t="s">
        <v>551</v>
      </c>
      <c r="M68" s="703"/>
      <c r="N68" s="701"/>
      <c r="O68" s="701"/>
      <c r="P68" s="701"/>
      <c r="Q68" s="701"/>
      <c r="R68" s="726"/>
      <c r="S68" s="703"/>
      <c r="T68" s="701"/>
      <c r="U68" s="701"/>
      <c r="V68" s="701"/>
      <c r="W68" s="701"/>
      <c r="X68" s="705"/>
    </row>
    <row r="69" spans="1:24" s="210" customFormat="1" ht="22.5" customHeight="1">
      <c r="A69" s="2442" t="s">
        <v>198</v>
      </c>
      <c r="B69" s="2442"/>
      <c r="C69" s="2442"/>
      <c r="D69" s="2442"/>
      <c r="E69" s="2442"/>
      <c r="F69" s="2442"/>
      <c r="G69" s="3109">
        <v>12773988</v>
      </c>
      <c r="H69" s="3110"/>
      <c r="I69" s="3110"/>
      <c r="J69" s="3110"/>
      <c r="K69" s="3110"/>
      <c r="L69" s="737"/>
      <c r="M69" s="2452" t="s">
        <v>482</v>
      </c>
      <c r="N69" s="2452"/>
      <c r="O69" s="2452"/>
      <c r="P69" s="2452"/>
      <c r="Q69" s="2452"/>
      <c r="R69" s="2452"/>
      <c r="S69" s="2458" t="s">
        <v>856</v>
      </c>
      <c r="T69" s="2458"/>
      <c r="U69" s="2458"/>
      <c r="V69" s="2458"/>
      <c r="W69" s="2458"/>
      <c r="X69" s="2458"/>
    </row>
    <row r="70" spans="1:24" s="210" customFormat="1" ht="22.5" customHeight="1">
      <c r="A70" s="2442" t="s">
        <v>199</v>
      </c>
      <c r="B70" s="2442"/>
      <c r="C70" s="2442"/>
      <c r="D70" s="2442"/>
      <c r="E70" s="2442"/>
      <c r="F70" s="2442"/>
      <c r="G70" s="3109">
        <v>3156259</v>
      </c>
      <c r="H70" s="3110"/>
      <c r="I70" s="3110"/>
      <c r="J70" s="3110"/>
      <c r="K70" s="3110"/>
      <c r="L70" s="737"/>
      <c r="M70" s="2452" t="s">
        <v>241</v>
      </c>
      <c r="N70" s="2452"/>
      <c r="O70" s="2452"/>
      <c r="P70" s="2452"/>
      <c r="Q70" s="2452"/>
      <c r="R70" s="2452"/>
      <c r="S70" s="2458" t="s">
        <v>241</v>
      </c>
      <c r="T70" s="2458"/>
      <c r="U70" s="2458"/>
      <c r="V70" s="2458"/>
      <c r="W70" s="2458"/>
      <c r="X70" s="2458"/>
    </row>
    <row r="71" spans="1:24" s="210" customFormat="1" ht="22.5" customHeight="1">
      <c r="A71" s="2442" t="s">
        <v>113</v>
      </c>
      <c r="B71" s="2442"/>
      <c r="C71" s="2442"/>
      <c r="D71" s="2442"/>
      <c r="E71" s="2442"/>
      <c r="F71" s="2442"/>
      <c r="G71" s="3109">
        <v>2861495</v>
      </c>
      <c r="H71" s="3110"/>
      <c r="I71" s="3110"/>
      <c r="J71" s="3110"/>
      <c r="K71" s="3110"/>
      <c r="L71" s="737"/>
      <c r="M71" s="1943" t="s">
        <v>241</v>
      </c>
      <c r="N71" s="1943"/>
      <c r="O71" s="1943"/>
      <c r="P71" s="1943"/>
      <c r="Q71" s="1943"/>
      <c r="R71" s="1943"/>
      <c r="S71" s="2457" t="s">
        <v>241</v>
      </c>
      <c r="T71" s="2457"/>
      <c r="U71" s="2457"/>
      <c r="V71" s="2457"/>
      <c r="W71" s="2457"/>
      <c r="X71" s="2457"/>
    </row>
    <row r="72" spans="1:24" s="210" customFormat="1" ht="22.5" customHeight="1">
      <c r="A72" s="2442" t="s">
        <v>92</v>
      </c>
      <c r="B72" s="2442"/>
      <c r="C72" s="2442"/>
      <c r="D72" s="2442"/>
      <c r="E72" s="2442"/>
      <c r="F72" s="2442"/>
      <c r="G72" s="3109">
        <v>6392500</v>
      </c>
      <c r="H72" s="3110"/>
      <c r="I72" s="3110"/>
      <c r="J72" s="3110"/>
      <c r="K72" s="3110"/>
      <c r="L72" s="737"/>
      <c r="M72" s="1943" t="s">
        <v>241</v>
      </c>
      <c r="N72" s="1943"/>
      <c r="O72" s="1943"/>
      <c r="P72" s="1943"/>
      <c r="Q72" s="1943"/>
      <c r="R72" s="1943"/>
      <c r="S72" s="2457" t="s">
        <v>241</v>
      </c>
      <c r="T72" s="2457"/>
      <c r="U72" s="2457"/>
      <c r="V72" s="2457"/>
      <c r="W72" s="2457"/>
      <c r="X72" s="2457"/>
    </row>
    <row r="73" spans="1:24" s="210" customFormat="1" ht="22.5" customHeight="1">
      <c r="A73" s="2442" t="s">
        <v>175</v>
      </c>
      <c r="B73" s="2442"/>
      <c r="C73" s="2442"/>
      <c r="D73" s="2442"/>
      <c r="E73" s="2442"/>
      <c r="F73" s="2442"/>
      <c r="G73" s="3109">
        <v>4622428</v>
      </c>
      <c r="H73" s="3110"/>
      <c r="I73" s="3110"/>
      <c r="J73" s="3110"/>
      <c r="K73" s="3110"/>
      <c r="L73" s="737"/>
      <c r="M73" s="2040" t="s">
        <v>857</v>
      </c>
      <c r="N73" s="2040"/>
      <c r="O73" s="2040"/>
      <c r="P73" s="2040"/>
      <c r="Q73" s="2040"/>
      <c r="R73" s="2040"/>
      <c r="S73" s="2453" t="s">
        <v>95</v>
      </c>
      <c r="T73" s="2453"/>
      <c r="U73" s="2453"/>
      <c r="V73" s="2453"/>
      <c r="W73" s="2453"/>
      <c r="X73" s="2453"/>
    </row>
    <row r="74" spans="1:24" s="210" customFormat="1" ht="22.5" customHeight="1">
      <c r="A74" s="2442" t="s">
        <v>98</v>
      </c>
      <c r="B74" s="2442"/>
      <c r="C74" s="2442"/>
      <c r="D74" s="2442"/>
      <c r="E74" s="2442"/>
      <c r="F74" s="2442"/>
      <c r="G74" s="3109">
        <v>11834281</v>
      </c>
      <c r="H74" s="3110"/>
      <c r="I74" s="3110"/>
      <c r="J74" s="3110"/>
      <c r="K74" s="3110"/>
      <c r="L74" s="738"/>
      <c r="M74" s="2452" t="s">
        <v>12</v>
      </c>
      <c r="N74" s="2452"/>
      <c r="O74" s="2452"/>
      <c r="P74" s="2452"/>
      <c r="Q74" s="2452"/>
      <c r="R74" s="2452"/>
      <c r="S74" s="2453" t="s">
        <v>858</v>
      </c>
      <c r="T74" s="2453"/>
      <c r="U74" s="2453"/>
      <c r="V74" s="2453"/>
      <c r="W74" s="2453"/>
      <c r="X74" s="2453"/>
    </row>
    <row r="75" spans="1:24" s="210" customFormat="1" ht="22.5" customHeight="1">
      <c r="A75" s="2404" t="s">
        <v>460</v>
      </c>
      <c r="B75" s="2404"/>
      <c r="C75" s="2404"/>
      <c r="D75" s="2404"/>
      <c r="E75" s="2404"/>
      <c r="F75" s="2404"/>
      <c r="G75" s="2454">
        <f>SUM(G69:K74)</f>
        <v>41640951</v>
      </c>
      <c r="H75" s="2454"/>
      <c r="I75" s="2454"/>
      <c r="J75" s="2454"/>
      <c r="K75" s="2454"/>
      <c r="L75" s="728"/>
      <c r="M75" s="2455"/>
      <c r="N75" s="2455"/>
      <c r="O75" s="2455"/>
      <c r="P75" s="2455"/>
      <c r="Q75" s="2455"/>
      <c r="R75" s="2455"/>
      <c r="S75" s="2456"/>
      <c r="T75" s="2456"/>
      <c r="U75" s="2456"/>
      <c r="V75" s="2456"/>
      <c r="W75" s="2456"/>
      <c r="X75" s="2456"/>
    </row>
    <row r="76" spans="1:24" ht="12" customHeight="1">
      <c r="A76" s="732"/>
      <c r="B76" s="732"/>
      <c r="C76" s="732"/>
      <c r="D76" s="732"/>
      <c r="E76" s="732"/>
      <c r="F76" s="732"/>
      <c r="G76" s="290"/>
      <c r="H76" s="290"/>
      <c r="I76" s="290"/>
      <c r="J76" s="290"/>
      <c r="K76" s="739"/>
      <c r="L76" s="734"/>
      <c r="M76" s="734"/>
      <c r="N76" s="734"/>
      <c r="O76" s="734"/>
      <c r="P76" s="734"/>
      <c r="Q76" s="734"/>
      <c r="R76" s="740"/>
      <c r="S76" s="740"/>
      <c r="T76" s="740"/>
      <c r="U76" s="740"/>
      <c r="V76" s="740"/>
      <c r="W76" s="740"/>
      <c r="X76" s="740"/>
    </row>
    <row r="77" spans="1:24" ht="22.5" customHeight="1">
      <c r="B77" s="720"/>
      <c r="C77" s="720"/>
      <c r="D77" s="720"/>
      <c r="E77" s="720"/>
      <c r="F77" s="720"/>
      <c r="G77" s="720"/>
      <c r="H77" s="720"/>
      <c r="I77" s="2396" t="s">
        <v>859</v>
      </c>
      <c r="J77" s="2396"/>
      <c r="K77" s="2396"/>
      <c r="L77" s="2396"/>
      <c r="M77" s="2396"/>
      <c r="N77" s="2396"/>
      <c r="O77" s="2396"/>
      <c r="P77" s="2396"/>
      <c r="Q77" s="720"/>
      <c r="R77" s="720"/>
      <c r="S77" s="720"/>
      <c r="T77" s="720"/>
      <c r="U77" s="720"/>
      <c r="V77" s="720"/>
      <c r="W77" s="720"/>
      <c r="X77" s="720"/>
    </row>
    <row r="78" spans="1:24" ht="12" customHeight="1">
      <c r="A78" s="697"/>
      <c r="B78" s="698"/>
      <c r="C78" s="698"/>
      <c r="D78" s="698"/>
      <c r="E78" s="698"/>
      <c r="F78" s="698"/>
      <c r="G78" s="698"/>
      <c r="H78" s="698"/>
      <c r="I78" s="698"/>
      <c r="J78" s="698"/>
      <c r="K78" s="698"/>
      <c r="L78" s="698"/>
      <c r="M78" s="698"/>
      <c r="N78" s="698"/>
      <c r="O78" s="698"/>
      <c r="P78" s="698"/>
      <c r="Q78" s="698"/>
      <c r="R78" s="698"/>
      <c r="S78" s="698"/>
      <c r="T78" s="698"/>
      <c r="U78" s="698"/>
      <c r="V78" s="698"/>
      <c r="W78" s="698"/>
      <c r="X78" s="698"/>
    </row>
    <row r="79" spans="1:24" s="699" customFormat="1" ht="22.5" customHeight="1">
      <c r="A79" s="2414" t="s">
        <v>847</v>
      </c>
      <c r="B79" s="2414"/>
      <c r="C79" s="2414"/>
      <c r="D79" s="2414"/>
      <c r="E79" s="2414"/>
      <c r="F79" s="2414"/>
      <c r="G79" s="2438" t="s">
        <v>837</v>
      </c>
      <c r="H79" s="2438"/>
      <c r="I79" s="2438"/>
      <c r="J79" s="2438"/>
      <c r="K79" s="2438"/>
      <c r="L79" s="2438"/>
      <c r="M79" s="2438" t="s">
        <v>848</v>
      </c>
      <c r="N79" s="2438"/>
      <c r="O79" s="2438"/>
      <c r="P79" s="2438"/>
      <c r="Q79" s="2438"/>
      <c r="R79" s="2438"/>
      <c r="S79" s="2417" t="s">
        <v>838</v>
      </c>
      <c r="T79" s="2417"/>
      <c r="U79" s="2417"/>
      <c r="V79" s="2417"/>
      <c r="W79" s="2417"/>
      <c r="X79" s="2417"/>
    </row>
    <row r="80" spans="1:24" s="699" customFormat="1" ht="9" customHeight="1">
      <c r="A80" s="700"/>
      <c r="B80" s="701"/>
      <c r="C80" s="701"/>
      <c r="D80" s="701"/>
      <c r="E80" s="701"/>
      <c r="F80" s="702"/>
      <c r="G80" s="703"/>
      <c r="H80" s="701"/>
      <c r="I80" s="701"/>
      <c r="J80" s="701"/>
      <c r="K80" s="701"/>
      <c r="L80" s="704" t="s">
        <v>551</v>
      </c>
      <c r="M80" s="703"/>
      <c r="N80" s="701"/>
      <c r="O80" s="701"/>
      <c r="P80" s="701"/>
      <c r="Q80" s="701"/>
      <c r="R80" s="726"/>
      <c r="S80" s="703"/>
      <c r="T80" s="701"/>
      <c r="U80" s="701"/>
      <c r="V80" s="701"/>
      <c r="W80" s="701"/>
      <c r="X80" s="705"/>
    </row>
    <row r="81" spans="1:24" s="699" customFormat="1" ht="22.5" customHeight="1">
      <c r="A81" s="2442" t="s">
        <v>200</v>
      </c>
      <c r="B81" s="2442"/>
      <c r="C81" s="2442"/>
      <c r="D81" s="2442"/>
      <c r="E81" s="2442"/>
      <c r="F81" s="2442"/>
      <c r="G81" s="3105">
        <v>6050</v>
      </c>
      <c r="H81" s="3106"/>
      <c r="I81" s="3106"/>
      <c r="J81" s="3106"/>
      <c r="K81" s="3106"/>
      <c r="L81" s="730"/>
      <c r="M81" s="2445" t="s">
        <v>482</v>
      </c>
      <c r="N81" s="2445"/>
      <c r="O81" s="2445"/>
      <c r="P81" s="2445"/>
      <c r="Q81" s="2445"/>
      <c r="R81" s="2445"/>
      <c r="S81" s="2446" t="s">
        <v>860</v>
      </c>
      <c r="T81" s="2446"/>
      <c r="U81" s="2446"/>
      <c r="V81" s="2446"/>
      <c r="W81" s="2446"/>
      <c r="X81" s="2446"/>
    </row>
    <row r="82" spans="1:24" s="699" customFormat="1" ht="22.5" customHeight="1">
      <c r="A82" s="2404" t="s">
        <v>460</v>
      </c>
      <c r="B82" s="2404"/>
      <c r="C82" s="2404"/>
      <c r="D82" s="2404"/>
      <c r="E82" s="2404"/>
      <c r="F82" s="2404"/>
      <c r="G82" s="2447">
        <f>SUM(G81:K81)</f>
        <v>6050</v>
      </c>
      <c r="H82" s="2447"/>
      <c r="I82" s="2447"/>
      <c r="J82" s="2447"/>
      <c r="K82" s="2447"/>
      <c r="L82" s="731"/>
      <c r="M82" s="2448"/>
      <c r="N82" s="2448"/>
      <c r="O82" s="2448"/>
      <c r="P82" s="2448"/>
      <c r="Q82" s="2448"/>
      <c r="R82" s="2448"/>
      <c r="S82" s="2449"/>
      <c r="T82" s="2449"/>
      <c r="U82" s="2449"/>
      <c r="V82" s="2449"/>
      <c r="W82" s="2449"/>
      <c r="X82" s="2449"/>
    </row>
    <row r="83" spans="1:24" s="699" customFormat="1" ht="13.5" customHeight="1">
      <c r="A83" s="732"/>
      <c r="B83" s="732"/>
      <c r="C83" s="732"/>
      <c r="D83" s="732"/>
      <c r="E83" s="732"/>
      <c r="F83" s="732"/>
      <c r="G83" s="290"/>
      <c r="H83" s="290"/>
      <c r="I83" s="290"/>
      <c r="J83" s="290"/>
      <c r="K83" s="290"/>
      <c r="L83" s="733"/>
      <c r="M83" s="734"/>
      <c r="N83" s="734"/>
      <c r="O83" s="734"/>
      <c r="P83" s="734"/>
      <c r="Q83" s="734"/>
      <c r="R83" s="734"/>
      <c r="S83" s="735"/>
      <c r="T83" s="735"/>
      <c r="U83" s="735"/>
      <c r="V83" s="735"/>
      <c r="W83" s="735"/>
      <c r="X83" s="735"/>
    </row>
    <row r="84" spans="1:24" ht="22.5" customHeight="1">
      <c r="B84" s="720"/>
      <c r="C84" s="720"/>
      <c r="D84" s="720"/>
      <c r="E84" s="720"/>
      <c r="F84" s="720"/>
      <c r="G84" s="720"/>
      <c r="H84" s="720"/>
      <c r="I84" s="2396" t="s">
        <v>861</v>
      </c>
      <c r="J84" s="2396"/>
      <c r="K84" s="2396"/>
      <c r="L84" s="2396"/>
      <c r="M84" s="2396"/>
      <c r="N84" s="2396"/>
      <c r="O84" s="2396"/>
      <c r="P84" s="2396"/>
      <c r="Q84" s="720"/>
      <c r="R84" s="720"/>
      <c r="S84" s="720"/>
      <c r="T84" s="720"/>
      <c r="U84" s="720"/>
      <c r="V84" s="720"/>
      <c r="W84" s="720"/>
      <c r="X84" s="720"/>
    </row>
    <row r="85" spans="1:24" ht="12" customHeight="1">
      <c r="A85" s="697"/>
      <c r="B85" s="698"/>
      <c r="C85" s="698"/>
      <c r="D85" s="698"/>
      <c r="E85" s="698"/>
      <c r="F85" s="698"/>
      <c r="G85" s="698"/>
      <c r="H85" s="698"/>
      <c r="I85" s="698"/>
      <c r="J85" s="698"/>
      <c r="K85" s="698"/>
      <c r="L85" s="698"/>
      <c r="M85" s="698"/>
      <c r="N85" s="698"/>
      <c r="O85" s="698"/>
      <c r="P85" s="698"/>
      <c r="Q85" s="698"/>
      <c r="R85" s="698"/>
      <c r="S85" s="698"/>
      <c r="T85" s="698"/>
      <c r="U85" s="698"/>
      <c r="V85" s="698"/>
      <c r="W85" s="698"/>
      <c r="X85" s="698"/>
    </row>
    <row r="86" spans="1:24" s="699" customFormat="1" ht="14.25" customHeight="1">
      <c r="A86" s="2436" t="s">
        <v>610</v>
      </c>
      <c r="B86" s="2436"/>
      <c r="C86" s="2436"/>
      <c r="D86" s="2436"/>
      <c r="E86" s="2437" t="s">
        <v>862</v>
      </c>
      <c r="F86" s="2437"/>
      <c r="G86" s="2437"/>
      <c r="H86" s="2437"/>
      <c r="I86" s="2438" t="s">
        <v>863</v>
      </c>
      <c r="J86" s="2438"/>
      <c r="K86" s="2438"/>
      <c r="L86" s="2438"/>
      <c r="M86" s="2438"/>
      <c r="N86" s="2438"/>
      <c r="O86" s="2438"/>
      <c r="P86" s="2438"/>
      <c r="Q86" s="2438"/>
      <c r="R86" s="2439" t="s">
        <v>864</v>
      </c>
      <c r="S86" s="2439"/>
      <c r="T86" s="2439"/>
      <c r="U86" s="2439"/>
      <c r="V86" s="2417" t="s">
        <v>865</v>
      </c>
      <c r="W86" s="2417"/>
      <c r="X86" s="2417"/>
    </row>
    <row r="87" spans="1:24" s="699" customFormat="1" ht="14.25" customHeight="1">
      <c r="A87" s="2436"/>
      <c r="B87" s="2436"/>
      <c r="C87" s="2436"/>
      <c r="D87" s="2436"/>
      <c r="E87" s="2437"/>
      <c r="F87" s="2437"/>
      <c r="G87" s="2437"/>
      <c r="H87" s="2437"/>
      <c r="I87" s="2440" t="s">
        <v>866</v>
      </c>
      <c r="J87" s="2440"/>
      <c r="K87" s="2440"/>
      <c r="L87" s="2441" t="s">
        <v>867</v>
      </c>
      <c r="M87" s="2441"/>
      <c r="N87" s="2441"/>
      <c r="O87" s="2441" t="s">
        <v>868</v>
      </c>
      <c r="P87" s="2441"/>
      <c r="Q87" s="2441"/>
      <c r="R87" s="2439"/>
      <c r="S87" s="2439"/>
      <c r="T87" s="2439"/>
      <c r="U87" s="2439"/>
      <c r="V87" s="2417"/>
      <c r="W87" s="2417"/>
      <c r="X87" s="2417"/>
    </row>
    <row r="88" spans="1:24" s="699" customFormat="1" ht="9" customHeight="1">
      <c r="A88" s="700"/>
      <c r="B88" s="701"/>
      <c r="C88" s="701"/>
      <c r="D88" s="702"/>
      <c r="E88" s="701"/>
      <c r="F88" s="701"/>
      <c r="G88" s="701"/>
      <c r="H88" s="702"/>
      <c r="I88" s="701"/>
      <c r="J88" s="701"/>
      <c r="K88" s="702"/>
      <c r="L88" s="701"/>
      <c r="M88" s="701"/>
      <c r="N88" s="702"/>
      <c r="O88" s="701"/>
      <c r="P88" s="701"/>
      <c r="Q88" s="741" t="s">
        <v>551</v>
      </c>
      <c r="R88" s="701"/>
      <c r="S88" s="701"/>
      <c r="T88" s="701"/>
      <c r="U88" s="741" t="s">
        <v>551</v>
      </c>
      <c r="V88" s="703"/>
      <c r="W88" s="701"/>
      <c r="X88" s="742"/>
    </row>
    <row r="89" spans="1:24" s="699" customFormat="1" ht="22.5" customHeight="1">
      <c r="A89" s="2432" t="s">
        <v>34</v>
      </c>
      <c r="B89" s="2432"/>
      <c r="C89" s="2432"/>
      <c r="D89" s="2432"/>
      <c r="E89" s="3111" t="str">
        <f>"任意継続組合員の"&amp;CHAR(10)&amp;"令和"&amp;TEXT((入力ガイド!$C$6+1),"0")&amp;"年度"&amp;"分前納"</f>
        <v>任意継続組合員の
令和8年度分前納</v>
      </c>
      <c r="F89" s="3111"/>
      <c r="G89" s="3111"/>
      <c r="H89" s="3111"/>
      <c r="I89" s="3112" t="s">
        <v>869</v>
      </c>
      <c r="J89" s="3112"/>
      <c r="K89" s="3112"/>
      <c r="L89" s="3112" t="s">
        <v>870</v>
      </c>
      <c r="M89" s="3112"/>
      <c r="N89" s="3112"/>
      <c r="O89" s="3113">
        <v>34502619</v>
      </c>
      <c r="P89" s="3114"/>
      <c r="Q89" s="3114"/>
      <c r="R89" s="2434">
        <f>O89</f>
        <v>34502619</v>
      </c>
      <c r="S89" s="2434"/>
      <c r="T89" s="2434"/>
      <c r="U89" s="2434"/>
      <c r="V89" s="2427"/>
      <c r="W89" s="2427"/>
      <c r="X89" s="2427"/>
    </row>
    <row r="90" spans="1:24" s="743" customFormat="1" ht="22.5" customHeight="1">
      <c r="A90" s="2435" t="s">
        <v>35</v>
      </c>
      <c r="B90" s="2435"/>
      <c r="C90" s="2435"/>
      <c r="D90" s="2435"/>
      <c r="E90" s="3115" t="str">
        <f>"任意継続組合員の"&amp;CHAR(10)&amp;"令和"&amp;TEXT((入力ガイド!$C$6+1),"0")&amp;"年度"&amp;"分前納"</f>
        <v>任意継続組合員の
令和8年度分前納</v>
      </c>
      <c r="F90" s="3115"/>
      <c r="G90" s="3115"/>
      <c r="H90" s="3115"/>
      <c r="I90" s="3112" t="s">
        <v>869</v>
      </c>
      <c r="J90" s="3112"/>
      <c r="K90" s="3112"/>
      <c r="L90" s="3112" t="s">
        <v>870</v>
      </c>
      <c r="M90" s="3112"/>
      <c r="N90" s="3112"/>
      <c r="O90" s="3113">
        <v>1200582</v>
      </c>
      <c r="P90" s="3114"/>
      <c r="Q90" s="3114"/>
      <c r="R90" s="2426">
        <f>O90</f>
        <v>1200582</v>
      </c>
      <c r="S90" s="2426"/>
      <c r="T90" s="2426"/>
      <c r="U90" s="2426"/>
      <c r="V90" s="2427"/>
      <c r="W90" s="2427"/>
      <c r="X90" s="2427"/>
    </row>
    <row r="91" spans="1:24" s="743" customFormat="1" ht="22.5" customHeight="1">
      <c r="A91" s="2421" t="s">
        <v>871</v>
      </c>
      <c r="B91" s="2421"/>
      <c r="C91" s="2421"/>
      <c r="D91" s="2421"/>
      <c r="E91" s="3115" t="str">
        <f>"任意継続組合員の"&amp;CHAR(10)&amp;"令和"&amp;TEXT((入力ガイド!$C$6+1),"0")&amp;"年度"&amp;"分前納"</f>
        <v>任意継続組合員の
令和8年度分前納</v>
      </c>
      <c r="F91" s="3115"/>
      <c r="G91" s="3115"/>
      <c r="H91" s="3115"/>
      <c r="I91" s="3112" t="s">
        <v>869</v>
      </c>
      <c r="J91" s="3112"/>
      <c r="K91" s="3112"/>
      <c r="L91" s="3112" t="s">
        <v>870</v>
      </c>
      <c r="M91" s="3112"/>
      <c r="N91" s="3112"/>
      <c r="O91" s="3113">
        <v>765054</v>
      </c>
      <c r="P91" s="3114"/>
      <c r="Q91" s="3114"/>
      <c r="R91" s="2426">
        <f>O91</f>
        <v>765054</v>
      </c>
      <c r="S91" s="2426"/>
      <c r="T91" s="2426"/>
      <c r="U91" s="2426"/>
      <c r="V91" s="2427"/>
      <c r="W91" s="2427"/>
      <c r="X91" s="2427"/>
    </row>
    <row r="92" spans="1:24" ht="22.5" customHeight="1">
      <c r="A92" s="2404" t="s">
        <v>428</v>
      </c>
      <c r="B92" s="2404"/>
      <c r="C92" s="2404"/>
      <c r="D92" s="2404"/>
      <c r="E92" s="2428"/>
      <c r="F92" s="2428"/>
      <c r="G92" s="2428"/>
      <c r="H92" s="2428"/>
      <c r="I92" s="2428"/>
      <c r="J92" s="2428"/>
      <c r="K92" s="2428"/>
      <c r="L92" s="2428"/>
      <c r="M92" s="2428"/>
      <c r="N92" s="2428"/>
      <c r="O92" s="2429">
        <f>SUM(O89:Q91)</f>
        <v>36468255</v>
      </c>
      <c r="P92" s="2429"/>
      <c r="Q92" s="2429"/>
      <c r="R92" s="2430">
        <f>SUM(R89:U91)</f>
        <v>36468255</v>
      </c>
      <c r="S92" s="2430"/>
      <c r="T92" s="2430"/>
      <c r="U92" s="2430"/>
      <c r="V92" s="2431"/>
      <c r="W92" s="2431"/>
      <c r="X92" s="2431"/>
    </row>
    <row r="93" spans="1:24" ht="12" customHeight="1">
      <c r="A93" s="732"/>
      <c r="B93" s="732"/>
      <c r="C93" s="732"/>
      <c r="D93" s="732"/>
      <c r="E93" s="732"/>
      <c r="F93" s="732"/>
      <c r="G93" s="732"/>
      <c r="H93" s="732"/>
      <c r="I93" s="732"/>
      <c r="J93" s="732"/>
      <c r="K93" s="732"/>
      <c r="L93" s="732"/>
      <c r="M93" s="732"/>
      <c r="N93" s="732"/>
      <c r="O93" s="744"/>
      <c r="P93" s="744"/>
      <c r="Q93" s="744"/>
      <c r="R93" s="744"/>
      <c r="S93" s="745"/>
      <c r="T93" s="745"/>
      <c r="U93" s="745"/>
      <c r="V93" s="734"/>
      <c r="W93" s="734"/>
      <c r="X93" s="734"/>
    </row>
    <row r="94" spans="1:24" ht="13.5" customHeight="1">
      <c r="A94" s="732"/>
      <c r="B94" s="732"/>
      <c r="C94" s="732"/>
      <c r="D94" s="732"/>
      <c r="E94" s="732"/>
      <c r="F94" s="732"/>
      <c r="G94" s="732"/>
      <c r="H94" s="732"/>
      <c r="I94" s="732"/>
      <c r="J94" s="732"/>
      <c r="K94" s="732"/>
      <c r="L94" s="732"/>
      <c r="M94" s="732"/>
      <c r="N94" s="732"/>
      <c r="O94" s="744"/>
      <c r="P94" s="744"/>
      <c r="Q94" s="744"/>
      <c r="R94" s="744"/>
      <c r="S94" s="745"/>
      <c r="T94" s="745"/>
      <c r="U94" s="745"/>
      <c r="V94" s="734"/>
      <c r="W94" s="734"/>
      <c r="X94" s="734"/>
    </row>
    <row r="95" spans="1:24" ht="22.5" customHeight="1">
      <c r="A95" s="732"/>
      <c r="B95" s="732"/>
      <c r="C95" s="732"/>
      <c r="D95" s="732"/>
      <c r="E95" s="732"/>
      <c r="F95" s="732"/>
      <c r="G95" s="290"/>
      <c r="H95" s="290"/>
      <c r="I95" s="2413" t="s">
        <v>872</v>
      </c>
      <c r="J95" s="2413"/>
      <c r="K95" s="2413"/>
      <c r="L95" s="2413"/>
      <c r="M95" s="2413"/>
      <c r="N95" s="2413"/>
      <c r="O95" s="2413"/>
      <c r="P95" s="2413"/>
      <c r="Q95" s="734"/>
      <c r="R95" s="734"/>
      <c r="S95" s="735"/>
      <c r="T95" s="735"/>
      <c r="U95" s="735"/>
      <c r="V95" s="735"/>
      <c r="W95" s="735"/>
      <c r="X95" s="735"/>
    </row>
    <row r="96" spans="1:24" ht="12" customHeight="1"/>
    <row r="97" spans="1:24" ht="22.5" customHeight="1">
      <c r="A97" s="2414" t="s">
        <v>873</v>
      </c>
      <c r="B97" s="2414"/>
      <c r="C97" s="2414"/>
      <c r="D97" s="2414"/>
      <c r="E97" s="2415" t="s">
        <v>874</v>
      </c>
      <c r="F97" s="2415"/>
      <c r="G97" s="2415"/>
      <c r="H97" s="2415"/>
      <c r="I97" s="2415" t="s">
        <v>875</v>
      </c>
      <c r="J97" s="2415"/>
      <c r="K97" s="2415"/>
      <c r="L97" s="2415"/>
      <c r="M97" s="2415" t="s">
        <v>876</v>
      </c>
      <c r="N97" s="2415"/>
      <c r="O97" s="2415"/>
      <c r="P97" s="2415"/>
      <c r="Q97" s="2416" t="s">
        <v>877</v>
      </c>
      <c r="R97" s="2416"/>
      <c r="S97" s="2416"/>
      <c r="T97" s="2416"/>
      <c r="U97" s="2417" t="s">
        <v>878</v>
      </c>
      <c r="V97" s="2417"/>
      <c r="W97" s="2417"/>
      <c r="X97" s="2417"/>
    </row>
    <row r="98" spans="1:24" ht="9.75" customHeight="1">
      <c r="A98" s="2418"/>
      <c r="B98" s="2418"/>
      <c r="C98" s="2418"/>
      <c r="D98" s="2418"/>
      <c r="E98" s="2419" t="s">
        <v>551</v>
      </c>
      <c r="F98" s="2419"/>
      <c r="G98" s="2419"/>
      <c r="H98" s="2419"/>
      <c r="I98" s="2419" t="s">
        <v>551</v>
      </c>
      <c r="J98" s="2419"/>
      <c r="K98" s="2419"/>
      <c r="L98" s="2419"/>
      <c r="M98" s="2419" t="s">
        <v>551</v>
      </c>
      <c r="N98" s="2419"/>
      <c r="O98" s="2419"/>
      <c r="P98" s="2419"/>
      <c r="Q98" s="2419" t="s">
        <v>551</v>
      </c>
      <c r="R98" s="2419"/>
      <c r="S98" s="2419"/>
      <c r="T98" s="2419"/>
      <c r="U98" s="2420"/>
      <c r="V98" s="2420"/>
      <c r="W98" s="2420"/>
      <c r="X98" s="2420"/>
    </row>
    <row r="99" spans="1:24" ht="22.5" customHeight="1">
      <c r="A99" s="2408" t="s">
        <v>201</v>
      </c>
      <c r="B99" s="2408"/>
      <c r="C99" s="2408"/>
      <c r="D99" s="2408"/>
      <c r="E99" s="3116">
        <f>前年度貼付!$E$180</f>
        <v>480287584</v>
      </c>
      <c r="F99" s="3116"/>
      <c r="G99" s="3116"/>
      <c r="H99" s="3116"/>
      <c r="I99" s="3117">
        <v>53296628</v>
      </c>
      <c r="J99" s="3118"/>
      <c r="K99" s="3118"/>
      <c r="L99" s="3118"/>
      <c r="M99" s="2401"/>
      <c r="N99" s="2401"/>
      <c r="O99" s="2401"/>
      <c r="P99" s="2401"/>
      <c r="Q99" s="2411">
        <f>E99+I99-M99</f>
        <v>533584212</v>
      </c>
      <c r="R99" s="2411"/>
      <c r="S99" s="2411"/>
      <c r="T99" s="2411"/>
      <c r="U99" s="2412"/>
      <c r="V99" s="2412"/>
      <c r="W99" s="2412"/>
      <c r="X99" s="2412"/>
    </row>
    <row r="100" spans="1:24" s="743" customFormat="1" ht="22.5" customHeight="1">
      <c r="A100" s="2398" t="s">
        <v>202</v>
      </c>
      <c r="B100" s="2398"/>
      <c r="C100" s="2398"/>
      <c r="D100" s="2398"/>
      <c r="E100" s="3116">
        <f>前年度貼付!$E$181</f>
        <v>1646038250</v>
      </c>
      <c r="F100" s="3116"/>
      <c r="G100" s="3116"/>
      <c r="H100" s="3116"/>
      <c r="I100" s="3118">
        <f>短期_財務諸表!C63-短期_財務諸表!G61-I99</f>
        <v>712029781</v>
      </c>
      <c r="J100" s="3118"/>
      <c r="K100" s="3118"/>
      <c r="L100" s="3118"/>
      <c r="M100" s="2401"/>
      <c r="N100" s="2401"/>
      <c r="O100" s="2401"/>
      <c r="P100" s="2401"/>
      <c r="Q100" s="2411">
        <f>E100+I100-M100</f>
        <v>2358068031</v>
      </c>
      <c r="R100" s="2411"/>
      <c r="S100" s="2411"/>
      <c r="T100" s="2411"/>
      <c r="U100" s="2403"/>
      <c r="V100" s="2403"/>
      <c r="W100" s="2403"/>
      <c r="X100" s="2403"/>
    </row>
    <row r="101" spans="1:24" s="743" customFormat="1" ht="22.5" customHeight="1">
      <c r="A101" s="2398" t="s">
        <v>203</v>
      </c>
      <c r="B101" s="2398"/>
      <c r="C101" s="2398"/>
      <c r="D101" s="2398"/>
      <c r="E101" s="3119">
        <f>前年度貼付!$E$182</f>
        <v>111039759</v>
      </c>
      <c r="F101" s="3119"/>
      <c r="G101" s="3119"/>
      <c r="H101" s="3119"/>
      <c r="I101" s="3118">
        <f>短期_財務諸表!C64-短期_財務諸表!G62</f>
        <v>47443772</v>
      </c>
      <c r="J101" s="3118"/>
      <c r="K101" s="3118"/>
      <c r="L101" s="3118"/>
      <c r="M101" s="2401"/>
      <c r="N101" s="2401"/>
      <c r="O101" s="2401"/>
      <c r="P101" s="2401"/>
      <c r="Q101" s="2402">
        <f>E101+I101-M101</f>
        <v>158483531</v>
      </c>
      <c r="R101" s="2402"/>
      <c r="S101" s="2402"/>
      <c r="T101" s="2402"/>
      <c r="U101" s="2403"/>
      <c r="V101" s="2403"/>
      <c r="W101" s="2403"/>
      <c r="X101" s="2403"/>
    </row>
    <row r="102" spans="1:24" ht="22.5" customHeight="1">
      <c r="A102" s="2404" t="s">
        <v>879</v>
      </c>
      <c r="B102" s="2404"/>
      <c r="C102" s="2404"/>
      <c r="D102" s="2404"/>
      <c r="E102" s="2405">
        <f>SUM(E99:H101)</f>
        <v>2237365593</v>
      </c>
      <c r="F102" s="2405"/>
      <c r="G102" s="2405"/>
      <c r="H102" s="2405"/>
      <c r="I102" s="2406">
        <f>SUM(I99:L101)</f>
        <v>812770181</v>
      </c>
      <c r="J102" s="2406"/>
      <c r="K102" s="2406"/>
      <c r="L102" s="2406"/>
      <c r="M102" s="2406">
        <f>SUM(M99:P101)</f>
        <v>0</v>
      </c>
      <c r="N102" s="2406"/>
      <c r="O102" s="2406"/>
      <c r="P102" s="2406"/>
      <c r="Q102" s="2405">
        <f>SUM(Q99:T101)</f>
        <v>3050135774</v>
      </c>
      <c r="R102" s="2405"/>
      <c r="S102" s="2405"/>
      <c r="T102" s="2405"/>
      <c r="U102" s="2407"/>
      <c r="V102" s="2407"/>
      <c r="W102" s="2407"/>
      <c r="X102" s="2407"/>
    </row>
    <row r="103" spans="1:24" ht="20.100000000000001" customHeight="1">
      <c r="A103" s="732"/>
      <c r="B103" s="732"/>
      <c r="C103" s="732"/>
      <c r="D103" s="732"/>
      <c r="E103" s="290"/>
      <c r="F103" s="290"/>
      <c r="G103" s="290"/>
      <c r="H103" s="290"/>
      <c r="I103" s="290"/>
      <c r="J103" s="290"/>
      <c r="K103" s="290"/>
      <c r="L103" s="290"/>
      <c r="M103" s="290"/>
      <c r="N103" s="290"/>
      <c r="O103" s="290"/>
      <c r="P103" s="290"/>
      <c r="Q103" s="290"/>
      <c r="R103" s="290"/>
      <c r="S103" s="290"/>
      <c r="T103" s="290"/>
      <c r="U103" s="714"/>
      <c r="V103" s="714"/>
      <c r="W103" s="714"/>
      <c r="X103" s="714"/>
    </row>
    <row r="104" spans="1:24" s="699" customFormat="1" ht="22.5" customHeight="1">
      <c r="I104" s="2396" t="s">
        <v>880</v>
      </c>
      <c r="J104" s="2396"/>
      <c r="K104" s="2396"/>
      <c r="L104" s="2396"/>
      <c r="M104" s="2396"/>
      <c r="N104" s="2396"/>
      <c r="O104" s="2396"/>
      <c r="P104" s="2396"/>
    </row>
    <row r="105" spans="1:24" s="699" customFormat="1" ht="12" customHeight="1"/>
    <row r="106" spans="1:24" s="699" customFormat="1" ht="18" customHeight="1">
      <c r="A106" s="210"/>
      <c r="B106" s="210"/>
      <c r="C106" s="210"/>
      <c r="D106" s="210"/>
      <c r="E106" s="210"/>
      <c r="F106" s="210"/>
      <c r="G106" s="3120"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06" s="3120"/>
      <c r="I106" s="3120"/>
      <c r="J106" s="3120"/>
      <c r="K106" s="3120"/>
      <c r="L106" s="3120"/>
      <c r="M106" s="3120"/>
      <c r="N106" s="3120"/>
      <c r="O106" s="3120"/>
      <c r="P106" s="3120"/>
      <c r="Q106" s="3120"/>
      <c r="R106" s="3120"/>
      <c r="S106" s="210"/>
      <c r="T106" s="210"/>
      <c r="U106" s="210"/>
      <c r="V106" s="210"/>
      <c r="W106" s="210"/>
    </row>
    <row r="107" spans="1:24" s="699" customFormat="1" ht="8.4" customHeight="1">
      <c r="A107" s="210"/>
      <c r="B107" s="210"/>
      <c r="C107" s="210"/>
      <c r="D107" s="210"/>
      <c r="E107" s="210"/>
      <c r="F107" s="210"/>
      <c r="G107" s="210"/>
      <c r="H107" s="210"/>
      <c r="I107" s="210"/>
      <c r="J107" s="210"/>
      <c r="K107" s="210"/>
      <c r="L107" s="210"/>
      <c r="M107" s="210"/>
      <c r="N107" s="210"/>
      <c r="O107" s="210"/>
      <c r="P107" s="210"/>
      <c r="Q107" s="210"/>
      <c r="R107" s="210"/>
      <c r="S107" s="210"/>
      <c r="T107" s="210"/>
      <c r="U107" s="210"/>
      <c r="V107" s="210"/>
      <c r="W107" s="210"/>
    </row>
    <row r="108" spans="1:24" s="751" customFormat="1" ht="20.25" customHeight="1">
      <c r="A108" s="746"/>
      <c r="B108" s="746"/>
      <c r="C108" s="747" t="s">
        <v>881</v>
      </c>
      <c r="D108" s="2392" t="s">
        <v>882</v>
      </c>
      <c r="E108" s="2392"/>
      <c r="F108" s="2392"/>
      <c r="G108" s="2392"/>
      <c r="H108" s="2392"/>
      <c r="I108" s="2392"/>
      <c r="J108" s="2392"/>
      <c r="K108" s="2392"/>
      <c r="L108" s="746"/>
      <c r="M108" s="746"/>
      <c r="N108" s="746"/>
      <c r="O108" s="746"/>
      <c r="P108" s="2395">
        <f>SUM(K109:N110)</f>
        <v>1757078009</v>
      </c>
      <c r="Q108" s="2395"/>
      <c r="R108" s="2395"/>
      <c r="S108" s="2395"/>
      <c r="T108" s="2395"/>
      <c r="U108" s="2395"/>
      <c r="V108" s="750" t="s">
        <v>551</v>
      </c>
      <c r="W108" s="750"/>
    </row>
    <row r="109" spans="1:24" s="752" customFormat="1" ht="20.25" customHeight="1">
      <c r="D109" s="747"/>
      <c r="E109" s="748" t="str">
        <f>IF(K109&lt;0,"短期欠損金（△）","短期積立金")</f>
        <v>短期積立金</v>
      </c>
      <c r="F109" s="748"/>
      <c r="G109" s="748"/>
      <c r="H109" s="748"/>
      <c r="I109" s="748"/>
      <c r="J109" s="750"/>
      <c r="K109" s="2395">
        <f>E100</f>
        <v>1646038250</v>
      </c>
      <c r="L109" s="2395"/>
      <c r="M109" s="2395"/>
      <c r="N109" s="2395"/>
      <c r="O109" s="753" t="s">
        <v>551</v>
      </c>
      <c r="P109" s="753"/>
      <c r="Q109" s="753"/>
      <c r="R109" s="753"/>
      <c r="S109" s="753"/>
    </row>
    <row r="110" spans="1:24" s="752" customFormat="1" ht="20.25" customHeight="1">
      <c r="D110" s="747"/>
      <c r="E110" s="748" t="str">
        <f>IF(K110&lt;0,"介護欠損金（△）","介護積立金")</f>
        <v>介護積立金</v>
      </c>
      <c r="F110" s="748"/>
      <c r="G110" s="748"/>
      <c r="H110" s="748"/>
      <c r="I110" s="748"/>
      <c r="J110" s="750"/>
      <c r="K110" s="2391">
        <f>E101</f>
        <v>111039759</v>
      </c>
      <c r="L110" s="2391"/>
      <c r="M110" s="2391"/>
      <c r="N110" s="2391"/>
      <c r="O110" s="753" t="s">
        <v>551</v>
      </c>
      <c r="P110" s="753"/>
      <c r="Q110" s="753"/>
      <c r="R110" s="753"/>
      <c r="S110" s="753"/>
    </row>
    <row r="111" spans="1:24" s="751" customFormat="1" ht="20.25" customHeight="1">
      <c r="A111" s="750"/>
      <c r="B111" s="750"/>
      <c r="C111" s="747" t="s">
        <v>883</v>
      </c>
      <c r="D111" s="2392" t="s">
        <v>884</v>
      </c>
      <c r="E111" s="2392"/>
      <c r="F111" s="2392"/>
      <c r="G111" s="2392"/>
      <c r="H111" s="2392"/>
      <c r="I111" s="2392"/>
      <c r="J111" s="2392"/>
      <c r="K111" s="2392"/>
      <c r="L111" s="750"/>
      <c r="M111" s="750"/>
      <c r="N111" s="750"/>
      <c r="O111" s="750"/>
      <c r="P111" s="2391">
        <f>SUM(K112:N113)</f>
        <v>812770181</v>
      </c>
      <c r="Q111" s="2391"/>
      <c r="R111" s="2391"/>
      <c r="S111" s="2391"/>
      <c r="T111" s="2391"/>
      <c r="U111" s="2391"/>
      <c r="V111" s="750" t="s">
        <v>551</v>
      </c>
      <c r="W111" s="750"/>
    </row>
    <row r="112" spans="1:24" s="752" customFormat="1" ht="20.25" customHeight="1">
      <c r="D112" s="747"/>
      <c r="E112" s="748" t="str">
        <f>IF(短期_財務諸表!G61&gt;0,"当期短期損失金（△）","当期短期利益金")</f>
        <v>当期短期利益金</v>
      </c>
      <c r="F112" s="748"/>
      <c r="G112" s="748"/>
      <c r="H112" s="748"/>
      <c r="I112" s="748"/>
      <c r="J112" s="748"/>
      <c r="K112" s="2391">
        <f>短期_財務諸表!C63-短期_財務諸表!G61</f>
        <v>765326409</v>
      </c>
      <c r="L112" s="2391"/>
      <c r="M112" s="2391"/>
      <c r="N112" s="2391"/>
      <c r="O112" s="753" t="s">
        <v>551</v>
      </c>
      <c r="P112" s="753"/>
      <c r="Q112" s="753"/>
      <c r="R112" s="753"/>
      <c r="S112" s="753"/>
    </row>
    <row r="113" spans="1:23" s="752" customFormat="1" ht="20.25" customHeight="1">
      <c r="D113" s="747"/>
      <c r="E113" s="748" t="str">
        <f>IF(短期_財務諸表!G62&gt;0,"当期介護損失金（△）","当期介護利益金")</f>
        <v>当期介護利益金</v>
      </c>
      <c r="F113" s="748"/>
      <c r="G113" s="748"/>
      <c r="H113" s="748"/>
      <c r="I113" s="748"/>
      <c r="J113" s="748"/>
      <c r="K113" s="2391">
        <f>短期_財務諸表!C64-短期_財務諸表!G62</f>
        <v>47443772</v>
      </c>
      <c r="L113" s="2391"/>
      <c r="M113" s="2391"/>
      <c r="N113" s="2391"/>
      <c r="O113" s="753" t="s">
        <v>551</v>
      </c>
      <c r="P113" s="753"/>
      <c r="Q113" s="753"/>
      <c r="R113" s="753"/>
      <c r="S113" s="753"/>
    </row>
    <row r="114" spans="1:23" s="751" customFormat="1" ht="20.25" customHeight="1">
      <c r="A114" s="750"/>
      <c r="B114" s="750"/>
      <c r="C114" s="747" t="s">
        <v>885</v>
      </c>
      <c r="D114" s="2392" t="s">
        <v>230</v>
      </c>
      <c r="E114" s="2392"/>
      <c r="F114" s="2392"/>
      <c r="G114" s="2392"/>
      <c r="H114" s="2392"/>
      <c r="I114" s="2392"/>
      <c r="J114" s="2392"/>
      <c r="K114" s="2392"/>
      <c r="L114" s="750"/>
      <c r="M114" s="750"/>
      <c r="N114" s="750"/>
      <c r="O114" s="750"/>
      <c r="P114" s="2391">
        <f>SUM(K115:N115)</f>
        <v>-53296628</v>
      </c>
      <c r="Q114" s="2391"/>
      <c r="R114" s="2391"/>
      <c r="S114" s="2391"/>
      <c r="T114" s="2391"/>
      <c r="U114" s="2391"/>
      <c r="V114" s="750" t="s">
        <v>551</v>
      </c>
      <c r="W114" s="750"/>
    </row>
    <row r="115" spans="1:23" s="752" customFormat="1" ht="20.25" customHeight="1">
      <c r="D115" s="750"/>
      <c r="E115" s="2393" t="s">
        <v>886</v>
      </c>
      <c r="F115" s="2393"/>
      <c r="G115" s="2393"/>
      <c r="H115" s="2393"/>
      <c r="I115" s="2393"/>
      <c r="J115" s="2393"/>
      <c r="K115" s="2391">
        <f>I99*-1</f>
        <v>-53296628</v>
      </c>
      <c r="L115" s="2391"/>
      <c r="M115" s="2391"/>
      <c r="N115" s="2391"/>
      <c r="O115" s="753" t="s">
        <v>551</v>
      </c>
    </row>
    <row r="116" spans="1:23" s="752" customFormat="1" ht="14.25" customHeight="1">
      <c r="D116" s="750"/>
      <c r="E116" s="748"/>
      <c r="F116" s="748"/>
      <c r="G116" s="748"/>
      <c r="H116" s="748"/>
      <c r="I116" s="748"/>
      <c r="J116" s="748"/>
      <c r="K116" s="748"/>
      <c r="L116" s="750"/>
      <c r="M116" s="750"/>
      <c r="N116" s="750"/>
    </row>
    <row r="117" spans="1:23" s="751" customFormat="1" ht="20.25" customHeight="1">
      <c r="A117" s="750"/>
      <c r="B117" s="750"/>
      <c r="C117" s="750"/>
      <c r="D117" s="2392" t="s">
        <v>882</v>
      </c>
      <c r="E117" s="2392"/>
      <c r="F117" s="2392"/>
      <c r="G117" s="2392"/>
      <c r="H117" s="2392"/>
      <c r="I117" s="2392"/>
      <c r="J117" s="2392"/>
      <c r="K117" s="2392"/>
      <c r="L117" s="750"/>
      <c r="M117" s="750"/>
      <c r="N117" s="750"/>
      <c r="O117" s="750"/>
      <c r="Q117" s="2394">
        <f>P108+P111+P114</f>
        <v>2516551562</v>
      </c>
      <c r="R117" s="2394"/>
      <c r="S117" s="2394"/>
      <c r="T117" s="2394"/>
      <c r="U117" s="2394"/>
      <c r="V117" s="755" t="s">
        <v>551</v>
      </c>
      <c r="W117" s="750"/>
    </row>
    <row r="118" spans="1:23" s="752" customFormat="1" ht="20.25" customHeight="1">
      <c r="D118" s="750"/>
      <c r="E118" s="750" t="str">
        <f>IF(K118&lt;0,"短期欠損金（△）","短期積立金")</f>
        <v>短期積立金</v>
      </c>
      <c r="F118" s="750"/>
      <c r="G118" s="750"/>
      <c r="H118" s="750"/>
      <c r="I118" s="750"/>
      <c r="J118" s="750"/>
      <c r="K118" s="2395">
        <f>K109+K112+K115</f>
        <v>2358068031</v>
      </c>
      <c r="L118" s="2395"/>
      <c r="M118" s="2395"/>
      <c r="N118" s="2395"/>
      <c r="O118" s="753" t="s">
        <v>551</v>
      </c>
      <c r="Q118" s="749"/>
      <c r="R118" s="749"/>
      <c r="S118" s="749"/>
      <c r="T118" s="749"/>
      <c r="U118" s="749"/>
      <c r="V118" s="750"/>
    </row>
    <row r="119" spans="1:23" s="752" customFormat="1" ht="20.25" customHeight="1">
      <c r="D119" s="750"/>
      <c r="E119" s="750" t="str">
        <f>IF(K119&lt;0,"介護欠損金（△）","介護積立金")</f>
        <v>介護積立金</v>
      </c>
      <c r="F119" s="750"/>
      <c r="G119" s="750"/>
      <c r="H119" s="750"/>
      <c r="I119" s="750"/>
      <c r="J119" s="750"/>
      <c r="K119" s="2391">
        <f>K110+K113</f>
        <v>158483531</v>
      </c>
      <c r="L119" s="2391"/>
      <c r="M119" s="2391"/>
      <c r="N119" s="2391"/>
      <c r="O119" s="753" t="s">
        <v>551</v>
      </c>
    </row>
    <row r="120" spans="1:23" s="752" customFormat="1" ht="20.25" customHeight="1">
      <c r="D120" s="750"/>
      <c r="E120" s="750"/>
      <c r="F120" s="750"/>
      <c r="G120" s="750"/>
      <c r="H120" s="750"/>
      <c r="I120" s="750"/>
      <c r="J120" s="750"/>
      <c r="K120" s="754"/>
      <c r="L120" s="754"/>
      <c r="M120" s="754"/>
      <c r="N120" s="754"/>
      <c r="O120" s="753"/>
      <c r="Q120" s="756"/>
      <c r="R120" s="756"/>
      <c r="S120" s="756"/>
      <c r="T120" s="756"/>
      <c r="U120" s="756"/>
      <c r="V120" s="756"/>
    </row>
    <row r="121" spans="1:23" s="757" customFormat="1" ht="24" customHeight="1"/>
    <row r="122" spans="1:23" s="757" customFormat="1" ht="24"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77">
    <mergeCell ref="I1:P1"/>
    <mergeCell ref="Q1:X1"/>
    <mergeCell ref="A3:F3"/>
    <mergeCell ref="G3:L3"/>
    <mergeCell ref="M3:R3"/>
    <mergeCell ref="S3:X3"/>
    <mergeCell ref="A5:F5"/>
    <mergeCell ref="G5:L5"/>
    <mergeCell ref="M5:Q5"/>
    <mergeCell ref="S5:X5"/>
    <mergeCell ref="A6:F6"/>
    <mergeCell ref="M6:Q6"/>
    <mergeCell ref="A7:F7"/>
    <mergeCell ref="G7:L7"/>
    <mergeCell ref="M7:Q7"/>
    <mergeCell ref="S7:X7"/>
    <mergeCell ref="A8:F8"/>
    <mergeCell ref="M8:Q8"/>
    <mergeCell ref="A9:F9"/>
    <mergeCell ref="G9:L9"/>
    <mergeCell ref="M9:Q9"/>
    <mergeCell ref="S9:X9"/>
    <mergeCell ref="I11:P11"/>
    <mergeCell ref="A13:F13"/>
    <mergeCell ref="G13:L13"/>
    <mergeCell ref="M13:R13"/>
    <mergeCell ref="S13:X13"/>
    <mergeCell ref="A15:F15"/>
    <mergeCell ref="G15:L15"/>
    <mergeCell ref="M15:Q15"/>
    <mergeCell ref="S15:X15"/>
    <mergeCell ref="A16:F16"/>
    <mergeCell ref="G16:L16"/>
    <mergeCell ref="M16:Q16"/>
    <mergeCell ref="S16:X16"/>
    <mergeCell ref="I18:P18"/>
    <mergeCell ref="Q18:X18"/>
    <mergeCell ref="A20:F20"/>
    <mergeCell ref="G20:L20"/>
    <mergeCell ref="M20:R20"/>
    <mergeCell ref="S20:X20"/>
    <mergeCell ref="A22:F22"/>
    <mergeCell ref="G22:L22"/>
    <mergeCell ref="M22:Q22"/>
    <mergeCell ref="S22:X22"/>
    <mergeCell ref="A23:F23"/>
    <mergeCell ref="G23:L23"/>
    <mergeCell ref="M23:Q23"/>
    <mergeCell ref="S23:X23"/>
    <mergeCell ref="A24:F24"/>
    <mergeCell ref="G24:L24"/>
    <mergeCell ref="M24:Q24"/>
    <mergeCell ref="S24:X24"/>
    <mergeCell ref="A25:F25"/>
    <mergeCell ref="G25:L25"/>
    <mergeCell ref="M25:Q25"/>
    <mergeCell ref="S25:X25"/>
    <mergeCell ref="I27:P27"/>
    <mergeCell ref="A29:F29"/>
    <mergeCell ref="G29:L29"/>
    <mergeCell ref="M29:R29"/>
    <mergeCell ref="S29:X29"/>
    <mergeCell ref="A31:F31"/>
    <mergeCell ref="G31:K31"/>
    <mergeCell ref="M31:R31"/>
    <mergeCell ref="S31:X31"/>
    <mergeCell ref="A32:F32"/>
    <mergeCell ref="G32:K32"/>
    <mergeCell ref="M32:R32"/>
    <mergeCell ref="S32:X32"/>
    <mergeCell ref="G33:K33"/>
    <mergeCell ref="I34:P34"/>
    <mergeCell ref="A36:F36"/>
    <mergeCell ref="G36:L36"/>
    <mergeCell ref="M36:R36"/>
    <mergeCell ref="S36:X36"/>
    <mergeCell ref="A38:F38"/>
    <mergeCell ref="G38:K38"/>
    <mergeCell ref="M38:R38"/>
    <mergeCell ref="S38:X38"/>
    <mergeCell ref="A39:F39"/>
    <mergeCell ref="G39:K39"/>
    <mergeCell ref="M39:R39"/>
    <mergeCell ref="S39:X39"/>
    <mergeCell ref="A40:F40"/>
    <mergeCell ref="G40:K40"/>
    <mergeCell ref="M40:R40"/>
    <mergeCell ref="S40:X40"/>
    <mergeCell ref="A41:F41"/>
    <mergeCell ref="G41:K41"/>
    <mergeCell ref="M41:R41"/>
    <mergeCell ref="S41:X41"/>
    <mergeCell ref="A42:F42"/>
    <mergeCell ref="G42:K42"/>
    <mergeCell ref="M42:R42"/>
    <mergeCell ref="S42:X42"/>
    <mergeCell ref="I44:P44"/>
    <mergeCell ref="A46:F46"/>
    <mergeCell ref="G46:L46"/>
    <mergeCell ref="M46:R46"/>
    <mergeCell ref="S46:X46"/>
    <mergeCell ref="A48:F48"/>
    <mergeCell ref="G48:K48"/>
    <mergeCell ref="M48:R48"/>
    <mergeCell ref="S48:X48"/>
    <mergeCell ref="A49:F49"/>
    <mergeCell ref="G49:K49"/>
    <mergeCell ref="M49:R49"/>
    <mergeCell ref="S49:X49"/>
    <mergeCell ref="H51:Q51"/>
    <mergeCell ref="A53:F53"/>
    <mergeCell ref="G53:L53"/>
    <mergeCell ref="M53:R53"/>
    <mergeCell ref="S53:X53"/>
    <mergeCell ref="A55:F55"/>
    <mergeCell ref="G55:K55"/>
    <mergeCell ref="M55:R55"/>
    <mergeCell ref="S55:X55"/>
    <mergeCell ref="A56:F56"/>
    <mergeCell ref="G56:K56"/>
    <mergeCell ref="M56:R56"/>
    <mergeCell ref="S56:X56"/>
    <mergeCell ref="I57:P57"/>
    <mergeCell ref="A59:F59"/>
    <mergeCell ref="G59:L59"/>
    <mergeCell ref="M59:R59"/>
    <mergeCell ref="S59:X59"/>
    <mergeCell ref="A61:F61"/>
    <mergeCell ref="G61:K61"/>
    <mergeCell ref="M61:R61"/>
    <mergeCell ref="S61:X61"/>
    <mergeCell ref="A62:F62"/>
    <mergeCell ref="G62:K62"/>
    <mergeCell ref="M62:R62"/>
    <mergeCell ref="S62:X62"/>
    <mergeCell ref="A63:F63"/>
    <mergeCell ref="G63:K63"/>
    <mergeCell ref="M63:R63"/>
    <mergeCell ref="S63:X63"/>
    <mergeCell ref="I65:P65"/>
    <mergeCell ref="A67:F67"/>
    <mergeCell ref="G67:L67"/>
    <mergeCell ref="M67:R67"/>
    <mergeCell ref="S67:X67"/>
    <mergeCell ref="A69:F69"/>
    <mergeCell ref="G69:K69"/>
    <mergeCell ref="M69:R69"/>
    <mergeCell ref="S69:X69"/>
    <mergeCell ref="A70:F70"/>
    <mergeCell ref="G70:K70"/>
    <mergeCell ref="M70:R70"/>
    <mergeCell ref="S70:X70"/>
    <mergeCell ref="A71:F71"/>
    <mergeCell ref="G71:K71"/>
    <mergeCell ref="M71:R71"/>
    <mergeCell ref="S71:X71"/>
    <mergeCell ref="A72:F72"/>
    <mergeCell ref="G72:K72"/>
    <mergeCell ref="M72:R72"/>
    <mergeCell ref="S72:X72"/>
    <mergeCell ref="A73:F73"/>
    <mergeCell ref="G73:K73"/>
    <mergeCell ref="M73:R73"/>
    <mergeCell ref="S73:X73"/>
    <mergeCell ref="A74:F74"/>
    <mergeCell ref="G74:K74"/>
    <mergeCell ref="M74:R74"/>
    <mergeCell ref="S74:X74"/>
    <mergeCell ref="A75:F75"/>
    <mergeCell ref="G75:K75"/>
    <mergeCell ref="M75:R75"/>
    <mergeCell ref="S75:X75"/>
    <mergeCell ref="I77:P77"/>
    <mergeCell ref="A79:F79"/>
    <mergeCell ref="G79:L79"/>
    <mergeCell ref="M79:R79"/>
    <mergeCell ref="S79:X79"/>
    <mergeCell ref="A81:F81"/>
    <mergeCell ref="G81:K81"/>
    <mergeCell ref="M81:R81"/>
    <mergeCell ref="S81:X81"/>
    <mergeCell ref="A82:F82"/>
    <mergeCell ref="G82:K82"/>
    <mergeCell ref="M82:R82"/>
    <mergeCell ref="S82:X82"/>
    <mergeCell ref="I84:P84"/>
    <mergeCell ref="A86:D87"/>
    <mergeCell ref="E86:H87"/>
    <mergeCell ref="I86:Q86"/>
    <mergeCell ref="R86:U87"/>
    <mergeCell ref="V86:X87"/>
    <mergeCell ref="I87:K87"/>
    <mergeCell ref="L87:N87"/>
    <mergeCell ref="O87:Q87"/>
    <mergeCell ref="A89:D89"/>
    <mergeCell ref="E89:H89"/>
    <mergeCell ref="I89:K89"/>
    <mergeCell ref="L89:N89"/>
    <mergeCell ref="O89:Q89"/>
    <mergeCell ref="R89:U89"/>
    <mergeCell ref="V89:X89"/>
    <mergeCell ref="A90:D90"/>
    <mergeCell ref="E90:H90"/>
    <mergeCell ref="I90:K90"/>
    <mergeCell ref="L90:N90"/>
    <mergeCell ref="O90:Q90"/>
    <mergeCell ref="R90:U90"/>
    <mergeCell ref="V90:X90"/>
    <mergeCell ref="A91:D91"/>
    <mergeCell ref="E91:H91"/>
    <mergeCell ref="I91:K91"/>
    <mergeCell ref="L91:N91"/>
    <mergeCell ref="O91:Q91"/>
    <mergeCell ref="R91:U91"/>
    <mergeCell ref="V91:X91"/>
    <mergeCell ref="A92:D92"/>
    <mergeCell ref="E92:H92"/>
    <mergeCell ref="I92:K92"/>
    <mergeCell ref="L92:N92"/>
    <mergeCell ref="O92:Q92"/>
    <mergeCell ref="R92:U92"/>
    <mergeCell ref="V92:X92"/>
    <mergeCell ref="I95:P95"/>
    <mergeCell ref="A97:D97"/>
    <mergeCell ref="E97:H97"/>
    <mergeCell ref="I97:L97"/>
    <mergeCell ref="M97:P97"/>
    <mergeCell ref="Q97:T97"/>
    <mergeCell ref="U97:X97"/>
    <mergeCell ref="A98:D98"/>
    <mergeCell ref="E98:H98"/>
    <mergeCell ref="I98:L98"/>
    <mergeCell ref="M98:P98"/>
    <mergeCell ref="Q98:T98"/>
    <mergeCell ref="U98:X98"/>
    <mergeCell ref="A99:D99"/>
    <mergeCell ref="E99:H99"/>
    <mergeCell ref="I99:L99"/>
    <mergeCell ref="M99:P99"/>
    <mergeCell ref="Q99:T99"/>
    <mergeCell ref="U99:X99"/>
    <mergeCell ref="A100:D100"/>
    <mergeCell ref="E100:H100"/>
    <mergeCell ref="I100:L100"/>
    <mergeCell ref="M100:P100"/>
    <mergeCell ref="Q100:T100"/>
    <mergeCell ref="U100:X100"/>
    <mergeCell ref="A101:D101"/>
    <mergeCell ref="E101:H101"/>
    <mergeCell ref="I101:L101"/>
    <mergeCell ref="M101:P101"/>
    <mergeCell ref="Q101:T101"/>
    <mergeCell ref="U101:X101"/>
    <mergeCell ref="A102:D102"/>
    <mergeCell ref="E102:H102"/>
    <mergeCell ref="I102:L102"/>
    <mergeCell ref="M102:P102"/>
    <mergeCell ref="Q102:T102"/>
    <mergeCell ref="U102:X102"/>
    <mergeCell ref="I104:P104"/>
    <mergeCell ref="G106:R106"/>
    <mergeCell ref="D108:K108"/>
    <mergeCell ref="P108:U108"/>
    <mergeCell ref="K109:N109"/>
    <mergeCell ref="K110:N110"/>
    <mergeCell ref="D111:K111"/>
    <mergeCell ref="P111:U111"/>
    <mergeCell ref="K112:N112"/>
    <mergeCell ref="K113:N113"/>
    <mergeCell ref="D114:K114"/>
    <mergeCell ref="P114:U114"/>
    <mergeCell ref="E115:J115"/>
    <mergeCell ref="K115:N115"/>
    <mergeCell ref="D117:K117"/>
    <mergeCell ref="Q117:U117"/>
    <mergeCell ref="K118:N118"/>
    <mergeCell ref="K119:N119"/>
  </mergeCells>
  <phoneticPr fontId="155"/>
  <conditionalFormatting sqref="G38 G39 G40 G41 G48 G55 G61 G62 G69 G70 G71 G72 G73 G74 G81 I89 I90 I91 I99 L89 L90 L91 M5 M7 M15 M22 M23 M24 O89 O90 O91">
    <cfRule type="expression" dxfId="6" priority="1">
      <formula>AND(入力色表示=1,NOT(_xlfn.ISFORMULA(G38)))</formula>
    </cfRule>
  </conditionalFormatting>
  <dataValidations count="19">
    <dataValidation allowBlank="1" showInputMessage="1" promptTitle="手入力セル" prompt="反映先：短期_附属明細表 G42&#10;他の帳票：短期_財務諸表" sqref="G38 G39 G40 G41"/>
    <dataValidation allowBlank="1" showInputMessage="1" promptTitle="手入力セル" prompt="反映先：報告_短期P7-10 CB38、短期_附属明細表 G49、短期_決算精算表 F48&#10;他の帳票：報告_短期P7-10、報告_短期P11-13、報告_P8グラフデータ、短期_財務諸表 ほか1シート" sqref="G48"/>
    <dataValidation allowBlank="1" showInputMessage="1" promptTitle="手入力セル" prompt="反映先：短期_附属明細表 G56&#10;他の帳票：短期_財務諸表、短期_決算精算表" sqref="G55"/>
    <dataValidation allowBlank="1" showInputMessage="1" promptTitle="手入力セル" prompt="反映先：短期_附属明細表 G63&#10;他の帳票：なし" sqref="G61 G62"/>
    <dataValidation allowBlank="1" showInputMessage="1" promptTitle="手入力セル" prompt="反映先：短期_附属明細表 G75、短期_決算精算表 B23&#10;他の帳票：報告_短期P11-13、短期_財務諸表、短期_決算精算表" sqref="G69"/>
    <dataValidation allowBlank="1" showInputMessage="1" promptTitle="手入力セル" prompt="反映先：短期_附属明細表 G75、短期_決算精算表 B24&#10;他の帳票：報告_短期P11-13、短期_財務諸表、短期_決算精算表" sqref="G70"/>
    <dataValidation allowBlank="1" showInputMessage="1" promptTitle="手入力セル" prompt="反映先：短期_附属明細表 G75、短期_決算精算表 B26&#10;他の帳票：報告_短期P11-13、短期_財務諸表、短期_決算精算表" sqref="G71"/>
    <dataValidation allowBlank="1" showInputMessage="1" promptTitle="手入力セル" prompt="反映先：短期_附属明細表 G75、短期_決算精算表 B34&#10;他の帳票：報告_短期P7-10、報告_短期P11-13、報告_P8グラフデータ、短期_財務諸表 ほか1シート" sqref="G72"/>
    <dataValidation allowBlank="1" showInputMessage="1" promptTitle="手入力セル" prompt="反映先：短期_附属明細表 G75、短期_決算精算表 B37&#10;他の帳票：報告_短期P11-13、短期_財務諸表、短期_決算精算表" sqref="G73"/>
    <dataValidation allowBlank="1" showInputMessage="1" promptTitle="手入力セル" prompt="反映先：短期_附属明細表 G75、短期_決算精算表 B39、業務_附属明細表 G31&#10;他の帳票：報告_短期P7-10、報告_短期P11-13、報告_P8グラフデータ、報告_業務P18 ほか6シート" sqref="G74"/>
    <dataValidation allowBlank="1" showInputMessage="1" promptTitle="手入力セル" prompt="反映先：短期_財務諸表 G8、短期_附属明細表 G82&#10;他の帳票：短期_財務諸表" sqref="G81"/>
    <dataValidation allowBlank="1" showInputMessage="1" promptTitle="手入力セル" prompt="反映先：報告_短期P11-13 C108、短期_附属明細表 I100,I102,K115…&#10;他の帳票：報告_短期P11-13、短期_財務諸表" sqref="I99"/>
    <dataValidation allowBlank="1" showInputMessage="1" promptTitle="手入力セル" prompt="反映先：短期_附属明細表 M6&#10;他の帳票：短期_財務諸表、短期_決算精算表" sqref="M5"/>
    <dataValidation allowBlank="1" showInputMessage="1" promptTitle="手入力セル" prompt="反映先：短期_附属明細表 M8&#10;他の帳票：短期_財務諸表、短期_決算精算表" sqref="M7"/>
    <dataValidation allowBlank="1" showInputMessage="1" promptTitle="手入力セル" prompt="反映先：短期_附属明細表 M16&#10;他の帳票：短期_財務諸表" sqref="M15"/>
    <dataValidation allowBlank="1" showInputMessage="1" promptTitle="手入力セル" prompt="反映先：短期_附属明細表 M25&#10;他の帳票：短期_財務諸表" sqref="M22 M23 M24"/>
    <dataValidation allowBlank="1" showInputMessage="1" promptTitle="手入力セル" prompt="反映先：短期_附属明細表 O92,R89&#10;他の帳票：短期_財務諸表、短期_決算精算表" sqref="O89"/>
    <dataValidation allowBlank="1" showInputMessage="1" promptTitle="手入力セル" prompt="反映先：短期_附属明細表 O92,R90&#10;他の帳票：短期_財務諸表、短期_決算精算表" sqref="O90"/>
    <dataValidation allowBlank="1" showInputMessage="1" promptTitle="手入力セル" prompt="反映先：短期_附属明細表 O92,R91&#10;他の帳票：短期_財務諸表、短期_決算精算表" sqref="O91"/>
  </dataValidations>
  <printOptions horizontalCentered="1"/>
  <pageMargins left="0.78749999999999998" right="0.39374999999999999" top="0.51180555555555596" bottom="0.51180555555555596" header="0.511811023622047" footer="0.27569444444444402"/>
  <pageSetup paperSize="9" scale="90" firstPageNumber="28" orientation="portrait" useFirstPageNumber="1" horizontalDpi="300" verticalDpi="300"/>
  <headerFooter>
    <oddFooter>&amp;C&amp;"ＭＳ 明朝,Regular"- &amp;P -</oddFooter>
  </headerFooter>
  <rowBreaks count="1" manualBreakCount="1">
    <brk id="83" max="16383" man="1"/>
  </rowBreaks>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9C2E0-4F1F-46E4-85D3-BD6F22BB6E94}">
  <sheetPr codeName="Sheet23"/>
  <dimension ref="A1:IW188"/>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8" width="13.44140625" style="199" customWidth="1"/>
    <col min="9" max="9" width="18.21875" style="199" customWidth="1"/>
    <col min="10" max="10" width="17.109375" style="199" customWidth="1"/>
    <col min="11" max="257" width="9" style="199"/>
  </cols>
  <sheetData>
    <row r="1" spans="1:8" ht="19.5" customHeight="1">
      <c r="A1" s="758"/>
      <c r="B1" s="758"/>
      <c r="C1" s="2490" t="s">
        <v>887</v>
      </c>
      <c r="D1" s="2490"/>
      <c r="E1" s="2490"/>
      <c r="F1" s="758"/>
      <c r="G1" s="758"/>
      <c r="H1" s="758"/>
    </row>
    <row r="2" spans="1:8" ht="7.5" customHeight="1">
      <c r="A2" s="758"/>
      <c r="B2" s="758"/>
      <c r="C2" s="759"/>
      <c r="D2" s="760"/>
      <c r="E2" s="760"/>
      <c r="F2" s="758"/>
      <c r="G2" s="758"/>
      <c r="H2" s="758"/>
    </row>
    <row r="3" spans="1:8" ht="15.75" customHeight="1">
      <c r="A3" s="761"/>
      <c r="B3" s="762"/>
      <c r="C3" s="2491" t="s">
        <v>888</v>
      </c>
      <c r="D3" s="2491"/>
      <c r="E3" s="2491"/>
      <c r="F3" s="763"/>
      <c r="G3" s="764"/>
      <c r="H3" s="758"/>
    </row>
    <row r="4" spans="1:8" ht="14.25" customHeight="1">
      <c r="A4" s="765"/>
      <c r="B4" s="766"/>
      <c r="C4" s="767"/>
      <c r="D4" s="3121" t="str">
        <f>"令和"&amp;IF((入力ガイド!$C$6)&gt;=10,MID("０１２３４５６７８９",INT((入力ガイド!$C$6)/10)+1,1),"")&amp;MID("０１２３４５６７８９",MOD((入力ガイド!$C$6),10)+1,1)&amp;"年度"&amp;"分"</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3.5" customHeight="1">
      <c r="A8" s="778" t="s">
        <v>551</v>
      </c>
      <c r="B8" s="779" t="s">
        <v>551</v>
      </c>
      <c r="C8" s="780" t="s">
        <v>551</v>
      </c>
      <c r="D8" s="781"/>
      <c r="E8" s="780" t="s">
        <v>551</v>
      </c>
      <c r="F8" s="779" t="s">
        <v>551</v>
      </c>
      <c r="G8" s="782" t="s">
        <v>551</v>
      </c>
      <c r="H8" s="758"/>
    </row>
    <row r="9" spans="1:8" ht="13.5" customHeight="1">
      <c r="A9" s="783">
        <f>SUM(B9:C9)</f>
        <v>3976508883</v>
      </c>
      <c r="B9" s="784"/>
      <c r="C9" s="785">
        <f>短期_附属明細表!M9</f>
        <v>3976508883</v>
      </c>
      <c r="D9" s="786" t="s">
        <v>895</v>
      </c>
      <c r="E9" s="787"/>
      <c r="F9" s="784"/>
      <c r="G9" s="788"/>
      <c r="H9" s="758"/>
    </row>
    <row r="10" spans="1:8" ht="13.5" customHeight="1">
      <c r="A10" s="783"/>
      <c r="B10" s="784"/>
      <c r="C10" s="785"/>
      <c r="D10" s="786" t="s">
        <v>896</v>
      </c>
      <c r="E10" s="787"/>
      <c r="F10" s="784"/>
      <c r="G10" s="788"/>
      <c r="H10" s="758"/>
    </row>
    <row r="11" spans="1:8" ht="13.5" customHeight="1">
      <c r="A11" s="789"/>
      <c r="B11" s="790"/>
      <c r="C11" s="791"/>
      <c r="D11" s="792" t="s">
        <v>897</v>
      </c>
      <c r="E11" s="793"/>
      <c r="F11" s="790"/>
      <c r="G11" s="788"/>
      <c r="H11" s="758"/>
    </row>
    <row r="12" spans="1:8" ht="13.5" customHeight="1">
      <c r="A12" s="789"/>
      <c r="B12" s="790"/>
      <c r="C12" s="791"/>
      <c r="D12" s="792" t="s">
        <v>217</v>
      </c>
      <c r="E12" s="793"/>
      <c r="F12" s="790"/>
      <c r="G12" s="788"/>
      <c r="H12" s="758"/>
    </row>
    <row r="13" spans="1:8" ht="13.5" customHeight="1">
      <c r="A13" s="789"/>
      <c r="B13" s="790"/>
      <c r="C13" s="791"/>
      <c r="D13" s="792" t="s">
        <v>214</v>
      </c>
      <c r="E13" s="793"/>
      <c r="F13" s="790"/>
      <c r="G13" s="788"/>
      <c r="H13" s="758"/>
    </row>
    <row r="14" spans="1:8" ht="13.5" customHeight="1">
      <c r="A14" s="789">
        <f>SUM(B14:C14)</f>
        <v>54568</v>
      </c>
      <c r="B14" s="790">
        <f>短期_附属明細表!G49</f>
        <v>54568</v>
      </c>
      <c r="C14" s="791"/>
      <c r="D14" s="792" t="s">
        <v>898</v>
      </c>
      <c r="E14" s="793"/>
      <c r="F14" s="790"/>
      <c r="G14" s="788"/>
      <c r="H14" s="758"/>
    </row>
    <row r="15" spans="1:8" ht="13.5" customHeight="1">
      <c r="A15" s="789">
        <f>C15+B15-F15-E15</f>
        <v>59427000</v>
      </c>
      <c r="B15" s="790"/>
      <c r="C15" s="791">
        <f>短期_附属明細表!G56</f>
        <v>59427000</v>
      </c>
      <c r="D15" s="792" t="s">
        <v>197</v>
      </c>
      <c r="E15" s="793"/>
      <c r="F15" s="790"/>
      <c r="G15" s="788"/>
      <c r="H15" s="758"/>
    </row>
    <row r="16" spans="1:8" ht="13.5" customHeight="1">
      <c r="A16" s="789"/>
      <c r="B16" s="790"/>
      <c r="C16" s="791"/>
      <c r="D16" s="792" t="s">
        <v>899</v>
      </c>
      <c r="E16" s="793"/>
      <c r="F16" s="790">
        <f>短期_附属明細表!G75</f>
        <v>41640951</v>
      </c>
      <c r="G16" s="788">
        <f>SUM(E16:F16)-B16</f>
        <v>41640951</v>
      </c>
      <c r="H16" s="758"/>
    </row>
    <row r="17" spans="1:10" ht="13.5" customHeight="1">
      <c r="A17" s="789"/>
      <c r="B17" s="3122">
        <f>F34</f>
        <v>27400</v>
      </c>
      <c r="C17" s="791"/>
      <c r="D17" s="792" t="s">
        <v>200</v>
      </c>
      <c r="E17" s="3123">
        <v>33450</v>
      </c>
      <c r="F17" s="790"/>
      <c r="G17" s="788">
        <f>SUM(E17:F17)-B17</f>
        <v>6050</v>
      </c>
      <c r="H17" s="758"/>
    </row>
    <row r="18" spans="1:10" ht="13.5" customHeight="1">
      <c r="A18" s="789"/>
      <c r="B18" s="790"/>
      <c r="C18" s="791"/>
      <c r="D18" s="792" t="s">
        <v>900</v>
      </c>
      <c r="E18" s="793">
        <f>短期_附属明細表!R92</f>
        <v>36468255</v>
      </c>
      <c r="F18" s="790"/>
      <c r="G18" s="788">
        <f>SUM(E18:F18)</f>
        <v>36468255</v>
      </c>
      <c r="H18" s="758"/>
    </row>
    <row r="19" spans="1:10" ht="13.5" customHeight="1">
      <c r="A19" s="789"/>
      <c r="B19" s="3122">
        <f>前年度貼付!$E$179</f>
        <v>876229790</v>
      </c>
      <c r="C19" s="791"/>
      <c r="D19" s="792" t="s">
        <v>204</v>
      </c>
      <c r="E19" s="793">
        <f>B19</f>
        <v>876229790</v>
      </c>
      <c r="F19" s="784">
        <f>I49</f>
        <v>907739421</v>
      </c>
      <c r="G19" s="796">
        <f>E19+F19-B19</f>
        <v>907739421</v>
      </c>
      <c r="H19" s="758"/>
    </row>
    <row r="20" spans="1:10" ht="13.5" customHeight="1">
      <c r="A20" s="789"/>
      <c r="B20" s="3122">
        <f>短期_財務諸表!D62+短期_財務諸表!H60</f>
        <v>812770181</v>
      </c>
      <c r="C20" s="791"/>
      <c r="D20" s="797" t="s">
        <v>901</v>
      </c>
      <c r="E20" s="3124">
        <f>短期_附属明細表!E102</f>
        <v>2237365593</v>
      </c>
      <c r="F20" s="3122">
        <f>短期_財務諸表!D62*2</f>
        <v>1625540362</v>
      </c>
      <c r="G20" s="796">
        <f>E20+F20-B20</f>
        <v>3050135774</v>
      </c>
      <c r="H20" s="758"/>
    </row>
    <row r="21" spans="1:10" ht="13.5" customHeight="1">
      <c r="A21" s="789"/>
      <c r="B21" s="790"/>
      <c r="C21" s="791"/>
      <c r="D21" s="797" t="s">
        <v>902</v>
      </c>
      <c r="E21" s="793"/>
      <c r="F21" s="790"/>
      <c r="G21" s="796"/>
      <c r="H21" s="758"/>
    </row>
    <row r="22" spans="1:10" ht="13.5" customHeight="1">
      <c r="A22" s="798">
        <f>SUM(A9:A21)</f>
        <v>4035990451</v>
      </c>
      <c r="B22" s="799">
        <f>SUM(B9:B21)</f>
        <v>1689081939</v>
      </c>
      <c r="C22" s="800">
        <f>SUM(C9:C21)</f>
        <v>4035935883</v>
      </c>
      <c r="D22" s="801" t="s">
        <v>903</v>
      </c>
      <c r="E22" s="802">
        <f>SUM(E9:E21)</f>
        <v>3150097088</v>
      </c>
      <c r="F22" s="799">
        <f>SUM(F9:F21)</f>
        <v>2574920734</v>
      </c>
      <c r="G22" s="803">
        <f>SUM(G9:G21)</f>
        <v>4035990451</v>
      </c>
      <c r="H22" s="804">
        <f>G22-A22</f>
        <v>0</v>
      </c>
    </row>
    <row r="23" spans="1:10" ht="13.5" customHeight="1">
      <c r="A23" s="783">
        <f>C23+B23-E23</f>
        <v>5264002497</v>
      </c>
      <c r="B23" s="784">
        <f>短期_附属明細表!G69</f>
        <v>12773988</v>
      </c>
      <c r="C23" s="3125">
        <f>'報告_短期P7-10'!CB66-B23+E23</f>
        <v>5251228509</v>
      </c>
      <c r="D23" s="786" t="s">
        <v>198</v>
      </c>
      <c r="E23" s="787"/>
      <c r="F23" s="784"/>
      <c r="G23" s="788"/>
      <c r="H23" s="758"/>
      <c r="I23" s="806"/>
    </row>
    <row r="24" spans="1:10" ht="13.5" customHeight="1">
      <c r="A24" s="783">
        <f>SUM(B24:C24)-F24</f>
        <v>650334235</v>
      </c>
      <c r="B24" s="784">
        <f>短期_附属明細表!G70</f>
        <v>3156259</v>
      </c>
      <c r="C24" s="3125">
        <f>'報告_短期P7-10'!CB74-B24+F24</f>
        <v>647197976</v>
      </c>
      <c r="D24" s="786" t="s">
        <v>199</v>
      </c>
      <c r="E24" s="787"/>
      <c r="F24" s="3126">
        <v>20000</v>
      </c>
      <c r="G24" s="788"/>
      <c r="H24" s="758"/>
      <c r="I24" s="808"/>
    </row>
    <row r="25" spans="1:10" ht="13.5" customHeight="1">
      <c r="A25" s="783"/>
      <c r="B25" s="784"/>
      <c r="C25" s="3125"/>
      <c r="D25" s="786" t="s">
        <v>437</v>
      </c>
      <c r="E25" s="787"/>
      <c r="F25" s="784"/>
      <c r="G25" s="788"/>
      <c r="H25" s="758"/>
      <c r="I25" s="809"/>
      <c r="J25" s="810"/>
    </row>
    <row r="26" spans="1:10" ht="13.5" customHeight="1">
      <c r="A26" s="783">
        <f>SUM(B26:C26)</f>
        <v>36346677</v>
      </c>
      <c r="B26" s="784">
        <f>短期_附属明細表!G71</f>
        <v>2861495</v>
      </c>
      <c r="C26" s="3125">
        <f>'報告_短期P7-10'!CB89-B26</f>
        <v>33485182</v>
      </c>
      <c r="D26" s="786" t="s">
        <v>113</v>
      </c>
      <c r="E26" s="787"/>
      <c r="F26" s="784"/>
      <c r="G26" s="788"/>
      <c r="H26" s="758"/>
      <c r="I26" s="809"/>
      <c r="J26" s="810"/>
    </row>
    <row r="27" spans="1:10" ht="13.5" customHeight="1">
      <c r="A27" s="783">
        <f>SUM(B27:C27)</f>
        <v>2096611727</v>
      </c>
      <c r="B27" s="784"/>
      <c r="C27" s="3127">
        <v>2096611727</v>
      </c>
      <c r="D27" s="786" t="s">
        <v>85</v>
      </c>
      <c r="E27" s="787"/>
      <c r="F27" s="784"/>
      <c r="G27" s="788"/>
      <c r="H27" s="758"/>
      <c r="I27" s="809"/>
    </row>
    <row r="28" spans="1:10" ht="13.5" customHeight="1">
      <c r="A28" s="783">
        <f>SUM(B28:C28)</f>
        <v>2306088269</v>
      </c>
      <c r="B28" s="784"/>
      <c r="C28" s="3127">
        <v>2306088269</v>
      </c>
      <c r="D28" s="786" t="s">
        <v>86</v>
      </c>
      <c r="E28" s="787"/>
      <c r="F28" s="784"/>
      <c r="G28" s="788"/>
      <c r="H28" s="758"/>
    </row>
    <row r="29" spans="1:10" ht="13.5" customHeight="1">
      <c r="A29" s="783"/>
      <c r="B29" s="784"/>
      <c r="C29" s="3125"/>
      <c r="D29" s="811" t="s">
        <v>88</v>
      </c>
      <c r="E29" s="787"/>
      <c r="F29" s="784"/>
      <c r="G29" s="788"/>
      <c r="H29" s="758"/>
    </row>
    <row r="30" spans="1:10" ht="13.5" customHeight="1">
      <c r="A30" s="783">
        <f>SUM(B30:C30)</f>
        <v>871</v>
      </c>
      <c r="B30" s="784"/>
      <c r="C30" s="3127">
        <v>871</v>
      </c>
      <c r="D30" s="786" t="s">
        <v>89</v>
      </c>
      <c r="E30" s="787"/>
      <c r="F30" s="784"/>
      <c r="G30" s="788"/>
      <c r="H30" s="758"/>
    </row>
    <row r="31" spans="1:10" ht="13.5" customHeight="1">
      <c r="A31" s="783">
        <f>SUM(B31:C31)</f>
        <v>0</v>
      </c>
      <c r="B31" s="784"/>
      <c r="C31" s="3125"/>
      <c r="D31" s="786" t="s">
        <v>87</v>
      </c>
      <c r="E31" s="787"/>
      <c r="F31" s="784"/>
      <c r="G31" s="788"/>
      <c r="H31" s="758"/>
      <c r="I31" s="809"/>
      <c r="J31" s="810"/>
    </row>
    <row r="32" spans="1:10" ht="13.5" customHeight="1">
      <c r="A32" s="783">
        <f>SUM(B32:C32)</f>
        <v>949753680</v>
      </c>
      <c r="B32" s="784"/>
      <c r="C32" s="3127">
        <v>949753680</v>
      </c>
      <c r="D32" s="786" t="s">
        <v>90</v>
      </c>
      <c r="E32" s="787"/>
      <c r="F32" s="784"/>
      <c r="G32" s="788"/>
      <c r="H32" s="758"/>
      <c r="I32" s="808"/>
    </row>
    <row r="33" spans="1:10" ht="13.5" customHeight="1">
      <c r="A33" s="783"/>
      <c r="B33" s="784"/>
      <c r="C33" s="3125"/>
      <c r="D33" s="811" t="s">
        <v>91</v>
      </c>
      <c r="E33" s="787"/>
      <c r="F33" s="784"/>
      <c r="G33" s="788"/>
      <c r="H33" s="758"/>
      <c r="I33" s="808"/>
    </row>
    <row r="34" spans="1:10" ht="13.5" customHeight="1">
      <c r="A34" s="783">
        <f>SUM(B34:C34)-F34</f>
        <v>83079703</v>
      </c>
      <c r="B34" s="784">
        <f>短期_附属明細表!G72</f>
        <v>6392500</v>
      </c>
      <c r="C34" s="3127">
        <v>76714603</v>
      </c>
      <c r="D34" s="786" t="s">
        <v>92</v>
      </c>
      <c r="E34" s="787"/>
      <c r="F34" s="3126">
        <v>27400</v>
      </c>
      <c r="G34" s="788"/>
      <c r="H34" s="758"/>
      <c r="I34" s="809"/>
      <c r="J34" s="812"/>
    </row>
    <row r="35" spans="1:10" ht="13.5" customHeight="1">
      <c r="A35" s="783"/>
      <c r="B35" s="784"/>
      <c r="C35" s="785"/>
      <c r="D35" s="813" t="s">
        <v>93</v>
      </c>
      <c r="E35" s="787"/>
      <c r="F35" s="784"/>
      <c r="G35" s="788"/>
      <c r="H35" s="758"/>
      <c r="I35" s="809"/>
      <c r="J35" s="812"/>
    </row>
    <row r="36" spans="1:10" ht="13.5" customHeight="1">
      <c r="A36" s="783"/>
      <c r="B36" s="784"/>
      <c r="C36" s="785"/>
      <c r="D36" s="813" t="s">
        <v>94</v>
      </c>
      <c r="E36" s="787"/>
      <c r="F36" s="784"/>
      <c r="G36" s="788"/>
      <c r="H36" s="758"/>
      <c r="I36" s="809"/>
      <c r="J36" s="812"/>
    </row>
    <row r="37" spans="1:10" ht="13.5" customHeight="1">
      <c r="A37" s="783">
        <f>SUM(B37:C37)</f>
        <v>137606038</v>
      </c>
      <c r="B37" s="784">
        <f>短期_附属明細表!G73</f>
        <v>4622428</v>
      </c>
      <c r="C37" s="3125">
        <f>'報告_短期P7-10'!CB102-B37</f>
        <v>132983610</v>
      </c>
      <c r="D37" s="792" t="s">
        <v>175</v>
      </c>
      <c r="E37" s="787"/>
      <c r="F37" s="784"/>
      <c r="G37" s="788"/>
      <c r="H37" s="758"/>
      <c r="I37" s="809"/>
      <c r="J37" s="812"/>
    </row>
    <row r="38" spans="1:10" ht="13.5" customHeight="1">
      <c r="A38" s="783">
        <f>SUM(B38:C38)</f>
        <v>612540010</v>
      </c>
      <c r="B38" s="784"/>
      <c r="C38" s="3125">
        <f>'報告_短期P7-10'!CB105-B38</f>
        <v>612540010</v>
      </c>
      <c r="D38" s="792" t="s">
        <v>818</v>
      </c>
      <c r="E38" s="787"/>
      <c r="F38" s="784"/>
      <c r="G38" s="788"/>
      <c r="H38" s="758"/>
      <c r="I38" s="809"/>
      <c r="J38" s="814"/>
    </row>
    <row r="39" spans="1:10" ht="13.5" customHeight="1">
      <c r="A39" s="783">
        <f>SUM(B39:C39)-F39</f>
        <v>11834281</v>
      </c>
      <c r="B39" s="784">
        <f>短期_附属明細表!G74</f>
        <v>11834281</v>
      </c>
      <c r="C39" s="785"/>
      <c r="D39" s="786" t="s">
        <v>98</v>
      </c>
      <c r="E39" s="787"/>
      <c r="F39" s="784"/>
      <c r="G39" s="788"/>
      <c r="H39" s="758"/>
    </row>
    <row r="40" spans="1:10" ht="13.5" customHeight="1">
      <c r="A40" s="783">
        <f>SUM(B40:C40)</f>
        <v>907739421</v>
      </c>
      <c r="B40" s="784">
        <f>I49</f>
        <v>907739421</v>
      </c>
      <c r="C40" s="785"/>
      <c r="D40" s="813" t="s">
        <v>112</v>
      </c>
      <c r="E40" s="815"/>
      <c r="F40" s="784"/>
      <c r="G40" s="788"/>
      <c r="H40" s="758"/>
      <c r="I40" s="808"/>
    </row>
    <row r="41" spans="1:10" ht="13.5" customHeight="1">
      <c r="A41" s="783"/>
      <c r="B41" s="784"/>
      <c r="C41" s="785"/>
      <c r="D41" s="786" t="s">
        <v>143</v>
      </c>
      <c r="E41" s="787"/>
      <c r="F41" s="784"/>
      <c r="G41" s="788"/>
      <c r="H41" s="758"/>
      <c r="I41" s="809"/>
      <c r="J41" s="816"/>
    </row>
    <row r="42" spans="1:10" ht="13.5" customHeight="1">
      <c r="A42" s="783">
        <f>SUM(B42:C42)</f>
        <v>765326409</v>
      </c>
      <c r="B42" s="3128">
        <f>短期_財務諸表!C63</f>
        <v>765326409</v>
      </c>
      <c r="C42" s="785"/>
      <c r="D42" s="786" t="s">
        <v>829</v>
      </c>
      <c r="E42" s="787"/>
      <c r="F42" s="784"/>
      <c r="G42" s="788"/>
      <c r="H42" s="758"/>
      <c r="I42" s="809"/>
      <c r="J42" s="816"/>
    </row>
    <row r="43" spans="1:10" ht="13.5" customHeight="1">
      <c r="A43" s="783">
        <f>SUM(B43:C43)</f>
        <v>47443772</v>
      </c>
      <c r="B43" s="3122">
        <f>短期_財務諸表!C64</f>
        <v>47443772</v>
      </c>
      <c r="C43" s="791"/>
      <c r="D43" s="792" t="s">
        <v>831</v>
      </c>
      <c r="E43" s="793"/>
      <c r="F43" s="790"/>
      <c r="G43" s="796"/>
      <c r="H43" s="758"/>
      <c r="I43" s="809"/>
      <c r="J43" s="816"/>
    </row>
    <row r="44" spans="1:10" ht="13.5" customHeight="1">
      <c r="A44" s="789"/>
      <c r="B44" s="790"/>
      <c r="C44" s="791"/>
      <c r="D44" s="792" t="s">
        <v>29</v>
      </c>
      <c r="E44" s="3123">
        <v>5622054228</v>
      </c>
      <c r="F44" s="790"/>
      <c r="G44" s="796">
        <f>SUM(E44:F44)-C44-B44</f>
        <v>5622054228</v>
      </c>
      <c r="H44" s="758"/>
      <c r="I44" s="809"/>
      <c r="J44" s="816"/>
    </row>
    <row r="45" spans="1:10" ht="13.5" customHeight="1">
      <c r="A45" s="789"/>
      <c r="B45" s="790"/>
      <c r="C45" s="791"/>
      <c r="D45" s="792" t="s">
        <v>31</v>
      </c>
      <c r="E45" s="3123">
        <v>496114904</v>
      </c>
      <c r="F45" s="790"/>
      <c r="G45" s="788">
        <f>SUM(E45:F45)</f>
        <v>496114904</v>
      </c>
      <c r="H45" s="758"/>
      <c r="I45" s="809"/>
      <c r="J45" s="816"/>
    </row>
    <row r="46" spans="1:10" ht="13.5" customHeight="1">
      <c r="A46" s="789"/>
      <c r="B46" s="790"/>
      <c r="C46" s="791"/>
      <c r="D46" s="792" t="s">
        <v>32</v>
      </c>
      <c r="E46" s="3123">
        <v>5551497726</v>
      </c>
      <c r="F46" s="790"/>
      <c r="G46" s="796">
        <f>SUM(E46:F46)</f>
        <v>5551497726</v>
      </c>
      <c r="H46" s="758"/>
    </row>
    <row r="47" spans="1:10" ht="13.5" customHeight="1">
      <c r="A47" s="783"/>
      <c r="B47" s="790"/>
      <c r="C47" s="791"/>
      <c r="D47" s="792" t="s">
        <v>33</v>
      </c>
      <c r="E47" s="3123">
        <v>496288832</v>
      </c>
      <c r="F47" s="790"/>
      <c r="G47" s="788">
        <f>SUM(E47:F47)</f>
        <v>496288832</v>
      </c>
      <c r="H47" s="758"/>
      <c r="I47" s="816"/>
    </row>
    <row r="48" spans="1:10" ht="13.5" customHeight="1">
      <c r="A48" s="789"/>
      <c r="B48" s="790"/>
      <c r="C48" s="791"/>
      <c r="D48" s="792" t="s">
        <v>34</v>
      </c>
      <c r="E48" s="3123">
        <v>96007968</v>
      </c>
      <c r="F48" s="3122">
        <f>短期_附属明細表!G48</f>
        <v>54568</v>
      </c>
      <c r="G48" s="788">
        <f>E48+F48-C48</f>
        <v>96062536</v>
      </c>
      <c r="H48" s="758"/>
      <c r="I48" s="809" t="str">
        <f>"●"&amp;入力ガイド!$C$6&amp;"年度決算上の次年度繰越支払準備金"</f>
        <v>●7年度決算上の次年度繰越支払準備金</v>
      </c>
    </row>
    <row r="49" spans="1:9" ht="13.5" customHeight="1">
      <c r="A49" s="783"/>
      <c r="B49" s="790"/>
      <c r="C49" s="791"/>
      <c r="D49" s="792" t="s">
        <v>35</v>
      </c>
      <c r="E49" s="3123">
        <v>4793716</v>
      </c>
      <c r="F49" s="3129"/>
      <c r="G49" s="788">
        <f>E49+F49-C49</f>
        <v>4793716</v>
      </c>
      <c r="H49" s="758"/>
      <c r="I49" s="3130">
        <v>907739421</v>
      </c>
    </row>
    <row r="50" spans="1:9" ht="13.5" customHeight="1">
      <c r="A50" s="783"/>
      <c r="B50" s="790"/>
      <c r="C50" s="791"/>
      <c r="D50" s="818" t="s">
        <v>36</v>
      </c>
      <c r="E50" s="3123">
        <v>7419879</v>
      </c>
      <c r="F50" s="819"/>
      <c r="G50" s="788">
        <f>E50-C50</f>
        <v>7419879</v>
      </c>
      <c r="H50" s="758"/>
      <c r="I50" s="820"/>
    </row>
    <row r="51" spans="1:9" ht="13.5" customHeight="1">
      <c r="A51" s="783"/>
      <c r="B51" s="790"/>
      <c r="C51" s="791"/>
      <c r="D51" s="792" t="s">
        <v>37</v>
      </c>
      <c r="E51" s="3123">
        <v>13759</v>
      </c>
      <c r="F51" s="819"/>
      <c r="G51" s="788">
        <f>E51-C51</f>
        <v>13759</v>
      </c>
      <c r="H51" s="758"/>
      <c r="I51" s="820"/>
    </row>
    <row r="52" spans="1:9" ht="13.5" customHeight="1">
      <c r="A52" s="783"/>
      <c r="B52" s="790"/>
      <c r="C52" s="791"/>
      <c r="D52" s="792" t="s">
        <v>41</v>
      </c>
      <c r="E52" s="3123">
        <v>71223000</v>
      </c>
      <c r="F52" s="819"/>
      <c r="G52" s="788">
        <f>E52-C52</f>
        <v>71223000</v>
      </c>
      <c r="H52" s="758"/>
    </row>
    <row r="53" spans="1:9" ht="13.5" customHeight="1">
      <c r="A53" s="783"/>
      <c r="B53" s="790"/>
      <c r="C53" s="791"/>
      <c r="D53" s="792" t="s">
        <v>42</v>
      </c>
      <c r="E53" s="793"/>
      <c r="F53" s="819"/>
      <c r="G53" s="788"/>
      <c r="H53" s="758"/>
    </row>
    <row r="54" spans="1:9" ht="13.5" customHeight="1">
      <c r="A54" s="783"/>
      <c r="B54" s="3122">
        <f>F24</f>
        <v>20000</v>
      </c>
      <c r="C54" s="791"/>
      <c r="D54" s="3131" t="s">
        <v>205</v>
      </c>
      <c r="E54" s="3123">
        <v>587346584</v>
      </c>
      <c r="F54" s="779"/>
      <c r="G54" s="788">
        <f>SUM(E54:F54)-B54</f>
        <v>587326584</v>
      </c>
      <c r="H54" s="758"/>
      <c r="I54" s="822" t="s">
        <v>904</v>
      </c>
    </row>
    <row r="55" spans="1:9" ht="13.5" customHeight="1">
      <c r="A55" s="783"/>
      <c r="B55" s="790"/>
      <c r="C55" s="791"/>
      <c r="D55" s="792" t="s">
        <v>45</v>
      </c>
      <c r="E55" s="3123">
        <v>10496090</v>
      </c>
      <c r="F55" s="819"/>
      <c r="G55" s="788">
        <f>E55-C55</f>
        <v>10496090</v>
      </c>
      <c r="H55" s="758"/>
      <c r="I55" s="820">
        <f>短期_附属明細表!E99</f>
        <v>480287584</v>
      </c>
    </row>
    <row r="56" spans="1:9" ht="13.5" customHeight="1">
      <c r="A56" s="783"/>
      <c r="B56" s="790"/>
      <c r="C56" s="791"/>
      <c r="D56" s="792" t="s">
        <v>46</v>
      </c>
      <c r="E56" s="3123">
        <v>37196000</v>
      </c>
      <c r="F56" s="819"/>
      <c r="G56" s="788">
        <f>E56-C56</f>
        <v>37196000</v>
      </c>
      <c r="H56" s="758"/>
    </row>
    <row r="57" spans="1:9" ht="13.5" customHeight="1">
      <c r="A57" s="783"/>
      <c r="B57" s="790"/>
      <c r="C57" s="791"/>
      <c r="D57" s="823" t="s">
        <v>47</v>
      </c>
      <c r="E57" s="793"/>
      <c r="F57" s="779"/>
      <c r="G57" s="788"/>
      <c r="H57" s="758"/>
    </row>
    <row r="58" spans="1:9" ht="13.5" customHeight="1">
      <c r="A58" s="783"/>
      <c r="B58" s="790"/>
      <c r="C58" s="791"/>
      <c r="D58" s="792" t="s">
        <v>49</v>
      </c>
      <c r="E58" s="3123">
        <v>1422838</v>
      </c>
      <c r="F58" s="779"/>
      <c r="G58" s="788">
        <f>SUM(E58:F58)</f>
        <v>1422838</v>
      </c>
      <c r="H58" s="758"/>
    </row>
    <row r="59" spans="1:9" ht="13.5" customHeight="1">
      <c r="A59" s="783"/>
      <c r="B59" s="790"/>
      <c r="C59" s="791"/>
      <c r="D59" s="824" t="s">
        <v>50</v>
      </c>
      <c r="E59" s="793"/>
      <c r="F59" s="779">
        <f>B19</f>
        <v>876229790</v>
      </c>
      <c r="G59" s="788">
        <f>SUM(E59:F59)</f>
        <v>876229790</v>
      </c>
      <c r="H59" s="758"/>
    </row>
    <row r="60" spans="1:9" ht="13.5" customHeight="1">
      <c r="A60" s="783"/>
      <c r="B60" s="790"/>
      <c r="C60" s="791"/>
      <c r="D60" s="792" t="s">
        <v>51</v>
      </c>
      <c r="E60" s="3123">
        <v>10567708</v>
      </c>
      <c r="F60" s="779"/>
      <c r="G60" s="788">
        <f>SUM(E60:F60)</f>
        <v>10567708</v>
      </c>
      <c r="H60" s="758"/>
    </row>
    <row r="61" spans="1:9" ht="13.5" customHeight="1">
      <c r="A61" s="783"/>
      <c r="B61" s="790"/>
      <c r="C61" s="791"/>
      <c r="D61" s="792" t="s">
        <v>191</v>
      </c>
      <c r="E61" s="793"/>
      <c r="F61" s="779" t="str">
        <f>IF(短期_財務諸表!G61=0,"",短期_財務諸表!G61)</f>
        <v/>
      </c>
      <c r="G61" s="788" t="str">
        <f>IF(SUM(E61:F61)=0,"",SUM(E61:F61))</f>
        <v/>
      </c>
      <c r="H61" s="758"/>
    </row>
    <row r="62" spans="1:9" ht="13.5" customHeight="1">
      <c r="A62" s="789"/>
      <c r="B62" s="779"/>
      <c r="C62" s="791"/>
      <c r="D62" s="792" t="s">
        <v>192</v>
      </c>
      <c r="E62" s="793"/>
      <c r="F62" s="779" t="str">
        <f>IF(短期_財務諸表!G62=0,"",短期_財務諸表!G62)</f>
        <v/>
      </c>
      <c r="G62" s="788" t="str">
        <f>IF(SUM(E62:F62)=0,"",SUM(E62:F62))</f>
        <v/>
      </c>
      <c r="H62" s="758"/>
    </row>
    <row r="63" spans="1:9" ht="13.5" customHeight="1">
      <c r="A63" s="798">
        <f>SUM(A23:A62)</f>
        <v>13868707590</v>
      </c>
      <c r="B63" s="799">
        <f>SUM(B23:B62)</f>
        <v>1762170553</v>
      </c>
      <c r="C63" s="800">
        <f>SUM(C23:C62)</f>
        <v>12106604437</v>
      </c>
      <c r="D63" s="801" t="s">
        <v>903</v>
      </c>
      <c r="E63" s="802">
        <f>SUM(E23:E62)</f>
        <v>12992443232</v>
      </c>
      <c r="F63" s="799">
        <f>SUM(F23:F62)</f>
        <v>876331758</v>
      </c>
      <c r="G63" s="803">
        <f>SUM(G23:G62)</f>
        <v>13868707590</v>
      </c>
      <c r="H63" s="825">
        <f>A63-G63</f>
        <v>0</v>
      </c>
    </row>
    <row r="64" spans="1:9" ht="13.5" customHeight="1">
      <c r="A64" s="798">
        <f>SUM(A22+A63)</f>
        <v>17904698041</v>
      </c>
      <c r="B64" s="799">
        <f>SUM(B63,B22)</f>
        <v>3451252492</v>
      </c>
      <c r="C64" s="800">
        <f>SUM(C63,C22)</f>
        <v>16142540320</v>
      </c>
      <c r="D64" s="801" t="s">
        <v>675</v>
      </c>
      <c r="E64" s="802">
        <f>SUM(E22+E63)</f>
        <v>16142540320</v>
      </c>
      <c r="F64" s="799">
        <f>SUM(F63,F22)</f>
        <v>3451252492</v>
      </c>
      <c r="G64" s="803">
        <f>SUM(G63,G22)</f>
        <v>17904698041</v>
      </c>
      <c r="H64" s="758"/>
    </row>
    <row r="65" spans="1:10" ht="3" customHeight="1">
      <c r="A65" s="826"/>
      <c r="B65" s="827"/>
      <c r="C65" s="739"/>
      <c r="D65" s="828"/>
      <c r="E65" s="739"/>
      <c r="F65" s="739"/>
      <c r="G65" s="829"/>
      <c r="H65" s="758"/>
    </row>
    <row r="66" spans="1:10" s="834" customFormat="1" ht="16.5" customHeight="1">
      <c r="A66" s="2486"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66" s="2486"/>
      <c r="C66" s="830"/>
      <c r="D66" s="830"/>
      <c r="E66" s="831" t="s">
        <v>905</v>
      </c>
      <c r="F66" s="831"/>
      <c r="G66" s="832"/>
      <c r="H66" s="833"/>
      <c r="I66" s="199"/>
      <c r="J66" s="199"/>
    </row>
    <row r="67" spans="1:10" ht="3" customHeight="1">
      <c r="A67" s="835"/>
      <c r="B67" s="739"/>
      <c r="C67" s="739"/>
      <c r="D67" s="739"/>
      <c r="E67" s="739"/>
      <c r="F67" s="739"/>
      <c r="G67" s="829"/>
      <c r="H67" s="758"/>
    </row>
    <row r="68" spans="1:10" ht="13.5" customHeight="1">
      <c r="A68" s="2487" t="s">
        <v>906</v>
      </c>
      <c r="B68" s="2487"/>
      <c r="C68" s="2487"/>
      <c r="D68" s="2487"/>
      <c r="E68" s="2487"/>
      <c r="F68" s="2487"/>
      <c r="G68" s="2487"/>
      <c r="H68" s="758"/>
      <c r="I68" s="834"/>
      <c r="J68" s="834"/>
    </row>
    <row r="69" spans="1:10" ht="13.5" customHeight="1">
      <c r="A69" s="2488"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69" s="2488"/>
      <c r="C69" s="739"/>
      <c r="D69" s="739"/>
      <c r="E69" s="2489" t="s">
        <v>907</v>
      </c>
      <c r="F69" s="2489"/>
      <c r="G69" s="2489"/>
      <c r="H69" s="758"/>
    </row>
    <row r="70" spans="1:10" s="695" customFormat="1" ht="1.5" customHeight="1">
      <c r="A70" s="836"/>
      <c r="B70" s="837"/>
      <c r="C70" s="837"/>
      <c r="D70" s="837"/>
      <c r="E70" s="2489"/>
      <c r="F70" s="2489"/>
      <c r="G70" s="2489"/>
      <c r="H70" s="758"/>
    </row>
    <row r="71" spans="1:10" ht="24" customHeight="1">
      <c r="A71" s="758"/>
      <c r="B71" s="758"/>
      <c r="C71" s="758"/>
      <c r="D71" s="758"/>
      <c r="E71" s="758"/>
      <c r="F71" s="758"/>
      <c r="G71" s="758"/>
      <c r="H71" s="758"/>
      <c r="I71" s="834"/>
      <c r="J71" s="834"/>
    </row>
    <row r="78" spans="1:10"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66:B66"/>
    <mergeCell ref="A68:G68"/>
    <mergeCell ref="A69:B69"/>
    <mergeCell ref="E69:G70"/>
    <mergeCell ref="C1:E1"/>
    <mergeCell ref="C3:E3"/>
    <mergeCell ref="A6:C6"/>
    <mergeCell ref="D6:D7"/>
    <mergeCell ref="E6:G6"/>
  </mergeCells>
  <phoneticPr fontId="155"/>
  <conditionalFormatting sqref="C25 C27 C28 C29 C30 C31 C32 C33 C34 D54 E17 E44 E45 E46 E47 E48 E49 E50 E51 E52 E54 E55 E56 E58 E60 F24 F34 F49 I49">
    <cfRule type="expression" dxfId="6" priority="1">
      <formula>AND(入力色表示=1,NOT(_xlfn.ISFORMULA(C25)))</formula>
    </cfRule>
  </conditionalFormatting>
  <dataValidations count="23">
    <dataValidation allowBlank="1" showInputMessage="1" promptTitle="手入力セル" prompt="反映先：短期_決算精算表 A27,C63&#10;他の帳票：報告_短期P7-10、報告_短期P11-13、報告_P8グラフデータ、短期_財務諸表 ほか1シート" sqref="C27"/>
    <dataValidation allowBlank="1" showInputMessage="1" promptTitle="手入力セル" prompt="反映先：短期_決算精算表 A28,C63&#10;他の帳票：報告_短期P7-10、報告_短期P11-13、報告_P8グラフデータ、短期_財務諸表 ほか1シート" sqref="C28"/>
    <dataValidation allowBlank="1" showInputMessage="1" promptTitle="手入力セル" prompt="反映先：短期_決算精算表 A30,C63&#10;他の帳票：報告_短期P7-10、報告_短期P11-13、報告_P8グラフデータ、短期_財務諸表 ほか1シート" sqref="C30"/>
    <dataValidation allowBlank="1" showInputMessage="1" promptTitle="手入力セル" prompt="反映先：短期_決算精算表 A32,C63&#10;他の帳票：報告_短期P7-10、報告_短期P11-13、短期_財務諸表、短期_附属明細表" sqref="C32"/>
    <dataValidation allowBlank="1" showInputMessage="1" promptTitle="手入力セル" prompt="反映先：短期_決算精算表 A34,C63&#10;他の帳票：報告_短期P7-10、報告_短期P11-13、報告_P8グラフデータ、短期_財務諸表 ほか1シート" sqref="C34"/>
    <dataValidation allowBlank="1" showInputMessage="1" promptTitle="手入力セル" prompt="反映先：短期_決算精算表 E22,G17&#10;他の帳票：なし" sqref="E17"/>
    <dataValidation allowBlank="1" showInputMessage="1" promptTitle="手入力セル" prompt="反映先：短期_決算精算表 E63,G44&#10;他の帳票：報告_短期P7-10、報告_短期P11-13、報告_P8グラフデータ、短期_財務諸表 ほか1シート" sqref="E44"/>
    <dataValidation allowBlank="1" showInputMessage="1" promptTitle="手入力セル" prompt="反映先：短期_決算精算表 E63,G45&#10;他の帳票：報告_短期P7-10、報告_短期P11-13、短期_財務諸表、短期_附属明細表" sqref="E45"/>
    <dataValidation allowBlank="1" showInputMessage="1" promptTitle="手入力セル" prompt="反映先：短期_決算精算表 E63,G46&#10;他の帳票：報告_短期P7-10、報告_短期P11-13、報告_P8グラフデータ、短期_財務諸表 ほか1シート" sqref="E46"/>
    <dataValidation allowBlank="1" showInputMessage="1" promptTitle="手入力セル" prompt="反映先：短期_決算精算表 E63,G47&#10;他の帳票：報告_短期P7-10、報告_短期P11-13、短期_財務諸表、短期_附属明細表" sqref="E47"/>
    <dataValidation allowBlank="1" showInputMessage="1" promptTitle="手入力セル" prompt="反映先：短期_決算精算表 E63,G48&#10;他の帳票：報告_短期P7-10、報告_短期P11-13、報告_P8グラフデータ、短期_財務諸表 ほか1シート" sqref="E48"/>
    <dataValidation allowBlank="1" showInputMessage="1" promptTitle="手入力セル" prompt="反映先：短期_決算精算表 E63,G49&#10;他の帳票：報告_短期P7-10、報告_短期P11-13、短期_財務諸表、短期_附属明細表" sqref="E49"/>
    <dataValidation allowBlank="1" showInputMessage="1" promptTitle="手入力セル" prompt="反映先：短期_決算精算表 E63,G50&#10;他の帳票：報告_短期P7-10、報告_短期P11-13、短期_財務諸表、短期_附属明細表" sqref="E50"/>
    <dataValidation allowBlank="1" showInputMessage="1" promptTitle="手入力セル" prompt="反映先：短期_決算精算表 E63,G51&#10;他の帳票：報告_短期P7-10、報告_短期P11-13、報告_P8グラフデータ、短期_財務諸表 ほか1シート" sqref="E51"/>
    <dataValidation allowBlank="1" showInputMessage="1" promptTitle="手入力セル" prompt="反映先：短期_決算精算表 E63,G52&#10;他の帳票：報告_短期P7-10、報告_短期P11-13、報告_P8グラフデータ、短期_財務諸表 ほか1シート" sqref="E52"/>
    <dataValidation allowBlank="1" showInputMessage="1" promptTitle="手入力セル" prompt="反映先：短期_決算精算表 E63,G54&#10;他の帳票：報告_短期P7-10、報告_短期P11-13、報告_P8グラフデータ、短期_財務諸表 ほか1シート" sqref="E54"/>
    <dataValidation allowBlank="1" showInputMessage="1" promptTitle="手入力セル" prompt="反映先：短期_決算精算表 E63,G55&#10;他の帳票：報告_短期P7-10、報告_短期P11-13、報告_P8グラフデータ、短期_財務諸表 ほか1シート" sqref="E55"/>
    <dataValidation allowBlank="1" showInputMessage="1" promptTitle="手入力セル" prompt="反映先：短期_決算精算表 E63,G56&#10;他の帳票：報告_短期P7-10、報告_短期P11-13、報告_P8グラフデータ、短期_財務諸表 ほか1シート" sqref="E56"/>
    <dataValidation allowBlank="1" showInputMessage="1" promptTitle="手入力セル" prompt="反映先：短期_決算精算表 E63,G58&#10;他の帳票：報告_短期P7-10、報告_短期P11-13、報告_P8グラフデータ、短期_財務諸表 ほか1シート" sqref="E58"/>
    <dataValidation allowBlank="1" showInputMessage="1" promptTitle="手入力セル" prompt="反映先：短期_決算精算表 E63,G60&#10;他の帳票：報告_短期P7-10、報告_短期P11-13、報告_P8グラフデータ、短期_財務諸表 ほか1シート" sqref="E60"/>
    <dataValidation allowBlank="1" showInputMessage="1" promptTitle="手入力セル" prompt="反映先：短期_決算精算表 A24,B54,C24…&#10;他の帳票：報告_短期P7-10、報告_短期P11-13、報告_P8グラフデータ、短期_財務諸表 ほか1シート" sqref="F24"/>
    <dataValidation allowBlank="1" showInputMessage="1" promptTitle="手入力セル" prompt="反映先：短期_決算精算表 A34,B17,F63&#10;他の帳票：報告_短期P7-10、報告_短期P11-13、報告_P8グラフデータ、短期_財務諸表 ほか1シート" sqref="F34"/>
    <dataValidation allowBlank="1" showInputMessage="1" promptTitle="手入力セル" prompt="反映先：短期_財務諸表 G13、短期_決算精算表 B40,F19&#10;他の帳票：報告_短期P7-10、報告_短期P11-13、報告_P8グラフデータ、短期_財務諸表 ほか1シート" sqref="I49"/>
  </dataValidations>
  <pageMargins left="0.78749999999999998" right="0.39374999999999999" top="0.31527777777777799" bottom="0.43333333333333302" header="0.511811023622047" footer="0.31527777777777799"/>
  <pageSetup paperSize="9" scale="94" firstPageNumber="30" orientation="portrait" cellComments="atEnd" useFirstPageNumber="1" horizontalDpi="300" verticalDpi="300"/>
  <headerFooter>
    <oddFooter>&amp;C&amp;"ＭＳ 明朝,Regular"- &amp;P -</oddFooter>
  </headerFooter>
  <legacy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74E9D-08A3-4116-9162-6FA2D5AE017F}">
  <sheetPr codeName="Sheet24">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3.88671875" style="838" customWidth="1"/>
    <col min="5" max="5" width="11.109375" style="838" customWidth="1"/>
    <col min="6" max="6" width="13" style="838" customWidth="1"/>
    <col min="7" max="9" width="0.6640625" style="838" customWidth="1"/>
    <col min="10" max="10" width="11.21875" style="838" customWidth="1"/>
    <col min="11" max="11" width="13" style="838" customWidth="1"/>
    <col min="12" max="12" width="11.109375" style="838" customWidth="1"/>
    <col min="13" max="13" width="13" style="838" customWidth="1"/>
    <col min="14" max="14" width="0.77734375" style="838" customWidth="1"/>
    <col min="15" max="15" width="10.21875" style="838" customWidth="1"/>
    <col min="16" max="16" width="10.44140625" style="838" customWidth="1"/>
    <col min="17" max="257" width="9" style="839"/>
  </cols>
  <sheetData>
    <row r="1" spans="1:16" ht="22.5" customHeight="1">
      <c r="B1" s="840"/>
      <c r="C1" s="840"/>
      <c r="F1" s="2509" t="s">
        <v>8</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4" t="s">
        <v>912</v>
      </c>
      <c r="N4" s="845"/>
      <c r="O4" s="846"/>
      <c r="P4" s="846"/>
    </row>
    <row r="5" spans="1:16" s="847" customFormat="1" ht="11.25" customHeight="1">
      <c r="A5" s="848"/>
      <c r="B5" s="849"/>
      <c r="C5" s="850"/>
      <c r="D5" s="851" t="s">
        <v>551</v>
      </c>
      <c r="E5" s="852" t="s">
        <v>551</v>
      </c>
      <c r="F5" s="853" t="s">
        <v>551</v>
      </c>
      <c r="G5" s="854"/>
      <c r="H5" s="849"/>
      <c r="I5" s="849"/>
      <c r="J5" s="850"/>
      <c r="K5" s="851" t="s">
        <v>551</v>
      </c>
      <c r="L5" s="852" t="s">
        <v>551</v>
      </c>
      <c r="M5" s="855" t="s">
        <v>551</v>
      </c>
      <c r="N5" s="856"/>
      <c r="O5" s="846"/>
      <c r="P5" s="846"/>
    </row>
    <row r="6" spans="1:16" s="847" customFormat="1" ht="17.100000000000001" customHeight="1">
      <c r="A6" s="2511" t="s">
        <v>767</v>
      </c>
      <c r="B6" s="2511"/>
      <c r="C6" s="2511"/>
      <c r="D6" s="857"/>
      <c r="E6" s="858"/>
      <c r="F6" s="859">
        <f>SUM(E8:E9)</f>
        <v>1679618183</v>
      </c>
      <c r="G6" s="860"/>
      <c r="H6" s="2512" t="s">
        <v>768</v>
      </c>
      <c r="I6" s="2512"/>
      <c r="J6" s="2512"/>
      <c r="K6" s="857"/>
      <c r="L6" s="861"/>
      <c r="M6" s="862">
        <f>SUM(L8:L9)</f>
        <v>1679618183</v>
      </c>
      <c r="N6" s="863"/>
      <c r="O6" s="846"/>
      <c r="P6" s="846"/>
    </row>
    <row r="7" spans="1:16" s="847" customFormat="1" ht="17.100000000000001" customHeight="1">
      <c r="A7" s="864"/>
      <c r="B7" s="841"/>
      <c r="C7" s="865"/>
      <c r="D7" s="857"/>
      <c r="E7" s="858"/>
      <c r="F7" s="866"/>
      <c r="G7" s="860"/>
      <c r="H7" s="867"/>
      <c r="I7" s="841"/>
      <c r="J7" s="865"/>
      <c r="K7" s="857"/>
      <c r="L7" s="861"/>
      <c r="M7" s="868"/>
      <c r="N7" s="863"/>
      <c r="O7" s="846"/>
      <c r="P7" s="846"/>
    </row>
    <row r="8" spans="1:16" s="847" customFormat="1" ht="17.100000000000001" customHeight="1">
      <c r="A8" s="2513" t="s">
        <v>194</v>
      </c>
      <c r="B8" s="2513"/>
      <c r="C8" s="2513"/>
      <c r="D8" s="857"/>
      <c r="E8" s="869">
        <f>厚生_預金・立替・未収!E11</f>
        <v>1679618183</v>
      </c>
      <c r="F8" s="866"/>
      <c r="G8" s="860"/>
      <c r="H8" s="2514" t="s">
        <v>899</v>
      </c>
      <c r="I8" s="2514"/>
      <c r="J8" s="2514"/>
      <c r="K8" s="857"/>
      <c r="L8" s="869">
        <f>厚生_預金・立替・未収!C30</f>
        <v>1679528183</v>
      </c>
      <c r="M8" s="868"/>
      <c r="N8" s="863"/>
      <c r="O8" s="846"/>
      <c r="P8" s="846"/>
    </row>
    <row r="9" spans="1:16" s="847" customFormat="1" ht="17.100000000000001" customHeight="1">
      <c r="A9" s="2513" t="s">
        <v>898</v>
      </c>
      <c r="B9" s="2513"/>
      <c r="C9" s="2513"/>
      <c r="D9" s="870"/>
      <c r="E9" s="858">
        <f>厚生_預金・立替・未収!C19</f>
        <v>0</v>
      </c>
      <c r="F9" s="866"/>
      <c r="G9" s="871"/>
      <c r="H9" s="2514" t="s">
        <v>200</v>
      </c>
      <c r="I9" s="2514"/>
      <c r="J9" s="2514"/>
      <c r="K9" s="857"/>
      <c r="L9" s="861">
        <f>厚生_預金・立替・未収!C38</f>
        <v>90000</v>
      </c>
      <c r="M9" s="868"/>
      <c r="N9" s="863"/>
      <c r="O9" s="846"/>
      <c r="P9" s="846"/>
    </row>
    <row r="10" spans="1:16" s="847" customFormat="1" ht="17.100000000000001" customHeight="1">
      <c r="A10" s="872"/>
      <c r="B10" s="2506"/>
      <c r="C10" s="2506"/>
      <c r="D10" s="857"/>
      <c r="E10" s="861"/>
      <c r="F10" s="873"/>
      <c r="G10" s="871"/>
      <c r="H10" s="841"/>
      <c r="I10" s="841"/>
      <c r="J10" s="865"/>
      <c r="K10" s="874"/>
      <c r="L10" s="875"/>
      <c r="M10" s="868" t="s">
        <v>913</v>
      </c>
      <c r="N10" s="863"/>
      <c r="O10" s="846"/>
      <c r="P10" s="846"/>
    </row>
    <row r="11" spans="1:16" s="847" customFormat="1" ht="11.25" customHeight="1">
      <c r="A11" s="876"/>
      <c r="B11" s="877"/>
      <c r="C11" s="878"/>
      <c r="D11" s="879"/>
      <c r="E11" s="880"/>
      <c r="F11" s="881"/>
      <c r="G11" s="882"/>
      <c r="H11" s="883"/>
      <c r="I11" s="883"/>
      <c r="J11" s="884"/>
      <c r="K11" s="885"/>
      <c r="L11" s="880"/>
      <c r="M11" s="886"/>
      <c r="N11" s="887"/>
      <c r="O11" s="846"/>
      <c r="P11" s="846"/>
    </row>
    <row r="12" spans="1:16" s="847" customFormat="1" ht="24" customHeight="1">
      <c r="A12" s="2507" t="s">
        <v>914</v>
      </c>
      <c r="B12" s="2507"/>
      <c r="C12" s="2507"/>
      <c r="D12" s="2507"/>
      <c r="E12" s="2507"/>
      <c r="F12" s="888">
        <f>SUM(F6:F9)</f>
        <v>1679618183</v>
      </c>
      <c r="G12" s="889"/>
      <c r="H12" s="2508" t="s">
        <v>915</v>
      </c>
      <c r="I12" s="2508"/>
      <c r="J12" s="2508"/>
      <c r="K12" s="2508"/>
      <c r="L12" s="2508"/>
      <c r="M12" s="890">
        <f>SUM(M6:M9)</f>
        <v>1679618183</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8</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4" t="s">
        <v>918</v>
      </c>
      <c r="N18" s="845"/>
      <c r="O18" s="846"/>
      <c r="P18" s="846"/>
    </row>
    <row r="19" spans="1:16" s="909" customFormat="1" ht="10.5" customHeight="1">
      <c r="A19" s="898"/>
      <c r="B19" s="899"/>
      <c r="C19" s="900"/>
      <c r="D19" s="901" t="s">
        <v>551</v>
      </c>
      <c r="E19" s="902" t="s">
        <v>551</v>
      </c>
      <c r="F19" s="903" t="s">
        <v>551</v>
      </c>
      <c r="G19" s="904"/>
      <c r="H19" s="899"/>
      <c r="I19" s="899"/>
      <c r="J19" s="905"/>
      <c r="K19" s="901" t="s">
        <v>551</v>
      </c>
      <c r="L19" s="902" t="s">
        <v>551</v>
      </c>
      <c r="M19" s="906" t="s">
        <v>551</v>
      </c>
      <c r="N19" s="907"/>
      <c r="O19" s="908"/>
      <c r="P19" s="908"/>
    </row>
    <row r="20" spans="1:16" s="909" customFormat="1" ht="16.5" customHeight="1">
      <c r="A20" s="2504" t="s">
        <v>791</v>
      </c>
      <c r="B20" s="2504"/>
      <c r="C20" s="2504"/>
      <c r="D20" s="910"/>
      <c r="E20" s="911"/>
      <c r="F20" s="912">
        <f>SUM(E22)</f>
        <v>19731409796</v>
      </c>
      <c r="G20" s="913"/>
      <c r="H20" s="2505" t="s">
        <v>792</v>
      </c>
      <c r="I20" s="2505"/>
      <c r="J20" s="2505"/>
      <c r="K20" s="910"/>
      <c r="L20" s="911"/>
      <c r="M20" s="914">
        <f>SUM(L22:L24)</f>
        <v>19731409796</v>
      </c>
      <c r="N20" s="915"/>
      <c r="O20" s="908"/>
      <c r="P20" s="908"/>
    </row>
    <row r="21" spans="1:16" s="909" customFormat="1" ht="17.100000000000001" customHeight="1">
      <c r="A21" s="2495"/>
      <c r="B21" s="2495"/>
      <c r="C21" s="2495"/>
      <c r="D21" s="910"/>
      <c r="E21" s="911"/>
      <c r="F21" s="916"/>
      <c r="G21" s="917"/>
      <c r="H21" s="2496"/>
      <c r="I21" s="2496"/>
      <c r="J21" s="2496"/>
      <c r="K21" s="910"/>
      <c r="L21" s="911"/>
      <c r="M21" s="918"/>
      <c r="N21" s="915"/>
      <c r="O21" s="908"/>
      <c r="P21" s="908"/>
    </row>
    <row r="22" spans="1:16" s="909" customFormat="1" ht="17.100000000000001" customHeight="1">
      <c r="A22" s="2497" t="s">
        <v>793</v>
      </c>
      <c r="B22" s="2497"/>
      <c r="C22" s="2497"/>
      <c r="D22" s="910"/>
      <c r="E22" s="919">
        <f>SUM(D23:D24)</f>
        <v>19731409796</v>
      </c>
      <c r="F22" s="916"/>
      <c r="G22" s="920"/>
      <c r="H22" s="2498" t="s">
        <v>794</v>
      </c>
      <c r="I22" s="2498"/>
      <c r="J22" s="2498"/>
      <c r="K22" s="910"/>
      <c r="L22" s="919">
        <f>SUM(K23:K24)</f>
        <v>19731409796</v>
      </c>
      <c r="M22" s="918"/>
      <c r="N22" s="915"/>
      <c r="O22" s="908"/>
      <c r="P22" s="908"/>
    </row>
    <row r="23" spans="1:16" s="909" customFormat="1" ht="17.100000000000001" customHeight="1">
      <c r="A23" s="921"/>
      <c r="B23" s="922"/>
      <c r="C23" s="923" t="s">
        <v>594</v>
      </c>
      <c r="D23" s="924">
        <f>厚生_決算精算表!A17</f>
        <v>11995594883</v>
      </c>
      <c r="E23" s="911"/>
      <c r="F23" s="916"/>
      <c r="G23" s="920"/>
      <c r="H23" s="925"/>
      <c r="I23" s="922"/>
      <c r="J23" s="923" t="s">
        <v>125</v>
      </c>
      <c r="K23" s="924">
        <f>厚生_決算精算表!G19</f>
        <v>11995594883</v>
      </c>
      <c r="L23" s="911"/>
      <c r="M23" s="918"/>
      <c r="N23" s="915"/>
      <c r="O23" s="908"/>
      <c r="P23" s="908"/>
    </row>
    <row r="24" spans="1:16" s="909" customFormat="1" ht="23.25" customHeight="1">
      <c r="A24" s="926"/>
      <c r="B24" s="922"/>
      <c r="C24" s="927" t="s">
        <v>919</v>
      </c>
      <c r="D24" s="924">
        <f>厚生_決算精算表!A18</f>
        <v>7735814913</v>
      </c>
      <c r="E24" s="911"/>
      <c r="F24" s="916"/>
      <c r="G24" s="920"/>
      <c r="H24" s="925"/>
      <c r="I24" s="922"/>
      <c r="J24" s="923" t="s">
        <v>584</v>
      </c>
      <c r="K24" s="924">
        <f>厚生_決算精算表!G20</f>
        <v>7735814913</v>
      </c>
      <c r="L24" s="911"/>
      <c r="M24" s="918"/>
      <c r="N24" s="915"/>
      <c r="O24" s="908"/>
      <c r="P24" s="908"/>
    </row>
    <row r="25" spans="1:16" s="909" customFormat="1" ht="11.25" customHeight="1">
      <c r="A25" s="928"/>
      <c r="B25" s="929"/>
      <c r="C25" s="930"/>
      <c r="D25" s="931"/>
      <c r="E25" s="932"/>
      <c r="F25" s="933"/>
      <c r="G25" s="934"/>
      <c r="H25" s="935"/>
      <c r="I25" s="935"/>
      <c r="J25" s="930"/>
      <c r="K25" s="936"/>
      <c r="L25" s="937"/>
      <c r="M25" s="938"/>
      <c r="N25" s="939"/>
      <c r="O25" s="908"/>
      <c r="P25" s="908"/>
    </row>
    <row r="26" spans="1:16" s="909" customFormat="1" ht="24" customHeight="1">
      <c r="A26" s="2499" t="s">
        <v>920</v>
      </c>
      <c r="B26" s="2499"/>
      <c r="C26" s="2499"/>
      <c r="D26" s="2499"/>
      <c r="E26" s="2499"/>
      <c r="F26" s="888">
        <f>SUM(F20:F25)</f>
        <v>19731409796</v>
      </c>
      <c r="G26" s="940"/>
      <c r="H26" s="2500" t="s">
        <v>921</v>
      </c>
      <c r="I26" s="2500"/>
      <c r="J26" s="2500"/>
      <c r="K26" s="2500"/>
      <c r="L26" s="2500"/>
      <c r="M26" s="888">
        <f>SUM(M20:M25)</f>
        <v>19731409796</v>
      </c>
      <c r="N26" s="941"/>
      <c r="O26" s="908"/>
      <c r="P26" s="908"/>
    </row>
    <row r="27" spans="1:16" ht="24" customHeight="1">
      <c r="A27" s="892"/>
      <c r="B27" s="892"/>
      <c r="C27" s="892"/>
      <c r="D27" s="892"/>
      <c r="E27" s="892"/>
      <c r="F27" s="892"/>
      <c r="G27" s="892"/>
      <c r="H27" s="892"/>
      <c r="I27" s="892"/>
      <c r="J27" s="892"/>
      <c r="K27" s="892"/>
      <c r="L27" s="892"/>
      <c r="M27" s="892"/>
    </row>
    <row r="28" spans="1:16" ht="24" customHeight="1">
      <c r="A28" s="942"/>
      <c r="B28" s="942"/>
      <c r="C28" s="942"/>
    </row>
    <row r="29" spans="1:16" ht="24" customHeight="1">
      <c r="A29" s="942"/>
      <c r="B29" s="942"/>
      <c r="C29"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8">
    <mergeCell ref="F1:J1"/>
    <mergeCell ref="F2:J2"/>
    <mergeCell ref="L3:N3"/>
    <mergeCell ref="A4:E4"/>
    <mergeCell ref="H4:L4"/>
    <mergeCell ref="A6:C6"/>
    <mergeCell ref="H6:J6"/>
    <mergeCell ref="A8:C8"/>
    <mergeCell ref="H8:J8"/>
    <mergeCell ref="A9:C9"/>
    <mergeCell ref="H9:J9"/>
    <mergeCell ref="B10:C10"/>
    <mergeCell ref="A12:E12"/>
    <mergeCell ref="H12:L12"/>
    <mergeCell ref="F14:J14"/>
    <mergeCell ref="F15:J15"/>
    <mergeCell ref="L16:N16"/>
    <mergeCell ref="L17:N17"/>
    <mergeCell ref="A18:E18"/>
    <mergeCell ref="H18:L18"/>
    <mergeCell ref="A20:C20"/>
    <mergeCell ref="H20:J20"/>
    <mergeCell ref="A21:C21"/>
    <mergeCell ref="H21:J21"/>
    <mergeCell ref="A22:C22"/>
    <mergeCell ref="H22:J22"/>
    <mergeCell ref="A26:E26"/>
    <mergeCell ref="H26:L26"/>
  </mergeCells>
  <phoneticPr fontId="155"/>
  <pageMargins left="0.78749999999999998" right="0.39374999999999999" top="0.78749999999999998" bottom="0.74791666666666701" header="0.511811023622047" footer="0.51180555555555596"/>
  <pageSetup paperSize="9" scale="90" firstPageNumber="31" orientation="portrait" useFirstPageNumber="1" horizontalDpi="300" verticalDpi="300"/>
  <headerFooter>
    <oddFooter>&amp;C&amp;"ＭＳ Ｐ明朝,Regular"&amp;9-　&amp;P　-</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D399E-D679-432C-8023-295A6FC58A51}">
  <sheetPr codeName="Sheet25"/>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s="950" customFormat="1" ht="23.25" customHeight="1">
      <c r="A5" s="2414" t="s">
        <v>836</v>
      </c>
      <c r="B5" s="2414"/>
      <c r="C5" s="2438" t="s">
        <v>923</v>
      </c>
      <c r="D5" s="2438"/>
      <c r="E5" s="2438" t="s">
        <v>924</v>
      </c>
      <c r="F5" s="2438"/>
      <c r="G5" s="2438"/>
      <c r="H5" s="2438"/>
      <c r="I5" s="2555" t="s">
        <v>925</v>
      </c>
      <c r="J5" s="2555"/>
      <c r="K5" s="2555"/>
      <c r="L5" s="949"/>
      <c r="M5" s="949"/>
    </row>
    <row r="6" spans="1:13" s="950" customFormat="1" ht="14.25" customHeight="1">
      <c r="A6" s="951"/>
      <c r="B6" s="952"/>
      <c r="C6" s="953"/>
      <c r="D6" s="954"/>
      <c r="E6" s="1942" t="s">
        <v>551</v>
      </c>
      <c r="F6" s="1942"/>
      <c r="G6" s="1942"/>
      <c r="H6" s="1942"/>
      <c r="I6" s="955"/>
      <c r="J6" s="955"/>
      <c r="K6" s="956"/>
      <c r="L6" s="949"/>
      <c r="M6" s="949"/>
    </row>
    <row r="7" spans="1:13" s="950" customFormat="1" ht="23.25" customHeight="1">
      <c r="A7" s="2550" t="s">
        <v>839</v>
      </c>
      <c r="B7" s="2550"/>
      <c r="C7" s="2452" t="s">
        <v>194</v>
      </c>
      <c r="D7" s="2452"/>
      <c r="E7" s="2551">
        <v>1679528183</v>
      </c>
      <c r="F7" s="2552"/>
      <c r="G7" s="2552"/>
      <c r="H7" s="2552"/>
      <c r="I7" s="2553" t="s">
        <v>926</v>
      </c>
      <c r="J7" s="2553"/>
      <c r="K7" s="2553"/>
      <c r="L7" s="949"/>
      <c r="M7" s="957"/>
    </row>
    <row r="8" spans="1:13" s="950" customFormat="1" ht="23.25" customHeight="1">
      <c r="A8" s="2537" t="s">
        <v>927</v>
      </c>
      <c r="B8" s="2537"/>
      <c r="C8" s="958"/>
      <c r="D8" s="959" t="s">
        <v>928</v>
      </c>
      <c r="E8" s="2544">
        <f>SUM(E7)</f>
        <v>1679528183</v>
      </c>
      <c r="F8" s="2544"/>
      <c r="G8" s="2544"/>
      <c r="H8" s="2544"/>
      <c r="I8" s="960"/>
      <c r="J8" s="960"/>
      <c r="K8" s="961"/>
      <c r="L8" s="949"/>
      <c r="M8" s="949"/>
    </row>
    <row r="9" spans="1:13" s="950" customFormat="1" ht="23.25" customHeight="1">
      <c r="A9" s="2537" t="s">
        <v>842</v>
      </c>
      <c r="B9" s="2537"/>
      <c r="C9" s="1943" t="s">
        <v>195</v>
      </c>
      <c r="D9" s="1943"/>
      <c r="E9" s="2548">
        <v>90000</v>
      </c>
      <c r="F9" s="2549"/>
      <c r="G9" s="2549"/>
      <c r="H9" s="2549"/>
      <c r="I9" s="2542" t="s">
        <v>929</v>
      </c>
      <c r="J9" s="2542"/>
      <c r="K9" s="2542"/>
      <c r="L9" s="949"/>
      <c r="M9" s="949"/>
    </row>
    <row r="10" spans="1:13" s="950" customFormat="1" ht="23.25" customHeight="1">
      <c r="A10" s="2543" t="s">
        <v>927</v>
      </c>
      <c r="B10" s="2543"/>
      <c r="C10" s="958"/>
      <c r="D10" s="959" t="s">
        <v>928</v>
      </c>
      <c r="E10" s="2544">
        <f>SUM(E9)</f>
        <v>90000</v>
      </c>
      <c r="F10" s="2544"/>
      <c r="G10" s="2544"/>
      <c r="H10" s="2544"/>
      <c r="I10" s="960"/>
      <c r="J10" s="960"/>
      <c r="K10" s="961"/>
      <c r="L10" s="949"/>
      <c r="M10" s="949"/>
    </row>
    <row r="11" spans="1:13" s="950" customFormat="1" ht="23.25" customHeight="1">
      <c r="A11" s="2541" t="s">
        <v>413</v>
      </c>
      <c r="B11" s="2541"/>
      <c r="C11" s="2545" t="s">
        <v>930</v>
      </c>
      <c r="D11" s="2545"/>
      <c r="E11" s="2546">
        <f>+E8+E10</f>
        <v>1679618183</v>
      </c>
      <c r="F11" s="2546"/>
      <c r="G11" s="2546"/>
      <c r="H11" s="2546"/>
      <c r="I11" s="2547"/>
      <c r="J11" s="2547"/>
      <c r="K11" s="2547"/>
      <c r="L11" s="949"/>
      <c r="M11" s="949"/>
    </row>
    <row r="12" spans="1:13" ht="20.100000000000001" customHeight="1">
      <c r="A12" s="946"/>
      <c r="B12" s="946"/>
      <c r="C12" s="946"/>
    </row>
    <row r="13" spans="1:13" ht="26.1" hidden="1" customHeight="1">
      <c r="A13" s="2531" t="s">
        <v>931</v>
      </c>
      <c r="B13" s="2531"/>
      <c r="C13" s="2531"/>
      <c r="D13" s="2531"/>
      <c r="E13" s="2531"/>
      <c r="F13" s="2531"/>
      <c r="G13" s="2531"/>
      <c r="H13" s="2531"/>
      <c r="I13" s="2531"/>
      <c r="J13" s="2531"/>
      <c r="K13" s="2531"/>
    </row>
    <row r="14" spans="1:13" ht="15" hidden="1" customHeight="1">
      <c r="A14" s="946"/>
      <c r="B14" s="946"/>
      <c r="C14" s="946"/>
      <c r="G14" s="695"/>
    </row>
    <row r="15" spans="1:13" s="950" customFormat="1" ht="23.25" hidden="1" customHeight="1">
      <c r="A15" s="2414" t="s">
        <v>932</v>
      </c>
      <c r="B15" s="2414"/>
      <c r="C15" s="2438" t="s">
        <v>933</v>
      </c>
      <c r="D15" s="2438"/>
      <c r="E15" s="2526" t="s">
        <v>934</v>
      </c>
      <c r="F15" s="2526"/>
      <c r="G15" s="2526"/>
      <c r="H15" s="2526"/>
      <c r="I15" s="2527" t="s">
        <v>935</v>
      </c>
      <c r="J15" s="2527"/>
      <c r="K15" s="2527"/>
      <c r="L15" s="949"/>
      <c r="M15" s="949"/>
    </row>
    <row r="16" spans="1:13" s="950" customFormat="1" ht="15" hidden="1" customHeight="1">
      <c r="A16" s="962"/>
      <c r="B16" s="963"/>
      <c r="C16" s="2528" t="s">
        <v>551</v>
      </c>
      <c r="D16" s="2528"/>
      <c r="E16" s="2529" t="s">
        <v>936</v>
      </c>
      <c r="F16" s="2529"/>
      <c r="G16" s="2529"/>
      <c r="H16" s="2529"/>
      <c r="I16" s="2530" t="s">
        <v>937</v>
      </c>
      <c r="J16" s="2530"/>
      <c r="K16" s="2530"/>
      <c r="L16" s="949"/>
      <c r="M16" s="949"/>
    </row>
    <row r="17" spans="1:13" s="965" customFormat="1" ht="23.25" hidden="1" customHeight="1">
      <c r="A17" s="2522" t="s">
        <v>938</v>
      </c>
      <c r="B17" s="2522"/>
      <c r="C17" s="2534"/>
      <c r="D17" s="2534"/>
      <c r="E17" s="2540"/>
      <c r="F17" s="2540"/>
      <c r="G17" s="2540"/>
      <c r="H17" s="2540"/>
      <c r="I17" s="2536"/>
      <c r="J17" s="2536"/>
      <c r="K17" s="2536"/>
      <c r="L17" s="964"/>
      <c r="M17" s="964"/>
    </row>
    <row r="18" spans="1:13" s="965" customFormat="1" ht="23.25" hidden="1" customHeight="1">
      <c r="A18" s="2537" t="s">
        <v>206</v>
      </c>
      <c r="B18" s="2537"/>
      <c r="C18" s="2538">
        <v>0</v>
      </c>
      <c r="D18" s="2539"/>
      <c r="E18" s="2540"/>
      <c r="F18" s="2540"/>
      <c r="G18" s="2540"/>
      <c r="H18" s="2540"/>
      <c r="I18" s="2525"/>
      <c r="J18" s="2525"/>
      <c r="K18" s="2525"/>
      <c r="L18" s="964"/>
      <c r="M18" s="964"/>
    </row>
    <row r="19" spans="1:13" s="950" customFormat="1" ht="23.25" hidden="1" customHeight="1">
      <c r="A19" s="2541" t="s">
        <v>413</v>
      </c>
      <c r="B19" s="2541"/>
      <c r="C19" s="2515">
        <f>SUM(C17:D18)</f>
        <v>0</v>
      </c>
      <c r="D19" s="2515"/>
      <c r="E19" s="2516" t="s">
        <v>939</v>
      </c>
      <c r="F19" s="2516"/>
      <c r="G19" s="2516"/>
      <c r="H19" s="2516"/>
      <c r="I19" s="2517" t="s">
        <v>940</v>
      </c>
      <c r="J19" s="2517"/>
      <c r="K19" s="2517"/>
      <c r="L19" s="949"/>
      <c r="M19" s="949"/>
    </row>
    <row r="20" spans="1:13" ht="20.100000000000001" customHeight="1">
      <c r="A20" s="946"/>
      <c r="B20" s="946"/>
      <c r="C20" s="946"/>
    </row>
    <row r="21" spans="1:13" ht="26.1" customHeight="1">
      <c r="A21" s="2531" t="s">
        <v>941</v>
      </c>
      <c r="B21" s="2531"/>
      <c r="C21" s="2531"/>
      <c r="D21" s="2531"/>
      <c r="E21" s="2531"/>
      <c r="F21" s="2531"/>
      <c r="G21" s="2531"/>
      <c r="H21" s="2531"/>
      <c r="I21" s="2531"/>
      <c r="J21" s="2531"/>
      <c r="K21" s="2531"/>
      <c r="L21" s="966"/>
    </row>
    <row r="22" spans="1:13" ht="15" customHeight="1">
      <c r="A22" s="946"/>
      <c r="B22" s="946"/>
      <c r="C22" s="946"/>
      <c r="G22" s="695"/>
    </row>
    <row r="23" spans="1:13" s="950" customFormat="1" ht="23.25" customHeight="1">
      <c r="A23" s="2414" t="s">
        <v>932</v>
      </c>
      <c r="B23" s="2414"/>
      <c r="C23" s="2438" t="s">
        <v>933</v>
      </c>
      <c r="D23" s="2438"/>
      <c r="E23" s="2526" t="s">
        <v>934</v>
      </c>
      <c r="F23" s="2526"/>
      <c r="G23" s="2526"/>
      <c r="H23" s="2526"/>
      <c r="I23" s="2527" t="s">
        <v>935</v>
      </c>
      <c r="J23" s="2527"/>
      <c r="K23" s="2527"/>
      <c r="L23" s="949"/>
      <c r="M23" s="949"/>
    </row>
    <row r="24" spans="1:13" s="950" customFormat="1" ht="15" customHeight="1">
      <c r="A24" s="962"/>
      <c r="B24" s="963"/>
      <c r="C24" s="2528" t="s">
        <v>551</v>
      </c>
      <c r="D24" s="2528"/>
      <c r="E24" s="2529" t="s">
        <v>936</v>
      </c>
      <c r="F24" s="2529"/>
      <c r="G24" s="2529"/>
      <c r="H24" s="2529"/>
      <c r="I24" s="2530" t="s">
        <v>937</v>
      </c>
      <c r="J24" s="2530"/>
      <c r="K24" s="2530"/>
      <c r="L24" s="949"/>
      <c r="M24" s="949"/>
    </row>
    <row r="25" spans="1:13" s="965" customFormat="1" ht="23.25" customHeight="1">
      <c r="A25" s="2532" t="s">
        <v>207</v>
      </c>
      <c r="B25" s="2532"/>
      <c r="C25" s="2533">
        <v>680106267</v>
      </c>
      <c r="D25" s="2534"/>
      <c r="E25" s="2535" t="s">
        <v>857</v>
      </c>
      <c r="F25" s="2535"/>
      <c r="G25" s="2535"/>
      <c r="H25" s="2535"/>
      <c r="I25" s="2536"/>
      <c r="J25" s="2536"/>
      <c r="K25" s="2536"/>
      <c r="L25" s="964"/>
      <c r="M25" s="964"/>
    </row>
    <row r="26" spans="1:13" s="965" customFormat="1" ht="23.25" customHeight="1">
      <c r="A26" s="2532" t="s">
        <v>208</v>
      </c>
      <c r="B26" s="2532"/>
      <c r="C26" s="2533">
        <v>74756</v>
      </c>
      <c r="D26" s="2534"/>
      <c r="E26" s="2535" t="s">
        <v>857</v>
      </c>
      <c r="F26" s="2535"/>
      <c r="G26" s="2535"/>
      <c r="H26" s="2535"/>
      <c r="I26" s="2536"/>
      <c r="J26" s="2536"/>
      <c r="K26" s="2536"/>
      <c r="L26" s="964"/>
      <c r="M26" s="964"/>
    </row>
    <row r="27" spans="1:13" s="965" customFormat="1" ht="23.25" customHeight="1">
      <c r="A27" s="2532" t="s">
        <v>30</v>
      </c>
      <c r="B27" s="2532"/>
      <c r="C27" s="2533">
        <v>319390391</v>
      </c>
      <c r="D27" s="2534"/>
      <c r="E27" s="2535" t="s">
        <v>857</v>
      </c>
      <c r="F27" s="2535"/>
      <c r="G27" s="2535"/>
      <c r="H27" s="2535"/>
      <c r="I27" s="2536"/>
      <c r="J27" s="2536"/>
      <c r="K27" s="2536"/>
      <c r="L27" s="964"/>
      <c r="M27" s="964"/>
    </row>
    <row r="28" spans="1:13" s="965" customFormat="1" ht="23.25" customHeight="1">
      <c r="A28" s="2532" t="s">
        <v>209</v>
      </c>
      <c r="B28" s="2532"/>
      <c r="C28" s="2533">
        <v>489892831</v>
      </c>
      <c r="D28" s="2534"/>
      <c r="E28" s="2535" t="s">
        <v>857</v>
      </c>
      <c r="F28" s="2535"/>
      <c r="G28" s="2535"/>
      <c r="H28" s="2535"/>
      <c r="I28" s="2536"/>
      <c r="J28" s="2536"/>
      <c r="K28" s="2536"/>
      <c r="L28" s="964"/>
      <c r="M28" s="964"/>
    </row>
    <row r="29" spans="1:13" s="965" customFormat="1" ht="23.25" customHeight="1">
      <c r="A29" s="2480" t="s">
        <v>210</v>
      </c>
      <c r="B29" s="2480"/>
      <c r="C29" s="2533">
        <v>190063938</v>
      </c>
      <c r="D29" s="2534"/>
      <c r="E29" s="2535" t="s">
        <v>857</v>
      </c>
      <c r="F29" s="2535"/>
      <c r="G29" s="2535"/>
      <c r="H29" s="2535"/>
      <c r="I29" s="2536"/>
      <c r="J29" s="2536"/>
      <c r="K29" s="2536"/>
      <c r="L29" s="964"/>
      <c r="M29" s="964"/>
    </row>
    <row r="30" spans="1:13" s="950" customFormat="1" ht="23.25" customHeight="1">
      <c r="A30" s="2404" t="s">
        <v>942</v>
      </c>
      <c r="B30" s="2404"/>
      <c r="C30" s="2515">
        <f>SUM(C25:D29)</f>
        <v>1679528183</v>
      </c>
      <c r="D30" s="2515"/>
      <c r="E30" s="2516" t="s">
        <v>939</v>
      </c>
      <c r="F30" s="2516"/>
      <c r="G30" s="2516"/>
      <c r="H30" s="2516"/>
      <c r="I30" s="2517" t="s">
        <v>940</v>
      </c>
      <c r="J30" s="2517"/>
      <c r="K30" s="2517"/>
      <c r="L30" s="949"/>
      <c r="M30" s="949"/>
    </row>
    <row r="31" spans="1:13" ht="20.100000000000001" customHeight="1">
      <c r="A31" s="946"/>
      <c r="B31" s="946"/>
      <c r="C31" s="946"/>
    </row>
    <row r="32" spans="1:13" ht="26.1" customHeight="1">
      <c r="A32" s="2531" t="s">
        <v>943</v>
      </c>
      <c r="B32" s="2531"/>
      <c r="C32" s="2531"/>
      <c r="D32" s="2531"/>
      <c r="E32" s="2531"/>
      <c r="F32" s="2531"/>
      <c r="G32" s="2531"/>
      <c r="H32" s="2531"/>
      <c r="I32" s="2531"/>
      <c r="J32" s="2531"/>
      <c r="K32" s="2531"/>
    </row>
    <row r="33" spans="1:13" ht="15" customHeight="1">
      <c r="A33" s="946"/>
      <c r="B33" s="946"/>
      <c r="C33" s="946"/>
      <c r="G33" s="695"/>
    </row>
    <row r="34" spans="1:13" s="950" customFormat="1" ht="23.25" customHeight="1">
      <c r="A34" s="2414" t="s">
        <v>932</v>
      </c>
      <c r="B34" s="2414"/>
      <c r="C34" s="2438" t="s">
        <v>933</v>
      </c>
      <c r="D34" s="2438"/>
      <c r="E34" s="2526" t="s">
        <v>934</v>
      </c>
      <c r="F34" s="2526"/>
      <c r="G34" s="2526"/>
      <c r="H34" s="2526"/>
      <c r="I34" s="2527" t="s">
        <v>935</v>
      </c>
      <c r="J34" s="2527"/>
      <c r="K34" s="2527"/>
      <c r="L34" s="949"/>
      <c r="M34" s="949"/>
    </row>
    <row r="35" spans="1:13" s="950" customFormat="1" ht="15" customHeight="1">
      <c r="A35" s="962"/>
      <c r="B35" s="963"/>
      <c r="C35" s="2528" t="s">
        <v>551</v>
      </c>
      <c r="D35" s="2528"/>
      <c r="E35" s="2529" t="s">
        <v>936</v>
      </c>
      <c r="F35" s="2529"/>
      <c r="G35" s="2529"/>
      <c r="H35" s="2529"/>
      <c r="I35" s="2530" t="s">
        <v>937</v>
      </c>
      <c r="J35" s="2530"/>
      <c r="K35" s="2530"/>
      <c r="L35" s="949"/>
      <c r="M35" s="949"/>
    </row>
    <row r="36" spans="1:13" s="965" customFormat="1" ht="23.25" hidden="1" customHeight="1">
      <c r="A36" s="2518" t="s">
        <v>944</v>
      </c>
      <c r="B36" s="2518"/>
      <c r="C36" s="2519"/>
      <c r="D36" s="2519"/>
      <c r="E36" s="2520"/>
      <c r="F36" s="2520"/>
      <c r="G36" s="2520"/>
      <c r="H36" s="2520"/>
      <c r="I36" s="2521" t="s">
        <v>945</v>
      </c>
      <c r="J36" s="2521"/>
      <c r="K36" s="2521"/>
      <c r="L36" s="964"/>
      <c r="M36" s="964"/>
    </row>
    <row r="37" spans="1:13" s="965" customFormat="1" ht="23.25" customHeight="1">
      <c r="A37" s="2522" t="s">
        <v>211</v>
      </c>
      <c r="B37" s="2522"/>
      <c r="C37" s="2523">
        <v>90000</v>
      </c>
      <c r="D37" s="2524"/>
      <c r="E37" s="2452" t="s">
        <v>946</v>
      </c>
      <c r="F37" s="2452"/>
      <c r="G37" s="2452"/>
      <c r="H37" s="2452"/>
      <c r="I37" s="2525"/>
      <c r="J37" s="2525"/>
      <c r="K37" s="2525"/>
      <c r="L37" s="964"/>
      <c r="M37" s="964"/>
    </row>
    <row r="38" spans="1:13" s="950" customFormat="1" ht="23.25" customHeight="1">
      <c r="A38" s="2404" t="s">
        <v>942</v>
      </c>
      <c r="B38" s="2404"/>
      <c r="C38" s="2515">
        <f>SUM(C36:D37)</f>
        <v>90000</v>
      </c>
      <c r="D38" s="2515"/>
      <c r="E38" s="2516" t="s">
        <v>939</v>
      </c>
      <c r="F38" s="2516"/>
      <c r="G38" s="2516"/>
      <c r="H38" s="2516"/>
      <c r="I38" s="2517" t="s">
        <v>940</v>
      </c>
      <c r="J38" s="2517"/>
      <c r="K38" s="2517"/>
      <c r="L38" s="949"/>
      <c r="M38" s="949"/>
    </row>
    <row r="50" ht="45.3" customHeight="1"/>
    <row r="53" ht="22.5" customHeight="1"/>
    <row r="59" ht="13.5" customHeight="1"/>
    <row r="61" ht="22.5" customHeight="1"/>
    <row r="64" ht="45.3" customHeight="1"/>
    <row r="78" ht="45.3" customHeight="1"/>
    <row r="92" ht="38.25" customHeight="1"/>
    <row r="106" spans="1:3" ht="38.25" customHeight="1"/>
    <row r="112" spans="1:3" ht="24" customHeight="1">
      <c r="A112" s="946"/>
      <c r="B112" s="946"/>
      <c r="C112"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5">
    <mergeCell ref="A1:K1"/>
    <mergeCell ref="A3:K3"/>
    <mergeCell ref="A5:B5"/>
    <mergeCell ref="C5:D5"/>
    <mergeCell ref="E5:H5"/>
    <mergeCell ref="I5:K5"/>
    <mergeCell ref="E6:H6"/>
    <mergeCell ref="A7:B7"/>
    <mergeCell ref="C7:D7"/>
    <mergeCell ref="E7:H7"/>
    <mergeCell ref="I7:K7"/>
    <mergeCell ref="A8:B8"/>
    <mergeCell ref="E8:H8"/>
    <mergeCell ref="A9:B9"/>
    <mergeCell ref="C9:D9"/>
    <mergeCell ref="E9:H9"/>
    <mergeCell ref="I9:K9"/>
    <mergeCell ref="A10:B10"/>
    <mergeCell ref="E10:H10"/>
    <mergeCell ref="A11:B11"/>
    <mergeCell ref="C11:D11"/>
    <mergeCell ref="E11:H11"/>
    <mergeCell ref="I11:K11"/>
    <mergeCell ref="A13:K13"/>
    <mergeCell ref="A15:B15"/>
    <mergeCell ref="C15:D15"/>
    <mergeCell ref="E15:H15"/>
    <mergeCell ref="I15:K15"/>
    <mergeCell ref="C16:D16"/>
    <mergeCell ref="E16:H16"/>
    <mergeCell ref="I16:K16"/>
    <mergeCell ref="A17:B17"/>
    <mergeCell ref="C17:D17"/>
    <mergeCell ref="E17:H17"/>
    <mergeCell ref="I17:K17"/>
    <mergeCell ref="A18:B18"/>
    <mergeCell ref="C18:D18"/>
    <mergeCell ref="E18:H18"/>
    <mergeCell ref="I18:K18"/>
    <mergeCell ref="A19:B19"/>
    <mergeCell ref="C19:D19"/>
    <mergeCell ref="E19:H19"/>
    <mergeCell ref="I19:K19"/>
    <mergeCell ref="A21:K21"/>
    <mergeCell ref="A23:B23"/>
    <mergeCell ref="C23:D23"/>
    <mergeCell ref="E23:H23"/>
    <mergeCell ref="I23:K23"/>
    <mergeCell ref="C24:D24"/>
    <mergeCell ref="E24:H24"/>
    <mergeCell ref="I24:K24"/>
    <mergeCell ref="A25:B25"/>
    <mergeCell ref="C25:D25"/>
    <mergeCell ref="E25:H25"/>
    <mergeCell ref="I25:K25"/>
    <mergeCell ref="A26:B26"/>
    <mergeCell ref="C26:D26"/>
    <mergeCell ref="E26:H26"/>
    <mergeCell ref="I26:K26"/>
    <mergeCell ref="A27:B27"/>
    <mergeCell ref="C27:D27"/>
    <mergeCell ref="E27:H27"/>
    <mergeCell ref="I27:K27"/>
    <mergeCell ref="A28:B28"/>
    <mergeCell ref="C28:D28"/>
    <mergeCell ref="E28:H28"/>
    <mergeCell ref="I28:K28"/>
    <mergeCell ref="A29:B29"/>
    <mergeCell ref="C29:D29"/>
    <mergeCell ref="E29:H29"/>
    <mergeCell ref="I29:K29"/>
    <mergeCell ref="A30:B30"/>
    <mergeCell ref="C30:D30"/>
    <mergeCell ref="E30:H30"/>
    <mergeCell ref="I30:K30"/>
    <mergeCell ref="A32:K32"/>
    <mergeCell ref="A34:B34"/>
    <mergeCell ref="C34:D34"/>
    <mergeCell ref="E34:H34"/>
    <mergeCell ref="I34:K34"/>
    <mergeCell ref="C35:D35"/>
    <mergeCell ref="E35:H35"/>
    <mergeCell ref="I35:K35"/>
    <mergeCell ref="A38:B38"/>
    <mergeCell ref="C38:D38"/>
    <mergeCell ref="E38:H38"/>
    <mergeCell ref="I38:K38"/>
    <mergeCell ref="A36:B36"/>
    <mergeCell ref="C36:D36"/>
    <mergeCell ref="E36:H36"/>
    <mergeCell ref="I36:K36"/>
    <mergeCell ref="A37:B37"/>
    <mergeCell ref="C37:D37"/>
    <mergeCell ref="E37:H37"/>
    <mergeCell ref="I37:K37"/>
  </mergeCells>
  <phoneticPr fontId="155"/>
  <conditionalFormatting sqref="C18 C25 C26 C27 C28 C29 C37 E7 E9">
    <cfRule type="expression" dxfId="6" priority="1">
      <formula>AND(入力色表示=1,NOT(_xlfn.ISFORMULA(C18)))</formula>
    </cfRule>
  </conditionalFormatting>
  <dataValidations count="6">
    <dataValidation allowBlank="1" showInputMessage="1" promptTitle="手入力セル" prompt="反映先：厚生_預金・立替・未収 C19&#10;他の帳票：厚生_貸借・損益" sqref="C18"/>
    <dataValidation allowBlank="1" showInputMessage="1" promptTitle="手入力セル" prompt="反映先：厚生_預金・立替・未収 C30、厚生_決算精算表 B17&#10;他の帳票：厚生_貸借・損益、厚生_決算精算表" sqref="C25 C26 C27"/>
    <dataValidation allowBlank="1" showInputMessage="1" promptTitle="手入力セル" prompt="反映先：厚生_預金・立替・未収 C30、厚生_決算精算表 B18&#10;他の帳票：厚生_貸借・損益、厚生_決算精算表" sqref="C28 C29"/>
    <dataValidation allowBlank="1" showInputMessage="1" promptTitle="手入力セル" prompt="反映先：厚生_預金・立替・未収 C38&#10;他の帳票：厚生_貸借・損益、厚生_決算精算表" sqref="C37"/>
    <dataValidation allowBlank="1" showInputMessage="1" promptTitle="手入力セル" prompt="反映先：厚生_預金・立替・未収 E8&#10;他の帳票：厚生_貸借・損益、厚生_決算精算表" sqref="E7"/>
    <dataValidation allowBlank="1" showInputMessage="1" promptTitle="手入力セル" prompt="反映先：厚生_預金・立替・未収 E10&#10;他の帳票：厚生_貸借・損益、厚生_決算精算表" sqref="E9"/>
  </dataValidations>
  <pageMargins left="0.78749999999999998" right="0.59027777777777801" top="0.78749999999999998" bottom="0.78749999999999998" header="0.511811023622047" footer="0.51180555555555596"/>
  <pageSetup paperSize="9" firstPageNumber="32" orientation="portrait" useFirstPageNumber="1" horizontalDpi="300" verticalDpi="300"/>
  <headerFooter>
    <oddFooter>&amp;C&amp;"ＭＳ Ｐ明朝,Regular"&amp;9-　&amp;P　-</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9F686-04C3-4D15-B641-A678EF94706E}">
  <sheetPr codeName="Sheet26"/>
  <dimension ref="A1:I188"/>
  <sheetViews>
    <sheetView zoomScaleNormal="100" zoomScalePageLayoutView="60" workbookViewId="0">
      <selection sqref="A1:G1"/>
    </sheetView>
  </sheetViews>
  <sheetFormatPr defaultColWidth="9" defaultRowHeight="13.2"/>
  <cols>
    <col min="1" max="2" width="12.44140625" style="838" customWidth="1"/>
    <col min="3" max="3" width="12.33203125" style="838" customWidth="1"/>
    <col min="4" max="4" width="15.6640625" style="838" customWidth="1"/>
    <col min="5"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948</v>
      </c>
      <c r="B6" s="2563"/>
      <c r="C6" s="2563"/>
      <c r="D6" s="2563"/>
      <c r="E6" s="2563"/>
      <c r="F6" s="2563"/>
      <c r="G6" s="2563"/>
      <c r="H6" s="973"/>
    </row>
    <row r="7" spans="1:8" ht="12.75" customHeight="1">
      <c r="A7" s="2564"/>
      <c r="B7" s="2564"/>
      <c r="C7" s="2564"/>
      <c r="D7" s="2564"/>
      <c r="E7" s="2564"/>
      <c r="F7" s="2564"/>
      <c r="G7" s="2564"/>
      <c r="H7" s="973"/>
    </row>
    <row r="8" spans="1:8" ht="18.75" customHeight="1">
      <c r="A8" s="2565" t="str">
        <f>"令和"&amp;TEXT((入力ガイド!$C$6),"0")&amp;"年度"&amp;"分"</f>
        <v>令和7年度分</v>
      </c>
      <c r="B8" s="2565"/>
      <c r="C8" s="2565"/>
      <c r="D8" s="2565"/>
      <c r="E8" s="2565"/>
      <c r="F8" s="2565"/>
      <c r="G8" s="2565"/>
      <c r="H8" s="973"/>
    </row>
    <row r="9" spans="1:8" ht="18.75" customHeight="1">
      <c r="A9" s="2558" t="s">
        <v>949</v>
      </c>
      <c r="B9" s="2558"/>
      <c r="C9" s="2558"/>
      <c r="D9" s="2559" t="s">
        <v>950</v>
      </c>
      <c r="E9" s="2560" t="s">
        <v>951</v>
      </c>
      <c r="F9" s="2560"/>
      <c r="G9" s="2560"/>
      <c r="H9" s="975"/>
    </row>
    <row r="10" spans="1:8" ht="18.75" customHeight="1">
      <c r="A10" s="976" t="s">
        <v>952</v>
      </c>
      <c r="B10" s="977" t="s">
        <v>953</v>
      </c>
      <c r="C10" s="978" t="s">
        <v>954</v>
      </c>
      <c r="D10" s="2559"/>
      <c r="E10" s="979" t="s">
        <v>955</v>
      </c>
      <c r="F10" s="977" t="s">
        <v>956</v>
      </c>
      <c r="G10" s="980" t="s">
        <v>952</v>
      </c>
      <c r="H10" s="975"/>
    </row>
    <row r="11" spans="1:8" ht="11.25" customHeight="1">
      <c r="A11" s="981" t="s">
        <v>551</v>
      </c>
      <c r="B11" s="982" t="s">
        <v>551</v>
      </c>
      <c r="C11" s="983" t="s">
        <v>551</v>
      </c>
      <c r="D11" s="984"/>
      <c r="E11" s="985" t="s">
        <v>551</v>
      </c>
      <c r="F11" s="986" t="s">
        <v>551</v>
      </c>
      <c r="G11" s="987" t="s">
        <v>551</v>
      </c>
      <c r="H11" s="988"/>
    </row>
    <row r="12" spans="1:8" ht="18.600000000000001" customHeight="1">
      <c r="A12" s="989">
        <f>C12+B12</f>
        <v>1679618183</v>
      </c>
      <c r="B12" s="990"/>
      <c r="C12" s="991">
        <f>厚生_貸借・損益!E8</f>
        <v>1679618183</v>
      </c>
      <c r="D12" s="992" t="s">
        <v>194</v>
      </c>
      <c r="E12" s="993"/>
      <c r="F12" s="994"/>
      <c r="G12" s="995"/>
      <c r="H12" s="996"/>
    </row>
    <row r="13" spans="1:8" ht="18.600000000000001" customHeight="1">
      <c r="A13" s="997">
        <f>C13+B13</f>
        <v>0</v>
      </c>
      <c r="B13" s="998"/>
      <c r="C13" s="999"/>
      <c r="D13" s="974" t="s">
        <v>898</v>
      </c>
      <c r="E13" s="1000"/>
      <c r="F13" s="1001"/>
      <c r="G13" s="1002"/>
      <c r="H13" s="975"/>
    </row>
    <row r="14" spans="1:8" ht="18.600000000000001" customHeight="1">
      <c r="A14" s="1003"/>
      <c r="B14" s="1004"/>
      <c r="C14" s="1005"/>
      <c r="D14" s="1006" t="s">
        <v>899</v>
      </c>
      <c r="E14" s="1007" t="s">
        <v>957</v>
      </c>
      <c r="F14" s="1008">
        <f>厚生_貸借・損益!L8</f>
        <v>1679528183</v>
      </c>
      <c r="G14" s="1009">
        <f>SUM(E14:F14)</f>
        <v>1679528183</v>
      </c>
      <c r="H14" s="988"/>
    </row>
    <row r="15" spans="1:8" ht="18.600000000000001" customHeight="1">
      <c r="A15" s="1010"/>
      <c r="B15" s="1011"/>
      <c r="C15" s="1012"/>
      <c r="D15" s="1013" t="s">
        <v>200</v>
      </c>
      <c r="E15" s="1008">
        <f>厚生_貸借・損益!L9</f>
        <v>90000</v>
      </c>
      <c r="F15" s="1014"/>
      <c r="G15" s="1009">
        <f>SUM(E15:F15)</f>
        <v>90000</v>
      </c>
      <c r="H15" s="1015"/>
    </row>
    <row r="16" spans="1:8" ht="18.600000000000001" customHeight="1">
      <c r="A16" s="1016">
        <f>SUM(A12:A15)</f>
        <v>1679618183</v>
      </c>
      <c r="B16" s="1017">
        <f>SUM(B12:B15)</f>
        <v>0</v>
      </c>
      <c r="C16" s="1018">
        <f>SUM(C12:C15)</f>
        <v>1679618183</v>
      </c>
      <c r="D16" s="1019" t="s">
        <v>927</v>
      </c>
      <c r="E16" s="1020">
        <f>SUM(E12:E15)</f>
        <v>90000</v>
      </c>
      <c r="F16" s="1021">
        <f>SUM(F12:F15)</f>
        <v>1679528183</v>
      </c>
      <c r="G16" s="1022">
        <f>SUM(G12:G15)</f>
        <v>1679618183</v>
      </c>
      <c r="H16" s="1023"/>
    </row>
    <row r="17" spans="1:8" ht="18.600000000000001" customHeight="1">
      <c r="A17" s="989">
        <f>C17+B17</f>
        <v>11995594883</v>
      </c>
      <c r="B17" s="1024">
        <f>厚生_預金・立替・未収!C25+厚生_預金・立替・未収!C26+厚生_預金・立替・未収!C27</f>
        <v>999571414</v>
      </c>
      <c r="C17" s="1685">
        <v>10996023469</v>
      </c>
      <c r="D17" s="1025" t="s">
        <v>594</v>
      </c>
      <c r="E17" s="1026"/>
      <c r="F17" s="1027"/>
      <c r="G17" s="1028"/>
      <c r="H17" s="996"/>
    </row>
    <row r="18" spans="1:8" ht="18.600000000000001" customHeight="1">
      <c r="A18" s="997">
        <f>C18+B18</f>
        <v>7735814913</v>
      </c>
      <c r="B18" s="1029">
        <f>厚生_預金・立替・未収!C28+厚生_預金・立替・未収!C29</f>
        <v>679956769</v>
      </c>
      <c r="C18" s="1686">
        <v>7055858144</v>
      </c>
      <c r="D18" s="1030" t="s">
        <v>595</v>
      </c>
      <c r="E18" s="1031"/>
      <c r="F18" s="1032"/>
      <c r="G18" s="1002"/>
      <c r="H18" s="975"/>
    </row>
    <row r="19" spans="1:8" ht="18.600000000000001" customHeight="1">
      <c r="A19" s="1033"/>
      <c r="B19" s="1034"/>
      <c r="C19" s="1035"/>
      <c r="D19" s="1030" t="s">
        <v>125</v>
      </c>
      <c r="E19" s="1036">
        <f>報告_厚生年金P14!W32</f>
        <v>11995594883</v>
      </c>
      <c r="F19" s="1036"/>
      <c r="G19" s="1037">
        <f>E19-B19+F19</f>
        <v>11995594883</v>
      </c>
      <c r="H19" s="975"/>
    </row>
    <row r="20" spans="1:8" ht="18.600000000000001" customHeight="1">
      <c r="A20" s="1010"/>
      <c r="B20" s="1038"/>
      <c r="C20" s="1039"/>
      <c r="D20" s="1040" t="s">
        <v>584</v>
      </c>
      <c r="E20" s="1041">
        <f>報告_厚生年金P14!W37</f>
        <v>7735814913</v>
      </c>
      <c r="F20" s="1036"/>
      <c r="G20" s="1042">
        <f>SUM(E20:F20)</f>
        <v>7735814913</v>
      </c>
      <c r="H20" s="988"/>
    </row>
    <row r="21" spans="1:8" ht="18.600000000000001" customHeight="1">
      <c r="A21" s="1016">
        <f>SUM(A17:A20)</f>
        <v>19731409796</v>
      </c>
      <c r="B21" s="1043">
        <f>SUM(B17:B20)</f>
        <v>1679528183</v>
      </c>
      <c r="C21" s="1044">
        <f>SUM(C17:C20)</f>
        <v>18051881613</v>
      </c>
      <c r="D21" s="1045" t="s">
        <v>927</v>
      </c>
      <c r="E21" s="1046">
        <f>SUM(E17:E20)</f>
        <v>19731409796</v>
      </c>
      <c r="F21" s="1047">
        <f>SUM(F17:F20)</f>
        <v>0</v>
      </c>
      <c r="G21" s="1022">
        <f>SUM(G17:G20)</f>
        <v>19731409796</v>
      </c>
      <c r="H21" s="1023"/>
    </row>
    <row r="22" spans="1:8" ht="18.600000000000001" customHeight="1">
      <c r="A22" s="1016">
        <f>A16+A21</f>
        <v>21411027979</v>
      </c>
      <c r="B22" s="1048">
        <f>B16+B21</f>
        <v>1679528183</v>
      </c>
      <c r="C22" s="1049">
        <f>C16+C21</f>
        <v>19731499796</v>
      </c>
      <c r="D22" s="1045" t="s">
        <v>413</v>
      </c>
      <c r="E22" s="1046">
        <f>E16+E21</f>
        <v>19731499796</v>
      </c>
      <c r="F22" s="1048">
        <f>F16+F21</f>
        <v>1679528183</v>
      </c>
      <c r="G22" s="1022">
        <f>G16+G21</f>
        <v>21411027979</v>
      </c>
      <c r="H22" s="1023"/>
    </row>
    <row r="23" spans="1:8" ht="47.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f>
        <v>　　　　令和　８年　４月２２日　　　　　　　　　　　　　　出納主任　　  　　村　井　　慶　子</v>
      </c>
      <c r="B23" s="2556"/>
      <c r="C23" s="2556"/>
      <c r="D23" s="2556"/>
      <c r="E23" s="2556"/>
      <c r="F23" s="2556"/>
      <c r="G23" s="2556"/>
      <c r="H23" s="1050"/>
    </row>
    <row r="24" spans="1:8" ht="17.25" customHeight="1">
      <c r="A24" s="2561" t="s">
        <v>958</v>
      </c>
      <c r="B24" s="2561"/>
      <c r="C24" s="2561"/>
      <c r="D24" s="2561"/>
      <c r="E24" s="2561"/>
      <c r="F24" s="2561"/>
      <c r="G24" s="2561"/>
      <c r="H24" s="973"/>
    </row>
    <row r="25" spans="1:8" ht="35.1" customHeight="1">
      <c r="A25"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f>
        <v>　　　　令和　８年　４月２２日
　　　　　　　　　　    　　　　　　　　　　　　　　　　　出 納 役　　　　　榎　本　　聡　子</v>
      </c>
      <c r="B25" s="2556"/>
      <c r="C25" s="2556"/>
      <c r="D25" s="2556"/>
      <c r="E25" s="2556"/>
      <c r="F25" s="2556"/>
      <c r="G25" s="2556"/>
      <c r="H25" s="973"/>
    </row>
    <row r="26" spans="1:8" ht="6.75" customHeight="1">
      <c r="A26" s="2557" t="s">
        <v>959</v>
      </c>
      <c r="B26" s="2557"/>
      <c r="C26" s="2557"/>
      <c r="D26" s="2557"/>
      <c r="E26" s="2557"/>
      <c r="F26" s="2557"/>
      <c r="G26" s="2557"/>
      <c r="H26" s="1051"/>
    </row>
    <row r="27" spans="1:8" ht="24" customHeight="1">
      <c r="A27" s="970"/>
    </row>
    <row r="28" spans="1:8" ht="24" customHeight="1">
      <c r="A28" s="970"/>
    </row>
    <row r="29" spans="1:8" ht="24" customHeight="1">
      <c r="A29"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5:G25"/>
    <mergeCell ref="A26:G26"/>
    <mergeCell ref="A9:C9"/>
    <mergeCell ref="D9:D10"/>
    <mergeCell ref="E9:G9"/>
    <mergeCell ref="A23:G23"/>
    <mergeCell ref="A24:G24"/>
  </mergeCells>
  <phoneticPr fontId="155"/>
  <conditionalFormatting sqref="C17 C18">
    <cfRule type="expression" dxfId="6" priority="1">
      <formula>AND(入力色表示=1,NOT(_xlfn.ISFORMULA(C17)))</formula>
    </cfRule>
  </conditionalFormatting>
  <dataValidations count="2">
    <dataValidation allowBlank="1" showInputMessage="1" promptTitle="手入力セル" prompt="反映先：厚生_決算精算表 A17,C21&#10;他の帳票：厚生_貸借・損益" sqref="C17"/>
    <dataValidation allowBlank="1" showInputMessage="1" promptTitle="手入力セル" prompt="反映先：厚生_決算精算表 A18,C21&#10;他の帳票：厚生_貸借・損益" sqref="C18"/>
  </dataValidations>
  <pageMargins left="0.78749999999999998" right="0.59027777777777801" top="0.59027777777777801" bottom="0.59027777777777801" header="0.511811023622047" footer="0.51180555555555596"/>
  <pageSetup paperSize="9" scale="98" firstPageNumber="33" orientation="portrait" useFirstPageNumber="1" horizontalDpi="300" verticalDpi="300"/>
  <headerFooter>
    <oddFooter>&amp;C&amp;"ＭＳ Ｐ明朝,Regular"&amp;9-　&amp;P　-</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0836D-28BB-4CF5-A10B-EFE8E1698936}">
  <sheetPr codeName="Sheet27">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065"/>
      <c r="D13" s="2572"/>
      <c r="E13" s="2572"/>
      <c r="F13" s="2572"/>
      <c r="G13" s="2572"/>
      <c r="H13" s="1065"/>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34" orientation="portrait" useFirstPageNumber="1" horizontalDpi="300" verticalDpi="300"/>
  <headerFooter>
    <oddFooter>&amp;C&amp;"ＭＳ Ｐ明朝,Regular"&amp;9-　&amp;P　-</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A48E4-F2EB-4049-893D-54DA39B3566B}">
  <sheetPr codeName="Sheet28">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0.6640625" style="838" customWidth="1"/>
    <col min="5" max="5" width="11.109375" style="838" customWidth="1"/>
    <col min="6" max="6" width="11.33203125" style="838" customWidth="1"/>
    <col min="7" max="9" width="0.6640625" style="838" customWidth="1"/>
    <col min="10" max="10" width="11.109375" style="838" customWidth="1"/>
    <col min="11" max="11" width="10.6640625" style="838" customWidth="1"/>
    <col min="12" max="12" width="11.21875" style="838" customWidth="1"/>
    <col min="13" max="13" width="11.33203125" style="838" customWidth="1"/>
    <col min="14" max="14" width="0.33203125" style="838" customWidth="1"/>
    <col min="15" max="15" width="10.21875" style="838" customWidth="1"/>
    <col min="16" max="16" width="10.44140625" style="838" customWidth="1"/>
    <col min="17" max="257" width="9" style="839"/>
  </cols>
  <sheetData>
    <row r="1" spans="1:16" ht="22.5" customHeight="1">
      <c r="B1" s="840"/>
      <c r="C1" s="840"/>
      <c r="F1" s="2509" t="s">
        <v>9</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1072" t="s">
        <v>551</v>
      </c>
      <c r="E5" s="852" t="s">
        <v>551</v>
      </c>
      <c r="F5" s="853" t="s">
        <v>551</v>
      </c>
      <c r="G5" s="854"/>
      <c r="H5" s="849"/>
      <c r="I5" s="849"/>
      <c r="J5" s="850"/>
      <c r="K5" s="851" t="s">
        <v>551</v>
      </c>
      <c r="L5" s="852" t="s">
        <v>551</v>
      </c>
      <c r="M5" s="853" t="s">
        <v>551</v>
      </c>
      <c r="N5" s="856"/>
      <c r="O5" s="846"/>
      <c r="P5" s="846"/>
    </row>
    <row r="6" spans="1:16" s="847" customFormat="1" ht="17.100000000000001" customHeight="1">
      <c r="A6" s="2511" t="s">
        <v>767</v>
      </c>
      <c r="B6" s="2511"/>
      <c r="C6" s="2511"/>
      <c r="D6" s="870"/>
      <c r="E6" s="861"/>
      <c r="F6" s="859">
        <f>SUM(E8:E9)</f>
        <v>111499006</v>
      </c>
      <c r="G6" s="860"/>
      <c r="H6" s="2512" t="s">
        <v>768</v>
      </c>
      <c r="I6" s="2512"/>
      <c r="J6" s="2512"/>
      <c r="K6" s="857"/>
      <c r="L6" s="861"/>
      <c r="M6" s="1073">
        <f>SUM(L8:L9)</f>
        <v>111499006</v>
      </c>
      <c r="N6" s="863"/>
      <c r="O6" s="846"/>
      <c r="P6" s="846"/>
    </row>
    <row r="7" spans="1:16" s="847" customFormat="1" ht="17.100000000000001" customHeight="1">
      <c r="A7" s="864"/>
      <c r="B7" s="841"/>
      <c r="C7" s="865"/>
      <c r="D7" s="870"/>
      <c r="E7" s="861"/>
      <c r="F7" s="866"/>
      <c r="G7" s="860"/>
      <c r="H7" s="867"/>
      <c r="I7" s="841"/>
      <c r="J7" s="865"/>
      <c r="K7" s="857"/>
      <c r="L7" s="861"/>
      <c r="M7" s="866"/>
      <c r="N7" s="863"/>
      <c r="O7" s="846"/>
      <c r="P7" s="846"/>
    </row>
    <row r="8" spans="1:16" s="847" customFormat="1" ht="17.100000000000001" customHeight="1">
      <c r="A8" s="2513" t="s">
        <v>194</v>
      </c>
      <c r="B8" s="2513"/>
      <c r="C8" s="2513"/>
      <c r="D8" s="870"/>
      <c r="E8" s="858">
        <f>退職等_預金・立替・未収!E8</f>
        <v>111499006</v>
      </c>
      <c r="F8" s="866"/>
      <c r="G8" s="860"/>
      <c r="H8" s="2514" t="s">
        <v>899</v>
      </c>
      <c r="I8" s="2514"/>
      <c r="J8" s="2514"/>
      <c r="K8" s="857"/>
      <c r="L8" s="858">
        <f>退職等_預金・立替・未収!C26</f>
        <v>111499006</v>
      </c>
      <c r="M8" s="866"/>
      <c r="N8" s="863"/>
      <c r="O8" s="846"/>
      <c r="P8" s="846"/>
    </row>
    <row r="9" spans="1:16" s="847" customFormat="1" ht="17.100000000000001" customHeight="1">
      <c r="A9" s="2513" t="s">
        <v>898</v>
      </c>
      <c r="B9" s="2513"/>
      <c r="C9" s="2513"/>
      <c r="D9" s="870"/>
      <c r="E9" s="858">
        <f>退職等_預金・立替・未収!C16</f>
        <v>0</v>
      </c>
      <c r="F9" s="866"/>
      <c r="G9" s="871"/>
      <c r="H9" s="2514" t="s">
        <v>200</v>
      </c>
      <c r="I9" s="2514"/>
      <c r="J9" s="2514"/>
      <c r="K9" s="857"/>
      <c r="L9" s="1683">
        <f>退職等_預金・立替・未収!C34</f>
        <v>0</v>
      </c>
      <c r="M9" s="866"/>
      <c r="N9" s="863"/>
      <c r="O9" s="846"/>
      <c r="P9" s="846"/>
    </row>
    <row r="10" spans="1:16" s="847" customFormat="1" ht="17.100000000000001" customHeight="1">
      <c r="A10" s="872"/>
      <c r="B10" s="2506"/>
      <c r="C10" s="2506"/>
      <c r="D10" s="870"/>
      <c r="E10" s="861"/>
      <c r="F10" s="873"/>
      <c r="G10" s="871"/>
      <c r="H10" s="841"/>
      <c r="I10" s="841"/>
      <c r="J10" s="865"/>
      <c r="K10" s="874"/>
      <c r="L10" s="875"/>
      <c r="M10" s="866" t="s">
        <v>913</v>
      </c>
      <c r="N10" s="863"/>
      <c r="O10" s="846"/>
      <c r="P10" s="846"/>
    </row>
    <row r="11" spans="1:16" s="847" customFormat="1" ht="11.25" customHeight="1">
      <c r="A11" s="876"/>
      <c r="B11" s="877"/>
      <c r="C11" s="878"/>
      <c r="D11" s="1074"/>
      <c r="E11" s="880"/>
      <c r="F11" s="881"/>
      <c r="G11" s="882"/>
      <c r="H11" s="883"/>
      <c r="I11" s="883"/>
      <c r="J11" s="884"/>
      <c r="K11" s="885"/>
      <c r="L11" s="880"/>
      <c r="M11" s="881"/>
      <c r="N11" s="887"/>
      <c r="O11" s="846"/>
      <c r="P11" s="846"/>
    </row>
    <row r="12" spans="1:16" s="847" customFormat="1" ht="24" customHeight="1">
      <c r="A12" s="2586" t="s">
        <v>914</v>
      </c>
      <c r="B12" s="2586"/>
      <c r="C12" s="2586"/>
      <c r="D12" s="2586"/>
      <c r="E12" s="2586"/>
      <c r="F12" s="890">
        <f>SUM(F6:F9)</f>
        <v>111499006</v>
      </c>
      <c r="G12" s="889"/>
      <c r="H12" s="2508" t="s">
        <v>915</v>
      </c>
      <c r="I12" s="2508"/>
      <c r="J12" s="2508"/>
      <c r="K12" s="2508"/>
      <c r="L12" s="2508"/>
      <c r="M12" s="1075">
        <f>SUM(M6:M9)</f>
        <v>111499006</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9</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2" t="s">
        <v>918</v>
      </c>
      <c r="N18" s="845"/>
      <c r="O18" s="846"/>
      <c r="P18" s="846"/>
    </row>
    <row r="19" spans="1:16" s="847" customFormat="1" ht="10.5" customHeight="1">
      <c r="A19" s="1076"/>
      <c r="B19" s="1077"/>
      <c r="C19" s="1078"/>
      <c r="D19" s="1079" t="s">
        <v>551</v>
      </c>
      <c r="E19" s="1080" t="s">
        <v>551</v>
      </c>
      <c r="F19" s="1081" t="s">
        <v>551</v>
      </c>
      <c r="G19" s="1082"/>
      <c r="H19" s="1077"/>
      <c r="I19" s="1077"/>
      <c r="J19" s="1083"/>
      <c r="K19" s="1079" t="s">
        <v>551</v>
      </c>
      <c r="L19" s="1080" t="s">
        <v>551</v>
      </c>
      <c r="M19" s="1081" t="s">
        <v>551</v>
      </c>
      <c r="N19" s="856"/>
      <c r="O19" s="846"/>
      <c r="P19" s="846"/>
    </row>
    <row r="20" spans="1:16" s="847" customFormat="1" ht="16.5" customHeight="1">
      <c r="A20" s="2584" t="s">
        <v>791</v>
      </c>
      <c r="B20" s="2584"/>
      <c r="C20" s="2584"/>
      <c r="D20" s="857"/>
      <c r="E20" s="861"/>
      <c r="F20" s="1073">
        <f>SUM(E22)</f>
        <v>1268365350</v>
      </c>
      <c r="G20" s="860"/>
      <c r="H20" s="2585" t="s">
        <v>792</v>
      </c>
      <c r="I20" s="2585"/>
      <c r="J20" s="2585"/>
      <c r="K20" s="857"/>
      <c r="L20" s="861"/>
      <c r="M20" s="1073">
        <f>SUM(L22:L24)</f>
        <v>1268365350</v>
      </c>
      <c r="N20" s="863"/>
      <c r="O20" s="846"/>
      <c r="P20" s="846"/>
    </row>
    <row r="21" spans="1:16" s="847" customFormat="1" ht="17.100000000000001" customHeight="1">
      <c r="A21" s="2579"/>
      <c r="B21" s="2579"/>
      <c r="C21" s="2579"/>
      <c r="D21" s="857"/>
      <c r="E21" s="861"/>
      <c r="F21" s="866"/>
      <c r="G21" s="871"/>
      <c r="H21" s="2580"/>
      <c r="I21" s="2580"/>
      <c r="J21" s="2580"/>
      <c r="K21" s="857"/>
      <c r="L21" s="861"/>
      <c r="M21" s="866"/>
      <c r="N21" s="863"/>
      <c r="O21" s="846"/>
      <c r="P21" s="846"/>
    </row>
    <row r="22" spans="1:16" s="847" customFormat="1" ht="17.100000000000001" customHeight="1">
      <c r="A22" s="2581" t="s">
        <v>793</v>
      </c>
      <c r="B22" s="2581"/>
      <c r="C22" s="2581"/>
      <c r="D22" s="857"/>
      <c r="E22" s="1085">
        <f>SUM(D23:D24)</f>
        <v>1268365350</v>
      </c>
      <c r="F22" s="866"/>
      <c r="G22" s="1086"/>
      <c r="H22" s="2582" t="s">
        <v>794</v>
      </c>
      <c r="I22" s="2582"/>
      <c r="J22" s="2582"/>
      <c r="K22" s="857"/>
      <c r="L22" s="1085">
        <f>SUM(K23:K24)</f>
        <v>1268365350</v>
      </c>
      <c r="M22" s="866"/>
      <c r="N22" s="863"/>
      <c r="O22" s="846"/>
      <c r="P22" s="846"/>
    </row>
    <row r="23" spans="1:16" s="847" customFormat="1" ht="17.100000000000001" customHeight="1">
      <c r="A23" s="2583" t="s">
        <v>594</v>
      </c>
      <c r="B23" s="2583"/>
      <c r="C23" s="2583"/>
      <c r="D23" s="1087">
        <f>退職等_決算精算表!A17</f>
        <v>634159455</v>
      </c>
      <c r="E23" s="861"/>
      <c r="F23" s="866"/>
      <c r="G23" s="1086"/>
      <c r="H23" s="2514" t="s">
        <v>125</v>
      </c>
      <c r="I23" s="2514"/>
      <c r="J23" s="2514"/>
      <c r="K23" s="1087">
        <f>退職等_決算精算表!G19</f>
        <v>634159455</v>
      </c>
      <c r="L23" s="861"/>
      <c r="M23" s="866"/>
      <c r="N23" s="863"/>
      <c r="O23" s="846"/>
      <c r="P23" s="846"/>
    </row>
    <row r="24" spans="1:16" s="847" customFormat="1" ht="17.100000000000001" customHeight="1">
      <c r="A24" s="2513" t="s">
        <v>602</v>
      </c>
      <c r="B24" s="2513"/>
      <c r="C24" s="2513"/>
      <c r="D24" s="1087">
        <f>退職等_決算精算表!A18</f>
        <v>634205895</v>
      </c>
      <c r="E24" s="861"/>
      <c r="F24" s="866"/>
      <c r="G24" s="1086"/>
      <c r="H24" s="2514" t="s">
        <v>196</v>
      </c>
      <c r="I24" s="2514"/>
      <c r="J24" s="2514"/>
      <c r="K24" s="1087">
        <f>退職等_決算精算表!G20</f>
        <v>634205895</v>
      </c>
      <c r="L24" s="861"/>
      <c r="M24" s="866"/>
      <c r="N24" s="863"/>
      <c r="O24" s="846"/>
      <c r="P24" s="846"/>
    </row>
    <row r="25" spans="1:16" s="847" customFormat="1" ht="11.25" customHeight="1">
      <c r="A25" s="2577"/>
      <c r="B25" s="2577"/>
      <c r="C25" s="2577"/>
      <c r="D25" s="879"/>
      <c r="E25" s="1088"/>
      <c r="F25" s="1089"/>
      <c r="G25" s="1090"/>
      <c r="H25" s="1091"/>
      <c r="I25" s="1091"/>
      <c r="J25" s="1092"/>
      <c r="K25" s="1093"/>
      <c r="L25" s="1094"/>
      <c r="M25" s="1091"/>
      <c r="N25" s="887"/>
      <c r="O25" s="846"/>
      <c r="P25" s="846"/>
    </row>
    <row r="26" spans="1:16" s="847" customFormat="1" ht="24" customHeight="1">
      <c r="A26" s="2507" t="s">
        <v>920</v>
      </c>
      <c r="B26" s="2507"/>
      <c r="C26" s="2507"/>
      <c r="D26" s="2507"/>
      <c r="E26" s="2507"/>
      <c r="F26" s="890">
        <f>SUM(F20:F25)</f>
        <v>1268365350</v>
      </c>
      <c r="G26" s="889"/>
      <c r="H26" s="2578" t="s">
        <v>960</v>
      </c>
      <c r="I26" s="2578"/>
      <c r="J26" s="2578"/>
      <c r="K26" s="2578"/>
      <c r="L26" s="2578"/>
      <c r="M26" s="1075">
        <f>SUM(M20:M25)</f>
        <v>1268365350</v>
      </c>
      <c r="N26" s="891"/>
      <c r="O26" s="846"/>
      <c r="P26" s="846"/>
    </row>
    <row r="27" spans="1:16" ht="24" customHeight="1">
      <c r="A27" s="892"/>
      <c r="B27" s="892"/>
      <c r="C27" s="892"/>
      <c r="D27" s="892"/>
      <c r="E27" s="892"/>
      <c r="F27" s="892"/>
      <c r="G27" s="892"/>
      <c r="H27" s="892"/>
      <c r="I27" s="892"/>
      <c r="J27" s="892"/>
      <c r="K27" s="892"/>
      <c r="L27" s="892"/>
      <c r="M27" s="892"/>
    </row>
    <row r="28" spans="1:16" ht="24" customHeight="1">
      <c r="A28" s="942"/>
      <c r="B28" s="942"/>
      <c r="C28" s="942"/>
    </row>
    <row r="29" spans="1:16" ht="24" customHeight="1">
      <c r="A29" s="942"/>
      <c r="B29" s="942"/>
      <c r="C29"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F1:J1"/>
    <mergeCell ref="F2:J2"/>
    <mergeCell ref="L3:N3"/>
    <mergeCell ref="A4:E4"/>
    <mergeCell ref="H4:L4"/>
    <mergeCell ref="A6:C6"/>
    <mergeCell ref="H6:J6"/>
    <mergeCell ref="A8:C8"/>
    <mergeCell ref="H8:J8"/>
    <mergeCell ref="A9:C9"/>
    <mergeCell ref="H9:J9"/>
    <mergeCell ref="B10:C10"/>
    <mergeCell ref="A12:E12"/>
    <mergeCell ref="H12:L12"/>
    <mergeCell ref="F14:J14"/>
    <mergeCell ref="F15:J15"/>
    <mergeCell ref="L16:N16"/>
    <mergeCell ref="L17:N17"/>
    <mergeCell ref="A18:E18"/>
    <mergeCell ref="H18:L18"/>
    <mergeCell ref="A20:C20"/>
    <mergeCell ref="H20:J20"/>
    <mergeCell ref="A21:C21"/>
    <mergeCell ref="H21:J21"/>
    <mergeCell ref="A22:C22"/>
    <mergeCell ref="H22:J22"/>
    <mergeCell ref="A23:C23"/>
    <mergeCell ref="H23:J23"/>
    <mergeCell ref="A24:C24"/>
    <mergeCell ref="H24:J24"/>
    <mergeCell ref="A25:C25"/>
    <mergeCell ref="A26:E26"/>
    <mergeCell ref="H26:L26"/>
  </mergeCells>
  <phoneticPr fontId="155"/>
  <pageMargins left="0.78749999999999998" right="0.39374999999999999" top="0.78749999999999998" bottom="0.74791666666666701" header="0.511811023622047" footer="0.51180555555555596"/>
  <pageSetup paperSize="9" scale="99" firstPageNumber="35" orientation="portrait" useFirstPageNumber="1" horizontalDpi="300" verticalDpi="300"/>
  <headerFooter>
    <oddFooter>&amp;C&amp;"ＭＳ Ｐ明朝,Regular"&amp;9-　&amp;P　-</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916C-8E9C-43CB-A4EE-A26361BF45EE}">
  <sheetPr codeName="Sheet29"/>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s="950" customFormat="1" ht="23.25" customHeight="1">
      <c r="A5" s="2414" t="s">
        <v>836</v>
      </c>
      <c r="B5" s="2414"/>
      <c r="C5" s="2438" t="s">
        <v>923</v>
      </c>
      <c r="D5" s="2438"/>
      <c r="E5" s="2438" t="s">
        <v>961</v>
      </c>
      <c r="F5" s="2438"/>
      <c r="G5" s="2438"/>
      <c r="H5" s="2438"/>
      <c r="I5" s="2555" t="s">
        <v>962</v>
      </c>
      <c r="J5" s="2555"/>
      <c r="K5" s="2555"/>
      <c r="L5" s="949"/>
      <c r="M5" s="949"/>
    </row>
    <row r="6" spans="1:13" s="950" customFormat="1" ht="14.25" customHeight="1">
      <c r="A6" s="1095"/>
      <c r="B6" s="1096"/>
      <c r="C6" s="1097"/>
      <c r="D6" s="1098"/>
      <c r="E6" s="2012" t="s">
        <v>551</v>
      </c>
      <c r="F6" s="2012"/>
      <c r="G6" s="2012"/>
      <c r="H6" s="2012"/>
      <c r="I6" s="1097"/>
      <c r="J6" s="1099"/>
      <c r="K6" s="1100"/>
      <c r="L6" s="949"/>
      <c r="M6" s="949"/>
    </row>
    <row r="7" spans="1:13" s="950" customFormat="1" ht="23.25" customHeight="1">
      <c r="A7" s="2550" t="s">
        <v>839</v>
      </c>
      <c r="B7" s="2550"/>
      <c r="C7" s="2452" t="s">
        <v>194</v>
      </c>
      <c r="D7" s="2452"/>
      <c r="E7" s="2601">
        <v>111499006</v>
      </c>
      <c r="F7" s="2602"/>
      <c r="G7" s="2602"/>
      <c r="H7" s="2602"/>
      <c r="I7" s="2587" t="s">
        <v>963</v>
      </c>
      <c r="J7" s="2587"/>
      <c r="K7" s="2587"/>
      <c r="L7" s="949"/>
      <c r="M7" s="949"/>
    </row>
    <row r="8" spans="1:13" s="950" customFormat="1" ht="23.25" customHeight="1">
      <c r="A8" s="2588" t="s">
        <v>964</v>
      </c>
      <c r="B8" s="2588"/>
      <c r="C8" s="2545" t="s">
        <v>930</v>
      </c>
      <c r="D8" s="2545"/>
      <c r="E8" s="2599">
        <f>E7</f>
        <v>111499006</v>
      </c>
      <c r="F8" s="2599"/>
      <c r="G8" s="2599"/>
      <c r="H8" s="2599"/>
      <c r="I8" s="2600"/>
      <c r="J8" s="2600"/>
      <c r="K8" s="2600"/>
      <c r="L8" s="949"/>
      <c r="M8" s="949"/>
    </row>
    <row r="9" spans="1:13" ht="20.100000000000001" customHeight="1">
      <c r="A9" s="946"/>
      <c r="B9" s="946"/>
      <c r="C9" s="946"/>
    </row>
    <row r="10" spans="1:13" ht="26.1" hidden="1" customHeight="1">
      <c r="A10" s="2531" t="s">
        <v>965</v>
      </c>
      <c r="B10" s="2531"/>
      <c r="C10" s="2531"/>
      <c r="D10" s="2531"/>
      <c r="E10" s="2531"/>
      <c r="F10" s="2531"/>
      <c r="G10" s="2531"/>
      <c r="H10" s="2531"/>
      <c r="I10" s="2531"/>
      <c r="J10" s="2531"/>
      <c r="K10" s="2531"/>
    </row>
    <row r="11" spans="1:13" ht="15" hidden="1" customHeight="1">
      <c r="A11" s="946"/>
      <c r="B11" s="946"/>
      <c r="C11" s="946"/>
      <c r="G11" s="695"/>
    </row>
    <row r="12" spans="1:13" s="950" customFormat="1" ht="23.25" hidden="1" customHeight="1">
      <c r="A12" s="2414" t="s">
        <v>932</v>
      </c>
      <c r="B12" s="2414"/>
      <c r="C12" s="2438" t="s">
        <v>933</v>
      </c>
      <c r="D12" s="2438"/>
      <c r="E12" s="2526" t="s">
        <v>934</v>
      </c>
      <c r="F12" s="2526"/>
      <c r="G12" s="2526"/>
      <c r="H12" s="2526"/>
      <c r="I12" s="2527" t="s">
        <v>935</v>
      </c>
      <c r="J12" s="2527"/>
      <c r="K12" s="2527"/>
      <c r="L12" s="949"/>
      <c r="M12" s="949"/>
    </row>
    <row r="13" spans="1:13" s="950" customFormat="1" ht="15" hidden="1" customHeight="1">
      <c r="A13" s="962"/>
      <c r="B13" s="963"/>
      <c r="C13" s="2528" t="s">
        <v>551</v>
      </c>
      <c r="D13" s="2528"/>
      <c r="E13" s="2529" t="s">
        <v>936</v>
      </c>
      <c r="F13" s="2529"/>
      <c r="G13" s="2529"/>
      <c r="H13" s="2529"/>
      <c r="I13" s="2530" t="s">
        <v>937</v>
      </c>
      <c r="J13" s="2530"/>
      <c r="K13" s="2530"/>
      <c r="L13" s="949"/>
      <c r="M13" s="949"/>
    </row>
    <row r="14" spans="1:13" s="965" customFormat="1" ht="23.25" hidden="1" customHeight="1">
      <c r="A14" s="2522" t="s">
        <v>938</v>
      </c>
      <c r="B14" s="2522"/>
      <c r="C14" s="2539"/>
      <c r="D14" s="2539"/>
      <c r="E14" s="2596"/>
      <c r="F14" s="2596"/>
      <c r="G14" s="2596"/>
      <c r="H14" s="2596"/>
      <c r="I14" s="2597"/>
      <c r="J14" s="2597"/>
      <c r="K14" s="2597"/>
      <c r="L14" s="964"/>
      <c r="M14" s="964"/>
    </row>
    <row r="15" spans="1:13" s="965" customFormat="1" ht="8.25" hidden="1" customHeight="1">
      <c r="A15" s="2522"/>
      <c r="B15" s="2522"/>
      <c r="C15" s="2519"/>
      <c r="D15" s="2519"/>
      <c r="E15" s="2598"/>
      <c r="F15" s="2598"/>
      <c r="G15" s="2598"/>
      <c r="H15" s="2598"/>
      <c r="I15" s="2525"/>
      <c r="J15" s="2525"/>
      <c r="K15" s="2525"/>
      <c r="L15" s="964"/>
      <c r="M15" s="964"/>
    </row>
    <row r="16" spans="1:13" s="950" customFormat="1" ht="23.25" hidden="1" customHeight="1">
      <c r="A16" s="2404" t="s">
        <v>942</v>
      </c>
      <c r="B16" s="2404"/>
      <c r="C16" s="2515">
        <f>SUM(C14:D15)</f>
        <v>0</v>
      </c>
      <c r="D16" s="2515"/>
      <c r="E16" s="2516" t="s">
        <v>939</v>
      </c>
      <c r="F16" s="2516"/>
      <c r="G16" s="2516"/>
      <c r="H16" s="2516"/>
      <c r="I16" s="2517" t="s">
        <v>940</v>
      </c>
      <c r="J16" s="2517"/>
      <c r="K16" s="2517"/>
      <c r="L16" s="949"/>
      <c r="M16" s="949"/>
    </row>
    <row r="17" spans="1:13" ht="23.25" customHeight="1">
      <c r="A17" s="944"/>
      <c r="B17" s="944"/>
      <c r="C17" s="1101"/>
      <c r="D17" s="1063"/>
      <c r="E17" s="1102"/>
      <c r="F17" s="1102"/>
      <c r="G17" s="1102"/>
      <c r="H17" s="1102"/>
      <c r="I17" s="1064"/>
      <c r="J17" s="1064"/>
      <c r="K17" s="1064"/>
    </row>
    <row r="18" spans="1:13" ht="26.1" customHeight="1">
      <c r="A18" s="2531" t="s">
        <v>966</v>
      </c>
      <c r="B18" s="2531"/>
      <c r="C18" s="2531"/>
      <c r="D18" s="2531"/>
      <c r="E18" s="2531"/>
      <c r="F18" s="2531"/>
      <c r="G18" s="2531"/>
      <c r="H18" s="2531"/>
      <c r="I18" s="2531"/>
      <c r="J18" s="2531"/>
      <c r="K18" s="2531"/>
    </row>
    <row r="19" spans="1:13" ht="15" customHeight="1">
      <c r="A19" s="946"/>
      <c r="B19" s="946"/>
      <c r="C19" s="946"/>
      <c r="G19" s="695"/>
    </row>
    <row r="20" spans="1:13" s="950" customFormat="1" ht="23.25" customHeight="1">
      <c r="A20" s="2414" t="s">
        <v>932</v>
      </c>
      <c r="B20" s="2414"/>
      <c r="C20" s="2438" t="s">
        <v>933</v>
      </c>
      <c r="D20" s="2438"/>
      <c r="E20" s="2526" t="s">
        <v>934</v>
      </c>
      <c r="F20" s="2526"/>
      <c r="G20" s="2526"/>
      <c r="H20" s="2526"/>
      <c r="I20" s="2527" t="s">
        <v>935</v>
      </c>
      <c r="J20" s="2527"/>
      <c r="K20" s="2527"/>
      <c r="L20" s="949"/>
      <c r="M20" s="949"/>
    </row>
    <row r="21" spans="1:13" s="950" customFormat="1" ht="15" customHeight="1">
      <c r="A21" s="962"/>
      <c r="B21" s="963"/>
      <c r="C21" s="2528" t="s">
        <v>551</v>
      </c>
      <c r="D21" s="2528"/>
      <c r="E21" s="2529" t="s">
        <v>936</v>
      </c>
      <c r="F21" s="2529"/>
      <c r="G21" s="2529"/>
      <c r="H21" s="2529"/>
      <c r="I21" s="2530" t="s">
        <v>937</v>
      </c>
      <c r="J21" s="2530"/>
      <c r="K21" s="2530"/>
      <c r="L21" s="949"/>
      <c r="M21" s="949"/>
    </row>
    <row r="22" spans="1:13" s="965" customFormat="1" ht="23.25" customHeight="1">
      <c r="A22" s="2522" t="s">
        <v>207</v>
      </c>
      <c r="B22" s="2522"/>
      <c r="C22" s="2538">
        <v>55743611</v>
      </c>
      <c r="D22" s="2539"/>
      <c r="E22" s="2595" t="s">
        <v>857</v>
      </c>
      <c r="F22" s="2595"/>
      <c r="G22" s="2595"/>
      <c r="H22" s="2595"/>
      <c r="I22" s="2525"/>
      <c r="J22" s="2525"/>
      <c r="K22" s="2525"/>
      <c r="L22" s="964"/>
      <c r="M22" s="964"/>
    </row>
    <row r="23" spans="1:13" s="965" customFormat="1" ht="23.25" customHeight="1">
      <c r="A23" s="2537" t="s">
        <v>208</v>
      </c>
      <c r="B23" s="2537"/>
      <c r="C23" s="2592">
        <v>6127</v>
      </c>
      <c r="D23" s="2593"/>
      <c r="E23" s="2040" t="s">
        <v>857</v>
      </c>
      <c r="F23" s="2040"/>
      <c r="G23" s="2040"/>
      <c r="H23" s="2040"/>
      <c r="I23" s="2594"/>
      <c r="J23" s="2594"/>
      <c r="K23" s="2594"/>
      <c r="L23" s="964"/>
      <c r="M23" s="964"/>
    </row>
    <row r="24" spans="1:13" s="965" customFormat="1" ht="23.25" customHeight="1">
      <c r="A24" s="2537" t="s">
        <v>212</v>
      </c>
      <c r="B24" s="2537"/>
      <c r="C24" s="2592">
        <v>40167526</v>
      </c>
      <c r="D24" s="2593"/>
      <c r="E24" s="2040" t="s">
        <v>857</v>
      </c>
      <c r="F24" s="2040"/>
      <c r="G24" s="2040"/>
      <c r="H24" s="2040"/>
      <c r="I24" s="2594"/>
      <c r="J24" s="2594"/>
      <c r="K24" s="2594"/>
      <c r="L24" s="964"/>
      <c r="M24" s="964"/>
    </row>
    <row r="25" spans="1:13" s="965" customFormat="1" ht="23.25" customHeight="1">
      <c r="A25" s="2537" t="s">
        <v>213</v>
      </c>
      <c r="B25" s="2537"/>
      <c r="C25" s="2592">
        <v>15581742</v>
      </c>
      <c r="D25" s="2593"/>
      <c r="E25" s="2040" t="s">
        <v>857</v>
      </c>
      <c r="F25" s="2040"/>
      <c r="G25" s="2040"/>
      <c r="H25" s="2040"/>
      <c r="I25" s="2594"/>
      <c r="J25" s="2594"/>
      <c r="K25" s="2594"/>
      <c r="L25" s="964"/>
      <c r="M25" s="964"/>
    </row>
    <row r="26" spans="1:13" s="950" customFormat="1" ht="23.25" customHeight="1">
      <c r="A26" s="2588" t="s">
        <v>942</v>
      </c>
      <c r="B26" s="2588"/>
      <c r="C26" s="2589">
        <f>SUM(C22:D25)</f>
        <v>111499006</v>
      </c>
      <c r="D26" s="2589"/>
      <c r="E26" s="2590" t="s">
        <v>939</v>
      </c>
      <c r="F26" s="2590"/>
      <c r="G26" s="2590"/>
      <c r="H26" s="2590"/>
      <c r="I26" s="2591" t="s">
        <v>940</v>
      </c>
      <c r="J26" s="2591"/>
      <c r="K26" s="2591"/>
      <c r="L26" s="949"/>
      <c r="M26" s="949"/>
    </row>
    <row r="27" spans="1:13" ht="20.100000000000001" customHeight="1">
      <c r="A27" s="946"/>
      <c r="B27" s="946"/>
      <c r="C27" s="946"/>
    </row>
    <row r="28" spans="1:13" ht="20.100000000000001" customHeight="1">
      <c r="A28" s="946"/>
      <c r="B28" s="946"/>
      <c r="C28" s="946"/>
    </row>
    <row r="29" spans="1:13" ht="26.1" hidden="1" customHeight="1">
      <c r="A29" s="2531" t="s">
        <v>943</v>
      </c>
      <c r="B29" s="2531"/>
      <c r="C29" s="2531"/>
      <c r="D29" s="2531"/>
      <c r="E29" s="2531"/>
      <c r="F29" s="2531"/>
      <c r="G29" s="2531"/>
      <c r="H29" s="2531"/>
      <c r="I29" s="2531"/>
      <c r="J29" s="2531"/>
      <c r="K29" s="2531"/>
    </row>
    <row r="30" spans="1:13" s="1053" customFormat="1" ht="26.1" hidden="1" customHeight="1">
      <c r="A30" s="946"/>
      <c r="B30" s="946"/>
      <c r="C30" s="946"/>
      <c r="D30" s="893"/>
      <c r="E30" s="893"/>
      <c r="F30" s="893"/>
      <c r="G30" s="695"/>
      <c r="H30" s="893"/>
      <c r="I30" s="893"/>
      <c r="J30" s="893"/>
      <c r="K30" s="893"/>
      <c r="L30" s="1063"/>
      <c r="M30" s="1063"/>
    </row>
    <row r="31" spans="1:13" s="1053" customFormat="1" ht="24.9" hidden="1" customHeight="1">
      <c r="A31" s="2414" t="s">
        <v>932</v>
      </c>
      <c r="B31" s="2414"/>
      <c r="C31" s="2438" t="s">
        <v>933</v>
      </c>
      <c r="D31" s="2438"/>
      <c r="E31" s="2526" t="s">
        <v>934</v>
      </c>
      <c r="F31" s="2526"/>
      <c r="G31" s="2526"/>
      <c r="H31" s="2526"/>
      <c r="I31" s="2527" t="s">
        <v>935</v>
      </c>
      <c r="J31" s="2527"/>
      <c r="K31" s="2527"/>
      <c r="L31" s="1063"/>
      <c r="M31" s="1063"/>
    </row>
    <row r="32" spans="1:13" s="1053" customFormat="1" ht="15" hidden="1" customHeight="1">
      <c r="A32" s="962"/>
      <c r="B32" s="963"/>
      <c r="C32" s="2528" t="s">
        <v>551</v>
      </c>
      <c r="D32" s="2528"/>
      <c r="E32" s="2529" t="s">
        <v>936</v>
      </c>
      <c r="F32" s="2529"/>
      <c r="G32" s="2529"/>
      <c r="H32" s="2529"/>
      <c r="I32" s="2530" t="s">
        <v>937</v>
      </c>
      <c r="J32" s="2530"/>
      <c r="K32" s="2530"/>
      <c r="L32" s="1063"/>
      <c r="M32" s="1063"/>
    </row>
    <row r="33" spans="1:11" ht="23.25" hidden="1" customHeight="1">
      <c r="A33" s="2532" t="s">
        <v>211</v>
      </c>
      <c r="B33" s="2532"/>
      <c r="C33" s="2533">
        <v>0</v>
      </c>
      <c r="D33" s="2534"/>
      <c r="E33" s="2535" t="s">
        <v>967</v>
      </c>
      <c r="F33" s="2535"/>
      <c r="G33" s="2535"/>
      <c r="H33" s="2535"/>
      <c r="I33" s="2587"/>
      <c r="J33" s="2587"/>
      <c r="K33" s="2587"/>
    </row>
    <row r="34" spans="1:11" ht="23.25" hidden="1" customHeight="1">
      <c r="A34" s="2404" t="s">
        <v>942</v>
      </c>
      <c r="B34" s="2404"/>
      <c r="C34" s="2515">
        <f>SUM(C33:D33)</f>
        <v>0</v>
      </c>
      <c r="D34" s="2515"/>
      <c r="E34" s="2516" t="s">
        <v>939</v>
      </c>
      <c r="F34" s="2516"/>
      <c r="G34" s="2516"/>
      <c r="H34" s="2516"/>
      <c r="I34" s="2517" t="s">
        <v>940</v>
      </c>
      <c r="J34" s="2517"/>
      <c r="K34" s="2517"/>
    </row>
    <row r="35" spans="1:11" ht="13.5" hidden="1" customHeight="1"/>
    <row r="36" spans="1:11" ht="13.5" customHeight="1"/>
    <row r="37" spans="1:11" ht="13.5" customHeight="1"/>
    <row r="38" spans="1:11" ht="13.5" customHeight="1"/>
    <row r="39" spans="1:11" ht="13.5" customHeight="1"/>
    <row r="40" spans="1:11" ht="13.5" customHeight="1"/>
    <row r="41" spans="1:11" ht="13.5" customHeight="1"/>
    <row r="42" spans="1:11" ht="13.5" customHeight="1"/>
    <row r="43" spans="1:11" ht="13.5" customHeight="1"/>
    <row r="44" spans="1:11" ht="13.5" customHeight="1"/>
    <row r="45" spans="1:11" ht="13.5" customHeight="1"/>
    <row r="46" spans="1:11" ht="13.5" customHeight="1"/>
    <row r="47" spans="1:11" ht="13.5" customHeight="1"/>
    <row r="48" spans="1:11" ht="13.5" customHeight="1"/>
    <row r="49" ht="22.5" customHeight="1"/>
    <row r="50" ht="45.3" customHeight="1"/>
    <row r="55" ht="13.5" customHeight="1"/>
    <row r="57" ht="22.5" customHeight="1"/>
    <row r="64" ht="45.3" customHeight="1"/>
    <row r="78" ht="45.3" customHeight="1"/>
    <row r="92" ht="38.25" customHeight="1"/>
    <row r="106" spans="1:3" ht="38.25" customHeight="1"/>
    <row r="108" spans="1:3" ht="24" customHeight="1">
      <c r="A108" s="946"/>
      <c r="B108" s="946"/>
      <c r="C108"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79">
    <mergeCell ref="A1:K1"/>
    <mergeCell ref="A3:K3"/>
    <mergeCell ref="A5:B5"/>
    <mergeCell ref="C5:D5"/>
    <mergeCell ref="E5:H5"/>
    <mergeCell ref="I5:K5"/>
    <mergeCell ref="E6:H6"/>
    <mergeCell ref="A7:B7"/>
    <mergeCell ref="C7:D7"/>
    <mergeCell ref="E7:H7"/>
    <mergeCell ref="I7:K7"/>
    <mergeCell ref="A8:B8"/>
    <mergeCell ref="C8:D8"/>
    <mergeCell ref="E8:H8"/>
    <mergeCell ref="I8:K8"/>
    <mergeCell ref="A10:K10"/>
    <mergeCell ref="A12:B12"/>
    <mergeCell ref="C12:D12"/>
    <mergeCell ref="E12:H12"/>
    <mergeCell ref="I12:K12"/>
    <mergeCell ref="C13:D13"/>
    <mergeCell ref="E13:H13"/>
    <mergeCell ref="I13:K13"/>
    <mergeCell ref="A14:B14"/>
    <mergeCell ref="C14:D14"/>
    <mergeCell ref="E14:H14"/>
    <mergeCell ref="I14:K14"/>
    <mergeCell ref="A15:B15"/>
    <mergeCell ref="C15:D15"/>
    <mergeCell ref="E15:H15"/>
    <mergeCell ref="I15:K15"/>
    <mergeCell ref="A16:B16"/>
    <mergeCell ref="C16:D16"/>
    <mergeCell ref="E16:H16"/>
    <mergeCell ref="I16:K16"/>
    <mergeCell ref="A18:K18"/>
    <mergeCell ref="A20:B20"/>
    <mergeCell ref="C20:D20"/>
    <mergeCell ref="E20:H20"/>
    <mergeCell ref="I20:K20"/>
    <mergeCell ref="C21:D21"/>
    <mergeCell ref="E21:H21"/>
    <mergeCell ref="I21:K21"/>
    <mergeCell ref="A22:B22"/>
    <mergeCell ref="C22:D22"/>
    <mergeCell ref="E22:H22"/>
    <mergeCell ref="I22:K22"/>
    <mergeCell ref="A23:B23"/>
    <mergeCell ref="C23:D23"/>
    <mergeCell ref="E23:H23"/>
    <mergeCell ref="I23:K23"/>
    <mergeCell ref="A24:B24"/>
    <mergeCell ref="C24:D24"/>
    <mergeCell ref="E24:H24"/>
    <mergeCell ref="I24:K24"/>
    <mergeCell ref="A25:B25"/>
    <mergeCell ref="C25:D25"/>
    <mergeCell ref="E25:H25"/>
    <mergeCell ref="I25:K25"/>
    <mergeCell ref="A26:B26"/>
    <mergeCell ref="C26:D26"/>
    <mergeCell ref="E26:H26"/>
    <mergeCell ref="I26:K26"/>
    <mergeCell ref="A29:K29"/>
    <mergeCell ref="A31:B31"/>
    <mergeCell ref="C31:D31"/>
    <mergeCell ref="E31:H31"/>
    <mergeCell ref="I31:K31"/>
    <mergeCell ref="C32:D32"/>
    <mergeCell ref="E32:H32"/>
    <mergeCell ref="I32:K32"/>
    <mergeCell ref="A33:B33"/>
    <mergeCell ref="C33:D33"/>
    <mergeCell ref="E33:H33"/>
    <mergeCell ref="I33:K33"/>
    <mergeCell ref="A34:B34"/>
    <mergeCell ref="C34:D34"/>
    <mergeCell ref="E34:H34"/>
    <mergeCell ref="I34:K34"/>
  </mergeCells>
  <phoneticPr fontId="155"/>
  <conditionalFormatting sqref="C22 C23 C24 C25 C33 E7">
    <cfRule type="expression" dxfId="6" priority="1">
      <formula>AND(入力色表示=1,NOT(_xlfn.ISFORMULA(C22)))</formula>
    </cfRule>
  </conditionalFormatting>
  <dataValidations count="4">
    <dataValidation allowBlank="1" showInputMessage="1" promptTitle="手入力セル" prompt="反映先：退職等_預金・立替・未収 C26、退職等_決算精算表 B17&#10;他の帳票：退職等_貸借・損益、退職等_決算精算表" sqref="C22 C23"/>
    <dataValidation allowBlank="1" showInputMessage="1" promptTitle="手入力セル" prompt="反映先：退職等_預金・立替・未収 C26、退職等_決算精算表 B18&#10;他の帳票：退職等_貸借・損益、退職等_決算精算表" sqref="C24 C25"/>
    <dataValidation allowBlank="1" showInputMessage="1" promptTitle="手入力セル" prompt="反映先：退職等_預金・立替・未収 C34&#10;他の帳票：退職等_貸借・損益、退職等_決算精算表" sqref="C33"/>
    <dataValidation allowBlank="1" showInputMessage="1" promptTitle="手入力セル" prompt="反映先：退職等_預金・立替・未収 E8&#10;他の帳票：退職等_貸借・損益、退職等_決算精算表" sqref="E7"/>
  </dataValidations>
  <pageMargins left="0.78749999999999998" right="0.59027777777777801" top="0.78749999999999998" bottom="0.78749999999999998" header="0.511811023622047" footer="0.51180555555555596"/>
  <pageSetup paperSize="9" firstPageNumber="36" orientation="portrait" useFirstPageNumber="1" horizontalDpi="300" verticalDpi="300"/>
  <headerFooter>
    <oddFooter>&amp;C&amp;"ＭＳ Ｐ明朝,Regular"&amp;9-　&amp;P　-</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FEC63-45BF-4ADB-8309-21FB74FE8F87}">
  <sheetPr codeName="Sheet30"/>
  <dimension ref="A1:I188"/>
  <sheetViews>
    <sheetView zoomScaleNormal="100" zoomScalePageLayoutView="60" workbookViewId="0">
      <selection activeCell="N20" sqref="N20"/>
    </sheetView>
  </sheetViews>
  <sheetFormatPr defaultColWidth="9" defaultRowHeight="13.2"/>
  <cols>
    <col min="1" max="2" width="12.44140625" style="838" customWidth="1"/>
    <col min="3" max="3" width="11.6640625" style="838" customWidth="1"/>
    <col min="4" max="4" width="15.6640625" style="838" customWidth="1"/>
    <col min="5" max="5" width="11.6640625" style="838" customWidth="1"/>
    <col min="6" max="6" width="13" style="838" customWidth="1"/>
    <col min="7" max="7" width="12.44140625" style="838" customWidth="1"/>
    <col min="8" max="8" width="0.6640625" style="838" customWidth="1"/>
    <col min="9" max="9" width="9" style="838"/>
  </cols>
  <sheetData>
    <row r="1" spans="1:9" ht="12.75" customHeight="1">
      <c r="A1" s="969"/>
    </row>
    <row r="2" spans="1:9" ht="11.25" customHeight="1">
      <c r="A2" s="970"/>
      <c r="G2" s="199"/>
    </row>
    <row r="3" spans="1:9" ht="22.5" customHeight="1">
      <c r="A3" s="971"/>
      <c r="B3" s="893"/>
      <c r="C3" s="2531" t="s">
        <v>947</v>
      </c>
      <c r="D3" s="2531"/>
      <c r="E3" s="2531"/>
      <c r="F3" s="893"/>
      <c r="G3" s="893"/>
    </row>
    <row r="4" spans="1:9" ht="13.5" customHeight="1">
      <c r="A4" s="970"/>
    </row>
    <row r="5" spans="1:9" ht="13.5" customHeight="1">
      <c r="A5" s="2562"/>
      <c r="B5" s="2562"/>
      <c r="C5" s="2562"/>
      <c r="D5" s="2562"/>
      <c r="E5" s="2562"/>
      <c r="F5" s="2562"/>
      <c r="G5" s="2562"/>
      <c r="H5" s="972"/>
    </row>
    <row r="6" spans="1:9" ht="13.5" customHeight="1">
      <c r="A6" s="2563" t="s">
        <v>968</v>
      </c>
      <c r="B6" s="2563"/>
      <c r="C6" s="2563"/>
      <c r="D6" s="2563"/>
      <c r="E6" s="2563"/>
      <c r="F6" s="2563"/>
      <c r="G6" s="2563"/>
      <c r="H6" s="973"/>
    </row>
    <row r="7" spans="1:9" ht="12.75" customHeight="1">
      <c r="A7" s="2564"/>
      <c r="B7" s="2564"/>
      <c r="C7" s="2564"/>
      <c r="D7" s="2564"/>
      <c r="E7" s="2564"/>
      <c r="F7" s="2564"/>
      <c r="G7" s="2564"/>
      <c r="H7" s="973"/>
    </row>
    <row r="8" spans="1:9" ht="18.75" customHeight="1">
      <c r="A8" s="2565" t="str">
        <f>"令和"&amp;IF((入力ガイド!$C$6)&gt;=10,MID("０１２３４５６７８９",INT((入力ガイド!$C$6)/10)+1,1),"")&amp;MID("０１２３４５６７８９",MOD((入力ガイド!$C$6),10)+1,1)&amp;"年度"&amp;"分"</f>
        <v>令和７年度分</v>
      </c>
      <c r="B8" s="2565"/>
      <c r="C8" s="2565"/>
      <c r="D8" s="2565"/>
      <c r="E8" s="2565"/>
      <c r="F8" s="2565"/>
      <c r="G8" s="2565"/>
      <c r="H8" s="973"/>
    </row>
    <row r="9" spans="1:9" ht="18.75" customHeight="1">
      <c r="A9" s="2603" t="s">
        <v>949</v>
      </c>
      <c r="B9" s="2603"/>
      <c r="C9" s="2603"/>
      <c r="D9" s="2604" t="s">
        <v>950</v>
      </c>
      <c r="E9" s="2605" t="s">
        <v>951</v>
      </c>
      <c r="F9" s="2605"/>
      <c r="G9" s="2605"/>
      <c r="H9" s="1103"/>
      <c r="I9" s="1104"/>
    </row>
    <row r="10" spans="1:9" ht="18.75" customHeight="1">
      <c r="A10" s="967" t="s">
        <v>952</v>
      </c>
      <c r="B10" s="1105" t="s">
        <v>969</v>
      </c>
      <c r="C10" s="1106" t="s">
        <v>894</v>
      </c>
      <c r="D10" s="2604"/>
      <c r="E10" s="1107" t="s">
        <v>955</v>
      </c>
      <c r="F10" s="1108" t="s">
        <v>970</v>
      </c>
      <c r="G10" s="1109" t="s">
        <v>971</v>
      </c>
      <c r="H10" s="1103"/>
      <c r="I10" s="1104"/>
    </row>
    <row r="11" spans="1:9" ht="11.25" customHeight="1">
      <c r="A11" s="1110" t="s">
        <v>551</v>
      </c>
      <c r="B11" s="1111" t="s">
        <v>551</v>
      </c>
      <c r="C11" s="1112" t="s">
        <v>551</v>
      </c>
      <c r="D11" s="984"/>
      <c r="E11" s="1113" t="s">
        <v>551</v>
      </c>
      <c r="F11" s="986" t="s">
        <v>551</v>
      </c>
      <c r="G11" s="1114" t="s">
        <v>551</v>
      </c>
      <c r="H11" s="988"/>
    </row>
    <row r="12" spans="1:9" ht="18.600000000000001" customHeight="1">
      <c r="A12" s="989">
        <f>C12+B12</f>
        <v>111499006</v>
      </c>
      <c r="B12" s="990"/>
      <c r="C12" s="1115">
        <f>退職等_貸借・損益!E8</f>
        <v>111499006</v>
      </c>
      <c r="D12" s="1116" t="s">
        <v>194</v>
      </c>
      <c r="E12" s="1117"/>
      <c r="F12" s="994"/>
      <c r="G12" s="1118"/>
      <c r="H12" s="973"/>
    </row>
    <row r="13" spans="1:9" ht="18.600000000000001" customHeight="1">
      <c r="A13" s="1119">
        <f>C13+B13</f>
        <v>0</v>
      </c>
      <c r="B13" s="1120">
        <f>退職等_預金・立替・未収!C14</f>
        <v>0</v>
      </c>
      <c r="C13" s="1687">
        <v>0</v>
      </c>
      <c r="D13" s="1006" t="s">
        <v>898</v>
      </c>
      <c r="E13" s="1121"/>
      <c r="F13" s="1122"/>
      <c r="G13" s="1123"/>
      <c r="H13" s="988"/>
    </row>
    <row r="14" spans="1:9" ht="18.600000000000001" customHeight="1">
      <c r="A14" s="997"/>
      <c r="B14" s="1124"/>
      <c r="C14" s="1125"/>
      <c r="D14" s="974" t="s">
        <v>899</v>
      </c>
      <c r="E14" s="1126" t="s">
        <v>957</v>
      </c>
      <c r="F14" s="1127">
        <f>退職等_貸借・損益!L8</f>
        <v>111499006</v>
      </c>
      <c r="G14" s="1037">
        <f>SUM(E14:F14)</f>
        <v>111499006</v>
      </c>
      <c r="H14" s="1015"/>
    </row>
    <row r="15" spans="1:9" ht="18.600000000000001" customHeight="1">
      <c r="A15" s="1128"/>
      <c r="B15" s="1129"/>
      <c r="C15" s="1130"/>
      <c r="D15" s="1131" t="s">
        <v>200</v>
      </c>
      <c r="E15" s="1132">
        <f>退職等_貸借・損益!L9</f>
        <v>0</v>
      </c>
      <c r="F15" s="1133"/>
      <c r="G15" s="1134">
        <f>SUM(E15:F15)</f>
        <v>0</v>
      </c>
      <c r="H15" s="1051"/>
    </row>
    <row r="16" spans="1:9" ht="18.600000000000001" customHeight="1">
      <c r="A16" s="1016">
        <f>SUM(A12:A15)</f>
        <v>111499006</v>
      </c>
      <c r="B16" s="1017">
        <f>SUM(B12:B15)</f>
        <v>0</v>
      </c>
      <c r="C16" s="1135">
        <f>SUM(C12:C15)</f>
        <v>111499006</v>
      </c>
      <c r="D16" s="1136" t="s">
        <v>927</v>
      </c>
      <c r="E16" s="1137">
        <f>SUM(E12:E15)</f>
        <v>0</v>
      </c>
      <c r="F16" s="1021">
        <f>SUM(F12:F15)</f>
        <v>111499006</v>
      </c>
      <c r="G16" s="1138">
        <f>SUM(G12:G15)</f>
        <v>111499006</v>
      </c>
      <c r="H16" s="1023"/>
    </row>
    <row r="17" spans="1:8" ht="18.600000000000001" customHeight="1">
      <c r="A17" s="1139">
        <f>C17+B17</f>
        <v>634159455</v>
      </c>
      <c r="B17" s="1140">
        <f>退職等_預金・立替・未収!C22+退職等_預金・立替・未収!C23</f>
        <v>55749738</v>
      </c>
      <c r="C17" s="1688">
        <v>578409717</v>
      </c>
      <c r="D17" s="1141" t="s">
        <v>594</v>
      </c>
      <c r="E17" s="1142"/>
      <c r="F17" s="1143"/>
      <c r="G17" s="1144"/>
      <c r="H17" s="973"/>
    </row>
    <row r="18" spans="1:8" ht="18.600000000000001" customHeight="1">
      <c r="A18" s="989">
        <f>C18+B18</f>
        <v>634205895</v>
      </c>
      <c r="B18" s="1029">
        <f>退職等_預金・立替・未収!C24+退職等_預金・立替・未収!C25</f>
        <v>55749268</v>
      </c>
      <c r="C18" s="1689">
        <v>578456627</v>
      </c>
      <c r="D18" s="1030" t="s">
        <v>602</v>
      </c>
      <c r="E18" s="1145"/>
      <c r="F18" s="1146"/>
      <c r="G18" s="1123"/>
      <c r="H18" s="988"/>
    </row>
    <row r="19" spans="1:8" ht="18.600000000000001" customHeight="1">
      <c r="A19" s="997"/>
      <c r="B19" s="1034"/>
      <c r="C19" s="1035"/>
      <c r="D19" s="1147" t="s">
        <v>125</v>
      </c>
      <c r="E19" s="1148">
        <f>報告_退職等年金P15!W19</f>
        <v>634159455</v>
      </c>
      <c r="F19" s="1149"/>
      <c r="G19" s="1037">
        <f>SUM(E19:F19)</f>
        <v>634159455</v>
      </c>
      <c r="H19" s="975"/>
    </row>
    <row r="20" spans="1:8" ht="18.600000000000001" customHeight="1">
      <c r="A20" s="1128"/>
      <c r="B20" s="1150"/>
      <c r="C20" s="1151"/>
      <c r="D20" s="1040" t="s">
        <v>196</v>
      </c>
      <c r="E20" s="1152">
        <f>報告_退職等年金P15!W22</f>
        <v>634205895</v>
      </c>
      <c r="F20" s="1153"/>
      <c r="G20" s="1154">
        <f>SUM(E20:F20)</f>
        <v>634205895</v>
      </c>
      <c r="H20" s="973"/>
    </row>
    <row r="21" spans="1:8" ht="18.600000000000001" customHeight="1">
      <c r="A21" s="1016">
        <f>SUM(A17:A20)</f>
        <v>1268365350</v>
      </c>
      <c r="B21" s="1043">
        <f>SUM(B17:B20)</f>
        <v>111499006</v>
      </c>
      <c r="C21" s="1155">
        <f>SUM(C17:C20)</f>
        <v>1156866344</v>
      </c>
      <c r="D21" s="1156" t="s">
        <v>927</v>
      </c>
      <c r="E21" s="1157">
        <f>SUM(E17:E20)</f>
        <v>1268365350</v>
      </c>
      <c r="F21" s="1047">
        <f>SUM(F17:F20)</f>
        <v>0</v>
      </c>
      <c r="G21" s="1138">
        <f>SUM(G17:G20)</f>
        <v>1268365350</v>
      </c>
      <c r="H21" s="1023"/>
    </row>
    <row r="22" spans="1:8" ht="18.600000000000001" customHeight="1">
      <c r="A22" s="1016">
        <f>A16+A21</f>
        <v>1379864356</v>
      </c>
      <c r="B22" s="1048">
        <f>B16+B21</f>
        <v>111499006</v>
      </c>
      <c r="C22" s="1155">
        <f>C16+C21</f>
        <v>1268365350</v>
      </c>
      <c r="D22" s="1156" t="s">
        <v>413</v>
      </c>
      <c r="E22" s="1157">
        <f>E16+E21</f>
        <v>1268365350</v>
      </c>
      <c r="F22" s="1048">
        <f>F16+F21</f>
        <v>111499006</v>
      </c>
      <c r="G22" s="1138">
        <f>G16+G21</f>
        <v>1379864356</v>
      </c>
      <c r="H22" s="1023"/>
    </row>
    <row r="23" spans="1:8" ht="47.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　　　　"</f>
        <v>　　　　令和　８年　４月２２日　　　　　　　　　　　　　　出納主任　　  　　村　井　　慶　子　　　　</v>
      </c>
      <c r="B23" s="2556"/>
      <c r="C23" s="2556"/>
      <c r="D23" s="2556"/>
      <c r="E23" s="2556"/>
      <c r="F23" s="2556"/>
      <c r="G23" s="2556"/>
      <c r="H23" s="996"/>
    </row>
    <row r="24" spans="1:8" ht="17.25" customHeight="1">
      <c r="A24" s="2561" t="s">
        <v>958</v>
      </c>
      <c r="B24" s="2561"/>
      <c r="C24" s="2561"/>
      <c r="D24" s="2561"/>
      <c r="E24" s="2561"/>
      <c r="F24" s="2561"/>
      <c r="G24" s="2561"/>
      <c r="H24" s="973"/>
    </row>
    <row r="25" spans="1:8" ht="35.1" customHeight="1">
      <c r="A25"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　　　　"</f>
        <v>　　　　令和　８年　４月２２日
　　　　　　　　　　    　　　　　　　　　　　　　　　　　出 納 役　　　　　榎　本　　聡　子　　　　</v>
      </c>
      <c r="B25" s="2556"/>
      <c r="C25" s="2556"/>
      <c r="D25" s="2556"/>
      <c r="E25" s="2556"/>
      <c r="F25" s="2556"/>
      <c r="G25" s="2556"/>
      <c r="H25" s="973"/>
    </row>
    <row r="26" spans="1:8" ht="6.75" customHeight="1">
      <c r="A26" s="2557" t="s">
        <v>959</v>
      </c>
      <c r="B26" s="2557"/>
      <c r="C26" s="2557"/>
      <c r="D26" s="2557"/>
      <c r="E26" s="2557"/>
      <c r="F26" s="2557"/>
      <c r="G26" s="2557"/>
      <c r="H26" s="1051"/>
    </row>
    <row r="27" spans="1:8" ht="24" customHeight="1">
      <c r="A27" s="970"/>
    </row>
    <row r="28" spans="1:8" ht="24" customHeight="1">
      <c r="A28" s="970"/>
    </row>
    <row r="29" spans="1:8" ht="24" customHeight="1">
      <c r="A29"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5:G25"/>
    <mergeCell ref="A26:G26"/>
    <mergeCell ref="A9:C9"/>
    <mergeCell ref="D9:D10"/>
    <mergeCell ref="E9:G9"/>
    <mergeCell ref="A23:G23"/>
    <mergeCell ref="A24:G24"/>
  </mergeCells>
  <phoneticPr fontId="155"/>
  <conditionalFormatting sqref="C13 C17 C18">
    <cfRule type="expression" dxfId="6" priority="1">
      <formula>AND(入力色表示=1,NOT(_xlfn.ISFORMULA(C13)))</formula>
    </cfRule>
  </conditionalFormatting>
  <dataValidations count="3">
    <dataValidation allowBlank="1" showInputMessage="1" promptTitle="手入力セル" prompt="反映先：退職等_決算精算表 A13,C16&#10;他の帳票：なし" sqref="C13"/>
    <dataValidation allowBlank="1" showInputMessage="1" promptTitle="手入力セル" prompt="反映先：退職等_決算精算表 A17,C21&#10;他の帳票：退職等_貸借・損益" sqref="C17"/>
    <dataValidation allowBlank="1" showInputMessage="1" promptTitle="手入力セル" prompt="反映先：退職等_決算精算表 A18,C21&#10;他の帳票：退職等_貸借・損益" sqref="C18"/>
  </dataValidations>
  <pageMargins left="0.78749999999999998" right="0.59027777777777801" top="0.59027777777777801" bottom="0.59027777777777801" header="0.511811023622047" footer="0.51180555555555596"/>
  <pageSetup paperSize="9" scale="99" firstPageNumber="37" orientation="portrait" useFirstPageNumber="1" horizontalDpi="300" verticalDpi="300"/>
  <headerFooter>
    <oddFooter>&amp;C&amp;"ＭＳ Ｐ明朝,Regular"&amp;9-　&amp;P　-</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0EE59-48FA-47EE-8706-7291786E73E3}">
  <sheetPr codeName="Sheet31">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065"/>
      <c r="D13" s="2572"/>
      <c r="E13" s="2572"/>
      <c r="F13" s="2572"/>
      <c r="G13" s="2572"/>
      <c r="H13" s="1065"/>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38" orientation="portrait" useFirstPageNumber="1" horizontalDpi="300" verticalDpi="300"/>
  <headerFooter>
    <oddFooter>&amp;C&amp;"ＭＳ Ｐ明朝,Regular"&amp;9-　&amp;P　-</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66F7D-1091-4506-81DF-873BACE1738F}">
  <sheetPr codeName="Sheet32">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0.6640625" style="838" customWidth="1"/>
    <col min="5" max="5" width="11.109375" style="838" customWidth="1"/>
    <col min="6" max="6" width="11.33203125" style="838" customWidth="1"/>
    <col min="7" max="9" width="0.6640625" style="838" customWidth="1"/>
    <col min="10" max="10" width="11.109375" style="838" customWidth="1"/>
    <col min="11" max="11" width="10.6640625" style="838" customWidth="1"/>
    <col min="12" max="12" width="10.77734375" style="838" customWidth="1"/>
    <col min="13" max="13" width="11.33203125" style="838" customWidth="1"/>
    <col min="14" max="14" width="0.33203125" style="838" customWidth="1"/>
    <col min="15" max="15" width="10.21875" style="838" customWidth="1"/>
    <col min="16" max="16" width="10.44140625" style="838" customWidth="1"/>
    <col min="17" max="257" width="9" style="839"/>
  </cols>
  <sheetData>
    <row r="1" spans="1:16" ht="22.5" customHeight="1">
      <c r="B1" s="840"/>
      <c r="C1" s="840"/>
      <c r="F1" s="2509" t="s">
        <v>10</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851" t="s">
        <v>551</v>
      </c>
      <c r="E5" s="852" t="s">
        <v>551</v>
      </c>
      <c r="F5" s="853" t="s">
        <v>551</v>
      </c>
      <c r="G5" s="854"/>
      <c r="H5" s="849"/>
      <c r="I5" s="849"/>
      <c r="J5" s="850"/>
      <c r="K5" s="851" t="s">
        <v>551</v>
      </c>
      <c r="L5" s="852" t="s">
        <v>551</v>
      </c>
      <c r="M5" s="853" t="s">
        <v>551</v>
      </c>
      <c r="N5" s="856"/>
      <c r="O5" s="846"/>
      <c r="P5" s="846"/>
    </row>
    <row r="6" spans="1:16" s="847" customFormat="1" ht="17.100000000000001" customHeight="1">
      <c r="A6" s="2511" t="s">
        <v>767</v>
      </c>
      <c r="B6" s="2511"/>
      <c r="C6" s="2511"/>
      <c r="D6" s="857"/>
      <c r="E6" s="861"/>
      <c r="F6" s="859">
        <f>SUM(E8:E9)</f>
        <v>722478</v>
      </c>
      <c r="G6" s="860"/>
      <c r="H6" s="2585" t="s">
        <v>768</v>
      </c>
      <c r="I6" s="2585"/>
      <c r="J6" s="2585"/>
      <c r="K6" s="857"/>
      <c r="L6" s="861"/>
      <c r="M6" s="1073">
        <f>SUM(L8:L9)</f>
        <v>722478</v>
      </c>
      <c r="N6" s="863"/>
      <c r="O6" s="846"/>
      <c r="P6" s="846"/>
    </row>
    <row r="7" spans="1:16" s="847" customFormat="1" ht="17.100000000000001" customHeight="1">
      <c r="A7" s="864"/>
      <c r="B7" s="841"/>
      <c r="C7" s="865"/>
      <c r="D7" s="857"/>
      <c r="E7" s="861"/>
      <c r="F7" s="866"/>
      <c r="G7" s="860"/>
      <c r="H7" s="867"/>
      <c r="I7" s="841"/>
      <c r="J7" s="865"/>
      <c r="K7" s="857"/>
      <c r="L7" s="861"/>
      <c r="M7" s="866"/>
      <c r="N7" s="863"/>
      <c r="O7" s="846"/>
      <c r="P7" s="846"/>
    </row>
    <row r="8" spans="1:16" s="847" customFormat="1" ht="17.100000000000001" customHeight="1">
      <c r="A8" s="2513" t="s">
        <v>194</v>
      </c>
      <c r="B8" s="2513"/>
      <c r="C8" s="2513"/>
      <c r="D8" s="857"/>
      <c r="E8" s="858">
        <f>経過的_預金・立替・未収!E8</f>
        <v>722478</v>
      </c>
      <c r="F8" s="866"/>
      <c r="G8" s="860"/>
      <c r="H8" s="2514" t="s">
        <v>899</v>
      </c>
      <c r="I8" s="2514"/>
      <c r="J8" s="2514"/>
      <c r="K8" s="857"/>
      <c r="L8" s="858">
        <f>経過的_預金・立替・未収!C23</f>
        <v>722478</v>
      </c>
      <c r="M8" s="866"/>
      <c r="N8" s="863"/>
      <c r="O8" s="846"/>
      <c r="P8" s="846"/>
    </row>
    <row r="9" spans="1:16" s="847" customFormat="1" ht="17.100000000000001" customHeight="1">
      <c r="A9" s="2513" t="s">
        <v>898</v>
      </c>
      <c r="B9" s="2513"/>
      <c r="C9" s="2513"/>
      <c r="D9" s="857"/>
      <c r="E9" s="858">
        <f>経過的_預金・立替・未収!C16</f>
        <v>0</v>
      </c>
      <c r="F9" s="866"/>
      <c r="G9" s="871"/>
      <c r="H9" s="841"/>
      <c r="I9" s="2610"/>
      <c r="J9" s="2610"/>
      <c r="K9" s="857"/>
      <c r="L9" s="861"/>
      <c r="M9" s="866"/>
      <c r="N9" s="863"/>
      <c r="O9" s="846"/>
      <c r="P9" s="846"/>
    </row>
    <row r="10" spans="1:16" s="847" customFormat="1" ht="17.100000000000001" customHeight="1">
      <c r="A10" s="872"/>
      <c r="B10" s="2506"/>
      <c r="C10" s="2506"/>
      <c r="D10" s="857"/>
      <c r="E10" s="861"/>
      <c r="F10" s="873"/>
      <c r="G10" s="871"/>
      <c r="H10" s="841"/>
      <c r="I10" s="841"/>
      <c r="J10" s="865"/>
      <c r="K10" s="874"/>
      <c r="L10" s="875"/>
      <c r="M10" s="866" t="s">
        <v>913</v>
      </c>
      <c r="N10" s="863"/>
      <c r="O10" s="846"/>
      <c r="P10" s="846"/>
    </row>
    <row r="11" spans="1:16" s="847" customFormat="1" ht="11.25" customHeight="1">
      <c r="A11" s="876"/>
      <c r="B11" s="877"/>
      <c r="C11" s="878"/>
      <c r="D11" s="879"/>
      <c r="E11" s="880"/>
      <c r="F11" s="881"/>
      <c r="G11" s="882"/>
      <c r="H11" s="883"/>
      <c r="I11" s="883"/>
      <c r="J11" s="884"/>
      <c r="K11" s="885"/>
      <c r="L11" s="880"/>
      <c r="M11" s="881"/>
      <c r="N11" s="887"/>
      <c r="O11" s="846"/>
      <c r="P11" s="846"/>
    </row>
    <row r="12" spans="1:16" s="847" customFormat="1" ht="24" customHeight="1">
      <c r="A12" s="2507" t="s">
        <v>914</v>
      </c>
      <c r="B12" s="2507"/>
      <c r="C12" s="2507"/>
      <c r="D12" s="2507"/>
      <c r="E12" s="2507"/>
      <c r="F12" s="888">
        <f>SUM(F6:F9)</f>
        <v>722478</v>
      </c>
      <c r="G12" s="889"/>
      <c r="H12" s="2508" t="s">
        <v>915</v>
      </c>
      <c r="I12" s="2508"/>
      <c r="J12" s="2508"/>
      <c r="K12" s="2508"/>
      <c r="L12" s="2508"/>
      <c r="M12" s="1075">
        <f>SUM(M6:M9)</f>
        <v>722478</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10</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2" t="s">
        <v>918</v>
      </c>
      <c r="N18" s="845"/>
      <c r="O18" s="846"/>
      <c r="P18" s="846"/>
    </row>
    <row r="19" spans="1:16" s="847" customFormat="1" ht="10.5" customHeight="1">
      <c r="A19" s="1076"/>
      <c r="B19" s="1077"/>
      <c r="C19" s="1078"/>
      <c r="D19" s="1079" t="s">
        <v>551</v>
      </c>
      <c r="E19" s="1080" t="s">
        <v>551</v>
      </c>
      <c r="F19" s="1081" t="s">
        <v>551</v>
      </c>
      <c r="G19" s="1082"/>
      <c r="H19" s="1077"/>
      <c r="I19" s="1077"/>
      <c r="J19" s="1083"/>
      <c r="K19" s="1079" t="s">
        <v>551</v>
      </c>
      <c r="L19" s="1080" t="s">
        <v>551</v>
      </c>
      <c r="M19" s="1081" t="s">
        <v>551</v>
      </c>
      <c r="N19" s="856"/>
      <c r="O19" s="846"/>
      <c r="P19" s="846"/>
    </row>
    <row r="20" spans="1:16" s="847" customFormat="1" ht="16.5" customHeight="1">
      <c r="A20" s="2609" t="s">
        <v>791</v>
      </c>
      <c r="B20" s="2609"/>
      <c r="C20" s="2609"/>
      <c r="D20" s="857"/>
      <c r="E20" s="861"/>
      <c r="F20" s="1073">
        <f>SUM(E22:E23)</f>
        <v>85620216</v>
      </c>
      <c r="G20" s="860"/>
      <c r="H20" s="2512" t="s">
        <v>792</v>
      </c>
      <c r="I20" s="2512"/>
      <c r="J20" s="2512"/>
      <c r="K20" s="857"/>
      <c r="L20" s="861"/>
      <c r="M20" s="1073">
        <f>SUM(L22:L23)</f>
        <v>85620216</v>
      </c>
      <c r="N20" s="863"/>
      <c r="O20" s="846"/>
      <c r="P20" s="846"/>
    </row>
    <row r="21" spans="1:16" s="847" customFormat="1" ht="17.100000000000001" customHeight="1">
      <c r="A21" s="1084"/>
      <c r="B21" s="1158"/>
      <c r="C21" s="865"/>
      <c r="D21" s="857"/>
      <c r="E21" s="861"/>
      <c r="F21" s="866"/>
      <c r="G21" s="871"/>
      <c r="H21" s="841"/>
      <c r="I21" s="841"/>
      <c r="J21" s="865"/>
      <c r="K21" s="857"/>
      <c r="L21" s="861"/>
      <c r="M21" s="866"/>
      <c r="N21" s="863"/>
      <c r="O21" s="846"/>
      <c r="P21" s="846"/>
    </row>
    <row r="22" spans="1:16" s="847" customFormat="1" ht="17.100000000000001" customHeight="1">
      <c r="A22" s="2581" t="s">
        <v>793</v>
      </c>
      <c r="B22" s="2581"/>
      <c r="C22" s="2581"/>
      <c r="D22" s="857"/>
      <c r="E22" s="1085">
        <f>SUM(D23:D23)</f>
        <v>85620216</v>
      </c>
      <c r="F22" s="866"/>
      <c r="G22" s="1086"/>
      <c r="H22" s="2582" t="s">
        <v>794</v>
      </c>
      <c r="I22" s="2582"/>
      <c r="J22" s="2582"/>
      <c r="K22" s="857"/>
      <c r="L22" s="1085">
        <f>SUM(K23:K23)</f>
        <v>85620216</v>
      </c>
      <c r="M22" s="866"/>
      <c r="N22" s="863"/>
      <c r="O22" s="846"/>
      <c r="P22" s="846"/>
    </row>
    <row r="23" spans="1:16" s="847" customFormat="1" ht="17.100000000000001" customHeight="1">
      <c r="A23" s="2606" t="s">
        <v>594</v>
      </c>
      <c r="B23" s="2606"/>
      <c r="C23" s="2606"/>
      <c r="D23" s="1087">
        <f>経過的_決算精算表!A16</f>
        <v>85620216</v>
      </c>
      <c r="E23" s="861"/>
      <c r="F23" s="866"/>
      <c r="G23" s="1086"/>
      <c r="H23" s="2514" t="s">
        <v>125</v>
      </c>
      <c r="I23" s="2514"/>
      <c r="J23" s="2514"/>
      <c r="K23" s="1087">
        <f>経過的_決算精算表!G17</f>
        <v>85620216</v>
      </c>
      <c r="L23" s="861"/>
      <c r="M23" s="866"/>
      <c r="N23" s="863"/>
      <c r="O23" s="846"/>
      <c r="P23" s="846"/>
    </row>
    <row r="24" spans="1:16" s="847" customFormat="1" ht="11.25" customHeight="1">
      <c r="A24" s="1159"/>
      <c r="B24" s="1160"/>
      <c r="C24" s="1092"/>
      <c r="D24" s="879"/>
      <c r="E24" s="1088"/>
      <c r="F24" s="1089"/>
      <c r="G24" s="1090"/>
      <c r="H24" s="1091"/>
      <c r="I24" s="1091"/>
      <c r="J24" s="1092"/>
      <c r="K24" s="1093"/>
      <c r="L24" s="1094"/>
      <c r="M24" s="1091"/>
      <c r="N24" s="887"/>
      <c r="O24" s="846"/>
      <c r="P24" s="846"/>
    </row>
    <row r="25" spans="1:16" s="847" customFormat="1" ht="24" customHeight="1">
      <c r="A25" s="2607" t="s">
        <v>972</v>
      </c>
      <c r="B25" s="2607"/>
      <c r="C25" s="2607"/>
      <c r="D25" s="2607"/>
      <c r="E25" s="2607"/>
      <c r="F25" s="890">
        <f>SUM(F20:F24)</f>
        <v>85620216</v>
      </c>
      <c r="G25" s="889"/>
      <c r="H25" s="2608" t="s">
        <v>973</v>
      </c>
      <c r="I25" s="2608"/>
      <c r="J25" s="2608"/>
      <c r="K25" s="2608"/>
      <c r="L25" s="2608"/>
      <c r="M25" s="1075">
        <f>SUM(M20:M24)</f>
        <v>85620216</v>
      </c>
      <c r="N25" s="891"/>
      <c r="O25" s="846"/>
      <c r="P25" s="846"/>
    </row>
    <row r="26" spans="1:16" ht="24" customHeight="1">
      <c r="A26" s="892"/>
      <c r="B26" s="892"/>
      <c r="C26" s="892"/>
      <c r="D26" s="892"/>
      <c r="E26" s="892"/>
      <c r="F26" s="892"/>
      <c r="G26" s="892"/>
      <c r="H26" s="892"/>
      <c r="I26" s="892"/>
      <c r="J26" s="892"/>
      <c r="K26" s="892"/>
      <c r="L26" s="892"/>
      <c r="M26" s="892"/>
    </row>
    <row r="27" spans="1:16" ht="24" customHeight="1">
      <c r="A27" s="942"/>
      <c r="B27" s="942"/>
      <c r="C27" s="942"/>
    </row>
    <row r="28" spans="1:16" ht="24" customHeight="1">
      <c r="A28" s="942"/>
      <c r="B28" s="942"/>
      <c r="C28"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8">
    <mergeCell ref="F1:J1"/>
    <mergeCell ref="F2:J2"/>
    <mergeCell ref="L3:N3"/>
    <mergeCell ref="A4:E4"/>
    <mergeCell ref="H4:L4"/>
    <mergeCell ref="A6:C6"/>
    <mergeCell ref="H6:J6"/>
    <mergeCell ref="A8:C8"/>
    <mergeCell ref="H8:J8"/>
    <mergeCell ref="A9:C9"/>
    <mergeCell ref="I9:J9"/>
    <mergeCell ref="B10:C10"/>
    <mergeCell ref="A12:E12"/>
    <mergeCell ref="H12:L12"/>
    <mergeCell ref="F14:J14"/>
    <mergeCell ref="F15:J15"/>
    <mergeCell ref="L16:N16"/>
    <mergeCell ref="L17:N17"/>
    <mergeCell ref="A18:E18"/>
    <mergeCell ref="H18:L18"/>
    <mergeCell ref="A20:C20"/>
    <mergeCell ref="H20:J20"/>
    <mergeCell ref="A22:C22"/>
    <mergeCell ref="H22:J22"/>
    <mergeCell ref="A23:C23"/>
    <mergeCell ref="H23:J23"/>
    <mergeCell ref="A25:E25"/>
    <mergeCell ref="H25:L25"/>
  </mergeCells>
  <phoneticPr fontId="155"/>
  <pageMargins left="0.78749999999999998" right="0.39374999999999999" top="0.78749999999999998" bottom="0.74791666666666701" header="0.511811023622047" footer="0.51180555555555596"/>
  <pageSetup paperSize="9" firstPageNumber="39" orientation="portrait" useFirstPageNumber="1" horizontalDpi="300" verticalDpi="300"/>
  <headerFooter>
    <oddFooter>&amp;C&amp;"ＭＳ Ｐ明朝,Regular"&amp;9-　&amp;P　-</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3392A-44EA-45A1-B037-7EBD6E942D8F}">
  <sheetPr codeName="Sheet33"/>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ht="23.25" customHeight="1">
      <c r="A5" s="2622" t="s">
        <v>836</v>
      </c>
      <c r="B5" s="2622"/>
      <c r="C5" s="2623" t="s">
        <v>923</v>
      </c>
      <c r="D5" s="2623"/>
      <c r="E5" s="2623" t="s">
        <v>924</v>
      </c>
      <c r="F5" s="2623"/>
      <c r="G5" s="2623"/>
      <c r="H5" s="2623"/>
      <c r="I5" s="2639" t="s">
        <v>925</v>
      </c>
      <c r="J5" s="2639"/>
      <c r="K5" s="2639"/>
    </row>
    <row r="6" spans="1:13" ht="14.25" customHeight="1">
      <c r="A6" s="1161"/>
      <c r="B6" s="1162"/>
      <c r="C6" s="1163"/>
      <c r="D6" s="1164"/>
      <c r="E6" s="2634" t="s">
        <v>551</v>
      </c>
      <c r="F6" s="2634"/>
      <c r="G6" s="2634"/>
      <c r="H6" s="2634"/>
      <c r="I6" s="944"/>
      <c r="J6" s="944"/>
      <c r="K6" s="1165"/>
    </row>
    <row r="7" spans="1:13" ht="23.25" customHeight="1">
      <c r="A7" s="2398" t="s">
        <v>839</v>
      </c>
      <c r="B7" s="2398"/>
      <c r="C7" s="2635" t="s">
        <v>194</v>
      </c>
      <c r="D7" s="2635"/>
      <c r="E7" s="2636">
        <v>722478</v>
      </c>
      <c r="F7" s="2637"/>
      <c r="G7" s="2637"/>
      <c r="H7" s="2637"/>
      <c r="I7" s="2638" t="s">
        <v>974</v>
      </c>
      <c r="J7" s="2638"/>
      <c r="K7" s="2638"/>
    </row>
    <row r="8" spans="1:13" ht="23.25" customHeight="1">
      <c r="A8" s="2630" t="s">
        <v>975</v>
      </c>
      <c r="B8" s="2630"/>
      <c r="C8" s="2631" t="s">
        <v>930</v>
      </c>
      <c r="D8" s="2631"/>
      <c r="E8" s="2632">
        <f>E7</f>
        <v>722478</v>
      </c>
      <c r="F8" s="2632"/>
      <c r="G8" s="2632"/>
      <c r="H8" s="2632"/>
      <c r="I8" s="2633"/>
      <c r="J8" s="2633"/>
      <c r="K8" s="2633"/>
    </row>
    <row r="9" spans="1:13" ht="20.100000000000001" customHeight="1">
      <c r="A9" s="946"/>
      <c r="B9" s="946"/>
      <c r="C9" s="946"/>
    </row>
    <row r="10" spans="1:13" ht="26.1" hidden="1" customHeight="1">
      <c r="A10" s="2531" t="s">
        <v>931</v>
      </c>
      <c r="B10" s="2531"/>
      <c r="C10" s="2531"/>
      <c r="D10" s="2531"/>
      <c r="E10" s="2531"/>
      <c r="F10" s="2531"/>
      <c r="G10" s="2531"/>
      <c r="H10" s="2531"/>
      <c r="I10" s="2531"/>
      <c r="J10" s="2531"/>
      <c r="K10" s="2531"/>
    </row>
    <row r="11" spans="1:13" ht="15" hidden="1" customHeight="1">
      <c r="A11" s="946"/>
      <c r="B11" s="946"/>
      <c r="C11" s="946"/>
      <c r="G11" s="695"/>
    </row>
    <row r="12" spans="1:13" s="950" customFormat="1" ht="23.25" hidden="1" customHeight="1">
      <c r="A12" s="2414" t="s">
        <v>932</v>
      </c>
      <c r="B12" s="2414"/>
      <c r="C12" s="2438" t="s">
        <v>933</v>
      </c>
      <c r="D12" s="2438"/>
      <c r="E12" s="2526" t="s">
        <v>934</v>
      </c>
      <c r="F12" s="2526"/>
      <c r="G12" s="2526"/>
      <c r="H12" s="2526"/>
      <c r="I12" s="2527" t="s">
        <v>935</v>
      </c>
      <c r="J12" s="2527"/>
      <c r="K12" s="2527"/>
      <c r="L12" s="949"/>
      <c r="M12" s="949"/>
    </row>
    <row r="13" spans="1:13" s="950" customFormat="1" ht="15" hidden="1" customHeight="1">
      <c r="A13" s="962"/>
      <c r="B13" s="963"/>
      <c r="C13" s="2528" t="s">
        <v>551</v>
      </c>
      <c r="D13" s="2528"/>
      <c r="E13" s="2529" t="s">
        <v>936</v>
      </c>
      <c r="F13" s="2529"/>
      <c r="G13" s="2529"/>
      <c r="H13" s="2529"/>
      <c r="I13" s="2530" t="s">
        <v>937</v>
      </c>
      <c r="J13" s="2530"/>
      <c r="K13" s="2530"/>
      <c r="L13" s="949"/>
      <c r="M13" s="949"/>
    </row>
    <row r="14" spans="1:13" s="965" customFormat="1" ht="23.25" hidden="1" customHeight="1">
      <c r="A14" s="2522" t="s">
        <v>938</v>
      </c>
      <c r="B14" s="2522"/>
      <c r="C14" s="2629"/>
      <c r="D14" s="2629"/>
      <c r="E14" s="2540"/>
      <c r="F14" s="2540"/>
      <c r="G14" s="2540"/>
      <c r="H14" s="2540"/>
      <c r="I14" s="2536"/>
      <c r="J14" s="2536"/>
      <c r="K14" s="2536"/>
      <c r="L14" s="964"/>
      <c r="M14" s="964"/>
    </row>
    <row r="15" spans="1:13" s="965" customFormat="1" ht="23.25" hidden="1" customHeight="1">
      <c r="A15" s="2537" t="s">
        <v>206</v>
      </c>
      <c r="B15" s="2537"/>
      <c r="C15" s="2538">
        <v>0</v>
      </c>
      <c r="D15" s="2539"/>
      <c r="E15" s="2540"/>
      <c r="F15" s="2540"/>
      <c r="G15" s="2540"/>
      <c r="H15" s="2540"/>
      <c r="I15" s="2525"/>
      <c r="J15" s="2525"/>
      <c r="K15" s="2525"/>
      <c r="L15" s="964"/>
      <c r="M15" s="964"/>
    </row>
    <row r="16" spans="1:13" s="950" customFormat="1" ht="23.25" hidden="1" customHeight="1">
      <c r="A16" s="2541" t="s">
        <v>413</v>
      </c>
      <c r="B16" s="2541"/>
      <c r="C16" s="2619">
        <f>SUM(C14:D15)</f>
        <v>0</v>
      </c>
      <c r="D16" s="2619"/>
      <c r="E16" s="2516" t="s">
        <v>939</v>
      </c>
      <c r="F16" s="2516"/>
      <c r="G16" s="2516"/>
      <c r="H16" s="2516"/>
      <c r="I16" s="2517" t="s">
        <v>940</v>
      </c>
      <c r="J16" s="2517"/>
      <c r="K16" s="2517"/>
      <c r="L16" s="949"/>
      <c r="M16" s="949"/>
    </row>
    <row r="17" spans="1:13" s="950" customFormat="1" ht="22.5" customHeight="1">
      <c r="A17" s="1166"/>
      <c r="B17" s="1166"/>
      <c r="C17" s="1167"/>
      <c r="D17" s="1168"/>
      <c r="E17" s="1169"/>
      <c r="F17" s="1169"/>
      <c r="G17" s="1169"/>
      <c r="H17" s="1169"/>
      <c r="I17" s="1170"/>
      <c r="J17" s="1170"/>
      <c r="K17" s="1170"/>
      <c r="L17" s="949"/>
      <c r="M17" s="949"/>
    </row>
    <row r="18" spans="1:13" ht="26.1" customHeight="1">
      <c r="A18" s="2531" t="s">
        <v>966</v>
      </c>
      <c r="B18" s="2531"/>
      <c r="C18" s="2531"/>
      <c r="D18" s="2531"/>
      <c r="E18" s="2531"/>
      <c r="F18" s="2531"/>
      <c r="G18" s="2531"/>
      <c r="H18" s="2531"/>
      <c r="I18" s="2531"/>
      <c r="J18" s="2531"/>
      <c r="K18" s="2531"/>
    </row>
    <row r="19" spans="1:13" ht="15" customHeight="1">
      <c r="A19" s="946"/>
      <c r="B19" s="946"/>
      <c r="C19" s="946"/>
      <c r="G19" s="695"/>
    </row>
    <row r="20" spans="1:13" ht="23.25" customHeight="1">
      <c r="A20" s="2622" t="s">
        <v>932</v>
      </c>
      <c r="B20" s="2622"/>
      <c r="C20" s="2623" t="s">
        <v>933</v>
      </c>
      <c r="D20" s="2623"/>
      <c r="E20" s="2624" t="s">
        <v>934</v>
      </c>
      <c r="F20" s="2624"/>
      <c r="G20" s="2624"/>
      <c r="H20" s="2624"/>
      <c r="I20" s="2625" t="s">
        <v>935</v>
      </c>
      <c r="J20" s="2625"/>
      <c r="K20" s="2625"/>
    </row>
    <row r="21" spans="1:13" ht="15" customHeight="1">
      <c r="A21" s="1171"/>
      <c r="B21" s="1172"/>
      <c r="C21" s="2626" t="s">
        <v>551</v>
      </c>
      <c r="D21" s="2626"/>
      <c r="E21" s="2627" t="s">
        <v>936</v>
      </c>
      <c r="F21" s="2627"/>
      <c r="G21" s="2627"/>
      <c r="H21" s="2627"/>
      <c r="I21" s="2628" t="s">
        <v>937</v>
      </c>
      <c r="J21" s="2628"/>
      <c r="K21" s="2628"/>
    </row>
    <row r="22" spans="1:13" s="1053" customFormat="1" ht="23.25" customHeight="1">
      <c r="A22" s="2613" t="s">
        <v>207</v>
      </c>
      <c r="B22" s="2613"/>
      <c r="C22" s="2614">
        <v>722478</v>
      </c>
      <c r="D22" s="2615"/>
      <c r="E22" s="2616" t="s">
        <v>857</v>
      </c>
      <c r="F22" s="2616"/>
      <c r="G22" s="2616"/>
      <c r="H22" s="2616"/>
      <c r="I22" s="2617"/>
      <c r="J22" s="2617"/>
      <c r="K22" s="2617"/>
      <c r="L22" s="1063"/>
      <c r="M22" s="1063"/>
    </row>
    <row r="23" spans="1:13" ht="23.25" customHeight="1">
      <c r="A23" s="2618" t="s">
        <v>942</v>
      </c>
      <c r="B23" s="2618"/>
      <c r="C23" s="2619">
        <f>SUM(C22:D22)</f>
        <v>722478</v>
      </c>
      <c r="D23" s="2619"/>
      <c r="E23" s="2620" t="s">
        <v>939</v>
      </c>
      <c r="F23" s="2620"/>
      <c r="G23" s="2620"/>
      <c r="H23" s="2620"/>
      <c r="I23" s="2621" t="s">
        <v>940</v>
      </c>
      <c r="J23" s="2621"/>
      <c r="K23" s="2621"/>
    </row>
    <row r="24" spans="1:13" ht="20.100000000000001" customHeight="1">
      <c r="A24" s="946"/>
      <c r="B24" s="946"/>
      <c r="C24" s="946"/>
    </row>
    <row r="25" spans="1:13" ht="20.100000000000001" customHeight="1">
      <c r="A25" s="946"/>
      <c r="B25" s="946"/>
      <c r="C25" s="946"/>
    </row>
    <row r="26" spans="1:13" ht="26.1" customHeight="1">
      <c r="A26" s="2554"/>
      <c r="B26" s="2554"/>
      <c r="C26" s="2611"/>
      <c r="D26" s="2611"/>
      <c r="E26" s="2612"/>
      <c r="F26" s="2612"/>
      <c r="G26" s="2612"/>
      <c r="H26" s="2612"/>
      <c r="I26" s="2571"/>
      <c r="J26" s="2571"/>
      <c r="K26" s="2571"/>
    </row>
    <row r="27" spans="1:13" s="1053" customFormat="1" ht="26.1" customHeight="1">
      <c r="A27" s="893"/>
      <c r="B27" s="893"/>
      <c r="C27" s="893"/>
      <c r="D27" s="893"/>
      <c r="E27" s="893"/>
      <c r="F27" s="893"/>
      <c r="G27" s="893"/>
      <c r="H27" s="893"/>
      <c r="I27" s="893"/>
      <c r="J27" s="893"/>
      <c r="K27" s="893"/>
      <c r="L27" s="1063"/>
      <c r="M27" s="1063"/>
    </row>
    <row r="28" spans="1:13" s="1053" customFormat="1" ht="24.9" customHeight="1">
      <c r="A28" s="893"/>
      <c r="B28" s="893"/>
      <c r="C28" s="893"/>
      <c r="D28" s="893"/>
      <c r="E28" s="893"/>
      <c r="F28" s="893"/>
      <c r="G28" s="893"/>
      <c r="H28" s="893"/>
      <c r="I28" s="893"/>
      <c r="J28" s="893"/>
      <c r="K28" s="893"/>
      <c r="L28" s="1063"/>
      <c r="M28" s="1063"/>
    </row>
    <row r="29" spans="1:13" s="1053" customFormat="1" ht="15" customHeight="1">
      <c r="A29" s="893"/>
      <c r="B29" s="893"/>
      <c r="C29" s="893"/>
      <c r="D29" s="893"/>
      <c r="E29" s="893"/>
      <c r="F29" s="893"/>
      <c r="G29" s="893"/>
      <c r="H29" s="893"/>
      <c r="I29" s="893"/>
      <c r="J29" s="893"/>
      <c r="K29" s="893"/>
      <c r="L29" s="1063"/>
      <c r="M29" s="1063"/>
    </row>
    <row r="47" ht="22.5" customHeight="1"/>
    <row r="50" ht="45.3" customHeight="1"/>
    <row r="53" ht="13.5" customHeight="1"/>
    <row r="55" ht="22.5" customHeight="1"/>
    <row r="64" ht="45.3" customHeight="1"/>
    <row r="78" ht="45.3" customHeight="1"/>
    <row r="92" ht="38.25" customHeight="1"/>
    <row r="106" spans="1:3" ht="38.25" customHeight="1">
      <c r="A106" s="946"/>
      <c r="B106" s="946"/>
      <c r="C106"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55">
    <mergeCell ref="A1:K1"/>
    <mergeCell ref="A3:K3"/>
    <mergeCell ref="A5:B5"/>
    <mergeCell ref="C5:D5"/>
    <mergeCell ref="E5:H5"/>
    <mergeCell ref="I5:K5"/>
    <mergeCell ref="E6:H6"/>
    <mergeCell ref="A7:B7"/>
    <mergeCell ref="C7:D7"/>
    <mergeCell ref="E7:H7"/>
    <mergeCell ref="I7:K7"/>
    <mergeCell ref="A8:B8"/>
    <mergeCell ref="C8:D8"/>
    <mergeCell ref="E8:H8"/>
    <mergeCell ref="I8:K8"/>
    <mergeCell ref="A10:K10"/>
    <mergeCell ref="A12:B12"/>
    <mergeCell ref="C12:D12"/>
    <mergeCell ref="E12:H12"/>
    <mergeCell ref="I12:K12"/>
    <mergeCell ref="C13:D13"/>
    <mergeCell ref="E13:H13"/>
    <mergeCell ref="I13:K13"/>
    <mergeCell ref="A14:B14"/>
    <mergeCell ref="C14:D14"/>
    <mergeCell ref="E14:H14"/>
    <mergeCell ref="I14:K14"/>
    <mergeCell ref="A15:B15"/>
    <mergeCell ref="C15:D15"/>
    <mergeCell ref="E15:H15"/>
    <mergeCell ref="I15:K15"/>
    <mergeCell ref="A16:B16"/>
    <mergeCell ref="C16:D16"/>
    <mergeCell ref="E16:H16"/>
    <mergeCell ref="I16:K16"/>
    <mergeCell ref="A18:K18"/>
    <mergeCell ref="A20:B20"/>
    <mergeCell ref="C20:D20"/>
    <mergeCell ref="E20:H20"/>
    <mergeCell ref="I20:K20"/>
    <mergeCell ref="C21:D21"/>
    <mergeCell ref="E21:H21"/>
    <mergeCell ref="I21:K21"/>
    <mergeCell ref="A26:B26"/>
    <mergeCell ref="C26:D26"/>
    <mergeCell ref="E26:H26"/>
    <mergeCell ref="I26:K26"/>
    <mergeCell ref="A22:B22"/>
    <mergeCell ref="C22:D22"/>
    <mergeCell ref="E22:H22"/>
    <mergeCell ref="I22:K22"/>
    <mergeCell ref="A23:B23"/>
    <mergeCell ref="C23:D23"/>
    <mergeCell ref="E23:H23"/>
    <mergeCell ref="I23:K23"/>
  </mergeCells>
  <phoneticPr fontId="155"/>
  <conditionalFormatting sqref="C15 C22 E7">
    <cfRule type="expression" dxfId="6" priority="1">
      <formula>AND(入力色表示=1,NOT(_xlfn.ISFORMULA(C15)))</formula>
    </cfRule>
  </conditionalFormatting>
  <dataValidations count="3">
    <dataValidation allowBlank="1" showInputMessage="1" promptTitle="手入力セル" prompt="反映先：経過的_預金・立替・未収 C16&#10;他の帳票：経過的_貸借・損益" sqref="C15"/>
    <dataValidation allowBlank="1" showInputMessage="1" promptTitle="手入力セル" prompt="反映先：経過的_預金・立替・未収 C23、経過的_決算精算表 B16&#10;他の帳票：経過的_貸借・損益、経過的_決算精算表" sqref="C22"/>
    <dataValidation allowBlank="1" showInputMessage="1" promptTitle="手入力セル" prompt="反映先：経過的_預金・立替・未収 E8&#10;他の帳票：経過的_貸借・損益、経過的_決算精算表" sqref="E7"/>
  </dataValidations>
  <pageMargins left="0.78749999999999998" right="0.59027777777777801" top="0.78749999999999998" bottom="0.78749999999999998" header="0.511811023622047" footer="0.51180555555555596"/>
  <pageSetup paperSize="9" firstPageNumber="40" orientation="portrait" useFirstPageNumber="1" horizontalDpi="300" verticalDpi="300"/>
  <headerFooter>
    <oddFooter>&amp;C&amp;"ＭＳ Ｐ明朝,Regular"&amp;9-　&amp;P　-</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88DC8-1508-4B06-AD89-5D3EB61C07AE}">
  <sheetPr codeName="Sheet34"/>
  <dimension ref="A1:I188"/>
  <sheetViews>
    <sheetView zoomScaleNormal="100" zoomScalePageLayoutView="60" workbookViewId="0">
      <selection activeCell="A22" sqref="A22:G22"/>
    </sheetView>
  </sheetViews>
  <sheetFormatPr defaultColWidth="9" defaultRowHeight="13.2"/>
  <cols>
    <col min="1" max="2" width="12.44140625" style="838" customWidth="1"/>
    <col min="3" max="3" width="11.6640625" style="838" customWidth="1"/>
    <col min="4" max="4" width="15.6640625" style="838" customWidth="1"/>
    <col min="5" max="5" width="11.6640625" style="838" customWidth="1"/>
    <col min="6"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976</v>
      </c>
      <c r="B6" s="2563"/>
      <c r="C6" s="2563"/>
      <c r="D6" s="2563"/>
      <c r="E6" s="2563"/>
      <c r="F6" s="2563"/>
      <c r="G6" s="2563"/>
      <c r="H6" s="973"/>
    </row>
    <row r="7" spans="1:8" ht="12.75" customHeight="1">
      <c r="A7" s="2641"/>
      <c r="B7" s="2641"/>
      <c r="C7" s="2641"/>
      <c r="D7" s="2641"/>
      <c r="E7" s="2641"/>
      <c r="F7" s="2641"/>
      <c r="G7" s="2641"/>
      <c r="H7" s="973"/>
    </row>
    <row r="8" spans="1:8" ht="18.75" customHeight="1">
      <c r="A8" s="2565" t="str">
        <f>"令和"&amp;IF((入力ガイド!$C$6)&gt;=10,MID("０１２３４５６７８９",INT((入力ガイド!$C$6)/10)+1,1),"")&amp;MID("０１２３４５６７８９",MOD((入力ガイド!$C$6),10)+1,1)&amp;"年度"&amp;"分"</f>
        <v>令和７年度分</v>
      </c>
      <c r="B8" s="2565"/>
      <c r="C8" s="2565"/>
      <c r="D8" s="2565"/>
      <c r="E8" s="2565"/>
      <c r="F8" s="2565"/>
      <c r="G8" s="2565"/>
      <c r="H8" s="996"/>
    </row>
    <row r="9" spans="1:8" ht="18.75" customHeight="1">
      <c r="A9" s="2558" t="s">
        <v>949</v>
      </c>
      <c r="B9" s="2558"/>
      <c r="C9" s="2558"/>
      <c r="D9" s="2640" t="s">
        <v>950</v>
      </c>
      <c r="E9" s="2560" t="s">
        <v>951</v>
      </c>
      <c r="F9" s="2560"/>
      <c r="G9" s="2560"/>
      <c r="H9" s="973"/>
    </row>
    <row r="10" spans="1:8" ht="18.75" customHeight="1">
      <c r="A10" s="1173" t="s">
        <v>892</v>
      </c>
      <c r="B10" s="1174" t="s">
        <v>970</v>
      </c>
      <c r="C10" s="1175" t="s">
        <v>894</v>
      </c>
      <c r="D10" s="2640"/>
      <c r="E10" s="1176" t="s">
        <v>955</v>
      </c>
      <c r="F10" s="1177" t="s">
        <v>970</v>
      </c>
      <c r="G10" s="1178" t="s">
        <v>971</v>
      </c>
      <c r="H10" s="975"/>
    </row>
    <row r="11" spans="1:8" ht="11.25" customHeight="1">
      <c r="A11" s="1110" t="s">
        <v>551</v>
      </c>
      <c r="B11" s="1179" t="s">
        <v>551</v>
      </c>
      <c r="C11" s="1112" t="s">
        <v>551</v>
      </c>
      <c r="D11" s="1180"/>
      <c r="E11" s="1113" t="s">
        <v>551</v>
      </c>
      <c r="F11" s="1181" t="s">
        <v>551</v>
      </c>
      <c r="G11" s="1182" t="s">
        <v>551</v>
      </c>
      <c r="H11" s="973"/>
    </row>
    <row r="12" spans="1:8" ht="18.600000000000001" customHeight="1">
      <c r="A12" s="989">
        <f>C12+B12</f>
        <v>722478</v>
      </c>
      <c r="B12" s="1183"/>
      <c r="C12" s="1115">
        <f>経過的_貸借・損益!E8</f>
        <v>722478</v>
      </c>
      <c r="D12" s="992" t="s">
        <v>194</v>
      </c>
      <c r="E12" s="1184"/>
      <c r="F12" s="1185"/>
      <c r="G12" s="1186"/>
      <c r="H12" s="996"/>
    </row>
    <row r="13" spans="1:8" ht="18.600000000000001" customHeight="1">
      <c r="A13" s="1187"/>
      <c r="B13" s="1188"/>
      <c r="C13" s="1189"/>
      <c r="D13" s="974" t="s">
        <v>898</v>
      </c>
      <c r="E13" s="1190"/>
      <c r="F13" s="998"/>
      <c r="G13" s="1191"/>
      <c r="H13" s="975"/>
    </row>
    <row r="14" spans="1:8" ht="18.600000000000001" customHeight="1">
      <c r="A14" s="1192"/>
      <c r="B14" s="1193"/>
      <c r="C14" s="1130"/>
      <c r="D14" s="1116" t="s">
        <v>899</v>
      </c>
      <c r="E14" s="1194" t="s">
        <v>957</v>
      </c>
      <c r="F14" s="1195">
        <f>経過的_貸借・損益!L8</f>
        <v>722478</v>
      </c>
      <c r="G14" s="1196">
        <f>SUM(E14:F14)</f>
        <v>722478</v>
      </c>
      <c r="H14" s="973"/>
    </row>
    <row r="15" spans="1:8" ht="18.600000000000001" customHeight="1">
      <c r="A15" s="1016">
        <f>SUM(A12:A14)</f>
        <v>722478</v>
      </c>
      <c r="B15" s="1197">
        <f>SUM(B12:B14)</f>
        <v>0</v>
      </c>
      <c r="C15" s="1198">
        <f>SUM(C12:C14)</f>
        <v>722478</v>
      </c>
      <c r="D15" s="1199" t="s">
        <v>977</v>
      </c>
      <c r="E15" s="1137">
        <f>SUM(E12:E14)</f>
        <v>0</v>
      </c>
      <c r="F15" s="1200">
        <f>SUM(F12:F14)</f>
        <v>722478</v>
      </c>
      <c r="G15" s="1201">
        <f>SUM(G12:G14)</f>
        <v>722478</v>
      </c>
      <c r="H15" s="972"/>
    </row>
    <row r="16" spans="1:8" ht="18.600000000000001" customHeight="1">
      <c r="A16" s="1139">
        <f>C16+B16</f>
        <v>85620216</v>
      </c>
      <c r="B16" s="1202">
        <f>経過的_預金・立替・未収!C22</f>
        <v>722478</v>
      </c>
      <c r="C16" s="1688">
        <v>84897738</v>
      </c>
      <c r="D16" s="1141" t="s">
        <v>594</v>
      </c>
      <c r="E16" s="1142"/>
      <c r="F16" s="1203"/>
      <c r="G16" s="1204"/>
      <c r="H16" s="1205"/>
    </row>
    <row r="17" spans="1:8" ht="18.600000000000001" customHeight="1">
      <c r="A17" s="1192"/>
      <c r="B17" s="1206"/>
      <c r="C17" s="1151"/>
      <c r="D17" s="1147" t="s">
        <v>125</v>
      </c>
      <c r="E17" s="1152">
        <f>報告_経過的長期P16!W25</f>
        <v>85620216</v>
      </c>
      <c r="F17" s="1207"/>
      <c r="G17" s="1154">
        <f>SUM(E17:F17)</f>
        <v>85620216</v>
      </c>
      <c r="H17" s="1051"/>
    </row>
    <row r="18" spans="1:8" ht="18.600000000000001" customHeight="1">
      <c r="A18" s="1016">
        <f>SUM(A16:A17)</f>
        <v>85620216</v>
      </c>
      <c r="B18" s="1208">
        <f>SUM(B16:B17)</f>
        <v>722478</v>
      </c>
      <c r="C18" s="1155">
        <f>SUM(C16:C17)</f>
        <v>84897738</v>
      </c>
      <c r="D18" s="1209" t="s">
        <v>978</v>
      </c>
      <c r="E18" s="1157">
        <f>SUM(E16:E17)</f>
        <v>85620216</v>
      </c>
      <c r="F18" s="1047">
        <f>SUM(F16:F17)</f>
        <v>0</v>
      </c>
      <c r="G18" s="1138">
        <f>SUM(G16:G17)</f>
        <v>85620216</v>
      </c>
      <c r="H18" s="1023"/>
    </row>
    <row r="19" spans="1:8" ht="18.600000000000001" customHeight="1">
      <c r="A19" s="1016">
        <f>A15+A18</f>
        <v>86342694</v>
      </c>
      <c r="B19" s="1046">
        <f>B15+B18</f>
        <v>722478</v>
      </c>
      <c r="C19" s="1155">
        <f>C15+C18</f>
        <v>85620216</v>
      </c>
      <c r="D19" s="1209" t="s">
        <v>979</v>
      </c>
      <c r="E19" s="1157">
        <f>E15+E18</f>
        <v>85620216</v>
      </c>
      <c r="F19" s="1048">
        <f>F15+F18</f>
        <v>722478</v>
      </c>
      <c r="G19" s="1138">
        <f>G15+G18</f>
        <v>86342694</v>
      </c>
      <c r="H19" s="1023"/>
    </row>
    <row r="20" spans="1:8" ht="47.1" customHeight="1">
      <c r="A20"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　　　　"</f>
        <v>　　　　令和　８年　４月２２日　　　　　　　　　　　　　　出納主任　　  　　村　井　　慶　子　　　　</v>
      </c>
      <c r="B20" s="2556"/>
      <c r="C20" s="2556"/>
      <c r="D20" s="2556"/>
      <c r="E20" s="2556"/>
      <c r="F20" s="2556"/>
      <c r="G20" s="2556"/>
      <c r="H20" s="1050"/>
    </row>
    <row r="21" spans="1:8" ht="17.25" customHeight="1">
      <c r="A21" s="2561" t="s">
        <v>958</v>
      </c>
      <c r="B21" s="2561"/>
      <c r="C21" s="2561"/>
      <c r="D21" s="2561"/>
      <c r="E21" s="2561"/>
      <c r="F21" s="2561"/>
      <c r="G21" s="2561"/>
      <c r="H21" s="973"/>
    </row>
    <row r="22" spans="1:8" ht="35.1" customHeight="1">
      <c r="A22"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f>
        <v>　　　　令和　８年　４月２２日
　　　　　　　　　　    　　　　　　　　　　　　　　　　　出 納 役　　　　　榎　本　　聡　子</v>
      </c>
      <c r="B22" s="2556"/>
      <c r="C22" s="2556"/>
      <c r="D22" s="2556"/>
      <c r="E22" s="2556"/>
      <c r="F22" s="2556"/>
      <c r="G22" s="2556"/>
      <c r="H22" s="973"/>
    </row>
    <row r="23" spans="1:8" ht="6.75" customHeight="1">
      <c r="A23" s="2557" t="s">
        <v>959</v>
      </c>
      <c r="B23" s="2557"/>
      <c r="C23" s="2557"/>
      <c r="D23" s="2557"/>
      <c r="E23" s="2557"/>
      <c r="F23" s="2557"/>
      <c r="G23" s="2557"/>
      <c r="H23" s="1051"/>
    </row>
    <row r="24" spans="1:8" ht="24" customHeight="1">
      <c r="A24" s="970"/>
    </row>
    <row r="25" spans="1:8" ht="24" customHeight="1">
      <c r="A25" s="970"/>
    </row>
    <row r="26" spans="1:8" ht="24" customHeight="1">
      <c r="A26"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2:G22"/>
    <mergeCell ref="A23:G23"/>
    <mergeCell ref="A9:C9"/>
    <mergeCell ref="D9:D10"/>
    <mergeCell ref="E9:G9"/>
    <mergeCell ref="A20:G20"/>
    <mergeCell ref="A21:G21"/>
  </mergeCells>
  <phoneticPr fontId="155"/>
  <conditionalFormatting sqref="C16">
    <cfRule type="expression" dxfId="6" priority="1">
      <formula>AND(入力色表示=1,NOT(_xlfn.ISFORMULA(C16)))</formula>
    </cfRule>
  </conditionalFormatting>
  <dataValidations count="1">
    <dataValidation allowBlank="1" showInputMessage="1" promptTitle="手入力セル" prompt="反映先：経過的_決算精算表 A16,C18&#10;他の帳票：経過的_貸借・損益" sqref="C16"/>
  </dataValidations>
  <pageMargins left="0.78749999999999998" right="0.59027777777777801" top="0.59027777777777801" bottom="0.59027777777777801" header="0.511811023622047" footer="0.51180555555555596"/>
  <pageSetup paperSize="9" firstPageNumber="41" orientation="portrait" useFirstPageNumber="1" horizontalDpi="300" verticalDpi="300"/>
  <headerFooter>
    <oddFooter>&amp;C&amp;"ＭＳ Ｐ明朝,Regular"&amp;9-　&amp;P　-</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DDD05-65CA-458A-9C9D-EEC0A4A9BC02}">
  <sheetPr codeName="Sheet35">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182"/>
      <c r="D13" s="2572"/>
      <c r="E13" s="2572"/>
      <c r="F13" s="2572"/>
      <c r="G13" s="2572"/>
      <c r="H13" s="1182"/>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42" orientation="portrait" useFirstPageNumber="1" horizontalDpi="300" verticalDpi="300"/>
  <headerFooter>
    <oddFooter>&amp;C&amp;"ＭＳ Ｐ明朝,Regular"&amp;9-　&amp;P　-</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76910-9878-436E-84DC-7A8FF1411E7E}">
  <sheetPr codeName="Sheet36">
    <tabColor rgb="FFA6A6A6"/>
  </sheetPr>
  <dimension ref="A1:IW188"/>
  <sheetViews>
    <sheetView topLeftCell="A7" zoomScaleNormal="100" zoomScalePageLayoutView="60" workbookViewId="0">
      <selection sqref="A1:K1"/>
    </sheetView>
  </sheetViews>
  <sheetFormatPr defaultColWidth="9" defaultRowHeight="13.2"/>
  <cols>
    <col min="1" max="2" width="0.6640625" style="838" customWidth="1"/>
    <col min="3" max="3" width="9.6640625" style="838" customWidth="1"/>
    <col min="4" max="4" width="10.21875" style="838" customWidth="1"/>
    <col min="5" max="5" width="12.109375" style="838" customWidth="1"/>
    <col min="6" max="6" width="12.21875" style="838" customWidth="1"/>
    <col min="7" max="9" width="0.6640625" style="838" customWidth="1"/>
    <col min="10" max="10" width="11.109375" style="838" customWidth="1"/>
    <col min="11" max="11" width="10.21875" style="838" customWidth="1"/>
    <col min="12" max="12" width="12.33203125" style="838" customWidth="1"/>
    <col min="13" max="13" width="12.21875" style="838" customWidth="1"/>
    <col min="14" max="14" width="0.44140625" style="838" customWidth="1"/>
    <col min="15" max="15" width="10.21875" style="838" customWidth="1"/>
    <col min="16" max="16" width="10.44140625" style="838" customWidth="1"/>
    <col min="17" max="257" width="9" style="839"/>
  </cols>
  <sheetData>
    <row r="1" spans="1:16" ht="22.5" customHeight="1">
      <c r="B1" s="840"/>
      <c r="C1" s="840"/>
      <c r="E1" s="2644" t="s">
        <v>11</v>
      </c>
      <c r="F1" s="2644"/>
      <c r="G1" s="2644"/>
      <c r="H1" s="2644"/>
      <c r="I1" s="2644"/>
      <c r="J1" s="2644"/>
      <c r="K1" s="2644"/>
      <c r="M1" s="199"/>
    </row>
    <row r="2" spans="1:16" ht="22.5" customHeight="1">
      <c r="B2" s="840"/>
      <c r="C2" s="840"/>
      <c r="F2" s="2645" t="s">
        <v>764</v>
      </c>
      <c r="G2" s="2645"/>
      <c r="H2" s="2645"/>
      <c r="I2" s="2645"/>
      <c r="J2" s="2645"/>
    </row>
    <row r="3" spans="1:16" ht="15.75" customHeight="1">
      <c r="A3" s="841" t="s">
        <v>908</v>
      </c>
      <c r="B3" s="841"/>
      <c r="C3" s="841"/>
      <c r="D3" s="841"/>
      <c r="E3" s="841"/>
      <c r="F3" s="841"/>
      <c r="G3" s="841"/>
      <c r="H3" s="841"/>
      <c r="I3" s="841"/>
      <c r="J3" s="841"/>
      <c r="K3" s="841"/>
      <c r="L3" s="2654" t="str">
        <f>"令和"&amp;IF((入力ガイド!$C$6+1)&gt;=10,MID("０１２３４５６７８９",INT((入力ガイド!$C$6+1)/10)+1,1),"")&amp;MID("０１２３４５６７８９",MOD((入力ガイド!$C$6+1),10)+1,1)&amp;"年３月３１日"&amp;"現在"</f>
        <v>令和８年３月３１日現在</v>
      </c>
      <c r="M3" s="2654"/>
      <c r="N3" s="2654"/>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1072" t="s">
        <v>551</v>
      </c>
      <c r="E5" s="852" t="s">
        <v>551</v>
      </c>
      <c r="F5" s="853" t="s">
        <v>551</v>
      </c>
      <c r="G5" s="854"/>
      <c r="H5" s="2652"/>
      <c r="I5" s="2652"/>
      <c r="J5" s="2652"/>
      <c r="K5" s="1072" t="s">
        <v>551</v>
      </c>
      <c r="L5" s="852" t="s">
        <v>551</v>
      </c>
      <c r="M5" s="853" t="s">
        <v>551</v>
      </c>
      <c r="N5" s="856"/>
      <c r="O5" s="846"/>
      <c r="P5" s="846"/>
    </row>
    <row r="6" spans="1:16" s="847" customFormat="1" ht="17.100000000000001" customHeight="1">
      <c r="A6" s="2642" t="s">
        <v>767</v>
      </c>
      <c r="B6" s="2642"/>
      <c r="C6" s="2642"/>
      <c r="D6" s="870"/>
      <c r="E6" s="861"/>
      <c r="F6" s="859">
        <f>SUM(E8:E9)</f>
        <v>0</v>
      </c>
      <c r="G6" s="860"/>
      <c r="H6" s="2585" t="s">
        <v>776</v>
      </c>
      <c r="I6" s="2585"/>
      <c r="J6" s="2585"/>
      <c r="K6" s="870"/>
      <c r="L6" s="861"/>
      <c r="M6" s="1073">
        <f>SUM(L8:L9)</f>
        <v>0</v>
      </c>
      <c r="N6" s="863"/>
      <c r="O6" s="846"/>
      <c r="P6" s="846"/>
    </row>
    <row r="7" spans="1:16" s="847" customFormat="1" ht="17.100000000000001" customHeight="1">
      <c r="A7" s="2653"/>
      <c r="B7" s="2653"/>
      <c r="C7" s="2653"/>
      <c r="D7" s="857"/>
      <c r="E7" s="861"/>
      <c r="F7" s="866"/>
      <c r="G7" s="860"/>
      <c r="H7" s="2648"/>
      <c r="I7" s="2648"/>
      <c r="J7" s="2648"/>
      <c r="K7" s="870"/>
      <c r="L7" s="861"/>
      <c r="M7" s="866"/>
      <c r="N7" s="863"/>
      <c r="O7" s="846"/>
      <c r="P7" s="846"/>
    </row>
    <row r="8" spans="1:16" s="847" customFormat="1" ht="17.100000000000001" customHeight="1">
      <c r="A8" s="2583" t="s">
        <v>216</v>
      </c>
      <c r="B8" s="2583"/>
      <c r="C8" s="2583"/>
      <c r="D8" s="870"/>
      <c r="E8" s="858">
        <f>預託金_預金・未収・貸付・預託金!F8</f>
        <v>0</v>
      </c>
      <c r="F8" s="866"/>
      <c r="G8" s="860"/>
      <c r="H8" s="2651" t="s">
        <v>215</v>
      </c>
      <c r="I8" s="2651"/>
      <c r="J8" s="2651"/>
      <c r="K8" s="870"/>
      <c r="L8" s="858">
        <f>預託金_預金・未収・貸付・預託金!M29</f>
        <v>0</v>
      </c>
      <c r="M8" s="866"/>
      <c r="N8" s="863"/>
      <c r="O8" s="846"/>
      <c r="P8" s="846"/>
    </row>
    <row r="9" spans="1:16" s="847" customFormat="1" ht="17.100000000000001" customHeight="1">
      <c r="A9" s="2583" t="s">
        <v>774</v>
      </c>
      <c r="B9" s="2583"/>
      <c r="C9" s="2583"/>
      <c r="D9" s="870"/>
      <c r="E9" s="858">
        <f>預託金_預金・未収・貸付・預託金!C15</f>
        <v>0</v>
      </c>
      <c r="F9" s="866"/>
      <c r="G9" s="871"/>
      <c r="H9" s="2580"/>
      <c r="I9" s="2580"/>
      <c r="J9" s="2580"/>
      <c r="K9" s="870"/>
      <c r="L9" s="861"/>
      <c r="M9" s="866"/>
      <c r="N9" s="863"/>
      <c r="O9" s="846"/>
      <c r="P9" s="846"/>
    </row>
    <row r="10" spans="1:16" s="847" customFormat="1" ht="17.100000000000001" customHeight="1">
      <c r="A10" s="2583"/>
      <c r="B10" s="2583"/>
      <c r="C10" s="2583"/>
      <c r="D10" s="870"/>
      <c r="E10" s="861"/>
      <c r="F10" s="873"/>
      <c r="G10" s="871"/>
      <c r="H10" s="2580"/>
      <c r="I10" s="2580"/>
      <c r="J10" s="2580"/>
      <c r="K10" s="1210"/>
      <c r="L10" s="875"/>
      <c r="M10" s="866" t="s">
        <v>913</v>
      </c>
      <c r="N10" s="863"/>
      <c r="O10" s="846"/>
      <c r="P10" s="846"/>
    </row>
    <row r="11" spans="1:16" s="847" customFormat="1" ht="17.100000000000001" customHeight="1">
      <c r="A11" s="2642" t="s">
        <v>980</v>
      </c>
      <c r="B11" s="2642"/>
      <c r="C11" s="2642"/>
      <c r="D11" s="870"/>
      <c r="E11" s="861"/>
      <c r="F11" s="859">
        <f>E12</f>
        <v>0</v>
      </c>
      <c r="G11" s="860"/>
      <c r="H11" s="2648"/>
      <c r="I11" s="2648"/>
      <c r="J11" s="2648"/>
      <c r="K11" s="870"/>
      <c r="L11" s="861"/>
      <c r="M11" s="866"/>
      <c r="N11" s="863"/>
      <c r="O11" s="846"/>
      <c r="P11" s="846"/>
    </row>
    <row r="12" spans="1:16" s="847" customFormat="1" ht="20.100000000000001" customHeight="1">
      <c r="A12" s="2649" t="s">
        <v>981</v>
      </c>
      <c r="B12" s="2649"/>
      <c r="C12" s="2649"/>
      <c r="D12" s="870"/>
      <c r="E12" s="861"/>
      <c r="F12" s="866"/>
      <c r="G12" s="860"/>
      <c r="H12" s="867"/>
      <c r="I12" s="841"/>
      <c r="J12" s="865"/>
      <c r="K12" s="870"/>
      <c r="L12" s="861"/>
      <c r="M12" s="866"/>
      <c r="N12" s="863"/>
      <c r="O12" s="846"/>
      <c r="P12" s="846"/>
    </row>
    <row r="13" spans="1:16" s="847" customFormat="1" ht="20.100000000000001" customHeight="1">
      <c r="A13" s="872"/>
      <c r="B13" s="841"/>
      <c r="C13" s="1211" t="s">
        <v>982</v>
      </c>
      <c r="D13" s="857"/>
      <c r="E13" s="858">
        <f>預託金_預金・未収・貸付・預託金!M22</f>
        <v>0</v>
      </c>
      <c r="F13" s="866"/>
      <c r="G13" s="860"/>
      <c r="H13" s="867"/>
      <c r="I13" s="841"/>
      <c r="J13" s="865"/>
      <c r="K13" s="870"/>
      <c r="L13" s="1212"/>
      <c r="M13" s="866"/>
      <c r="N13" s="863"/>
      <c r="O13" s="846"/>
      <c r="P13" s="846"/>
    </row>
    <row r="14" spans="1:16" s="847" customFormat="1" ht="11.25" customHeight="1">
      <c r="A14" s="2650"/>
      <c r="B14" s="2650"/>
      <c r="C14" s="2650"/>
      <c r="D14" s="1074"/>
      <c r="E14" s="880"/>
      <c r="F14" s="881"/>
      <c r="G14" s="882"/>
      <c r="H14" s="883"/>
      <c r="I14" s="883"/>
      <c r="J14" s="884"/>
      <c r="K14" s="1213"/>
      <c r="L14" s="880"/>
      <c r="M14" s="881"/>
      <c r="N14" s="887"/>
      <c r="O14" s="846"/>
      <c r="P14" s="846"/>
    </row>
    <row r="15" spans="1:16" s="847" customFormat="1" ht="24" customHeight="1">
      <c r="A15" s="2586" t="s">
        <v>914</v>
      </c>
      <c r="B15" s="2586"/>
      <c r="C15" s="2586"/>
      <c r="D15" s="2586"/>
      <c r="E15" s="2586"/>
      <c r="F15" s="890">
        <f>SUM(F6:F13)</f>
        <v>0</v>
      </c>
      <c r="G15" s="889"/>
      <c r="H15" s="2508" t="s">
        <v>983</v>
      </c>
      <c r="I15" s="2508"/>
      <c r="J15" s="2508"/>
      <c r="K15" s="2508"/>
      <c r="L15" s="2508"/>
      <c r="M15" s="1075">
        <f>SUM(M6:M13)</f>
        <v>0</v>
      </c>
      <c r="N15" s="891"/>
      <c r="O15" s="846"/>
      <c r="P15" s="846"/>
    </row>
    <row r="16" spans="1:16" ht="20.100000000000001" customHeight="1">
      <c r="A16" s="892"/>
      <c r="B16" s="892"/>
      <c r="C16" s="892"/>
      <c r="D16" s="892"/>
      <c r="E16" s="892"/>
      <c r="F16" s="892"/>
      <c r="G16" s="892"/>
      <c r="H16" s="892"/>
      <c r="I16" s="892"/>
      <c r="J16" s="892"/>
      <c r="K16" s="892"/>
      <c r="L16" s="892"/>
      <c r="M16" s="892"/>
    </row>
    <row r="17" spans="1:16" ht="35.25" customHeight="1">
      <c r="A17" s="892"/>
      <c r="B17" s="892"/>
      <c r="C17" s="892"/>
      <c r="D17" s="892"/>
      <c r="E17" s="892"/>
      <c r="F17" s="892"/>
      <c r="G17" s="892"/>
      <c r="H17" s="892"/>
      <c r="I17" s="892"/>
      <c r="J17" s="892"/>
      <c r="K17" s="892"/>
      <c r="L17" s="892"/>
      <c r="M17" s="892"/>
    </row>
    <row r="18" spans="1:16" ht="22.5" customHeight="1">
      <c r="B18" s="840"/>
      <c r="C18" s="840"/>
      <c r="E18" s="2644" t="s">
        <v>11</v>
      </c>
      <c r="F18" s="2644"/>
      <c r="G18" s="2644"/>
      <c r="H18" s="2644"/>
      <c r="I18" s="2644"/>
      <c r="J18" s="2644"/>
      <c r="K18" s="2644"/>
    </row>
    <row r="19" spans="1:16" ht="22.5" customHeight="1">
      <c r="B19" s="840"/>
      <c r="C19" s="840"/>
      <c r="E19" s="894"/>
      <c r="F19" s="2645" t="s">
        <v>787</v>
      </c>
      <c r="G19" s="2645"/>
      <c r="H19" s="2645"/>
      <c r="I19" s="2645"/>
      <c r="J19" s="2645"/>
    </row>
    <row r="20" spans="1:16" ht="14.25" customHeight="1">
      <c r="A20" s="895"/>
      <c r="B20" s="896"/>
      <c r="C20" s="896"/>
      <c r="D20" s="896"/>
      <c r="E20" s="896"/>
      <c r="F20" s="896"/>
      <c r="G20" s="896"/>
      <c r="H20" s="896"/>
      <c r="I20" s="896"/>
      <c r="J20" s="896"/>
      <c r="K20" s="896"/>
      <c r="L20" s="2646" t="str">
        <f>"自　"&amp;"令和"&amp;IF((入力ガイド!$C$6)&gt;=10,MID("０１２３４５６７８９",INT((入力ガイド!$C$6)/10)+1,1),"")&amp;MID("０１２３４５６７８９",MOD((入力ガイド!$C$6),10)+1,1)&amp;"年４月　１日"</f>
        <v>自　令和７年４月　１日</v>
      </c>
      <c r="M20" s="2646"/>
      <c r="N20" s="2646"/>
    </row>
    <row r="21" spans="1:16" ht="14.25" customHeight="1">
      <c r="A21" s="841"/>
      <c r="B21" s="897"/>
      <c r="C21" s="897"/>
      <c r="D21" s="897"/>
      <c r="E21" s="897"/>
      <c r="F21" s="897"/>
      <c r="G21" s="897"/>
      <c r="H21" s="897"/>
      <c r="I21" s="897"/>
      <c r="J21" s="897"/>
      <c r="K21" s="897"/>
      <c r="L21" s="2647" t="str">
        <f>"至　"&amp;"令和"&amp;IF((入力ガイド!$C$6+1)&gt;=10,MID("０１２３４５６７８９",INT((入力ガイド!$C$6+1)/10)+1,1),"")&amp;MID("０１２３４５６７８９",MOD((入力ガイド!$C$6+1),10)+1,1)&amp;"年３月３１日"</f>
        <v>至　令和８年３月３１日</v>
      </c>
      <c r="M21" s="2647"/>
      <c r="N21" s="2647"/>
    </row>
    <row r="22" spans="1:16" s="847" customFormat="1" ht="27.9" customHeight="1">
      <c r="A22" s="2502" t="s">
        <v>916</v>
      </c>
      <c r="B22" s="2502"/>
      <c r="C22" s="2502"/>
      <c r="D22" s="2502"/>
      <c r="E22" s="2502"/>
      <c r="F22" s="842" t="s">
        <v>910</v>
      </c>
      <c r="G22" s="843"/>
      <c r="H22" s="2503" t="s">
        <v>917</v>
      </c>
      <c r="I22" s="2503"/>
      <c r="J22" s="2503"/>
      <c r="K22" s="2503"/>
      <c r="L22" s="2503"/>
      <c r="M22" s="842" t="s">
        <v>918</v>
      </c>
      <c r="N22" s="845"/>
      <c r="O22" s="846"/>
      <c r="P22" s="846"/>
    </row>
    <row r="23" spans="1:16" s="847" customFormat="1" ht="10.5" customHeight="1">
      <c r="A23" s="1076"/>
      <c r="B23" s="1077"/>
      <c r="C23" s="1078"/>
      <c r="D23" s="1214" t="s">
        <v>551</v>
      </c>
      <c r="E23" s="1080" t="s">
        <v>551</v>
      </c>
      <c r="F23" s="1081" t="s">
        <v>551</v>
      </c>
      <c r="G23" s="1082"/>
      <c r="H23" s="1077"/>
      <c r="I23" s="1077"/>
      <c r="J23" s="1214"/>
      <c r="K23" s="1079" t="s">
        <v>551</v>
      </c>
      <c r="L23" s="1080" t="s">
        <v>551</v>
      </c>
      <c r="M23" s="1081" t="s">
        <v>551</v>
      </c>
      <c r="N23" s="856"/>
      <c r="O23" s="846"/>
      <c r="P23" s="846"/>
    </row>
    <row r="24" spans="1:16" s="847" customFormat="1" ht="16.5" customHeight="1">
      <c r="A24" s="2642" t="s">
        <v>791</v>
      </c>
      <c r="B24" s="2642"/>
      <c r="C24" s="2642"/>
      <c r="D24" s="870"/>
      <c r="E24" s="861"/>
      <c r="F24" s="1073">
        <f>SUM(E26)</f>
        <v>136059</v>
      </c>
      <c r="G24" s="860"/>
      <c r="H24" s="2585" t="s">
        <v>792</v>
      </c>
      <c r="I24" s="2585"/>
      <c r="J24" s="2585"/>
      <c r="K24" s="857"/>
      <c r="L24" s="861"/>
      <c r="M24" s="1073">
        <f>SUM(L26:L28)</f>
        <v>136059</v>
      </c>
      <c r="N24" s="863"/>
      <c r="O24" s="846"/>
      <c r="P24" s="846"/>
    </row>
    <row r="25" spans="1:16" s="847" customFormat="1" ht="17.100000000000001" customHeight="1">
      <c r="A25" s="2579"/>
      <c r="B25" s="2579"/>
      <c r="C25" s="2579"/>
      <c r="D25" s="857"/>
      <c r="E25" s="861"/>
      <c r="F25" s="866"/>
      <c r="G25" s="871"/>
      <c r="H25" s="2580"/>
      <c r="I25" s="2580"/>
      <c r="J25" s="2580"/>
      <c r="K25" s="857"/>
      <c r="L25" s="861"/>
      <c r="M25" s="866"/>
      <c r="N25" s="863"/>
      <c r="O25" s="846"/>
      <c r="P25" s="846"/>
    </row>
    <row r="26" spans="1:16" s="847" customFormat="1" ht="17.100000000000001" customHeight="1">
      <c r="A26" s="2643" t="s">
        <v>793</v>
      </c>
      <c r="B26" s="2643"/>
      <c r="C26" s="2643"/>
      <c r="D26" s="857"/>
      <c r="E26" s="1085">
        <f>SUM(D27:D28)</f>
        <v>136059</v>
      </c>
      <c r="F26" s="866"/>
      <c r="G26" s="1086"/>
      <c r="H26" s="2582" t="s">
        <v>984</v>
      </c>
      <c r="I26" s="2582"/>
      <c r="J26" s="2582"/>
      <c r="K26" s="857"/>
      <c r="L26" s="1085">
        <f>SUM(K27:K28)</f>
        <v>136059</v>
      </c>
      <c r="M26" s="866"/>
      <c r="N26" s="863"/>
      <c r="O26" s="846"/>
      <c r="P26" s="846"/>
    </row>
    <row r="27" spans="1:16" s="847" customFormat="1" ht="17.100000000000001" customHeight="1">
      <c r="A27" s="872"/>
      <c r="B27" s="841"/>
      <c r="C27" s="1215" t="s">
        <v>174</v>
      </c>
      <c r="D27" s="1216">
        <f>預託金_決算精算表!A17</f>
        <v>136059</v>
      </c>
      <c r="E27" s="861"/>
      <c r="F27" s="866"/>
      <c r="G27" s="1086"/>
      <c r="H27" s="1217"/>
      <c r="I27" s="841"/>
      <c r="J27" s="1215" t="s">
        <v>106</v>
      </c>
      <c r="K27" s="1087">
        <f>預託金_決算精算表!G18</f>
        <v>136059</v>
      </c>
      <c r="L27" s="861"/>
      <c r="M27" s="866"/>
      <c r="N27" s="863"/>
      <c r="O27" s="846"/>
      <c r="P27" s="846"/>
    </row>
    <row r="28" spans="1:16" s="847" customFormat="1" ht="17.100000000000001" customHeight="1">
      <c r="A28" s="1218"/>
      <c r="B28" s="1158"/>
      <c r="C28" s="865"/>
      <c r="D28" s="1210"/>
      <c r="E28" s="861"/>
      <c r="F28" s="866"/>
      <c r="G28" s="1086"/>
      <c r="H28" s="897"/>
      <c r="I28" s="841"/>
      <c r="J28" s="865"/>
      <c r="K28" s="874"/>
      <c r="L28" s="861"/>
      <c r="M28" s="866"/>
      <c r="N28" s="863"/>
      <c r="O28" s="846"/>
      <c r="P28" s="846"/>
    </row>
    <row r="29" spans="1:16" s="847" customFormat="1" ht="11.25" customHeight="1">
      <c r="A29" s="1159"/>
      <c r="B29" s="1160"/>
      <c r="C29" s="1092"/>
      <c r="D29" s="1074"/>
      <c r="E29" s="1088"/>
      <c r="F29" s="1089"/>
      <c r="G29" s="1090"/>
      <c r="H29" s="1091"/>
      <c r="I29" s="1091"/>
      <c r="J29" s="1092"/>
      <c r="K29" s="1093"/>
      <c r="L29" s="1094"/>
      <c r="M29" s="1091"/>
      <c r="N29" s="887"/>
      <c r="O29" s="846"/>
      <c r="P29" s="846"/>
    </row>
    <row r="30" spans="1:16" s="847" customFormat="1" ht="24" customHeight="1">
      <c r="A30" s="2507" t="s">
        <v>920</v>
      </c>
      <c r="B30" s="2507"/>
      <c r="C30" s="2507"/>
      <c r="D30" s="2507"/>
      <c r="E30" s="2507"/>
      <c r="F30" s="888">
        <f>SUM(F24:F29)</f>
        <v>136059</v>
      </c>
      <c r="G30" s="889"/>
      <c r="H30" s="2578" t="s">
        <v>921</v>
      </c>
      <c r="I30" s="2578"/>
      <c r="J30" s="2578"/>
      <c r="K30" s="2578"/>
      <c r="L30" s="2578"/>
      <c r="M30" s="1075">
        <f>SUM(M24:M29)</f>
        <v>136059</v>
      </c>
      <c r="N30" s="891"/>
      <c r="O30" s="846"/>
      <c r="P30" s="846"/>
    </row>
    <row r="31" spans="1:16" ht="24" customHeight="1">
      <c r="A31" s="892"/>
      <c r="B31" s="892"/>
      <c r="C31" s="892"/>
      <c r="D31" s="892"/>
      <c r="E31" s="892"/>
      <c r="F31" s="892"/>
      <c r="G31" s="892"/>
      <c r="H31" s="892"/>
      <c r="I31" s="892"/>
      <c r="J31" s="892"/>
      <c r="K31" s="892"/>
      <c r="L31" s="892"/>
      <c r="M31" s="892"/>
    </row>
    <row r="32" spans="1:16" ht="24" customHeight="1">
      <c r="A32" s="942"/>
      <c r="B32" s="942"/>
      <c r="C32" s="942"/>
    </row>
    <row r="33" spans="1:3" ht="24" customHeight="1">
      <c r="A33" s="942"/>
      <c r="B33" s="942"/>
      <c r="C33"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6">
    <mergeCell ref="E1:K1"/>
    <mergeCell ref="F2:J2"/>
    <mergeCell ref="L3:N3"/>
    <mergeCell ref="A4:E4"/>
    <mergeCell ref="H4:L4"/>
    <mergeCell ref="H5:J5"/>
    <mergeCell ref="A6:C6"/>
    <mergeCell ref="H6:J6"/>
    <mergeCell ref="A7:C7"/>
    <mergeCell ref="H7:J7"/>
    <mergeCell ref="A8:C8"/>
    <mergeCell ref="H8:J8"/>
    <mergeCell ref="A9:C9"/>
    <mergeCell ref="H9:J9"/>
    <mergeCell ref="A10:C10"/>
    <mergeCell ref="H10:J10"/>
    <mergeCell ref="A11:C11"/>
    <mergeCell ref="H11:J11"/>
    <mergeCell ref="A12:C12"/>
    <mergeCell ref="A14:C14"/>
    <mergeCell ref="A15:E15"/>
    <mergeCell ref="H15:L15"/>
    <mergeCell ref="E18:K18"/>
    <mergeCell ref="F19:J19"/>
    <mergeCell ref="L20:N20"/>
    <mergeCell ref="L21:N21"/>
    <mergeCell ref="A22:E22"/>
    <mergeCell ref="H22:L22"/>
    <mergeCell ref="A30:E30"/>
    <mergeCell ref="H30:L30"/>
    <mergeCell ref="A24:C24"/>
    <mergeCell ref="H24:J24"/>
    <mergeCell ref="A25:C25"/>
    <mergeCell ref="H25:J25"/>
    <mergeCell ref="A26:C26"/>
    <mergeCell ref="H26:J26"/>
  </mergeCells>
  <phoneticPr fontId="155"/>
  <pageMargins left="0.74791666666666701" right="0.196527777777778" top="0.78749999999999998" bottom="0.74791666666666701" header="0.511811023622047" footer="0.51180555555555596"/>
  <pageSetup paperSize="9" firstPageNumber="43" orientation="portrait" useFirstPageNumber="1" horizontalDpi="300" verticalDpi="300"/>
  <headerFooter>
    <oddFooter>&amp;C&amp;"ＭＳ Ｐ明朝,Regular"&amp;9-　&amp;P　-</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CD931-D0E0-48DF-ACDC-79B28464A9AC}">
  <sheetPr codeName="Sheet37"/>
  <dimension ref="A1:IW188"/>
  <sheetViews>
    <sheetView topLeftCell="A16" zoomScaleNormal="100" zoomScalePageLayoutView="60" workbookViewId="0">
      <selection sqref="A1:O1"/>
    </sheetView>
  </sheetViews>
  <sheetFormatPr defaultColWidth="9" defaultRowHeight="13.2"/>
  <cols>
    <col min="1" max="1" width="11.44140625" style="893" customWidth="1"/>
    <col min="2" max="2" width="10" style="893" customWidth="1"/>
    <col min="3" max="3" width="2.44140625" style="893" customWidth="1"/>
    <col min="4" max="4" width="12" style="893" customWidth="1"/>
    <col min="5" max="5" width="0.6640625" style="893" customWidth="1"/>
    <col min="6" max="6" width="6.44140625" style="893" customWidth="1"/>
    <col min="7" max="7" width="7.21875" style="893" customWidth="1"/>
    <col min="8" max="8" width="0.6640625" style="893" customWidth="1"/>
    <col min="9" max="9" width="5.77734375" style="893" customWidth="1"/>
    <col min="10" max="10" width="0.6640625" style="893" customWidth="1"/>
    <col min="11" max="11" width="7.33203125" style="893" customWidth="1"/>
    <col min="12" max="12" width="0.6640625" style="893" customWidth="1"/>
    <col min="13" max="13" width="13.109375" style="893" customWidth="1"/>
    <col min="14" max="14" width="0.6640625" style="893" customWidth="1"/>
    <col min="15" max="15" width="6" style="893" customWidth="1"/>
    <col min="16" max="17" width="9" style="893"/>
    <col min="18" max="257" width="9" style="943"/>
  </cols>
  <sheetData>
    <row r="1" spans="1:17" ht="13.5" customHeight="1">
      <c r="A1" s="2554"/>
      <c r="B1" s="2554"/>
      <c r="C1" s="2554"/>
      <c r="D1" s="2554"/>
      <c r="E1" s="2554"/>
      <c r="F1" s="2554"/>
      <c r="G1" s="2554"/>
      <c r="H1" s="2554"/>
      <c r="I1" s="2554"/>
      <c r="J1" s="2554"/>
      <c r="K1" s="2554"/>
      <c r="L1" s="2554"/>
      <c r="M1" s="2554"/>
      <c r="N1" s="2554"/>
      <c r="O1" s="2554"/>
      <c r="P1" s="945"/>
      <c r="Q1" s="945"/>
    </row>
    <row r="2" spans="1:17" ht="20.100000000000001" customHeight="1">
      <c r="A2" s="946"/>
      <c r="B2" s="946"/>
      <c r="C2" s="946"/>
    </row>
    <row r="3" spans="1:17" ht="26.1" customHeight="1">
      <c r="A3" s="2531" t="s">
        <v>922</v>
      </c>
      <c r="B3" s="2531"/>
      <c r="C3" s="2531"/>
      <c r="D3" s="2531"/>
      <c r="E3" s="2531"/>
      <c r="F3" s="2531"/>
      <c r="G3" s="2531"/>
      <c r="H3" s="2531"/>
      <c r="I3" s="2531"/>
      <c r="J3" s="2531"/>
      <c r="K3" s="2531"/>
      <c r="L3" s="2531"/>
      <c r="M3" s="2531"/>
      <c r="N3" s="2531"/>
      <c r="O3" s="2531"/>
    </row>
    <row r="4" spans="1:17" ht="15" customHeight="1">
      <c r="A4" s="946"/>
      <c r="B4" s="946"/>
      <c r="C4" s="946"/>
    </row>
    <row r="5" spans="1:17" s="950" customFormat="1" ht="23.25" customHeight="1">
      <c r="A5" s="2414" t="s">
        <v>836</v>
      </c>
      <c r="B5" s="2414"/>
      <c r="C5" s="2438" t="s">
        <v>923</v>
      </c>
      <c r="D5" s="2438"/>
      <c r="E5" s="2438"/>
      <c r="F5" s="2438" t="s">
        <v>924</v>
      </c>
      <c r="G5" s="2438"/>
      <c r="H5" s="2438"/>
      <c r="I5" s="2438"/>
      <c r="J5" s="2438"/>
      <c r="K5" s="2555" t="s">
        <v>925</v>
      </c>
      <c r="L5" s="2555"/>
      <c r="M5" s="2555"/>
      <c r="N5" s="2555"/>
      <c r="O5" s="2555"/>
      <c r="P5" s="949"/>
      <c r="Q5" s="949"/>
    </row>
    <row r="6" spans="1:17" s="950" customFormat="1" ht="14.25" customHeight="1">
      <c r="A6" s="1095"/>
      <c r="B6" s="1096"/>
      <c r="C6" s="1109"/>
      <c r="D6" s="1219"/>
      <c r="E6" s="1096"/>
      <c r="F6" s="1942" t="s">
        <v>551</v>
      </c>
      <c r="G6" s="1942"/>
      <c r="H6" s="1942"/>
      <c r="I6" s="1942"/>
      <c r="J6" s="1942"/>
      <c r="K6" s="1099"/>
      <c r="L6" s="1099"/>
      <c r="M6" s="1099"/>
      <c r="N6" s="1099"/>
      <c r="O6" s="1100"/>
      <c r="P6" s="949"/>
      <c r="Q6" s="949"/>
    </row>
    <row r="7" spans="1:17" s="950" customFormat="1" ht="23.25" customHeight="1">
      <c r="A7" s="2550" t="s">
        <v>839</v>
      </c>
      <c r="B7" s="2550"/>
      <c r="C7" s="2024" t="s">
        <v>194</v>
      </c>
      <c r="D7" s="2024"/>
      <c r="E7" s="2024"/>
      <c r="F7" s="2551">
        <v>0</v>
      </c>
      <c r="G7" s="2552"/>
      <c r="H7" s="2552"/>
      <c r="I7" s="2552"/>
      <c r="J7" s="2552"/>
      <c r="K7" s="2675" t="s">
        <v>985</v>
      </c>
      <c r="L7" s="2675"/>
      <c r="M7" s="2675"/>
      <c r="N7" s="2675"/>
      <c r="O7" s="2675"/>
      <c r="P7" s="949"/>
      <c r="Q7" s="949"/>
    </row>
    <row r="8" spans="1:17" s="950" customFormat="1" ht="23.25" customHeight="1">
      <c r="A8" s="2588" t="s">
        <v>964</v>
      </c>
      <c r="B8" s="2588"/>
      <c r="C8" s="2545" t="s">
        <v>930</v>
      </c>
      <c r="D8" s="2545"/>
      <c r="E8" s="2545"/>
      <c r="F8" s="2546">
        <f>F7</f>
        <v>0</v>
      </c>
      <c r="G8" s="2546"/>
      <c r="H8" s="2546"/>
      <c r="I8" s="2546"/>
      <c r="J8" s="2546"/>
      <c r="K8" s="2547"/>
      <c r="L8" s="2547"/>
      <c r="M8" s="2547"/>
      <c r="N8" s="2547"/>
      <c r="O8" s="2547"/>
      <c r="P8" s="949"/>
      <c r="Q8" s="949"/>
    </row>
    <row r="9" spans="1:17" ht="20.100000000000001" customHeight="1">
      <c r="A9" s="946"/>
      <c r="B9" s="946"/>
      <c r="C9" s="946"/>
    </row>
    <row r="10" spans="1:17" ht="26.1" customHeight="1">
      <c r="A10" s="2531" t="s">
        <v>986</v>
      </c>
      <c r="B10" s="2531"/>
      <c r="C10" s="2531"/>
      <c r="D10" s="2531"/>
      <c r="E10" s="2531"/>
      <c r="F10" s="2531"/>
      <c r="G10" s="2531"/>
      <c r="H10" s="2531"/>
      <c r="I10" s="2531"/>
      <c r="J10" s="2531"/>
      <c r="K10" s="2531"/>
      <c r="L10" s="2531"/>
      <c r="M10" s="2531"/>
      <c r="N10" s="2531"/>
      <c r="O10" s="2531"/>
    </row>
    <row r="11" spans="1:17" ht="15" customHeight="1">
      <c r="A11" s="946"/>
      <c r="B11" s="946"/>
      <c r="C11" s="946"/>
      <c r="I11" s="695"/>
    </row>
    <row r="12" spans="1:17" s="950" customFormat="1" ht="23.25" customHeight="1">
      <c r="A12" s="2414" t="s">
        <v>932</v>
      </c>
      <c r="B12" s="2414"/>
      <c r="C12" s="2438" t="s">
        <v>933</v>
      </c>
      <c r="D12" s="2438"/>
      <c r="E12" s="2438"/>
      <c r="F12" s="2673" t="s">
        <v>934</v>
      </c>
      <c r="G12" s="2673"/>
      <c r="H12" s="2673"/>
      <c r="I12" s="2673"/>
      <c r="J12" s="2673"/>
      <c r="K12" s="2527" t="s">
        <v>935</v>
      </c>
      <c r="L12" s="2527"/>
      <c r="M12" s="2527"/>
      <c r="N12" s="2527"/>
      <c r="O12" s="2527"/>
      <c r="P12" s="949"/>
      <c r="Q12" s="949"/>
    </row>
    <row r="13" spans="1:17" s="950" customFormat="1" ht="15" customHeight="1">
      <c r="A13" s="962"/>
      <c r="B13" s="963"/>
      <c r="C13" s="2528" t="s">
        <v>551</v>
      </c>
      <c r="D13" s="2528"/>
      <c r="E13" s="2528"/>
      <c r="F13" s="2674" t="s">
        <v>936</v>
      </c>
      <c r="G13" s="2674"/>
      <c r="H13" s="2674"/>
      <c r="I13" s="2674"/>
      <c r="J13" s="2674"/>
      <c r="K13" s="2530" t="s">
        <v>937</v>
      </c>
      <c r="L13" s="2530"/>
      <c r="M13" s="2530"/>
      <c r="N13" s="2530"/>
      <c r="O13" s="2530"/>
      <c r="P13" s="949"/>
      <c r="Q13" s="949"/>
    </row>
    <row r="14" spans="1:17" s="965" customFormat="1" ht="23.25" customHeight="1">
      <c r="A14" s="2522" t="s">
        <v>214</v>
      </c>
      <c r="B14" s="2522"/>
      <c r="C14" s="2668">
        <v>0</v>
      </c>
      <c r="D14" s="2669"/>
      <c r="E14" s="2669"/>
      <c r="F14" s="2670" t="s">
        <v>987</v>
      </c>
      <c r="G14" s="2670"/>
      <c r="H14" s="2670"/>
      <c r="I14" s="2670"/>
      <c r="J14" s="2670"/>
      <c r="K14" s="2525"/>
      <c r="L14" s="2525"/>
      <c r="M14" s="2525"/>
      <c r="N14" s="2525"/>
      <c r="O14" s="2525"/>
      <c r="P14" s="964"/>
      <c r="Q14" s="964"/>
    </row>
    <row r="15" spans="1:17" s="950" customFormat="1" ht="23.25" customHeight="1">
      <c r="A15" s="2404" t="s">
        <v>942</v>
      </c>
      <c r="B15" s="2404"/>
      <c r="C15" s="2671">
        <f>SUM(C14:D14)</f>
        <v>0</v>
      </c>
      <c r="D15" s="2671"/>
      <c r="E15" s="2671"/>
      <c r="F15" s="2672"/>
      <c r="G15" s="2672"/>
      <c r="H15" s="2672"/>
      <c r="I15" s="2672"/>
      <c r="J15" s="2672"/>
      <c r="K15" s="2517" t="s">
        <v>940</v>
      </c>
      <c r="L15" s="2517"/>
      <c r="M15" s="2517"/>
      <c r="N15" s="2517"/>
      <c r="O15" s="2517"/>
      <c r="P15" s="949"/>
      <c r="Q15" s="949"/>
    </row>
    <row r="16" spans="1:17" ht="23.25" customHeight="1">
      <c r="A16" s="944"/>
      <c r="B16" s="944"/>
      <c r="C16" s="1101"/>
      <c r="D16" s="1063"/>
      <c r="E16" s="1064"/>
      <c r="F16" s="1102"/>
      <c r="G16" s="1102"/>
      <c r="H16" s="1064"/>
      <c r="I16" s="1102"/>
      <c r="J16" s="1102"/>
      <c r="K16" s="1064"/>
      <c r="L16" s="1064"/>
      <c r="M16" s="1064"/>
      <c r="N16" s="1064"/>
      <c r="O16" s="1064"/>
    </row>
    <row r="17" spans="1:17" ht="26.1" customHeight="1">
      <c r="A17" s="2531" t="s">
        <v>988</v>
      </c>
      <c r="B17" s="2531"/>
      <c r="C17" s="2531"/>
      <c r="D17" s="2531"/>
      <c r="E17" s="2531"/>
      <c r="F17" s="2531"/>
      <c r="G17" s="2531"/>
      <c r="H17" s="2531"/>
      <c r="I17" s="2531"/>
      <c r="J17" s="2531"/>
      <c r="K17" s="2531"/>
      <c r="L17" s="2531"/>
      <c r="M17" s="2531"/>
      <c r="N17" s="2531"/>
      <c r="O17" s="2531"/>
    </row>
    <row r="18" spans="1:17" ht="15" customHeight="1">
      <c r="A18" s="946"/>
      <c r="B18" s="946"/>
      <c r="C18" s="946"/>
      <c r="I18" s="695"/>
    </row>
    <row r="19" spans="1:17" s="950" customFormat="1" ht="23.25" customHeight="1">
      <c r="A19" s="947" t="s">
        <v>989</v>
      </c>
      <c r="B19" s="1220" t="s">
        <v>990</v>
      </c>
      <c r="C19" s="2665" t="s">
        <v>991</v>
      </c>
      <c r="D19" s="2665"/>
      <c r="E19" s="1221"/>
      <c r="F19" s="2666" t="s">
        <v>875</v>
      </c>
      <c r="G19" s="2666"/>
      <c r="H19" s="1221"/>
      <c r="I19" s="2666" t="s">
        <v>876</v>
      </c>
      <c r="J19" s="2666"/>
      <c r="K19" s="2666"/>
      <c r="L19" s="1221"/>
      <c r="M19" s="1222" t="s">
        <v>992</v>
      </c>
      <c r="N19" s="1221"/>
      <c r="O19" s="948" t="s">
        <v>993</v>
      </c>
      <c r="P19" s="949"/>
      <c r="Q19" s="949"/>
    </row>
    <row r="20" spans="1:17" s="950" customFormat="1" ht="15" customHeight="1">
      <c r="A20" s="1223"/>
      <c r="B20" s="1224"/>
      <c r="C20" s="2662" t="s">
        <v>551</v>
      </c>
      <c r="D20" s="2662"/>
      <c r="E20" s="1224"/>
      <c r="F20" s="2663" t="s">
        <v>551</v>
      </c>
      <c r="G20" s="2663"/>
      <c r="H20" s="1224"/>
      <c r="I20" s="2662" t="s">
        <v>551</v>
      </c>
      <c r="J20" s="2662"/>
      <c r="K20" s="2662"/>
      <c r="L20" s="1224"/>
      <c r="M20" s="2664" t="s">
        <v>551</v>
      </c>
      <c r="N20" s="2664"/>
      <c r="O20" s="1225"/>
      <c r="P20" s="949"/>
      <c r="Q20" s="949"/>
    </row>
    <row r="21" spans="1:17" s="965" customFormat="1" ht="23.25" customHeight="1">
      <c r="A21" s="1226" t="s">
        <v>982</v>
      </c>
      <c r="B21" s="1227" t="s">
        <v>14</v>
      </c>
      <c r="C21" s="2655">
        <f>貸付_入力!C15</f>
        <v>105000000</v>
      </c>
      <c r="D21" s="2655"/>
      <c r="E21" s="1228"/>
      <c r="F21" s="2656">
        <f>貸付_入力!C16</f>
        <v>0</v>
      </c>
      <c r="G21" s="2656"/>
      <c r="H21" s="1229"/>
      <c r="I21" s="2656">
        <f>貸付_入力!C17</f>
        <v>105000000</v>
      </c>
      <c r="J21" s="2656"/>
      <c r="K21" s="2656"/>
      <c r="L21" s="1228"/>
      <c r="M21" s="1167">
        <f>C21-I21+F21</f>
        <v>0</v>
      </c>
      <c r="N21" s="1228"/>
      <c r="O21" s="1230"/>
      <c r="P21" s="964"/>
      <c r="Q21" s="964"/>
    </row>
    <row r="22" spans="1:17" s="950" customFormat="1" ht="23.25" customHeight="1">
      <c r="A22" s="968" t="s">
        <v>942</v>
      </c>
      <c r="B22" s="1231"/>
      <c r="C22" s="2658">
        <f>SUM(C21:D21)</f>
        <v>105000000</v>
      </c>
      <c r="D22" s="2658"/>
      <c r="E22" s="1232"/>
      <c r="F22" s="2667">
        <f>SUM(F21:F21)</f>
        <v>0</v>
      </c>
      <c r="G22" s="2667"/>
      <c r="H22" s="1232"/>
      <c r="I22" s="2660">
        <f>SUM(I21:K21)</f>
        <v>105000000</v>
      </c>
      <c r="J22" s="2660"/>
      <c r="K22" s="2660"/>
      <c r="L22" s="1232"/>
      <c r="M22" s="1233">
        <f>SUM(M21:M21)</f>
        <v>0</v>
      </c>
      <c r="N22" s="1232"/>
      <c r="O22" s="1234"/>
      <c r="P22" s="949"/>
      <c r="Q22" s="949"/>
    </row>
    <row r="23" spans="1:17" ht="23.25" customHeight="1">
      <c r="A23" s="944"/>
      <c r="B23" s="944"/>
      <c r="C23" s="1101"/>
      <c r="D23" s="1063"/>
      <c r="E23" s="1064"/>
      <c r="F23" s="1102"/>
      <c r="G23" s="1102"/>
      <c r="H23" s="1064"/>
      <c r="I23" s="1102"/>
      <c r="J23" s="1102"/>
      <c r="K23" s="1064"/>
      <c r="L23" s="1064"/>
      <c r="M23" s="1064"/>
      <c r="N23" s="1064"/>
      <c r="O23" s="1064"/>
    </row>
    <row r="24" spans="1:17" ht="26.1" customHeight="1">
      <c r="A24" s="2531" t="s">
        <v>994</v>
      </c>
      <c r="B24" s="2531"/>
      <c r="C24" s="2531"/>
      <c r="D24" s="2531"/>
      <c r="E24" s="2531"/>
      <c r="F24" s="2531"/>
      <c r="G24" s="2531"/>
      <c r="H24" s="2531"/>
      <c r="I24" s="2531"/>
      <c r="J24" s="2531"/>
      <c r="K24" s="2531"/>
      <c r="L24" s="2531"/>
      <c r="M24" s="2531"/>
      <c r="N24" s="2531"/>
      <c r="O24" s="2531"/>
    </row>
    <row r="25" spans="1:17" ht="15" customHeight="1">
      <c r="A25" s="946"/>
      <c r="B25" s="946"/>
      <c r="C25" s="946"/>
      <c r="I25" s="695"/>
    </row>
    <row r="26" spans="1:17" s="950" customFormat="1" ht="23.25" customHeight="1">
      <c r="A26" s="2414" t="s">
        <v>995</v>
      </c>
      <c r="B26" s="2414"/>
      <c r="C26" s="2665" t="s">
        <v>991</v>
      </c>
      <c r="D26" s="2665"/>
      <c r="E26" s="1221"/>
      <c r="F26" s="2666" t="s">
        <v>875</v>
      </c>
      <c r="G26" s="2666"/>
      <c r="H26" s="1221"/>
      <c r="I26" s="2666" t="s">
        <v>876</v>
      </c>
      <c r="J26" s="2666"/>
      <c r="K26" s="2666"/>
      <c r="L26" s="1221"/>
      <c r="M26" s="1222" t="s">
        <v>992</v>
      </c>
      <c r="N26" s="1221"/>
      <c r="O26" s="948" t="s">
        <v>993</v>
      </c>
      <c r="P26" s="949"/>
      <c r="Q26" s="949"/>
    </row>
    <row r="27" spans="1:17" s="950" customFormat="1" ht="15" customHeight="1">
      <c r="A27" s="2661"/>
      <c r="B27" s="2661"/>
      <c r="C27" s="2662" t="s">
        <v>551</v>
      </c>
      <c r="D27" s="2662"/>
      <c r="E27" s="1224"/>
      <c r="F27" s="2663" t="s">
        <v>551</v>
      </c>
      <c r="G27" s="2663"/>
      <c r="H27" s="1224"/>
      <c r="I27" s="2662" t="s">
        <v>551</v>
      </c>
      <c r="J27" s="2662"/>
      <c r="K27" s="2662"/>
      <c r="L27" s="1224"/>
      <c r="M27" s="2664" t="s">
        <v>551</v>
      </c>
      <c r="N27" s="2664"/>
      <c r="O27" s="1225"/>
      <c r="P27" s="949"/>
      <c r="Q27" s="949"/>
    </row>
    <row r="28" spans="1:17" s="965" customFormat="1" ht="23.25" customHeight="1">
      <c r="A28" s="2522" t="s">
        <v>215</v>
      </c>
      <c r="B28" s="2522"/>
      <c r="C28" s="2655">
        <f>報告_預託金のカメラ!J12</f>
        <v>126067328</v>
      </c>
      <c r="D28" s="2655"/>
      <c r="E28" s="1235"/>
      <c r="F28" s="2656">
        <f>預託金_決算精算表!A17</f>
        <v>136059</v>
      </c>
      <c r="G28" s="2656"/>
      <c r="H28" s="1236"/>
      <c r="I28" s="2657">
        <v>126203387</v>
      </c>
      <c r="J28" s="2656"/>
      <c r="K28" s="2656"/>
      <c r="L28" s="1237"/>
      <c r="M28" s="1238">
        <f>C28-I28+F28</f>
        <v>0</v>
      </c>
      <c r="N28" s="1228"/>
      <c r="O28" s="1230"/>
      <c r="P28" s="964"/>
      <c r="Q28" s="964"/>
    </row>
    <row r="29" spans="1:17" s="950" customFormat="1" ht="23.25" customHeight="1">
      <c r="A29" s="2404" t="s">
        <v>942</v>
      </c>
      <c r="B29" s="2404"/>
      <c r="C29" s="2658">
        <f>SUM(C28:D28)</f>
        <v>126067328</v>
      </c>
      <c r="D29" s="2658"/>
      <c r="E29" s="1232"/>
      <c r="F29" s="2659">
        <f>SUM(F28:G28)</f>
        <v>136059</v>
      </c>
      <c r="G29" s="2659"/>
      <c r="H29" s="1239"/>
      <c r="I29" s="2660">
        <f>SUM(I28:K28)</f>
        <v>126203387</v>
      </c>
      <c r="J29" s="2660"/>
      <c r="K29" s="2660"/>
      <c r="L29" s="1232"/>
      <c r="M29" s="1233">
        <f>SUM(M28:M28)</f>
        <v>0</v>
      </c>
      <c r="N29" s="1232"/>
      <c r="O29" s="1234"/>
      <c r="P29" s="949"/>
      <c r="Q29" s="949"/>
    </row>
    <row r="30" spans="1:17" ht="23.25" customHeight="1">
      <c r="A30" s="944"/>
      <c r="B30" s="944"/>
      <c r="C30" s="1101"/>
      <c r="D30" s="1063"/>
      <c r="E30" s="1064"/>
      <c r="F30" s="1102"/>
      <c r="G30" s="1102"/>
      <c r="H30" s="1064"/>
      <c r="I30" s="1102"/>
      <c r="J30" s="1102"/>
      <c r="K30" s="1064"/>
      <c r="L30" s="1064"/>
      <c r="M30" s="1064"/>
      <c r="N30" s="1064"/>
      <c r="O30" s="1064"/>
    </row>
    <row r="31" spans="1:17" ht="20.100000000000001" customHeight="1">
      <c r="A31" s="946"/>
      <c r="B31" s="946"/>
      <c r="C31" s="946"/>
    </row>
    <row r="32" spans="1:17" ht="20.100000000000001" customHeight="1">
      <c r="A32" s="946"/>
      <c r="B32" s="946"/>
      <c r="C32" s="946"/>
    </row>
    <row r="33" spans="1:17" ht="26.1" customHeight="1">
      <c r="A33" s="2554"/>
      <c r="B33" s="2554"/>
      <c r="C33" s="2611"/>
      <c r="D33" s="2611"/>
      <c r="E33" s="1063"/>
      <c r="F33" s="2612"/>
      <c r="G33" s="2612"/>
      <c r="H33" s="2612"/>
      <c r="I33" s="2612"/>
      <c r="J33" s="2612"/>
      <c r="K33" s="2571"/>
      <c r="L33" s="2571"/>
      <c r="M33" s="2571"/>
      <c r="N33" s="2571"/>
      <c r="O33" s="2571"/>
    </row>
    <row r="34" spans="1:17" s="1053" customFormat="1" ht="26.1" customHeight="1">
      <c r="A34" s="893"/>
      <c r="B34" s="893"/>
      <c r="C34" s="893"/>
      <c r="D34" s="893"/>
      <c r="E34" s="893"/>
      <c r="F34" s="893"/>
      <c r="G34" s="893"/>
      <c r="H34" s="893"/>
      <c r="I34" s="893"/>
      <c r="J34" s="893"/>
      <c r="K34" s="893"/>
      <c r="L34" s="893"/>
      <c r="M34" s="893"/>
      <c r="N34" s="893"/>
      <c r="O34" s="893"/>
      <c r="P34" s="1063"/>
      <c r="Q34" s="1063"/>
    </row>
    <row r="35" spans="1:17" s="1053" customFormat="1" ht="24.9" customHeight="1">
      <c r="A35" s="893"/>
      <c r="B35" s="893"/>
      <c r="C35" s="893"/>
      <c r="D35" s="893"/>
      <c r="E35" s="893"/>
      <c r="F35" s="893"/>
      <c r="G35" s="893"/>
      <c r="H35" s="893"/>
      <c r="I35" s="893"/>
      <c r="J35" s="893"/>
      <c r="K35" s="893"/>
      <c r="L35" s="893"/>
      <c r="M35" s="893"/>
      <c r="N35" s="893"/>
      <c r="O35" s="893"/>
      <c r="P35" s="1063"/>
      <c r="Q35" s="1063"/>
    </row>
    <row r="36" spans="1:17" s="1053" customFormat="1" ht="15" customHeight="1">
      <c r="A36" s="893"/>
      <c r="B36" s="893"/>
      <c r="C36" s="893"/>
      <c r="D36" s="893"/>
      <c r="E36" s="893"/>
      <c r="F36" s="893"/>
      <c r="G36" s="893"/>
      <c r="H36" s="893"/>
      <c r="I36" s="893"/>
      <c r="J36" s="893"/>
      <c r="K36" s="893"/>
      <c r="L36" s="893"/>
      <c r="M36" s="893"/>
      <c r="N36" s="893"/>
      <c r="O36" s="893"/>
      <c r="P36" s="1063"/>
      <c r="Q36" s="1063"/>
    </row>
    <row r="50" ht="45.3" customHeight="1"/>
    <row r="54" ht="22.5" customHeight="1"/>
    <row r="60" ht="13.5" customHeight="1"/>
    <row r="62" ht="22.5" customHeight="1"/>
    <row r="64" ht="45.3" customHeight="1"/>
    <row r="78" ht="45.3" customHeight="1"/>
    <row r="92" ht="38.25" customHeight="1"/>
    <row r="106" ht="38.25" customHeight="1"/>
    <row r="113" spans="1:3" ht="24" customHeight="1">
      <c r="A113" s="946"/>
      <c r="B113" s="946"/>
      <c r="C113" s="946"/>
    </row>
    <row r="120" spans="1:3"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67">
    <mergeCell ref="A1:O1"/>
    <mergeCell ref="A3:O3"/>
    <mergeCell ref="A5:B5"/>
    <mergeCell ref="C5:E5"/>
    <mergeCell ref="F5:J5"/>
    <mergeCell ref="K5:O5"/>
    <mergeCell ref="F6:J6"/>
    <mergeCell ref="A7:B7"/>
    <mergeCell ref="C7:E7"/>
    <mergeCell ref="F7:J7"/>
    <mergeCell ref="K7:O7"/>
    <mergeCell ref="A8:B8"/>
    <mergeCell ref="C8:E8"/>
    <mergeCell ref="F8:J8"/>
    <mergeCell ref="K8:O8"/>
    <mergeCell ref="A10:O10"/>
    <mergeCell ref="A12:B12"/>
    <mergeCell ref="C12:E12"/>
    <mergeCell ref="F12:J12"/>
    <mergeCell ref="K12:O12"/>
    <mergeCell ref="C13:E13"/>
    <mergeCell ref="F13:J13"/>
    <mergeCell ref="K13:O13"/>
    <mergeCell ref="A14:B14"/>
    <mergeCell ref="C14:E14"/>
    <mergeCell ref="F14:J14"/>
    <mergeCell ref="K14:O14"/>
    <mergeCell ref="A15:B15"/>
    <mergeCell ref="C15:E15"/>
    <mergeCell ref="F15:J15"/>
    <mergeCell ref="K15:O15"/>
    <mergeCell ref="A17:O17"/>
    <mergeCell ref="C19:D19"/>
    <mergeCell ref="F19:G19"/>
    <mergeCell ref="I19:K19"/>
    <mergeCell ref="C20:D20"/>
    <mergeCell ref="F20:G20"/>
    <mergeCell ref="I20:K20"/>
    <mergeCell ref="M20:N20"/>
    <mergeCell ref="C21:D21"/>
    <mergeCell ref="F21:G21"/>
    <mergeCell ref="I21:K21"/>
    <mergeCell ref="C22:D22"/>
    <mergeCell ref="F22:G22"/>
    <mergeCell ref="I22:K22"/>
    <mergeCell ref="A24:O24"/>
    <mergeCell ref="A26:B26"/>
    <mergeCell ref="C26:D26"/>
    <mergeCell ref="F26:G26"/>
    <mergeCell ref="I26:K26"/>
    <mergeCell ref="A27:B27"/>
    <mergeCell ref="C27:D27"/>
    <mergeCell ref="F27:G27"/>
    <mergeCell ref="I27:K27"/>
    <mergeCell ref="M27:N27"/>
    <mergeCell ref="A33:B33"/>
    <mergeCell ref="C33:D33"/>
    <mergeCell ref="F33:J33"/>
    <mergeCell ref="K33:O33"/>
    <mergeCell ref="A28:B28"/>
    <mergeCell ref="C28:D28"/>
    <mergeCell ref="F28:G28"/>
    <mergeCell ref="I28:K28"/>
    <mergeCell ref="A29:B29"/>
    <mergeCell ref="C29:D29"/>
    <mergeCell ref="F29:G29"/>
    <mergeCell ref="I29:K29"/>
  </mergeCells>
  <phoneticPr fontId="155"/>
  <conditionalFormatting sqref="C14 F7 I28">
    <cfRule type="expression" dxfId="6" priority="1">
      <formula>AND(入力色表示=1,NOT(_xlfn.ISFORMULA(C14)))</formula>
    </cfRule>
  </conditionalFormatting>
  <dataValidations count="3">
    <dataValidation allowBlank="1" showInputMessage="1" promptTitle="手入力セル" prompt="反映先：預託金_預金・未収・貸付・預託金 C15&#10;他の帳票：報告_預託金のカメラ、預託金_貸借・損益" sqref="C14"/>
    <dataValidation allowBlank="1" showInputMessage="1" promptTitle="手入力セル" prompt="反映先：預託金_預金・未収・貸付・預託金 F8&#10;他の帳票：報告_預託金のカメラ、預託金_貸借・損益" sqref="F7"/>
    <dataValidation allowBlank="1" showInputMessage="1" promptTitle="手入力セル" prompt="反映先：預託金_預金・未収・貸付・預託金 I29,M28&#10;他の帳票：預託金_貸借・損益" sqref="I28"/>
  </dataValidations>
  <pageMargins left="0.78749999999999998" right="0.59027777777777801" top="0.78749999999999998" bottom="0.78749999999999998" header="0.511811023622047" footer="0.51180555555555596"/>
  <pageSetup paperSize="9" firstPageNumber="44" orientation="portrait" useFirstPageNumber="1" horizontalDpi="300" verticalDpi="300"/>
  <headerFooter>
    <oddFooter>&amp;C&amp;"ＭＳ Ｐ明朝,Regular"&amp;9-　&amp;P　-</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C424A-F750-44D8-B59D-D1F229D228BE}">
  <sheetPr codeName="Sheet38"/>
  <dimension ref="A1:I188"/>
  <sheetViews>
    <sheetView zoomScaleNormal="100" zoomScalePageLayoutView="60" workbookViewId="0">
      <selection sqref="A1:G1"/>
    </sheetView>
  </sheetViews>
  <sheetFormatPr defaultColWidth="9" defaultRowHeight="13.2"/>
  <cols>
    <col min="1" max="1" width="12.44140625" style="838" customWidth="1"/>
    <col min="2" max="2" width="11.88671875" style="838" customWidth="1"/>
    <col min="3" max="3" width="11.6640625" style="838" customWidth="1"/>
    <col min="4" max="4" width="15.6640625" style="838" customWidth="1"/>
    <col min="5" max="5" width="12.109375" style="838" customWidth="1"/>
    <col min="6" max="6" width="12" style="838" customWidth="1"/>
    <col min="7"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996</v>
      </c>
      <c r="B6" s="2563"/>
      <c r="C6" s="2563"/>
      <c r="D6" s="2563"/>
      <c r="E6" s="2563"/>
      <c r="F6" s="2563"/>
      <c r="G6" s="2563"/>
      <c r="H6" s="973"/>
    </row>
    <row r="7" spans="1:8" ht="12.75" customHeight="1">
      <c r="A7" s="2564"/>
      <c r="B7" s="2564"/>
      <c r="C7" s="2564"/>
      <c r="D7" s="2564"/>
      <c r="E7" s="2564"/>
      <c r="F7" s="2564"/>
      <c r="G7" s="2564"/>
      <c r="H7" s="973"/>
    </row>
    <row r="8" spans="1:8" ht="18.75" customHeight="1">
      <c r="A8" s="2676" t="str">
        <f>"令和"&amp;IF((入力ガイド!$C$6)&gt;=10,MID("０１２３４５６７８９",INT((入力ガイド!$C$6)/10)+1,1),"")&amp;MID("０１２３４５６７８９",MOD((入力ガイド!$C$6),10)+1,1)&amp;"年度"&amp;"分"</f>
        <v>令和７年度分</v>
      </c>
      <c r="B8" s="2676"/>
      <c r="C8" s="2676"/>
      <c r="D8" s="2676"/>
      <c r="E8" s="2676"/>
      <c r="F8" s="2676"/>
      <c r="G8" s="2676"/>
      <c r="H8" s="973"/>
    </row>
    <row r="9" spans="1:8" ht="18.75" customHeight="1">
      <c r="A9" s="2558" t="s">
        <v>949</v>
      </c>
      <c r="B9" s="2558"/>
      <c r="C9" s="2558"/>
      <c r="D9" s="2559" t="s">
        <v>950</v>
      </c>
      <c r="E9" s="2560" t="s">
        <v>951</v>
      </c>
      <c r="F9" s="2560"/>
      <c r="G9" s="2560"/>
      <c r="H9" s="988"/>
    </row>
    <row r="10" spans="1:8" ht="18.75" customHeight="1">
      <c r="A10" s="1240" t="s">
        <v>952</v>
      </c>
      <c r="B10" s="977" t="s">
        <v>953</v>
      </c>
      <c r="C10" s="1241" t="s">
        <v>954</v>
      </c>
      <c r="D10" s="2559"/>
      <c r="E10" s="979" t="s">
        <v>955</v>
      </c>
      <c r="F10" s="1242" t="s">
        <v>956</v>
      </c>
      <c r="G10" s="1243" t="s">
        <v>952</v>
      </c>
      <c r="H10" s="975"/>
    </row>
    <row r="11" spans="1:8" ht="11.25" customHeight="1">
      <c r="A11" s="981" t="s">
        <v>551</v>
      </c>
      <c r="B11" s="1111" t="s">
        <v>551</v>
      </c>
      <c r="C11" s="1112" t="s">
        <v>551</v>
      </c>
      <c r="D11" s="984"/>
      <c r="E11" s="1244" t="s">
        <v>551</v>
      </c>
      <c r="F11" s="986" t="s">
        <v>551</v>
      </c>
      <c r="G11" s="1182" t="s">
        <v>551</v>
      </c>
      <c r="H11" s="973"/>
    </row>
    <row r="12" spans="1:8" ht="18.600000000000001" customHeight="1">
      <c r="A12" s="989"/>
      <c r="B12" s="1245"/>
      <c r="C12" s="1115"/>
      <c r="D12" s="992" t="s">
        <v>194</v>
      </c>
      <c r="E12" s="1246"/>
      <c r="F12" s="1247"/>
      <c r="G12" s="1118"/>
      <c r="H12" s="973"/>
    </row>
    <row r="13" spans="1:8" ht="18.600000000000001" customHeight="1">
      <c r="A13" s="997"/>
      <c r="B13" s="1008"/>
      <c r="C13" s="1248"/>
      <c r="D13" s="1116" t="s">
        <v>214</v>
      </c>
      <c r="E13" s="1249"/>
      <c r="F13" s="1001"/>
      <c r="G13" s="1250"/>
      <c r="H13" s="975"/>
    </row>
    <row r="14" spans="1:8" ht="18.600000000000001" customHeight="1">
      <c r="A14" s="1128"/>
      <c r="B14" s="1008"/>
      <c r="C14" s="1251"/>
      <c r="D14" s="1006" t="s">
        <v>982</v>
      </c>
      <c r="E14" s="1252"/>
      <c r="F14" s="1253"/>
      <c r="G14" s="1254"/>
      <c r="H14" s="996"/>
    </row>
    <row r="15" spans="1:8" ht="18.600000000000001" customHeight="1">
      <c r="A15" s="1255">
        <f>MAX(0,C15+B15-E15-F15)</f>
        <v>0</v>
      </c>
      <c r="B15" s="1256"/>
      <c r="C15" s="1690">
        <v>3</v>
      </c>
      <c r="D15" s="1006" t="s">
        <v>215</v>
      </c>
      <c r="E15" s="1257"/>
      <c r="F15" s="1684">
        <v>3</v>
      </c>
      <c r="G15" s="1258">
        <f>MAX(0,E15+F15-C15-B15)</f>
        <v>0</v>
      </c>
      <c r="H15" s="988"/>
    </row>
    <row r="16" spans="1:8" ht="18.600000000000001" customHeight="1">
      <c r="A16" s="1016">
        <f>SUM(A12:A15)</f>
        <v>0</v>
      </c>
      <c r="B16" s="1017">
        <f>SUM(B12:B15)</f>
        <v>0</v>
      </c>
      <c r="C16" s="1259">
        <f>SUM(C12:C15)</f>
        <v>3</v>
      </c>
      <c r="D16" s="1260" t="s">
        <v>977</v>
      </c>
      <c r="E16" s="1020">
        <f>SUM(E12:E15)</f>
        <v>0</v>
      </c>
      <c r="F16" s="1021">
        <f>SUM(F13:F15)</f>
        <v>3</v>
      </c>
      <c r="G16" s="1138">
        <f>SUM(G15:G15)</f>
        <v>0</v>
      </c>
      <c r="H16" s="1023"/>
    </row>
    <row r="17" spans="1:8" ht="18.600000000000001" customHeight="1">
      <c r="A17" s="1128">
        <f>C17+B17</f>
        <v>136059</v>
      </c>
      <c r="B17" s="1691">
        <v>3</v>
      </c>
      <c r="C17" s="1692">
        <v>136056</v>
      </c>
      <c r="D17" s="1025" t="s">
        <v>174</v>
      </c>
      <c r="E17" s="1026"/>
      <c r="F17" s="1261"/>
      <c r="G17" s="1254"/>
      <c r="H17" s="996"/>
    </row>
    <row r="18" spans="1:8" ht="18.600000000000001" customHeight="1">
      <c r="A18" s="1255"/>
      <c r="B18" s="1262"/>
      <c r="C18" s="1263"/>
      <c r="D18" s="1264" t="s">
        <v>106</v>
      </c>
      <c r="E18" s="1265">
        <f>預託金_決算精算表!A17</f>
        <v>136059</v>
      </c>
      <c r="F18" s="1266"/>
      <c r="G18" s="1258">
        <f>SUM(E18:F18)</f>
        <v>136059</v>
      </c>
      <c r="H18" s="988"/>
    </row>
    <row r="19" spans="1:8" ht="18.600000000000001" customHeight="1">
      <c r="A19" s="1016">
        <f>SUM(A17:A18)</f>
        <v>136059</v>
      </c>
      <c r="B19" s="1043">
        <f>SUM(B17:B18)</f>
        <v>3</v>
      </c>
      <c r="C19" s="1155">
        <f>SUM(C17:C18)</f>
        <v>136056</v>
      </c>
      <c r="D19" s="1209" t="s">
        <v>978</v>
      </c>
      <c r="E19" s="1046">
        <f>SUM(E17:E18)</f>
        <v>136059</v>
      </c>
      <c r="F19" s="1047">
        <f>SUM(F17:F18)</f>
        <v>0</v>
      </c>
      <c r="G19" s="1138">
        <f>SUM(G17:G18)</f>
        <v>136059</v>
      </c>
      <c r="H19" s="1023"/>
    </row>
    <row r="20" spans="1:8" ht="18.600000000000001" customHeight="1">
      <c r="A20" s="1016">
        <f>A16+A19</f>
        <v>136059</v>
      </c>
      <c r="B20" s="1048">
        <f>B16+B19</f>
        <v>3</v>
      </c>
      <c r="C20" s="1044">
        <f>C16+C19</f>
        <v>136059</v>
      </c>
      <c r="D20" s="1209" t="s">
        <v>979</v>
      </c>
      <c r="E20" s="1046">
        <f>E16+E19</f>
        <v>136059</v>
      </c>
      <c r="F20" s="1048">
        <f>F16+F19</f>
        <v>3</v>
      </c>
      <c r="G20" s="1138">
        <f>G16+G19</f>
        <v>136059</v>
      </c>
      <c r="H20" s="1023"/>
    </row>
    <row r="21" spans="1:8" ht="47.1" customHeight="1">
      <c r="A21"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　　　　"</f>
        <v>　　　　令和　８年　４月２２日　　　　　　　　　　　　　　出納主任　　  　　村　井　　慶　子　　　　</v>
      </c>
      <c r="B21" s="2556"/>
      <c r="C21" s="2556"/>
      <c r="D21" s="2556"/>
      <c r="E21" s="2556"/>
      <c r="F21" s="2556"/>
      <c r="G21" s="2556"/>
      <c r="H21" s="1050"/>
    </row>
    <row r="22" spans="1:8" ht="17.25" customHeight="1">
      <c r="A22" s="2561" t="s">
        <v>958</v>
      </c>
      <c r="B22" s="2561"/>
      <c r="C22" s="2561"/>
      <c r="D22" s="2561"/>
      <c r="E22" s="2561"/>
      <c r="F22" s="2561"/>
      <c r="G22" s="2561"/>
      <c r="H22" s="973"/>
    </row>
    <row r="23" spans="1:8" ht="35.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f>
        <v>　　　　令和　８年　４月２２日
　　　　　　　　　　    　　　　　　　　　　　　　　　　　出 納 役　　　　　榎　本　　聡　子</v>
      </c>
      <c r="B23" s="2556"/>
      <c r="C23" s="2556"/>
      <c r="D23" s="2556"/>
      <c r="E23" s="2556"/>
      <c r="F23" s="2556"/>
      <c r="G23" s="2556"/>
      <c r="H23" s="973"/>
    </row>
    <row r="24" spans="1:8" ht="6.75" customHeight="1">
      <c r="A24" s="2557" t="s">
        <v>959</v>
      </c>
      <c r="B24" s="2557"/>
      <c r="C24" s="2557"/>
      <c r="D24" s="2557"/>
      <c r="E24" s="2557"/>
      <c r="F24" s="2557"/>
      <c r="G24" s="2557"/>
      <c r="H24" s="1051"/>
    </row>
    <row r="25" spans="1:8" ht="24" customHeight="1">
      <c r="A25" s="970"/>
    </row>
    <row r="26" spans="1:8" ht="24" customHeight="1">
      <c r="A26" s="970"/>
    </row>
    <row r="27" spans="1:8" ht="24" customHeight="1">
      <c r="A27"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3:G23"/>
    <mergeCell ref="A24:G24"/>
    <mergeCell ref="A9:C9"/>
    <mergeCell ref="D9:D10"/>
    <mergeCell ref="E9:G9"/>
    <mergeCell ref="A21:G21"/>
    <mergeCell ref="A22:G22"/>
  </mergeCells>
  <phoneticPr fontId="155"/>
  <conditionalFormatting sqref="B17 C15 C17 F15">
    <cfRule type="expression" dxfId="6" priority="1">
      <formula>AND(入力色表示=1,NOT(_xlfn.ISFORMULA(B17)))</formula>
    </cfRule>
  </conditionalFormatting>
  <dataValidations count="4">
    <dataValidation allowBlank="1" showInputMessage="1" promptTitle="手入力セル" prompt="反映先：預託金_決算精算表 A17,B19&#10;他の帳票：報告_預託金P17、預託金_貸借・損益、預託金_預金・未収・貸付・預託金" sqref="B17"/>
    <dataValidation allowBlank="1" showInputMessage="1" promptTitle="手入力セル" prompt="反映先：預託金_決算精算表 A15,C16,G15&#10;他の帳票：なし" sqref="C15"/>
    <dataValidation allowBlank="1" showInputMessage="1" promptTitle="手入力セル" prompt="反映先：預託金_決算精算表 A17,C19&#10;他の帳票：報告_預託金P17、預託金_貸借・損益、預託金_預金・未収・貸付・預託金" sqref="C17"/>
    <dataValidation allowBlank="1" showInputMessage="1" promptTitle="手入力セル" prompt="反映先：預託金_決算精算表 A15,F16,G15&#10;他の帳票：なし" sqref="F15"/>
  </dataValidations>
  <pageMargins left="0.78749999999999998" right="0.59027777777777801" top="0.59027777777777801" bottom="0.59027777777777801" header="0.511811023622047" footer="0.51180555555555596"/>
  <pageSetup paperSize="9" firstPageNumber="45" orientation="portrait" useFirstPageNumber="1" horizontalDpi="300" verticalDpi="300"/>
  <headerFooter>
    <oddFooter>&amp;C&amp;"ＭＳ Ｐ明朝,Regular"&amp;9-　&amp;P　-</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FA20D-A88E-446B-9C5C-A4DAF2E978A0}">
  <sheetPr codeName="Sheet39">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182"/>
      <c r="D13" s="2572"/>
      <c r="E13" s="2572"/>
      <c r="F13" s="2572"/>
      <c r="G13" s="2572"/>
      <c r="H13" s="1182"/>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46" orientation="portrait" useFirstPageNumber="1" horizontalDpi="300" verticalDpi="300"/>
  <headerFooter>
    <oddFooter>&amp;C&amp;"ＭＳ Ｐ明朝,Regular"&amp;9-　&amp;P　-</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B9BD0-6E20-4ED3-8A25-0A717383629D}">
  <sheetPr codeName="Sheet40">
    <tabColor rgb="FFA6A6A6"/>
  </sheetPr>
  <dimension ref="A1:IW188"/>
  <sheetViews>
    <sheetView topLeftCell="A25" zoomScaleNormal="100" zoomScalePageLayoutView="60" workbookViewId="0">
      <selection sqref="A1:G1"/>
    </sheetView>
  </sheetViews>
  <sheetFormatPr defaultColWidth="11.33203125" defaultRowHeight="13.2"/>
  <cols>
    <col min="1" max="1" width="12" style="1267" customWidth="1"/>
    <col min="2" max="2" width="10.88671875" style="1267" customWidth="1"/>
    <col min="3" max="4" width="11.33203125" style="1267"/>
    <col min="5" max="5" width="12" style="1267" customWidth="1"/>
    <col min="6" max="6" width="10.88671875" style="1267" customWidth="1"/>
    <col min="7" max="257" width="11.33203125" style="1267"/>
  </cols>
  <sheetData>
    <row r="1" spans="1:18" ht="18.75" customHeight="1">
      <c r="B1" s="1268"/>
      <c r="D1" s="2683" t="s">
        <v>12</v>
      </c>
      <c r="E1" s="2683"/>
      <c r="F1" s="1269"/>
      <c r="G1" s="1268"/>
      <c r="H1" s="1268"/>
    </row>
    <row r="2" spans="1:18" ht="18.75" customHeight="1">
      <c r="B2" s="1268"/>
      <c r="D2" s="2684" t="s">
        <v>764</v>
      </c>
      <c r="E2" s="2684"/>
      <c r="F2" s="1269"/>
      <c r="G2" s="1268"/>
      <c r="H2" s="1268"/>
    </row>
    <row r="3" spans="1:18" ht="12" customHeight="1">
      <c r="A3" s="1270"/>
      <c r="B3" s="1270"/>
      <c r="C3" s="1271"/>
      <c r="D3" s="1271"/>
      <c r="E3" s="1270"/>
      <c r="F3" s="1270"/>
      <c r="G3" s="2685" t="str">
        <f>"令和"&amp;IF((入力ガイド!$C$6+1)&gt;=10,MID("０１２３４５６７８９",INT((入力ガイド!$C$6+1)/10)+1,1),"")&amp;MID("０１２３４５６７８９",MOD((入力ガイド!$C$6+1),10)+1,1)&amp;"年３月３１日"&amp;"現在"</f>
        <v>令和８年３月３１日現在</v>
      </c>
      <c r="H3" s="2685"/>
    </row>
    <row r="4" spans="1:18" s="1274" customFormat="1" ht="13.5" customHeight="1">
      <c r="A4" s="2686" t="s">
        <v>765</v>
      </c>
      <c r="B4" s="2686"/>
      <c r="C4" s="2686"/>
      <c r="D4" s="1273" t="s">
        <v>455</v>
      </c>
      <c r="E4" s="2687" t="s">
        <v>766</v>
      </c>
      <c r="F4" s="2687"/>
      <c r="G4" s="2687"/>
      <c r="H4" s="1272" t="s">
        <v>455</v>
      </c>
    </row>
    <row r="5" spans="1:18" ht="10.5" customHeight="1">
      <c r="A5" s="1275"/>
      <c r="B5" s="1276" t="s">
        <v>551</v>
      </c>
      <c r="C5" s="1277" t="s">
        <v>551</v>
      </c>
      <c r="D5" s="1278" t="s">
        <v>551</v>
      </c>
      <c r="E5" s="1279"/>
      <c r="F5" s="1276" t="s">
        <v>551</v>
      </c>
      <c r="G5" s="1277" t="s">
        <v>551</v>
      </c>
      <c r="H5" s="1280" t="s">
        <v>551</v>
      </c>
      <c r="I5" s="1281"/>
      <c r="J5" s="1281"/>
      <c r="K5" s="1281"/>
      <c r="L5" s="1281"/>
      <c r="M5" s="1281"/>
      <c r="N5" s="1281"/>
      <c r="O5" s="1281"/>
      <c r="P5" s="1281"/>
      <c r="Q5" s="1281"/>
      <c r="R5" s="1281"/>
    </row>
    <row r="6" spans="1:18" ht="16.2" customHeight="1">
      <c r="A6" s="1282" t="s">
        <v>767</v>
      </c>
      <c r="B6" s="1283"/>
      <c r="C6" s="1284"/>
      <c r="D6" s="1285">
        <f>SUM(C7:C9)</f>
        <v>84967860</v>
      </c>
      <c r="E6" s="1286" t="s">
        <v>768</v>
      </c>
      <c r="F6" s="1287"/>
      <c r="G6" s="1288"/>
      <c r="H6" s="1289">
        <f>SUM(G7:G10)</f>
        <v>10477829</v>
      </c>
      <c r="I6" s="1281"/>
      <c r="J6" s="1281"/>
      <c r="K6" s="1281"/>
      <c r="L6" s="1281"/>
      <c r="M6" s="1281"/>
      <c r="N6" s="1281"/>
      <c r="O6" s="1281"/>
      <c r="P6" s="1281"/>
      <c r="Q6" s="1281"/>
      <c r="R6" s="1281"/>
    </row>
    <row r="7" spans="1:18" ht="16.2" customHeight="1">
      <c r="A7" s="1290" t="s">
        <v>194</v>
      </c>
      <c r="B7" s="1291"/>
      <c r="C7" s="1292">
        <f>業務_決算精算表!A9</f>
        <v>72939159</v>
      </c>
      <c r="D7" s="1293"/>
      <c r="E7" s="1294" t="s">
        <v>899</v>
      </c>
      <c r="F7" s="1270"/>
      <c r="G7" s="1287">
        <f>業務_決算精算表!G14</f>
        <v>9597685</v>
      </c>
      <c r="H7" s="1295"/>
      <c r="I7" s="1281"/>
      <c r="J7" s="1281"/>
      <c r="K7" s="1281"/>
      <c r="L7" s="1281"/>
      <c r="M7" s="1281"/>
      <c r="N7" s="1281"/>
      <c r="O7" s="1281"/>
      <c r="P7" s="1281"/>
      <c r="Q7" s="1281"/>
      <c r="R7" s="1281"/>
    </row>
    <row r="8" spans="1:18" ht="16.2" customHeight="1">
      <c r="A8" s="1290" t="s">
        <v>217</v>
      </c>
      <c r="B8" s="1291"/>
      <c r="C8" s="1292">
        <f>業務_決算精算表!A10</f>
        <v>194420</v>
      </c>
      <c r="D8" s="1296"/>
      <c r="E8" s="1294" t="s">
        <v>997</v>
      </c>
      <c r="F8" s="1287"/>
      <c r="G8" s="1287">
        <f>業務_決算精算表!G15</f>
        <v>435361</v>
      </c>
      <c r="H8" s="1295"/>
      <c r="I8" s="1281"/>
      <c r="J8" s="1281"/>
      <c r="K8" s="1281"/>
      <c r="L8" s="1281"/>
      <c r="M8" s="1281"/>
      <c r="N8" s="1281"/>
      <c r="O8" s="1281"/>
      <c r="P8" s="1281"/>
      <c r="Q8" s="1281"/>
      <c r="R8" s="1281"/>
    </row>
    <row r="9" spans="1:18" ht="16.2" customHeight="1">
      <c r="A9" s="1290" t="s">
        <v>898</v>
      </c>
      <c r="B9" s="1291"/>
      <c r="C9" s="1292">
        <f>業務_決算精算表!A12</f>
        <v>11834281</v>
      </c>
      <c r="D9" s="1296"/>
      <c r="E9" s="1294" t="s">
        <v>200</v>
      </c>
      <c r="F9" s="1287"/>
      <c r="G9" s="1287">
        <f>業務_決算精算表!G16</f>
        <v>227940</v>
      </c>
      <c r="H9" s="1295"/>
      <c r="I9" s="1281"/>
      <c r="J9" s="1281"/>
      <c r="K9" s="1281"/>
      <c r="L9" s="1281"/>
      <c r="M9" s="1281"/>
      <c r="N9" s="1281"/>
      <c r="O9" s="1281"/>
      <c r="P9" s="1281"/>
      <c r="Q9" s="1281"/>
      <c r="R9" s="1281"/>
    </row>
    <row r="10" spans="1:18" ht="16.2" customHeight="1">
      <c r="A10" s="1297"/>
      <c r="B10" s="1298"/>
      <c r="C10" s="1299"/>
      <c r="D10" s="1296"/>
      <c r="E10" s="1294" t="s">
        <v>221</v>
      </c>
      <c r="F10" s="1287"/>
      <c r="G10" s="1287">
        <f>業務_決算精算表!G17</f>
        <v>216843</v>
      </c>
      <c r="H10" s="1295"/>
      <c r="I10" s="1281"/>
      <c r="J10" s="1281"/>
      <c r="K10" s="1281"/>
      <c r="L10" s="1281"/>
      <c r="M10" s="1281"/>
      <c r="N10" s="1281"/>
      <c r="O10" s="1281"/>
      <c r="P10" s="1281"/>
      <c r="Q10" s="1281"/>
      <c r="R10" s="1281"/>
    </row>
    <row r="11" spans="1:18" ht="9.6" customHeight="1">
      <c r="A11" s="1282"/>
      <c r="B11" s="1287"/>
      <c r="C11" s="1300"/>
      <c r="D11" s="1296"/>
      <c r="E11" s="1294"/>
      <c r="F11" s="1287"/>
      <c r="G11" s="1287"/>
      <c r="H11" s="1295"/>
      <c r="I11" s="1281"/>
      <c r="J11" s="1281"/>
      <c r="K11" s="1281"/>
      <c r="L11" s="1281"/>
      <c r="M11" s="1281"/>
      <c r="N11" s="1281"/>
      <c r="O11" s="1281"/>
      <c r="P11" s="1281"/>
      <c r="Q11" s="1281"/>
      <c r="R11" s="1281"/>
    </row>
    <row r="12" spans="1:18" ht="16.2" customHeight="1">
      <c r="A12" s="1282" t="s">
        <v>980</v>
      </c>
      <c r="B12" s="1287"/>
      <c r="C12" s="1300"/>
      <c r="D12" s="1301">
        <f>SUM(C13)</f>
        <v>207390</v>
      </c>
      <c r="E12" s="1302" t="s">
        <v>777</v>
      </c>
      <c r="F12" s="1287"/>
      <c r="G12" s="1288"/>
      <c r="H12" s="1289">
        <f>SUM(H2:H11)</f>
        <v>10477829</v>
      </c>
      <c r="I12" s="1281"/>
      <c r="J12" s="1281"/>
      <c r="K12" s="1281"/>
      <c r="L12" s="1281"/>
      <c r="M12" s="1281"/>
      <c r="N12" s="1281"/>
      <c r="O12" s="1281"/>
      <c r="P12" s="1281"/>
      <c r="Q12" s="1281"/>
      <c r="R12" s="1281"/>
    </row>
    <row r="13" spans="1:18" ht="16.2" customHeight="1">
      <c r="A13" s="1303" t="s">
        <v>998</v>
      </c>
      <c r="B13" s="1287"/>
      <c r="C13" s="1304">
        <f>SUM(B14)</f>
        <v>207390</v>
      </c>
      <c r="D13" s="1296"/>
      <c r="E13" s="1305"/>
      <c r="F13" s="1287"/>
      <c r="G13" s="1306"/>
      <c r="H13" s="1295"/>
      <c r="I13" s="1281"/>
      <c r="J13" s="1281"/>
      <c r="K13" s="1281"/>
      <c r="L13" s="1281"/>
      <c r="M13" s="1281"/>
      <c r="N13" s="1281"/>
      <c r="O13" s="1281"/>
      <c r="P13" s="1281"/>
      <c r="Q13" s="1281"/>
      <c r="R13" s="1281"/>
    </row>
    <row r="14" spans="1:18" ht="16.2" customHeight="1">
      <c r="A14" s="1290" t="s">
        <v>222</v>
      </c>
      <c r="B14" s="1287">
        <f>業務_決算精算表!A13</f>
        <v>207390</v>
      </c>
      <c r="C14" s="1300"/>
      <c r="D14" s="1296"/>
      <c r="E14" s="1286" t="s">
        <v>778</v>
      </c>
      <c r="F14" s="1287"/>
      <c r="G14" s="1288"/>
      <c r="H14" s="1289">
        <f>SUM(G15:G16)</f>
        <v>74697421</v>
      </c>
      <c r="I14" s="1281"/>
      <c r="J14" s="1281"/>
      <c r="K14" s="1281"/>
      <c r="L14" s="1281"/>
      <c r="M14" s="1281"/>
      <c r="N14" s="1281"/>
      <c r="O14" s="1281"/>
      <c r="P14" s="1281"/>
      <c r="Q14" s="1281"/>
      <c r="R14" s="1281"/>
    </row>
    <row r="15" spans="1:18" ht="18" customHeight="1">
      <c r="A15" s="1290"/>
      <c r="B15" s="1287"/>
      <c r="C15" s="1300"/>
      <c r="D15" s="1296"/>
      <c r="E15" s="1307" t="s">
        <v>901</v>
      </c>
      <c r="F15" s="1287"/>
      <c r="G15" s="1308">
        <f>F16+F17</f>
        <v>74697421</v>
      </c>
      <c r="H15" s="1295"/>
      <c r="I15" s="1281"/>
      <c r="J15" s="1281"/>
      <c r="K15" s="1281"/>
      <c r="L15" s="1281"/>
      <c r="M15" s="1281"/>
      <c r="N15" s="1281"/>
      <c r="O15" s="1281"/>
      <c r="P15" s="1281"/>
      <c r="Q15" s="1281"/>
      <c r="R15" s="1281"/>
    </row>
    <row r="16" spans="1:18" ht="18.600000000000001" customHeight="1">
      <c r="A16" s="1290"/>
      <c r="B16" s="1287"/>
      <c r="C16" s="1300"/>
      <c r="D16" s="1296"/>
      <c r="E16" s="1294" t="s">
        <v>999</v>
      </c>
      <c r="F16" s="1287">
        <f>業務_決算精算表!G19</f>
        <v>74697421</v>
      </c>
      <c r="G16" s="1288"/>
      <c r="H16" s="1295"/>
      <c r="I16" s="1281"/>
      <c r="J16" s="1281"/>
      <c r="K16" s="1281"/>
      <c r="L16" s="1281"/>
      <c r="M16" s="1281"/>
      <c r="N16" s="1281"/>
      <c r="O16" s="1281"/>
      <c r="P16" s="1281"/>
      <c r="Q16" s="1281"/>
      <c r="R16" s="1281"/>
    </row>
    <row r="17" spans="1:18" ht="7.2" customHeight="1">
      <c r="A17" s="1282"/>
      <c r="B17" s="1287"/>
      <c r="C17" s="1300"/>
      <c r="D17" s="1301"/>
      <c r="E17" s="1286"/>
      <c r="F17" s="1287"/>
      <c r="G17" s="1288"/>
      <c r="H17" s="1295"/>
      <c r="I17" s="1281"/>
      <c r="J17" s="1281"/>
      <c r="K17" s="1281"/>
      <c r="L17" s="1281"/>
      <c r="M17" s="1281"/>
      <c r="N17" s="1281"/>
      <c r="O17" s="1281"/>
      <c r="P17" s="1281"/>
      <c r="Q17" s="1281"/>
      <c r="R17" s="1281"/>
    </row>
    <row r="18" spans="1:18" ht="16.2" customHeight="1">
      <c r="A18" s="1303"/>
      <c r="B18" s="1287"/>
      <c r="C18" s="1300"/>
      <c r="D18" s="1296"/>
      <c r="E18" s="1302"/>
      <c r="F18" s="1287"/>
      <c r="G18" s="1287"/>
      <c r="H18" s="1289"/>
      <c r="I18" s="1281"/>
      <c r="J18" s="1281"/>
      <c r="K18" s="1281"/>
      <c r="L18" s="1281"/>
      <c r="M18" s="1281"/>
      <c r="N18" s="1281"/>
      <c r="O18" s="1281"/>
      <c r="P18" s="1281"/>
      <c r="Q18" s="1281"/>
      <c r="R18" s="1281"/>
    </row>
    <row r="19" spans="1:18" ht="18" customHeight="1">
      <c r="A19" s="1290"/>
      <c r="B19" s="1287"/>
      <c r="C19" s="1300"/>
      <c r="D19" s="1296"/>
      <c r="E19" s="1302" t="s">
        <v>781</v>
      </c>
      <c r="F19" s="1287"/>
      <c r="G19" s="1287"/>
      <c r="H19" s="1289">
        <f>SUM(H14:H18)</f>
        <v>74697421</v>
      </c>
      <c r="I19" s="1281"/>
      <c r="J19" s="1281"/>
      <c r="K19" s="1281"/>
      <c r="L19" s="1281"/>
      <c r="M19" s="1281"/>
      <c r="N19" s="1281"/>
      <c r="O19" s="1281"/>
      <c r="P19" s="1281"/>
      <c r="Q19" s="1281"/>
      <c r="R19" s="1281"/>
    </row>
    <row r="20" spans="1:18" ht="16.2" customHeight="1">
      <c r="A20" s="1303"/>
      <c r="B20" s="1287"/>
      <c r="C20" s="1292"/>
      <c r="D20" s="1296"/>
      <c r="E20" s="1302"/>
      <c r="F20" s="1287"/>
      <c r="G20" s="1287"/>
      <c r="H20" s="1289"/>
      <c r="I20" s="1281"/>
      <c r="J20" s="1281"/>
      <c r="K20" s="1281"/>
      <c r="L20" s="1281"/>
      <c r="M20" s="1281"/>
      <c r="N20" s="1281"/>
      <c r="O20" s="1281"/>
      <c r="P20" s="1281"/>
      <c r="Q20" s="1281"/>
      <c r="R20" s="1281"/>
    </row>
    <row r="21" spans="1:18" ht="16.2" customHeight="1">
      <c r="A21" s="1303"/>
      <c r="B21" s="1287"/>
      <c r="C21" s="1292"/>
      <c r="D21" s="1296"/>
      <c r="E21" s="1294"/>
      <c r="F21" s="1306"/>
      <c r="G21" s="1288"/>
      <c r="H21" s="1295"/>
      <c r="I21" s="1281"/>
      <c r="J21" s="1281"/>
      <c r="K21" s="1281"/>
      <c r="L21" s="1281"/>
      <c r="M21" s="1281"/>
      <c r="N21" s="1281"/>
      <c r="O21" s="1281"/>
      <c r="P21" s="1281"/>
      <c r="Q21" s="1281"/>
      <c r="R21" s="1281"/>
    </row>
    <row r="22" spans="1:18" ht="6.6" customHeight="1">
      <c r="A22" s="1290"/>
      <c r="B22" s="1287"/>
      <c r="C22" s="1300"/>
      <c r="D22" s="1296"/>
      <c r="E22" s="1286"/>
      <c r="F22" s="1287"/>
      <c r="G22" s="1288"/>
      <c r="H22" s="1295"/>
      <c r="I22" s="1281"/>
      <c r="J22" s="1281"/>
      <c r="K22" s="1281"/>
      <c r="L22" s="1281"/>
      <c r="M22" s="1281"/>
      <c r="N22" s="1281"/>
      <c r="O22" s="1281"/>
      <c r="P22" s="1281"/>
      <c r="Q22" s="1281"/>
      <c r="R22" s="1281"/>
    </row>
    <row r="23" spans="1:18" ht="16.2" customHeight="1">
      <c r="A23" s="1275"/>
      <c r="B23" s="1287"/>
      <c r="C23" s="1292"/>
      <c r="D23" s="1296"/>
      <c r="E23" s="1302"/>
      <c r="F23" s="1287"/>
      <c r="G23" s="1287"/>
      <c r="H23" s="1289"/>
      <c r="I23" s="1281"/>
      <c r="J23" s="1281"/>
      <c r="K23" s="1281"/>
      <c r="L23" s="1281"/>
      <c r="M23" s="1281"/>
      <c r="N23" s="1281"/>
      <c r="O23" s="1281"/>
      <c r="P23" s="1281"/>
      <c r="Q23" s="1281"/>
      <c r="R23" s="1281"/>
    </row>
    <row r="24" spans="1:18" ht="7.95" customHeight="1">
      <c r="A24" s="1275"/>
      <c r="B24" s="1287"/>
      <c r="C24" s="1300"/>
      <c r="D24" s="1296"/>
      <c r="E24" s="1309"/>
      <c r="F24" s="1287"/>
      <c r="G24" s="1288"/>
      <c r="H24" s="1295"/>
      <c r="I24" s="1281"/>
      <c r="J24" s="1281"/>
      <c r="K24" s="1281"/>
      <c r="L24" s="1281"/>
      <c r="M24" s="1281"/>
      <c r="N24" s="1281"/>
      <c r="O24" s="1281"/>
      <c r="P24" s="1281"/>
      <c r="Q24" s="1281"/>
      <c r="R24" s="1281"/>
    </row>
    <row r="25" spans="1:18" ht="16.2" customHeight="1">
      <c r="A25" s="2680" t="s">
        <v>782</v>
      </c>
      <c r="B25" s="2680"/>
      <c r="C25" s="2680"/>
      <c r="D25" s="1310">
        <f>SUM(D6:D24)</f>
        <v>85175250</v>
      </c>
      <c r="E25" s="2681" t="s">
        <v>783</v>
      </c>
      <c r="F25" s="2681"/>
      <c r="G25" s="2681"/>
      <c r="H25" s="1311">
        <f>H12+H19</f>
        <v>85175250</v>
      </c>
      <c r="I25" s="1281"/>
      <c r="J25" s="1281"/>
      <c r="K25" s="1281"/>
      <c r="L25" s="1281"/>
      <c r="M25" s="1281"/>
      <c r="N25" s="1281"/>
      <c r="O25" s="1281"/>
      <c r="P25" s="1281"/>
      <c r="Q25" s="1281"/>
      <c r="R25" s="1281"/>
    </row>
    <row r="26" spans="1:18" ht="24" hidden="1" customHeight="1">
      <c r="A26" s="1312" t="s">
        <v>1000</v>
      </c>
      <c r="B26" s="1312"/>
      <c r="C26" s="1312"/>
      <c r="D26" s="1312"/>
      <c r="E26" s="1312"/>
      <c r="F26" s="1312"/>
      <c r="G26" s="1312"/>
      <c r="H26" s="1312"/>
      <c r="I26" s="1281"/>
      <c r="J26" s="1281"/>
      <c r="K26" s="1281"/>
      <c r="L26" s="1281"/>
      <c r="M26" s="1281"/>
      <c r="N26" s="1281"/>
      <c r="O26" s="1281"/>
      <c r="P26" s="1281"/>
      <c r="Q26" s="1281"/>
      <c r="R26" s="1281"/>
    </row>
    <row r="27" spans="1:18" ht="15" hidden="1" customHeight="1">
      <c r="A27" s="1313"/>
      <c r="B27" s="1313"/>
      <c r="C27" s="1313"/>
      <c r="D27" s="1313"/>
      <c r="E27" s="1314"/>
      <c r="F27" s="1314"/>
      <c r="G27" s="1313"/>
      <c r="H27" s="1313"/>
      <c r="I27" s="1281"/>
      <c r="J27" s="1281"/>
      <c r="K27" s="1281"/>
      <c r="L27" s="1281"/>
      <c r="M27" s="1281"/>
      <c r="N27" s="1281"/>
      <c r="O27" s="1281"/>
      <c r="P27" s="1281"/>
      <c r="Q27" s="1281"/>
      <c r="R27" s="1281"/>
    </row>
    <row r="28" spans="1:18" ht="30" customHeight="1">
      <c r="A28" s="2682" t="str">
        <f>"  （注）　固定資産の減価償却は、地方公務員等共済組合法施行規程第73条に基づき定額法により行っており、有形固定資産の減価償"&amp;CHAR(10)&amp;"　　　　却累計額は、"&amp;TEXT(業務_附属明細表!Q116,"#,##0")&amp;"円である。"</f>
        <v xml:space="preserve">  （注）　固定資産の減価償却は、地方公務員等共済組合法施行規程第73条に基づき定額法により行っており、有形固定資産の減価償
　　　　却累計額は、643,460円である。</v>
      </c>
      <c r="B28" s="2682"/>
      <c r="C28" s="2682"/>
      <c r="D28" s="2682"/>
      <c r="E28" s="2682"/>
      <c r="F28" s="2682"/>
      <c r="G28" s="2682"/>
      <c r="H28" s="2682"/>
      <c r="I28" s="1281"/>
      <c r="J28" s="1281"/>
      <c r="K28" s="1281"/>
      <c r="L28" s="1281"/>
      <c r="M28" s="1281"/>
      <c r="N28" s="1281"/>
      <c r="O28" s="1281"/>
      <c r="P28" s="1281"/>
      <c r="Q28" s="1281"/>
      <c r="R28" s="1281"/>
    </row>
    <row r="29" spans="1:18" ht="1.5" customHeight="1">
      <c r="A29" s="1313"/>
      <c r="B29" s="1313"/>
      <c r="C29" s="1313"/>
      <c r="D29" s="1313"/>
      <c r="E29" s="1314"/>
      <c r="F29" s="1314"/>
      <c r="G29" s="1313"/>
      <c r="H29" s="1313"/>
      <c r="I29" s="1281"/>
      <c r="J29" s="1281"/>
      <c r="K29" s="1281"/>
      <c r="L29" s="1281"/>
      <c r="M29" s="1281"/>
      <c r="N29" s="1281"/>
      <c r="O29" s="1281"/>
      <c r="P29" s="1281"/>
      <c r="Q29" s="1281"/>
      <c r="R29" s="1281"/>
    </row>
    <row r="30" spans="1:18" ht="18.75" customHeight="1">
      <c r="B30" s="1315"/>
      <c r="D30" s="2683" t="s">
        <v>12</v>
      </c>
      <c r="E30" s="2683"/>
      <c r="F30" s="1269"/>
      <c r="G30" s="1315"/>
      <c r="H30" s="1315"/>
      <c r="I30" s="1281"/>
      <c r="J30" s="1281"/>
      <c r="K30" s="1281"/>
      <c r="L30" s="1281"/>
      <c r="M30" s="1281"/>
      <c r="N30" s="1281"/>
      <c r="O30" s="1281"/>
      <c r="P30" s="1281"/>
      <c r="Q30" s="1281"/>
      <c r="R30" s="1281"/>
    </row>
    <row r="31" spans="1:18" ht="18.75" customHeight="1">
      <c r="B31" s="1315"/>
      <c r="D31" s="2684" t="s">
        <v>787</v>
      </c>
      <c r="E31" s="2684"/>
      <c r="F31" s="1269"/>
      <c r="G31" s="1315"/>
      <c r="H31" s="1315"/>
      <c r="I31" s="1281"/>
      <c r="J31" s="1281"/>
      <c r="K31" s="1281"/>
      <c r="L31" s="1281"/>
      <c r="M31" s="1281"/>
      <c r="N31" s="1281"/>
      <c r="O31" s="1281"/>
      <c r="P31" s="1281"/>
      <c r="Q31" s="1281"/>
      <c r="R31" s="1281"/>
    </row>
    <row r="32" spans="1:18" ht="10.95" customHeight="1">
      <c r="A32" s="1271"/>
      <c r="B32" s="1271"/>
      <c r="C32" s="1271"/>
      <c r="D32" s="1271"/>
      <c r="E32" s="1271"/>
      <c r="F32" s="1271"/>
      <c r="G32" s="2677" t="str">
        <f>"自  "&amp;"令和"&amp;IF((入力ガイド!$C$6)&gt;=10,MID("０１２３４５６７８９",INT((入力ガイド!$C$6)/10)+1,1),"")&amp;MID("０１２３４５６７８９",MOD((入力ガイド!$C$6),10)+1,1)&amp;"年４月  １日"</f>
        <v>自  令和７年４月  １日</v>
      </c>
      <c r="H32" s="2677"/>
      <c r="I32" s="1281"/>
      <c r="J32" s="1281"/>
      <c r="K32" s="1281"/>
      <c r="L32" s="1281"/>
      <c r="M32" s="1281"/>
      <c r="N32" s="1281"/>
      <c r="O32" s="1281"/>
      <c r="P32" s="1281"/>
      <c r="Q32" s="1281"/>
      <c r="R32" s="1281"/>
    </row>
    <row r="33" spans="1:18" ht="11.25" customHeight="1">
      <c r="A33" s="1270"/>
      <c r="B33" s="1270"/>
      <c r="C33" s="1271"/>
      <c r="D33" s="1271"/>
      <c r="E33" s="1270"/>
      <c r="F33" s="1270"/>
      <c r="G33" s="2677" t="str">
        <f>"至  "&amp;"令和"&amp;IF((入力ガイド!$C$6+1)&gt;=10,MID("０１２３４５６７８９",INT((入力ガイド!$C$6+1)/10)+1,1),"")&amp;MID("０１２３４５６７８９",MOD((入力ガイド!$C$6+1),10)+1,1)&amp;"年３月３１日"</f>
        <v>至  令和８年３月３１日</v>
      </c>
      <c r="H33" s="2677"/>
      <c r="I33" s="1281"/>
      <c r="J33" s="1281"/>
      <c r="K33" s="1281"/>
      <c r="L33" s="1281"/>
      <c r="M33" s="1281"/>
      <c r="N33" s="1281"/>
      <c r="O33" s="1281"/>
      <c r="P33" s="1281"/>
      <c r="Q33" s="1281"/>
      <c r="R33" s="1281"/>
    </row>
    <row r="34" spans="1:18" ht="11.25" customHeight="1">
      <c r="A34" s="2678" t="s">
        <v>788</v>
      </c>
      <c r="B34" s="2678"/>
      <c r="C34" s="2678"/>
      <c r="D34" s="1273" t="s">
        <v>455</v>
      </c>
      <c r="E34" s="2679" t="s">
        <v>789</v>
      </c>
      <c r="F34" s="2679"/>
      <c r="G34" s="2679"/>
      <c r="H34" s="1272" t="s">
        <v>455</v>
      </c>
      <c r="I34" s="1281"/>
      <c r="J34" s="1281"/>
      <c r="K34" s="1281"/>
      <c r="L34" s="1281"/>
      <c r="M34" s="1281"/>
      <c r="N34" s="1281"/>
      <c r="O34" s="1281"/>
      <c r="P34" s="1281"/>
      <c r="Q34" s="1281"/>
      <c r="R34" s="1281"/>
    </row>
    <row r="35" spans="1:18" ht="13.5" customHeight="1">
      <c r="A35" s="1275"/>
      <c r="B35" s="1276" t="s">
        <v>551</v>
      </c>
      <c r="C35" s="1316" t="s">
        <v>551</v>
      </c>
      <c r="D35" s="1278" t="s">
        <v>551</v>
      </c>
      <c r="E35" s="1279"/>
      <c r="F35" s="1276" t="s">
        <v>551</v>
      </c>
      <c r="G35" s="1316" t="s">
        <v>551</v>
      </c>
      <c r="H35" s="1317" t="s">
        <v>551</v>
      </c>
      <c r="I35" s="1281"/>
      <c r="J35" s="1281"/>
      <c r="K35" s="1281"/>
      <c r="L35" s="1281"/>
      <c r="M35" s="1281"/>
      <c r="N35" s="1281"/>
      <c r="O35" s="1281"/>
      <c r="P35" s="1281"/>
      <c r="Q35" s="1281"/>
      <c r="R35" s="1281"/>
    </row>
    <row r="36" spans="1:18" ht="16.2" customHeight="1">
      <c r="A36" s="1282" t="s">
        <v>791</v>
      </c>
      <c r="B36" s="1287"/>
      <c r="C36" s="1288"/>
      <c r="D36" s="1301">
        <f>SUM(C37)</f>
        <v>121123959</v>
      </c>
      <c r="E36" s="1286" t="s">
        <v>792</v>
      </c>
      <c r="F36" s="1318"/>
      <c r="G36" s="1319"/>
      <c r="H36" s="1320">
        <f>SUM(G37:G46)</f>
        <v>112893188</v>
      </c>
      <c r="I36" s="1281"/>
      <c r="J36" s="1281"/>
      <c r="K36" s="1281"/>
      <c r="L36" s="1281"/>
      <c r="M36" s="1281"/>
      <c r="N36" s="1281"/>
      <c r="O36" s="1281"/>
      <c r="P36" s="1281"/>
      <c r="Q36" s="1281"/>
      <c r="R36" s="1281"/>
    </row>
    <row r="37" spans="1:18" ht="16.2" customHeight="1">
      <c r="A37" s="1303" t="s">
        <v>1001</v>
      </c>
      <c r="B37" s="1287"/>
      <c r="C37" s="1308">
        <f>SUM(B38:B52)</f>
        <v>121123959</v>
      </c>
      <c r="D37" s="1296"/>
      <c r="E37" s="1307" t="s">
        <v>794</v>
      </c>
      <c r="F37" s="1318"/>
      <c r="G37" s="1321">
        <f>SUM(F38:F40)</f>
        <v>89733450</v>
      </c>
      <c r="H37" s="1322"/>
      <c r="I37" s="1281"/>
      <c r="J37" s="1281"/>
      <c r="K37" s="1281"/>
      <c r="L37" s="1281"/>
      <c r="M37" s="1281"/>
      <c r="N37" s="1281"/>
      <c r="O37" s="1281"/>
      <c r="P37" s="1281"/>
      <c r="Q37" s="1281"/>
      <c r="R37" s="1281"/>
    </row>
    <row r="38" spans="1:18" ht="16.2" customHeight="1">
      <c r="A38" s="1323" t="s">
        <v>127</v>
      </c>
      <c r="B38" s="1287">
        <f>業務_決算精算表!A21</f>
        <v>33000</v>
      </c>
      <c r="C38" s="1288"/>
      <c r="D38" s="1296"/>
      <c r="E38" s="1294" t="s">
        <v>125</v>
      </c>
      <c r="F38" s="1287">
        <f>業務_決算精算表!G39</f>
        <v>89655843</v>
      </c>
      <c r="G38" s="1288"/>
      <c r="H38" s="1295"/>
      <c r="I38" s="1281"/>
      <c r="J38" s="1281"/>
      <c r="K38" s="1281"/>
      <c r="L38" s="1281"/>
      <c r="M38" s="1281"/>
      <c r="N38" s="1281"/>
      <c r="O38" s="1281"/>
      <c r="P38" s="1281"/>
      <c r="Q38" s="1281"/>
      <c r="R38" s="1281"/>
    </row>
    <row r="39" spans="1:18" ht="16.2" customHeight="1">
      <c r="A39" s="1323" t="s">
        <v>128</v>
      </c>
      <c r="B39" s="1287">
        <f>業務_決算精算表!A22</f>
        <v>10141337</v>
      </c>
      <c r="C39" s="1288"/>
      <c r="D39" s="1296"/>
      <c r="E39" s="1294" t="s">
        <v>37</v>
      </c>
      <c r="F39" s="1287">
        <f>業務_決算精算表!G40</f>
        <v>77607</v>
      </c>
      <c r="G39" s="1288"/>
      <c r="H39" s="1295"/>
      <c r="I39" s="1281"/>
      <c r="J39" s="1281"/>
      <c r="K39" s="1281"/>
      <c r="L39" s="1281"/>
      <c r="M39" s="1281"/>
      <c r="N39" s="1281"/>
      <c r="O39" s="1281"/>
      <c r="P39" s="1281"/>
      <c r="Q39" s="1281"/>
      <c r="R39" s="1281"/>
    </row>
    <row r="40" spans="1:18" ht="16.2" customHeight="1">
      <c r="A40" s="1323" t="s">
        <v>129</v>
      </c>
      <c r="B40" s="1287">
        <f>業務_決算精算表!A23</f>
        <v>9702</v>
      </c>
      <c r="C40" s="1288"/>
      <c r="D40" s="1296"/>
      <c r="E40" s="1294"/>
      <c r="F40" s="1287"/>
      <c r="G40" s="1288"/>
      <c r="H40" s="1295"/>
      <c r="I40" s="1281"/>
      <c r="J40" s="1281"/>
      <c r="K40" s="1281"/>
      <c r="L40" s="1281"/>
      <c r="M40" s="1281"/>
      <c r="N40" s="1281"/>
      <c r="O40" s="1281"/>
      <c r="P40" s="1281"/>
      <c r="Q40" s="1281"/>
      <c r="R40" s="1281"/>
    </row>
    <row r="41" spans="1:18" ht="16.2" customHeight="1">
      <c r="A41" s="1323" t="s">
        <v>1002</v>
      </c>
      <c r="B41" s="1287">
        <f>業務_決算精算表!A24</f>
        <v>343112</v>
      </c>
      <c r="C41" s="1288"/>
      <c r="D41" s="1296"/>
      <c r="E41" s="1307" t="s">
        <v>812</v>
      </c>
      <c r="F41" s="1287"/>
      <c r="G41" s="1308">
        <f>SUM(F42:F43)</f>
        <v>23159738</v>
      </c>
      <c r="H41" s="1295"/>
      <c r="I41" s="1281"/>
      <c r="J41" s="1281"/>
      <c r="K41" s="1281"/>
      <c r="L41" s="1281"/>
      <c r="M41" s="1281"/>
      <c r="N41" s="1281"/>
      <c r="O41" s="1281"/>
      <c r="P41" s="1281"/>
      <c r="Q41" s="1281"/>
      <c r="R41" s="1281"/>
    </row>
    <row r="42" spans="1:18" ht="16.2" customHeight="1">
      <c r="A42" s="1323" t="s">
        <v>1003</v>
      </c>
      <c r="B42" s="1287">
        <f>業務_決算精算表!A25</f>
        <v>13993113</v>
      </c>
      <c r="C42" s="1288"/>
      <c r="D42" s="1296"/>
      <c r="E42" s="1294" t="s">
        <v>38</v>
      </c>
      <c r="F42" s="1287">
        <f>業務_決算精算表!E42</f>
        <v>23159738</v>
      </c>
      <c r="G42" s="1324"/>
      <c r="H42" s="1295"/>
      <c r="I42" s="1281"/>
      <c r="J42" s="1281"/>
      <c r="K42" s="1281"/>
      <c r="L42" s="1281"/>
      <c r="M42" s="1281"/>
      <c r="N42" s="1281"/>
      <c r="O42" s="1281"/>
      <c r="P42" s="1281"/>
      <c r="Q42" s="1281"/>
      <c r="R42" s="1281"/>
    </row>
    <row r="43" spans="1:18" ht="16.2" customHeight="1">
      <c r="A43" s="1325" t="s">
        <v>132</v>
      </c>
      <c r="B43" s="1287">
        <f>業務_決算精算表!A26</f>
        <v>4598066</v>
      </c>
      <c r="C43" s="1288"/>
      <c r="D43" s="1296"/>
      <c r="E43" s="1326" t="s">
        <v>817</v>
      </c>
      <c r="F43" s="1287"/>
      <c r="G43" s="1324">
        <f>SUM(F44)</f>
        <v>0</v>
      </c>
      <c r="H43" s="1295"/>
      <c r="I43" s="1281"/>
      <c r="J43" s="1281"/>
      <c r="K43" s="1281"/>
      <c r="L43" s="1281"/>
      <c r="M43" s="1281"/>
      <c r="N43" s="1281"/>
      <c r="O43" s="1281"/>
      <c r="P43" s="1281"/>
      <c r="Q43" s="1281"/>
      <c r="R43" s="1281"/>
    </row>
    <row r="44" spans="1:18" ht="16.2" customHeight="1">
      <c r="A44" s="1325" t="s">
        <v>1004</v>
      </c>
      <c r="B44" s="1287">
        <f>業務_決算精算表!A27</f>
        <v>10084438</v>
      </c>
      <c r="C44" s="1288"/>
      <c r="D44" s="1296"/>
      <c r="E44" s="1327" t="s">
        <v>1005</v>
      </c>
      <c r="F44" s="1287" t="str">
        <f>IF(業務_決算精算表!G43=0,"",業務_決算精算表!G43)</f>
        <v/>
      </c>
      <c r="G44" s="1324"/>
      <c r="H44" s="1295"/>
      <c r="I44" s="1281"/>
      <c r="J44" s="1281"/>
      <c r="K44" s="1281"/>
      <c r="L44" s="1281"/>
      <c r="M44" s="1281"/>
      <c r="N44" s="1281"/>
      <c r="O44" s="1281"/>
      <c r="P44" s="1281"/>
      <c r="Q44" s="1281"/>
      <c r="R44" s="1281"/>
    </row>
    <row r="45" spans="1:18" ht="16.2" customHeight="1">
      <c r="A45" s="1325" t="s">
        <v>135</v>
      </c>
      <c r="B45" s="1287">
        <f>業務_決算精算表!A28</f>
        <v>103921</v>
      </c>
      <c r="C45" s="1288"/>
      <c r="D45" s="1296"/>
      <c r="E45" s="1327"/>
      <c r="F45" s="1287"/>
      <c r="H45" s="1289"/>
      <c r="I45" s="1281"/>
      <c r="J45" s="1281"/>
      <c r="K45" s="1281"/>
      <c r="L45" s="1281"/>
      <c r="M45" s="1281"/>
      <c r="N45" s="1281"/>
      <c r="O45" s="1281"/>
      <c r="P45" s="1281"/>
      <c r="Q45" s="1281"/>
      <c r="R45" s="1281"/>
    </row>
    <row r="46" spans="1:18" ht="16.2" customHeight="1">
      <c r="A46" s="1325" t="s">
        <v>136</v>
      </c>
      <c r="B46" s="1287">
        <f>業務_決算精算表!A29</f>
        <v>0</v>
      </c>
      <c r="C46" s="1288"/>
      <c r="D46" s="1296"/>
      <c r="E46" s="1286" t="s">
        <v>1006</v>
      </c>
      <c r="F46" s="1287"/>
      <c r="G46" s="1324"/>
      <c r="H46" s="1289">
        <f>G47</f>
        <v>11834281</v>
      </c>
      <c r="I46" s="1281"/>
      <c r="J46" s="1281"/>
      <c r="K46" s="1281"/>
      <c r="L46" s="1281"/>
      <c r="M46" s="1281"/>
      <c r="N46" s="1281"/>
      <c r="O46" s="1281"/>
      <c r="P46" s="1281"/>
      <c r="Q46" s="1281"/>
      <c r="R46" s="1281"/>
    </row>
    <row r="47" spans="1:18" ht="16.2" customHeight="1">
      <c r="A47" s="1323" t="s">
        <v>1007</v>
      </c>
      <c r="B47" s="1287">
        <f>業務_決算精算表!A30</f>
        <v>9430768</v>
      </c>
      <c r="C47" s="1288"/>
      <c r="D47" s="1296"/>
      <c r="E47" s="1328" t="s">
        <v>126</v>
      </c>
      <c r="F47" s="1287"/>
      <c r="G47" s="1329">
        <f>業務_決算精算表!G44</f>
        <v>11834281</v>
      </c>
      <c r="H47" s="1289"/>
      <c r="I47" s="1281"/>
      <c r="J47" s="1281"/>
      <c r="K47" s="1281"/>
      <c r="L47" s="1281"/>
      <c r="M47" s="1281"/>
      <c r="N47" s="1281"/>
      <c r="O47" s="1281"/>
      <c r="P47" s="1281"/>
      <c r="Q47" s="1281"/>
      <c r="R47" s="1281"/>
    </row>
    <row r="48" spans="1:18" ht="16.2" customHeight="1">
      <c r="A48" s="1323" t="s">
        <v>1008</v>
      </c>
      <c r="B48" s="1287">
        <f>業務_決算精算表!A31</f>
        <v>1884714</v>
      </c>
      <c r="C48" s="1288"/>
      <c r="D48" s="1296"/>
      <c r="E48" s="1328"/>
      <c r="F48" s="1287"/>
      <c r="G48" s="1329"/>
      <c r="H48" s="1330"/>
      <c r="I48" s="1281"/>
      <c r="J48" s="1281"/>
      <c r="K48" s="1281"/>
      <c r="L48" s="1281"/>
      <c r="M48" s="1281"/>
      <c r="N48" s="1281"/>
      <c r="O48" s="1281"/>
      <c r="P48" s="1281"/>
      <c r="Q48" s="1281"/>
      <c r="R48" s="1281"/>
    </row>
    <row r="49" spans="1:18" ht="16.2" customHeight="1">
      <c r="A49" s="1325" t="s">
        <v>1009</v>
      </c>
      <c r="B49" s="1287">
        <f>業務_決算精算表!A32</f>
        <v>2453880</v>
      </c>
      <c r="C49" s="1288"/>
      <c r="D49" s="1296"/>
      <c r="E49" s="1282" t="s">
        <v>823</v>
      </c>
      <c r="F49" s="1287"/>
      <c r="G49" s="1288"/>
      <c r="H49" s="1289">
        <f>SUM(G50)</f>
        <v>0</v>
      </c>
      <c r="I49" s="1281"/>
      <c r="J49" s="1281"/>
      <c r="K49" s="1281"/>
      <c r="L49" s="1281"/>
      <c r="M49" s="1281"/>
      <c r="N49" s="1281"/>
      <c r="O49" s="1281"/>
      <c r="P49" s="1281"/>
      <c r="Q49" s="1281"/>
      <c r="R49" s="1281"/>
    </row>
    <row r="50" spans="1:18" ht="16.2" customHeight="1">
      <c r="A50" s="1290" t="s">
        <v>140</v>
      </c>
      <c r="B50" s="1287">
        <f>業務_決算精算表!A33</f>
        <v>13718352</v>
      </c>
      <c r="C50" s="1288"/>
      <c r="D50" s="1296"/>
      <c r="E50" s="1327" t="s">
        <v>1010</v>
      </c>
      <c r="F50" s="1287"/>
      <c r="G50" s="1288">
        <f>業務_決算精算表!G45</f>
        <v>0</v>
      </c>
      <c r="H50" s="1289"/>
      <c r="I50" s="1281"/>
      <c r="J50" s="1281"/>
      <c r="K50" s="1281"/>
      <c r="L50" s="1281"/>
      <c r="M50" s="1281"/>
      <c r="N50" s="1281"/>
      <c r="O50" s="1281"/>
      <c r="P50" s="1281"/>
      <c r="Q50" s="1281"/>
      <c r="R50" s="1281"/>
    </row>
    <row r="51" spans="1:18" ht="15.75" customHeight="1">
      <c r="A51" s="1331" t="s">
        <v>1011</v>
      </c>
      <c r="B51" s="1287">
        <f>業務_決算精算表!A34</f>
        <v>54153000</v>
      </c>
      <c r="C51" s="1288"/>
      <c r="D51" s="1296"/>
      <c r="E51" s="1327"/>
      <c r="F51" s="1287"/>
      <c r="G51" s="1288"/>
      <c r="H51" s="1295"/>
      <c r="I51" s="1281"/>
      <c r="J51" s="1281"/>
      <c r="K51" s="1281"/>
      <c r="L51" s="1281"/>
      <c r="M51" s="1281"/>
      <c r="N51" s="1281"/>
      <c r="O51" s="1281"/>
      <c r="P51" s="1281"/>
      <c r="Q51" s="1281"/>
      <c r="R51" s="1281"/>
    </row>
    <row r="52" spans="1:18" ht="15.75" customHeight="1">
      <c r="A52" s="1290" t="s">
        <v>142</v>
      </c>
      <c r="B52" s="1287">
        <f>業務_決算精算表!A35</f>
        <v>176556</v>
      </c>
      <c r="C52" s="1288"/>
      <c r="D52" s="1296"/>
      <c r="E52" s="1286"/>
      <c r="F52" s="1287"/>
      <c r="G52" s="1288"/>
      <c r="H52" s="1289"/>
      <c r="I52" s="1281"/>
      <c r="J52" s="1281"/>
      <c r="K52" s="1281"/>
      <c r="L52" s="1281"/>
      <c r="M52" s="1281"/>
      <c r="N52" s="1281"/>
      <c r="O52" s="1281"/>
      <c r="P52" s="1281"/>
      <c r="Q52" s="1281"/>
      <c r="R52" s="1281"/>
    </row>
    <row r="53" spans="1:18" ht="16.2" customHeight="1">
      <c r="A53" s="1282" t="s">
        <v>825</v>
      </c>
      <c r="B53" s="1287"/>
      <c r="C53" s="1288"/>
      <c r="D53" s="1301">
        <f>SUM(C54)</f>
        <v>0</v>
      </c>
      <c r="E53" s="1286" t="s">
        <v>233</v>
      </c>
      <c r="F53" s="1287"/>
      <c r="G53" s="1288"/>
      <c r="H53" s="1289">
        <f>SUM(G54)</f>
        <v>0</v>
      </c>
      <c r="I53" s="1281"/>
      <c r="J53" s="1281"/>
      <c r="K53" s="1281"/>
      <c r="L53" s="1281"/>
      <c r="M53" s="1281"/>
      <c r="N53" s="1281"/>
      <c r="O53" s="1281"/>
      <c r="P53" s="1281"/>
      <c r="Q53" s="1281"/>
      <c r="R53" s="1281"/>
    </row>
    <row r="54" spans="1:18" ht="16.2" customHeight="1">
      <c r="A54" s="1332" t="s">
        <v>143</v>
      </c>
      <c r="B54" s="1287"/>
      <c r="C54" s="1288">
        <f>業務_決算精算表!A37</f>
        <v>0</v>
      </c>
      <c r="D54" s="1296"/>
      <c r="E54" s="1326" t="s">
        <v>1012</v>
      </c>
      <c r="F54" s="1287"/>
      <c r="G54" s="1288">
        <f>MAX(0,D36+D53-H36-H46-H49)</f>
        <v>0</v>
      </c>
      <c r="H54" s="1289"/>
      <c r="I54" s="1281"/>
      <c r="J54" s="1281"/>
      <c r="K54" s="1281"/>
      <c r="L54" s="1281"/>
      <c r="M54" s="1281"/>
      <c r="N54" s="1281"/>
      <c r="O54" s="1281"/>
      <c r="P54" s="1281"/>
      <c r="Q54" s="1281"/>
      <c r="R54" s="1281"/>
    </row>
    <row r="55" spans="1:18" ht="8.4" customHeight="1">
      <c r="A55" s="1333"/>
      <c r="B55" s="1287"/>
      <c r="C55" s="1288"/>
      <c r="D55" s="1296"/>
      <c r="E55" s="1286"/>
      <c r="F55" s="1287"/>
      <c r="G55" s="1288"/>
      <c r="H55" s="1289"/>
      <c r="I55" s="1281"/>
      <c r="J55" s="1281"/>
      <c r="K55" s="1281"/>
      <c r="L55" s="1281"/>
      <c r="M55" s="1281"/>
      <c r="N55" s="1281"/>
      <c r="O55" s="1281"/>
      <c r="P55" s="1281"/>
      <c r="Q55" s="1281"/>
      <c r="R55" s="1281"/>
    </row>
    <row r="56" spans="1:18" ht="16.2" customHeight="1">
      <c r="A56" s="1282" t="s">
        <v>828</v>
      </c>
      <c r="B56" s="1287"/>
      <c r="C56" s="1288"/>
      <c r="D56" s="1301">
        <f>C57</f>
        <v>3603510</v>
      </c>
      <c r="E56" s="1286"/>
      <c r="F56" s="1287"/>
      <c r="G56" s="1288"/>
      <c r="H56" s="1289"/>
      <c r="I56" s="1281"/>
      <c r="J56" s="1281"/>
      <c r="K56" s="1281"/>
      <c r="L56" s="1281"/>
      <c r="M56" s="1281"/>
      <c r="N56" s="1281"/>
      <c r="O56" s="1281"/>
      <c r="P56" s="1281"/>
      <c r="Q56" s="1281"/>
      <c r="R56" s="1281"/>
    </row>
    <row r="57" spans="1:18" ht="16.2" customHeight="1">
      <c r="A57" s="1334" t="s">
        <v>1013</v>
      </c>
      <c r="B57" s="1287"/>
      <c r="C57" s="1288">
        <f>MAX(0,H36+H46+H49-D36-D53)</f>
        <v>3603510</v>
      </c>
      <c r="D57" s="1296"/>
      <c r="E57" s="1326"/>
      <c r="F57" s="1287"/>
      <c r="G57" s="1288"/>
      <c r="H57" s="1289"/>
      <c r="I57" s="1281"/>
      <c r="J57" s="1281"/>
      <c r="K57" s="1281"/>
      <c r="L57" s="1281"/>
      <c r="M57" s="1281"/>
      <c r="N57" s="1281"/>
      <c r="O57" s="1281"/>
      <c r="P57" s="1281"/>
      <c r="Q57" s="1281"/>
      <c r="R57" s="1281"/>
    </row>
    <row r="58" spans="1:18" ht="16.2" customHeight="1">
      <c r="A58" s="1335"/>
      <c r="B58" s="1287"/>
      <c r="C58" s="1288"/>
      <c r="D58" s="1336"/>
      <c r="E58" s="1337"/>
      <c r="F58" s="1287"/>
      <c r="G58" s="1288"/>
      <c r="H58" s="1295"/>
      <c r="I58" s="1281"/>
      <c r="J58" s="1281"/>
      <c r="K58" s="1281"/>
      <c r="L58" s="1281"/>
      <c r="M58" s="1281"/>
      <c r="N58" s="1281"/>
      <c r="O58" s="1281"/>
      <c r="P58" s="1281"/>
      <c r="Q58" s="1281"/>
      <c r="R58" s="1281"/>
    </row>
    <row r="59" spans="1:18" ht="16.2" customHeight="1">
      <c r="A59" s="2680" t="s">
        <v>833</v>
      </c>
      <c r="B59" s="2680"/>
      <c r="C59" s="2680"/>
      <c r="D59" s="1310">
        <f>SUM(D36:D57)</f>
        <v>124727469</v>
      </c>
      <c r="E59" s="2681" t="s">
        <v>1014</v>
      </c>
      <c r="F59" s="2681"/>
      <c r="G59" s="2681"/>
      <c r="H59" s="1311">
        <f>SUM(H36:H58)</f>
        <v>124727469</v>
      </c>
      <c r="I59" s="1281"/>
      <c r="J59" s="1281"/>
      <c r="K59" s="1281"/>
      <c r="L59" s="1281"/>
      <c r="M59" s="1281"/>
      <c r="N59" s="1281"/>
      <c r="O59" s="1281"/>
      <c r="P59" s="1281"/>
      <c r="Q59" s="1281"/>
      <c r="R59" s="1281"/>
    </row>
    <row r="60" spans="1:18" ht="13.5" customHeight="1">
      <c r="A60" s="1313"/>
      <c r="B60" s="1313"/>
      <c r="C60" s="1313"/>
      <c r="D60" s="1313"/>
      <c r="E60" s="1313"/>
      <c r="F60" s="1313"/>
      <c r="G60" s="1313"/>
      <c r="H60" s="1313"/>
      <c r="I60" s="1281"/>
      <c r="J60" s="1281"/>
      <c r="K60" s="1281"/>
      <c r="L60" s="1281"/>
      <c r="M60" s="1281"/>
      <c r="N60" s="1281"/>
      <c r="O60" s="1281"/>
      <c r="P60" s="1281"/>
      <c r="Q60" s="1281"/>
      <c r="R60" s="1281"/>
    </row>
    <row r="61" spans="1:18" ht="24" customHeight="1">
      <c r="A61" s="1313"/>
      <c r="B61" s="1313"/>
      <c r="C61" s="1313"/>
      <c r="D61" s="1313"/>
      <c r="E61" s="1313"/>
      <c r="F61" s="1313"/>
      <c r="G61" s="1313"/>
      <c r="H61" s="1313"/>
      <c r="I61" s="1281"/>
      <c r="J61" s="1281"/>
      <c r="K61" s="1281"/>
      <c r="L61" s="1281"/>
      <c r="M61" s="1281"/>
      <c r="N61" s="1281"/>
      <c r="O61" s="1281"/>
      <c r="P61" s="1281"/>
      <c r="Q61" s="1281"/>
      <c r="R61" s="1281"/>
    </row>
    <row r="62" spans="1:18" ht="24" customHeight="1">
      <c r="A62" s="1270"/>
      <c r="B62" s="1270"/>
      <c r="C62" s="1270"/>
      <c r="D62" s="1270"/>
      <c r="E62" s="1270"/>
      <c r="F62" s="1270"/>
      <c r="G62" s="1270"/>
      <c r="H62" s="1270"/>
      <c r="I62" s="1281"/>
      <c r="J62" s="1281"/>
      <c r="K62" s="1281"/>
      <c r="L62" s="1281"/>
      <c r="M62" s="1281"/>
      <c r="N62" s="1281"/>
      <c r="O62" s="1281"/>
      <c r="P62" s="1281"/>
      <c r="Q62" s="1281"/>
      <c r="R62" s="1281"/>
    </row>
    <row r="63" spans="1:18" ht="24" customHeight="1">
      <c r="A63" s="1270"/>
      <c r="B63" s="1270"/>
      <c r="C63" s="1270"/>
      <c r="D63" s="1270"/>
      <c r="E63" s="1270"/>
      <c r="F63" s="1270"/>
      <c r="G63" s="1270"/>
      <c r="H63" s="1270"/>
    </row>
    <row r="64" spans="1:18" ht="45.3" customHeight="1">
      <c r="A64" s="1270"/>
      <c r="B64" s="1270"/>
      <c r="C64" s="1270"/>
      <c r="D64" s="1270"/>
      <c r="E64" s="1270"/>
      <c r="F64" s="1270"/>
      <c r="G64" s="1270"/>
      <c r="H64" s="1270"/>
    </row>
    <row r="65" spans="1:8" ht="24" customHeight="1">
      <c r="A65" s="1270"/>
      <c r="B65" s="1270"/>
      <c r="C65" s="1270"/>
      <c r="D65" s="1270"/>
      <c r="E65" s="1270"/>
      <c r="F65" s="1270"/>
      <c r="G65" s="1270"/>
      <c r="H65" s="1270"/>
    </row>
    <row r="78" spans="1: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6">
    <mergeCell ref="D1:E1"/>
    <mergeCell ref="D2:E2"/>
    <mergeCell ref="G3:H3"/>
    <mergeCell ref="A4:C4"/>
    <mergeCell ref="E4:G4"/>
    <mergeCell ref="A25:C25"/>
    <mergeCell ref="E25:G25"/>
    <mergeCell ref="A28:H28"/>
    <mergeCell ref="D30:E30"/>
    <mergeCell ref="D31:E31"/>
    <mergeCell ref="G32:H32"/>
    <mergeCell ref="G33:H33"/>
    <mergeCell ref="A34:C34"/>
    <mergeCell ref="E34:G34"/>
    <mergeCell ref="A59:C59"/>
    <mergeCell ref="E59:G59"/>
  </mergeCells>
  <phoneticPr fontId="155"/>
  <pageMargins left="0.78749999999999998" right="0.39374999999999999" top="0.27569444444444402" bottom="0.31527777777777799" header="0.511811023622047" footer="0.31527777777777799"/>
  <pageSetup paperSize="9" firstPageNumber="47" orientation="portrait" useFirstPageNumber="1" horizontalDpi="300" verticalDpi="300"/>
  <headerFooter>
    <oddFooter>&amp;C&amp;"ＭＳ 明朝,Regular"- &amp;P -</oddFooter>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DB702-E430-4F3B-97D4-0B9784342EA3}">
  <sheetPr codeName="Sheet41"/>
  <dimension ref="A1:IW188"/>
  <sheetViews>
    <sheetView zoomScaleNormal="100" zoomScalePageLayoutView="60" workbookViewId="0">
      <selection sqref="A1:G1"/>
    </sheetView>
  </sheetViews>
  <sheetFormatPr defaultColWidth="10.6640625" defaultRowHeight="13.2"/>
  <cols>
    <col min="1" max="6" width="3.77734375" style="1338" customWidth="1"/>
    <col min="7" max="7" width="4" style="1338" customWidth="1"/>
    <col min="8" max="23" width="3.77734375" style="1338" customWidth="1"/>
    <col min="24" max="24" width="3.6640625" style="1338" customWidth="1"/>
    <col min="25" max="25" width="3" style="1338" customWidth="1"/>
    <col min="26" max="26" width="13.109375" style="1338" customWidth="1"/>
    <col min="27" max="257" width="10.6640625" style="1338"/>
  </cols>
  <sheetData>
    <row r="1" spans="1:24" ht="21.75" customHeight="1">
      <c r="I1" s="2698" t="s">
        <v>835</v>
      </c>
      <c r="J1" s="2698"/>
      <c r="K1" s="2698"/>
      <c r="L1" s="2698"/>
      <c r="M1" s="2698"/>
      <c r="N1" s="2698"/>
      <c r="O1" s="2698"/>
      <c r="P1" s="2698"/>
      <c r="Q1" s="2699"/>
      <c r="R1" s="2699"/>
      <c r="S1" s="2699"/>
      <c r="T1" s="2699"/>
      <c r="U1" s="2699"/>
      <c r="V1" s="2699"/>
      <c r="W1" s="2699"/>
      <c r="X1" s="2699"/>
    </row>
    <row r="2" spans="1:24" ht="9.75" customHeight="1">
      <c r="A2" s="1339"/>
      <c r="B2" s="1340"/>
      <c r="C2" s="1340"/>
      <c r="D2" s="1340"/>
      <c r="E2" s="1340"/>
      <c r="F2" s="1340"/>
      <c r="G2" s="1340"/>
      <c r="H2" s="1340"/>
      <c r="I2" s="1340"/>
      <c r="J2" s="1340"/>
      <c r="K2" s="1340"/>
      <c r="L2" s="1340"/>
      <c r="M2" s="1340"/>
      <c r="N2" s="1340"/>
      <c r="O2" s="1340"/>
      <c r="P2" s="1340"/>
      <c r="Q2" s="1340"/>
      <c r="R2" s="1340"/>
      <c r="S2" s="1340"/>
      <c r="T2" s="1340"/>
      <c r="U2" s="1340"/>
      <c r="V2" s="1340"/>
      <c r="W2" s="1340"/>
      <c r="X2" s="1340"/>
    </row>
    <row r="3" spans="1:24" s="1341" customFormat="1" ht="21" customHeight="1">
      <c r="A3" s="2845" t="s">
        <v>836</v>
      </c>
      <c r="B3" s="2845"/>
      <c r="C3" s="2845"/>
      <c r="D3" s="2845"/>
      <c r="E3" s="2845"/>
      <c r="F3" s="2845"/>
      <c r="G3" s="2779" t="s">
        <v>452</v>
      </c>
      <c r="H3" s="2779"/>
      <c r="I3" s="2779"/>
      <c r="J3" s="2779"/>
      <c r="K3" s="2779"/>
      <c r="L3" s="2779"/>
      <c r="M3" s="2779" t="s">
        <v>837</v>
      </c>
      <c r="N3" s="2779"/>
      <c r="O3" s="2779"/>
      <c r="P3" s="2779"/>
      <c r="Q3" s="2779"/>
      <c r="R3" s="2779"/>
      <c r="S3" s="2719" t="s">
        <v>838</v>
      </c>
      <c r="T3" s="2719"/>
      <c r="U3" s="2719"/>
      <c r="V3" s="2719"/>
      <c r="W3" s="2719"/>
      <c r="X3" s="2719"/>
    </row>
    <row r="4" spans="1:24" s="1341" customFormat="1" ht="9" customHeight="1">
      <c r="A4" s="1342"/>
      <c r="B4" s="1343"/>
      <c r="C4" s="1343"/>
      <c r="D4" s="1343"/>
      <c r="E4" s="1343"/>
      <c r="F4" s="1344"/>
      <c r="G4" s="1345"/>
      <c r="H4" s="1343"/>
      <c r="I4" s="1343"/>
      <c r="J4" s="1343"/>
      <c r="K4" s="1343"/>
      <c r="L4" s="1344"/>
      <c r="M4" s="1345"/>
      <c r="N4" s="1343"/>
      <c r="O4" s="1343"/>
      <c r="P4" s="1343"/>
      <c r="Q4" s="1343"/>
      <c r="R4" s="1346" t="s">
        <v>551</v>
      </c>
      <c r="S4" s="1345"/>
      <c r="T4" s="1343"/>
      <c r="U4" s="1343"/>
      <c r="V4" s="1343"/>
      <c r="W4" s="1343"/>
      <c r="X4" s="1347"/>
    </row>
    <row r="5" spans="1:24" s="1349" customFormat="1" ht="21.75" customHeight="1">
      <c r="A5" s="2713" t="s">
        <v>839</v>
      </c>
      <c r="B5" s="2713"/>
      <c r="C5" s="2713"/>
      <c r="D5" s="2713"/>
      <c r="E5" s="2713"/>
      <c r="F5" s="2713"/>
      <c r="G5" s="1925" t="s">
        <v>1015</v>
      </c>
      <c r="H5" s="1925"/>
      <c r="I5" s="1925"/>
      <c r="J5" s="1925"/>
      <c r="K5" s="1925"/>
      <c r="L5" s="1925"/>
      <c r="M5" s="2805">
        <v>72939159</v>
      </c>
      <c r="N5" s="2806"/>
      <c r="O5" s="2806"/>
      <c r="P5" s="2806"/>
      <c r="Q5" s="2806"/>
      <c r="R5" s="1348"/>
      <c r="S5" s="2846" t="s">
        <v>1016</v>
      </c>
      <c r="T5" s="2846"/>
      <c r="U5" s="2846"/>
      <c r="V5" s="2846"/>
      <c r="W5" s="2846"/>
      <c r="X5" s="2846"/>
    </row>
    <row r="6" spans="1:24" s="1341" customFormat="1" ht="18.899999999999999" customHeight="1">
      <c r="A6" s="2707" t="s">
        <v>460</v>
      </c>
      <c r="B6" s="2707"/>
      <c r="C6" s="2707"/>
      <c r="D6" s="2707"/>
      <c r="E6" s="2707"/>
      <c r="F6" s="2707"/>
      <c r="G6" s="2844"/>
      <c r="H6" s="2844"/>
      <c r="I6" s="2844"/>
      <c r="J6" s="2844"/>
      <c r="K6" s="2844"/>
      <c r="L6" s="2844"/>
      <c r="M6" s="2799">
        <f>SUM(M5)</f>
        <v>72939159</v>
      </c>
      <c r="N6" s="2799"/>
      <c r="O6" s="2799"/>
      <c r="P6" s="2799"/>
      <c r="Q6" s="2799"/>
      <c r="R6" s="1350"/>
      <c r="S6" s="2811"/>
      <c r="T6" s="2811"/>
      <c r="U6" s="2811"/>
      <c r="V6" s="2811"/>
      <c r="W6" s="2811"/>
      <c r="X6" s="2811"/>
    </row>
    <row r="7" spans="1:24" ht="14.25" customHeight="1">
      <c r="B7" s="1351"/>
      <c r="C7" s="1352"/>
      <c r="D7" s="1352"/>
      <c r="E7" s="1352"/>
      <c r="F7" s="1352"/>
      <c r="G7" s="1352"/>
    </row>
    <row r="8" spans="1:24" ht="21" customHeight="1">
      <c r="I8" s="2698" t="s">
        <v>846</v>
      </c>
      <c r="J8" s="2698"/>
      <c r="K8" s="2698"/>
      <c r="L8" s="2698"/>
      <c r="M8" s="2698"/>
      <c r="N8" s="2698"/>
      <c r="O8" s="2698"/>
      <c r="P8" s="2698"/>
      <c r="Q8" s="2699"/>
      <c r="R8" s="2699"/>
      <c r="S8" s="2699"/>
      <c r="T8" s="2699"/>
      <c r="U8" s="2699"/>
      <c r="V8" s="2699"/>
      <c r="W8" s="2699"/>
      <c r="X8" s="2699"/>
    </row>
    <row r="9" spans="1:24" ht="9.75" customHeight="1"/>
    <row r="10" spans="1:24" ht="20.25" customHeight="1">
      <c r="A10" s="2717" t="s">
        <v>847</v>
      </c>
      <c r="B10" s="2717"/>
      <c r="C10" s="2717"/>
      <c r="D10" s="2717"/>
      <c r="E10" s="2717"/>
      <c r="F10" s="2717"/>
      <c r="G10" s="2779" t="s">
        <v>837</v>
      </c>
      <c r="H10" s="2779"/>
      <c r="I10" s="2779"/>
      <c r="J10" s="2779"/>
      <c r="K10" s="2779"/>
      <c r="L10" s="2779"/>
      <c r="M10" s="2779" t="s">
        <v>848</v>
      </c>
      <c r="N10" s="2779"/>
      <c r="O10" s="2779"/>
      <c r="P10" s="2779"/>
      <c r="Q10" s="2779"/>
      <c r="R10" s="2779"/>
      <c r="S10" s="2719" t="s">
        <v>838</v>
      </c>
      <c r="T10" s="2719"/>
      <c r="U10" s="2719"/>
      <c r="V10" s="2719"/>
      <c r="W10" s="2719"/>
      <c r="X10" s="2719"/>
    </row>
    <row r="11" spans="1:24" ht="9" customHeight="1">
      <c r="A11" s="1342"/>
      <c r="B11" s="1343"/>
      <c r="C11" s="1343"/>
      <c r="D11" s="1343"/>
      <c r="E11" s="1343"/>
      <c r="F11" s="1344"/>
      <c r="G11" s="1345"/>
      <c r="H11" s="1343"/>
      <c r="I11" s="1343"/>
      <c r="J11" s="1343"/>
      <c r="K11" s="1343"/>
      <c r="L11" s="1346" t="s">
        <v>551</v>
      </c>
      <c r="M11" s="1345"/>
      <c r="N11" s="1343"/>
      <c r="O11" s="1343"/>
      <c r="P11" s="1343"/>
      <c r="Q11" s="1343"/>
      <c r="R11" s="1353"/>
      <c r="S11" s="1345"/>
      <c r="T11" s="1343"/>
      <c r="U11" s="1343"/>
      <c r="V11" s="1343"/>
      <c r="W11" s="1343"/>
      <c r="X11" s="1347"/>
    </row>
    <row r="12" spans="1:24" s="1349" customFormat="1" ht="21.75" customHeight="1">
      <c r="A12" s="2804" t="s">
        <v>217</v>
      </c>
      <c r="B12" s="2804"/>
      <c r="C12" s="2804"/>
      <c r="D12" s="2804"/>
      <c r="E12" s="2804"/>
      <c r="F12" s="2804"/>
      <c r="G12" s="2805">
        <v>194420</v>
      </c>
      <c r="H12" s="2806"/>
      <c r="I12" s="2806"/>
      <c r="J12" s="2806"/>
      <c r="K12" s="2806"/>
      <c r="L12" s="1354"/>
      <c r="M12" s="2842" t="s">
        <v>1017</v>
      </c>
      <c r="N12" s="2842"/>
      <c r="O12" s="2842"/>
      <c r="P12" s="2842"/>
      <c r="Q12" s="2842"/>
      <c r="R12" s="2842"/>
      <c r="S12" s="2843" t="s">
        <v>1018</v>
      </c>
      <c r="T12" s="2843"/>
      <c r="U12" s="2843"/>
      <c r="V12" s="2843"/>
      <c r="W12" s="2843"/>
      <c r="X12" s="2843"/>
    </row>
    <row r="13" spans="1:24" s="1349" customFormat="1" ht="21.75" hidden="1" customHeight="1">
      <c r="A13" s="2804" t="s">
        <v>211</v>
      </c>
      <c r="B13" s="2804"/>
      <c r="C13" s="2804"/>
      <c r="D13" s="2804"/>
      <c r="E13" s="2804"/>
      <c r="F13" s="2804"/>
      <c r="G13" s="2806"/>
      <c r="H13" s="2806"/>
      <c r="I13" s="2806"/>
      <c r="J13" s="2806"/>
      <c r="K13" s="2806"/>
      <c r="L13" s="1354"/>
      <c r="M13" s="2842" t="s">
        <v>967</v>
      </c>
      <c r="N13" s="2842"/>
      <c r="O13" s="2842"/>
      <c r="P13" s="2842"/>
      <c r="Q13" s="2842"/>
      <c r="R13" s="2842"/>
      <c r="S13" s="2843" t="s">
        <v>1019</v>
      </c>
      <c r="T13" s="2843"/>
      <c r="U13" s="2843"/>
      <c r="V13" s="2843"/>
      <c r="W13" s="2843"/>
      <c r="X13" s="2843"/>
    </row>
    <row r="14" spans="1:24" ht="21" customHeight="1">
      <c r="A14" s="2707" t="s">
        <v>460</v>
      </c>
      <c r="B14" s="2707"/>
      <c r="C14" s="2707"/>
      <c r="D14" s="2707"/>
      <c r="E14" s="2707"/>
      <c r="F14" s="2707"/>
      <c r="G14" s="2799">
        <f>SUM(G12:K13)</f>
        <v>194420</v>
      </c>
      <c r="H14" s="2799"/>
      <c r="I14" s="2799"/>
      <c r="J14" s="2799"/>
      <c r="K14" s="2799"/>
      <c r="L14" s="1355"/>
      <c r="M14" s="2810"/>
      <c r="N14" s="2810"/>
      <c r="O14" s="2810"/>
      <c r="P14" s="2810"/>
      <c r="Q14" s="2810"/>
      <c r="R14" s="2810"/>
      <c r="S14" s="2811"/>
      <c r="T14" s="2811"/>
      <c r="U14" s="2811"/>
      <c r="V14" s="2811"/>
      <c r="W14" s="2811"/>
      <c r="X14" s="2811"/>
    </row>
    <row r="15" spans="1:24" ht="14.25" customHeight="1"/>
    <row r="16" spans="1:24" ht="21" hidden="1" customHeight="1">
      <c r="I16" s="2698" t="s">
        <v>1020</v>
      </c>
      <c r="J16" s="2698"/>
      <c r="K16" s="2698"/>
      <c r="L16" s="2698"/>
      <c r="M16" s="2698"/>
      <c r="N16" s="2698"/>
      <c r="O16" s="2698"/>
      <c r="P16" s="2698"/>
      <c r="Q16" s="2699"/>
      <c r="R16" s="2699"/>
      <c r="S16" s="2699"/>
      <c r="T16" s="2699"/>
      <c r="U16" s="2699"/>
      <c r="V16" s="2699"/>
      <c r="W16" s="2699"/>
      <c r="X16" s="2699"/>
    </row>
    <row r="17" spans="1:24" ht="9.75" hidden="1" customHeight="1"/>
    <row r="18" spans="1:24" ht="20.25" hidden="1" customHeight="1">
      <c r="A18" s="2717" t="s">
        <v>1021</v>
      </c>
      <c r="B18" s="2717"/>
      <c r="C18" s="2717"/>
      <c r="D18" s="2779" t="s">
        <v>1022</v>
      </c>
      <c r="E18" s="2779"/>
      <c r="F18" s="2779"/>
      <c r="G18" s="2779"/>
      <c r="H18" s="2779"/>
      <c r="I18" s="2779"/>
      <c r="J18" s="2779"/>
      <c r="K18" s="2779" t="s">
        <v>1023</v>
      </c>
      <c r="L18" s="2779"/>
      <c r="M18" s="2779"/>
      <c r="N18" s="2779"/>
      <c r="O18" s="2779"/>
      <c r="P18" s="2779"/>
      <c r="Q18" s="2779"/>
      <c r="R18" s="2779"/>
      <c r="S18" s="2841" t="s">
        <v>1024</v>
      </c>
      <c r="T18" s="2841"/>
      <c r="U18" s="2841"/>
      <c r="V18" s="2719" t="s">
        <v>529</v>
      </c>
      <c r="W18" s="2719"/>
      <c r="X18" s="2719"/>
    </row>
    <row r="19" spans="1:24" ht="20.25" hidden="1" customHeight="1">
      <c r="A19" s="2717"/>
      <c r="B19" s="2717"/>
      <c r="C19" s="2717"/>
      <c r="D19" s="2779"/>
      <c r="E19" s="2779"/>
      <c r="F19" s="2779"/>
      <c r="G19" s="2779"/>
      <c r="H19" s="2779"/>
      <c r="I19" s="2779"/>
      <c r="J19" s="2779"/>
      <c r="K19" s="1839" t="s">
        <v>866</v>
      </c>
      <c r="L19" s="1839"/>
      <c r="M19" s="1839"/>
      <c r="N19" s="1839" t="s">
        <v>867</v>
      </c>
      <c r="O19" s="1839"/>
      <c r="P19" s="1839" t="s">
        <v>868</v>
      </c>
      <c r="Q19" s="1839"/>
      <c r="R19" s="1839"/>
      <c r="S19" s="2841"/>
      <c r="T19" s="2841"/>
      <c r="U19" s="2841"/>
      <c r="V19" s="2719"/>
      <c r="W19" s="2719"/>
      <c r="X19" s="2719"/>
    </row>
    <row r="20" spans="1:24" ht="9" hidden="1" customHeight="1">
      <c r="A20" s="1342"/>
      <c r="B20" s="1343"/>
      <c r="C20" s="1344"/>
      <c r="D20" s="1345"/>
      <c r="E20" s="1343"/>
      <c r="F20" s="1343"/>
      <c r="G20" s="1343"/>
      <c r="H20" s="1343"/>
      <c r="I20" s="1343"/>
      <c r="J20" s="1344"/>
      <c r="K20" s="1343"/>
      <c r="L20" s="1356"/>
      <c r="M20" s="1343"/>
      <c r="N20" s="1345"/>
      <c r="O20" s="1344"/>
      <c r="P20" s="1345"/>
      <c r="Q20" s="1343"/>
      <c r="R20" s="1346" t="s">
        <v>551</v>
      </c>
      <c r="S20" s="1345"/>
      <c r="T20" s="1343"/>
      <c r="U20" s="1346" t="s">
        <v>551</v>
      </c>
      <c r="V20" s="1345"/>
      <c r="W20" s="1343"/>
      <c r="X20" s="1347"/>
    </row>
    <row r="21" spans="1:24" s="1349" customFormat="1" ht="21.75" hidden="1" customHeight="1">
      <c r="A21" s="2768" t="s">
        <v>1025</v>
      </c>
      <c r="B21" s="2768"/>
      <c r="C21" s="2768"/>
      <c r="D21" s="2833"/>
      <c r="E21" s="2833"/>
      <c r="F21" s="2833"/>
      <c r="G21" s="2833"/>
      <c r="H21" s="2833"/>
      <c r="I21" s="2833"/>
      <c r="J21" s="2833"/>
      <c r="K21" s="2834"/>
      <c r="L21" s="2834"/>
      <c r="M21" s="2834"/>
      <c r="N21" s="2835"/>
      <c r="O21" s="2835"/>
      <c r="P21" s="2836"/>
      <c r="Q21" s="2836"/>
      <c r="R21" s="1357"/>
      <c r="S21" s="2836"/>
      <c r="T21" s="2836"/>
      <c r="U21" s="1358"/>
      <c r="V21" s="2837"/>
      <c r="W21" s="2837"/>
      <c r="X21" s="2837"/>
    </row>
    <row r="22" spans="1:24" s="1349" customFormat="1" ht="21.75" hidden="1" customHeight="1">
      <c r="A22" s="2768" t="s">
        <v>1025</v>
      </c>
      <c r="B22" s="2768"/>
      <c r="C22" s="2768"/>
      <c r="D22" s="2838"/>
      <c r="E22" s="2838"/>
      <c r="F22" s="2838"/>
      <c r="G22" s="2838"/>
      <c r="H22" s="2838"/>
      <c r="I22" s="2838"/>
      <c r="J22" s="2838"/>
      <c r="K22" s="2834"/>
      <c r="L22" s="2834"/>
      <c r="M22" s="2834"/>
      <c r="N22" s="2835"/>
      <c r="O22" s="2835"/>
      <c r="P22" s="2839"/>
      <c r="Q22" s="2839"/>
      <c r="R22" s="1359"/>
      <c r="S22" s="2839"/>
      <c r="T22" s="2839"/>
      <c r="U22" s="1360"/>
      <c r="V22" s="2840"/>
      <c r="W22" s="2840"/>
      <c r="X22" s="2840"/>
    </row>
    <row r="23" spans="1:24" ht="21" hidden="1" customHeight="1">
      <c r="A23" s="2707" t="s">
        <v>476</v>
      </c>
      <c r="B23" s="2707"/>
      <c r="C23" s="2707"/>
      <c r="D23" s="2707"/>
      <c r="E23" s="2707"/>
      <c r="F23" s="2707"/>
      <c r="G23" s="2707"/>
      <c r="H23" s="2707"/>
      <c r="I23" s="2707"/>
      <c r="J23" s="2707"/>
      <c r="K23" s="2707"/>
      <c r="L23" s="2707"/>
      <c r="M23" s="2707"/>
      <c r="N23" s="2707"/>
      <c r="O23" s="2707"/>
      <c r="P23" s="2799">
        <f>SUM(P21:Q22)</f>
        <v>0</v>
      </c>
      <c r="Q23" s="2799"/>
      <c r="R23" s="1361"/>
      <c r="S23" s="2831">
        <f>SUM(S21:T22)</f>
        <v>0</v>
      </c>
      <c r="T23" s="2831"/>
      <c r="U23" s="1362"/>
      <c r="V23" s="2832"/>
      <c r="W23" s="2832"/>
      <c r="X23" s="2832"/>
    </row>
    <row r="24" spans="1:24" ht="14.25" hidden="1" customHeight="1"/>
    <row r="25" spans="1:24" ht="21" customHeight="1">
      <c r="I25" s="2698" t="s">
        <v>851</v>
      </c>
      <c r="J25" s="2698"/>
      <c r="K25" s="2698"/>
      <c r="L25" s="2698"/>
      <c r="M25" s="2698"/>
      <c r="N25" s="2698"/>
      <c r="O25" s="2698"/>
      <c r="P25" s="2698"/>
      <c r="Q25" s="2699"/>
      <c r="R25" s="2699"/>
      <c r="S25" s="2699"/>
      <c r="T25" s="2699"/>
      <c r="U25" s="2699"/>
      <c r="V25" s="2699"/>
      <c r="W25" s="2699"/>
      <c r="X25" s="2699"/>
    </row>
    <row r="26" spans="1:24" ht="9.75" customHeight="1">
      <c r="A26" s="1339"/>
      <c r="B26" s="1340"/>
      <c r="C26" s="1340"/>
      <c r="D26" s="1340"/>
      <c r="E26" s="1340"/>
      <c r="F26" s="1340"/>
      <c r="G26" s="1340"/>
      <c r="H26" s="1340"/>
      <c r="I26" s="1340"/>
      <c r="J26" s="1340"/>
      <c r="K26" s="1340"/>
      <c r="L26" s="1340"/>
      <c r="M26" s="1340"/>
      <c r="N26" s="1340"/>
      <c r="O26" s="1340"/>
      <c r="P26" s="1340"/>
      <c r="Q26" s="1340"/>
      <c r="R26" s="1340"/>
      <c r="S26" s="1340"/>
      <c r="T26" s="1340"/>
      <c r="U26" s="1340"/>
      <c r="V26" s="1340"/>
      <c r="W26" s="1340"/>
      <c r="X26" s="1340"/>
    </row>
    <row r="27" spans="1:24" s="1341" customFormat="1" ht="21" customHeight="1">
      <c r="A27" s="2717" t="s">
        <v>847</v>
      </c>
      <c r="B27" s="2717"/>
      <c r="C27" s="2717"/>
      <c r="D27" s="2717"/>
      <c r="E27" s="2717"/>
      <c r="F27" s="2717"/>
      <c r="G27" s="2779" t="s">
        <v>837</v>
      </c>
      <c r="H27" s="2779"/>
      <c r="I27" s="2779"/>
      <c r="J27" s="2779"/>
      <c r="K27" s="2779"/>
      <c r="L27" s="2779"/>
      <c r="M27" s="2779" t="s">
        <v>848</v>
      </c>
      <c r="N27" s="2779"/>
      <c r="O27" s="2779"/>
      <c r="P27" s="2779"/>
      <c r="Q27" s="2779"/>
      <c r="R27" s="2779"/>
      <c r="S27" s="2719" t="s">
        <v>838</v>
      </c>
      <c r="T27" s="2719"/>
      <c r="U27" s="2719"/>
      <c r="V27" s="2719"/>
      <c r="W27" s="2719"/>
      <c r="X27" s="2719"/>
    </row>
    <row r="28" spans="1:24" s="1341" customFormat="1" ht="9" customHeight="1">
      <c r="A28" s="1342"/>
      <c r="B28" s="1343"/>
      <c r="C28" s="1343"/>
      <c r="D28" s="1343"/>
      <c r="E28" s="1343"/>
      <c r="F28" s="1344"/>
      <c r="G28" s="1345"/>
      <c r="H28" s="1343"/>
      <c r="I28" s="1343"/>
      <c r="J28" s="1343"/>
      <c r="K28" s="1343"/>
      <c r="L28" s="1346" t="s">
        <v>551</v>
      </c>
      <c r="M28" s="1345"/>
      <c r="N28" s="1343"/>
      <c r="O28" s="1343"/>
      <c r="P28" s="1343"/>
      <c r="Q28" s="1343"/>
      <c r="R28" s="1353"/>
      <c r="S28" s="1345"/>
      <c r="T28" s="1343"/>
      <c r="U28" s="1343"/>
      <c r="V28" s="1343"/>
      <c r="W28" s="1343"/>
      <c r="X28" s="1347"/>
    </row>
    <row r="29" spans="1:24" s="1341" customFormat="1" ht="21.75" hidden="1" customHeight="1">
      <c r="A29" s="2804" t="s">
        <v>125</v>
      </c>
      <c r="B29" s="2804"/>
      <c r="C29" s="2804"/>
      <c r="D29" s="2804"/>
      <c r="E29" s="2804"/>
      <c r="F29" s="2804"/>
      <c r="G29" s="2806"/>
      <c r="H29" s="2806"/>
      <c r="I29" s="2806"/>
      <c r="J29" s="2806"/>
      <c r="K29" s="2806"/>
      <c r="L29" s="1354"/>
      <c r="M29" s="2807" t="s">
        <v>1026</v>
      </c>
      <c r="N29" s="2807"/>
      <c r="O29" s="2807"/>
      <c r="P29" s="2807"/>
      <c r="Q29" s="2807"/>
      <c r="R29" s="2807"/>
      <c r="S29" s="2827" t="s">
        <v>1027</v>
      </c>
      <c r="T29" s="2827"/>
      <c r="U29" s="2827"/>
      <c r="V29" s="2827"/>
      <c r="W29" s="2827"/>
      <c r="X29" s="2827"/>
    </row>
    <row r="30" spans="1:24" s="1341" customFormat="1" ht="21.75" hidden="1" customHeight="1">
      <c r="A30" s="2804" t="s">
        <v>125</v>
      </c>
      <c r="B30" s="2804"/>
      <c r="C30" s="2804"/>
      <c r="D30" s="2804"/>
      <c r="E30" s="2804"/>
      <c r="F30" s="2804"/>
      <c r="G30" s="2806"/>
      <c r="H30" s="2806"/>
      <c r="I30" s="2806"/>
      <c r="J30" s="2806"/>
      <c r="K30" s="2806"/>
      <c r="L30" s="1354"/>
      <c r="M30" s="2807" t="s">
        <v>1028</v>
      </c>
      <c r="N30" s="2807"/>
      <c r="O30" s="2807"/>
      <c r="P30" s="2807"/>
      <c r="Q30" s="2807"/>
      <c r="R30" s="2807"/>
      <c r="S30" s="2827" t="s">
        <v>1029</v>
      </c>
      <c r="T30" s="2827"/>
      <c r="U30" s="2827"/>
      <c r="V30" s="2827"/>
      <c r="W30" s="2827"/>
      <c r="X30" s="2827"/>
    </row>
    <row r="31" spans="1:24" s="1363" customFormat="1" ht="21.75" customHeight="1">
      <c r="A31" s="2804" t="s">
        <v>126</v>
      </c>
      <c r="B31" s="2804"/>
      <c r="C31" s="2804"/>
      <c r="D31" s="2804"/>
      <c r="E31" s="2804"/>
      <c r="F31" s="2804"/>
      <c r="G31" s="2806">
        <f>短期_附属明細表!G74</f>
        <v>11834281</v>
      </c>
      <c r="H31" s="2806"/>
      <c r="I31" s="2806"/>
      <c r="J31" s="2806"/>
      <c r="K31" s="2806"/>
      <c r="L31" s="1354"/>
      <c r="M31" s="2807" t="s">
        <v>1030</v>
      </c>
      <c r="N31" s="2807"/>
      <c r="O31" s="2807"/>
      <c r="P31" s="2807"/>
      <c r="Q31" s="2807"/>
      <c r="R31" s="2807"/>
      <c r="S31" s="2813" t="s">
        <v>1031</v>
      </c>
      <c r="T31" s="2813"/>
      <c r="U31" s="2813"/>
      <c r="V31" s="2813"/>
      <c r="W31" s="2813"/>
      <c r="X31" s="2813"/>
    </row>
    <row r="32" spans="1:24" s="1363" customFormat="1" ht="18.899999999999999" customHeight="1">
      <c r="A32" s="2707" t="s">
        <v>460</v>
      </c>
      <c r="B32" s="2707"/>
      <c r="C32" s="2707"/>
      <c r="D32" s="2707"/>
      <c r="E32" s="2707"/>
      <c r="F32" s="2707"/>
      <c r="G32" s="2799">
        <f>SUM(G29:K31)</f>
        <v>11834281</v>
      </c>
      <c r="H32" s="2799"/>
      <c r="I32" s="2799"/>
      <c r="J32" s="2799"/>
      <c r="K32" s="2799"/>
      <c r="L32" s="1355"/>
      <c r="M32" s="2810"/>
      <c r="N32" s="2810"/>
      <c r="O32" s="2810"/>
      <c r="P32" s="2810"/>
      <c r="Q32" s="2810"/>
      <c r="R32" s="2810"/>
      <c r="S32" s="2811"/>
      <c r="T32" s="2811"/>
      <c r="U32" s="2811"/>
      <c r="V32" s="2811"/>
      <c r="W32" s="2811"/>
      <c r="X32" s="2811"/>
    </row>
    <row r="33" spans="1:24" ht="14.25" customHeight="1">
      <c r="B33" s="1351"/>
      <c r="C33" s="1352"/>
      <c r="D33" s="1352"/>
      <c r="E33" s="1352"/>
      <c r="F33" s="1352"/>
      <c r="G33" s="1352"/>
    </row>
    <row r="34" spans="1:24" ht="20.25" customHeight="1">
      <c r="I34" s="2698" t="s">
        <v>855</v>
      </c>
      <c r="J34" s="2698"/>
      <c r="K34" s="2698"/>
      <c r="L34" s="2698"/>
      <c r="M34" s="2698"/>
      <c r="N34" s="2698"/>
      <c r="O34" s="2698"/>
      <c r="P34" s="2698"/>
      <c r="Q34" s="2699"/>
      <c r="R34" s="2699"/>
      <c r="S34" s="2699"/>
      <c r="T34" s="2699"/>
      <c r="U34" s="2699"/>
      <c r="V34" s="2699"/>
      <c r="W34" s="2699"/>
      <c r="X34" s="2699"/>
    </row>
    <row r="35" spans="1:24" ht="9.75" customHeight="1">
      <c r="A35" s="1339"/>
      <c r="B35" s="1340"/>
      <c r="C35" s="1340"/>
      <c r="D35" s="1340"/>
      <c r="E35" s="1340"/>
      <c r="F35" s="1340"/>
      <c r="G35" s="1340"/>
      <c r="H35" s="1340"/>
      <c r="I35" s="1340"/>
      <c r="J35" s="1340"/>
      <c r="K35" s="1340"/>
      <c r="L35" s="1340"/>
      <c r="M35" s="1340"/>
      <c r="N35" s="1340"/>
      <c r="O35" s="1340"/>
      <c r="P35" s="1340"/>
      <c r="Q35" s="1340"/>
      <c r="R35" s="1340"/>
      <c r="S35" s="1340"/>
      <c r="T35" s="1340"/>
      <c r="U35" s="1340"/>
      <c r="V35" s="1340"/>
      <c r="W35" s="1340"/>
      <c r="X35" s="1340"/>
    </row>
    <row r="36" spans="1:24" s="1341" customFormat="1" ht="21" customHeight="1">
      <c r="A36" s="2717" t="s">
        <v>847</v>
      </c>
      <c r="B36" s="2717"/>
      <c r="C36" s="2717"/>
      <c r="D36" s="2717"/>
      <c r="E36" s="2717"/>
      <c r="F36" s="2717"/>
      <c r="G36" s="2779" t="s">
        <v>837</v>
      </c>
      <c r="H36" s="2779"/>
      <c r="I36" s="2779"/>
      <c r="J36" s="2779"/>
      <c r="K36" s="2779"/>
      <c r="L36" s="2779"/>
      <c r="M36" s="2779" t="s">
        <v>848</v>
      </c>
      <c r="N36" s="2779"/>
      <c r="O36" s="2779"/>
      <c r="P36" s="2779"/>
      <c r="Q36" s="2779"/>
      <c r="R36" s="2779"/>
      <c r="S36" s="2719" t="s">
        <v>838</v>
      </c>
      <c r="T36" s="2719"/>
      <c r="U36" s="2719"/>
      <c r="V36" s="2719"/>
      <c r="W36" s="2719"/>
      <c r="X36" s="2719"/>
    </row>
    <row r="37" spans="1:24" s="1341" customFormat="1" ht="9" customHeight="1">
      <c r="A37" s="1342"/>
      <c r="B37" s="1343"/>
      <c r="C37" s="1343"/>
      <c r="D37" s="1343"/>
      <c r="E37" s="1343"/>
      <c r="F37" s="1344"/>
      <c r="G37" s="1345"/>
      <c r="H37" s="1343"/>
      <c r="I37" s="1343"/>
      <c r="J37" s="1343"/>
      <c r="K37" s="1343"/>
      <c r="L37" s="1346" t="s">
        <v>551</v>
      </c>
      <c r="M37" s="1345"/>
      <c r="N37" s="1343"/>
      <c r="O37" s="1343"/>
      <c r="P37" s="1343"/>
      <c r="Q37" s="1343"/>
      <c r="R37" s="1353"/>
      <c r="S37" s="1345"/>
      <c r="T37" s="1343"/>
      <c r="U37" s="1343"/>
      <c r="V37" s="1343"/>
      <c r="W37" s="1343"/>
      <c r="X37" s="1347"/>
    </row>
    <row r="38" spans="1:24" s="1341" customFormat="1" ht="21.75" customHeight="1">
      <c r="A38" s="2804" t="s">
        <v>217</v>
      </c>
      <c r="B38" s="2804"/>
      <c r="C38" s="2804"/>
      <c r="D38" s="2804"/>
      <c r="E38" s="2804"/>
      <c r="F38" s="2804"/>
      <c r="G38" s="2824">
        <v>2356</v>
      </c>
      <c r="H38" s="2825"/>
      <c r="I38" s="2825"/>
      <c r="J38" s="2825"/>
      <c r="K38" s="2825"/>
      <c r="L38" s="1364"/>
      <c r="M38" s="2826" t="s">
        <v>842</v>
      </c>
      <c r="N38" s="2826"/>
      <c r="O38" s="2826"/>
      <c r="P38" s="2826"/>
      <c r="Q38" s="2826"/>
      <c r="R38" s="2826"/>
      <c r="S38" s="2827" t="s">
        <v>1032</v>
      </c>
      <c r="T38" s="2827"/>
      <c r="U38" s="2827"/>
      <c r="V38" s="2827"/>
      <c r="W38" s="2827"/>
      <c r="X38" s="2827"/>
    </row>
    <row r="39" spans="1:24" s="1349" customFormat="1" ht="21.75" customHeight="1">
      <c r="A39" s="2812" t="s">
        <v>131</v>
      </c>
      <c r="B39" s="2812"/>
      <c r="C39" s="2812"/>
      <c r="D39" s="2812"/>
      <c r="E39" s="2812"/>
      <c r="F39" s="2812"/>
      <c r="G39" s="2818">
        <v>846685</v>
      </c>
      <c r="H39" s="2819"/>
      <c r="I39" s="2819"/>
      <c r="J39" s="2819"/>
      <c r="K39" s="2819"/>
      <c r="L39" s="1365"/>
      <c r="M39" s="2828" t="s">
        <v>1033</v>
      </c>
      <c r="N39" s="2828"/>
      <c r="O39" s="2828"/>
      <c r="P39" s="2828"/>
      <c r="Q39" s="2828"/>
      <c r="R39" s="2828"/>
      <c r="S39" s="2829" t="s">
        <v>1034</v>
      </c>
      <c r="T39" s="2829"/>
      <c r="U39" s="2829"/>
      <c r="V39" s="2829"/>
      <c r="W39" s="2829"/>
      <c r="X39" s="2829"/>
    </row>
    <row r="40" spans="1:24" s="1349" customFormat="1" ht="21.9" customHeight="1">
      <c r="A40" s="2812" t="s">
        <v>133</v>
      </c>
      <c r="B40" s="2812"/>
      <c r="C40" s="2812"/>
      <c r="D40" s="2812"/>
      <c r="E40" s="2812"/>
      <c r="F40" s="2812"/>
      <c r="G40" s="2818">
        <v>1576505</v>
      </c>
      <c r="H40" s="2819"/>
      <c r="I40" s="2819"/>
      <c r="J40" s="2819"/>
      <c r="K40" s="2819"/>
      <c r="L40" s="1365"/>
      <c r="M40" s="2830" t="s">
        <v>1035</v>
      </c>
      <c r="N40" s="2830"/>
      <c r="O40" s="2830"/>
      <c r="P40" s="2830"/>
      <c r="Q40" s="2830"/>
      <c r="R40" s="2830"/>
      <c r="S40" s="2829" t="s">
        <v>1036</v>
      </c>
      <c r="T40" s="2829"/>
      <c r="U40" s="2829"/>
      <c r="V40" s="2829"/>
      <c r="W40" s="2829"/>
      <c r="X40" s="2829"/>
    </row>
    <row r="41" spans="1:24" s="1349" customFormat="1" ht="21.9" customHeight="1">
      <c r="A41" s="2812" t="s">
        <v>135</v>
      </c>
      <c r="B41" s="2812"/>
      <c r="C41" s="2812"/>
      <c r="D41" s="2812"/>
      <c r="E41" s="2812"/>
      <c r="F41" s="2812"/>
      <c r="G41" s="2818">
        <v>46537</v>
      </c>
      <c r="H41" s="2819"/>
      <c r="I41" s="2819"/>
      <c r="J41" s="2819"/>
      <c r="K41" s="2819"/>
      <c r="L41" s="1365"/>
      <c r="M41" s="2820" t="s">
        <v>1037</v>
      </c>
      <c r="N41" s="2820"/>
      <c r="O41" s="2820"/>
      <c r="P41" s="2820"/>
      <c r="Q41" s="2820"/>
      <c r="R41" s="2820"/>
      <c r="S41" s="2821" t="s">
        <v>1038</v>
      </c>
      <c r="T41" s="2821"/>
      <c r="U41" s="2821"/>
      <c r="V41" s="2821"/>
      <c r="W41" s="2821"/>
      <c r="X41" s="2821"/>
    </row>
    <row r="42" spans="1:24" s="1349" customFormat="1" ht="21.9" customHeight="1">
      <c r="A42" s="2812" t="s">
        <v>137</v>
      </c>
      <c r="B42" s="2812"/>
      <c r="C42" s="2812"/>
      <c r="D42" s="2812"/>
      <c r="E42" s="2812"/>
      <c r="F42" s="2812"/>
      <c r="G42" s="2805">
        <v>1020091</v>
      </c>
      <c r="H42" s="2806"/>
      <c r="I42" s="2806"/>
      <c r="J42" s="2806"/>
      <c r="K42" s="2806"/>
      <c r="L42" s="1365"/>
      <c r="M42" s="2822" t="s">
        <v>1039</v>
      </c>
      <c r="N42" s="2822"/>
      <c r="O42" s="2822"/>
      <c r="P42" s="2822"/>
      <c r="Q42" s="2822"/>
      <c r="R42" s="2822"/>
      <c r="S42" s="2823" t="s">
        <v>1040</v>
      </c>
      <c r="T42" s="2823"/>
      <c r="U42" s="2823"/>
      <c r="V42" s="2823"/>
      <c r="W42" s="2823"/>
      <c r="X42" s="2823"/>
    </row>
    <row r="43" spans="1:24" s="1349" customFormat="1" ht="21.9" customHeight="1">
      <c r="A43" s="2812" t="s">
        <v>138</v>
      </c>
      <c r="B43" s="2812"/>
      <c r="C43" s="2812"/>
      <c r="D43" s="2812"/>
      <c r="E43" s="2812"/>
      <c r="F43" s="2812"/>
      <c r="G43" s="2805">
        <v>689790</v>
      </c>
      <c r="H43" s="2806"/>
      <c r="I43" s="2806"/>
      <c r="J43" s="2806"/>
      <c r="K43" s="2806"/>
      <c r="L43" s="1365"/>
      <c r="M43" s="2822" t="s">
        <v>1041</v>
      </c>
      <c r="N43" s="2822"/>
      <c r="O43" s="2822"/>
      <c r="P43" s="2822"/>
      <c r="Q43" s="2822"/>
      <c r="R43" s="2822"/>
      <c r="S43" s="2813" t="s">
        <v>1042</v>
      </c>
      <c r="T43" s="2813"/>
      <c r="U43" s="2813"/>
      <c r="V43" s="2813"/>
      <c r="W43" s="2813"/>
      <c r="X43" s="2813"/>
    </row>
    <row r="44" spans="1:24" s="1349" customFormat="1" ht="21.9" customHeight="1">
      <c r="A44" s="2812" t="s">
        <v>125</v>
      </c>
      <c r="B44" s="2812"/>
      <c r="C44" s="2812"/>
      <c r="D44" s="2812"/>
      <c r="E44" s="2812"/>
      <c r="F44" s="2812"/>
      <c r="G44" s="2805">
        <v>103564</v>
      </c>
      <c r="H44" s="2806"/>
      <c r="I44" s="2806"/>
      <c r="J44" s="2806"/>
      <c r="K44" s="2806"/>
      <c r="L44" s="1365"/>
      <c r="M44" s="2809" t="s">
        <v>1043</v>
      </c>
      <c r="N44" s="2809"/>
      <c r="O44" s="2809"/>
      <c r="P44" s="2809"/>
      <c r="Q44" s="2809"/>
      <c r="R44" s="2809"/>
      <c r="S44" s="2813" t="s">
        <v>1044</v>
      </c>
      <c r="T44" s="2813"/>
      <c r="U44" s="2813"/>
      <c r="V44" s="2813"/>
      <c r="W44" s="2813"/>
      <c r="X44" s="2813"/>
    </row>
    <row r="45" spans="1:24" s="1349" customFormat="1" ht="21.9" customHeight="1">
      <c r="A45" s="2812" t="s">
        <v>125</v>
      </c>
      <c r="B45" s="2812"/>
      <c r="C45" s="2812"/>
      <c r="D45" s="2812"/>
      <c r="E45" s="2812"/>
      <c r="F45" s="2812"/>
      <c r="G45" s="2805">
        <v>5312157</v>
      </c>
      <c r="H45" s="2806"/>
      <c r="I45" s="2806"/>
      <c r="J45" s="2806"/>
      <c r="K45" s="2806"/>
      <c r="L45" s="1365"/>
      <c r="M45" s="2809" t="s">
        <v>1045</v>
      </c>
      <c r="N45" s="2809"/>
      <c r="O45" s="2809"/>
      <c r="P45" s="2809"/>
      <c r="Q45" s="2809"/>
      <c r="R45" s="2809"/>
      <c r="S45" s="2814" t="s">
        <v>1046</v>
      </c>
      <c r="T45" s="2814"/>
      <c r="U45" s="2814"/>
      <c r="V45" s="2814"/>
      <c r="W45" s="2814"/>
      <c r="X45" s="2814"/>
    </row>
    <row r="46" spans="1:24" s="1341" customFormat="1" ht="21.9" customHeight="1">
      <c r="A46" s="2707" t="s">
        <v>460</v>
      </c>
      <c r="B46" s="2707"/>
      <c r="C46" s="2707"/>
      <c r="D46" s="2707"/>
      <c r="E46" s="2707"/>
      <c r="F46" s="2707"/>
      <c r="G46" s="2815">
        <f>SUM(G38:K45)</f>
        <v>9597685</v>
      </c>
      <c r="H46" s="2815"/>
      <c r="I46" s="2815"/>
      <c r="J46" s="2815"/>
      <c r="K46" s="2815"/>
      <c r="L46" s="1366"/>
      <c r="M46" s="2816"/>
      <c r="N46" s="2816"/>
      <c r="O46" s="2816"/>
      <c r="P46" s="2816"/>
      <c r="Q46" s="2816"/>
      <c r="R46" s="2816"/>
      <c r="S46" s="2817"/>
      <c r="T46" s="2817"/>
      <c r="U46" s="2817"/>
      <c r="V46" s="2817"/>
      <c r="W46" s="2817"/>
      <c r="X46" s="2817"/>
    </row>
    <row r="47" spans="1:24" ht="14.25" customHeight="1">
      <c r="L47" s="1351"/>
      <c r="M47" s="1352"/>
      <c r="N47" s="1352"/>
      <c r="O47" s="1352"/>
      <c r="P47" s="1352"/>
      <c r="Q47" s="1352"/>
      <c r="R47" s="1352"/>
      <c r="S47" s="1352"/>
      <c r="T47" s="1352"/>
    </row>
    <row r="48" spans="1:24" ht="21" customHeight="1">
      <c r="I48" s="2698" t="s">
        <v>1047</v>
      </c>
      <c r="J48" s="2698"/>
      <c r="K48" s="2698"/>
      <c r="L48" s="2698"/>
      <c r="M48" s="2698"/>
      <c r="N48" s="2698"/>
      <c r="O48" s="2698"/>
      <c r="P48" s="2698"/>
      <c r="Q48" s="2699"/>
      <c r="R48" s="2699"/>
      <c r="S48" s="2699"/>
      <c r="T48" s="2699"/>
      <c r="U48" s="2699"/>
      <c r="V48" s="2699"/>
      <c r="W48" s="2699"/>
      <c r="X48" s="2699"/>
    </row>
    <row r="49" spans="1:25" ht="9.75" customHeight="1">
      <c r="A49" s="1339"/>
      <c r="B49" s="1340"/>
      <c r="C49" s="1340"/>
      <c r="D49" s="1340"/>
      <c r="E49" s="1340"/>
      <c r="F49" s="1340"/>
      <c r="G49" s="1340"/>
      <c r="H49" s="1340"/>
      <c r="I49" s="1340"/>
      <c r="J49" s="1340"/>
      <c r="K49" s="1340"/>
      <c r="L49" s="1340"/>
      <c r="M49" s="1340"/>
      <c r="N49" s="1340"/>
      <c r="O49" s="1340"/>
      <c r="P49" s="1340"/>
      <c r="Q49" s="1340"/>
      <c r="R49" s="1340"/>
      <c r="S49" s="1340"/>
      <c r="T49" s="1340"/>
      <c r="U49" s="1340"/>
      <c r="V49" s="1340"/>
      <c r="W49" s="1340"/>
      <c r="X49" s="1340"/>
    </row>
    <row r="50" spans="1:25" s="1341" customFormat="1" ht="21" customHeight="1">
      <c r="A50" s="2717" t="s">
        <v>847</v>
      </c>
      <c r="B50" s="2717"/>
      <c r="C50" s="2717"/>
      <c r="D50" s="2717"/>
      <c r="E50" s="2717"/>
      <c r="F50" s="2717"/>
      <c r="G50" s="2779" t="s">
        <v>837</v>
      </c>
      <c r="H50" s="2779"/>
      <c r="I50" s="2779"/>
      <c r="J50" s="2779"/>
      <c r="K50" s="2779"/>
      <c r="L50" s="2779"/>
      <c r="M50" s="2779" t="s">
        <v>848</v>
      </c>
      <c r="N50" s="2779"/>
      <c r="O50" s="2779"/>
      <c r="P50" s="2779"/>
      <c r="Q50" s="2779"/>
      <c r="R50" s="2779"/>
      <c r="S50" s="2719" t="s">
        <v>838</v>
      </c>
      <c r="T50" s="2719"/>
      <c r="U50" s="2719"/>
      <c r="V50" s="2719"/>
      <c r="W50" s="2719"/>
      <c r="X50" s="2719"/>
    </row>
    <row r="51" spans="1:25" s="1341" customFormat="1" ht="9" customHeight="1">
      <c r="A51" s="1342"/>
      <c r="B51" s="1343"/>
      <c r="C51" s="1343"/>
      <c r="D51" s="1343"/>
      <c r="E51" s="1343"/>
      <c r="F51" s="1344"/>
      <c r="G51" s="1345"/>
      <c r="H51" s="1343"/>
      <c r="I51" s="1343"/>
      <c r="J51" s="1343"/>
      <c r="K51" s="1343"/>
      <c r="L51" s="1346" t="s">
        <v>551</v>
      </c>
      <c r="M51" s="1345"/>
      <c r="N51" s="1343"/>
      <c r="O51" s="1343"/>
      <c r="P51" s="1343"/>
      <c r="Q51" s="1343"/>
      <c r="R51" s="1353"/>
      <c r="S51" s="1345"/>
      <c r="T51" s="1343"/>
      <c r="U51" s="1343"/>
      <c r="V51" s="1343"/>
      <c r="W51" s="1343"/>
      <c r="X51" s="1347"/>
    </row>
    <row r="52" spans="1:25" s="1363" customFormat="1" ht="18.899999999999999" customHeight="1">
      <c r="A52" s="2804" t="s">
        <v>218</v>
      </c>
      <c r="B52" s="2804"/>
      <c r="C52" s="2804"/>
      <c r="D52" s="2804"/>
      <c r="E52" s="2804"/>
      <c r="F52" s="2804"/>
      <c r="G52" s="2805">
        <v>59015</v>
      </c>
      <c r="H52" s="2806"/>
      <c r="I52" s="2806"/>
      <c r="J52" s="2806"/>
      <c r="K52" s="2806"/>
      <c r="L52" s="1354"/>
      <c r="M52" s="2807" t="s">
        <v>1048</v>
      </c>
      <c r="N52" s="2807"/>
      <c r="O52" s="2807"/>
      <c r="P52" s="2807"/>
      <c r="Q52" s="2807"/>
      <c r="R52" s="2807"/>
      <c r="S52" s="2808" t="s">
        <v>1049</v>
      </c>
      <c r="T52" s="2808"/>
      <c r="U52" s="2808"/>
      <c r="V52" s="2808"/>
      <c r="W52" s="2808"/>
      <c r="X52" s="2808"/>
    </row>
    <row r="53" spans="1:25" s="1363" customFormat="1" ht="18.899999999999999" customHeight="1">
      <c r="A53" s="2804" t="s">
        <v>132</v>
      </c>
      <c r="B53" s="2804"/>
      <c r="C53" s="2804"/>
      <c r="D53" s="2804"/>
      <c r="E53" s="2804"/>
      <c r="F53" s="2804"/>
      <c r="G53" s="2805">
        <v>376346</v>
      </c>
      <c r="H53" s="2806"/>
      <c r="I53" s="2806"/>
      <c r="J53" s="2806"/>
      <c r="K53" s="2806"/>
      <c r="L53" s="1354"/>
      <c r="M53" s="2807" t="s">
        <v>1050</v>
      </c>
      <c r="N53" s="2807"/>
      <c r="O53" s="2807"/>
      <c r="P53" s="2807"/>
      <c r="Q53" s="2807"/>
      <c r="R53" s="2807"/>
      <c r="S53" s="2808" t="s">
        <v>1051</v>
      </c>
      <c r="T53" s="2808"/>
      <c r="U53" s="2808"/>
      <c r="V53" s="2808"/>
      <c r="W53" s="2808"/>
      <c r="X53" s="2808"/>
    </row>
    <row r="54" spans="1:25" s="1363" customFormat="1" ht="18.75" customHeight="1">
      <c r="A54" s="2707" t="s">
        <v>460</v>
      </c>
      <c r="B54" s="2707"/>
      <c r="C54" s="2707"/>
      <c r="D54" s="2707"/>
      <c r="E54" s="2707"/>
      <c r="F54" s="2707"/>
      <c r="G54" s="2799">
        <f>SUM(G52:K53)</f>
        <v>435361</v>
      </c>
      <c r="H54" s="2799"/>
      <c r="I54" s="2799"/>
      <c r="J54" s="2799"/>
      <c r="K54" s="2799"/>
      <c r="L54" s="1355"/>
      <c r="M54" s="2810"/>
      <c r="N54" s="2810"/>
      <c r="O54" s="2810"/>
      <c r="P54" s="2810"/>
      <c r="Q54" s="2810"/>
      <c r="R54" s="2810"/>
      <c r="S54" s="2811"/>
      <c r="T54" s="2811"/>
      <c r="U54" s="2811"/>
      <c r="V54" s="2811"/>
      <c r="W54" s="2811"/>
      <c r="X54" s="2811"/>
    </row>
    <row r="55" spans="1:25" ht="14.25" customHeight="1"/>
    <row r="56" spans="1:25" ht="21.75" customHeight="1">
      <c r="I56" s="2698" t="s">
        <v>859</v>
      </c>
      <c r="J56" s="2698"/>
      <c r="K56" s="2698"/>
      <c r="L56" s="2698"/>
      <c r="M56" s="2698"/>
      <c r="N56" s="2698"/>
      <c r="O56" s="2698"/>
      <c r="P56" s="2698"/>
    </row>
    <row r="57" spans="1:25" ht="9.75" customHeight="1"/>
    <row r="58" spans="1:25" ht="21.75" customHeight="1">
      <c r="A58" s="2717" t="s">
        <v>847</v>
      </c>
      <c r="B58" s="2717"/>
      <c r="C58" s="2717"/>
      <c r="D58" s="2717"/>
      <c r="E58" s="2717"/>
      <c r="F58" s="2717"/>
      <c r="G58" s="2803" t="s">
        <v>837</v>
      </c>
      <c r="H58" s="2803"/>
      <c r="I58" s="2803"/>
      <c r="J58" s="2803"/>
      <c r="K58" s="2803"/>
      <c r="L58" s="2779" t="s">
        <v>848</v>
      </c>
      <c r="M58" s="2779"/>
      <c r="N58" s="2779"/>
      <c r="O58" s="2779"/>
      <c r="P58" s="2779"/>
      <c r="Q58" s="2779"/>
      <c r="R58" s="2719" t="s">
        <v>838</v>
      </c>
      <c r="S58" s="2719"/>
      <c r="T58" s="2719"/>
      <c r="U58" s="2719"/>
      <c r="V58" s="2719"/>
      <c r="W58" s="2719"/>
      <c r="X58" s="2719"/>
    </row>
    <row r="59" spans="1:25" ht="9" customHeight="1">
      <c r="A59" s="1342"/>
      <c r="B59" s="1343"/>
      <c r="C59" s="1343"/>
      <c r="D59" s="1343"/>
      <c r="E59" s="1343"/>
      <c r="F59" s="1344"/>
      <c r="G59" s="1345"/>
      <c r="H59" s="1343"/>
      <c r="I59" s="1343"/>
      <c r="J59" s="1343"/>
      <c r="K59" s="1367" t="s">
        <v>551</v>
      </c>
      <c r="L59" s="1345"/>
      <c r="M59" s="1343"/>
      <c r="N59" s="1343"/>
      <c r="O59" s="1343"/>
      <c r="P59" s="1343"/>
      <c r="Q59" s="1353"/>
      <c r="R59" s="1345"/>
      <c r="S59" s="1343"/>
      <c r="T59" s="1343"/>
      <c r="U59" s="1343"/>
      <c r="V59" s="1343"/>
      <c r="W59" s="1343"/>
      <c r="X59" s="1347"/>
    </row>
    <row r="60" spans="1:25" ht="18.899999999999999" customHeight="1">
      <c r="A60" s="2804" t="s">
        <v>219</v>
      </c>
      <c r="B60" s="2804"/>
      <c r="C60" s="2804"/>
      <c r="D60" s="2804"/>
      <c r="E60" s="2804"/>
      <c r="F60" s="2804"/>
      <c r="G60" s="2805">
        <v>203327</v>
      </c>
      <c r="H60" s="2806"/>
      <c r="I60" s="2806"/>
      <c r="J60" s="2806"/>
      <c r="K60" s="1368"/>
      <c r="L60" s="2807" t="s">
        <v>1052</v>
      </c>
      <c r="M60" s="2807"/>
      <c r="N60" s="2807"/>
      <c r="O60" s="2807"/>
      <c r="P60" s="2807"/>
      <c r="Q60" s="2807"/>
      <c r="R60" s="2808" t="s">
        <v>1053</v>
      </c>
      <c r="S60" s="2808"/>
      <c r="T60" s="2808"/>
      <c r="U60" s="2808"/>
      <c r="V60" s="2808"/>
      <c r="W60" s="2808"/>
      <c r="X60" s="2808"/>
    </row>
    <row r="61" spans="1:25" ht="18.899999999999999" customHeight="1">
      <c r="A61" s="2804" t="s">
        <v>220</v>
      </c>
      <c r="B61" s="2804"/>
      <c r="C61" s="2804"/>
      <c r="D61" s="2804"/>
      <c r="E61" s="2804"/>
      <c r="F61" s="2804"/>
      <c r="G61" s="2805">
        <v>24613</v>
      </c>
      <c r="H61" s="2806"/>
      <c r="I61" s="2806"/>
      <c r="J61" s="2806"/>
      <c r="K61" s="1368"/>
      <c r="L61" s="2809" t="s">
        <v>1043</v>
      </c>
      <c r="M61" s="2809"/>
      <c r="N61" s="2809"/>
      <c r="O61" s="2809"/>
      <c r="P61" s="2809"/>
      <c r="Q61" s="2809"/>
      <c r="R61" s="2808" t="s">
        <v>1053</v>
      </c>
      <c r="S61" s="2808"/>
      <c r="T61" s="2808"/>
      <c r="U61" s="2808"/>
      <c r="V61" s="2808"/>
      <c r="W61" s="2808"/>
      <c r="X61" s="2808"/>
    </row>
    <row r="62" spans="1:25" ht="18.899999999999999" customHeight="1">
      <c r="A62" s="2707" t="s">
        <v>460</v>
      </c>
      <c r="B62" s="2707"/>
      <c r="C62" s="2707"/>
      <c r="D62" s="2707"/>
      <c r="E62" s="2707"/>
      <c r="F62" s="2707"/>
      <c r="G62" s="2799">
        <f>SUM(G60:K61)</f>
        <v>227940</v>
      </c>
      <c r="H62" s="2799"/>
      <c r="I62" s="2799"/>
      <c r="J62" s="2799"/>
      <c r="K62" s="1369"/>
      <c r="L62" s="2800"/>
      <c r="M62" s="2800"/>
      <c r="N62" s="2800"/>
      <c r="O62" s="2800"/>
      <c r="P62" s="2800"/>
      <c r="Q62" s="2800"/>
      <c r="R62" s="2791"/>
      <c r="S62" s="2791"/>
      <c r="T62" s="2791"/>
      <c r="U62" s="2791"/>
      <c r="V62" s="2791"/>
      <c r="W62" s="2791"/>
      <c r="X62" s="2791"/>
    </row>
    <row r="63" spans="1:25" ht="12.75" customHeight="1">
      <c r="A63" s="1370"/>
      <c r="B63" s="1370"/>
      <c r="C63" s="1370"/>
      <c r="D63" s="1370"/>
      <c r="E63" s="1370"/>
      <c r="F63" s="1370"/>
      <c r="G63" s="2801"/>
      <c r="H63" s="2801"/>
      <c r="I63" s="2801"/>
      <c r="J63" s="2801"/>
      <c r="K63" s="1371"/>
      <c r="L63" s="2802"/>
      <c r="M63" s="2802"/>
      <c r="N63" s="2802"/>
      <c r="O63" s="1372"/>
      <c r="P63" s="1372"/>
      <c r="Q63" s="1372"/>
      <c r="R63" s="1373"/>
      <c r="S63" s="1373"/>
      <c r="T63" s="1373"/>
      <c r="U63" s="1373"/>
      <c r="V63" s="1373"/>
      <c r="W63" s="1373"/>
      <c r="X63" s="1373"/>
    </row>
    <row r="64" spans="1:25" ht="21.75" customHeight="1">
      <c r="A64" s="969"/>
      <c r="B64" s="969"/>
      <c r="C64" s="969"/>
      <c r="D64" s="969"/>
      <c r="E64" s="969"/>
      <c r="F64" s="969"/>
      <c r="G64" s="969"/>
      <c r="H64" s="969"/>
      <c r="I64" s="2396" t="s">
        <v>1054</v>
      </c>
      <c r="J64" s="2396"/>
      <c r="K64" s="2396"/>
      <c r="L64" s="2396"/>
      <c r="M64" s="2396"/>
      <c r="N64" s="2396"/>
      <c r="O64" s="2396"/>
      <c r="P64" s="2396"/>
      <c r="Q64" s="2477"/>
      <c r="R64" s="2477"/>
      <c r="S64" s="2477"/>
      <c r="T64" s="2477"/>
      <c r="U64" s="2477"/>
      <c r="V64" s="2477"/>
      <c r="W64" s="2477"/>
      <c r="X64" s="2477"/>
      <c r="Y64" s="1374"/>
    </row>
    <row r="65" spans="1:25" ht="12.75" customHeight="1">
      <c r="A65" s="1375"/>
      <c r="B65" s="1376"/>
      <c r="C65" s="1376"/>
      <c r="D65" s="1376"/>
      <c r="E65" s="1376"/>
      <c r="F65" s="1376"/>
      <c r="G65" s="1376"/>
      <c r="H65" s="1376"/>
      <c r="I65" s="1376"/>
      <c r="J65" s="1376"/>
      <c r="K65" s="1376"/>
      <c r="L65" s="1376"/>
      <c r="M65" s="1376"/>
      <c r="N65" s="1376"/>
      <c r="O65" s="1376"/>
      <c r="P65" s="1376"/>
      <c r="Q65" s="1376"/>
      <c r="R65" s="1376"/>
      <c r="S65" s="1376"/>
      <c r="T65" s="1376"/>
      <c r="U65" s="1376"/>
      <c r="V65" s="1376"/>
      <c r="W65" s="1376"/>
      <c r="X65" s="1376"/>
      <c r="Y65" s="1374"/>
    </row>
    <row r="66" spans="1:25" ht="21.75" customHeight="1">
      <c r="A66" s="2414" t="s">
        <v>847</v>
      </c>
      <c r="B66" s="2414"/>
      <c r="C66" s="2414"/>
      <c r="D66" s="2414"/>
      <c r="E66" s="2414"/>
      <c r="F66" s="2414"/>
      <c r="G66" s="2438" t="s">
        <v>837</v>
      </c>
      <c r="H66" s="2438"/>
      <c r="I66" s="2438"/>
      <c r="J66" s="2438"/>
      <c r="K66" s="2438"/>
      <c r="L66" s="2438"/>
      <c r="M66" s="2438" t="s">
        <v>848</v>
      </c>
      <c r="N66" s="2438"/>
      <c r="O66" s="2438"/>
      <c r="P66" s="2438"/>
      <c r="Q66" s="2438"/>
      <c r="R66" s="2438"/>
      <c r="S66" s="2417" t="s">
        <v>838</v>
      </c>
      <c r="T66" s="2417"/>
      <c r="U66" s="2417"/>
      <c r="V66" s="2417"/>
      <c r="W66" s="2417"/>
      <c r="X66" s="2417"/>
      <c r="Y66" s="1374"/>
    </row>
    <row r="67" spans="1:25" ht="12.75" customHeight="1">
      <c r="A67" s="1377"/>
      <c r="B67" s="1378"/>
      <c r="C67" s="1378"/>
      <c r="D67" s="1378"/>
      <c r="E67" s="1378"/>
      <c r="F67" s="1379"/>
      <c r="G67" s="1380"/>
      <c r="H67" s="1378"/>
      <c r="I67" s="1378"/>
      <c r="J67" s="1378"/>
      <c r="K67" s="1378"/>
      <c r="L67" s="1381" t="s">
        <v>551</v>
      </c>
      <c r="M67" s="1380"/>
      <c r="N67" s="1378"/>
      <c r="O67" s="1378"/>
      <c r="P67" s="1378"/>
      <c r="Q67" s="1378"/>
      <c r="R67" s="1382"/>
      <c r="S67" s="1380"/>
      <c r="T67" s="1378"/>
      <c r="U67" s="1378"/>
      <c r="V67" s="1378"/>
      <c r="W67" s="1378"/>
      <c r="X67" s="1383"/>
      <c r="Y67" s="1374"/>
    </row>
    <row r="68" spans="1:25" ht="18.899999999999999" customHeight="1">
      <c r="A68" s="2442" t="s">
        <v>221</v>
      </c>
      <c r="B68" s="2442"/>
      <c r="C68" s="2442"/>
      <c r="D68" s="2442"/>
      <c r="E68" s="2442"/>
      <c r="F68" s="2442"/>
      <c r="G68" s="2465">
        <v>216843</v>
      </c>
      <c r="H68" s="2466"/>
      <c r="I68" s="2466"/>
      <c r="J68" s="2466"/>
      <c r="K68" s="2466"/>
      <c r="L68" s="831"/>
      <c r="M68" s="2796" t="s">
        <v>1055</v>
      </c>
      <c r="N68" s="2796"/>
      <c r="O68" s="2796"/>
      <c r="P68" s="2796"/>
      <c r="Q68" s="2796"/>
      <c r="R68" s="2796"/>
      <c r="S68" s="2797" t="s">
        <v>1056</v>
      </c>
      <c r="T68" s="2797"/>
      <c r="U68" s="2797"/>
      <c r="V68" s="2797"/>
      <c r="W68" s="2797"/>
      <c r="X68" s="2797"/>
      <c r="Y68" s="287"/>
    </row>
    <row r="69" spans="1:25" ht="18.899999999999999" customHeight="1">
      <c r="A69" s="2404" t="s">
        <v>460</v>
      </c>
      <c r="B69" s="2404"/>
      <c r="C69" s="2404"/>
      <c r="D69" s="2404"/>
      <c r="E69" s="2404"/>
      <c r="F69" s="2404"/>
      <c r="G69" s="2447">
        <f>SUM(G68:K68)</f>
        <v>216843</v>
      </c>
      <c r="H69" s="2447"/>
      <c r="I69" s="2447"/>
      <c r="J69" s="2447"/>
      <c r="K69" s="2447"/>
      <c r="L69" s="1384"/>
      <c r="M69" s="2798"/>
      <c r="N69" s="2798"/>
      <c r="O69" s="2798"/>
      <c r="P69" s="2798"/>
      <c r="Q69" s="2798"/>
      <c r="R69" s="2798"/>
      <c r="S69" s="2470"/>
      <c r="T69" s="2470"/>
      <c r="U69" s="2470"/>
      <c r="V69" s="2470"/>
      <c r="W69" s="2470"/>
      <c r="X69" s="2470"/>
      <c r="Y69" s="1374"/>
    </row>
    <row r="70" spans="1:25" ht="12.75" customHeight="1">
      <c r="A70" s="1370"/>
      <c r="B70" s="1370"/>
      <c r="C70" s="1370"/>
      <c r="D70" s="1370"/>
      <c r="E70" s="1370"/>
      <c r="F70" s="1370"/>
      <c r="G70" s="1385"/>
      <c r="H70" s="1385"/>
      <c r="I70" s="1385"/>
      <c r="J70" s="1385"/>
      <c r="K70" s="1371"/>
      <c r="L70" s="1386"/>
      <c r="M70" s="1386"/>
      <c r="N70" s="1386"/>
      <c r="O70" s="1372"/>
      <c r="P70" s="1372"/>
      <c r="Q70" s="1372"/>
      <c r="R70" s="1373"/>
      <c r="S70" s="1373"/>
      <c r="T70" s="1373"/>
      <c r="U70" s="1373"/>
      <c r="V70" s="1373"/>
      <c r="W70" s="1373"/>
      <c r="X70" s="1373"/>
    </row>
    <row r="71" spans="1:25" ht="12.75" customHeight="1">
      <c r="A71" s="1370"/>
      <c r="B71" s="1370"/>
      <c r="C71" s="1370"/>
      <c r="D71" s="1370"/>
      <c r="E71" s="1370"/>
      <c r="F71" s="1370"/>
      <c r="G71" s="1385"/>
      <c r="H71" s="1385"/>
      <c r="I71" s="1385"/>
      <c r="J71" s="1385"/>
      <c r="K71" s="1371"/>
      <c r="L71" s="1386"/>
      <c r="M71" s="1386"/>
      <c r="N71" s="1386"/>
      <c r="O71" s="1372"/>
      <c r="P71" s="1372"/>
      <c r="Q71" s="1372"/>
      <c r="R71" s="1373"/>
      <c r="S71" s="1373"/>
      <c r="T71" s="1373"/>
      <c r="U71" s="1373"/>
      <c r="V71" s="1373"/>
      <c r="W71" s="1373"/>
      <c r="X71" s="1373"/>
    </row>
    <row r="72" spans="1:25" ht="20.25" customHeight="1">
      <c r="I72" s="2698" t="s">
        <v>1057</v>
      </c>
      <c r="J72" s="2698"/>
      <c r="K72" s="2698"/>
      <c r="L72" s="2698"/>
      <c r="M72" s="2698"/>
      <c r="N72" s="2698"/>
      <c r="O72" s="2698"/>
      <c r="P72" s="2698"/>
      <c r="Q72" s="2699"/>
      <c r="R72" s="2699"/>
      <c r="S72" s="2699"/>
      <c r="T72" s="2699"/>
      <c r="U72" s="2699"/>
      <c r="V72" s="2699"/>
      <c r="W72" s="2699"/>
      <c r="X72" s="2699"/>
    </row>
    <row r="73" spans="1:25" ht="12.75" customHeight="1"/>
    <row r="74" spans="1:25" ht="21.75" customHeight="1">
      <c r="A74" s="2717" t="s">
        <v>1058</v>
      </c>
      <c r="B74" s="2717"/>
      <c r="C74" s="2717"/>
      <c r="D74" s="2718" t="s">
        <v>1059</v>
      </c>
      <c r="E74" s="2718"/>
      <c r="F74" s="2718"/>
      <c r="G74" s="2792" t="s">
        <v>875</v>
      </c>
      <c r="H74" s="2792"/>
      <c r="I74" s="2792"/>
      <c r="J74" s="2792" t="s">
        <v>876</v>
      </c>
      <c r="K74" s="2792"/>
      <c r="L74" s="2792"/>
      <c r="M74" s="2718" t="s">
        <v>992</v>
      </c>
      <c r="N74" s="2718"/>
      <c r="O74" s="2718"/>
      <c r="P74" s="2792" t="s">
        <v>1060</v>
      </c>
      <c r="Q74" s="2792"/>
      <c r="R74" s="2792"/>
      <c r="S74" s="2793" t="s">
        <v>1061</v>
      </c>
      <c r="T74" s="2793"/>
      <c r="U74" s="2793"/>
      <c r="V74" s="2782" t="s">
        <v>1062</v>
      </c>
      <c r="W74" s="2782"/>
      <c r="X74" s="2782"/>
    </row>
    <row r="75" spans="1:25" ht="12.75" customHeight="1">
      <c r="A75" s="1387"/>
      <c r="B75" s="1370"/>
      <c r="C75" s="570" t="s">
        <v>1063</v>
      </c>
      <c r="D75" s="1388"/>
      <c r="E75" s="1370"/>
      <c r="F75" s="570" t="s">
        <v>551</v>
      </c>
      <c r="G75" s="1371"/>
      <c r="H75" s="1371"/>
      <c r="I75" s="570" t="s">
        <v>551</v>
      </c>
      <c r="J75" s="1389"/>
      <c r="K75" s="1371"/>
      <c r="L75" s="570" t="s">
        <v>551</v>
      </c>
      <c r="M75" s="1372"/>
      <c r="N75" s="1372"/>
      <c r="O75" s="570" t="s">
        <v>551</v>
      </c>
      <c r="P75" s="1390"/>
      <c r="Q75" s="1372"/>
      <c r="R75" s="570" t="s">
        <v>551</v>
      </c>
      <c r="S75" s="1373"/>
      <c r="T75" s="1373"/>
      <c r="U75" s="570" t="s">
        <v>551</v>
      </c>
      <c r="V75" s="1391"/>
      <c r="W75" s="1373"/>
      <c r="X75" s="1392"/>
    </row>
    <row r="76" spans="1:25" ht="24.75" customHeight="1">
      <c r="A76" s="2768" t="s">
        <v>222</v>
      </c>
      <c r="B76" s="2768"/>
      <c r="C76" s="2768"/>
      <c r="D76" s="2772">
        <f>前年度貼付!$E$247</f>
        <v>383946</v>
      </c>
      <c r="E76" s="2772"/>
      <c r="F76" s="2772"/>
      <c r="G76" s="2771">
        <v>0</v>
      </c>
      <c r="H76" s="2772"/>
      <c r="I76" s="2772"/>
      <c r="J76" s="2771">
        <v>0</v>
      </c>
      <c r="K76" s="2772"/>
      <c r="L76" s="2772"/>
      <c r="M76" s="2794">
        <f>D76+G76-J76</f>
        <v>383946</v>
      </c>
      <c r="N76" s="2794"/>
      <c r="O76" s="2794"/>
      <c r="P76" s="2772">
        <f>H85</f>
        <v>176556</v>
      </c>
      <c r="Q76" s="2772"/>
      <c r="R76" s="2772"/>
      <c r="S76" s="2794">
        <f>M76-P76</f>
        <v>207390</v>
      </c>
      <c r="T76" s="2794"/>
      <c r="U76" s="2794"/>
      <c r="V76" s="2795"/>
      <c r="W76" s="2795"/>
      <c r="X76" s="2795"/>
    </row>
    <row r="77" spans="1:25" ht="24.75" customHeight="1">
      <c r="A77" s="2707" t="s">
        <v>335</v>
      </c>
      <c r="B77" s="2707"/>
      <c r="C77" s="2707"/>
      <c r="D77" s="2777">
        <f>SUM(D76)</f>
        <v>383946</v>
      </c>
      <c r="E77" s="2777"/>
      <c r="F77" s="2777"/>
      <c r="G77" s="2777">
        <f>SUM(G76)</f>
        <v>0</v>
      </c>
      <c r="H77" s="2777"/>
      <c r="I77" s="2777"/>
      <c r="J77" s="2777">
        <f>SUM(J76)</f>
        <v>0</v>
      </c>
      <c r="K77" s="2777"/>
      <c r="L77" s="2777"/>
      <c r="M77" s="2790">
        <f>D77+G77-J77</f>
        <v>383946</v>
      </c>
      <c r="N77" s="2790"/>
      <c r="O77" s="2790"/>
      <c r="P77" s="2777">
        <f>SUM(P76)</f>
        <v>176556</v>
      </c>
      <c r="Q77" s="2777"/>
      <c r="R77" s="2777"/>
      <c r="S77" s="2790">
        <f>M77-P77</f>
        <v>207390</v>
      </c>
      <c r="T77" s="2790"/>
      <c r="U77" s="2790"/>
      <c r="V77" s="2791"/>
      <c r="W77" s="2791"/>
      <c r="X77" s="2791"/>
    </row>
    <row r="78" spans="1:25" ht="14.25" customHeight="1">
      <c r="A78" s="1370"/>
      <c r="B78" s="1370"/>
      <c r="C78" s="1370"/>
      <c r="D78" s="1370"/>
      <c r="E78" s="1370"/>
      <c r="F78" s="1370"/>
      <c r="G78" s="1371"/>
      <c r="H78" s="1371"/>
      <c r="I78" s="1371"/>
      <c r="J78" s="1371"/>
      <c r="K78" s="1371"/>
      <c r="L78" s="1372"/>
      <c r="M78" s="1372"/>
      <c r="N78" s="1372"/>
      <c r="O78" s="1372"/>
      <c r="P78" s="1372"/>
      <c r="Q78" s="1372"/>
      <c r="R78" s="1373"/>
      <c r="S78" s="1373"/>
      <c r="T78" s="1373"/>
      <c r="U78" s="1373"/>
      <c r="V78" s="1373"/>
      <c r="W78" s="1373"/>
      <c r="X78" s="1373"/>
    </row>
    <row r="79" spans="1:25" ht="19.5" customHeight="1">
      <c r="I79" s="2698" t="s">
        <v>1064</v>
      </c>
      <c r="J79" s="2698"/>
      <c r="K79" s="2698"/>
      <c r="L79" s="2698"/>
      <c r="M79" s="2698"/>
      <c r="N79" s="2698"/>
      <c r="O79" s="2698"/>
      <c r="P79" s="2698"/>
      <c r="Q79" s="2699"/>
      <c r="R79" s="2699"/>
      <c r="S79" s="2699"/>
      <c r="T79" s="2699"/>
      <c r="U79" s="2699"/>
      <c r="V79" s="2699"/>
      <c r="W79" s="2699"/>
      <c r="X79" s="2699"/>
    </row>
    <row r="80" spans="1:25" ht="12.75" customHeight="1"/>
    <row r="81" spans="1:24" ht="12.75" customHeight="1">
      <c r="A81" s="2717" t="s">
        <v>1058</v>
      </c>
      <c r="B81" s="2717"/>
      <c r="C81" s="2717"/>
      <c r="D81" s="2779" t="s">
        <v>1065</v>
      </c>
      <c r="E81" s="2779"/>
      <c r="F81" s="2779" t="s">
        <v>1066</v>
      </c>
      <c r="G81" s="2779"/>
      <c r="H81" s="2780" t="s">
        <v>1060</v>
      </c>
      <c r="I81" s="2780"/>
      <c r="J81" s="2780"/>
      <c r="K81" s="2780" t="s">
        <v>1067</v>
      </c>
      <c r="L81" s="2780"/>
      <c r="M81" s="2780"/>
      <c r="N81" s="2780" t="s">
        <v>1068</v>
      </c>
      <c r="O81" s="2780"/>
      <c r="P81" s="2780"/>
      <c r="Q81" s="2781" t="s">
        <v>1069</v>
      </c>
      <c r="R81" s="2781"/>
      <c r="S81" s="2782" t="s">
        <v>1070</v>
      </c>
      <c r="T81" s="2782"/>
      <c r="U81" s="2782"/>
      <c r="V81" s="2782"/>
      <c r="W81" s="2782"/>
      <c r="X81" s="2782"/>
    </row>
    <row r="82" spans="1:24" ht="10.5" customHeight="1">
      <c r="A82" s="1393"/>
      <c r="B82" s="1394"/>
      <c r="C82" s="1395" t="s">
        <v>1063</v>
      </c>
      <c r="D82" s="1396"/>
      <c r="E82" s="1395"/>
      <c r="F82" s="1397" t="s">
        <v>551</v>
      </c>
      <c r="G82" s="1398"/>
      <c r="H82" s="1399"/>
      <c r="I82" s="126" t="s">
        <v>1063</v>
      </c>
      <c r="J82" s="1400" t="s">
        <v>551</v>
      </c>
      <c r="K82" s="1399"/>
      <c r="L82" s="126" t="s">
        <v>1063</v>
      </c>
      <c r="M82" s="1400" t="s">
        <v>551</v>
      </c>
      <c r="N82" s="1399"/>
      <c r="O82" s="126" t="s">
        <v>1063</v>
      </c>
      <c r="P82" s="1400" t="s">
        <v>551</v>
      </c>
      <c r="Q82" s="1401"/>
      <c r="R82" s="1402" t="s">
        <v>1071</v>
      </c>
      <c r="S82" s="1403"/>
      <c r="T82" s="1403"/>
      <c r="U82" s="126" t="s">
        <v>1063</v>
      </c>
      <c r="V82" s="1403"/>
      <c r="W82" s="1403"/>
      <c r="X82" s="1404"/>
    </row>
    <row r="83" spans="1:24" ht="36" customHeight="1">
      <c r="A83" s="2783" t="s">
        <v>222</v>
      </c>
      <c r="B83" s="2783"/>
      <c r="C83" s="2783"/>
      <c r="D83" s="2784" t="s">
        <v>223</v>
      </c>
      <c r="E83" s="2784"/>
      <c r="F83" s="2785">
        <v>723140</v>
      </c>
      <c r="G83" s="2784"/>
      <c r="H83" s="2786">
        <v>144628</v>
      </c>
      <c r="I83" s="2787"/>
      <c r="J83" s="2787"/>
      <c r="K83" s="2786">
        <v>542355</v>
      </c>
      <c r="L83" s="2787"/>
      <c r="M83" s="2787"/>
      <c r="N83" s="2787">
        <f>F83-K83</f>
        <v>180785</v>
      </c>
      <c r="O83" s="2787"/>
      <c r="P83" s="2787"/>
      <c r="Q83" s="2788">
        <f>ROUNDDOWN(K83/F83*100,3)</f>
        <v>75</v>
      </c>
      <c r="R83" s="2788"/>
      <c r="S83" s="2789" t="s">
        <v>1072</v>
      </c>
      <c r="T83" s="2789"/>
      <c r="U83" s="2789"/>
      <c r="V83" s="2789"/>
      <c r="W83" s="2789"/>
      <c r="X83" s="2789"/>
    </row>
    <row r="84" spans="1:24" ht="36" customHeight="1">
      <c r="A84" s="2768" t="s">
        <v>241</v>
      </c>
      <c r="B84" s="2768"/>
      <c r="C84" s="2768"/>
      <c r="D84" s="2769" t="s">
        <v>224</v>
      </c>
      <c r="E84" s="2769"/>
      <c r="F84" s="2770">
        <v>127710</v>
      </c>
      <c r="G84" s="2769"/>
      <c r="H84" s="2771">
        <v>31928</v>
      </c>
      <c r="I84" s="2772"/>
      <c r="J84" s="2772"/>
      <c r="K84" s="2771">
        <v>101105</v>
      </c>
      <c r="L84" s="2772"/>
      <c r="M84" s="2772"/>
      <c r="N84" s="2772">
        <f>F84-K84</f>
        <v>26605</v>
      </c>
      <c r="O84" s="2772"/>
      <c r="P84" s="2772"/>
      <c r="Q84" s="2773">
        <f>ROUNDDOWN(K84/F84*100,3)</f>
        <v>79.167000000000002</v>
      </c>
      <c r="R84" s="2773"/>
      <c r="S84" s="2774" t="s">
        <v>1073</v>
      </c>
      <c r="T84" s="2774"/>
      <c r="U84" s="2774"/>
      <c r="V84" s="2774"/>
      <c r="W84" s="2774"/>
      <c r="X84" s="2774"/>
    </row>
    <row r="85" spans="1:24" ht="26.25" customHeight="1">
      <c r="A85" s="2707" t="s">
        <v>335</v>
      </c>
      <c r="B85" s="2707"/>
      <c r="C85" s="2707"/>
      <c r="D85" s="2775" t="s">
        <v>1063</v>
      </c>
      <c r="E85" s="2775"/>
      <c r="F85" s="2776">
        <f>SUM(F83:G84)</f>
        <v>850850</v>
      </c>
      <c r="G85" s="2776"/>
      <c r="H85" s="2777">
        <f>SUM(H83:J84)</f>
        <v>176556</v>
      </c>
      <c r="I85" s="2777"/>
      <c r="J85" s="2777"/>
      <c r="K85" s="2777">
        <f>SUM(K83:M84)</f>
        <v>643460</v>
      </c>
      <c r="L85" s="2777"/>
      <c r="M85" s="2777"/>
      <c r="N85" s="2777">
        <f>SUM(N83:P84)</f>
        <v>207390</v>
      </c>
      <c r="O85" s="2777"/>
      <c r="P85" s="2777"/>
      <c r="Q85" s="2775" t="s">
        <v>1063</v>
      </c>
      <c r="R85" s="2775"/>
      <c r="S85" s="2778" t="s">
        <v>1063</v>
      </c>
      <c r="T85" s="2778"/>
      <c r="U85" s="2778"/>
      <c r="V85" s="2778"/>
      <c r="W85" s="2778"/>
      <c r="X85" s="2778"/>
    </row>
    <row r="86" spans="1:24" ht="14.25" customHeight="1">
      <c r="A86" s="1370"/>
      <c r="B86" s="1370"/>
      <c r="C86" s="1370"/>
      <c r="D86" s="1370"/>
      <c r="E86" s="1370"/>
      <c r="F86" s="1370"/>
      <c r="G86" s="1371"/>
      <c r="H86" s="1371"/>
      <c r="I86" s="1371"/>
      <c r="J86" s="1371"/>
      <c r="K86" s="1371"/>
      <c r="L86" s="1372"/>
      <c r="M86" s="1372"/>
      <c r="N86" s="1372"/>
      <c r="O86" s="1372"/>
      <c r="P86" s="1372"/>
      <c r="Q86" s="1372"/>
      <c r="R86" s="1373"/>
      <c r="S86" s="1373"/>
      <c r="T86" s="1373"/>
      <c r="U86" s="1373"/>
      <c r="V86" s="1373"/>
      <c r="W86" s="1373"/>
      <c r="X86" s="1373"/>
    </row>
    <row r="87" spans="1:24" ht="21" customHeight="1">
      <c r="I87" s="2698" t="s">
        <v>872</v>
      </c>
      <c r="J87" s="2698"/>
      <c r="K87" s="2698"/>
      <c r="L87" s="2698"/>
      <c r="M87" s="2698"/>
      <c r="N87" s="2698"/>
      <c r="O87" s="2698"/>
      <c r="P87" s="2698"/>
      <c r="Q87" s="2699"/>
      <c r="R87" s="2699"/>
      <c r="S87" s="2699"/>
      <c r="T87" s="2699"/>
      <c r="U87" s="2699"/>
      <c r="V87" s="2699"/>
      <c r="W87" s="2699"/>
      <c r="X87" s="2699"/>
    </row>
    <row r="88" spans="1:24" ht="9.75" customHeight="1"/>
    <row r="89" spans="1:24" ht="21" customHeight="1">
      <c r="A89" s="2717" t="s">
        <v>873</v>
      </c>
      <c r="B89" s="2717"/>
      <c r="C89" s="2717"/>
      <c r="D89" s="2717"/>
      <c r="E89" s="2718" t="s">
        <v>874</v>
      </c>
      <c r="F89" s="2718"/>
      <c r="G89" s="2718"/>
      <c r="H89" s="2718"/>
      <c r="I89" s="2718" t="s">
        <v>875</v>
      </c>
      <c r="J89" s="2718"/>
      <c r="K89" s="2718"/>
      <c r="L89" s="2718"/>
      <c r="M89" s="2718" t="s">
        <v>876</v>
      </c>
      <c r="N89" s="2718"/>
      <c r="O89" s="2718"/>
      <c r="P89" s="2718"/>
      <c r="Q89" s="2721" t="s">
        <v>877</v>
      </c>
      <c r="R89" s="2721"/>
      <c r="S89" s="2721"/>
      <c r="T89" s="2721"/>
      <c r="U89" s="2719" t="s">
        <v>878</v>
      </c>
      <c r="V89" s="2719"/>
      <c r="W89" s="2719"/>
      <c r="X89" s="2719"/>
    </row>
    <row r="90" spans="1:24" ht="9" customHeight="1">
      <c r="A90" s="2722"/>
      <c r="B90" s="2722"/>
      <c r="C90" s="2722"/>
      <c r="D90" s="2722"/>
      <c r="E90" s="2711" t="s">
        <v>551</v>
      </c>
      <c r="F90" s="2711"/>
      <c r="G90" s="2711"/>
      <c r="H90" s="2711"/>
      <c r="I90" s="2711" t="s">
        <v>551</v>
      </c>
      <c r="J90" s="2711"/>
      <c r="K90" s="2711"/>
      <c r="L90" s="2711"/>
      <c r="M90" s="2711" t="s">
        <v>551</v>
      </c>
      <c r="N90" s="2711"/>
      <c r="O90" s="2711"/>
      <c r="P90" s="2711"/>
      <c r="Q90" s="2711" t="s">
        <v>551</v>
      </c>
      <c r="R90" s="2711"/>
      <c r="S90" s="2711"/>
      <c r="T90" s="2711"/>
      <c r="U90" s="2767"/>
      <c r="V90" s="2767"/>
      <c r="W90" s="2767"/>
      <c r="X90" s="2767"/>
    </row>
    <row r="91" spans="1:24" s="1341" customFormat="1" ht="21" customHeight="1">
      <c r="A91" s="2713" t="s">
        <v>225</v>
      </c>
      <c r="B91" s="2713"/>
      <c r="C91" s="2713"/>
      <c r="D91" s="2713"/>
      <c r="E91" s="2714">
        <f>前年度貼付!$E$246</f>
        <v>71093911</v>
      </c>
      <c r="F91" s="2714"/>
      <c r="G91" s="2714"/>
      <c r="H91" s="2714"/>
      <c r="I91" s="2714">
        <f>業務_財務諸表!C57</f>
        <v>3603510</v>
      </c>
      <c r="J91" s="2714"/>
      <c r="K91" s="2714"/>
      <c r="L91" s="2714"/>
      <c r="M91" s="2714">
        <f>業務_財務諸表!G54</f>
        <v>0</v>
      </c>
      <c r="N91" s="2714"/>
      <c r="O91" s="2714"/>
      <c r="P91" s="2714"/>
      <c r="Q91" s="2714">
        <f>E91+I91-M91</f>
        <v>74697421</v>
      </c>
      <c r="R91" s="2714"/>
      <c r="S91" s="2714"/>
      <c r="T91" s="2714"/>
      <c r="U91" s="2765"/>
      <c r="V91" s="2765"/>
      <c r="W91" s="2765"/>
      <c r="X91" s="2765"/>
    </row>
    <row r="92" spans="1:24" s="1341" customFormat="1" ht="19.5" customHeight="1">
      <c r="A92" s="2707" t="s">
        <v>879</v>
      </c>
      <c r="B92" s="2707"/>
      <c r="C92" s="2707"/>
      <c r="D92" s="2707"/>
      <c r="E92" s="2708">
        <f>SUM(E91:H91)</f>
        <v>71093911</v>
      </c>
      <c r="F92" s="2708"/>
      <c r="G92" s="2708"/>
      <c r="H92" s="2708"/>
      <c r="I92" s="2708">
        <f>SUM(I91:L91)</f>
        <v>3603510</v>
      </c>
      <c r="J92" s="2708"/>
      <c r="K92" s="2708"/>
      <c r="L92" s="2708"/>
      <c r="M92" s="2766">
        <f>SUM(M91:P91)</f>
        <v>0</v>
      </c>
      <c r="N92" s="2766"/>
      <c r="O92" s="2766"/>
      <c r="P92" s="2766"/>
      <c r="Q92" s="2708">
        <f>SUM(Q91:T91)</f>
        <v>74697421</v>
      </c>
      <c r="R92" s="2708"/>
      <c r="S92" s="2708"/>
      <c r="T92" s="2708"/>
      <c r="U92" s="2716"/>
      <c r="V92" s="2716"/>
      <c r="W92" s="2716"/>
      <c r="X92" s="2716"/>
    </row>
    <row r="93" spans="1:24" ht="14.25" customHeight="1">
      <c r="A93" s="1370"/>
      <c r="B93" s="1370"/>
      <c r="C93" s="1370"/>
      <c r="D93" s="1370"/>
      <c r="E93" s="1370"/>
      <c r="F93" s="1370"/>
      <c r="G93" s="1371"/>
      <c r="H93" s="1371"/>
      <c r="I93" s="1371"/>
      <c r="J93" s="1371"/>
      <c r="K93" s="1371"/>
      <c r="L93" s="1372"/>
      <c r="M93" s="1372"/>
      <c r="N93" s="1372"/>
      <c r="O93" s="1372"/>
      <c r="P93" s="1372"/>
      <c r="Q93" s="1372"/>
      <c r="R93" s="1373"/>
      <c r="S93" s="1373"/>
      <c r="T93" s="1373"/>
      <c r="U93" s="1373"/>
      <c r="V93" s="1373"/>
      <c r="W93" s="1373"/>
      <c r="X93" s="1373"/>
    </row>
    <row r="94" spans="1:24" ht="21" hidden="1" customHeight="1">
      <c r="A94" s="3132"/>
      <c r="B94" s="3132"/>
      <c r="C94" s="3132"/>
      <c r="D94" s="3132"/>
      <c r="E94" s="3132"/>
      <c r="F94" s="3132"/>
      <c r="G94" s="3132"/>
      <c r="H94" s="3132"/>
      <c r="I94" s="3133" t="s">
        <v>1064</v>
      </c>
      <c r="J94" s="3133"/>
      <c r="K94" s="3133"/>
      <c r="L94" s="3133"/>
      <c r="M94" s="3133"/>
      <c r="N94" s="3133"/>
      <c r="O94" s="3133"/>
      <c r="P94" s="3133"/>
      <c r="Q94" s="3134"/>
      <c r="R94" s="3134"/>
      <c r="S94" s="3134"/>
      <c r="T94" s="3134"/>
      <c r="U94" s="3134"/>
      <c r="V94" s="3134"/>
      <c r="W94" s="3134"/>
      <c r="X94" s="3134"/>
    </row>
    <row r="95" spans="1:24" ht="9.75" hidden="1" customHeight="1">
      <c r="A95" s="3132"/>
      <c r="B95" s="3132"/>
      <c r="C95" s="3132"/>
      <c r="D95" s="3135"/>
      <c r="E95" s="3132"/>
      <c r="F95" s="3132"/>
      <c r="G95" s="3132"/>
      <c r="H95" s="3132"/>
      <c r="I95" s="3132"/>
      <c r="J95" s="3132"/>
      <c r="K95" s="3132"/>
      <c r="L95" s="3132"/>
      <c r="M95" s="3132"/>
      <c r="N95" s="3132"/>
      <c r="O95" s="3132"/>
      <c r="P95" s="3132"/>
      <c r="Q95" s="3132"/>
      <c r="R95" s="3132"/>
      <c r="S95" s="3132"/>
      <c r="T95" s="3132"/>
      <c r="U95" s="3132"/>
      <c r="V95" s="3132"/>
      <c r="W95" s="3132"/>
      <c r="X95" s="3132"/>
    </row>
    <row r="96" spans="1:24" s="1407" customFormat="1" ht="21" hidden="1" customHeight="1">
      <c r="A96" s="3136" t="s">
        <v>1058</v>
      </c>
      <c r="B96" s="3136"/>
      <c r="C96" s="3136"/>
      <c r="D96" s="3137" t="s">
        <v>1065</v>
      </c>
      <c r="E96" s="3137"/>
      <c r="F96" s="3138" t="s">
        <v>1066</v>
      </c>
      <c r="G96" s="3138"/>
      <c r="H96" s="3138" t="s">
        <v>1060</v>
      </c>
      <c r="I96" s="3138"/>
      <c r="J96" s="3138" t="s">
        <v>1067</v>
      </c>
      <c r="K96" s="3138"/>
      <c r="L96" s="3138" t="s">
        <v>1068</v>
      </c>
      <c r="M96" s="3138"/>
      <c r="N96" s="3138" t="s">
        <v>1069</v>
      </c>
      <c r="O96" s="3138"/>
      <c r="P96" s="3139" t="s">
        <v>1074</v>
      </c>
      <c r="Q96" s="3139"/>
      <c r="R96" s="3139"/>
      <c r="S96" s="3139"/>
      <c r="T96" s="3139"/>
      <c r="U96" s="3139"/>
      <c r="V96" s="3139"/>
      <c r="W96" s="3139"/>
      <c r="X96" s="3139"/>
    </row>
    <row r="97" spans="1:24" ht="9" hidden="1" customHeight="1">
      <c r="A97" s="3140"/>
      <c r="B97" s="3140"/>
      <c r="C97" s="3140"/>
      <c r="D97" s="3141" t="s">
        <v>1075</v>
      </c>
      <c r="E97" s="3141"/>
      <c r="F97" s="3142" t="s">
        <v>551</v>
      </c>
      <c r="G97" s="3142"/>
      <c r="H97" s="3142" t="s">
        <v>551</v>
      </c>
      <c r="I97" s="3142"/>
      <c r="J97" s="3142" t="s">
        <v>551</v>
      </c>
      <c r="K97" s="3142"/>
      <c r="L97" s="3142" t="s">
        <v>551</v>
      </c>
      <c r="M97" s="3142"/>
      <c r="N97" s="3142" t="s">
        <v>1071</v>
      </c>
      <c r="O97" s="3142"/>
      <c r="P97" s="3143" t="s">
        <v>1076</v>
      </c>
      <c r="Q97" s="3143"/>
      <c r="R97" s="3143"/>
      <c r="S97" s="3143"/>
      <c r="T97" s="3143"/>
      <c r="U97" s="3143"/>
      <c r="V97" s="3143"/>
      <c r="W97" s="3143"/>
      <c r="X97" s="3143"/>
    </row>
    <row r="98" spans="1:24" s="1349" customFormat="1" ht="19.5" hidden="1" customHeight="1">
      <c r="A98" s="3144" t="s">
        <v>222</v>
      </c>
      <c r="B98" s="3144"/>
      <c r="C98" s="3144"/>
      <c r="D98" s="3145" t="s">
        <v>226</v>
      </c>
      <c r="E98" s="3145"/>
      <c r="F98" s="3146">
        <v>169470</v>
      </c>
      <c r="G98" s="3147"/>
      <c r="H98" s="3146">
        <v>0</v>
      </c>
      <c r="I98" s="3147"/>
      <c r="J98" s="3147">
        <f>Q106</f>
        <v>152520</v>
      </c>
      <c r="K98" s="3147"/>
      <c r="L98" s="3146">
        <v>16950</v>
      </c>
      <c r="M98" s="3147"/>
      <c r="N98" s="3148">
        <f>ROUND(J98/F98*100,1)</f>
        <v>90</v>
      </c>
      <c r="O98" s="3148"/>
      <c r="P98" s="3143"/>
      <c r="Q98" s="3143"/>
      <c r="R98" s="3143"/>
      <c r="S98" s="3143"/>
      <c r="T98" s="3143"/>
      <c r="U98" s="3143"/>
      <c r="V98" s="3143"/>
      <c r="W98" s="3143"/>
      <c r="X98" s="3143"/>
    </row>
    <row r="99" spans="1:24" s="1341" customFormat="1" ht="21" hidden="1" customHeight="1">
      <c r="A99" s="3149" t="s">
        <v>227</v>
      </c>
      <c r="B99" s="3149"/>
      <c r="C99" s="3149"/>
      <c r="D99" s="3150">
        <v>10</v>
      </c>
      <c r="E99" s="3151"/>
      <c r="F99" s="3152">
        <v>90825</v>
      </c>
      <c r="G99" s="3153"/>
      <c r="H99" s="3152">
        <v>9082</v>
      </c>
      <c r="I99" s="3153"/>
      <c r="J99" s="3154" t="s">
        <v>228</v>
      </c>
      <c r="K99" s="3154"/>
      <c r="L99" s="3152">
        <v>18926</v>
      </c>
      <c r="M99" s="3153"/>
      <c r="N99" s="3154" t="s">
        <v>228</v>
      </c>
      <c r="O99" s="3154"/>
      <c r="P99" s="3143" t="s">
        <v>1077</v>
      </c>
      <c r="Q99" s="3143"/>
      <c r="R99" s="3143"/>
      <c r="S99" s="3143"/>
      <c r="T99" s="3143"/>
      <c r="U99" s="3143"/>
      <c r="V99" s="3143"/>
      <c r="W99" s="3143"/>
      <c r="X99" s="3143"/>
    </row>
    <row r="100" spans="1:24" ht="19.5" hidden="1" customHeight="1">
      <c r="A100" s="3155" t="s">
        <v>1078</v>
      </c>
      <c r="B100" s="3155"/>
      <c r="C100" s="3155"/>
      <c r="D100" s="3156"/>
      <c r="E100" s="3156"/>
      <c r="F100" s="3157">
        <f>SUM(F98:G99)</f>
        <v>260295</v>
      </c>
      <c r="G100" s="3157"/>
      <c r="H100" s="3157">
        <f>SUM(H98:I99)</f>
        <v>9082</v>
      </c>
      <c r="I100" s="3157"/>
      <c r="J100" s="3157">
        <f>SUM(J98:K99)</f>
        <v>152520</v>
      </c>
      <c r="K100" s="3157"/>
      <c r="L100" s="3157">
        <f>SUM(L98:M99)</f>
        <v>35876</v>
      </c>
      <c r="M100" s="3157"/>
      <c r="N100" s="3158"/>
      <c r="O100" s="3158"/>
      <c r="P100" s="3159"/>
      <c r="Q100" s="3159"/>
      <c r="R100" s="3159"/>
      <c r="S100" s="3159"/>
      <c r="T100" s="3159"/>
      <c r="U100" s="3159"/>
      <c r="V100" s="3159"/>
      <c r="W100" s="3159"/>
      <c r="X100" s="3159"/>
    </row>
    <row r="101" spans="1:24" ht="20.25" hidden="1" customHeight="1">
      <c r="A101" s="3132"/>
      <c r="B101" s="3132"/>
      <c r="C101" s="3132"/>
      <c r="D101" s="3132"/>
      <c r="E101" s="3132"/>
      <c r="F101" s="3132"/>
      <c r="G101" s="3132"/>
      <c r="H101" s="3132"/>
      <c r="I101" s="3132"/>
      <c r="J101" s="3132"/>
      <c r="K101" s="3132"/>
      <c r="L101" s="3132"/>
      <c r="M101" s="3132"/>
      <c r="N101" s="3132"/>
      <c r="O101" s="3132"/>
      <c r="P101" s="3132"/>
      <c r="Q101" s="3132"/>
      <c r="R101" s="3132"/>
      <c r="S101" s="3132"/>
      <c r="T101" s="3132"/>
      <c r="U101" s="3132"/>
      <c r="V101" s="3132"/>
      <c r="W101" s="3132"/>
      <c r="X101" s="3132"/>
    </row>
    <row r="102" spans="1:24" ht="21" hidden="1" customHeight="1">
      <c r="A102" s="3132"/>
      <c r="B102" s="3132"/>
      <c r="C102" s="3132"/>
      <c r="D102" s="3132"/>
      <c r="E102" s="3132"/>
      <c r="F102" s="3132"/>
      <c r="G102" s="3132"/>
      <c r="H102" s="3132"/>
      <c r="I102" s="3160" t="s">
        <v>1079</v>
      </c>
      <c r="J102" s="3160"/>
      <c r="K102" s="3160"/>
      <c r="L102" s="3160"/>
      <c r="M102" s="3160"/>
      <c r="N102" s="3160"/>
      <c r="O102" s="3160"/>
      <c r="P102" s="3160"/>
      <c r="Q102" s="3134"/>
      <c r="R102" s="3134"/>
      <c r="S102" s="3134"/>
      <c r="T102" s="3134"/>
      <c r="U102" s="3134"/>
      <c r="V102" s="3134"/>
      <c r="W102" s="3134"/>
      <c r="X102" s="3134"/>
    </row>
    <row r="103" spans="1:24" ht="9.75" hidden="1" customHeight="1">
      <c r="A103" s="3132"/>
      <c r="B103" s="3132"/>
      <c r="C103" s="3132"/>
      <c r="D103" s="3132"/>
      <c r="E103" s="3132"/>
      <c r="F103" s="3132"/>
      <c r="G103" s="3132"/>
      <c r="H103" s="3132"/>
      <c r="I103" s="3132"/>
      <c r="J103" s="3132"/>
      <c r="K103" s="3132"/>
      <c r="L103" s="3132"/>
      <c r="M103" s="3132"/>
      <c r="N103" s="3132"/>
      <c r="O103" s="3132"/>
      <c r="P103" s="3132"/>
      <c r="Q103" s="3132"/>
      <c r="R103" s="3132"/>
      <c r="S103" s="3132"/>
      <c r="T103" s="3132"/>
      <c r="U103" s="3132"/>
      <c r="V103" s="3132"/>
      <c r="W103" s="3132"/>
      <c r="X103" s="3132"/>
    </row>
    <row r="104" spans="1:24" s="1408" customFormat="1" ht="21" hidden="1" customHeight="1">
      <c r="A104" s="3161" t="s">
        <v>873</v>
      </c>
      <c r="B104" s="3161"/>
      <c r="C104" s="3161"/>
      <c r="D104" s="3161"/>
      <c r="E104" s="3162" t="s">
        <v>874</v>
      </c>
      <c r="F104" s="3162"/>
      <c r="G104" s="3162"/>
      <c r="H104" s="3162"/>
      <c r="I104" s="3162" t="s">
        <v>875</v>
      </c>
      <c r="J104" s="3162"/>
      <c r="K104" s="3162"/>
      <c r="L104" s="3162"/>
      <c r="M104" s="3162" t="s">
        <v>876</v>
      </c>
      <c r="N104" s="3162"/>
      <c r="O104" s="3162"/>
      <c r="P104" s="3162"/>
      <c r="Q104" s="3163" t="s">
        <v>877</v>
      </c>
      <c r="R104" s="3163"/>
      <c r="S104" s="3163"/>
      <c r="T104" s="3163"/>
      <c r="U104" s="3164" t="s">
        <v>878</v>
      </c>
      <c r="V104" s="3164"/>
      <c r="W104" s="3164"/>
      <c r="X104" s="3164"/>
    </row>
    <row r="105" spans="1:24" s="1408" customFormat="1" ht="9" hidden="1" customHeight="1">
      <c r="A105" s="3140"/>
      <c r="B105" s="3140"/>
      <c r="C105" s="3140"/>
      <c r="D105" s="3140"/>
      <c r="E105" s="3142" t="s">
        <v>551</v>
      </c>
      <c r="F105" s="3142"/>
      <c r="G105" s="3142"/>
      <c r="H105" s="3142"/>
      <c r="I105" s="3142" t="s">
        <v>551</v>
      </c>
      <c r="J105" s="3142"/>
      <c r="K105" s="3142"/>
      <c r="L105" s="3142"/>
      <c r="M105" s="3142" t="s">
        <v>551</v>
      </c>
      <c r="N105" s="3142"/>
      <c r="O105" s="3142"/>
      <c r="P105" s="3142"/>
      <c r="Q105" s="3142" t="s">
        <v>551</v>
      </c>
      <c r="R105" s="3142"/>
      <c r="S105" s="3142"/>
      <c r="T105" s="3142"/>
      <c r="U105" s="3165"/>
      <c r="V105" s="3165"/>
      <c r="W105" s="3165"/>
      <c r="X105" s="3165"/>
    </row>
    <row r="106" spans="1:24" s="1409" customFormat="1" ht="19.5" hidden="1" customHeight="1">
      <c r="A106" s="3166" t="s">
        <v>229</v>
      </c>
      <c r="B106" s="3166"/>
      <c r="C106" s="3166"/>
      <c r="D106" s="3166"/>
      <c r="E106" s="3167">
        <v>152520</v>
      </c>
      <c r="F106" s="3168"/>
      <c r="G106" s="3168"/>
      <c r="H106" s="3168"/>
      <c r="I106" s="3167">
        <v>0</v>
      </c>
      <c r="J106" s="3168"/>
      <c r="K106" s="3168"/>
      <c r="L106" s="3168"/>
      <c r="M106" s="3167">
        <v>0</v>
      </c>
      <c r="N106" s="3168"/>
      <c r="O106" s="3168"/>
      <c r="P106" s="3168"/>
      <c r="Q106" s="3168">
        <f>E106+I106-M106</f>
        <v>152520</v>
      </c>
      <c r="R106" s="3168"/>
      <c r="S106" s="3168"/>
      <c r="T106" s="3168"/>
      <c r="U106" s="3169"/>
      <c r="V106" s="3169"/>
      <c r="W106" s="3169"/>
      <c r="X106" s="3169"/>
    </row>
    <row r="107" spans="1:24" s="1408" customFormat="1" ht="19.5" hidden="1" customHeight="1">
      <c r="A107" s="3170" t="s">
        <v>879</v>
      </c>
      <c r="B107" s="3170"/>
      <c r="C107" s="3170"/>
      <c r="D107" s="3170"/>
      <c r="E107" s="3171">
        <f>SUM(E106:H106)</f>
        <v>152520</v>
      </c>
      <c r="F107" s="3171"/>
      <c r="G107" s="3171"/>
      <c r="H107" s="3171"/>
      <c r="I107" s="3171">
        <f>SUM(I106:L106)</f>
        <v>0</v>
      </c>
      <c r="J107" s="3171"/>
      <c r="K107" s="3171"/>
      <c r="L107" s="3171"/>
      <c r="M107" s="3171">
        <f>SUM(M106:P106)</f>
        <v>0</v>
      </c>
      <c r="N107" s="3171"/>
      <c r="O107" s="3171"/>
      <c r="P107" s="3171"/>
      <c r="Q107" s="3171">
        <f>SUM(Q106:T106)</f>
        <v>152520</v>
      </c>
      <c r="R107" s="3171"/>
      <c r="S107" s="3171"/>
      <c r="T107" s="3171"/>
      <c r="U107" s="3172"/>
      <c r="V107" s="3172"/>
      <c r="W107" s="3172"/>
      <c r="X107" s="3172"/>
    </row>
    <row r="108" spans="1:24" ht="14.25" hidden="1" customHeight="1">
      <c r="A108" s="3132"/>
      <c r="B108" s="3132"/>
      <c r="C108" s="3132"/>
      <c r="D108" s="3132"/>
      <c r="E108" s="3132"/>
      <c r="F108" s="3132"/>
      <c r="G108" s="3132"/>
      <c r="H108" s="3132"/>
      <c r="I108" s="3132"/>
      <c r="J108" s="3132"/>
      <c r="K108" s="3132"/>
      <c r="L108" s="3132"/>
      <c r="M108" s="3132"/>
      <c r="N108" s="3132"/>
      <c r="O108" s="3132"/>
      <c r="P108" s="3132"/>
      <c r="Q108" s="3132"/>
      <c r="R108" s="3132"/>
      <c r="S108" s="3132"/>
      <c r="T108" s="3132"/>
      <c r="U108" s="3132"/>
      <c r="V108" s="3132"/>
      <c r="W108" s="3132"/>
      <c r="X108" s="3132"/>
    </row>
    <row r="109" spans="1:24" ht="14.25" hidden="1" customHeight="1">
      <c r="A109" s="3132"/>
      <c r="B109" s="3132"/>
      <c r="C109" s="3132"/>
      <c r="D109" s="3132"/>
      <c r="E109" s="3132"/>
      <c r="F109" s="3132"/>
      <c r="G109" s="3132"/>
      <c r="H109" s="3132"/>
      <c r="I109" s="3132"/>
      <c r="J109" s="3132"/>
      <c r="K109" s="3132"/>
      <c r="L109" s="3132"/>
      <c r="M109" s="3132"/>
      <c r="N109" s="3132"/>
      <c r="O109" s="3132"/>
      <c r="P109" s="3132"/>
      <c r="Q109" s="3132"/>
      <c r="R109" s="3132"/>
      <c r="S109" s="3132"/>
      <c r="T109" s="3132"/>
      <c r="U109" s="3132"/>
      <c r="V109" s="3132"/>
      <c r="W109" s="3132"/>
      <c r="X109" s="3132"/>
    </row>
    <row r="110" spans="1:24" ht="14.25" hidden="1" customHeight="1">
      <c r="A110" s="3132"/>
      <c r="B110" s="3132"/>
      <c r="C110" s="3132"/>
      <c r="D110" s="3132"/>
      <c r="E110" s="3132"/>
      <c r="F110" s="3132"/>
      <c r="G110" s="3132"/>
      <c r="H110" s="3132"/>
      <c r="I110" s="3132"/>
      <c r="J110" s="3132"/>
      <c r="K110" s="3132"/>
      <c r="L110" s="3132"/>
      <c r="M110" s="3132"/>
      <c r="N110" s="3132"/>
      <c r="O110" s="3132"/>
      <c r="P110" s="3132"/>
      <c r="Q110" s="3132"/>
      <c r="R110" s="3132"/>
      <c r="S110" s="3132"/>
      <c r="T110" s="3132"/>
      <c r="U110" s="3132"/>
      <c r="V110" s="3132"/>
      <c r="W110" s="3132"/>
      <c r="X110" s="3132"/>
    </row>
    <row r="111" spans="1:24" ht="21" customHeight="1">
      <c r="I111" s="2720" t="s">
        <v>1079</v>
      </c>
      <c r="J111" s="2720"/>
      <c r="K111" s="2720"/>
      <c r="L111" s="2720"/>
      <c r="M111" s="2720"/>
      <c r="N111" s="2720"/>
      <c r="O111" s="2720"/>
      <c r="P111" s="2720"/>
      <c r="Q111" s="2699"/>
      <c r="R111" s="2699"/>
      <c r="S111" s="2699"/>
      <c r="T111" s="2699"/>
      <c r="U111" s="2699"/>
      <c r="V111" s="2699"/>
      <c r="W111" s="2699"/>
      <c r="X111" s="2699"/>
    </row>
    <row r="112" spans="1:24" ht="14.25" customHeight="1"/>
    <row r="113" spans="1:25" ht="22.5" customHeight="1">
      <c r="A113" s="2717" t="s">
        <v>873</v>
      </c>
      <c r="B113" s="2717"/>
      <c r="C113" s="2717"/>
      <c r="D113" s="2717"/>
      <c r="E113" s="2718" t="s">
        <v>874</v>
      </c>
      <c r="F113" s="2718"/>
      <c r="G113" s="2718"/>
      <c r="H113" s="2718"/>
      <c r="I113" s="2718" t="s">
        <v>875</v>
      </c>
      <c r="J113" s="2718"/>
      <c r="K113" s="2718"/>
      <c r="L113" s="2718"/>
      <c r="M113" s="2718" t="s">
        <v>876</v>
      </c>
      <c r="N113" s="2718"/>
      <c r="O113" s="2718"/>
      <c r="P113" s="2718"/>
      <c r="Q113" s="2721" t="s">
        <v>877</v>
      </c>
      <c r="R113" s="2721"/>
      <c r="S113" s="2721"/>
      <c r="T113" s="2721"/>
      <c r="U113" s="2719" t="s">
        <v>878</v>
      </c>
      <c r="V113" s="2719"/>
      <c r="W113" s="2719"/>
      <c r="X113" s="2719"/>
    </row>
    <row r="114" spans="1:25" ht="9.75" customHeight="1">
      <c r="A114" s="2722"/>
      <c r="B114" s="2722"/>
      <c r="C114" s="2722"/>
      <c r="D114" s="2722"/>
      <c r="E114" s="2711" t="s">
        <v>551</v>
      </c>
      <c r="F114" s="2711"/>
      <c r="G114" s="2711"/>
      <c r="H114" s="2711"/>
      <c r="I114" s="2711" t="s">
        <v>551</v>
      </c>
      <c r="J114" s="2711"/>
      <c r="K114" s="2711"/>
      <c r="L114" s="2711"/>
      <c r="M114" s="2711" t="s">
        <v>551</v>
      </c>
      <c r="N114" s="2711"/>
      <c r="O114" s="2711"/>
      <c r="P114" s="2711"/>
      <c r="Q114" s="2711" t="s">
        <v>551</v>
      </c>
      <c r="R114" s="2711"/>
      <c r="S114" s="2711"/>
      <c r="T114" s="2711"/>
      <c r="U114" s="2723" t="s">
        <v>1080</v>
      </c>
      <c r="V114" s="2723"/>
      <c r="W114" s="2723"/>
      <c r="X114" s="2723"/>
    </row>
    <row r="115" spans="1:25" ht="18.75" customHeight="1">
      <c r="A115" s="2724" t="s">
        <v>229</v>
      </c>
      <c r="B115" s="2724"/>
      <c r="C115" s="2724"/>
      <c r="D115" s="2724"/>
      <c r="E115" s="2714">
        <f>前年度貼付!$E$248</f>
        <v>466904</v>
      </c>
      <c r="F115" s="2714"/>
      <c r="G115" s="2714"/>
      <c r="H115" s="2714"/>
      <c r="I115" s="2714">
        <f>H85</f>
        <v>176556</v>
      </c>
      <c r="J115" s="2714"/>
      <c r="K115" s="2714"/>
      <c r="L115" s="2714"/>
      <c r="M115" s="2714"/>
      <c r="N115" s="2714"/>
      <c r="O115" s="2714"/>
      <c r="P115" s="2714"/>
      <c r="Q115" s="2725">
        <f>E115+I115-M115</f>
        <v>643460</v>
      </c>
      <c r="R115" s="2725"/>
      <c r="S115" s="2725"/>
      <c r="T115" s="2725"/>
      <c r="U115" s="2723"/>
      <c r="V115" s="2723"/>
      <c r="W115" s="2723"/>
      <c r="X115" s="2723"/>
    </row>
    <row r="116" spans="1:25" ht="22.5" customHeight="1">
      <c r="A116" s="2707" t="s">
        <v>879</v>
      </c>
      <c r="B116" s="2707"/>
      <c r="C116" s="2707"/>
      <c r="D116" s="2707"/>
      <c r="E116" s="2708">
        <f>SUM(E115)</f>
        <v>466904</v>
      </c>
      <c r="F116" s="2708"/>
      <c r="G116" s="2708"/>
      <c r="H116" s="2708"/>
      <c r="I116" s="2708">
        <f>SUM(I115)</f>
        <v>176556</v>
      </c>
      <c r="J116" s="2708"/>
      <c r="K116" s="2708"/>
      <c r="L116" s="2708"/>
      <c r="M116" s="2708">
        <f>SUM(M115)</f>
        <v>0</v>
      </c>
      <c r="N116" s="2708"/>
      <c r="O116" s="2708"/>
      <c r="P116" s="2708"/>
      <c r="Q116" s="2708">
        <f>SUM(Q115)</f>
        <v>643460</v>
      </c>
      <c r="R116" s="2708"/>
      <c r="S116" s="2708"/>
      <c r="T116" s="2708"/>
      <c r="U116" s="2716"/>
      <c r="V116" s="2716"/>
      <c r="W116" s="2716"/>
      <c r="X116" s="2716"/>
    </row>
    <row r="117" spans="1:25" ht="14.25" customHeight="1"/>
    <row r="118" spans="1:25" ht="20.25" customHeight="1">
      <c r="I118" s="2698" t="s">
        <v>1081</v>
      </c>
      <c r="J118" s="2698"/>
      <c r="K118" s="2698"/>
      <c r="L118" s="2698"/>
      <c r="M118" s="2698"/>
      <c r="N118" s="2698"/>
      <c r="O118" s="2698"/>
      <c r="P118" s="2698"/>
      <c r="Q118" s="2699"/>
      <c r="R118" s="2699"/>
      <c r="S118" s="2699"/>
      <c r="T118" s="2699"/>
      <c r="U118" s="2699"/>
      <c r="V118" s="2699"/>
      <c r="W118" s="2699"/>
      <c r="X118" s="2699"/>
    </row>
    <row r="119" spans="1:25" ht="9.75" customHeight="1"/>
    <row r="120" spans="1:25" s="1341" customFormat="1" ht="21" customHeight="1">
      <c r="A120" s="2717" t="s">
        <v>1082</v>
      </c>
      <c r="B120" s="2717"/>
      <c r="C120" s="2717"/>
      <c r="D120" s="2717"/>
      <c r="E120" s="2718" t="s">
        <v>1083</v>
      </c>
      <c r="F120" s="2718"/>
      <c r="G120" s="2718"/>
      <c r="H120" s="2718"/>
      <c r="I120" s="2718"/>
      <c r="J120" s="2718" t="s">
        <v>1084</v>
      </c>
      <c r="K120" s="2718"/>
      <c r="L120" s="2718"/>
      <c r="M120" s="2718"/>
      <c r="N120" s="2718"/>
      <c r="O120" s="2718" t="s">
        <v>1085</v>
      </c>
      <c r="P120" s="2718"/>
      <c r="Q120" s="2718"/>
      <c r="R120" s="2718"/>
      <c r="S120" s="2718"/>
      <c r="T120" s="2719" t="s">
        <v>1086</v>
      </c>
      <c r="U120" s="2719"/>
      <c r="V120" s="2719"/>
      <c r="W120" s="2719"/>
      <c r="X120" s="2719"/>
    </row>
    <row r="121" spans="1:25" s="1341" customFormat="1" ht="9" customHeight="1">
      <c r="A121" s="2710"/>
      <c r="B121" s="2710"/>
      <c r="C121" s="2710"/>
      <c r="D121" s="2710"/>
      <c r="E121" s="2711" t="s">
        <v>551</v>
      </c>
      <c r="F121" s="2711"/>
      <c r="G121" s="2711"/>
      <c r="H121" s="2711"/>
      <c r="I121" s="2711"/>
      <c r="J121" s="2711" t="s">
        <v>551</v>
      </c>
      <c r="K121" s="2711"/>
      <c r="L121" s="2711"/>
      <c r="M121" s="2711"/>
      <c r="N121" s="2711"/>
      <c r="O121" s="2711" t="s">
        <v>551</v>
      </c>
      <c r="P121" s="2711"/>
      <c r="Q121" s="2711"/>
      <c r="R121" s="2711"/>
      <c r="S121" s="2711"/>
      <c r="T121" s="2712" t="s">
        <v>551</v>
      </c>
      <c r="U121" s="2712"/>
      <c r="V121" s="2712"/>
      <c r="W121" s="2712"/>
      <c r="X121" s="2712"/>
    </row>
    <row r="122" spans="1:25" s="1341" customFormat="1" ht="20.100000000000001" customHeight="1">
      <c r="A122" s="2713" t="s">
        <v>127</v>
      </c>
      <c r="B122" s="2713"/>
      <c r="C122" s="2713"/>
      <c r="D122" s="2713"/>
      <c r="E122" s="2714">
        <f>報告_業務P19!M5</f>
        <v>33000</v>
      </c>
      <c r="F122" s="2714"/>
      <c r="G122" s="2714"/>
      <c r="H122" s="2714"/>
      <c r="I122" s="2714"/>
      <c r="J122" s="2714">
        <f>業務_決算精算表!C21</f>
        <v>33000</v>
      </c>
      <c r="K122" s="2714"/>
      <c r="L122" s="2714"/>
      <c r="M122" s="2714"/>
      <c r="N122" s="2714"/>
      <c r="O122" s="2714">
        <f>業務_決算精算表!B21</f>
        <v>0</v>
      </c>
      <c r="P122" s="2714"/>
      <c r="Q122" s="2714"/>
      <c r="R122" s="2714"/>
      <c r="S122" s="2714"/>
      <c r="T122" s="2715">
        <f>E122-J122-O122</f>
        <v>0</v>
      </c>
      <c r="U122" s="2715"/>
      <c r="V122" s="2715"/>
      <c r="W122" s="2715"/>
      <c r="X122" s="2715"/>
    </row>
    <row r="123" spans="1:25" s="1341" customFormat="1" ht="20.100000000000001" customHeight="1">
      <c r="A123" s="2703" t="s">
        <v>128</v>
      </c>
      <c r="B123" s="2703"/>
      <c r="C123" s="2703"/>
      <c r="D123" s="2703"/>
      <c r="E123" s="2705">
        <f>報告_業務P19!M6</f>
        <v>11428000</v>
      </c>
      <c r="F123" s="2705"/>
      <c r="G123" s="2705"/>
      <c r="H123" s="2705"/>
      <c r="I123" s="2705"/>
      <c r="J123" s="2705">
        <f>業務_決算精算表!C22</f>
        <v>10082322</v>
      </c>
      <c r="K123" s="2705"/>
      <c r="L123" s="2705"/>
      <c r="M123" s="2705"/>
      <c r="N123" s="2705"/>
      <c r="O123" s="2705">
        <f>業務_決算精算表!B22</f>
        <v>59015</v>
      </c>
      <c r="P123" s="2705"/>
      <c r="Q123" s="2705"/>
      <c r="R123" s="2705"/>
      <c r="S123" s="2705"/>
      <c r="T123" s="2706">
        <f>E123-J123-O123</f>
        <v>1286663</v>
      </c>
      <c r="U123" s="2706"/>
      <c r="V123" s="2706"/>
      <c r="W123" s="2706"/>
      <c r="X123" s="2706"/>
    </row>
    <row r="124" spans="1:25" s="1341" customFormat="1" ht="20.100000000000001" customHeight="1">
      <c r="A124" s="2703" t="s">
        <v>130</v>
      </c>
      <c r="B124" s="2703"/>
      <c r="C124" s="2703"/>
      <c r="D124" s="2703"/>
      <c r="E124" s="2705">
        <f>報告_業務P19!M8</f>
        <v>1675000</v>
      </c>
      <c r="F124" s="2705"/>
      <c r="G124" s="2705"/>
      <c r="H124" s="2705"/>
      <c r="I124" s="2705"/>
      <c r="J124" s="2705">
        <f>業務_決算精算表!C24</f>
        <v>343112</v>
      </c>
      <c r="K124" s="2705"/>
      <c r="L124" s="2705"/>
      <c r="M124" s="2705"/>
      <c r="N124" s="2705"/>
      <c r="O124" s="2705">
        <f>業務_決算精算表!B24</f>
        <v>0</v>
      </c>
      <c r="P124" s="2705"/>
      <c r="Q124" s="2705"/>
      <c r="R124" s="2705"/>
      <c r="S124" s="2705"/>
      <c r="T124" s="2706">
        <f>E124-J124-O124</f>
        <v>1331888</v>
      </c>
      <c r="U124" s="2706"/>
      <c r="V124" s="2706"/>
      <c r="W124" s="2706"/>
      <c r="X124" s="2706"/>
      <c r="Y124" s="1341" t="s">
        <v>799</v>
      </c>
    </row>
    <row r="125" spans="1:25" s="1341" customFormat="1" ht="20.100000000000001" customHeight="1">
      <c r="A125" s="2703" t="s">
        <v>131</v>
      </c>
      <c r="B125" s="2703"/>
      <c r="C125" s="2703"/>
      <c r="D125" s="2703"/>
      <c r="E125" s="2704">
        <v>17238000</v>
      </c>
      <c r="F125" s="2705"/>
      <c r="G125" s="2705"/>
      <c r="H125" s="2705"/>
      <c r="I125" s="2705"/>
      <c r="J125" s="2705">
        <f>業務_決算精算表!C25</f>
        <v>13146428</v>
      </c>
      <c r="K125" s="2705"/>
      <c r="L125" s="2705"/>
      <c r="M125" s="2705"/>
      <c r="N125" s="2705"/>
      <c r="O125" s="2705">
        <f>業務_決算精算表!B25</f>
        <v>846685</v>
      </c>
      <c r="P125" s="2705"/>
      <c r="Q125" s="2705"/>
      <c r="R125" s="2705"/>
      <c r="S125" s="2705"/>
      <c r="T125" s="2706">
        <f>E125-J125-O125</f>
        <v>3244887</v>
      </c>
      <c r="U125" s="2706"/>
      <c r="V125" s="2706"/>
      <c r="W125" s="2706"/>
      <c r="X125" s="2706"/>
      <c r="Y125" s="1341" t="s">
        <v>808</v>
      </c>
    </row>
    <row r="126" spans="1:25" s="1341" customFormat="1" ht="20.100000000000001" customHeight="1">
      <c r="A126" s="2707" t="s">
        <v>879</v>
      </c>
      <c r="B126" s="2707"/>
      <c r="C126" s="2707"/>
      <c r="D126" s="2707"/>
      <c r="E126" s="2708">
        <f>SUM(E122:I125)</f>
        <v>30374000</v>
      </c>
      <c r="F126" s="2708"/>
      <c r="G126" s="2708"/>
      <c r="H126" s="2708"/>
      <c r="I126" s="2708"/>
      <c r="J126" s="2708">
        <f>SUM(J122:N125)</f>
        <v>23604862</v>
      </c>
      <c r="K126" s="2708"/>
      <c r="L126" s="2708"/>
      <c r="M126" s="2708"/>
      <c r="N126" s="2708"/>
      <c r="O126" s="2708">
        <f>SUM(O122:S125)</f>
        <v>905700</v>
      </c>
      <c r="P126" s="2708"/>
      <c r="Q126" s="2708"/>
      <c r="R126" s="2708"/>
      <c r="S126" s="2708"/>
      <c r="T126" s="2709">
        <f>SUM(T122:X125)</f>
        <v>5863438</v>
      </c>
      <c r="U126" s="2709"/>
      <c r="V126" s="2709"/>
      <c r="W126" s="2709"/>
      <c r="X126" s="2709"/>
    </row>
    <row r="127" spans="1:25" ht="17.25" customHeight="1"/>
    <row r="128" spans="1:25" ht="14.25" customHeight="1"/>
    <row r="129" spans="1:24" s="1341" customFormat="1" ht="21" customHeight="1">
      <c r="B129" s="1410"/>
      <c r="C129" s="1410"/>
      <c r="D129" s="1410"/>
      <c r="E129" s="1410"/>
      <c r="F129" s="1410"/>
      <c r="G129" s="1338"/>
      <c r="H129" s="1338"/>
      <c r="I129" s="2698" t="s">
        <v>880</v>
      </c>
      <c r="J129" s="2698"/>
      <c r="K129" s="2698"/>
      <c r="L129" s="2698"/>
      <c r="M129" s="2698"/>
      <c r="N129" s="2698"/>
      <c r="O129" s="2698"/>
      <c r="P129" s="2698"/>
      <c r="Q129" s="2699"/>
      <c r="R129" s="2699"/>
      <c r="S129" s="2699"/>
      <c r="T129" s="2699"/>
      <c r="U129" s="2699"/>
      <c r="V129" s="2699"/>
      <c r="W129" s="2699"/>
      <c r="X129" s="2699"/>
    </row>
    <row r="130" spans="1:24" s="1341" customFormat="1" ht="11.25" customHeight="1"/>
    <row r="131" spans="1:24" s="1341" customFormat="1" ht="20.25" customHeight="1">
      <c r="A131" s="1363"/>
      <c r="B131" s="1363"/>
      <c r="C131" s="1363"/>
      <c r="D131" s="1363"/>
      <c r="E131" s="1363"/>
      <c r="F131" s="1363"/>
      <c r="G131" s="1833"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31" s="1833"/>
      <c r="I131" s="1833"/>
      <c r="J131" s="1833"/>
      <c r="K131" s="1833"/>
      <c r="L131" s="1833"/>
      <c r="M131" s="1833"/>
      <c r="N131" s="1833"/>
      <c r="O131" s="1833"/>
      <c r="P131" s="1833"/>
      <c r="Q131" s="1833"/>
      <c r="R131" s="1833"/>
      <c r="S131" s="1363"/>
      <c r="T131" s="1363"/>
      <c r="U131" s="1363"/>
      <c r="V131" s="1363"/>
      <c r="W131" s="1363"/>
    </row>
    <row r="132" spans="1:24" s="1341" customFormat="1" ht="20.25" customHeight="1">
      <c r="A132" s="1363"/>
      <c r="B132" s="1363"/>
      <c r="C132" s="1363"/>
      <c r="D132" s="1363"/>
      <c r="E132" s="1363"/>
      <c r="F132" s="1363"/>
      <c r="G132" s="1363"/>
      <c r="H132" s="1363"/>
      <c r="I132" s="1363"/>
      <c r="J132" s="1363"/>
      <c r="K132" s="1363"/>
      <c r="L132" s="1363"/>
      <c r="M132" s="1363"/>
      <c r="N132" s="1363"/>
      <c r="O132" s="1363"/>
      <c r="P132" s="1363"/>
      <c r="Q132" s="1363"/>
      <c r="R132" s="1363"/>
      <c r="S132" s="1363"/>
      <c r="T132" s="1363"/>
      <c r="U132" s="1363"/>
      <c r="V132" s="1363"/>
      <c r="W132" s="1363"/>
    </row>
    <row r="133" spans="1:24" s="1341" customFormat="1" ht="20.25" customHeight="1">
      <c r="A133" s="1363"/>
      <c r="B133" s="1363"/>
      <c r="C133" s="76" t="s">
        <v>881</v>
      </c>
      <c r="D133" s="2694" t="s">
        <v>225</v>
      </c>
      <c r="E133" s="2694"/>
      <c r="F133" s="2694"/>
      <c r="G133" s="2694"/>
      <c r="H133" s="2694"/>
      <c r="I133" s="2694"/>
      <c r="J133" s="2694"/>
      <c r="K133" s="2694"/>
      <c r="L133" s="1363"/>
      <c r="M133" s="1363"/>
      <c r="N133" s="1363"/>
      <c r="O133" s="1363"/>
      <c r="P133" s="2700">
        <f>E91</f>
        <v>71093911</v>
      </c>
      <c r="Q133" s="2700"/>
      <c r="R133" s="2700"/>
      <c r="S133" s="2700"/>
      <c r="T133" s="2700"/>
      <c r="U133" s="2700"/>
      <c r="V133" s="49" t="s">
        <v>551</v>
      </c>
      <c r="W133" s="49"/>
    </row>
    <row r="134" spans="1:24" s="1341" customFormat="1" ht="20.25" customHeight="1">
      <c r="A134" s="49"/>
      <c r="B134" s="49"/>
      <c r="C134" s="76" t="s">
        <v>883</v>
      </c>
      <c r="D134" s="2694" t="str">
        <f>IF(業務_財務諸表!G54&gt;0,"当期損失金（△）","当期利益金")</f>
        <v>当期利益金</v>
      </c>
      <c r="E134" s="2694"/>
      <c r="F134" s="2694"/>
      <c r="G134" s="2694"/>
      <c r="H134" s="2694"/>
      <c r="I134" s="2694"/>
      <c r="J134" s="2694"/>
      <c r="K134" s="2694"/>
      <c r="L134" s="49"/>
      <c r="M134" s="49"/>
      <c r="N134" s="49"/>
      <c r="O134" s="49"/>
      <c r="P134" s="2701">
        <f>業務_財務諸表!C57-業務_財務諸表!G54</f>
        <v>3603510</v>
      </c>
      <c r="Q134" s="2701"/>
      <c r="R134" s="2701"/>
      <c r="S134" s="2701"/>
      <c r="T134" s="2701"/>
      <c r="U134" s="2701"/>
      <c r="V134" s="49" t="s">
        <v>551</v>
      </c>
      <c r="W134" s="49"/>
    </row>
    <row r="135" spans="1:24" s="1341" customFormat="1" ht="20.25" customHeight="1">
      <c r="A135" s="49"/>
      <c r="B135" s="49"/>
      <c r="C135" s="76" t="s">
        <v>885</v>
      </c>
      <c r="D135" s="2694" t="s">
        <v>230</v>
      </c>
      <c r="E135" s="2694"/>
      <c r="F135" s="2694"/>
      <c r="G135" s="2694"/>
      <c r="H135" s="2694"/>
      <c r="I135" s="2694"/>
      <c r="J135" s="2694"/>
      <c r="K135" s="2694"/>
      <c r="L135" s="49"/>
      <c r="M135" s="49"/>
      <c r="N135" s="49"/>
      <c r="O135" s="49"/>
      <c r="P135" s="2702">
        <f>SUM(K136:N137)</f>
        <v>0</v>
      </c>
      <c r="Q135" s="2701"/>
      <c r="R135" s="2701"/>
      <c r="S135" s="2701"/>
      <c r="T135" s="2701"/>
      <c r="U135" s="2701"/>
      <c r="V135" s="49" t="s">
        <v>551</v>
      </c>
      <c r="W135" s="49"/>
    </row>
    <row r="136" spans="1:24" s="1341" customFormat="1" ht="20.25" hidden="1" customHeight="1">
      <c r="A136" s="49"/>
      <c r="B136" s="49"/>
      <c r="C136" s="49"/>
      <c r="D136" s="49"/>
      <c r="E136" s="2694" t="s">
        <v>231</v>
      </c>
      <c r="F136" s="2694"/>
      <c r="G136" s="2694"/>
      <c r="H136" s="2694"/>
      <c r="I136" s="2694"/>
      <c r="J136" s="2694"/>
      <c r="K136" s="2695">
        <v>0</v>
      </c>
      <c r="L136" s="2696"/>
      <c r="M136" s="2696"/>
      <c r="N136" s="49" t="s">
        <v>551</v>
      </c>
      <c r="O136" s="49"/>
      <c r="P136" s="49"/>
      <c r="Q136" s="49"/>
      <c r="R136" s="49"/>
      <c r="S136" s="49"/>
      <c r="T136" s="49"/>
      <c r="U136" s="49"/>
      <c r="V136" s="49"/>
      <c r="W136" s="49"/>
    </row>
    <row r="137" spans="1:24" s="1341" customFormat="1" ht="20.25" hidden="1" customHeight="1">
      <c r="A137" s="49"/>
      <c r="B137" s="49"/>
      <c r="C137" s="49"/>
      <c r="D137" s="49"/>
      <c r="E137" s="2694" t="s">
        <v>232</v>
      </c>
      <c r="F137" s="2694"/>
      <c r="G137" s="2694"/>
      <c r="H137" s="2694"/>
      <c r="I137" s="2694"/>
      <c r="J137" s="2694"/>
      <c r="K137" s="2695">
        <v>0</v>
      </c>
      <c r="L137" s="2696"/>
      <c r="M137" s="2696"/>
      <c r="N137" s="49" t="s">
        <v>551</v>
      </c>
      <c r="O137" s="49"/>
      <c r="P137" s="49"/>
      <c r="Q137" s="49"/>
      <c r="R137" s="49"/>
      <c r="S137" s="49"/>
      <c r="T137" s="49"/>
      <c r="U137" s="49"/>
      <c r="V137" s="49"/>
      <c r="W137" s="49"/>
    </row>
    <row r="138" spans="1:24" s="1341" customFormat="1" ht="20.25" hidden="1" customHeight="1">
      <c r="A138" s="49"/>
      <c r="B138" s="49"/>
      <c r="C138" s="49"/>
      <c r="D138" s="49"/>
      <c r="E138" s="2694"/>
      <c r="F138" s="2694"/>
      <c r="G138" s="2694"/>
      <c r="H138" s="2694"/>
      <c r="I138" s="2694"/>
      <c r="J138" s="2694"/>
      <c r="K138" s="2696"/>
      <c r="L138" s="2696"/>
      <c r="M138" s="2696"/>
      <c r="N138" s="49"/>
      <c r="O138" s="49"/>
      <c r="P138" s="49"/>
      <c r="Q138" s="49"/>
      <c r="R138" s="49"/>
      <c r="S138" s="49"/>
      <c r="T138" s="49"/>
      <c r="U138" s="49"/>
      <c r="V138" s="49"/>
      <c r="W138" s="49"/>
    </row>
    <row r="139" spans="1:24" s="1341" customFormat="1" ht="20.25" customHeight="1">
      <c r="A139" s="49"/>
      <c r="B139" s="49"/>
      <c r="C139" s="49"/>
      <c r="D139" s="2694" t="s">
        <v>225</v>
      </c>
      <c r="E139" s="2694"/>
      <c r="F139" s="2694"/>
      <c r="G139" s="2694"/>
      <c r="H139" s="2694"/>
      <c r="I139" s="2694"/>
      <c r="J139" s="2694"/>
      <c r="K139" s="2694"/>
      <c r="L139" s="49"/>
      <c r="M139" s="49"/>
      <c r="N139" s="49"/>
      <c r="O139" s="49"/>
      <c r="Q139" s="2697">
        <f>P133+P134-P135</f>
        <v>74697421</v>
      </c>
      <c r="R139" s="2697"/>
      <c r="S139" s="2697"/>
      <c r="T139" s="2697"/>
      <c r="U139" s="2697"/>
      <c r="V139" s="1412" t="s">
        <v>551</v>
      </c>
      <c r="W139" s="49"/>
    </row>
    <row r="140" spans="1:24" s="1341" customFormat="1" ht="20.25" customHeight="1"/>
    <row r="141" spans="1:24" s="1341" customFormat="1" ht="13.5" customHeight="1"/>
    <row r="142" spans="1:24" ht="13.5" customHeight="1"/>
    <row r="143" spans="1:24" ht="14.25" customHeight="1">
      <c r="Q143" s="80" t="s">
        <v>1087</v>
      </c>
      <c r="R143" s="49"/>
      <c r="S143" s="49"/>
    </row>
    <row r="144" spans="1:24" ht="13.5" customHeight="1">
      <c r="Q144" s="2690" t="s">
        <v>1088</v>
      </c>
      <c r="R144" s="2690"/>
      <c r="S144" s="2690"/>
      <c r="T144" s="2690"/>
      <c r="U144" s="2690"/>
      <c r="V144" s="1413"/>
      <c r="W144" s="1414"/>
    </row>
    <row r="145" spans="17:23" ht="14.25" customHeight="1">
      <c r="Q145" s="2688">
        <f>E124+E125</f>
        <v>18913000</v>
      </c>
      <c r="R145" s="2688"/>
      <c r="S145" s="2688"/>
      <c r="T145" s="2688"/>
      <c r="U145" s="1415" t="s">
        <v>551</v>
      </c>
      <c r="V145" s="2689" t="s">
        <v>534</v>
      </c>
      <c r="W145" s="2689"/>
    </row>
    <row r="146" spans="17:23" ht="13.5" customHeight="1">
      <c r="Q146" s="2690" t="s">
        <v>1089</v>
      </c>
      <c r="R146" s="2690"/>
      <c r="S146" s="2690"/>
      <c r="T146" s="2690"/>
      <c r="U146" s="2690"/>
      <c r="V146" s="1416"/>
      <c r="W146" s="1417"/>
    </row>
    <row r="147" spans="17:23" ht="14.25" customHeight="1">
      <c r="Q147" s="2688">
        <f>J124+J125+O124+O125</f>
        <v>14336225</v>
      </c>
      <c r="R147" s="2688"/>
      <c r="S147" s="2688"/>
      <c r="T147" s="2688"/>
      <c r="U147" s="1415" t="s">
        <v>551</v>
      </c>
      <c r="V147" s="2689" t="s">
        <v>536</v>
      </c>
      <c r="W147" s="2689"/>
    </row>
    <row r="148" spans="17:23" ht="13.5" customHeight="1">
      <c r="Q148" s="2690" t="s">
        <v>1090</v>
      </c>
      <c r="R148" s="2690"/>
      <c r="S148" s="2690"/>
      <c r="T148" s="2690"/>
      <c r="U148" s="2690"/>
      <c r="V148" s="1413"/>
      <c r="W148" s="1414"/>
    </row>
    <row r="149" spans="17:23" ht="14.25" customHeight="1">
      <c r="Q149" s="2688">
        <f>Q145-Q147</f>
        <v>4576775</v>
      </c>
      <c r="R149" s="2688"/>
      <c r="S149" s="2688"/>
      <c r="T149" s="2688"/>
      <c r="U149" s="1418" t="s">
        <v>551</v>
      </c>
      <c r="V149" s="2691" t="s">
        <v>1091</v>
      </c>
      <c r="W149" s="2691"/>
    </row>
    <row r="150" spans="17:23" ht="13.5" customHeight="1">
      <c r="Q150" s="2692">
        <f>T124+T125</f>
        <v>4576775</v>
      </c>
      <c r="R150" s="2692"/>
      <c r="S150" s="2692"/>
      <c r="T150" s="2692"/>
      <c r="V150" s="2693" t="s">
        <v>1092</v>
      </c>
      <c r="W150" s="2693"/>
    </row>
    <row r="162" ht="38.25" customHeight="1"/>
    <row r="175" ht="38.25" customHeight="1"/>
    <row r="188" ht="38.25" customHeight="1"/>
  </sheetData>
  <sheetProtection formatCells="0" formatColumns="0" formatRows="0" insertColumns="0" insertRows="0" insertHyperlinks="0" deleteColumns="0" deleteRows="0" selectLockedCells="1"/>
  <mergeCells count="418">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Q8:X8"/>
    <mergeCell ref="A10:F10"/>
    <mergeCell ref="G10:L10"/>
    <mergeCell ref="M10:R10"/>
    <mergeCell ref="S10:X10"/>
    <mergeCell ref="A12:F12"/>
    <mergeCell ref="G12:K12"/>
    <mergeCell ref="M12:R12"/>
    <mergeCell ref="S12:X12"/>
    <mergeCell ref="A13:F13"/>
    <mergeCell ref="G13:K13"/>
    <mergeCell ref="M13:R13"/>
    <mergeCell ref="S13:X13"/>
    <mergeCell ref="A14:F14"/>
    <mergeCell ref="G14:K14"/>
    <mergeCell ref="M14:R14"/>
    <mergeCell ref="S14:X14"/>
    <mergeCell ref="I16:P16"/>
    <mergeCell ref="Q16:X16"/>
    <mergeCell ref="A18:C19"/>
    <mergeCell ref="D18:J19"/>
    <mergeCell ref="K18:R18"/>
    <mergeCell ref="S18:U19"/>
    <mergeCell ref="V18:X19"/>
    <mergeCell ref="K19:M19"/>
    <mergeCell ref="N19:O19"/>
    <mergeCell ref="P19:R19"/>
    <mergeCell ref="A21:C21"/>
    <mergeCell ref="D21:J21"/>
    <mergeCell ref="K21:M21"/>
    <mergeCell ref="N21:O21"/>
    <mergeCell ref="P21:Q21"/>
    <mergeCell ref="S21:T21"/>
    <mergeCell ref="V21:X21"/>
    <mergeCell ref="A22:C22"/>
    <mergeCell ref="D22:J22"/>
    <mergeCell ref="K22:M22"/>
    <mergeCell ref="N22:O22"/>
    <mergeCell ref="P22:Q22"/>
    <mergeCell ref="S22:T22"/>
    <mergeCell ref="V22:X22"/>
    <mergeCell ref="A23:O23"/>
    <mergeCell ref="P23:Q23"/>
    <mergeCell ref="S23:T23"/>
    <mergeCell ref="V23:X23"/>
    <mergeCell ref="I25:P25"/>
    <mergeCell ref="Q25:X25"/>
    <mergeCell ref="A27:F27"/>
    <mergeCell ref="G27:L27"/>
    <mergeCell ref="M27:R27"/>
    <mergeCell ref="S27:X27"/>
    <mergeCell ref="A29:F29"/>
    <mergeCell ref="G29:K29"/>
    <mergeCell ref="M29:R29"/>
    <mergeCell ref="S29:X29"/>
    <mergeCell ref="A30:F30"/>
    <mergeCell ref="G30:K30"/>
    <mergeCell ref="M30:R30"/>
    <mergeCell ref="S30:X30"/>
    <mergeCell ref="A31:F31"/>
    <mergeCell ref="G31:K31"/>
    <mergeCell ref="M31:R31"/>
    <mergeCell ref="S31:X31"/>
    <mergeCell ref="A32:F32"/>
    <mergeCell ref="G32:K32"/>
    <mergeCell ref="M32:R32"/>
    <mergeCell ref="S32:X32"/>
    <mergeCell ref="I34:P34"/>
    <mergeCell ref="Q34:X34"/>
    <mergeCell ref="A36:F36"/>
    <mergeCell ref="G36:L36"/>
    <mergeCell ref="M36:R36"/>
    <mergeCell ref="S36:X36"/>
    <mergeCell ref="A38:F38"/>
    <mergeCell ref="G38:K38"/>
    <mergeCell ref="M38:R38"/>
    <mergeCell ref="S38:X38"/>
    <mergeCell ref="A39:F39"/>
    <mergeCell ref="G39:K39"/>
    <mergeCell ref="M39:R39"/>
    <mergeCell ref="S39:X39"/>
    <mergeCell ref="A40:F40"/>
    <mergeCell ref="G40:K40"/>
    <mergeCell ref="M40:R40"/>
    <mergeCell ref="S40:X40"/>
    <mergeCell ref="A41:F41"/>
    <mergeCell ref="G41:K41"/>
    <mergeCell ref="M41:R41"/>
    <mergeCell ref="S41:X41"/>
    <mergeCell ref="A42:F42"/>
    <mergeCell ref="G42:K42"/>
    <mergeCell ref="M42:R42"/>
    <mergeCell ref="S42:X42"/>
    <mergeCell ref="A43:F43"/>
    <mergeCell ref="G43:K43"/>
    <mergeCell ref="M43:R43"/>
    <mergeCell ref="S43:X43"/>
    <mergeCell ref="A44:F44"/>
    <mergeCell ref="G44:K44"/>
    <mergeCell ref="M44:R44"/>
    <mergeCell ref="S44:X44"/>
    <mergeCell ref="A45:F45"/>
    <mergeCell ref="G45:K45"/>
    <mergeCell ref="M45:R45"/>
    <mergeCell ref="S45:X45"/>
    <mergeCell ref="A46:F46"/>
    <mergeCell ref="G46:K46"/>
    <mergeCell ref="M46:R46"/>
    <mergeCell ref="S46:X46"/>
    <mergeCell ref="I48:P48"/>
    <mergeCell ref="Q48:X48"/>
    <mergeCell ref="A50:F50"/>
    <mergeCell ref="G50:L50"/>
    <mergeCell ref="M50:R50"/>
    <mergeCell ref="S50:X50"/>
    <mergeCell ref="A52:F52"/>
    <mergeCell ref="G52:K52"/>
    <mergeCell ref="M52:R52"/>
    <mergeCell ref="S52:X52"/>
    <mergeCell ref="A53:F53"/>
    <mergeCell ref="G53:K53"/>
    <mergeCell ref="M53:R53"/>
    <mergeCell ref="S53:X53"/>
    <mergeCell ref="A54:F54"/>
    <mergeCell ref="G54:K54"/>
    <mergeCell ref="M54:R54"/>
    <mergeCell ref="S54:X54"/>
    <mergeCell ref="I56:P56"/>
    <mergeCell ref="A58:F58"/>
    <mergeCell ref="G58:K58"/>
    <mergeCell ref="L58:Q58"/>
    <mergeCell ref="R58:X58"/>
    <mergeCell ref="A60:F60"/>
    <mergeCell ref="G60:J60"/>
    <mergeCell ref="L60:Q60"/>
    <mergeCell ref="R60:X60"/>
    <mergeCell ref="A61:F61"/>
    <mergeCell ref="G61:J61"/>
    <mergeCell ref="L61:Q61"/>
    <mergeCell ref="R61:X61"/>
    <mergeCell ref="A62:F62"/>
    <mergeCell ref="G62:J62"/>
    <mergeCell ref="L62:Q62"/>
    <mergeCell ref="R62:X62"/>
    <mergeCell ref="G63:J63"/>
    <mergeCell ref="L63:N63"/>
    <mergeCell ref="I64:P64"/>
    <mergeCell ref="Q64:X64"/>
    <mergeCell ref="A66:F66"/>
    <mergeCell ref="G66:L66"/>
    <mergeCell ref="M66:R66"/>
    <mergeCell ref="S66:X66"/>
    <mergeCell ref="A68:F68"/>
    <mergeCell ref="G68:K68"/>
    <mergeCell ref="M68:R68"/>
    <mergeCell ref="S68:X68"/>
    <mergeCell ref="A69:F69"/>
    <mergeCell ref="G69:K69"/>
    <mergeCell ref="M69:R69"/>
    <mergeCell ref="S69:X69"/>
    <mergeCell ref="I72:P72"/>
    <mergeCell ref="Q72:X72"/>
    <mergeCell ref="A74:C74"/>
    <mergeCell ref="D74:F74"/>
    <mergeCell ref="G74:I74"/>
    <mergeCell ref="J74:L74"/>
    <mergeCell ref="M74:O74"/>
    <mergeCell ref="P74:R74"/>
    <mergeCell ref="S74:U74"/>
    <mergeCell ref="V74:X74"/>
    <mergeCell ref="A76:C76"/>
    <mergeCell ref="D76:F76"/>
    <mergeCell ref="G76:I76"/>
    <mergeCell ref="J76:L76"/>
    <mergeCell ref="M76:O76"/>
    <mergeCell ref="P76:R76"/>
    <mergeCell ref="S76:U76"/>
    <mergeCell ref="V76:X76"/>
    <mergeCell ref="A77:C77"/>
    <mergeCell ref="D77:F77"/>
    <mergeCell ref="G77:I77"/>
    <mergeCell ref="J77:L77"/>
    <mergeCell ref="M77:O77"/>
    <mergeCell ref="P77:R77"/>
    <mergeCell ref="S77:U77"/>
    <mergeCell ref="V77:X77"/>
    <mergeCell ref="I79:P79"/>
    <mergeCell ref="Q79:X79"/>
    <mergeCell ref="A81:C81"/>
    <mergeCell ref="D81:E81"/>
    <mergeCell ref="F81:G81"/>
    <mergeCell ref="H81:J81"/>
    <mergeCell ref="K81:M81"/>
    <mergeCell ref="N81:P81"/>
    <mergeCell ref="Q81:R81"/>
    <mergeCell ref="S81:X81"/>
    <mergeCell ref="A83:C83"/>
    <mergeCell ref="D83:E83"/>
    <mergeCell ref="F83:G83"/>
    <mergeCell ref="H83:J83"/>
    <mergeCell ref="K83:M83"/>
    <mergeCell ref="N83:P83"/>
    <mergeCell ref="Q83:R83"/>
    <mergeCell ref="S83:X83"/>
    <mergeCell ref="A84:C84"/>
    <mergeCell ref="D84:E84"/>
    <mergeCell ref="F84:G84"/>
    <mergeCell ref="H84:J84"/>
    <mergeCell ref="K84:M84"/>
    <mergeCell ref="N84:P84"/>
    <mergeCell ref="Q84:R84"/>
    <mergeCell ref="S84:X84"/>
    <mergeCell ref="A85:C85"/>
    <mergeCell ref="D85:E85"/>
    <mergeCell ref="F85:G85"/>
    <mergeCell ref="H85:J85"/>
    <mergeCell ref="K85:M85"/>
    <mergeCell ref="N85:P85"/>
    <mergeCell ref="Q85:R85"/>
    <mergeCell ref="S85:X85"/>
    <mergeCell ref="I87:P87"/>
    <mergeCell ref="Q87:X87"/>
    <mergeCell ref="A89:D89"/>
    <mergeCell ref="E89:H89"/>
    <mergeCell ref="I89:L89"/>
    <mergeCell ref="M89:P89"/>
    <mergeCell ref="Q89:T89"/>
    <mergeCell ref="U89:X89"/>
    <mergeCell ref="A90:D90"/>
    <mergeCell ref="E90:H90"/>
    <mergeCell ref="I90:L90"/>
    <mergeCell ref="M90:P90"/>
    <mergeCell ref="Q90:T90"/>
    <mergeCell ref="U90:X90"/>
    <mergeCell ref="A91:D91"/>
    <mergeCell ref="E91:H91"/>
    <mergeCell ref="I91:L91"/>
    <mergeCell ref="M91:P91"/>
    <mergeCell ref="Q91:T91"/>
    <mergeCell ref="U91:X91"/>
    <mergeCell ref="A92:D92"/>
    <mergeCell ref="E92:H92"/>
    <mergeCell ref="I92:L92"/>
    <mergeCell ref="M92:P92"/>
    <mergeCell ref="Q92:T92"/>
    <mergeCell ref="U92:X92"/>
    <mergeCell ref="I94:P94"/>
    <mergeCell ref="Q94:X94"/>
    <mergeCell ref="A96:C96"/>
    <mergeCell ref="D96:E96"/>
    <mergeCell ref="F96:G96"/>
    <mergeCell ref="H96:I96"/>
    <mergeCell ref="J96:K96"/>
    <mergeCell ref="L96:M96"/>
    <mergeCell ref="N96:O96"/>
    <mergeCell ref="P96:X96"/>
    <mergeCell ref="A97:C97"/>
    <mergeCell ref="D97:E97"/>
    <mergeCell ref="F97:G97"/>
    <mergeCell ref="H97:I97"/>
    <mergeCell ref="J97:K97"/>
    <mergeCell ref="L97:M97"/>
    <mergeCell ref="N97:O97"/>
    <mergeCell ref="P97:X98"/>
    <mergeCell ref="A98:C98"/>
    <mergeCell ref="D98:E98"/>
    <mergeCell ref="F98:G98"/>
    <mergeCell ref="H98:I98"/>
    <mergeCell ref="J98:K98"/>
    <mergeCell ref="L98:M98"/>
    <mergeCell ref="N98:O98"/>
    <mergeCell ref="A99:C99"/>
    <mergeCell ref="D99:E99"/>
    <mergeCell ref="F99:G99"/>
    <mergeCell ref="H99:I99"/>
    <mergeCell ref="J99:K99"/>
    <mergeCell ref="L99:M99"/>
    <mergeCell ref="N99:O99"/>
    <mergeCell ref="P99:X99"/>
    <mergeCell ref="A100:C100"/>
    <mergeCell ref="D100:E100"/>
    <mergeCell ref="F100:G100"/>
    <mergeCell ref="H100:I100"/>
    <mergeCell ref="J100:K100"/>
    <mergeCell ref="L100:M100"/>
    <mergeCell ref="N100:O100"/>
    <mergeCell ref="P100:X100"/>
    <mergeCell ref="I102:P102"/>
    <mergeCell ref="Q102:X102"/>
    <mergeCell ref="A104:D104"/>
    <mergeCell ref="E104:H104"/>
    <mergeCell ref="I104:L104"/>
    <mergeCell ref="M104:P104"/>
    <mergeCell ref="Q104:T104"/>
    <mergeCell ref="U104:X104"/>
    <mergeCell ref="A105:D105"/>
    <mergeCell ref="E105:H105"/>
    <mergeCell ref="I105:L105"/>
    <mergeCell ref="M105:P105"/>
    <mergeCell ref="Q105:T105"/>
    <mergeCell ref="U105:X105"/>
    <mergeCell ref="A106:D106"/>
    <mergeCell ref="E106:H106"/>
    <mergeCell ref="I106:L106"/>
    <mergeCell ref="M106:P106"/>
    <mergeCell ref="Q106:T106"/>
    <mergeCell ref="U106:X106"/>
    <mergeCell ref="A107:D107"/>
    <mergeCell ref="E107:H107"/>
    <mergeCell ref="I107:L107"/>
    <mergeCell ref="M107:P107"/>
    <mergeCell ref="Q107:T107"/>
    <mergeCell ref="U107:X107"/>
    <mergeCell ref="I111:P111"/>
    <mergeCell ref="Q111:X111"/>
    <mergeCell ref="A113:D113"/>
    <mergeCell ref="E113:H113"/>
    <mergeCell ref="I113:L113"/>
    <mergeCell ref="M113:P113"/>
    <mergeCell ref="Q113:T113"/>
    <mergeCell ref="U113:X113"/>
    <mergeCell ref="A114:D114"/>
    <mergeCell ref="E114:H114"/>
    <mergeCell ref="I114:L114"/>
    <mergeCell ref="M114:P114"/>
    <mergeCell ref="Q114:T114"/>
    <mergeCell ref="U114:X115"/>
    <mergeCell ref="A115:D115"/>
    <mergeCell ref="E115:H115"/>
    <mergeCell ref="I115:L115"/>
    <mergeCell ref="M115:P115"/>
    <mergeCell ref="Q115:T115"/>
    <mergeCell ref="A116:D116"/>
    <mergeCell ref="E116:H116"/>
    <mergeCell ref="I116:L116"/>
    <mergeCell ref="M116:P116"/>
    <mergeCell ref="Q116:T116"/>
    <mergeCell ref="U116:X116"/>
    <mergeCell ref="I118:P118"/>
    <mergeCell ref="Q118:X118"/>
    <mergeCell ref="A120:D120"/>
    <mergeCell ref="E120:I120"/>
    <mergeCell ref="J120:N120"/>
    <mergeCell ref="O120:S120"/>
    <mergeCell ref="T120:X120"/>
    <mergeCell ref="A121:D121"/>
    <mergeCell ref="E121:I121"/>
    <mergeCell ref="J121:N121"/>
    <mergeCell ref="O121:S121"/>
    <mergeCell ref="T121:X121"/>
    <mergeCell ref="A122:D122"/>
    <mergeCell ref="E122:I122"/>
    <mergeCell ref="J122:N122"/>
    <mergeCell ref="O122:S122"/>
    <mergeCell ref="T122:X122"/>
    <mergeCell ref="A123:D123"/>
    <mergeCell ref="E123:I123"/>
    <mergeCell ref="J123:N123"/>
    <mergeCell ref="O123:S123"/>
    <mergeCell ref="T123:X123"/>
    <mergeCell ref="A124:D124"/>
    <mergeCell ref="E124:I124"/>
    <mergeCell ref="J124:N124"/>
    <mergeCell ref="O124:S124"/>
    <mergeCell ref="T124:X124"/>
    <mergeCell ref="A125:D125"/>
    <mergeCell ref="E125:I125"/>
    <mergeCell ref="J125:N125"/>
    <mergeCell ref="O125:S125"/>
    <mergeCell ref="T125:X125"/>
    <mergeCell ref="A126:D126"/>
    <mergeCell ref="E126:I126"/>
    <mergeCell ref="J126:N126"/>
    <mergeCell ref="O126:S126"/>
    <mergeCell ref="T126:X126"/>
    <mergeCell ref="I129:P129"/>
    <mergeCell ref="Q129:X129"/>
    <mergeCell ref="G131:R131"/>
    <mergeCell ref="D133:K133"/>
    <mergeCell ref="P133:U133"/>
    <mergeCell ref="D134:K134"/>
    <mergeCell ref="P134:U134"/>
    <mergeCell ref="D135:K135"/>
    <mergeCell ref="P135:U135"/>
    <mergeCell ref="E136:J136"/>
    <mergeCell ref="K136:M136"/>
    <mergeCell ref="E137:J137"/>
    <mergeCell ref="K137:M137"/>
    <mergeCell ref="E138:J138"/>
    <mergeCell ref="K138:M138"/>
    <mergeCell ref="D139:K139"/>
    <mergeCell ref="Q139:U139"/>
    <mergeCell ref="Q144:U144"/>
    <mergeCell ref="Q145:T145"/>
    <mergeCell ref="V145:W145"/>
    <mergeCell ref="Q146:U146"/>
    <mergeCell ref="Q147:T147"/>
    <mergeCell ref="V147:W147"/>
    <mergeCell ref="Q148:U148"/>
    <mergeCell ref="Q149:T149"/>
    <mergeCell ref="V149:W149"/>
    <mergeCell ref="Q150:T150"/>
    <mergeCell ref="V150:W150"/>
  </mergeCells>
  <phoneticPr fontId="155"/>
  <conditionalFormatting sqref="A94 A95 A96 A97 A98 A99 A100 A101 A102 A103 A104 A105 A106 A107 A108 A109 A110 B94 B95 B101 B102 B103 B108 B109 B110 C94 C95 C101 C102 C103 C108 C109 C110 D94 D95 D96 D97 D98 D99 D100 D101 D102 D103 D108 D109 D110 E94 E95 E101 E102 E103 E104 E105 E106 E108 E109 E110 E125 F83 F84 F94 F95 F96 F97 F98 F99 F101 F102 F103 F108 F109 F110 G12 G38 G39 G40 G41 G42 G43 G44 G45 G52 G53 G60 G61 G68 G76 G94 G95 G101 G102 G103 G108 G109 G110 H83 H84 H94 H95 H96 H97 H98 H99 H101 H102 H103 H108 H109 H110 I94 I95 I101 I102 I103 I104 I105 I106 I108 I109 I110 J76 J95 J96 J97 J99 J101 J103 J108 J109 J110 K83 K84 K95 K101 K103 K108 K109 K110 K136 K137 L95 L96 L97 L98 L99 L101 L103 L108 L109 L110 M5 M95 M101 M103 M104 M105 M106 M108 M109 M110 N95 N96 N97 N99 N100 N101 N103 N108 N109 N110 O95 O101 O103 O108 O109 O110 P95 P96 P97 P99 P100 P101 P103 P108 P109 P110 Q94 Q95 Q101 Q102 Q103 Q104 Q105 Q108 Q109 Q110 R95 R101 R103 R108 R109 R110 S95 S101 S103 S108 S109 S110 T95 T101 T103 T108 T109 T110 U95 U101 U103 U104 U105 U106 U107 U108 U109 U110 V95 V101 V103 V108 V109 V110 W95 W101 W103 W108 W109 W110 X95 X101 X103 X108 X109 X110">
    <cfRule type="expression" dxfId="6" priority="1">
      <formula>AND(入力色表示=1,NOT(_xlfn.ISFORMULA(A94)))</formula>
    </cfRule>
  </conditionalFormatting>
  <dataValidations count="31">
    <dataValidation allowBlank="1" showInputMessage="1" promptTitle="手入力セル" prompt="反映先：なし（このセルのみ）" sqref="D99"/>
    <dataValidation allowBlank="1" showInputMessage="1" promptTitle="手入力セル" prompt="反映先：業務_附属明細表 E107,Q106&#10;他の帳票：なし" sqref="E106"/>
    <dataValidation allowBlank="1" showInputMessage="1" promptTitle="手入力セル" prompt="反映先：業務_附属明細表 E126,Q145,T125&#10;他の帳票：なし" sqref="E125"/>
    <dataValidation allowBlank="1" showInputMessage="1" promptTitle="手入力セル" prompt="反映先：業務_附属明細表 F85,N83,Q83&#10;他の帳票：なし" sqref="F83"/>
    <dataValidation allowBlank="1" showInputMessage="1" promptTitle="手入力セル" prompt="反映先：業務_附属明細表 F85,N84,Q84&#10;他の帳票：なし" sqref="F84"/>
    <dataValidation allowBlank="1" showInputMessage="1" promptTitle="手入力セル" prompt="反映先：業務_附属明細表 F100,N98&#10;他の帳票：なし" sqref="F98"/>
    <dataValidation allowBlank="1" showInputMessage="1" promptTitle="手入力セル" prompt="反映先：業務_附属明細表 F100&#10;他の帳票：なし" sqref="F99"/>
    <dataValidation allowBlank="1" showInputMessage="1" promptTitle="手入力セル" prompt="反映先：業務_附属明細表 G14&#10;他の帳票：なし" sqref="G12"/>
    <dataValidation allowBlank="1" showInputMessage="1" promptTitle="手入力セル" prompt="反映先：業務_附属明細表 G46、業務_決算精算表 B10&#10;他の帳票：業務_財務諸表、業務_決算精算表" sqref="G38"/>
    <dataValidation allowBlank="1" showInputMessage="1" promptTitle="手入力セル" prompt="反映先：業務_附属明細表 G46、業務_決算精算表 B25&#10;他の帳票：報告_業務P19、業務_財務諸表、業務_決算精算表" sqref="G39"/>
    <dataValidation allowBlank="1" showInputMessage="1" promptTitle="手入力セル" prompt="反映先：業務_附属明細表 G46、業務_決算精算表 B27&#10;他の帳票：報告_業務P19、業務_財務諸表、業務_決算精算表" sqref="G40"/>
    <dataValidation allowBlank="1" showInputMessage="1" promptTitle="手入力セル" prompt="反映先：業務_附属明細表 G46、業務_決算精算表 B28&#10;他の帳票：報告_業務P19、業務_財務諸表、業務_決算精算表" sqref="G41"/>
    <dataValidation allowBlank="1" showInputMessage="1" promptTitle="手入力セル" prompt="反映先：業務_附属明細表 G46、業務_決算精算表 B30&#10;他の帳票：報告_業務P19、業務_財務諸表、業務_決算精算表" sqref="G42"/>
    <dataValidation allowBlank="1" showInputMessage="1" promptTitle="手入力セル" prompt="反映先：業務_附属明細表 G46、業務_決算精算表 B31&#10;他の帳票：報告_業務P19、業務_財務諸表、業務_決算精算表" sqref="G43"/>
    <dataValidation allowBlank="1" showInputMessage="1" promptTitle="手入力セル" prompt="反映先：業務_附属明細表 G46、業務_決算精算表 B32&#10;他の帳票：報告_業務P19、業務_財務諸表、業務_決算精算表" sqref="G44"/>
    <dataValidation allowBlank="1" showInputMessage="1" promptTitle="手入力セル" prompt="反映先：業務_附属明細表 G46、業務_決算精算表 B39&#10;他の帳票：報告_業務P18、報告_業務P19、業務_財務諸表、業務_決算精算表" sqref="G45"/>
    <dataValidation allowBlank="1" showInputMessage="1" promptTitle="手入力セル" prompt="反映先：業務_附属明細表 G54、業務_決算精算表 B22&#10;他の帳票：報告_業務P19、業務_財務諸表、業務_決算精算表" sqref="G52"/>
    <dataValidation allowBlank="1" showInputMessage="1" promptTitle="手入力セル" prompt="反映先：業務_附属明細表 G54、業務_決算精算表 B26&#10;他の帳票：報告_業務P19、業務_財務諸表、業務_決算精算表" sqref="G53"/>
    <dataValidation allowBlank="1" showInputMessage="1" promptTitle="手入力セル" prompt="反映先：業務_附属明細表 G62&#10;他の帳票：業務_財務諸表、業務_決算精算表" sqref="G60 G61"/>
    <dataValidation allowBlank="1" showInputMessage="1" promptTitle="手入力セル" prompt="反映先：業務_附属明細表 G69、業務_決算精算表 E17&#10;他の帳票：業務_財務諸表、業務_決算精算表" sqref="G68"/>
    <dataValidation allowBlank="1" showInputMessage="1" promptTitle="手入力セル" prompt="反映先：業務_附属明細表 G77,M76&#10;他の帳票：業務_財務諸表、業務_決算精算表" sqref="G76"/>
    <dataValidation allowBlank="1" showInputMessage="1" promptTitle="手入力セル" prompt="反映先：業務_附属明細表 H85&#10;他の帳票：報告_業務P19、業務_財務諸表、業務_決算精算表" sqref="H83 H84"/>
    <dataValidation allowBlank="1" showInputMessage="1" promptTitle="手入力セル" prompt="反映先：業務_附属明細表 H100&#10;他の帳票：なし" sqref="H98 H99"/>
    <dataValidation allowBlank="1" showInputMessage="1" promptTitle="手入力セル" prompt="反映先：業務_附属明細表 I107,Q106&#10;他の帳票：なし" sqref="I106"/>
    <dataValidation allowBlank="1" showInputMessage="1" promptTitle="手入力セル" prompt="反映先：業務_附属明細表 J77,M76&#10;他の帳票：業務_財務諸表、業務_決算精算表" sqref="J76"/>
    <dataValidation allowBlank="1" showInputMessage="1" promptTitle="手入力セル" prompt="反映先：業務_附属明細表 K85,N83,Q83&#10;他の帳票：なし" sqref="K83"/>
    <dataValidation allowBlank="1" showInputMessage="1" promptTitle="手入力セル" prompt="反映先：業務_附属明細表 K85,N84,Q84&#10;他の帳票：なし" sqref="K84"/>
    <dataValidation allowBlank="1" showInputMessage="1" promptTitle="手入力セル" prompt="反映先：業務_附属明細表 P135&#10;他の帳票：なし" sqref="K136 K137"/>
    <dataValidation allowBlank="1" showInputMessage="1" promptTitle="手入力セル" prompt="反映先：業務_附属明細表 L100&#10;他の帳票：なし" sqref="L98 L99"/>
    <dataValidation allowBlank="1" showInputMessage="1" promptTitle="手入力セル" prompt="反映先：業務_附属明細表 M6、業務_決算精算表 C9&#10;他の帳票：業務_財務諸表、業務_決算精算表" sqref="M5"/>
    <dataValidation allowBlank="1" showInputMessage="1" promptTitle="手入力セル" prompt="反映先：業務_附属明細表 M107,Q106&#10;他の帳票：なし" sqref="M106"/>
  </dataValidations>
  <pageMargins left="0.78749999999999998" right="0.39374999999999999" top="0.59027777777777801" bottom="0.59097222222222201" header="0.511811023622047" footer="0.31527777777777799"/>
  <pageSetup paperSize="9" scale="96" firstPageNumber="48" orientation="portrait" useFirstPageNumber="1" horizontalDpi="300" verticalDpi="300"/>
  <headerFooter>
    <oddFooter>&amp;C&amp;"ＭＳ 明朝,Regular"- &amp;P -</oddFooter>
  </headerFooter>
  <rowBreaks count="3" manualBreakCount="3">
    <brk id="54" max="16383" man="1"/>
    <brk id="116" max="16383" man="1"/>
    <brk id="140" max="16383" man="1"/>
  </rowBreaks>
  <legacy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4AD61-86C9-4FF9-90F3-825C02B16343}">
  <sheetPr codeName="Sheet42"/>
  <dimension ref="A1:H188"/>
  <sheetViews>
    <sheetView zoomScaleNormal="100" zoomScalePageLayoutView="60" workbookViewId="0">
      <selection sqref="A1:G1"/>
    </sheetView>
  </sheetViews>
  <sheetFormatPr defaultColWidth="9" defaultRowHeight="13.2"/>
  <cols>
    <col min="1" max="3" width="12.33203125" customWidth="1"/>
    <col min="4" max="4" width="17" customWidth="1"/>
    <col min="5" max="7" width="12.33203125" customWidth="1"/>
  </cols>
  <sheetData>
    <row r="1" spans="1:8" ht="24" customHeight="1">
      <c r="A1" s="1419"/>
      <c r="B1" s="1419"/>
      <c r="C1" s="2850" t="s">
        <v>887</v>
      </c>
      <c r="D1" s="2850"/>
      <c r="E1" s="2850"/>
      <c r="F1" s="1419"/>
      <c r="G1" s="1419"/>
      <c r="H1" s="1419"/>
    </row>
    <row r="2" spans="1:8" ht="12" customHeight="1">
      <c r="A2" s="1419"/>
      <c r="B2" s="1419"/>
      <c r="C2" s="1420"/>
      <c r="D2" s="1421"/>
      <c r="E2" s="1421"/>
      <c r="F2" s="1419"/>
      <c r="G2" s="1419"/>
      <c r="H2" s="1419"/>
    </row>
    <row r="3" spans="1:8" ht="21" customHeight="1">
      <c r="A3" s="1422"/>
      <c r="B3" s="1423"/>
      <c r="C3" s="2851" t="s">
        <v>1093</v>
      </c>
      <c r="D3" s="2851"/>
      <c r="E3" s="2851"/>
      <c r="F3" s="1424"/>
      <c r="G3" s="1425"/>
      <c r="H3" s="1419"/>
    </row>
    <row r="4" spans="1:8" ht="21" customHeight="1">
      <c r="A4" s="1426"/>
      <c r="B4" s="1427"/>
      <c r="C4" s="1428"/>
      <c r="D4" s="1429" t="str">
        <f>"令和"&amp;IF((入力ガイド!$C$6)&gt;=10,MID("０１２３４５６７８９",INT((入力ガイド!$C$6)/10)+1,1),"")&amp;MID("０１２３４５６７８９",MOD((入力ガイド!$C$6),10)+1,1)&amp;"年度"&amp;"分"</f>
        <v>令和７年度分</v>
      </c>
      <c r="E4" s="1428"/>
      <c r="F4" s="1430"/>
      <c r="G4" s="1431"/>
      <c r="H4" s="1419"/>
    </row>
    <row r="5" spans="1:8" ht="6" customHeight="1">
      <c r="A5" s="1432"/>
      <c r="B5" s="1430"/>
      <c r="C5" s="1430"/>
      <c r="D5" s="1430"/>
      <c r="E5" s="1430"/>
      <c r="F5" s="1430"/>
      <c r="G5" s="1433"/>
      <c r="H5" s="1419"/>
    </row>
    <row r="6" spans="1:8" ht="13.5" customHeight="1">
      <c r="A6" s="2852" t="s">
        <v>889</v>
      </c>
      <c r="B6" s="2852"/>
      <c r="C6" s="2852"/>
      <c r="D6" s="2853" t="s">
        <v>890</v>
      </c>
      <c r="E6" s="2854" t="s">
        <v>891</v>
      </c>
      <c r="F6" s="2854"/>
      <c r="G6" s="2854"/>
      <c r="H6" s="1419"/>
    </row>
    <row r="7" spans="1:8" ht="13.5" customHeight="1">
      <c r="A7" s="1434" t="s">
        <v>892</v>
      </c>
      <c r="B7" s="1435" t="s">
        <v>893</v>
      </c>
      <c r="C7" s="1436" t="s">
        <v>894</v>
      </c>
      <c r="D7" s="2853"/>
      <c r="E7" s="1437" t="s">
        <v>894</v>
      </c>
      <c r="F7" s="1435" t="s">
        <v>893</v>
      </c>
      <c r="G7" s="1438" t="s">
        <v>892</v>
      </c>
      <c r="H7" s="1419"/>
    </row>
    <row r="8" spans="1:8" ht="13.5" customHeight="1">
      <c r="A8" s="1439" t="s">
        <v>551</v>
      </c>
      <c r="B8" s="1440" t="s">
        <v>551</v>
      </c>
      <c r="C8" s="1441" t="s">
        <v>551</v>
      </c>
      <c r="D8" s="1442"/>
      <c r="E8" s="1441" t="s">
        <v>551</v>
      </c>
      <c r="F8" s="1440" t="s">
        <v>551</v>
      </c>
      <c r="G8" s="1443" t="s">
        <v>551</v>
      </c>
      <c r="H8" s="1419"/>
    </row>
    <row r="9" spans="1:8" ht="13.5" customHeight="1">
      <c r="A9" s="1444">
        <f>SUM(B9:C9)</f>
        <v>72939159</v>
      </c>
      <c r="B9" s="1445"/>
      <c r="C9" s="1446">
        <f>業務_附属明細表!M5</f>
        <v>72939159</v>
      </c>
      <c r="D9" s="1447" t="s">
        <v>895</v>
      </c>
      <c r="E9" s="1448"/>
      <c r="F9" s="1449"/>
      <c r="G9" s="1450"/>
      <c r="H9" s="1419"/>
    </row>
    <row r="10" spans="1:8" ht="17.7" customHeight="1">
      <c r="A10" s="1444">
        <f>SUM(B10:C10)</f>
        <v>194420</v>
      </c>
      <c r="B10" s="1451">
        <f>業務_附属明細表!G38</f>
        <v>2356</v>
      </c>
      <c r="C10" s="1695">
        <v>192064</v>
      </c>
      <c r="D10" s="1453" t="s">
        <v>217</v>
      </c>
      <c r="E10" s="1454"/>
      <c r="F10" s="1455"/>
      <c r="G10" s="1456"/>
      <c r="H10" s="1419"/>
    </row>
    <row r="11" spans="1:8" ht="17.7" customHeight="1">
      <c r="A11" s="1444">
        <f>SUM(B11:C11)</f>
        <v>0</v>
      </c>
      <c r="B11" s="1451"/>
      <c r="C11" s="1452"/>
      <c r="D11" s="1453" t="s">
        <v>1094</v>
      </c>
      <c r="E11" s="1454"/>
      <c r="F11" s="1455"/>
      <c r="G11" s="1450"/>
      <c r="H11" s="1419"/>
    </row>
    <row r="12" spans="1:8" ht="17.7" customHeight="1">
      <c r="A12" s="1444">
        <f>SUM(B12:C12)</f>
        <v>11834281</v>
      </c>
      <c r="B12" s="1457">
        <f>業務_附属明細表!G32</f>
        <v>11834281</v>
      </c>
      <c r="C12" s="1452"/>
      <c r="D12" s="1453" t="s">
        <v>898</v>
      </c>
      <c r="E12" s="1454"/>
      <c r="F12" s="1455"/>
      <c r="G12" s="1450"/>
      <c r="H12" s="1419"/>
    </row>
    <row r="13" spans="1:8" ht="17.7" customHeight="1">
      <c r="A13" s="1444">
        <f>SUM(B13:C13)-F13</f>
        <v>207390</v>
      </c>
      <c r="B13" s="1451"/>
      <c r="C13" s="1452">
        <f>業務_附属明細表!M76</f>
        <v>383946</v>
      </c>
      <c r="D13" s="1453" t="s">
        <v>222</v>
      </c>
      <c r="E13" s="1458"/>
      <c r="F13" s="1451">
        <f>業務_附属明細表!P76</f>
        <v>176556</v>
      </c>
      <c r="G13" s="1459" t="s">
        <v>415</v>
      </c>
      <c r="H13" s="1419"/>
    </row>
    <row r="14" spans="1:8" ht="17.7" customHeight="1">
      <c r="A14" s="1460"/>
      <c r="B14" s="1451"/>
      <c r="C14" s="1452"/>
      <c r="D14" s="1453" t="s">
        <v>899</v>
      </c>
      <c r="E14" s="1458"/>
      <c r="F14" s="1457">
        <f>業務_附属明細表!G46</f>
        <v>9597685</v>
      </c>
      <c r="G14" s="1459">
        <f>SUM(E14:F14)</f>
        <v>9597685</v>
      </c>
      <c r="H14" s="1419"/>
    </row>
    <row r="15" spans="1:8" ht="17.7" customHeight="1">
      <c r="A15" s="1460"/>
      <c r="B15" s="1451"/>
      <c r="C15" s="1452"/>
      <c r="D15" s="1453" t="s">
        <v>997</v>
      </c>
      <c r="E15" s="1458"/>
      <c r="F15" s="1451">
        <f>業務_附属明細表!G54</f>
        <v>435361</v>
      </c>
      <c r="G15" s="1459">
        <f>SUM(E15:F15)</f>
        <v>435361</v>
      </c>
      <c r="H15" s="1419"/>
    </row>
    <row r="16" spans="1:8" ht="17.7" customHeight="1">
      <c r="A16" s="1460"/>
      <c r="B16" s="1451"/>
      <c r="C16" s="1452"/>
      <c r="D16" s="1453" t="s">
        <v>200</v>
      </c>
      <c r="E16" s="1458">
        <f>業務_附属明細表!G62</f>
        <v>227940</v>
      </c>
      <c r="F16" s="1451"/>
      <c r="G16" s="1459">
        <f>SUM(E16:F16)</f>
        <v>227940</v>
      </c>
      <c r="H16" s="1419"/>
    </row>
    <row r="17" spans="1:8" ht="17.7" customHeight="1">
      <c r="A17" s="1460"/>
      <c r="B17" s="1451"/>
      <c r="C17" s="1452"/>
      <c r="D17" s="1453" t="s">
        <v>221</v>
      </c>
      <c r="E17" s="1458">
        <f>業務_附属明細表!G68</f>
        <v>216843</v>
      </c>
      <c r="F17" s="1451"/>
      <c r="G17" s="1459">
        <f>SUM(E17:F17)</f>
        <v>216843</v>
      </c>
      <c r="H17" s="1419"/>
    </row>
    <row r="18" spans="1:8" ht="17.7" hidden="1" customHeight="1">
      <c r="A18" s="1460"/>
      <c r="B18" s="1457"/>
      <c r="C18" s="1452"/>
      <c r="D18" s="1453" t="s">
        <v>1095</v>
      </c>
      <c r="E18" s="1458"/>
      <c r="F18" s="1455"/>
      <c r="G18" s="1459"/>
      <c r="H18" s="1419"/>
    </row>
    <row r="19" spans="1:8" ht="17.7" customHeight="1">
      <c r="A19" s="1460"/>
      <c r="B19" s="1461">
        <f>B38+業務_財務諸表!G54</f>
        <v>3603510</v>
      </c>
      <c r="C19" s="1462"/>
      <c r="D19" s="818" t="s">
        <v>901</v>
      </c>
      <c r="E19" s="1463">
        <f>業務_附属明細表!E92</f>
        <v>71093911</v>
      </c>
      <c r="F19" s="1461">
        <f>A38*2</f>
        <v>7207020</v>
      </c>
      <c r="G19" s="1459">
        <f>E19-B19+F19</f>
        <v>74697421</v>
      </c>
      <c r="H19" s="1419"/>
    </row>
    <row r="20" spans="1:8" ht="18" customHeight="1">
      <c r="A20" s="1464">
        <f>SUM(A9:A19)</f>
        <v>85175250</v>
      </c>
      <c r="B20" s="1465">
        <f>SUM(B9:B19)</f>
        <v>15440147</v>
      </c>
      <c r="C20" s="1466">
        <f>SUM(C9:C19)</f>
        <v>73515169</v>
      </c>
      <c r="D20" s="1467" t="s">
        <v>903</v>
      </c>
      <c r="E20" s="1468">
        <f>SUM(E9:E19)</f>
        <v>71538694</v>
      </c>
      <c r="F20" s="1465">
        <f>SUM(F9:F19)</f>
        <v>17416622</v>
      </c>
      <c r="G20" s="1469">
        <f>SUM(G9:G19)</f>
        <v>85175250</v>
      </c>
      <c r="H20" s="1419"/>
    </row>
    <row r="21" spans="1:8" ht="17.7" customHeight="1">
      <c r="A21" s="1444">
        <f>SUM(B21:C21)</f>
        <v>33000</v>
      </c>
      <c r="B21" s="1445"/>
      <c r="C21" s="1693">
        <v>33000</v>
      </c>
      <c r="D21" s="1447" t="s">
        <v>127</v>
      </c>
      <c r="E21" s="1448"/>
      <c r="F21" s="1449"/>
      <c r="G21" s="1450"/>
      <c r="H21" s="1419"/>
    </row>
    <row r="22" spans="1:8" ht="17.7" customHeight="1">
      <c r="A22" s="1470">
        <f>SUM(B22:C22)-F22</f>
        <v>10141337</v>
      </c>
      <c r="B22" s="1451">
        <f>業務_附属明細表!G52</f>
        <v>59015</v>
      </c>
      <c r="C22" s="1695">
        <v>10082322</v>
      </c>
      <c r="D22" s="1447" t="s">
        <v>128</v>
      </c>
      <c r="E22" s="1454"/>
      <c r="F22" s="1455"/>
      <c r="G22" s="1456"/>
      <c r="H22" s="1419"/>
    </row>
    <row r="23" spans="1:8" ht="17.7" customHeight="1">
      <c r="A23" s="1470">
        <f t="shared" ref="A23:A38" si="0">SUM(B23:C23)</f>
        <v>9702</v>
      </c>
      <c r="B23" s="1451"/>
      <c r="C23" s="1695">
        <v>9702</v>
      </c>
      <c r="D23" s="1447" t="s">
        <v>129</v>
      </c>
      <c r="E23" s="1454"/>
      <c r="F23" s="1455"/>
      <c r="G23" s="1456"/>
      <c r="H23" s="1419"/>
    </row>
    <row r="24" spans="1:8" ht="17.7" customHeight="1">
      <c r="A24" s="1470">
        <f t="shared" si="0"/>
        <v>343112</v>
      </c>
      <c r="B24" s="1451"/>
      <c r="C24" s="1695">
        <v>343112</v>
      </c>
      <c r="D24" s="1453" t="s">
        <v>1002</v>
      </c>
      <c r="E24" s="1454"/>
      <c r="F24" s="1455"/>
      <c r="G24" s="1456"/>
      <c r="H24" s="1419"/>
    </row>
    <row r="25" spans="1:8" ht="17.7" customHeight="1">
      <c r="A25" s="1470">
        <f t="shared" si="0"/>
        <v>13993113</v>
      </c>
      <c r="B25" s="1457">
        <f>業務_附属明細表!G39</f>
        <v>846685</v>
      </c>
      <c r="C25" s="1695">
        <v>13146428</v>
      </c>
      <c r="D25" s="1453" t="s">
        <v>131</v>
      </c>
      <c r="E25" s="1454"/>
      <c r="F25" s="1455"/>
      <c r="G25" s="1456"/>
      <c r="H25" s="1419"/>
    </row>
    <row r="26" spans="1:8" ht="17.7" customHeight="1">
      <c r="A26" s="1470">
        <f t="shared" si="0"/>
        <v>4598066</v>
      </c>
      <c r="B26" s="1457">
        <f>業務_附属明細表!G53</f>
        <v>376346</v>
      </c>
      <c r="C26" s="1695">
        <v>4221720</v>
      </c>
      <c r="D26" s="1453" t="s">
        <v>132</v>
      </c>
      <c r="E26" s="1454"/>
      <c r="F26" s="1455"/>
      <c r="G26" s="1456"/>
      <c r="H26" s="1419"/>
    </row>
    <row r="27" spans="1:8" ht="17.7" customHeight="1">
      <c r="A27" s="1470">
        <f t="shared" si="0"/>
        <v>10084438</v>
      </c>
      <c r="B27" s="1457">
        <f>業務_附属明細表!G40</f>
        <v>1576505</v>
      </c>
      <c r="C27" s="1695">
        <v>8507933</v>
      </c>
      <c r="D27" s="1453" t="s">
        <v>133</v>
      </c>
      <c r="E27" s="1454"/>
      <c r="F27" s="1455"/>
      <c r="G27" s="1456"/>
      <c r="H27" s="1419"/>
    </row>
    <row r="28" spans="1:8" ht="17.7" customHeight="1">
      <c r="A28" s="1470">
        <f t="shared" si="0"/>
        <v>103921</v>
      </c>
      <c r="B28" s="1457">
        <f>業務_附属明細表!G41</f>
        <v>46537</v>
      </c>
      <c r="C28" s="1695">
        <v>57384</v>
      </c>
      <c r="D28" s="1453" t="s">
        <v>135</v>
      </c>
      <c r="E28" s="1454"/>
      <c r="F28" s="1471"/>
      <c r="G28" s="1456"/>
      <c r="H28" s="1419"/>
    </row>
    <row r="29" spans="1:8" ht="17.7" customHeight="1">
      <c r="A29" s="1472">
        <f t="shared" si="0"/>
        <v>0</v>
      </c>
      <c r="B29" s="1473"/>
      <c r="C29" s="1697">
        <v>0</v>
      </c>
      <c r="D29" s="1453" t="s">
        <v>136</v>
      </c>
      <c r="E29" s="1454"/>
      <c r="F29" s="1471"/>
      <c r="G29" s="1456"/>
      <c r="H29" s="1419"/>
    </row>
    <row r="30" spans="1:8" ht="17.7" customHeight="1">
      <c r="A30" s="1470">
        <f t="shared" si="0"/>
        <v>9430768</v>
      </c>
      <c r="B30" s="1457">
        <f>業務_附属明細表!G42</f>
        <v>1020091</v>
      </c>
      <c r="C30" s="1695">
        <v>8410677</v>
      </c>
      <c r="D30" s="1453" t="s">
        <v>137</v>
      </c>
      <c r="E30" s="1454"/>
      <c r="F30" s="1471"/>
      <c r="G30" s="1456"/>
      <c r="H30" s="1419"/>
    </row>
    <row r="31" spans="1:8" ht="17.7" customHeight="1">
      <c r="A31" s="1470">
        <f t="shared" si="0"/>
        <v>1884714</v>
      </c>
      <c r="B31" s="1457">
        <f>業務_附属明細表!G43</f>
        <v>689790</v>
      </c>
      <c r="C31" s="1695">
        <v>1194924</v>
      </c>
      <c r="D31" s="1453" t="s">
        <v>138</v>
      </c>
      <c r="E31" s="1454"/>
      <c r="F31" s="1471"/>
      <c r="G31" s="1456"/>
      <c r="H31" s="1419"/>
    </row>
    <row r="32" spans="1:8" ht="17.7" customHeight="1">
      <c r="A32" s="1470">
        <f t="shared" si="0"/>
        <v>2453880</v>
      </c>
      <c r="B32" s="1457">
        <f>業務_附属明細表!G44</f>
        <v>103564</v>
      </c>
      <c r="C32" s="1695">
        <v>2350316</v>
      </c>
      <c r="D32" s="1453" t="s">
        <v>125</v>
      </c>
      <c r="E32" s="1454"/>
      <c r="F32" s="1474"/>
      <c r="G32" s="1456"/>
      <c r="H32" s="1419"/>
    </row>
    <row r="33" spans="1:8" ht="17.7" customHeight="1">
      <c r="A33" s="1470">
        <f t="shared" si="0"/>
        <v>13718352</v>
      </c>
      <c r="B33" s="1451"/>
      <c r="C33" s="1695">
        <v>13718352</v>
      </c>
      <c r="D33" s="1453" t="s">
        <v>140</v>
      </c>
      <c r="E33" s="1454"/>
      <c r="F33" s="1475"/>
      <c r="G33" s="1456"/>
      <c r="H33" s="1419"/>
    </row>
    <row r="34" spans="1:8" ht="17.7" customHeight="1">
      <c r="A34" s="1470">
        <f t="shared" si="0"/>
        <v>54153000</v>
      </c>
      <c r="B34" s="1451"/>
      <c r="C34" s="1695">
        <v>54153000</v>
      </c>
      <c r="D34" s="1476" t="s">
        <v>141</v>
      </c>
      <c r="E34" s="1454"/>
      <c r="F34" s="1475"/>
      <c r="G34" s="1456"/>
      <c r="H34" s="1419"/>
    </row>
    <row r="35" spans="1:8" ht="17.7" customHeight="1">
      <c r="A35" s="1470">
        <f t="shared" si="0"/>
        <v>176556</v>
      </c>
      <c r="B35" s="1451">
        <f>業務_附属明細表!P77</f>
        <v>176556</v>
      </c>
      <c r="C35" s="1452"/>
      <c r="D35" s="1477" t="s">
        <v>142</v>
      </c>
      <c r="E35" s="1454"/>
      <c r="F35" s="1475"/>
      <c r="G35" s="1456"/>
      <c r="H35" s="1419"/>
    </row>
    <row r="36" spans="1:8" ht="17.7" customHeight="1">
      <c r="A36" s="1470">
        <f t="shared" si="0"/>
        <v>0</v>
      </c>
      <c r="B36" s="1451"/>
      <c r="C36" s="1452"/>
      <c r="D36" s="1477" t="s">
        <v>144</v>
      </c>
      <c r="E36" s="1454"/>
      <c r="F36" s="1475"/>
      <c r="G36" s="1456"/>
      <c r="H36" s="1419"/>
    </row>
    <row r="37" spans="1:8" ht="17.7" hidden="1" customHeight="1">
      <c r="A37" s="1470">
        <f t="shared" si="0"/>
        <v>0</v>
      </c>
      <c r="B37" s="1694">
        <v>0</v>
      </c>
      <c r="C37" s="1452"/>
      <c r="D37" s="1453" t="s">
        <v>143</v>
      </c>
      <c r="E37" s="1454"/>
      <c r="F37" s="1455"/>
      <c r="G37" s="1456"/>
      <c r="H37" s="1419"/>
    </row>
    <row r="38" spans="1:8" ht="17.7" customHeight="1">
      <c r="A38" s="1470">
        <f t="shared" si="0"/>
        <v>3603510</v>
      </c>
      <c r="B38" s="1451">
        <f>業務_財務諸表!C57</f>
        <v>3603510</v>
      </c>
      <c r="C38" s="1452"/>
      <c r="D38" s="1478" t="s">
        <v>828</v>
      </c>
      <c r="E38" s="1454"/>
      <c r="F38" s="1455"/>
      <c r="G38" s="1456"/>
      <c r="H38" s="1419"/>
    </row>
    <row r="39" spans="1:8" ht="17.7" customHeight="1">
      <c r="A39" s="1470"/>
      <c r="B39" s="1457">
        <f>業務_附属明細表!G45</f>
        <v>5312157</v>
      </c>
      <c r="C39" s="1479"/>
      <c r="D39" s="1453" t="s">
        <v>125</v>
      </c>
      <c r="E39" s="1696">
        <v>94968000</v>
      </c>
      <c r="F39" s="1457"/>
      <c r="G39" s="1459">
        <f>SUM(E39:F39)-B39</f>
        <v>89655843</v>
      </c>
      <c r="H39" s="1419"/>
    </row>
    <row r="40" spans="1:8" ht="17.7" customHeight="1">
      <c r="A40" s="1460"/>
      <c r="B40" s="1471"/>
      <c r="C40" s="1479"/>
      <c r="D40" s="1453" t="s">
        <v>37</v>
      </c>
      <c r="E40" s="1696">
        <v>77607</v>
      </c>
      <c r="F40" s="1451"/>
      <c r="G40" s="1459">
        <f t="shared" ref="G40:G46" si="1">SUM(E40:F40)</f>
        <v>77607</v>
      </c>
      <c r="H40" s="1419"/>
    </row>
    <row r="41" spans="1:8" ht="17.7" customHeight="1">
      <c r="A41" s="1460"/>
      <c r="B41" s="1471"/>
      <c r="C41" s="1479"/>
      <c r="D41" s="1453" t="s">
        <v>46</v>
      </c>
      <c r="E41" s="1458"/>
      <c r="F41" s="1451"/>
      <c r="G41" s="1459">
        <f t="shared" si="1"/>
        <v>0</v>
      </c>
      <c r="H41" s="1419"/>
    </row>
    <row r="42" spans="1:8" ht="17.25" customHeight="1">
      <c r="A42" s="1460"/>
      <c r="B42" s="1471"/>
      <c r="C42" s="1479"/>
      <c r="D42" s="1453" t="s">
        <v>38</v>
      </c>
      <c r="E42" s="1696">
        <v>23159738</v>
      </c>
      <c r="F42" s="1451"/>
      <c r="G42" s="1459">
        <f t="shared" si="1"/>
        <v>23159738</v>
      </c>
      <c r="H42" s="1419"/>
    </row>
    <row r="43" spans="1:8" ht="17.7" hidden="1" customHeight="1">
      <c r="A43" s="1460"/>
      <c r="B43" s="1471"/>
      <c r="C43" s="1479"/>
      <c r="D43" s="1478" t="s">
        <v>106</v>
      </c>
      <c r="E43" s="1458"/>
      <c r="F43" s="1451"/>
      <c r="G43" s="1459">
        <f t="shared" si="1"/>
        <v>0</v>
      </c>
      <c r="H43" s="1480"/>
    </row>
    <row r="44" spans="1:8" ht="17.7" customHeight="1">
      <c r="A44" s="1460"/>
      <c r="B44" s="1471"/>
      <c r="C44" s="1479"/>
      <c r="D44" s="1453" t="s">
        <v>126</v>
      </c>
      <c r="E44" s="1458"/>
      <c r="F44" s="1457">
        <f>業務_附属明細表!G31</f>
        <v>11834281</v>
      </c>
      <c r="G44" s="1459">
        <f t="shared" si="1"/>
        <v>11834281</v>
      </c>
      <c r="H44" s="1419"/>
    </row>
    <row r="45" spans="1:8" ht="17.7" customHeight="1">
      <c r="A45" s="1460"/>
      <c r="B45" s="1455"/>
      <c r="C45" s="1481"/>
      <c r="D45" s="1453" t="s">
        <v>51</v>
      </c>
      <c r="E45" s="1458"/>
      <c r="F45" s="1451"/>
      <c r="G45" s="1459">
        <f t="shared" si="1"/>
        <v>0</v>
      </c>
      <c r="H45" s="1419"/>
    </row>
    <row r="46" spans="1:8" ht="17.7" customHeight="1">
      <c r="A46" s="1460"/>
      <c r="B46" s="1455"/>
      <c r="C46" s="1479"/>
      <c r="D46" s="1453" t="s">
        <v>233</v>
      </c>
      <c r="E46" s="1458"/>
      <c r="F46" s="1451" t="str">
        <f>IF(業務_財務諸表!G54=0,"",業務_財務諸表!G54)</f>
        <v/>
      </c>
      <c r="G46" s="1459">
        <f t="shared" si="1"/>
        <v>0</v>
      </c>
      <c r="H46" s="1419"/>
    </row>
    <row r="47" spans="1:8" ht="18" customHeight="1">
      <c r="A47" s="1464">
        <f>SUM(A21:A46)</f>
        <v>124727469</v>
      </c>
      <c r="B47" s="1465">
        <f>SUM(B21:B46)</f>
        <v>13810756</v>
      </c>
      <c r="C47" s="1466">
        <f>SUM(C21:C46)</f>
        <v>116228870</v>
      </c>
      <c r="D47" s="1467" t="s">
        <v>903</v>
      </c>
      <c r="E47" s="1468">
        <f>SUM(E21:E46)</f>
        <v>118205345</v>
      </c>
      <c r="F47" s="1465">
        <f>SUM(F21:F46)</f>
        <v>11834281</v>
      </c>
      <c r="G47" s="1469">
        <f>SUM(G21:G46)</f>
        <v>124727469</v>
      </c>
      <c r="H47" s="1419"/>
    </row>
    <row r="48" spans="1:8" ht="18" customHeight="1">
      <c r="A48" s="1464">
        <f>SUM(A20+A47)</f>
        <v>209902719</v>
      </c>
      <c r="B48" s="1465">
        <f>SUM(B47,B20)</f>
        <v>29250903</v>
      </c>
      <c r="C48" s="1466">
        <f>SUM(C47,C20)</f>
        <v>189744039</v>
      </c>
      <c r="D48" s="1467" t="s">
        <v>675</v>
      </c>
      <c r="E48" s="1468">
        <f>SUM(E20+E47)</f>
        <v>189744039</v>
      </c>
      <c r="F48" s="1465">
        <f>SUM(F47,F20)</f>
        <v>29250903</v>
      </c>
      <c r="G48" s="1469">
        <f>SUM(G47,G20)</f>
        <v>209902719</v>
      </c>
      <c r="H48" s="1419"/>
    </row>
    <row r="49" spans="1:8" ht="13.5" customHeight="1">
      <c r="A49" s="1482"/>
      <c r="B49" s="1483"/>
      <c r="C49" s="1484"/>
      <c r="D49" s="1485"/>
      <c r="E49" s="1484"/>
      <c r="F49" s="1484"/>
      <c r="G49" s="1486"/>
      <c r="H49" s="1419"/>
    </row>
    <row r="50" spans="1:8" ht="21" customHeight="1">
      <c r="A50" s="2847" t="str">
        <f>"令和"&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令和８年４月２２日</v>
      </c>
      <c r="B50" s="2847"/>
      <c r="C50" s="1487"/>
      <c r="D50" s="1487"/>
      <c r="E50" s="1488" t="s">
        <v>1096</v>
      </c>
      <c r="F50" s="1488"/>
      <c r="G50" s="1489"/>
      <c r="H50" s="1490"/>
    </row>
    <row r="51" spans="1:8" ht="13.5" customHeight="1">
      <c r="A51" s="1491"/>
      <c r="B51" s="1484"/>
      <c r="C51" s="1484"/>
      <c r="D51" s="1484"/>
      <c r="E51" s="1484"/>
      <c r="F51" s="1484"/>
      <c r="G51" s="1486"/>
      <c r="H51" s="1419"/>
    </row>
    <row r="52" spans="1:8" ht="13.5" customHeight="1">
      <c r="A52" s="2848" t="s">
        <v>906</v>
      </c>
      <c r="B52" s="2848"/>
      <c r="C52" s="2848"/>
      <c r="D52" s="2848"/>
      <c r="E52" s="2848"/>
      <c r="F52" s="2848"/>
      <c r="G52" s="2848"/>
      <c r="H52" s="1419"/>
    </row>
    <row r="53" spans="1:8" ht="13.5" customHeight="1">
      <c r="A53" s="2488" t="str">
        <f>"令和"&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令和８年４月２２日</v>
      </c>
      <c r="B53" s="2488"/>
      <c r="C53" s="739"/>
      <c r="D53" s="739"/>
      <c r="E53" s="739"/>
      <c r="F53" s="739"/>
      <c r="G53" s="829"/>
      <c r="H53" s="1419"/>
    </row>
    <row r="54" spans="1:8" ht="21" customHeight="1">
      <c r="A54" s="1492"/>
      <c r="B54" s="1493"/>
      <c r="C54" s="1493"/>
      <c r="D54" s="1493"/>
      <c r="E54" s="2849" t="s">
        <v>1097</v>
      </c>
      <c r="F54" s="2849"/>
      <c r="G54" s="2849"/>
      <c r="H54" s="1490"/>
    </row>
    <row r="55" spans="1:8" ht="24" customHeight="1">
      <c r="A55" s="1419"/>
      <c r="B55" s="1419"/>
      <c r="C55" s="1419"/>
      <c r="D55" s="1419"/>
      <c r="E55" s="1419"/>
      <c r="F55" s="1419"/>
      <c r="G55" s="1419"/>
      <c r="H55" s="1419"/>
    </row>
    <row r="56" spans="1:8" ht="24" customHeight="1">
      <c r="A56" s="1419"/>
      <c r="B56" s="1419"/>
      <c r="C56" s="1419"/>
      <c r="D56" s="1419"/>
      <c r="E56" s="1419"/>
      <c r="F56" s="1419"/>
      <c r="G56" s="1419"/>
      <c r="H56" s="1419"/>
    </row>
    <row r="64" spans="1:8"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50:B50"/>
    <mergeCell ref="A52:G52"/>
    <mergeCell ref="A53:B53"/>
    <mergeCell ref="E54:G54"/>
    <mergeCell ref="C1:E1"/>
    <mergeCell ref="C3:E3"/>
    <mergeCell ref="A6:C6"/>
    <mergeCell ref="D6:D7"/>
    <mergeCell ref="E6:G6"/>
  </mergeCells>
  <phoneticPr fontId="155"/>
  <conditionalFormatting sqref="B37 C10 C21 C22 C23 C24 C25 C26 C27 C28 C29 C30 C31 C32 C33 C34 E39 E40 E42">
    <cfRule type="expression" dxfId="6" priority="1">
      <formula>AND(入力色表示=1,NOT(_xlfn.ISFORMULA(B37)))</formula>
    </cfRule>
  </conditionalFormatting>
  <dataValidations count="19">
    <dataValidation allowBlank="1" showInputMessage="1" promptTitle="手入力セル" prompt="反映先：業務_決算精算表 A37,B47&#10;他の帳票：報告_業務P19、業務_財務諸表、業務_附属明細表" sqref="B37"/>
    <dataValidation allowBlank="1" showInputMessage="1" promptTitle="手入力セル" prompt="反映先：業務_決算精算表 A10,C20&#10;他の帳票：業務_財務諸表" sqref="C10"/>
    <dataValidation allowBlank="1" showInputMessage="1" promptTitle="手入力セル" prompt="反映先：業務_附属明細表 J122、業務_決算精算表 A21,C47&#10;他の帳票：報告_業務P19、業務_財務諸表、業務_附属明細表" sqref="C21"/>
    <dataValidation allowBlank="1" showInputMessage="1" promptTitle="手入力セル" prompt="反映先：業務_附属明細表 J123、業務_決算精算表 A22,C47&#10;他の帳票：報告_業務P19、業務_財務諸表、業務_附属明細表" sqref="C22"/>
    <dataValidation allowBlank="1" showInputMessage="1" promptTitle="手入力セル" prompt="反映先：業務_決算精算表 A23,C47&#10;他の帳票：報告_業務P19、業務_財務諸表、業務_附属明細表" sqref="C23"/>
    <dataValidation allowBlank="1" showInputMessage="1" promptTitle="手入力セル" prompt="反映先：業務_附属明細表 J124、業務_決算精算表 A24,C47&#10;他の帳票：報告_業務P19、業務_財務諸表、業務_附属明細表" sqref="C24"/>
    <dataValidation allowBlank="1" showInputMessage="1" promptTitle="手入力セル" prompt="反映先：業務_附属明細表 J125、業務_決算精算表 A25,C47&#10;他の帳票：報告_業務P19、業務_財務諸表、業務_附属明細表" sqref="C25"/>
    <dataValidation allowBlank="1" showInputMessage="1" promptTitle="手入力セル" prompt="反映先：業務_決算精算表 A26,C47&#10;他の帳票：報告_業務P19、業務_財務諸表、業務_附属明細表" sqref="C26"/>
    <dataValidation allowBlank="1" showInputMessage="1" promptTitle="手入力セル" prompt="反映先：業務_決算精算表 A27,C47&#10;他の帳票：報告_業務P19、業務_財務諸表、業務_附属明細表" sqref="C27"/>
    <dataValidation allowBlank="1" showInputMessage="1" promptTitle="手入力セル" prompt="反映先：業務_決算精算表 A28,C47&#10;他の帳票：報告_業務P19、業務_財務諸表、業務_附属明細表" sqref="C28"/>
    <dataValidation allowBlank="1" showInputMessage="1" promptTitle="手入力セル" prompt="反映先：業務_決算精算表 A29,C47&#10;他の帳票：報告_業務P19、業務_財務諸表、業務_附属明細表" sqref="C29"/>
    <dataValidation allowBlank="1" showInputMessage="1" promptTitle="手入力セル" prompt="反映先：業務_決算精算表 A30,C47&#10;他の帳票：報告_業務P19、業務_財務諸表、業務_附属明細表" sqref="C30"/>
    <dataValidation allowBlank="1" showInputMessage="1" promptTitle="手入力セル" prompt="反映先：業務_決算精算表 A31,C47&#10;他の帳票：報告_業務P19、業務_財務諸表、業務_附属明細表" sqref="C31"/>
    <dataValidation allowBlank="1" showInputMessage="1" promptTitle="手入力セル" prompt="反映先：業務_決算精算表 A32,C47&#10;他の帳票：報告_業務P19、業務_財務諸表、業務_附属明細表" sqref="C32"/>
    <dataValidation allowBlank="1" showInputMessage="1" promptTitle="手入力セル" prompt="反映先：業務_決算精算表 A33,C47&#10;他の帳票：報告_業務P19、業務_財務諸表、業務_附属明細表" sqref="C33"/>
    <dataValidation allowBlank="1" showInputMessage="1" promptTitle="手入力セル" prompt="反映先：業務_決算精算表 A34,C47&#10;他の帳票：報告_業務P19、業務_財務諸表、業務_附属明細表" sqref="C34"/>
    <dataValidation allowBlank="1" showInputMessage="1" promptTitle="手入力セル" prompt="反映先：業務_決算精算表 E47,G39&#10;他の帳票：報告_業務P18、報告_業務P19、業務_財務諸表、業務_附属明細表" sqref="E39"/>
    <dataValidation allowBlank="1" showInputMessage="1" promptTitle="手入力セル" prompt="反映先：業務_決算精算表 E47,G40&#10;他の帳票：報告_業務P18、報告_業務P19、業務_財務諸表、業務_附属明細表" sqref="E40"/>
    <dataValidation allowBlank="1" showInputMessage="1" promptTitle="手入力セル" prompt="反映先：業務_財務諸表 F42、業務_決算精算表 E47,G42&#10;他の帳票：報告_業務P18、報告_業務P19、業務_財務諸表、業務_附属明細表" sqref="E42"/>
  </dataValidations>
  <pageMargins left="0.78749999999999998" right="0.39374999999999999" top="0" bottom="0.39374999999999999" header="0.511811023622047" footer="0.31527777777777799"/>
  <pageSetup paperSize="9" scale="95" firstPageNumber="51" orientation="portrait" useFirstPageNumber="1" horizontalDpi="300" verticalDpi="300"/>
  <headerFooter>
    <oddFooter>&amp;C&amp;"ＭＳ 明朝,Regular"- &amp;P -</oddFooter>
  </headerFooter>
  <rowBreaks count="1" manualBreakCount="1">
    <brk id="54" max="16383" man="1"/>
  </rowBreaks>
  <legacy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28AED-FE5A-46F5-A630-E1EB658D15E8}">
  <sheetPr codeName="Sheet43">
    <tabColor rgb="FFA6A6A6"/>
  </sheetPr>
  <dimension ref="A1:A188"/>
  <sheetViews>
    <sheetView zoomScaleNormal="100" zoomScalePageLayoutView="60" workbookViewId="0">
      <selection sqref="A1:G1"/>
    </sheetView>
  </sheetViews>
  <sheetFormatPr defaultColWidth="9" defaultRowHeight="13.2"/>
  <sheetData>
    <row r="1" ht="13.5" customHeight="1"/>
    <row r="2" ht="13.5" customHeight="1"/>
    <row r="3" ht="13.5" customHeight="1"/>
    <row r="4" ht="13.5" customHeight="1"/>
    <row r="5" ht="13.5" customHeight="1"/>
    <row r="6" ht="13.5" customHeight="1"/>
    <row r="7" ht="13.5" customHeight="1"/>
    <row r="8" ht="13.5" customHeight="1"/>
    <row r="9" ht="13.5" customHeight="1"/>
    <row r="10" ht="13.5" customHeight="1"/>
    <row r="11" ht="13.5" customHeight="1"/>
    <row r="12" ht="13.5" customHeight="1"/>
    <row r="13" ht="13.5" customHeight="1"/>
    <row r="14" ht="13.5" customHeight="1"/>
    <row r="15" ht="13.5" customHeight="1"/>
    <row r="16" ht="13.5" customHeight="1"/>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firstPageNumber="52" orientation="portrait" useFirstPageNumber="1" horizontalDpi="300" verticalDpi="300"/>
  <headerFooter>
    <oddFooter>&amp;C&amp;"ＭＳ 明朝,Regular"- &amp;P -</oddFooter>
  </headerFooter>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C221-803C-4C39-9670-0AD914CA5C4B}">
  <sheetPr codeName="Sheet44">
    <tabColor rgb="FFA6A6A6"/>
  </sheetPr>
  <dimension ref="A1:IW188"/>
  <sheetViews>
    <sheetView zoomScaleNormal="100" zoomScalePageLayoutView="60" workbookViewId="0">
      <selection sqref="A1:G1"/>
    </sheetView>
  </sheetViews>
  <sheetFormatPr defaultColWidth="11.33203125" defaultRowHeight="13.2"/>
  <cols>
    <col min="1" max="1" width="12" style="582" customWidth="1"/>
    <col min="2" max="2" width="10.88671875" style="582" customWidth="1"/>
    <col min="3" max="4" width="11.33203125" style="582"/>
    <col min="5" max="5" width="12" style="582" customWidth="1"/>
    <col min="6" max="6" width="10.88671875" style="582" customWidth="1"/>
    <col min="7" max="257" width="11.33203125" style="582"/>
  </cols>
  <sheetData>
    <row r="1" spans="1:8" s="613" customFormat="1" ht="21" customHeight="1">
      <c r="B1" s="1494"/>
      <c r="D1" s="2858" t="s">
        <v>13</v>
      </c>
      <c r="E1" s="2858"/>
      <c r="F1" s="1495"/>
      <c r="G1" s="1494"/>
      <c r="H1" s="1494"/>
    </row>
    <row r="2" spans="1:8" s="613" customFormat="1" ht="21" customHeight="1">
      <c r="B2" s="1494"/>
      <c r="D2" s="2859" t="s">
        <v>764</v>
      </c>
      <c r="E2" s="2859"/>
      <c r="F2" s="1495"/>
      <c r="G2" s="1494"/>
      <c r="H2" s="1494"/>
    </row>
    <row r="3" spans="1:8" s="613" customFormat="1" ht="12" customHeight="1">
      <c r="A3" s="1496"/>
      <c r="B3" s="1496"/>
      <c r="C3" s="1497"/>
      <c r="D3" s="1497"/>
      <c r="E3" s="1496"/>
      <c r="F3" s="1496"/>
      <c r="G3" s="2860" t="str">
        <f>"令和"&amp;IF((入力ガイド!$C$6+1)&gt;=10,MID("０１２３４５６７８９",INT((入力ガイド!$C$6+1)/10)+1,1),"")&amp;MID("０１２３４５６７８９",MOD((入力ガイド!$C$6+1),10)+1,1)&amp;"年３月３１日"&amp;"現在"</f>
        <v>令和８年３月３１日現在</v>
      </c>
      <c r="H3" s="2860"/>
    </row>
    <row r="4" spans="1:8" s="1500" customFormat="1" ht="13.5" customHeight="1">
      <c r="A4" s="2861" t="s">
        <v>765</v>
      </c>
      <c r="B4" s="2861"/>
      <c r="C4" s="2861"/>
      <c r="D4" s="1499" t="s">
        <v>455</v>
      </c>
      <c r="E4" s="2862" t="s">
        <v>766</v>
      </c>
      <c r="F4" s="2862"/>
      <c r="G4" s="2862"/>
      <c r="H4" s="1498" t="s">
        <v>455</v>
      </c>
    </row>
    <row r="5" spans="1:8" s="613" customFormat="1" ht="11.25" customHeight="1">
      <c r="A5" s="1501"/>
      <c r="B5" s="1502" t="s">
        <v>551</v>
      </c>
      <c r="C5" s="1503" t="s">
        <v>551</v>
      </c>
      <c r="D5" s="1504" t="s">
        <v>551</v>
      </c>
      <c r="E5" s="1505"/>
      <c r="F5" s="1502" t="s">
        <v>551</v>
      </c>
      <c r="G5" s="1503" t="s">
        <v>551</v>
      </c>
      <c r="H5" s="1506" t="s">
        <v>551</v>
      </c>
    </row>
    <row r="6" spans="1:8" s="613" customFormat="1" ht="13.5" customHeight="1">
      <c r="A6" s="1507" t="s">
        <v>767</v>
      </c>
      <c r="B6" s="1508"/>
      <c r="C6" s="1509"/>
      <c r="D6" s="1510">
        <f>SUM(C7:C12)</f>
        <v>461488881</v>
      </c>
      <c r="E6" s="1511" t="s">
        <v>768</v>
      </c>
      <c r="F6" s="1512"/>
      <c r="G6" s="1513"/>
      <c r="H6" s="1514">
        <f>SUM(G7:G10)</f>
        <v>176276137</v>
      </c>
    </row>
    <row r="7" spans="1:8" s="613" customFormat="1" ht="13.5" customHeight="1">
      <c r="A7" s="1515" t="s">
        <v>216</v>
      </c>
      <c r="B7" s="1496"/>
      <c r="C7" s="1503">
        <f>保健_附属明細表!M6</f>
        <v>332277800</v>
      </c>
      <c r="D7" s="1504"/>
      <c r="E7" s="1516" t="s">
        <v>769</v>
      </c>
      <c r="F7" s="1496"/>
      <c r="G7" s="1512">
        <f>保健_附属明細表!G61</f>
        <v>175260287</v>
      </c>
      <c r="H7" s="1514"/>
    </row>
    <row r="8" spans="1:8" s="613" customFormat="1" ht="13.5" customHeight="1">
      <c r="A8" s="1515" t="s">
        <v>234</v>
      </c>
      <c r="B8" s="1496"/>
      <c r="C8" s="1503">
        <f>保健_附属明細表!M12</f>
        <v>0</v>
      </c>
      <c r="D8" s="1504"/>
      <c r="E8" s="1516" t="s">
        <v>1098</v>
      </c>
      <c r="F8" s="1512"/>
      <c r="G8" s="1512">
        <f>保健_附属明細表!G70</f>
        <v>0</v>
      </c>
      <c r="H8" s="1514"/>
    </row>
    <row r="9" spans="1:8" s="613" customFormat="1" ht="13.5" customHeight="1">
      <c r="A9" s="1515" t="s">
        <v>771</v>
      </c>
      <c r="B9" s="1496"/>
      <c r="C9" s="1503">
        <f>保健_附属明細表!M20</f>
        <v>0</v>
      </c>
      <c r="D9" s="1510"/>
      <c r="E9" s="1516" t="s">
        <v>221</v>
      </c>
      <c r="F9" s="1512"/>
      <c r="G9" s="1512">
        <f>保健_附属明細表!G79</f>
        <v>1015850</v>
      </c>
      <c r="H9" s="1514"/>
    </row>
    <row r="10" spans="1:8" s="613" customFormat="1" ht="13.5" customHeight="1">
      <c r="A10" s="1515" t="s">
        <v>1099</v>
      </c>
      <c r="B10" s="1517"/>
      <c r="C10" s="1518">
        <f>保健_附属明細表!G27</f>
        <v>0</v>
      </c>
      <c r="D10" s="1519"/>
      <c r="E10" s="1516" t="s">
        <v>772</v>
      </c>
      <c r="F10" s="1512"/>
      <c r="G10" s="1512">
        <f>保健_附属明細表!G86</f>
        <v>0</v>
      </c>
      <c r="H10" s="1514"/>
    </row>
    <row r="11" spans="1:8" s="613" customFormat="1" ht="13.5" customHeight="1">
      <c r="A11" s="1515" t="s">
        <v>774</v>
      </c>
      <c r="B11" s="1496"/>
      <c r="C11" s="1503">
        <f>保健_附属明細表!G35</f>
        <v>0</v>
      </c>
      <c r="D11" s="1520"/>
      <c r="E11" s="1521"/>
      <c r="F11" s="1512"/>
      <c r="G11" s="1512"/>
      <c r="H11" s="1514"/>
    </row>
    <row r="12" spans="1:8" s="613" customFormat="1" ht="13.5" customHeight="1">
      <c r="A12" s="1515" t="s">
        <v>1100</v>
      </c>
      <c r="B12" s="1496"/>
      <c r="C12" s="1503">
        <f>保健_附属明細表!G43</f>
        <v>129211081</v>
      </c>
      <c r="D12" s="1520"/>
      <c r="E12" s="1522" t="s">
        <v>777</v>
      </c>
      <c r="F12" s="1512"/>
      <c r="G12" s="1512"/>
      <c r="H12" s="1514">
        <f>SUM(H2:H8)</f>
        <v>176276137</v>
      </c>
    </row>
    <row r="13" spans="1:8" s="613" customFormat="1" ht="13.5" customHeight="1">
      <c r="A13" s="1507"/>
      <c r="B13" s="1496"/>
      <c r="C13" s="1503"/>
      <c r="D13" s="1520"/>
      <c r="E13" s="1523"/>
      <c r="F13" s="1512"/>
      <c r="G13" s="1512"/>
      <c r="H13" s="1514"/>
    </row>
    <row r="14" spans="1:8" s="613" customFormat="1" ht="13.5" customHeight="1">
      <c r="A14" s="1507" t="s">
        <v>980</v>
      </c>
      <c r="B14" s="1496"/>
      <c r="C14" s="1503"/>
      <c r="D14" s="1520">
        <f>SUM(C15:C19)</f>
        <v>0</v>
      </c>
      <c r="E14" s="1524" t="s">
        <v>778</v>
      </c>
      <c r="F14" s="1512"/>
      <c r="G14" s="1513"/>
      <c r="H14" s="1514">
        <f>SUM(G15,G17)</f>
        <v>285212744</v>
      </c>
    </row>
    <row r="15" spans="1:8" s="613" customFormat="1" ht="13.5" customHeight="1">
      <c r="A15" s="1525" t="s">
        <v>998</v>
      </c>
      <c r="B15" s="1496"/>
      <c r="C15" s="1503">
        <f>SUM(B16:B18)</f>
        <v>0</v>
      </c>
      <c r="D15" s="1520"/>
      <c r="E15" s="1526" t="s">
        <v>1095</v>
      </c>
      <c r="F15" s="1512"/>
      <c r="G15" s="1513">
        <f>SUM(F16)</f>
        <v>0</v>
      </c>
      <c r="H15" s="1514"/>
    </row>
    <row r="16" spans="1:8" s="613" customFormat="1" ht="13.5" customHeight="1">
      <c r="A16" s="1515" t="s">
        <v>1101</v>
      </c>
      <c r="B16" s="1496">
        <f>保健_附属明細表!O104</f>
        <v>0</v>
      </c>
      <c r="C16" s="1503"/>
      <c r="D16" s="1520"/>
      <c r="E16" s="1527" t="s">
        <v>243</v>
      </c>
      <c r="F16" s="1512">
        <f>保健_附属明細表!Q145</f>
        <v>0</v>
      </c>
      <c r="G16" s="1513"/>
      <c r="H16" s="1514"/>
    </row>
    <row r="17" spans="1:9" s="613" customFormat="1" ht="13.5" customHeight="1">
      <c r="A17" s="1515" t="s">
        <v>239</v>
      </c>
      <c r="B17" s="1512">
        <f>保健_附属明細表!O106</f>
        <v>0</v>
      </c>
      <c r="C17" s="1518"/>
      <c r="D17" s="1520"/>
      <c r="E17" s="1526" t="s">
        <v>901</v>
      </c>
      <c r="F17" s="1512"/>
      <c r="G17" s="1512">
        <f>SUM(F18:F19)</f>
        <v>285212744</v>
      </c>
      <c r="H17" s="1514"/>
    </row>
    <row r="18" spans="1:9" s="613" customFormat="1" ht="13.5" customHeight="1">
      <c r="A18" s="1515" t="s">
        <v>222</v>
      </c>
      <c r="B18" s="1512">
        <f>保健_附属明細表!O115</f>
        <v>0</v>
      </c>
      <c r="C18" s="1518"/>
      <c r="D18" s="1520"/>
      <c r="E18" s="1528" t="s">
        <v>201</v>
      </c>
      <c r="F18" s="1512">
        <f>保健_附属明細表!Q146</f>
        <v>0</v>
      </c>
      <c r="G18" s="1513"/>
      <c r="H18" s="1514"/>
    </row>
    <row r="19" spans="1:9" s="613" customFormat="1" ht="13.5" customHeight="1">
      <c r="A19" s="1529" t="s">
        <v>981</v>
      </c>
      <c r="B19" s="1512"/>
      <c r="C19" s="1503">
        <f>SUM(B20:B20)</f>
        <v>0</v>
      </c>
      <c r="D19" s="1510"/>
      <c r="E19" s="1516" t="s">
        <v>1102</v>
      </c>
      <c r="F19" s="1512">
        <f>保健_附属明細表!Q147</f>
        <v>285212744</v>
      </c>
      <c r="G19" s="1513"/>
      <c r="H19" s="1514"/>
    </row>
    <row r="20" spans="1:9" s="613" customFormat="1" ht="13.5" customHeight="1">
      <c r="A20" s="1515" t="s">
        <v>1103</v>
      </c>
      <c r="B20" s="1512">
        <f>保健_附属明細表!Q123</f>
        <v>0</v>
      </c>
      <c r="C20" s="1518"/>
      <c r="D20" s="1520"/>
      <c r="E20" s="1527"/>
      <c r="F20" s="1512"/>
      <c r="G20" s="1513"/>
      <c r="H20" s="1514"/>
    </row>
    <row r="21" spans="1:9" s="613" customFormat="1" ht="13.5" customHeight="1">
      <c r="A21" s="1530"/>
      <c r="B21" s="1517"/>
      <c r="C21" s="1531"/>
      <c r="E21" s="1532" t="s">
        <v>781</v>
      </c>
      <c r="F21" s="601"/>
      <c r="G21" s="602"/>
      <c r="H21" s="603">
        <f>SUM(H14:H20)</f>
        <v>285212744</v>
      </c>
    </row>
    <row r="22" spans="1:9" s="613" customFormat="1" ht="16.5" customHeight="1">
      <c r="A22" s="1515"/>
      <c r="B22" s="1512"/>
      <c r="C22" s="1518"/>
      <c r="D22" s="1520"/>
      <c r="E22" s="1528"/>
      <c r="F22" s="1512"/>
      <c r="G22" s="1513"/>
      <c r="H22" s="1514"/>
    </row>
    <row r="23" spans="1:9" s="613" customFormat="1" ht="13.5" customHeight="1">
      <c r="A23" s="1515"/>
      <c r="B23" s="1512"/>
      <c r="C23" s="1518"/>
      <c r="D23" s="1510"/>
      <c r="E23" s="1516"/>
      <c r="F23" s="1512"/>
      <c r="G23" s="1513"/>
      <c r="H23" s="1514"/>
    </row>
    <row r="24" spans="1:9" s="613" customFormat="1" ht="7.5" customHeight="1">
      <c r="A24" s="1515"/>
      <c r="B24" s="1512"/>
      <c r="C24" s="1503"/>
      <c r="D24" s="1510"/>
      <c r="E24" s="1533"/>
      <c r="F24" s="1512"/>
      <c r="G24" s="1534"/>
      <c r="H24" s="1514"/>
    </row>
    <row r="25" spans="1:9" ht="13.5" customHeight="1">
      <c r="A25" s="604"/>
      <c r="B25" s="601"/>
      <c r="C25" s="619"/>
      <c r="D25" s="617"/>
      <c r="E25" s="618"/>
      <c r="F25" s="601"/>
      <c r="G25" s="602"/>
      <c r="H25" s="603"/>
    </row>
    <row r="26" spans="1:9" ht="6.6" customHeight="1">
      <c r="A26" s="590"/>
      <c r="B26" s="601"/>
      <c r="C26" s="619"/>
      <c r="D26" s="617"/>
      <c r="E26" s="611"/>
      <c r="F26" s="601"/>
      <c r="G26" s="602"/>
      <c r="H26" s="603"/>
    </row>
    <row r="27" spans="1:9" ht="13.5" customHeight="1">
      <c r="A27" s="2384" t="s">
        <v>782</v>
      </c>
      <c r="B27" s="2384"/>
      <c r="C27" s="2384"/>
      <c r="D27" s="624">
        <f>SUM(D6:D26)</f>
        <v>461488881</v>
      </c>
      <c r="E27" s="2385" t="s">
        <v>783</v>
      </c>
      <c r="F27" s="2385"/>
      <c r="G27" s="2385"/>
      <c r="H27" s="625">
        <f>SUM(H12+H21)</f>
        <v>461488881</v>
      </c>
      <c r="I27" s="628"/>
    </row>
    <row r="28" spans="1:9" ht="4.95" customHeight="1">
      <c r="A28" s="672"/>
      <c r="B28" s="672"/>
      <c r="C28" s="672"/>
      <c r="D28" s="683"/>
      <c r="E28" s="672"/>
      <c r="F28" s="672"/>
      <c r="G28" s="672"/>
      <c r="H28" s="683"/>
    </row>
    <row r="29" spans="1:9" ht="12" customHeight="1">
      <c r="A29" s="2856"/>
      <c r="B29" s="2856"/>
      <c r="C29" s="2856"/>
      <c r="D29" s="2856"/>
      <c r="E29" s="2856"/>
      <c r="F29" s="2856"/>
      <c r="G29" s="2856"/>
      <c r="H29" s="2856"/>
      <c r="I29" s="1535"/>
    </row>
    <row r="30" spans="1:9" ht="12" customHeight="1">
      <c r="A30" s="2857"/>
      <c r="B30" s="2857"/>
      <c r="C30" s="2857"/>
      <c r="D30" s="2857"/>
      <c r="E30" s="2857"/>
      <c r="F30" s="2857"/>
      <c r="G30" s="2857"/>
      <c r="H30" s="2857"/>
    </row>
    <row r="31" spans="1:9" ht="21" customHeight="1">
      <c r="B31" s="635"/>
      <c r="D31" s="2386" t="s">
        <v>13</v>
      </c>
      <c r="E31" s="2386"/>
      <c r="F31" s="584"/>
      <c r="G31" s="635"/>
      <c r="H31" s="635"/>
    </row>
    <row r="32" spans="1:9" ht="21" customHeight="1">
      <c r="B32" s="635"/>
      <c r="D32" s="2387" t="s">
        <v>787</v>
      </c>
      <c r="E32" s="2387"/>
      <c r="F32" s="584"/>
      <c r="G32" s="635"/>
      <c r="H32" s="635"/>
    </row>
    <row r="33" spans="1:8" ht="11.25" customHeight="1">
      <c r="A33" s="586"/>
      <c r="B33" s="586"/>
      <c r="C33" s="586"/>
      <c r="D33" s="586"/>
      <c r="E33" s="586"/>
      <c r="F33" s="586"/>
      <c r="G33" s="2855" t="str">
        <f>"自  "&amp;"令和"&amp;IF((入力ガイド!$C$6)&gt;=10,MID("０１２３４５６７８９",INT((入力ガイド!$C$6)/10)+1,1),"")&amp;MID("０１２３４５６７８９",MOD((入力ガイド!$C$6),10)+1,1)&amp;"年４月  １日"</f>
        <v>自  令和７年４月  １日</v>
      </c>
      <c r="H33" s="2855"/>
    </row>
    <row r="34" spans="1:8" ht="11.25" customHeight="1">
      <c r="A34" s="633"/>
      <c r="B34" s="633"/>
      <c r="C34" s="586"/>
      <c r="D34" s="586"/>
      <c r="E34" s="633"/>
      <c r="F34" s="633"/>
      <c r="G34" s="2855" t="str">
        <f>"至  "&amp;"令和"&amp;IF((入力ガイド!$C$6+1)&gt;=10,MID("０１２３４５６７８９",INT((入力ガイド!$C$6+1)/10)+1,1),"")&amp;MID("０１２３４５６７８９",MOD((入力ガイド!$C$6+1),10)+1,1)&amp;"年３月３１日"</f>
        <v>至  令和８年３月３１日</v>
      </c>
      <c r="H34" s="2855"/>
    </row>
    <row r="35" spans="1:8" ht="13.5" customHeight="1">
      <c r="A35" s="2380" t="s">
        <v>788</v>
      </c>
      <c r="B35" s="2380"/>
      <c r="C35" s="2380"/>
      <c r="D35" s="588" t="s">
        <v>455</v>
      </c>
      <c r="E35" s="2381" t="s">
        <v>789</v>
      </c>
      <c r="F35" s="2381"/>
      <c r="G35" s="2381"/>
      <c r="H35" s="587" t="s">
        <v>455</v>
      </c>
    </row>
    <row r="36" spans="1:8" ht="11.25" customHeight="1">
      <c r="A36" s="590"/>
      <c r="B36" s="591" t="s">
        <v>551</v>
      </c>
      <c r="C36" s="636" t="s">
        <v>551</v>
      </c>
      <c r="D36" s="593" t="s">
        <v>551</v>
      </c>
      <c r="E36" s="611"/>
      <c r="F36" s="591" t="s">
        <v>551</v>
      </c>
      <c r="G36" s="636" t="s">
        <v>551</v>
      </c>
      <c r="H36" s="637" t="s">
        <v>551</v>
      </c>
    </row>
    <row r="37" spans="1:8" ht="13.5" customHeight="1">
      <c r="A37" s="596" t="s">
        <v>791</v>
      </c>
      <c r="B37" s="601"/>
      <c r="C37" s="602"/>
      <c r="D37" s="617">
        <f>SUM(C38)</f>
        <v>615161971</v>
      </c>
      <c r="E37" s="600" t="s">
        <v>792</v>
      </c>
      <c r="F37" s="639"/>
      <c r="G37" s="640"/>
      <c r="H37" s="641">
        <f>SUM(G38:G43)</f>
        <v>629322471</v>
      </c>
    </row>
    <row r="38" spans="1:8" ht="13.5" customHeight="1">
      <c r="A38" s="645" t="s">
        <v>793</v>
      </c>
      <c r="B38" s="601"/>
      <c r="C38" s="602">
        <f>SUM(B39:B54)</f>
        <v>615161971</v>
      </c>
      <c r="D38" s="617"/>
      <c r="E38" s="646" t="s">
        <v>794</v>
      </c>
      <c r="F38" s="639"/>
      <c r="G38" s="623">
        <f>SUM(F39:F41)</f>
        <v>629322471</v>
      </c>
      <c r="H38" s="647"/>
    </row>
    <row r="39" spans="1:8" ht="13.5" customHeight="1">
      <c r="A39" s="604" t="s">
        <v>128</v>
      </c>
      <c r="B39" s="601">
        <f>保健_決算精算表!A27</f>
        <v>6510030</v>
      </c>
      <c r="C39" s="602"/>
      <c r="D39" s="617"/>
      <c r="E39" s="607" t="s">
        <v>1009</v>
      </c>
      <c r="F39" s="1536">
        <f>保健_決算精算表!G46</f>
        <v>405168491</v>
      </c>
      <c r="G39" s="623"/>
      <c r="H39" s="647"/>
    </row>
    <row r="40" spans="1:8" ht="13.5" customHeight="1">
      <c r="A40" s="604" t="s">
        <v>1104</v>
      </c>
      <c r="B40" s="601">
        <f>保健_決算精算表!A28</f>
        <v>574362302</v>
      </c>
      <c r="C40" s="602"/>
      <c r="D40" s="617"/>
      <c r="E40" s="607" t="s">
        <v>1105</v>
      </c>
      <c r="F40" s="1536">
        <f>保健_決算精算表!G47</f>
        <v>224153980</v>
      </c>
      <c r="G40" s="623"/>
      <c r="H40" s="647"/>
    </row>
    <row r="41" spans="1:8" ht="18" customHeight="1">
      <c r="A41" s="1537" t="s">
        <v>149</v>
      </c>
      <c r="B41" s="601">
        <f>保健_決算精算表!A29</f>
        <v>20355535</v>
      </c>
      <c r="C41" s="602"/>
      <c r="D41" s="617"/>
      <c r="E41" s="607" t="s">
        <v>147</v>
      </c>
      <c r="F41" s="1536">
        <f>保健_決算精算表!G48</f>
        <v>0</v>
      </c>
      <c r="G41" s="623"/>
      <c r="H41" s="647"/>
    </row>
    <row r="42" spans="1:8" ht="13.5" customHeight="1">
      <c r="A42" s="651" t="s">
        <v>1003</v>
      </c>
      <c r="B42" s="601">
        <f>保健_決算精算表!A30</f>
        <v>543780</v>
      </c>
      <c r="C42" s="602"/>
      <c r="D42" s="617"/>
      <c r="E42" s="607"/>
      <c r="F42" s="1536"/>
      <c r="G42" s="623"/>
      <c r="H42" s="647"/>
    </row>
    <row r="43" spans="1:8" ht="13.5" customHeight="1">
      <c r="A43" s="1538" t="s">
        <v>150</v>
      </c>
      <c r="B43" s="601">
        <f>保健_決算精算表!A31</f>
        <v>170673</v>
      </c>
      <c r="C43" s="602"/>
      <c r="D43" s="617"/>
      <c r="E43" s="1539" t="s">
        <v>817</v>
      </c>
      <c r="F43" s="639"/>
      <c r="G43" s="623">
        <f>SUM(F44)</f>
        <v>0</v>
      </c>
      <c r="H43" s="647"/>
    </row>
    <row r="44" spans="1:8" ht="13.5" customHeight="1">
      <c r="A44" s="604" t="s">
        <v>1106</v>
      </c>
      <c r="B44" s="601">
        <f>保健_決算精算表!A32</f>
        <v>0</v>
      </c>
      <c r="C44" s="602"/>
      <c r="D44" s="617"/>
      <c r="E44" s="1540" t="s">
        <v>106</v>
      </c>
      <c r="F44" s="1536">
        <f>保健_決算精算表!G50</f>
        <v>0</v>
      </c>
      <c r="G44" s="623"/>
      <c r="H44" s="647"/>
    </row>
    <row r="45" spans="1:8" ht="13.5" customHeight="1">
      <c r="A45" s="604" t="s">
        <v>1004</v>
      </c>
      <c r="B45" s="601">
        <f>保健_決算精算表!A33</f>
        <v>4535066</v>
      </c>
      <c r="C45" s="602"/>
      <c r="D45" s="617"/>
      <c r="E45" s="1539"/>
      <c r="F45" s="639"/>
      <c r="G45" s="623"/>
      <c r="H45" s="647"/>
    </row>
    <row r="46" spans="1:8" ht="13.5" customHeight="1">
      <c r="A46" s="604" t="s">
        <v>135</v>
      </c>
      <c r="B46" s="601">
        <f>保健_決算精算表!A34</f>
        <v>0</v>
      </c>
      <c r="C46" s="602"/>
      <c r="D46" s="617"/>
      <c r="E46" s="596" t="s">
        <v>823</v>
      </c>
      <c r="F46" s="639"/>
      <c r="G46" s="623"/>
      <c r="H46" s="641">
        <f>G47</f>
        <v>104640</v>
      </c>
    </row>
    <row r="47" spans="1:8" ht="13.5" customHeight="1">
      <c r="A47" s="604" t="s">
        <v>1107</v>
      </c>
      <c r="B47" s="601">
        <f>保健_決算精算表!A35</f>
        <v>0</v>
      </c>
      <c r="C47" s="602"/>
      <c r="D47" s="617"/>
      <c r="E47" s="1541" t="s">
        <v>51</v>
      </c>
      <c r="F47" s="1536"/>
      <c r="G47" s="1536">
        <f>保健_決算精算表!G51</f>
        <v>104640</v>
      </c>
      <c r="H47" s="647"/>
    </row>
    <row r="48" spans="1:8" ht="13.2" customHeight="1">
      <c r="A48" s="651" t="s">
        <v>1108</v>
      </c>
      <c r="B48" s="601">
        <f>保健_決算精算表!A36</f>
        <v>28027</v>
      </c>
      <c r="C48" s="602"/>
      <c r="D48" s="617"/>
      <c r="E48" s="607"/>
      <c r="F48" s="601"/>
      <c r="G48" s="602"/>
      <c r="H48" s="603"/>
    </row>
    <row r="49" spans="1:11" ht="13.5" customHeight="1">
      <c r="A49" s="604" t="s">
        <v>1007</v>
      </c>
      <c r="B49" s="601">
        <f>保健_決算精算表!A37</f>
        <v>3453940</v>
      </c>
      <c r="C49" s="602"/>
      <c r="D49" s="617"/>
      <c r="E49" s="596" t="s">
        <v>233</v>
      </c>
      <c r="F49" s="639"/>
      <c r="H49" s="641">
        <f>SUM(G50)</f>
        <v>0</v>
      </c>
    </row>
    <row r="50" spans="1:11" ht="13.5" customHeight="1">
      <c r="A50" s="604" t="s">
        <v>1109</v>
      </c>
      <c r="B50" s="601">
        <f>保健_決算精算表!A38</f>
        <v>0</v>
      </c>
      <c r="C50" s="602"/>
      <c r="D50" s="617"/>
      <c r="E50" s="652" t="s">
        <v>233</v>
      </c>
      <c r="F50" s="639"/>
      <c r="G50" s="623">
        <f>MAX(0,D37+D55-H37-H46)</f>
        <v>0</v>
      </c>
      <c r="H50" s="647"/>
      <c r="K50" s="628">
        <f>D37+D55-H37-H46</f>
        <v>-14265140</v>
      </c>
    </row>
    <row r="51" spans="1:11" ht="13.5" customHeight="1">
      <c r="A51" s="604" t="s">
        <v>1008</v>
      </c>
      <c r="B51" s="601">
        <f>保健_決算精算表!A39</f>
        <v>1768131</v>
      </c>
      <c r="C51" s="602"/>
      <c r="D51" s="617"/>
      <c r="E51" s="652"/>
      <c r="F51" s="639"/>
      <c r="G51" s="623"/>
      <c r="H51" s="647"/>
    </row>
    <row r="52" spans="1:11" ht="13.5" customHeight="1">
      <c r="A52" s="604" t="s">
        <v>1009</v>
      </c>
      <c r="B52" s="601">
        <f>保健_決算精算表!A40</f>
        <v>565872</v>
      </c>
      <c r="C52" s="602"/>
      <c r="D52" s="617"/>
      <c r="E52" s="596"/>
      <c r="F52" s="639"/>
      <c r="G52" s="623"/>
      <c r="H52" s="641"/>
    </row>
    <row r="53" spans="1:11" ht="13.5" customHeight="1">
      <c r="A53" s="609" t="s">
        <v>140</v>
      </c>
      <c r="B53" s="601">
        <f>保健_決算精算表!A41</f>
        <v>2868615</v>
      </c>
      <c r="C53" s="602"/>
      <c r="D53" s="617"/>
      <c r="E53" s="596"/>
      <c r="F53" s="639"/>
      <c r="G53" s="623"/>
      <c r="H53" s="641"/>
    </row>
    <row r="54" spans="1:11" ht="11.25" customHeight="1">
      <c r="A54" s="604" t="str">
        <f>IF(N(保健_附属明細表!I116)=0,"","減価償却費")</f>
        <v/>
      </c>
      <c r="B54" s="601" t="str">
        <f>IF(N(保健_附属明細表!I116)=0,"",保健_附属明細表!I116)</f>
        <v/>
      </c>
      <c r="C54" s="602"/>
      <c r="D54" s="617"/>
      <c r="E54" s="596"/>
      <c r="F54" s="639"/>
      <c r="G54" s="623"/>
      <c r="H54" s="641"/>
    </row>
    <row r="55" spans="1:11" ht="13.5" customHeight="1">
      <c r="A55" s="596" t="s">
        <v>825</v>
      </c>
      <c r="B55" s="601"/>
      <c r="C55" s="602"/>
      <c r="D55" s="617">
        <f>SUM(C56:C58)</f>
        <v>0</v>
      </c>
      <c r="E55" s="596"/>
      <c r="F55" s="639"/>
      <c r="G55" s="623"/>
      <c r="H55" s="641"/>
    </row>
    <row r="56" spans="1:11" ht="13.5" customHeight="1">
      <c r="A56" s="609" t="s">
        <v>143</v>
      </c>
      <c r="B56" s="601"/>
      <c r="C56" s="601">
        <f>保健_決算精算表!A43</f>
        <v>0</v>
      </c>
      <c r="D56" s="617"/>
      <c r="E56" s="596"/>
      <c r="F56" s="639"/>
      <c r="G56" s="623"/>
      <c r="H56" s="641"/>
    </row>
    <row r="57" spans="1:11" ht="13.5" customHeight="1">
      <c r="A57" s="609" t="s">
        <v>144</v>
      </c>
      <c r="B57" s="601"/>
      <c r="C57" s="601">
        <f>保健_決算精算表!A44</f>
        <v>0</v>
      </c>
      <c r="D57" s="617"/>
      <c r="E57" s="600"/>
      <c r="F57" s="639"/>
      <c r="G57" s="623"/>
      <c r="H57" s="641"/>
    </row>
    <row r="58" spans="1:11" ht="13.5" customHeight="1">
      <c r="A58" s="609"/>
      <c r="B58" s="601"/>
      <c r="C58" s="619"/>
      <c r="D58" s="617"/>
      <c r="E58" s="652"/>
      <c r="F58" s="639"/>
      <c r="G58" s="623"/>
      <c r="H58" s="647"/>
    </row>
    <row r="59" spans="1:11" ht="13.5" customHeight="1">
      <c r="A59" s="596" t="s">
        <v>828</v>
      </c>
      <c r="B59" s="601"/>
      <c r="C59" s="619"/>
      <c r="D59" s="617">
        <f>SUM(C60)</f>
        <v>14265140</v>
      </c>
      <c r="E59" s="607"/>
      <c r="F59" s="601"/>
      <c r="G59" s="602"/>
      <c r="H59" s="603"/>
    </row>
    <row r="60" spans="1:11" ht="13.5" customHeight="1">
      <c r="A60" s="651" t="s">
        <v>828</v>
      </c>
      <c r="B60" s="601"/>
      <c r="C60" s="619">
        <f>MAX(0,-(D37+D55-H37-H46))</f>
        <v>14265140</v>
      </c>
      <c r="D60" s="617"/>
      <c r="E60" s="607"/>
      <c r="F60" s="601"/>
      <c r="G60" s="602"/>
      <c r="H60" s="603"/>
    </row>
    <row r="61" spans="1:11" ht="12" customHeight="1">
      <c r="A61" s="1542"/>
      <c r="B61" s="608"/>
      <c r="C61" s="615"/>
      <c r="D61" s="1543"/>
      <c r="E61" s="611"/>
      <c r="F61" s="601"/>
      <c r="G61" s="602"/>
      <c r="H61" s="603"/>
    </row>
    <row r="62" spans="1:11" ht="13.5" customHeight="1">
      <c r="A62" s="2384" t="s">
        <v>833</v>
      </c>
      <c r="B62" s="2384"/>
      <c r="C62" s="2384"/>
      <c r="D62" s="624">
        <f>SUM(D37:D61)</f>
        <v>629427111</v>
      </c>
      <c r="E62" s="2385" t="s">
        <v>1014</v>
      </c>
      <c r="F62" s="2385"/>
      <c r="G62" s="2385"/>
      <c r="H62" s="625">
        <f>SUM(H37:H61)</f>
        <v>629427111</v>
      </c>
    </row>
    <row r="63" spans="1:11" ht="10.5" customHeight="1">
      <c r="A63" s="633"/>
      <c r="B63" s="633"/>
      <c r="C63" s="633"/>
      <c r="D63" s="633"/>
      <c r="E63" s="633"/>
      <c r="F63" s="633"/>
      <c r="G63" s="633"/>
      <c r="H63" s="633"/>
    </row>
    <row r="64" spans="1:11" ht="10.5" customHeight="1">
      <c r="A64" s="633"/>
      <c r="B64" s="633"/>
      <c r="C64" s="633"/>
      <c r="D64" s="633"/>
      <c r="E64" s="633"/>
      <c r="F64" s="633"/>
      <c r="G64" s="633"/>
      <c r="H64" s="633"/>
    </row>
    <row r="65" spans="1:8" ht="24" customHeight="1">
      <c r="A65" s="633"/>
      <c r="B65" s="633"/>
      <c r="C65" s="633"/>
      <c r="D65" s="633"/>
      <c r="E65" s="633"/>
      <c r="F65" s="633"/>
      <c r="G65" s="633"/>
      <c r="H65" s="633"/>
    </row>
    <row r="66" spans="1:8" ht="24" customHeight="1">
      <c r="A66" s="633"/>
      <c r="B66" s="633"/>
      <c r="C66" s="633"/>
      <c r="D66" s="633"/>
      <c r="E66" s="633"/>
      <c r="F66" s="633"/>
      <c r="G66" s="633"/>
      <c r="H66" s="633"/>
    </row>
    <row r="67" spans="1:8" ht="24" customHeight="1">
      <c r="A67" s="633"/>
      <c r="B67" s="633"/>
      <c r="C67" s="633"/>
      <c r="D67" s="633"/>
      <c r="E67" s="633"/>
      <c r="F67" s="633"/>
      <c r="G67" s="633"/>
      <c r="H67" s="633"/>
    </row>
    <row r="68" spans="1:8" ht="24" customHeight="1">
      <c r="A68" s="633"/>
      <c r="B68" s="633"/>
      <c r="C68" s="633"/>
      <c r="D68" s="633"/>
      <c r="E68" s="633"/>
      <c r="F68" s="633"/>
      <c r="G68" s="633"/>
      <c r="H68" s="633"/>
    </row>
    <row r="78" spans="1: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7">
    <mergeCell ref="D1:E1"/>
    <mergeCell ref="D2:E2"/>
    <mergeCell ref="G3:H3"/>
    <mergeCell ref="A4:C4"/>
    <mergeCell ref="E4:G4"/>
    <mergeCell ref="A27:C27"/>
    <mergeCell ref="E27:G27"/>
    <mergeCell ref="A29:H29"/>
    <mergeCell ref="A30:H30"/>
    <mergeCell ref="D31:E31"/>
    <mergeCell ref="A62:C62"/>
    <mergeCell ref="E62:G62"/>
    <mergeCell ref="D32:E32"/>
    <mergeCell ref="G33:H33"/>
    <mergeCell ref="G34:H34"/>
    <mergeCell ref="A35:C35"/>
    <mergeCell ref="E35:G35"/>
  </mergeCells>
  <phoneticPr fontId="155"/>
  <pageMargins left="0.78749999999999998" right="0.39374999999999999" top="0.39374999999999999" bottom="0.31527777777777799" header="0.511811023622047" footer="0.31527777777777799"/>
  <pageSetup paperSize="9" firstPageNumber="53" orientation="portrait" useFirstPageNumber="1" horizontalDpi="300" verticalDpi="300"/>
  <headerFooter>
    <oddFooter>&amp;C&amp;"ＭＳ 明朝,Regular"- &amp;P -</oddFooter>
  </headerFooter>
  <legacyDrawing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ED959-9CF8-4B18-B236-D562A9DD131F}">
  <sheetPr codeName="Sheet45"/>
  <dimension ref="A1:IW188"/>
  <sheetViews>
    <sheetView zoomScaleNormal="100" zoomScalePageLayoutView="60" workbookViewId="0">
      <selection sqref="A1:G1"/>
    </sheetView>
  </sheetViews>
  <sheetFormatPr defaultColWidth="10.6640625" defaultRowHeight="13.2" outlineLevelRow="1"/>
  <cols>
    <col min="1" max="23" width="3.77734375" style="696" customWidth="1"/>
    <col min="24" max="24" width="6" style="696" customWidth="1"/>
    <col min="25" max="27" width="4.109375" style="696" customWidth="1"/>
    <col min="28" max="257" width="10.6640625" style="696"/>
  </cols>
  <sheetData>
    <row r="1" spans="1:24" ht="21" customHeight="1">
      <c r="I1" s="2396" t="s">
        <v>835</v>
      </c>
      <c r="J1" s="2396"/>
      <c r="K1" s="2396"/>
      <c r="L1" s="2396"/>
      <c r="M1" s="2396"/>
      <c r="N1" s="2396"/>
      <c r="O1" s="2396"/>
      <c r="P1" s="2396"/>
      <c r="Q1" s="2477"/>
      <c r="R1" s="2477"/>
      <c r="S1" s="2477"/>
      <c r="T1" s="2477"/>
      <c r="U1" s="2477"/>
      <c r="V1" s="2477"/>
      <c r="W1" s="2477"/>
      <c r="X1" s="2477"/>
    </row>
    <row r="2" spans="1:24" ht="12"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9"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1544" customFormat="1" ht="24" customHeight="1">
      <c r="A5" s="2442" t="s">
        <v>839</v>
      </c>
      <c r="B5" s="2442"/>
      <c r="C5" s="2442"/>
      <c r="D5" s="2442"/>
      <c r="E5" s="2442"/>
      <c r="F5" s="2442"/>
      <c r="G5" s="2024" t="s">
        <v>1015</v>
      </c>
      <c r="H5" s="2024"/>
      <c r="I5" s="2024"/>
      <c r="J5" s="2024"/>
      <c r="K5" s="2024"/>
      <c r="L5" s="2024"/>
      <c r="M5" s="3105">
        <v>332277800</v>
      </c>
      <c r="N5" s="3106"/>
      <c r="O5" s="3106"/>
      <c r="P5" s="3106"/>
      <c r="Q5" s="3106"/>
      <c r="S5" s="2446" t="s">
        <v>1110</v>
      </c>
      <c r="T5" s="2446"/>
      <c r="U5" s="2446"/>
      <c r="V5" s="2446"/>
      <c r="W5" s="2446"/>
      <c r="X5" s="2446"/>
    </row>
    <row r="6" spans="1:24" s="699" customFormat="1" ht="24" customHeight="1">
      <c r="A6" s="2404" t="s">
        <v>460</v>
      </c>
      <c r="B6" s="2404"/>
      <c r="C6" s="2404"/>
      <c r="D6" s="2404"/>
      <c r="E6" s="2404"/>
      <c r="F6" s="2404"/>
      <c r="G6" s="2469"/>
      <c r="H6" s="2469"/>
      <c r="I6" s="2469"/>
      <c r="J6" s="2469"/>
      <c r="K6" s="2469"/>
      <c r="L6" s="2469"/>
      <c r="M6" s="2447">
        <f>M5</f>
        <v>332277800</v>
      </c>
      <c r="N6" s="2447"/>
      <c r="O6" s="2447"/>
      <c r="P6" s="2447"/>
      <c r="Q6" s="2447"/>
      <c r="R6" s="1545"/>
      <c r="S6" s="2980"/>
      <c r="T6" s="2980"/>
      <c r="U6" s="2980"/>
      <c r="V6" s="2980"/>
      <c r="W6" s="2980"/>
      <c r="X6" s="2980"/>
    </row>
    <row r="7" spans="1:24" ht="22.5" customHeight="1">
      <c r="A7" s="717"/>
      <c r="B7" s="718"/>
      <c r="C7" s="719"/>
      <c r="D7" s="719"/>
      <c r="E7" s="719"/>
      <c r="F7" s="719"/>
      <c r="G7" s="719"/>
    </row>
    <row r="8" spans="1:24" ht="21" hidden="1" customHeight="1">
      <c r="B8" s="720"/>
      <c r="C8" s="720"/>
      <c r="D8" s="720"/>
      <c r="E8" s="720"/>
      <c r="F8" s="720"/>
      <c r="G8" s="720"/>
      <c r="H8" s="720"/>
      <c r="I8" s="2396" t="s">
        <v>844</v>
      </c>
      <c r="J8" s="2396"/>
      <c r="K8" s="2396"/>
      <c r="L8" s="2396"/>
      <c r="M8" s="2396"/>
      <c r="N8" s="2396"/>
      <c r="O8" s="2396"/>
      <c r="P8" s="2396"/>
      <c r="Q8" s="720"/>
      <c r="R8" s="720"/>
      <c r="S8" s="720"/>
      <c r="T8" s="720"/>
      <c r="U8" s="720"/>
      <c r="V8" s="720"/>
      <c r="W8" s="720"/>
      <c r="X8" s="720"/>
    </row>
    <row r="9" spans="1:24" ht="15" hidden="1" customHeight="1">
      <c r="A9" s="697"/>
      <c r="B9" s="698"/>
      <c r="C9" s="698"/>
      <c r="D9" s="698"/>
      <c r="E9" s="698"/>
      <c r="F9" s="698"/>
      <c r="G9" s="698"/>
      <c r="H9" s="698"/>
      <c r="I9" s="698"/>
      <c r="J9" s="698"/>
      <c r="K9" s="698"/>
      <c r="L9" s="698"/>
      <c r="M9" s="698"/>
      <c r="N9" s="698"/>
      <c r="O9" s="698"/>
      <c r="P9" s="698"/>
      <c r="Q9" s="698"/>
      <c r="R9" s="698"/>
      <c r="S9" s="698"/>
      <c r="T9" s="698"/>
      <c r="U9" s="698"/>
      <c r="V9" s="698"/>
      <c r="W9" s="698"/>
      <c r="X9" s="698"/>
    </row>
    <row r="10" spans="1:24" s="699" customFormat="1" ht="22.5" hidden="1" customHeight="1">
      <c r="A10" s="2478" t="s">
        <v>836</v>
      </c>
      <c r="B10" s="2478"/>
      <c r="C10" s="2478"/>
      <c r="D10" s="2478"/>
      <c r="E10" s="2478"/>
      <c r="F10" s="2478"/>
      <c r="G10" s="2438" t="s">
        <v>452</v>
      </c>
      <c r="H10" s="2438"/>
      <c r="I10" s="2438"/>
      <c r="J10" s="2438"/>
      <c r="K10" s="2438"/>
      <c r="L10" s="2438"/>
      <c r="M10" s="2438" t="s">
        <v>837</v>
      </c>
      <c r="N10" s="2438"/>
      <c r="O10" s="2438"/>
      <c r="P10" s="2438"/>
      <c r="Q10" s="2438"/>
      <c r="R10" s="2438"/>
      <c r="S10" s="2417" t="s">
        <v>838</v>
      </c>
      <c r="T10" s="2417"/>
      <c r="U10" s="2417"/>
      <c r="V10" s="2417"/>
      <c r="W10" s="2417"/>
      <c r="X10" s="2417"/>
    </row>
    <row r="11" spans="1:24" s="699" customFormat="1" ht="9" hidden="1" customHeight="1">
      <c r="A11" s="700"/>
      <c r="B11" s="701"/>
      <c r="C11" s="701"/>
      <c r="D11" s="701"/>
      <c r="E11" s="701"/>
      <c r="F11" s="702"/>
      <c r="G11" s="703"/>
      <c r="H11" s="701"/>
      <c r="I11" s="701"/>
      <c r="J11" s="701"/>
      <c r="K11" s="701"/>
      <c r="L11" s="702"/>
      <c r="M11" s="703"/>
      <c r="N11" s="701"/>
      <c r="O11" s="701"/>
      <c r="P11" s="701"/>
      <c r="Q11" s="701"/>
      <c r="R11" s="704" t="s">
        <v>551</v>
      </c>
      <c r="S11" s="703"/>
      <c r="T11" s="701"/>
      <c r="U11" s="701"/>
      <c r="V11" s="701"/>
      <c r="W11" s="701"/>
      <c r="X11" s="705"/>
    </row>
    <row r="12" spans="1:24" s="699" customFormat="1" ht="22.5" hidden="1" customHeight="1">
      <c r="A12" s="2978" t="s">
        <v>1111</v>
      </c>
      <c r="B12" s="2978"/>
      <c r="C12" s="2978"/>
      <c r="D12" s="2978"/>
      <c r="E12" s="2978"/>
      <c r="F12" s="2978"/>
      <c r="G12" s="2024" t="s">
        <v>1112</v>
      </c>
      <c r="H12" s="2024"/>
      <c r="I12" s="2024"/>
      <c r="J12" s="2024"/>
      <c r="K12" s="2024"/>
      <c r="L12" s="2024"/>
      <c r="M12" s="2465">
        <v>0</v>
      </c>
      <c r="N12" s="2466"/>
      <c r="O12" s="2466"/>
      <c r="P12" s="2466"/>
      <c r="Q12" s="2466"/>
      <c r="R12" s="706"/>
      <c r="S12" s="2979" t="s">
        <v>1113</v>
      </c>
      <c r="T12" s="2979"/>
      <c r="U12" s="2979"/>
      <c r="V12" s="2979"/>
      <c r="W12" s="2979"/>
      <c r="X12" s="2979"/>
    </row>
    <row r="13" spans="1:24" s="699" customFormat="1" ht="22.5" hidden="1" customHeight="1">
      <c r="A13" s="2404" t="s">
        <v>460</v>
      </c>
      <c r="B13" s="2404"/>
      <c r="C13" s="2404"/>
      <c r="D13" s="2404"/>
      <c r="E13" s="2404"/>
      <c r="F13" s="2404"/>
      <c r="G13" s="2469"/>
      <c r="H13" s="2469"/>
      <c r="I13" s="2469"/>
      <c r="J13" s="2469"/>
      <c r="K13" s="2469"/>
      <c r="L13" s="2469"/>
      <c r="M13" s="2447">
        <f>SUM(M11:Q12)</f>
        <v>0</v>
      </c>
      <c r="N13" s="2447"/>
      <c r="O13" s="2447"/>
      <c r="P13" s="2447"/>
      <c r="Q13" s="2447"/>
      <c r="R13" s="716"/>
      <c r="S13" s="2470"/>
      <c r="T13" s="2470"/>
      <c r="U13" s="2470"/>
      <c r="V13" s="2470"/>
      <c r="W13" s="2470"/>
      <c r="X13" s="2470"/>
    </row>
    <row r="14" spans="1:24" s="699" customFormat="1" ht="27" hidden="1" customHeight="1">
      <c r="A14" s="732"/>
      <c r="B14" s="732"/>
      <c r="C14" s="732"/>
      <c r="D14" s="732"/>
      <c r="E14" s="732"/>
      <c r="F14" s="732"/>
      <c r="G14" s="735"/>
      <c r="H14" s="735"/>
      <c r="I14" s="735"/>
      <c r="J14" s="735"/>
      <c r="K14" s="735"/>
      <c r="L14" s="735"/>
      <c r="M14" s="290"/>
      <c r="N14" s="290"/>
      <c r="O14" s="290"/>
      <c r="P14" s="290"/>
      <c r="Q14" s="290"/>
      <c r="R14" s="745"/>
      <c r="S14" s="714"/>
      <c r="T14" s="714"/>
      <c r="U14" s="714"/>
      <c r="V14" s="714"/>
      <c r="W14" s="714"/>
      <c r="X14" s="714"/>
    </row>
    <row r="15" spans="1:24" ht="21" hidden="1" customHeight="1">
      <c r="B15" s="720"/>
      <c r="C15" s="720"/>
      <c r="D15" s="720"/>
      <c r="E15" s="720"/>
      <c r="F15" s="720"/>
      <c r="G15" s="720"/>
      <c r="H15" s="720"/>
      <c r="I15" s="2396" t="s">
        <v>845</v>
      </c>
      <c r="J15" s="2396"/>
      <c r="K15" s="2396"/>
      <c r="L15" s="2396"/>
      <c r="M15" s="2396"/>
      <c r="N15" s="2396"/>
      <c r="O15" s="2396"/>
      <c r="P15" s="2396"/>
      <c r="Q15" s="720"/>
      <c r="R15" s="720"/>
      <c r="S15" s="720"/>
      <c r="T15" s="720"/>
      <c r="U15" s="720"/>
      <c r="V15" s="720"/>
      <c r="W15" s="720"/>
      <c r="X15" s="720"/>
    </row>
    <row r="16" spans="1:24" ht="12" hidden="1" customHeight="1">
      <c r="A16" s="697"/>
      <c r="B16" s="698"/>
      <c r="C16" s="698"/>
      <c r="D16" s="698"/>
      <c r="E16" s="698"/>
      <c r="F16" s="698"/>
      <c r="G16" s="698"/>
      <c r="H16" s="698"/>
      <c r="I16" s="698"/>
      <c r="J16" s="698"/>
      <c r="K16" s="698"/>
      <c r="L16" s="698"/>
      <c r="M16" s="698"/>
      <c r="N16" s="698"/>
      <c r="O16" s="698"/>
      <c r="P16" s="698"/>
      <c r="Q16" s="698"/>
      <c r="R16" s="698"/>
      <c r="S16" s="698"/>
      <c r="T16" s="698"/>
      <c r="U16" s="698"/>
      <c r="V16" s="698"/>
      <c r="W16" s="698"/>
      <c r="X16" s="698"/>
    </row>
    <row r="17" spans="1:24" s="699" customFormat="1" ht="21" hidden="1" customHeight="1">
      <c r="A17" s="2478" t="s">
        <v>836</v>
      </c>
      <c r="B17" s="2478"/>
      <c r="C17" s="2478"/>
      <c r="D17" s="2478"/>
      <c r="E17" s="2478"/>
      <c r="F17" s="2478"/>
      <c r="G17" s="2438" t="s">
        <v>452</v>
      </c>
      <c r="H17" s="2438"/>
      <c r="I17" s="2438"/>
      <c r="J17" s="2438"/>
      <c r="K17" s="2438"/>
      <c r="L17" s="2438"/>
      <c r="M17" s="2438" t="s">
        <v>837</v>
      </c>
      <c r="N17" s="2438"/>
      <c r="O17" s="2438"/>
      <c r="P17" s="2438"/>
      <c r="Q17" s="2438"/>
      <c r="R17" s="2438"/>
      <c r="S17" s="2417" t="s">
        <v>838</v>
      </c>
      <c r="T17" s="2417"/>
      <c r="U17" s="2417"/>
      <c r="V17" s="2417"/>
      <c r="W17" s="2417"/>
      <c r="X17" s="2417"/>
    </row>
    <row r="18" spans="1:24" s="699" customFormat="1" ht="9" hidden="1" customHeight="1">
      <c r="A18" s="700"/>
      <c r="B18" s="701"/>
      <c r="C18" s="701"/>
      <c r="D18" s="701"/>
      <c r="E18" s="701"/>
      <c r="F18" s="702"/>
      <c r="G18" s="703"/>
      <c r="H18" s="701"/>
      <c r="I18" s="701"/>
      <c r="J18" s="701"/>
      <c r="K18" s="701"/>
      <c r="L18" s="704"/>
      <c r="M18" s="703"/>
      <c r="N18" s="701"/>
      <c r="O18" s="701"/>
      <c r="P18" s="701"/>
      <c r="Q18" s="701"/>
      <c r="R18" s="704" t="s">
        <v>551</v>
      </c>
      <c r="S18" s="703"/>
      <c r="T18" s="701"/>
      <c r="U18" s="701"/>
      <c r="V18" s="701"/>
      <c r="W18" s="701"/>
      <c r="X18" s="705"/>
    </row>
    <row r="19" spans="1:24" s="699" customFormat="1" ht="24" hidden="1" customHeight="1">
      <c r="A19" s="2442" t="s">
        <v>1114</v>
      </c>
      <c r="B19" s="2442"/>
      <c r="C19" s="2442"/>
      <c r="D19" s="2442"/>
      <c r="E19" s="2442"/>
      <c r="F19" s="2442"/>
      <c r="G19" s="2974" t="s">
        <v>235</v>
      </c>
      <c r="H19" s="2974"/>
      <c r="I19" s="2974"/>
      <c r="J19" s="2974"/>
      <c r="K19" s="2974"/>
      <c r="L19" s="2974"/>
      <c r="M19" s="2975">
        <v>0</v>
      </c>
      <c r="N19" s="2976"/>
      <c r="O19" s="2976"/>
      <c r="P19" s="2976"/>
      <c r="Q19" s="2976"/>
      <c r="R19" s="730"/>
      <c r="S19" s="2446" t="s">
        <v>1115</v>
      </c>
      <c r="T19" s="2446"/>
      <c r="U19" s="2446"/>
      <c r="V19" s="2446"/>
      <c r="W19" s="2446"/>
      <c r="X19" s="2446"/>
    </row>
    <row r="20" spans="1:24" s="699" customFormat="1" ht="24" hidden="1" customHeight="1">
      <c r="A20" s="2618" t="s">
        <v>460</v>
      </c>
      <c r="B20" s="2618"/>
      <c r="C20" s="2618"/>
      <c r="D20" s="2618"/>
      <c r="E20" s="2618"/>
      <c r="F20" s="2618"/>
      <c r="G20" s="2977"/>
      <c r="H20" s="2977"/>
      <c r="I20" s="2977"/>
      <c r="J20" s="2977"/>
      <c r="K20" s="2977"/>
      <c r="L20" s="2977"/>
      <c r="M20" s="2447">
        <f>SUM(M19:Q19)</f>
        <v>0</v>
      </c>
      <c r="N20" s="2447"/>
      <c r="O20" s="2447"/>
      <c r="P20" s="2447"/>
      <c r="Q20" s="2447"/>
      <c r="R20" s="1546"/>
      <c r="S20" s="2456"/>
      <c r="T20" s="2456"/>
      <c r="U20" s="2456"/>
      <c r="V20" s="2456"/>
      <c r="W20" s="2456"/>
      <c r="X20" s="2456"/>
    </row>
    <row r="21" spans="1:24" s="699" customFormat="1" ht="22.5" hidden="1" customHeight="1">
      <c r="A21" s="1547"/>
      <c r="B21" s="1547"/>
      <c r="C21" s="1547"/>
      <c r="D21" s="1547"/>
      <c r="E21" s="1547"/>
      <c r="F21" s="1547"/>
      <c r="G21" s="1548"/>
      <c r="H21" s="1548"/>
      <c r="I21" s="1548"/>
      <c r="J21" s="1548"/>
      <c r="K21" s="1548"/>
      <c r="L21" s="1549"/>
      <c r="M21" s="1550"/>
      <c r="N21" s="1550"/>
      <c r="O21" s="1550"/>
      <c r="P21" s="1550"/>
      <c r="Q21" s="1550"/>
      <c r="R21" s="1550"/>
      <c r="S21" s="1551"/>
      <c r="T21" s="1551"/>
      <c r="U21" s="1551"/>
      <c r="V21" s="1551"/>
      <c r="W21" s="1551"/>
      <c r="X21" s="1551"/>
    </row>
    <row r="22" spans="1:24" ht="18.75" hidden="1" customHeight="1">
      <c r="B22" s="720"/>
      <c r="C22" s="720"/>
      <c r="D22" s="720"/>
      <c r="E22" s="720"/>
      <c r="F22" s="720"/>
      <c r="G22" s="720"/>
      <c r="H22" s="720"/>
      <c r="I22" s="2396" t="s">
        <v>1020</v>
      </c>
      <c r="J22" s="2396"/>
      <c r="K22" s="2396"/>
      <c r="L22" s="2396"/>
      <c r="M22" s="2396"/>
      <c r="N22" s="2396"/>
      <c r="O22" s="2396"/>
      <c r="P22" s="2396"/>
      <c r="Q22" s="720"/>
      <c r="R22" s="720"/>
      <c r="S22" s="720"/>
      <c r="T22" s="720"/>
      <c r="U22" s="720"/>
      <c r="V22" s="720"/>
      <c r="W22" s="720"/>
      <c r="X22" s="720"/>
    </row>
    <row r="23" spans="1:24" ht="12" hidden="1" customHeight="1">
      <c r="A23" s="697"/>
      <c r="B23" s="698"/>
      <c r="C23" s="698"/>
      <c r="D23" s="698"/>
      <c r="E23" s="698"/>
      <c r="F23" s="698"/>
      <c r="G23" s="698"/>
      <c r="H23" s="698"/>
      <c r="I23" s="698"/>
      <c r="J23" s="698"/>
      <c r="K23" s="698"/>
      <c r="L23" s="698"/>
      <c r="M23" s="698"/>
      <c r="N23" s="698"/>
      <c r="O23" s="698"/>
      <c r="P23" s="698"/>
      <c r="Q23" s="698"/>
      <c r="R23" s="698"/>
      <c r="S23" s="698"/>
      <c r="T23" s="698"/>
      <c r="U23" s="698"/>
      <c r="V23" s="698"/>
      <c r="W23" s="698"/>
      <c r="X23" s="698"/>
    </row>
    <row r="24" spans="1:24" s="699" customFormat="1" ht="20.25" hidden="1" customHeight="1">
      <c r="A24" s="2414" t="s">
        <v>847</v>
      </c>
      <c r="B24" s="2414"/>
      <c r="C24" s="2414"/>
      <c r="D24" s="2414"/>
      <c r="E24" s="2414"/>
      <c r="F24" s="2414"/>
      <c r="G24" s="2438" t="s">
        <v>837</v>
      </c>
      <c r="H24" s="2438"/>
      <c r="I24" s="2438"/>
      <c r="J24" s="2438"/>
      <c r="K24" s="2438"/>
      <c r="L24" s="2438"/>
      <c r="M24" s="2438" t="s">
        <v>848</v>
      </c>
      <c r="N24" s="2438"/>
      <c r="O24" s="2438"/>
      <c r="P24" s="2438"/>
      <c r="Q24" s="2438"/>
      <c r="R24" s="2438"/>
      <c r="S24" s="2417" t="s">
        <v>838</v>
      </c>
      <c r="T24" s="2417"/>
      <c r="U24" s="2417"/>
      <c r="V24" s="2417"/>
      <c r="W24" s="2417"/>
      <c r="X24" s="2417"/>
    </row>
    <row r="25" spans="1:24" s="699" customFormat="1" ht="9" hidden="1" customHeight="1">
      <c r="A25" s="700"/>
      <c r="B25" s="701"/>
      <c r="C25" s="701"/>
      <c r="D25" s="701"/>
      <c r="E25" s="701"/>
      <c r="F25" s="702"/>
      <c r="G25" s="703"/>
      <c r="H25" s="701"/>
      <c r="I25" s="701"/>
      <c r="J25" s="701"/>
      <c r="K25" s="701"/>
      <c r="L25" s="704" t="s">
        <v>551</v>
      </c>
      <c r="M25" s="703"/>
      <c r="N25" s="701"/>
      <c r="O25" s="701"/>
      <c r="P25" s="701"/>
      <c r="Q25" s="701"/>
      <c r="R25" s="726"/>
      <c r="S25" s="703"/>
      <c r="T25" s="701"/>
      <c r="U25" s="701"/>
      <c r="V25" s="701"/>
      <c r="W25" s="701"/>
      <c r="X25" s="705"/>
    </row>
    <row r="26" spans="1:24" s="699" customFormat="1" ht="24" hidden="1" customHeight="1">
      <c r="A26" s="2442" t="s">
        <v>152</v>
      </c>
      <c r="B26" s="2442"/>
      <c r="C26" s="2442"/>
      <c r="D26" s="2442"/>
      <c r="E26" s="2442"/>
      <c r="F26" s="2442"/>
      <c r="G26" s="2466"/>
      <c r="H26" s="2466"/>
      <c r="I26" s="2466"/>
      <c r="J26" s="2466"/>
      <c r="K26" s="2466"/>
      <c r="L26" s="1552"/>
      <c r="M26" s="2445" t="s">
        <v>1116</v>
      </c>
      <c r="N26" s="2445"/>
      <c r="O26" s="2445"/>
      <c r="P26" s="2445"/>
      <c r="Q26" s="2445"/>
      <c r="R26" s="2445"/>
      <c r="S26" s="2973" t="s">
        <v>1117</v>
      </c>
      <c r="T26" s="2973"/>
      <c r="U26" s="2973"/>
      <c r="V26" s="2973"/>
      <c r="W26" s="2973"/>
      <c r="X26" s="2973"/>
    </row>
    <row r="27" spans="1:24" ht="24" hidden="1" customHeight="1">
      <c r="A27" s="2404" t="s">
        <v>460</v>
      </c>
      <c r="B27" s="2404"/>
      <c r="C27" s="2404"/>
      <c r="D27" s="2404"/>
      <c r="E27" s="2404"/>
      <c r="F27" s="2404"/>
      <c r="G27" s="2447">
        <f>SUM(G26:K26)</f>
        <v>0</v>
      </c>
      <c r="H27" s="2447"/>
      <c r="I27" s="2447"/>
      <c r="J27" s="2447"/>
      <c r="K27" s="2447"/>
      <c r="L27" s="728"/>
      <c r="M27" s="2448"/>
      <c r="N27" s="2448"/>
      <c r="O27" s="2448"/>
      <c r="P27" s="2448"/>
      <c r="Q27" s="2448"/>
      <c r="R27" s="2448"/>
      <c r="S27" s="2449"/>
      <c r="T27" s="2449"/>
      <c r="U27" s="2449"/>
      <c r="V27" s="2449"/>
      <c r="W27" s="2449"/>
      <c r="X27" s="2449"/>
    </row>
    <row r="28" spans="1:24" ht="22.5" hidden="1" customHeight="1">
      <c r="A28" s="732"/>
      <c r="B28" s="732"/>
      <c r="C28" s="732"/>
      <c r="D28" s="732"/>
      <c r="E28" s="732"/>
      <c r="F28" s="732"/>
      <c r="G28" s="290"/>
      <c r="H28" s="290"/>
      <c r="I28" s="290"/>
      <c r="J28" s="290"/>
      <c r="K28" s="290"/>
      <c r="L28" s="733"/>
      <c r="M28" s="734"/>
      <c r="N28" s="734"/>
      <c r="O28" s="734"/>
      <c r="P28" s="734"/>
      <c r="Q28" s="734"/>
      <c r="R28" s="734"/>
      <c r="S28" s="735"/>
      <c r="T28" s="735"/>
      <c r="U28" s="735"/>
      <c r="V28" s="735"/>
      <c r="W28" s="735"/>
      <c r="X28" s="735"/>
    </row>
    <row r="29" spans="1:24" ht="18.75" hidden="1" customHeight="1">
      <c r="B29" s="720"/>
      <c r="C29" s="720"/>
      <c r="D29" s="720"/>
      <c r="E29" s="720"/>
      <c r="F29" s="720"/>
      <c r="G29" s="720"/>
      <c r="H29" s="720"/>
      <c r="I29" s="2396" t="s">
        <v>850</v>
      </c>
      <c r="J29" s="2396"/>
      <c r="K29" s="2396"/>
      <c r="L29" s="2396"/>
      <c r="M29" s="2396"/>
      <c r="N29" s="2396"/>
      <c r="O29" s="2396"/>
      <c r="P29" s="2396"/>
      <c r="Q29" s="720"/>
      <c r="R29" s="720"/>
      <c r="S29" s="720"/>
      <c r="T29" s="720"/>
      <c r="U29" s="720"/>
      <c r="V29" s="720"/>
      <c r="W29" s="720"/>
      <c r="X29" s="720"/>
    </row>
    <row r="30" spans="1:24" ht="12" hidden="1" customHeight="1">
      <c r="A30" s="697"/>
      <c r="B30" s="698"/>
      <c r="C30" s="698"/>
      <c r="D30" s="698"/>
      <c r="E30" s="698"/>
      <c r="F30" s="698"/>
      <c r="G30" s="698"/>
      <c r="H30" s="698"/>
      <c r="I30" s="698"/>
      <c r="J30" s="698"/>
      <c r="K30" s="698"/>
      <c r="L30" s="698"/>
      <c r="M30" s="698"/>
      <c r="N30" s="698"/>
      <c r="O30" s="698"/>
      <c r="P30" s="698"/>
      <c r="Q30" s="698"/>
      <c r="R30" s="698"/>
      <c r="S30" s="698"/>
      <c r="T30" s="698"/>
      <c r="U30" s="698"/>
      <c r="V30" s="698"/>
      <c r="W30" s="698"/>
      <c r="X30" s="698"/>
    </row>
    <row r="31" spans="1:24" s="699" customFormat="1" ht="20.25" hidden="1" customHeight="1">
      <c r="A31" s="2414" t="s">
        <v>847</v>
      </c>
      <c r="B31" s="2414"/>
      <c r="C31" s="2414"/>
      <c r="D31" s="2414"/>
      <c r="E31" s="2414"/>
      <c r="F31" s="2414"/>
      <c r="G31" s="2438" t="s">
        <v>837</v>
      </c>
      <c r="H31" s="2438"/>
      <c r="I31" s="2438"/>
      <c r="J31" s="2438"/>
      <c r="K31" s="2438"/>
      <c r="L31" s="2438"/>
      <c r="M31" s="2438" t="s">
        <v>848</v>
      </c>
      <c r="N31" s="2438"/>
      <c r="O31" s="2438"/>
      <c r="P31" s="2438"/>
      <c r="Q31" s="2438"/>
      <c r="R31" s="2438"/>
      <c r="S31" s="2417" t="s">
        <v>838</v>
      </c>
      <c r="T31" s="2417"/>
      <c r="U31" s="2417"/>
      <c r="V31" s="2417"/>
      <c r="W31" s="2417"/>
      <c r="X31" s="2417"/>
    </row>
    <row r="32" spans="1:24" s="699" customFormat="1" ht="9" hidden="1" customHeight="1">
      <c r="A32" s="700"/>
      <c r="B32" s="701"/>
      <c r="C32" s="701"/>
      <c r="D32" s="701"/>
      <c r="E32" s="701"/>
      <c r="F32" s="702"/>
      <c r="G32" s="703"/>
      <c r="H32" s="701"/>
      <c r="I32" s="701"/>
      <c r="J32" s="701"/>
      <c r="K32" s="701"/>
      <c r="L32" s="704" t="s">
        <v>551</v>
      </c>
      <c r="M32" s="703"/>
      <c r="N32" s="701"/>
      <c r="O32" s="701"/>
      <c r="P32" s="701"/>
      <c r="Q32" s="701"/>
      <c r="R32" s="726"/>
      <c r="S32" s="703"/>
      <c r="T32" s="701"/>
      <c r="U32" s="701"/>
      <c r="V32" s="701"/>
      <c r="W32" s="701"/>
      <c r="X32" s="705"/>
    </row>
    <row r="33" spans="1:24" s="699" customFormat="1" ht="24" hidden="1" customHeight="1">
      <c r="A33" s="2442" t="s">
        <v>236</v>
      </c>
      <c r="B33" s="2442"/>
      <c r="C33" s="2442"/>
      <c r="D33" s="2442"/>
      <c r="E33" s="2442"/>
      <c r="F33" s="2442"/>
      <c r="G33" s="2465">
        <v>0</v>
      </c>
      <c r="H33" s="2466"/>
      <c r="I33" s="2466"/>
      <c r="J33" s="2466"/>
      <c r="K33" s="2466"/>
      <c r="L33" s="1552"/>
      <c r="M33" s="2445" t="s">
        <v>1118</v>
      </c>
      <c r="N33" s="2445"/>
      <c r="O33" s="2445"/>
      <c r="P33" s="2445"/>
      <c r="Q33" s="2445"/>
      <c r="R33" s="2445"/>
      <c r="S33" s="2973" t="s">
        <v>1119</v>
      </c>
      <c r="T33" s="2973"/>
      <c r="U33" s="2973"/>
      <c r="V33" s="2973"/>
      <c r="W33" s="2973"/>
      <c r="X33" s="2973"/>
    </row>
    <row r="34" spans="1:24" s="699" customFormat="1" ht="24" hidden="1" customHeight="1">
      <c r="A34" s="2442" t="s">
        <v>237</v>
      </c>
      <c r="B34" s="2442"/>
      <c r="C34" s="2442"/>
      <c r="D34" s="2442"/>
      <c r="E34" s="2442"/>
      <c r="F34" s="2442"/>
      <c r="G34" s="2465">
        <v>0</v>
      </c>
      <c r="H34" s="2466"/>
      <c r="I34" s="2466"/>
      <c r="J34" s="2466"/>
      <c r="K34" s="2466"/>
      <c r="L34" s="1552"/>
      <c r="M34" s="2445" t="s">
        <v>1114</v>
      </c>
      <c r="N34" s="2445"/>
      <c r="O34" s="2445"/>
      <c r="P34" s="2445"/>
      <c r="Q34" s="2445"/>
      <c r="R34" s="2445"/>
      <c r="S34" s="2973" t="s">
        <v>235</v>
      </c>
      <c r="T34" s="2973"/>
      <c r="U34" s="2973"/>
      <c r="V34" s="2973"/>
      <c r="W34" s="2973"/>
      <c r="X34" s="2973"/>
    </row>
    <row r="35" spans="1:24" ht="24" hidden="1" customHeight="1">
      <c r="A35" s="2404" t="s">
        <v>460</v>
      </c>
      <c r="B35" s="2404"/>
      <c r="C35" s="2404"/>
      <c r="D35" s="2404"/>
      <c r="E35" s="2404"/>
      <c r="F35" s="2404"/>
      <c r="G35" s="2454">
        <f>SUM(G33:K34)</f>
        <v>0</v>
      </c>
      <c r="H35" s="2454"/>
      <c r="I35" s="2454"/>
      <c r="J35" s="2454"/>
      <c r="K35" s="2454"/>
      <c r="L35" s="731"/>
      <c r="M35" s="2455"/>
      <c r="N35" s="2455"/>
      <c r="O35" s="2455"/>
      <c r="P35" s="2455"/>
      <c r="Q35" s="2455"/>
      <c r="R35" s="2455"/>
      <c r="S35" s="2456"/>
      <c r="T35" s="2456"/>
      <c r="U35" s="2456"/>
      <c r="V35" s="2456"/>
      <c r="W35" s="2456"/>
      <c r="X35" s="2456"/>
    </row>
    <row r="36" spans="1:24" ht="22.5" hidden="1" customHeight="1">
      <c r="A36" s="732"/>
      <c r="B36" s="732"/>
      <c r="C36" s="732"/>
      <c r="D36" s="732"/>
      <c r="E36" s="732"/>
      <c r="F36" s="732"/>
      <c r="G36" s="290"/>
      <c r="H36" s="290"/>
      <c r="I36" s="290"/>
      <c r="J36" s="290"/>
      <c r="K36" s="290"/>
      <c r="L36" s="733"/>
      <c r="M36" s="734"/>
      <c r="N36" s="734"/>
      <c r="O36" s="734"/>
      <c r="P36" s="734"/>
      <c r="Q36" s="734"/>
      <c r="R36" s="734"/>
      <c r="S36" s="735"/>
      <c r="T36" s="735"/>
      <c r="U36" s="735"/>
      <c r="V36" s="735"/>
      <c r="W36" s="735"/>
      <c r="X36" s="735"/>
    </row>
    <row r="37" spans="1:24" ht="21" customHeight="1">
      <c r="B37" s="720"/>
      <c r="C37" s="720"/>
      <c r="D37" s="720"/>
      <c r="E37" s="720"/>
      <c r="F37" s="720"/>
      <c r="G37" s="720"/>
      <c r="H37" s="720"/>
      <c r="I37" s="2396" t="s">
        <v>851</v>
      </c>
      <c r="J37" s="2396"/>
      <c r="K37" s="2396"/>
      <c r="L37" s="2396"/>
      <c r="M37" s="2396"/>
      <c r="N37" s="2396"/>
      <c r="O37" s="2396"/>
      <c r="P37" s="2396"/>
      <c r="Q37" s="720"/>
      <c r="R37" s="720"/>
      <c r="S37" s="720"/>
      <c r="T37" s="720"/>
      <c r="U37" s="720"/>
      <c r="V37" s="720"/>
      <c r="W37" s="720"/>
      <c r="X37" s="720"/>
    </row>
    <row r="38" spans="1:24" ht="12" customHeight="1">
      <c r="A38" s="697"/>
      <c r="B38" s="698"/>
      <c r="C38" s="698"/>
      <c r="D38" s="698"/>
      <c r="E38" s="698"/>
      <c r="F38" s="698"/>
      <c r="G38" s="698"/>
      <c r="H38" s="698"/>
      <c r="I38" s="698"/>
      <c r="J38" s="698"/>
      <c r="K38" s="698"/>
      <c r="L38" s="698"/>
      <c r="M38" s="698"/>
      <c r="N38" s="698"/>
      <c r="O38" s="698"/>
      <c r="P38" s="698"/>
      <c r="Q38" s="698"/>
      <c r="R38" s="698"/>
      <c r="S38" s="698"/>
      <c r="T38" s="698"/>
      <c r="U38" s="698"/>
      <c r="V38" s="698"/>
      <c r="W38" s="698"/>
      <c r="X38" s="698"/>
    </row>
    <row r="39" spans="1:24" s="699" customFormat="1" ht="21" customHeight="1">
      <c r="A39" s="2414" t="s">
        <v>847</v>
      </c>
      <c r="B39" s="2414"/>
      <c r="C39" s="2414"/>
      <c r="D39" s="2414"/>
      <c r="E39" s="2414"/>
      <c r="F39" s="2414"/>
      <c r="G39" s="2438" t="s">
        <v>837</v>
      </c>
      <c r="H39" s="2438"/>
      <c r="I39" s="2438"/>
      <c r="J39" s="2438"/>
      <c r="K39" s="2438"/>
      <c r="L39" s="2438"/>
      <c r="M39" s="2438" t="s">
        <v>848</v>
      </c>
      <c r="N39" s="2438"/>
      <c r="O39" s="2438"/>
      <c r="P39" s="2438"/>
      <c r="Q39" s="2438"/>
      <c r="R39" s="2438"/>
      <c r="S39" s="2417" t="s">
        <v>838</v>
      </c>
      <c r="T39" s="2417"/>
      <c r="U39" s="2417"/>
      <c r="V39" s="2417"/>
      <c r="W39" s="2417"/>
      <c r="X39" s="2417"/>
    </row>
    <row r="40" spans="1:24" s="699" customFormat="1" ht="9" customHeight="1">
      <c r="A40" s="700"/>
      <c r="B40" s="701"/>
      <c r="C40" s="701"/>
      <c r="D40" s="701"/>
      <c r="E40" s="701"/>
      <c r="F40" s="702"/>
      <c r="G40" s="703"/>
      <c r="H40" s="701"/>
      <c r="I40" s="701"/>
      <c r="J40" s="701"/>
      <c r="K40" s="701"/>
      <c r="L40" s="704" t="s">
        <v>551</v>
      </c>
      <c r="M40" s="703"/>
      <c r="N40" s="701"/>
      <c r="O40" s="701"/>
      <c r="P40" s="701"/>
      <c r="Q40" s="701"/>
      <c r="R40" s="726"/>
      <c r="S40" s="703"/>
      <c r="T40" s="701"/>
      <c r="U40" s="701"/>
      <c r="V40" s="701"/>
      <c r="W40" s="701"/>
      <c r="X40" s="705"/>
    </row>
    <row r="41" spans="1:24" s="699" customFormat="1" ht="24" customHeight="1">
      <c r="A41" s="2442" t="s">
        <v>125</v>
      </c>
      <c r="B41" s="2442"/>
      <c r="C41" s="2442"/>
      <c r="D41" s="2442"/>
      <c r="E41" s="2442"/>
      <c r="F41" s="2442"/>
      <c r="G41" s="3105">
        <v>129211081</v>
      </c>
      <c r="H41" s="3106"/>
      <c r="I41" s="3106"/>
      <c r="J41" s="3106"/>
      <c r="K41" s="3106"/>
      <c r="L41" s="706"/>
      <c r="M41" s="2445" t="s">
        <v>1045</v>
      </c>
      <c r="N41" s="2445"/>
      <c r="O41" s="2445"/>
      <c r="P41" s="2445"/>
      <c r="Q41" s="2445"/>
      <c r="R41" s="2445"/>
      <c r="S41" s="2973" t="s">
        <v>1120</v>
      </c>
      <c r="T41" s="2973"/>
      <c r="U41" s="2973"/>
      <c r="V41" s="2973"/>
      <c r="W41" s="2973"/>
      <c r="X41" s="2973"/>
    </row>
    <row r="42" spans="1:24" s="699" customFormat="1" ht="24" hidden="1" customHeight="1">
      <c r="A42" s="2971" t="s">
        <v>147</v>
      </c>
      <c r="B42" s="2971"/>
      <c r="C42" s="2971"/>
      <c r="D42" s="2971"/>
      <c r="E42" s="2971"/>
      <c r="F42" s="2971"/>
      <c r="G42" s="2475"/>
      <c r="H42" s="2475"/>
      <c r="I42" s="2475"/>
      <c r="J42" s="2475"/>
      <c r="K42" s="2475"/>
      <c r="L42" s="831"/>
      <c r="M42" s="2972" t="s">
        <v>1121</v>
      </c>
      <c r="N42" s="2972"/>
      <c r="O42" s="2972"/>
      <c r="P42" s="2972"/>
      <c r="Q42" s="2972"/>
      <c r="R42" s="2972"/>
      <c r="S42" s="2973" t="s">
        <v>1122</v>
      </c>
      <c r="T42" s="2973"/>
      <c r="U42" s="2973"/>
      <c r="V42" s="2973"/>
      <c r="W42" s="2973"/>
      <c r="X42" s="2973"/>
    </row>
    <row r="43" spans="1:24" s="699" customFormat="1" ht="24" customHeight="1">
      <c r="A43" s="2404" t="s">
        <v>460</v>
      </c>
      <c r="B43" s="2404"/>
      <c r="C43" s="2404"/>
      <c r="D43" s="2404"/>
      <c r="E43" s="2404"/>
      <c r="F43" s="2404"/>
      <c r="G43" s="2454">
        <f>SUM(G41:K42)</f>
        <v>129211081</v>
      </c>
      <c r="H43" s="2454"/>
      <c r="I43" s="2454"/>
      <c r="J43" s="2454"/>
      <c r="K43" s="2454"/>
      <c r="L43" s="731"/>
      <c r="M43" s="2455"/>
      <c r="N43" s="2455"/>
      <c r="O43" s="2455"/>
      <c r="P43" s="2455"/>
      <c r="Q43" s="2455"/>
      <c r="R43" s="2455"/>
      <c r="S43" s="2456"/>
      <c r="T43" s="2456"/>
      <c r="U43" s="2456"/>
      <c r="V43" s="2456"/>
      <c r="W43" s="2456"/>
      <c r="X43" s="2456"/>
    </row>
    <row r="44" spans="1:24" s="699" customFormat="1" ht="22.5" hidden="1" customHeight="1">
      <c r="A44" s="732"/>
      <c r="B44" s="732"/>
      <c r="C44" s="732"/>
      <c r="D44" s="732"/>
      <c r="E44" s="732"/>
      <c r="F44" s="732"/>
      <c r="G44" s="290"/>
      <c r="H44" s="290"/>
      <c r="I44" s="290"/>
      <c r="J44" s="290"/>
      <c r="K44" s="290"/>
      <c r="L44" s="733"/>
      <c r="M44" s="734"/>
      <c r="N44" s="734"/>
      <c r="O44" s="734"/>
      <c r="P44" s="734"/>
      <c r="Q44" s="734"/>
      <c r="R44" s="734"/>
      <c r="S44" s="735"/>
      <c r="T44" s="735"/>
      <c r="U44" s="735"/>
      <c r="V44" s="735"/>
      <c r="W44" s="735"/>
      <c r="X44" s="735"/>
    </row>
    <row r="45" spans="1:24" s="699" customFormat="1" ht="22.5" customHeight="1">
      <c r="A45" s="732"/>
      <c r="B45" s="732"/>
      <c r="C45" s="732"/>
      <c r="D45" s="732"/>
      <c r="E45" s="732"/>
      <c r="F45" s="732"/>
      <c r="G45" s="290"/>
      <c r="H45" s="290"/>
      <c r="I45" s="290"/>
      <c r="J45" s="290"/>
      <c r="K45" s="290"/>
      <c r="L45" s="733"/>
      <c r="M45" s="734"/>
      <c r="N45" s="734"/>
      <c r="O45" s="734"/>
      <c r="P45" s="734"/>
      <c r="Q45" s="734"/>
      <c r="R45" s="734"/>
      <c r="S45" s="735"/>
      <c r="T45" s="735"/>
      <c r="U45" s="735"/>
      <c r="V45" s="735"/>
      <c r="W45" s="735"/>
      <c r="X45" s="735"/>
    </row>
    <row r="46" spans="1:24" ht="21" customHeight="1">
      <c r="B46" s="720"/>
      <c r="C46" s="720"/>
      <c r="D46" s="720"/>
      <c r="E46" s="720"/>
      <c r="F46" s="720"/>
      <c r="G46" s="720"/>
      <c r="H46" s="720"/>
      <c r="I46" s="2396" t="s">
        <v>855</v>
      </c>
      <c r="J46" s="2396"/>
      <c r="K46" s="2396"/>
      <c r="L46" s="2396"/>
      <c r="M46" s="2396"/>
      <c r="N46" s="2396"/>
      <c r="O46" s="2396"/>
      <c r="P46" s="2396"/>
      <c r="Q46" s="720"/>
      <c r="R46" s="720"/>
      <c r="S46" s="720"/>
      <c r="T46" s="720"/>
      <c r="U46" s="720"/>
      <c r="V46" s="736"/>
      <c r="W46" s="736"/>
      <c r="X46" s="736"/>
    </row>
    <row r="47" spans="1:24" ht="12" customHeight="1">
      <c r="B47" s="720"/>
      <c r="C47" s="720"/>
      <c r="D47" s="720"/>
      <c r="E47" s="720"/>
      <c r="F47" s="720"/>
      <c r="G47" s="720"/>
      <c r="H47" s="720"/>
      <c r="I47" s="584"/>
      <c r="J47" s="584"/>
      <c r="K47" s="584"/>
      <c r="L47" s="584"/>
      <c r="M47" s="584"/>
      <c r="N47" s="584"/>
      <c r="O47" s="584"/>
      <c r="P47" s="584"/>
      <c r="Q47" s="720"/>
      <c r="R47" s="720"/>
      <c r="S47" s="720"/>
      <c r="T47" s="720"/>
      <c r="U47" s="720"/>
      <c r="V47" s="736"/>
      <c r="W47" s="736"/>
      <c r="X47" s="736"/>
    </row>
    <row r="48" spans="1:24" ht="21" customHeight="1">
      <c r="A48" s="2414" t="s">
        <v>847</v>
      </c>
      <c r="B48" s="2414"/>
      <c r="C48" s="2414"/>
      <c r="D48" s="2414"/>
      <c r="E48" s="2414"/>
      <c r="F48" s="2414"/>
      <c r="G48" s="2438" t="s">
        <v>837</v>
      </c>
      <c r="H48" s="2438"/>
      <c r="I48" s="2438"/>
      <c r="J48" s="2438"/>
      <c r="K48" s="2438"/>
      <c r="L48" s="2438"/>
      <c r="M48" s="2438" t="s">
        <v>848</v>
      </c>
      <c r="N48" s="2438"/>
      <c r="O48" s="2438"/>
      <c r="P48" s="2438"/>
      <c r="Q48" s="2438"/>
      <c r="R48" s="2438"/>
      <c r="S48" s="2417" t="s">
        <v>838</v>
      </c>
      <c r="T48" s="2417"/>
      <c r="U48" s="2417"/>
      <c r="V48" s="2417"/>
      <c r="W48" s="2417"/>
      <c r="X48" s="2417"/>
    </row>
    <row r="49" spans="1:24" ht="9" customHeight="1">
      <c r="A49" s="700"/>
      <c r="B49" s="701"/>
      <c r="C49" s="701"/>
      <c r="D49" s="701"/>
      <c r="E49" s="701"/>
      <c r="F49" s="702"/>
      <c r="G49" s="703"/>
      <c r="H49" s="701"/>
      <c r="I49" s="701"/>
      <c r="J49" s="701"/>
      <c r="K49" s="701"/>
      <c r="L49" s="704" t="s">
        <v>551</v>
      </c>
      <c r="M49" s="703"/>
      <c r="N49" s="701"/>
      <c r="O49" s="701"/>
      <c r="P49" s="701"/>
      <c r="Q49" s="701"/>
      <c r="R49" s="726"/>
      <c r="S49" s="703"/>
      <c r="T49" s="701"/>
      <c r="U49" s="701"/>
      <c r="V49" s="701"/>
      <c r="W49" s="701"/>
      <c r="X49" s="705"/>
    </row>
    <row r="50" spans="1:24" s="699" customFormat="1" ht="26.25" customHeight="1">
      <c r="A50" s="2442" t="s">
        <v>129</v>
      </c>
      <c r="B50" s="2442"/>
      <c r="C50" s="2442"/>
      <c r="D50" s="2442"/>
      <c r="E50" s="2442"/>
      <c r="F50" s="2442"/>
      <c r="G50" s="3105">
        <v>170769925</v>
      </c>
      <c r="H50" s="3106"/>
      <c r="I50" s="3106"/>
      <c r="J50" s="3106"/>
      <c r="K50" s="3106"/>
      <c r="L50" s="1553"/>
      <c r="M50" s="2966" t="s">
        <v>1123</v>
      </c>
      <c r="N50" s="2966"/>
      <c r="O50" s="2966"/>
      <c r="P50" s="2966"/>
      <c r="Q50" s="2966"/>
      <c r="R50" s="2966"/>
      <c r="S50" s="2969" t="s">
        <v>1124</v>
      </c>
      <c r="T50" s="2969"/>
      <c r="U50" s="2969"/>
      <c r="V50" s="2969"/>
      <c r="W50" s="2969"/>
      <c r="X50" s="2969"/>
    </row>
    <row r="51" spans="1:24" s="699" customFormat="1" ht="26.25" customHeight="1">
      <c r="A51" s="2442" t="s">
        <v>149</v>
      </c>
      <c r="B51" s="2442"/>
      <c r="C51" s="2442"/>
      <c r="D51" s="2442"/>
      <c r="E51" s="2442"/>
      <c r="F51" s="2442"/>
      <c r="G51" s="3105">
        <v>3896573</v>
      </c>
      <c r="H51" s="3106"/>
      <c r="I51" s="3106"/>
      <c r="J51" s="3106"/>
      <c r="K51" s="3106"/>
      <c r="L51" s="831"/>
      <c r="M51" s="2968" t="s">
        <v>1123</v>
      </c>
      <c r="N51" s="2968"/>
      <c r="O51" s="2968"/>
      <c r="P51" s="2968"/>
      <c r="Q51" s="2968"/>
      <c r="R51" s="2968"/>
      <c r="S51" s="2970" t="s">
        <v>1125</v>
      </c>
      <c r="T51" s="2970"/>
      <c r="U51" s="2970"/>
      <c r="V51" s="2970"/>
      <c r="W51" s="2970"/>
      <c r="X51" s="2970"/>
    </row>
    <row r="52" spans="1:24" s="699" customFormat="1" ht="26.25" customHeight="1">
      <c r="A52" s="2442" t="s">
        <v>131</v>
      </c>
      <c r="B52" s="2442"/>
      <c r="C52" s="2442"/>
      <c r="D52" s="2442"/>
      <c r="E52" s="2442"/>
      <c r="F52" s="2442"/>
      <c r="G52" s="3105">
        <v>30544</v>
      </c>
      <c r="H52" s="3106"/>
      <c r="I52" s="3106"/>
      <c r="J52" s="3106"/>
      <c r="K52" s="3106"/>
      <c r="L52" s="831"/>
      <c r="M52" s="2966" t="s">
        <v>1126</v>
      </c>
      <c r="N52" s="2966"/>
      <c r="O52" s="2966"/>
      <c r="P52" s="2966"/>
      <c r="Q52" s="2966"/>
      <c r="R52" s="2966"/>
      <c r="S52" s="2797" t="s">
        <v>1127</v>
      </c>
      <c r="T52" s="2797"/>
      <c r="U52" s="2797"/>
      <c r="V52" s="2797"/>
      <c r="W52" s="2797"/>
      <c r="X52" s="2797"/>
    </row>
    <row r="53" spans="1:24" s="699" customFormat="1" ht="26.25" hidden="1" customHeight="1" outlineLevel="1">
      <c r="A53" s="2442" t="s">
        <v>150</v>
      </c>
      <c r="B53" s="2442"/>
      <c r="C53" s="2442"/>
      <c r="D53" s="2442"/>
      <c r="E53" s="2442"/>
      <c r="F53" s="2442"/>
      <c r="G53" s="2465">
        <v>0</v>
      </c>
      <c r="H53" s="2466"/>
      <c r="I53" s="2466"/>
      <c r="J53" s="2466"/>
      <c r="K53" s="2466"/>
      <c r="L53" s="831"/>
      <c r="M53" s="2968" t="s">
        <v>1128</v>
      </c>
      <c r="N53" s="2968"/>
      <c r="O53" s="2968"/>
      <c r="P53" s="2968"/>
      <c r="Q53" s="2968"/>
      <c r="R53" s="2968"/>
      <c r="S53" s="2797" t="s">
        <v>1129</v>
      </c>
      <c r="T53" s="2797"/>
      <c r="U53" s="2797"/>
      <c r="V53" s="2797"/>
      <c r="W53" s="2797"/>
      <c r="X53" s="2797"/>
    </row>
    <row r="54" spans="1:24" s="699" customFormat="1" ht="26.25" customHeight="1">
      <c r="A54" s="2442" t="s">
        <v>133</v>
      </c>
      <c r="B54" s="2442"/>
      <c r="C54" s="2442"/>
      <c r="D54" s="2442"/>
      <c r="E54" s="2442"/>
      <c r="F54" s="2442"/>
      <c r="G54" s="3105">
        <v>252450</v>
      </c>
      <c r="H54" s="3106"/>
      <c r="I54" s="3106"/>
      <c r="J54" s="3106"/>
      <c r="K54" s="3106"/>
      <c r="L54" s="831"/>
      <c r="M54" s="2966" t="s">
        <v>1130</v>
      </c>
      <c r="N54" s="2966"/>
      <c r="O54" s="2966"/>
      <c r="P54" s="2966"/>
      <c r="Q54" s="2966"/>
      <c r="R54" s="2966"/>
      <c r="S54" s="2797" t="s">
        <v>1131</v>
      </c>
      <c r="T54" s="2797"/>
      <c r="U54" s="2797"/>
      <c r="V54" s="2797"/>
      <c r="W54" s="2797"/>
      <c r="X54" s="2797"/>
    </row>
    <row r="55" spans="1:24" s="699" customFormat="1" ht="26.25" hidden="1" customHeight="1" outlineLevel="1">
      <c r="A55" s="2442" t="s">
        <v>135</v>
      </c>
      <c r="B55" s="2442"/>
      <c r="C55" s="2442"/>
      <c r="D55" s="2442"/>
      <c r="E55" s="2442"/>
      <c r="F55" s="2442"/>
      <c r="G55" s="2466"/>
      <c r="H55" s="2466"/>
      <c r="I55" s="2466"/>
      <c r="J55" s="2466"/>
      <c r="K55" s="2466"/>
      <c r="L55" s="831"/>
      <c r="M55" s="2966" t="s">
        <v>1132</v>
      </c>
      <c r="N55" s="2966"/>
      <c r="O55" s="2966"/>
      <c r="P55" s="2966"/>
      <c r="Q55" s="2966"/>
      <c r="R55" s="2966"/>
      <c r="S55" s="2797" t="s">
        <v>1133</v>
      </c>
      <c r="T55" s="2797"/>
      <c r="U55" s="2797"/>
      <c r="V55" s="2797"/>
      <c r="W55" s="2797"/>
      <c r="X55" s="2797"/>
    </row>
    <row r="56" spans="1:24" s="699" customFormat="1" ht="26.25" customHeight="1">
      <c r="A56" s="2442" t="s">
        <v>151</v>
      </c>
      <c r="B56" s="2442"/>
      <c r="C56" s="2442"/>
      <c r="D56" s="2442"/>
      <c r="E56" s="2442"/>
      <c r="F56" s="2442"/>
      <c r="G56" s="3105">
        <v>5274</v>
      </c>
      <c r="H56" s="3106"/>
      <c r="I56" s="3106"/>
      <c r="J56" s="3106"/>
      <c r="K56" s="3106"/>
      <c r="L56" s="831"/>
      <c r="M56" s="2445" t="s">
        <v>1134</v>
      </c>
      <c r="N56" s="2445"/>
      <c r="O56" s="2445"/>
      <c r="P56" s="2445"/>
      <c r="Q56" s="2445"/>
      <c r="R56" s="2445"/>
      <c r="S56" s="3173" t="s">
        <v>1135</v>
      </c>
      <c r="T56" s="3173"/>
      <c r="U56" s="3173"/>
      <c r="V56" s="3173"/>
      <c r="W56" s="3173"/>
      <c r="X56" s="3173"/>
    </row>
    <row r="57" spans="1:24" s="699" customFormat="1" ht="26.25" customHeight="1">
      <c r="A57" s="2442" t="s">
        <v>137</v>
      </c>
      <c r="B57" s="2442"/>
      <c r="C57" s="2442"/>
      <c r="D57" s="2442"/>
      <c r="E57" s="2442"/>
      <c r="F57" s="2442"/>
      <c r="G57" s="3105">
        <v>286501</v>
      </c>
      <c r="H57" s="3106"/>
      <c r="I57" s="3106"/>
      <c r="J57" s="3106"/>
      <c r="K57" s="3106"/>
      <c r="L57" s="1554"/>
      <c r="M57" s="2445" t="s">
        <v>1136</v>
      </c>
      <c r="N57" s="2445"/>
      <c r="O57" s="2445"/>
      <c r="P57" s="2445"/>
      <c r="Q57" s="2445"/>
      <c r="R57" s="2445"/>
      <c r="S57" s="2965" t="s">
        <v>1137</v>
      </c>
      <c r="T57" s="2965"/>
      <c r="U57" s="2965"/>
      <c r="V57" s="2965"/>
      <c r="W57" s="2965"/>
      <c r="X57" s="2965"/>
    </row>
    <row r="58" spans="1:24" s="699" customFormat="1" ht="26.25" customHeight="1">
      <c r="A58" s="2442" t="s">
        <v>125</v>
      </c>
      <c r="B58" s="2442"/>
      <c r="C58" s="2442"/>
      <c r="D58" s="2442"/>
      <c r="E58" s="2442"/>
      <c r="F58" s="2442"/>
      <c r="G58" s="3105">
        <v>19020</v>
      </c>
      <c r="H58" s="3106"/>
      <c r="I58" s="3106"/>
      <c r="J58" s="3106"/>
      <c r="K58" s="3106"/>
      <c r="L58" s="1554"/>
      <c r="M58" s="2445" t="s">
        <v>1138</v>
      </c>
      <c r="N58" s="2445"/>
      <c r="O58" s="2445"/>
      <c r="P58" s="2445"/>
      <c r="Q58" s="2445"/>
      <c r="R58" s="2445"/>
      <c r="S58" s="2965" t="s">
        <v>1139</v>
      </c>
      <c r="T58" s="2965"/>
      <c r="U58" s="2965"/>
      <c r="V58" s="2965"/>
      <c r="W58" s="2965"/>
      <c r="X58" s="2965"/>
    </row>
    <row r="59" spans="1:24" s="699" customFormat="1" ht="26.25" hidden="1" customHeight="1" outlineLevel="1">
      <c r="A59" s="2442" t="s">
        <v>125</v>
      </c>
      <c r="B59" s="2442"/>
      <c r="C59" s="2442"/>
      <c r="D59" s="2442"/>
      <c r="E59" s="2442"/>
      <c r="F59" s="2442"/>
      <c r="G59" s="2465">
        <v>0</v>
      </c>
      <c r="H59" s="2466"/>
      <c r="I59" s="2466"/>
      <c r="J59" s="2466"/>
      <c r="K59" s="2466"/>
      <c r="L59" s="830"/>
      <c r="M59" s="2445" t="s">
        <v>1140</v>
      </c>
      <c r="N59" s="2445"/>
      <c r="O59" s="2445"/>
      <c r="P59" s="2445"/>
      <c r="Q59" s="2445"/>
      <c r="R59" s="2445"/>
      <c r="S59" s="2965" t="s">
        <v>1141</v>
      </c>
      <c r="T59" s="2965"/>
      <c r="U59" s="2965"/>
      <c r="V59" s="2965"/>
      <c r="W59" s="2965"/>
      <c r="X59" s="2965"/>
    </row>
    <row r="60" spans="1:24" s="699" customFormat="1" ht="26.25" hidden="1" customHeight="1" outlineLevel="1">
      <c r="A60" s="2442" t="s">
        <v>138</v>
      </c>
      <c r="B60" s="2442"/>
      <c r="C60" s="2442"/>
      <c r="D60" s="2442"/>
      <c r="E60" s="2442"/>
      <c r="F60" s="2442"/>
      <c r="G60" s="2465">
        <v>0</v>
      </c>
      <c r="H60" s="2466"/>
      <c r="I60" s="2466"/>
      <c r="J60" s="2466"/>
      <c r="K60" s="2466"/>
      <c r="L60" s="831"/>
      <c r="M60" s="2445" t="s">
        <v>1142</v>
      </c>
      <c r="N60" s="2445"/>
      <c r="O60" s="2445"/>
      <c r="P60" s="2445"/>
      <c r="Q60" s="2445"/>
      <c r="R60" s="2445"/>
      <c r="S60" s="2797" t="s">
        <v>1143</v>
      </c>
      <c r="T60" s="2797"/>
      <c r="U60" s="2797"/>
      <c r="V60" s="2797"/>
      <c r="W60" s="2797"/>
      <c r="X60" s="2797"/>
    </row>
    <row r="61" spans="1:24" s="699" customFormat="1" ht="26.25" customHeight="1">
      <c r="A61" s="2404" t="s">
        <v>460</v>
      </c>
      <c r="B61" s="2404"/>
      <c r="C61" s="2404"/>
      <c r="D61" s="2404"/>
      <c r="E61" s="2404"/>
      <c r="F61" s="2404"/>
      <c r="G61" s="2447">
        <f>SUM(G50:K60)</f>
        <v>175260287</v>
      </c>
      <c r="H61" s="2447"/>
      <c r="I61" s="2447"/>
      <c r="J61" s="2447"/>
      <c r="K61" s="2447"/>
      <c r="L61" s="728"/>
      <c r="M61" s="2448"/>
      <c r="N61" s="2448"/>
      <c r="O61" s="2448"/>
      <c r="P61" s="2448"/>
      <c r="Q61" s="2448"/>
      <c r="R61" s="2448"/>
      <c r="S61" s="2964"/>
      <c r="T61" s="2964"/>
      <c r="U61" s="2964"/>
      <c r="V61" s="2964"/>
      <c r="W61" s="2964"/>
      <c r="X61" s="2964"/>
    </row>
    <row r="62" spans="1:24" s="699" customFormat="1" ht="45" customHeight="1">
      <c r="A62" s="732"/>
      <c r="B62" s="732"/>
      <c r="C62" s="732"/>
      <c r="D62" s="732"/>
      <c r="E62" s="732"/>
      <c r="F62" s="732"/>
      <c r="G62" s="290"/>
      <c r="H62" s="290"/>
      <c r="I62" s="290"/>
      <c r="J62" s="290"/>
      <c r="K62" s="290"/>
      <c r="L62" s="733"/>
      <c r="M62" s="734"/>
      <c r="N62" s="734"/>
      <c r="O62" s="734"/>
      <c r="P62" s="734"/>
      <c r="Q62" s="734"/>
      <c r="R62" s="734"/>
      <c r="S62" s="1551"/>
      <c r="T62" s="1551"/>
      <c r="U62" s="1551"/>
      <c r="V62" s="1551"/>
      <c r="W62" s="1551"/>
      <c r="X62" s="1551"/>
    </row>
    <row r="63" spans="1:24" ht="21" hidden="1" customHeight="1">
      <c r="I63" s="2396" t="s">
        <v>1047</v>
      </c>
      <c r="J63" s="2396"/>
      <c r="K63" s="2396"/>
      <c r="L63" s="2396"/>
      <c r="M63" s="2396"/>
      <c r="N63" s="2396"/>
      <c r="O63" s="2396"/>
      <c r="P63" s="2396"/>
      <c r="Q63" s="2477"/>
      <c r="R63" s="2477"/>
      <c r="S63" s="2477"/>
      <c r="T63" s="2477"/>
      <c r="U63" s="2477"/>
      <c r="V63" s="2477"/>
      <c r="W63" s="2477"/>
      <c r="X63" s="2477"/>
    </row>
    <row r="64" spans="1:24" ht="9.75" hidden="1" customHeight="1">
      <c r="A64" s="697"/>
      <c r="B64" s="698"/>
      <c r="C64" s="698"/>
      <c r="D64" s="698"/>
      <c r="E64" s="698"/>
      <c r="F64" s="698"/>
      <c r="G64" s="698"/>
      <c r="H64" s="698"/>
      <c r="I64" s="698"/>
      <c r="J64" s="698"/>
      <c r="K64" s="698"/>
      <c r="L64" s="698"/>
      <c r="M64" s="698"/>
      <c r="N64" s="698"/>
      <c r="O64" s="698"/>
      <c r="P64" s="698"/>
      <c r="Q64" s="698"/>
      <c r="R64" s="698"/>
      <c r="S64" s="698"/>
      <c r="T64" s="698"/>
      <c r="U64" s="698"/>
      <c r="V64" s="698"/>
      <c r="W64" s="698"/>
      <c r="X64" s="698"/>
    </row>
    <row r="65" spans="1:24" s="699" customFormat="1" ht="21" hidden="1" customHeight="1">
      <c r="A65" s="2414" t="s">
        <v>847</v>
      </c>
      <c r="B65" s="2414"/>
      <c r="C65" s="2414"/>
      <c r="D65" s="2414"/>
      <c r="E65" s="2414"/>
      <c r="F65" s="2414"/>
      <c r="G65" s="2438" t="s">
        <v>837</v>
      </c>
      <c r="H65" s="2438"/>
      <c r="I65" s="2438"/>
      <c r="J65" s="2438"/>
      <c r="K65" s="2438"/>
      <c r="L65" s="2438"/>
      <c r="M65" s="2438" t="s">
        <v>848</v>
      </c>
      <c r="N65" s="2438"/>
      <c r="O65" s="2438"/>
      <c r="P65" s="2438"/>
      <c r="Q65" s="2438"/>
      <c r="R65" s="2438"/>
      <c r="S65" s="2417" t="s">
        <v>838</v>
      </c>
      <c r="T65" s="2417"/>
      <c r="U65" s="2417"/>
      <c r="V65" s="2417"/>
      <c r="W65" s="2417"/>
      <c r="X65" s="2417"/>
    </row>
    <row r="66" spans="1:24" s="699" customFormat="1" ht="9" hidden="1" customHeight="1">
      <c r="A66" s="700"/>
      <c r="B66" s="701"/>
      <c r="C66" s="701"/>
      <c r="D66" s="701"/>
      <c r="E66" s="701"/>
      <c r="F66" s="702"/>
      <c r="G66" s="703"/>
      <c r="H66" s="701"/>
      <c r="I66" s="701"/>
      <c r="J66" s="701"/>
      <c r="K66" s="701"/>
      <c r="L66" s="704" t="s">
        <v>551</v>
      </c>
      <c r="M66" s="703"/>
      <c r="N66" s="701"/>
      <c r="O66" s="701"/>
      <c r="P66" s="701"/>
      <c r="Q66" s="701"/>
      <c r="R66" s="726"/>
      <c r="S66" s="703"/>
      <c r="T66" s="701"/>
      <c r="U66" s="701"/>
      <c r="V66" s="701"/>
      <c r="W66" s="701"/>
      <c r="X66" s="705"/>
    </row>
    <row r="67" spans="1:24" s="699" customFormat="1" ht="26.25" hidden="1" customHeight="1">
      <c r="A67" s="2442" t="s">
        <v>137</v>
      </c>
      <c r="B67" s="2442"/>
      <c r="C67" s="2442"/>
      <c r="D67" s="2442"/>
      <c r="E67" s="2442"/>
      <c r="F67" s="2442"/>
      <c r="G67" s="2465">
        <v>0</v>
      </c>
      <c r="H67" s="2466"/>
      <c r="I67" s="2466"/>
      <c r="J67" s="2466"/>
      <c r="K67" s="2466"/>
      <c r="L67" s="831"/>
      <c r="M67" s="2445" t="s">
        <v>1144</v>
      </c>
      <c r="N67" s="2445"/>
      <c r="O67" s="2445"/>
      <c r="P67" s="2445"/>
      <c r="Q67" s="2445"/>
      <c r="R67" s="2445"/>
      <c r="S67" s="2797" t="str">
        <f>"保養所用土地賃借料　"&amp;"令和"&amp;TEXT((入力ガイド!$C$6-1),"0")&amp;"年度"&amp;"後期分"</f>
        <v>保養所用土地賃借料　令和6年度後期分</v>
      </c>
      <c r="T67" s="2797"/>
      <c r="U67" s="2797"/>
      <c r="V67" s="2797"/>
      <c r="W67" s="2797"/>
      <c r="X67" s="2797"/>
    </row>
    <row r="68" spans="1:24" s="699" customFormat="1" ht="26.25" hidden="1" customHeight="1">
      <c r="A68" s="2442"/>
      <c r="B68" s="2442"/>
      <c r="C68" s="2442"/>
      <c r="D68" s="2442"/>
      <c r="E68" s="2442"/>
      <c r="F68" s="2442"/>
      <c r="G68" s="2466"/>
      <c r="H68" s="2466"/>
      <c r="I68" s="2466"/>
      <c r="J68" s="2466"/>
      <c r="K68" s="2466"/>
      <c r="L68" s="831"/>
      <c r="M68" s="2445"/>
      <c r="N68" s="2445"/>
      <c r="O68" s="2445"/>
      <c r="P68" s="2445"/>
      <c r="Q68" s="2445"/>
      <c r="R68" s="2445"/>
      <c r="S68" s="2797"/>
      <c r="T68" s="2797"/>
      <c r="U68" s="2797"/>
      <c r="V68" s="2797"/>
      <c r="W68" s="2797"/>
      <c r="X68" s="2797"/>
    </row>
    <row r="69" spans="1:24" s="699" customFormat="1" ht="26.25" hidden="1" customHeight="1">
      <c r="A69" s="2442" t="s">
        <v>132</v>
      </c>
      <c r="B69" s="2442"/>
      <c r="C69" s="2442"/>
      <c r="D69" s="2442"/>
      <c r="E69" s="2442"/>
      <c r="F69" s="2442"/>
      <c r="G69" s="2466"/>
      <c r="H69" s="2466"/>
      <c r="I69" s="2466"/>
      <c r="J69" s="2466"/>
      <c r="K69" s="2466"/>
      <c r="L69" s="1555"/>
      <c r="M69" s="2445"/>
      <c r="N69" s="2445"/>
      <c r="O69" s="2445"/>
      <c r="P69" s="2445"/>
      <c r="Q69" s="2445"/>
      <c r="R69" s="2445"/>
      <c r="S69" s="2797"/>
      <c r="T69" s="2797"/>
      <c r="U69" s="2797"/>
      <c r="V69" s="2797"/>
      <c r="W69" s="2797"/>
      <c r="X69" s="2797"/>
    </row>
    <row r="70" spans="1:24" s="1544" customFormat="1" ht="26.25" hidden="1" customHeight="1">
      <c r="A70" s="2404" t="s">
        <v>460</v>
      </c>
      <c r="B70" s="2404"/>
      <c r="C70" s="2404"/>
      <c r="D70" s="2404"/>
      <c r="E70" s="2404"/>
      <c r="F70" s="2404"/>
      <c r="G70" s="2454">
        <f>SUM(G67:K69)</f>
        <v>0</v>
      </c>
      <c r="H70" s="2454"/>
      <c r="I70" s="2454"/>
      <c r="J70" s="2454"/>
      <c r="K70" s="2454"/>
      <c r="L70" s="731"/>
      <c r="M70" s="2798"/>
      <c r="N70" s="2798"/>
      <c r="O70" s="2798"/>
      <c r="P70" s="2798"/>
      <c r="Q70" s="2798"/>
      <c r="R70" s="2798"/>
      <c r="S70" s="2470"/>
      <c r="T70" s="2470"/>
      <c r="U70" s="2470"/>
      <c r="V70" s="2470"/>
      <c r="W70" s="2470"/>
      <c r="X70" s="2470"/>
    </row>
    <row r="71" spans="1:24" s="699" customFormat="1" ht="45" hidden="1" customHeight="1">
      <c r="A71" s="732"/>
      <c r="B71" s="732"/>
      <c r="C71" s="732"/>
      <c r="D71" s="732"/>
      <c r="E71" s="732"/>
      <c r="F71" s="732"/>
      <c r="G71" s="290"/>
      <c r="H71" s="290"/>
      <c r="I71" s="290"/>
      <c r="J71" s="290"/>
      <c r="K71" s="290"/>
      <c r="L71" s="733"/>
      <c r="M71" s="734"/>
      <c r="N71" s="734"/>
      <c r="O71" s="734"/>
      <c r="P71" s="734"/>
      <c r="Q71" s="734"/>
      <c r="R71" s="734"/>
      <c r="S71" s="1551"/>
      <c r="T71" s="1551"/>
      <c r="U71" s="1551"/>
      <c r="V71" s="1551"/>
      <c r="W71" s="1551"/>
      <c r="X71" s="1551"/>
    </row>
    <row r="72" spans="1:24" s="699" customFormat="1" ht="21" customHeight="1">
      <c r="A72" s="696"/>
      <c r="B72" s="696"/>
      <c r="C72" s="696"/>
      <c r="D72" s="696"/>
      <c r="E72" s="696"/>
      <c r="F72" s="696"/>
      <c r="G72" s="696"/>
      <c r="H72" s="696"/>
      <c r="I72" s="2396" t="s">
        <v>1054</v>
      </c>
      <c r="J72" s="2396"/>
      <c r="K72" s="2396"/>
      <c r="L72" s="2396"/>
      <c r="M72" s="2396"/>
      <c r="N72" s="2396"/>
      <c r="O72" s="2396"/>
      <c r="P72" s="2396"/>
      <c r="Q72" s="2477"/>
      <c r="R72" s="2477"/>
      <c r="S72" s="2477"/>
      <c r="T72" s="2477"/>
      <c r="U72" s="2477"/>
      <c r="V72" s="2477"/>
      <c r="W72" s="2477"/>
      <c r="X72" s="2477"/>
    </row>
    <row r="73" spans="1:24" s="699" customFormat="1" ht="9.75" customHeight="1">
      <c r="A73" s="697"/>
      <c r="B73" s="698"/>
      <c r="C73" s="698"/>
      <c r="D73" s="698"/>
      <c r="E73" s="698"/>
      <c r="F73" s="698"/>
      <c r="G73" s="698"/>
      <c r="H73" s="698"/>
      <c r="I73" s="698"/>
      <c r="J73" s="698"/>
      <c r="K73" s="698"/>
      <c r="L73" s="698"/>
      <c r="M73" s="698"/>
      <c r="N73" s="698"/>
      <c r="O73" s="698"/>
      <c r="P73" s="698"/>
      <c r="Q73" s="698"/>
      <c r="R73" s="698"/>
      <c r="S73" s="698"/>
      <c r="T73" s="698"/>
      <c r="U73" s="698"/>
      <c r="V73" s="698"/>
      <c r="W73" s="698"/>
      <c r="X73" s="698"/>
    </row>
    <row r="74" spans="1:24" s="699" customFormat="1" ht="21" customHeight="1">
      <c r="A74" s="2414" t="s">
        <v>847</v>
      </c>
      <c r="B74" s="2414"/>
      <c r="C74" s="2414"/>
      <c r="D74" s="2414"/>
      <c r="E74" s="2414"/>
      <c r="F74" s="2414"/>
      <c r="G74" s="2438" t="s">
        <v>837</v>
      </c>
      <c r="H74" s="2438"/>
      <c r="I74" s="2438"/>
      <c r="J74" s="2438"/>
      <c r="K74" s="2438"/>
      <c r="L74" s="2438"/>
      <c r="M74" s="2438" t="s">
        <v>848</v>
      </c>
      <c r="N74" s="2438"/>
      <c r="O74" s="2438"/>
      <c r="P74" s="2438"/>
      <c r="Q74" s="2438"/>
      <c r="R74" s="2438"/>
      <c r="S74" s="2417" t="s">
        <v>838</v>
      </c>
      <c r="T74" s="2417"/>
      <c r="U74" s="2417"/>
      <c r="V74" s="2417"/>
      <c r="W74" s="2417"/>
      <c r="X74" s="2417"/>
    </row>
    <row r="75" spans="1:24" s="699" customFormat="1" ht="9" customHeight="1">
      <c r="A75" s="700"/>
      <c r="B75" s="701"/>
      <c r="C75" s="701"/>
      <c r="D75" s="701"/>
      <c r="E75" s="701"/>
      <c r="F75" s="702"/>
      <c r="G75" s="703"/>
      <c r="H75" s="701"/>
      <c r="I75" s="701"/>
      <c r="J75" s="701"/>
      <c r="K75" s="701"/>
      <c r="L75" s="704" t="s">
        <v>551</v>
      </c>
      <c r="M75" s="703"/>
      <c r="N75" s="701"/>
      <c r="O75" s="701"/>
      <c r="P75" s="701"/>
      <c r="Q75" s="701"/>
      <c r="R75" s="726"/>
      <c r="S75" s="703"/>
      <c r="T75" s="701"/>
      <c r="U75" s="701"/>
      <c r="V75" s="701"/>
      <c r="W75" s="701"/>
      <c r="X75" s="705"/>
    </row>
    <row r="76" spans="1:24" s="699" customFormat="1" ht="26.25" customHeight="1">
      <c r="A76" s="2442" t="s">
        <v>221</v>
      </c>
      <c r="B76" s="2442"/>
      <c r="C76" s="2442"/>
      <c r="D76" s="2442"/>
      <c r="E76" s="2442"/>
      <c r="F76" s="2442"/>
      <c r="G76" s="3105">
        <v>418825</v>
      </c>
      <c r="H76" s="3106"/>
      <c r="I76" s="3106"/>
      <c r="J76" s="3106"/>
      <c r="K76" s="3106"/>
      <c r="L76" s="831"/>
      <c r="M76" s="2445" t="s">
        <v>1145</v>
      </c>
      <c r="N76" s="2445"/>
      <c r="O76" s="2445"/>
      <c r="P76" s="2445"/>
      <c r="Q76" s="2445"/>
      <c r="R76" s="2445"/>
      <c r="S76" s="3174" t="str">
        <f>"広島市職員共済組合第3期ﾃﾞｰﾀﾍﾙｽ計画に基づく各種作成及び保健指導業務("&amp;"令和"&amp;TEXT((入力ガイド!$C$6),"0")&amp;"年度"&amp;"事業分）"</f>
        <v>広島市職員共済組合第3期ﾃﾞｰﾀﾍﾙｽ計画に基づく各種作成及び保健指導業務(令和7年度事業分）</v>
      </c>
      <c r="T76" s="3174"/>
      <c r="U76" s="3174"/>
      <c r="V76" s="3174"/>
      <c r="W76" s="3174"/>
      <c r="X76" s="3174"/>
    </row>
    <row r="77" spans="1:24" s="699" customFormat="1" ht="26.25" customHeight="1">
      <c r="A77" s="2442" t="s">
        <v>221</v>
      </c>
      <c r="B77" s="2442"/>
      <c r="C77" s="2442"/>
      <c r="D77" s="2442"/>
      <c r="E77" s="2442"/>
      <c r="F77" s="2442"/>
      <c r="G77" s="3105">
        <v>597025</v>
      </c>
      <c r="H77" s="3106"/>
      <c r="I77" s="3106"/>
      <c r="J77" s="3106"/>
      <c r="K77" s="3106"/>
      <c r="L77" s="831"/>
      <c r="M77" s="2445" t="s">
        <v>1145</v>
      </c>
      <c r="N77" s="2445"/>
      <c r="O77" s="2445"/>
      <c r="P77" s="2445"/>
      <c r="Q77" s="2445"/>
      <c r="R77" s="2445"/>
      <c r="S77" s="3174" t="str">
        <f>"広島市職員共済組合第3期ﾃﾞｰﾀﾍﾙｽ計画に基づく各種作成及び保健指導業務("&amp;"令和"&amp;TEXT((入力ガイド!$C$6+1),"0")&amp;"年度"&amp;"事業分)"</f>
        <v>広島市職員共済組合第3期ﾃﾞｰﾀﾍﾙｽ計画に基づく各種作成及び保健指導業務(令和8年度事業分)</v>
      </c>
      <c r="T77" s="3174"/>
      <c r="U77" s="3174"/>
      <c r="V77" s="3174"/>
      <c r="W77" s="3174"/>
      <c r="X77" s="3174"/>
    </row>
    <row r="78" spans="1:24" s="699" customFormat="1" ht="26.25" hidden="1" customHeight="1" outlineLevel="1">
      <c r="A78" s="2442" t="s">
        <v>221</v>
      </c>
      <c r="B78" s="2442"/>
      <c r="C78" s="2442"/>
      <c r="D78" s="2442"/>
      <c r="E78" s="2442"/>
      <c r="F78" s="2442"/>
      <c r="G78" s="2466"/>
      <c r="H78" s="2466"/>
      <c r="I78" s="2466"/>
      <c r="J78" s="2466"/>
      <c r="K78" s="2466"/>
      <c r="L78" s="831"/>
      <c r="M78" s="2963"/>
      <c r="N78" s="2963"/>
      <c r="O78" s="2963"/>
      <c r="P78" s="2963"/>
      <c r="Q78" s="2963"/>
      <c r="R78" s="2963"/>
      <c r="S78" s="2797"/>
      <c r="T78" s="2797"/>
      <c r="U78" s="2797"/>
      <c r="V78" s="2797"/>
      <c r="W78" s="2797"/>
      <c r="X78" s="2797"/>
    </row>
    <row r="79" spans="1:24" s="699" customFormat="1" ht="26.25" customHeight="1">
      <c r="A79" s="2404" t="s">
        <v>460</v>
      </c>
      <c r="B79" s="2404"/>
      <c r="C79" s="2404"/>
      <c r="D79" s="2404"/>
      <c r="E79" s="2404"/>
      <c r="F79" s="2404"/>
      <c r="G79" s="2447">
        <f>SUM(G76:K78)</f>
        <v>1015850</v>
      </c>
      <c r="H79" s="2447"/>
      <c r="I79" s="2447"/>
      <c r="J79" s="2447"/>
      <c r="K79" s="2447"/>
      <c r="L79" s="731"/>
      <c r="M79" s="2798"/>
      <c r="N79" s="2798"/>
      <c r="O79" s="2798"/>
      <c r="P79" s="2798"/>
      <c r="Q79" s="2798"/>
      <c r="R79" s="2798"/>
      <c r="S79" s="2470"/>
      <c r="T79" s="2470"/>
      <c r="U79" s="2470"/>
      <c r="V79" s="2470"/>
      <c r="W79" s="2470"/>
      <c r="X79" s="2470"/>
    </row>
    <row r="80" spans="1:24" s="699" customFormat="1" ht="45" customHeight="1">
      <c r="A80" s="732"/>
      <c r="B80" s="732"/>
      <c r="C80" s="732"/>
      <c r="D80" s="732"/>
      <c r="E80" s="732"/>
      <c r="F80" s="732"/>
      <c r="G80" s="290"/>
      <c r="H80" s="290"/>
      <c r="I80" s="290"/>
      <c r="J80" s="290"/>
      <c r="K80" s="290"/>
      <c r="L80" s="733"/>
      <c r="M80" s="734"/>
      <c r="N80" s="734"/>
      <c r="O80" s="734"/>
      <c r="P80" s="734"/>
      <c r="Q80" s="734"/>
      <c r="R80" s="734"/>
      <c r="S80" s="1551"/>
      <c r="T80" s="1551"/>
      <c r="U80" s="1551"/>
      <c r="V80" s="1551"/>
      <c r="W80" s="1551"/>
      <c r="X80" s="1551"/>
    </row>
    <row r="81" spans="1:24" ht="21" hidden="1" customHeight="1">
      <c r="I81" s="2396" t="s">
        <v>861</v>
      </c>
      <c r="J81" s="2396"/>
      <c r="K81" s="2396"/>
      <c r="L81" s="2396"/>
      <c r="M81" s="2396"/>
      <c r="N81" s="2396"/>
      <c r="O81" s="2396"/>
      <c r="P81" s="2396"/>
      <c r="Q81" s="2477"/>
      <c r="R81" s="2477"/>
      <c r="S81" s="2477"/>
      <c r="T81" s="2477"/>
      <c r="U81" s="2477"/>
      <c r="V81" s="2477"/>
      <c r="W81" s="2477"/>
      <c r="X81" s="2477"/>
    </row>
    <row r="82" spans="1:24" ht="9.75" hidden="1" customHeight="1">
      <c r="A82" s="697"/>
      <c r="B82" s="698"/>
      <c r="C82" s="698"/>
      <c r="D82" s="698"/>
      <c r="E82" s="698"/>
      <c r="F82" s="698"/>
      <c r="G82" s="698"/>
      <c r="H82" s="698"/>
      <c r="I82" s="698"/>
      <c r="J82" s="698"/>
      <c r="K82" s="698"/>
      <c r="L82" s="698"/>
      <c r="M82" s="698"/>
      <c r="N82" s="698"/>
      <c r="O82" s="698"/>
      <c r="P82" s="698"/>
      <c r="Q82" s="698"/>
      <c r="R82" s="698"/>
      <c r="S82" s="698"/>
      <c r="T82" s="698"/>
      <c r="U82" s="698"/>
      <c r="V82" s="698"/>
      <c r="W82" s="698"/>
      <c r="X82" s="698"/>
    </row>
    <row r="83" spans="1:24" s="699" customFormat="1" ht="21" hidden="1" customHeight="1">
      <c r="A83" s="2414" t="s">
        <v>847</v>
      </c>
      <c r="B83" s="2414"/>
      <c r="C83" s="2414"/>
      <c r="D83" s="2414"/>
      <c r="E83" s="2414"/>
      <c r="F83" s="2414"/>
      <c r="G83" s="2438" t="s">
        <v>837</v>
      </c>
      <c r="H83" s="2438"/>
      <c r="I83" s="2438"/>
      <c r="J83" s="2438"/>
      <c r="K83" s="2438"/>
      <c r="L83" s="2438"/>
      <c r="M83" s="2438" t="s">
        <v>848</v>
      </c>
      <c r="N83" s="2438"/>
      <c r="O83" s="2438"/>
      <c r="P83" s="2438"/>
      <c r="Q83" s="2438"/>
      <c r="R83" s="2438"/>
      <c r="S83" s="2417" t="s">
        <v>838</v>
      </c>
      <c r="T83" s="2417"/>
      <c r="U83" s="2417"/>
      <c r="V83" s="2417"/>
      <c r="W83" s="2417"/>
      <c r="X83" s="2417"/>
    </row>
    <row r="84" spans="1:24" s="699" customFormat="1" ht="9" hidden="1" customHeight="1">
      <c r="A84" s="700"/>
      <c r="B84" s="701"/>
      <c r="C84" s="701"/>
      <c r="D84" s="701"/>
      <c r="E84" s="701"/>
      <c r="F84" s="702"/>
      <c r="G84" s="703"/>
      <c r="H84" s="701"/>
      <c r="I84" s="701"/>
      <c r="J84" s="701"/>
      <c r="K84" s="701"/>
      <c r="L84" s="704" t="s">
        <v>551</v>
      </c>
      <c r="M84" s="703"/>
      <c r="N84" s="701"/>
      <c r="O84" s="701"/>
      <c r="P84" s="701"/>
      <c r="Q84" s="701"/>
      <c r="R84" s="726"/>
      <c r="S84" s="703"/>
      <c r="T84" s="701"/>
      <c r="U84" s="701"/>
      <c r="V84" s="701"/>
      <c r="W84" s="701"/>
      <c r="X84" s="705"/>
    </row>
    <row r="85" spans="1:24" s="699" customFormat="1" ht="26.25" hidden="1" customHeight="1">
      <c r="A85" s="2442" t="s">
        <v>147</v>
      </c>
      <c r="B85" s="2442"/>
      <c r="C85" s="2442"/>
      <c r="D85" s="2442"/>
      <c r="E85" s="2442"/>
      <c r="F85" s="2442"/>
      <c r="G85" s="2466"/>
      <c r="H85" s="2466"/>
      <c r="I85" s="2466"/>
      <c r="J85" s="2466"/>
      <c r="K85" s="2466"/>
      <c r="L85" s="831"/>
      <c r="M85" s="2445"/>
      <c r="N85" s="2445"/>
      <c r="O85" s="2445"/>
      <c r="P85" s="2445"/>
      <c r="Q85" s="2445"/>
      <c r="R85" s="2445"/>
      <c r="S85" s="2797"/>
      <c r="T85" s="2797"/>
      <c r="U85" s="2797"/>
      <c r="V85" s="2797"/>
      <c r="W85" s="2797"/>
      <c r="X85" s="2797"/>
    </row>
    <row r="86" spans="1:24" s="1544" customFormat="1" ht="26.25" hidden="1" customHeight="1">
      <c r="A86" s="2404" t="s">
        <v>460</v>
      </c>
      <c r="B86" s="2404"/>
      <c r="C86" s="2404"/>
      <c r="D86" s="2404"/>
      <c r="E86" s="2404"/>
      <c r="F86" s="2404"/>
      <c r="G86" s="2447">
        <f>SUM(G85:K85)</f>
        <v>0</v>
      </c>
      <c r="H86" s="2447"/>
      <c r="I86" s="2447"/>
      <c r="J86" s="2447"/>
      <c r="K86" s="2447"/>
      <c r="L86" s="731"/>
      <c r="M86" s="2798"/>
      <c r="N86" s="2798"/>
      <c r="O86" s="2798"/>
      <c r="P86" s="2798"/>
      <c r="Q86" s="2798"/>
      <c r="R86" s="2798"/>
      <c r="S86" s="2470"/>
      <c r="T86" s="2470"/>
      <c r="U86" s="2470"/>
      <c r="V86" s="2470"/>
      <c r="W86" s="2470"/>
      <c r="X86" s="2470"/>
    </row>
    <row r="87" spans="1:24" ht="45" hidden="1" customHeight="1">
      <c r="A87" s="732"/>
      <c r="B87" s="732"/>
      <c r="C87" s="732"/>
      <c r="D87" s="732"/>
      <c r="E87" s="732"/>
      <c r="F87" s="732"/>
      <c r="G87" s="290"/>
      <c r="H87" s="290"/>
      <c r="I87" s="290"/>
      <c r="J87" s="290"/>
      <c r="K87" s="290"/>
      <c r="L87" s="733"/>
      <c r="M87" s="734"/>
      <c r="N87" s="734"/>
      <c r="O87" s="734"/>
      <c r="P87" s="734"/>
      <c r="Q87" s="734"/>
      <c r="R87" s="734"/>
      <c r="S87" s="735"/>
      <c r="T87" s="735"/>
      <c r="U87" s="735"/>
      <c r="V87" s="735"/>
      <c r="W87" s="735"/>
      <c r="X87" s="735"/>
    </row>
    <row r="88" spans="1:24" ht="21" hidden="1" customHeight="1">
      <c r="I88" s="2396" t="s">
        <v>1057</v>
      </c>
      <c r="J88" s="2396"/>
      <c r="K88" s="2396"/>
      <c r="L88" s="2396"/>
      <c r="M88" s="2396"/>
      <c r="N88" s="2396"/>
      <c r="O88" s="2396"/>
      <c r="P88" s="2396"/>
      <c r="Q88" s="2477"/>
      <c r="R88" s="2477"/>
      <c r="S88" s="2477"/>
      <c r="T88" s="2477"/>
      <c r="U88" s="2477"/>
      <c r="V88" s="2477"/>
      <c r="W88" s="2477"/>
      <c r="X88" s="2477"/>
    </row>
    <row r="89" spans="1:24" ht="12" hidden="1" customHeight="1"/>
    <row r="90" spans="1:24" ht="20.25" hidden="1" customHeight="1">
      <c r="A90" s="2950" t="s">
        <v>1058</v>
      </c>
      <c r="B90" s="2950"/>
      <c r="C90" s="2950"/>
      <c r="D90" s="2416" t="s">
        <v>1059</v>
      </c>
      <c r="E90" s="2416"/>
      <c r="F90" s="2416"/>
      <c r="G90" s="2416" t="s">
        <v>875</v>
      </c>
      <c r="H90" s="2416"/>
      <c r="I90" s="2416"/>
      <c r="J90" s="2416" t="s">
        <v>876</v>
      </c>
      <c r="K90" s="2416"/>
      <c r="L90" s="2416"/>
      <c r="M90" s="2416" t="s">
        <v>992</v>
      </c>
      <c r="N90" s="2416"/>
      <c r="O90" s="2416"/>
      <c r="P90" s="2960" t="s">
        <v>1060</v>
      </c>
      <c r="Q90" s="2960"/>
      <c r="R90" s="2960"/>
      <c r="S90" s="2416" t="s">
        <v>1061</v>
      </c>
      <c r="T90" s="2416"/>
      <c r="U90" s="2416"/>
      <c r="V90" s="2953" t="s">
        <v>1146</v>
      </c>
      <c r="W90" s="2953"/>
      <c r="X90" s="2953"/>
    </row>
    <row r="91" spans="1:24" ht="9" hidden="1" customHeight="1">
      <c r="A91" s="2887"/>
      <c r="B91" s="2887"/>
      <c r="C91" s="2887"/>
      <c r="D91" s="2955" t="s">
        <v>551</v>
      </c>
      <c r="E91" s="2955"/>
      <c r="F91" s="2955"/>
      <c r="G91" s="2955" t="s">
        <v>551</v>
      </c>
      <c r="H91" s="2955"/>
      <c r="I91" s="2955"/>
      <c r="J91" s="2955" t="s">
        <v>551</v>
      </c>
      <c r="K91" s="2955"/>
      <c r="L91" s="2955"/>
      <c r="M91" s="2955" t="s">
        <v>551</v>
      </c>
      <c r="N91" s="2955"/>
      <c r="O91" s="2955"/>
      <c r="P91" s="2955" t="s">
        <v>551</v>
      </c>
      <c r="Q91" s="2955"/>
      <c r="R91" s="2955"/>
      <c r="S91" s="2955" t="s">
        <v>551</v>
      </c>
      <c r="T91" s="2955"/>
      <c r="U91" s="2955"/>
      <c r="V91" s="2961"/>
      <c r="W91" s="2961"/>
      <c r="X91" s="2961"/>
    </row>
    <row r="92" spans="1:24" s="699" customFormat="1" ht="26.25" hidden="1" customHeight="1">
      <c r="A92" s="2398" t="s">
        <v>238</v>
      </c>
      <c r="B92" s="2398"/>
      <c r="C92" s="2398"/>
      <c r="D92" s="2871">
        <v>0</v>
      </c>
      <c r="E92" s="2872"/>
      <c r="F92" s="2872"/>
      <c r="G92" s="2871">
        <v>0</v>
      </c>
      <c r="H92" s="2872"/>
      <c r="I92" s="2872"/>
      <c r="J92" s="2871">
        <v>0</v>
      </c>
      <c r="K92" s="2872"/>
      <c r="L92" s="2872"/>
      <c r="M92" s="2872">
        <f>D92+G92-J92</f>
        <v>0</v>
      </c>
      <c r="N92" s="2872"/>
      <c r="O92" s="2872"/>
      <c r="P92" s="2872">
        <f>I104</f>
        <v>0</v>
      </c>
      <c r="Q92" s="2872"/>
      <c r="R92" s="2872"/>
      <c r="S92" s="2872">
        <f>M92-P92</f>
        <v>0</v>
      </c>
      <c r="T92" s="2872"/>
      <c r="U92" s="2872"/>
      <c r="V92" s="2961"/>
      <c r="W92" s="2961"/>
      <c r="X92" s="2961"/>
    </row>
    <row r="93" spans="1:24" s="699" customFormat="1" ht="26.25" hidden="1" customHeight="1">
      <c r="A93" s="2398" t="s">
        <v>239</v>
      </c>
      <c r="B93" s="2398"/>
      <c r="C93" s="2398"/>
      <c r="D93" s="2958">
        <v>0</v>
      </c>
      <c r="E93" s="2881"/>
      <c r="F93" s="2881"/>
      <c r="G93" s="2958">
        <v>0</v>
      </c>
      <c r="H93" s="2881"/>
      <c r="I93" s="2881"/>
      <c r="J93" s="2958">
        <v>0</v>
      </c>
      <c r="K93" s="2881"/>
      <c r="L93" s="2881"/>
      <c r="M93" s="2872">
        <f>D93+G93-J93</f>
        <v>0</v>
      </c>
      <c r="N93" s="2872"/>
      <c r="O93" s="2872"/>
      <c r="P93" s="2881">
        <f>I106</f>
        <v>0</v>
      </c>
      <c r="Q93" s="2881"/>
      <c r="R93" s="2881"/>
      <c r="S93" s="2872">
        <f>M93-P93</f>
        <v>0</v>
      </c>
      <c r="T93" s="2872"/>
      <c r="U93" s="2872"/>
      <c r="V93" s="2959"/>
      <c r="W93" s="2959"/>
      <c r="X93" s="2959"/>
    </row>
    <row r="94" spans="1:24" s="699" customFormat="1" ht="26.25" hidden="1" customHeight="1">
      <c r="A94" s="2398" t="s">
        <v>222</v>
      </c>
      <c r="B94" s="2398"/>
      <c r="C94" s="2398"/>
      <c r="D94" s="2958">
        <v>0</v>
      </c>
      <c r="E94" s="2881"/>
      <c r="F94" s="2881"/>
      <c r="G94" s="2958">
        <v>0</v>
      </c>
      <c r="H94" s="2881"/>
      <c r="I94" s="2881"/>
      <c r="J94" s="2958">
        <v>0</v>
      </c>
      <c r="K94" s="2881"/>
      <c r="L94" s="2881"/>
      <c r="M94" s="2872">
        <f>D94+G94-J94</f>
        <v>0</v>
      </c>
      <c r="N94" s="2872"/>
      <c r="O94" s="2872"/>
      <c r="P94" s="2881">
        <f>I115</f>
        <v>0</v>
      </c>
      <c r="Q94" s="2881"/>
      <c r="R94" s="2881"/>
      <c r="S94" s="2872">
        <f>M94-P94</f>
        <v>0</v>
      </c>
      <c r="T94" s="2872"/>
      <c r="U94" s="2872"/>
      <c r="V94" s="1556"/>
      <c r="W94" s="1557"/>
      <c r="X94" s="1558"/>
    </row>
    <row r="95" spans="1:24" s="699" customFormat="1" ht="26.25" hidden="1" customHeight="1">
      <c r="A95" s="2618" t="s">
        <v>1078</v>
      </c>
      <c r="B95" s="2618"/>
      <c r="C95" s="2618"/>
      <c r="D95" s="2873">
        <f>SUM(D92:F94)</f>
        <v>0</v>
      </c>
      <c r="E95" s="2873"/>
      <c r="F95" s="2873"/>
      <c r="G95" s="2873">
        <f>SUM(G92:I94)</f>
        <v>0</v>
      </c>
      <c r="H95" s="2873"/>
      <c r="I95" s="2873"/>
      <c r="J95" s="2873">
        <f>SUM(J92:L94)</f>
        <v>0</v>
      </c>
      <c r="K95" s="2873"/>
      <c r="L95" s="2873"/>
      <c r="M95" s="2873">
        <f>SUM(M92:O94)</f>
        <v>0</v>
      </c>
      <c r="N95" s="2873"/>
      <c r="O95" s="2873"/>
      <c r="P95" s="2873">
        <f>SUM(P92:R94)</f>
        <v>0</v>
      </c>
      <c r="Q95" s="2873"/>
      <c r="R95" s="2873"/>
      <c r="S95" s="2873">
        <f>SUM(S92:U94)</f>
        <v>0</v>
      </c>
      <c r="T95" s="2873"/>
      <c r="U95" s="2873"/>
      <c r="V95" s="2957"/>
      <c r="W95" s="2957"/>
      <c r="X95" s="2957"/>
    </row>
    <row r="96" spans="1:24" s="699" customFormat="1" ht="26.25" hidden="1" customHeight="1">
      <c r="A96" s="1547"/>
      <c r="B96" s="1547"/>
      <c r="C96" s="1547"/>
      <c r="D96" s="290"/>
      <c r="E96" s="290"/>
      <c r="F96" s="290"/>
      <c r="G96" s="290"/>
      <c r="H96" s="290"/>
      <c r="I96" s="290"/>
      <c r="J96" s="290"/>
      <c r="K96" s="290"/>
      <c r="L96" s="290"/>
      <c r="M96" s="290"/>
      <c r="N96" s="290"/>
      <c r="O96" s="290"/>
      <c r="P96" s="290"/>
      <c r="Q96" s="290"/>
      <c r="R96" s="290"/>
      <c r="S96" s="290"/>
      <c r="T96" s="290"/>
      <c r="U96" s="290"/>
      <c r="V96" s="1559"/>
      <c r="W96" s="1559"/>
      <c r="X96" s="1559"/>
    </row>
    <row r="97" spans="1:24" ht="21" hidden="1" customHeight="1">
      <c r="I97" s="2396" t="s">
        <v>1064</v>
      </c>
      <c r="J97" s="2396"/>
      <c r="K97" s="2396"/>
      <c r="L97" s="2396"/>
      <c r="M97" s="2396"/>
      <c r="N97" s="2396"/>
      <c r="O97" s="2396"/>
      <c r="P97" s="2396"/>
      <c r="Q97" s="2477"/>
      <c r="R97" s="2477"/>
      <c r="S97" s="2477"/>
      <c r="T97" s="2477"/>
      <c r="U97" s="2477"/>
      <c r="V97" s="2477"/>
      <c r="W97" s="2477"/>
      <c r="X97" s="2477"/>
    </row>
    <row r="98" spans="1:24" ht="12" hidden="1" customHeight="1">
      <c r="D98" s="1560"/>
    </row>
    <row r="99" spans="1:24" s="1561" customFormat="1" ht="21" hidden="1" customHeight="1">
      <c r="A99" s="2950" t="s">
        <v>1058</v>
      </c>
      <c r="B99" s="2950"/>
      <c r="C99" s="2950"/>
      <c r="D99" s="2951" t="s">
        <v>1065</v>
      </c>
      <c r="E99" s="2951"/>
      <c r="F99" s="2623" t="s">
        <v>1066</v>
      </c>
      <c r="G99" s="2623"/>
      <c r="H99" s="2623"/>
      <c r="I99" s="2952" t="s">
        <v>1060</v>
      </c>
      <c r="J99" s="2952"/>
      <c r="K99" s="2952"/>
      <c r="L99" s="2623" t="s">
        <v>1067</v>
      </c>
      <c r="M99" s="2623"/>
      <c r="N99" s="2623"/>
      <c r="O99" s="2952" t="s">
        <v>1068</v>
      </c>
      <c r="P99" s="2952"/>
      <c r="Q99" s="2952"/>
      <c r="R99" s="2623" t="s">
        <v>1069</v>
      </c>
      <c r="S99" s="2623"/>
      <c r="T99" s="2623"/>
      <c r="U99" s="2953" t="s">
        <v>1147</v>
      </c>
      <c r="V99" s="2953"/>
      <c r="W99" s="2953"/>
      <c r="X99" s="2953"/>
    </row>
    <row r="100" spans="1:24" s="1565" customFormat="1" ht="9" hidden="1" customHeight="1">
      <c r="A100" s="2954"/>
      <c r="B100" s="2954"/>
      <c r="C100" s="2954"/>
      <c r="D100" s="2955" t="s">
        <v>1075</v>
      </c>
      <c r="E100" s="2955"/>
      <c r="F100" s="2419" t="s">
        <v>551</v>
      </c>
      <c r="G100" s="2419"/>
      <c r="H100" s="2419"/>
      <c r="I100" s="2419" t="s">
        <v>551</v>
      </c>
      <c r="J100" s="2419"/>
      <c r="K100" s="2419"/>
      <c r="L100" s="2419" t="s">
        <v>551</v>
      </c>
      <c r="M100" s="2419"/>
      <c r="N100" s="2419"/>
      <c r="O100" s="2956" t="s">
        <v>551</v>
      </c>
      <c r="P100" s="2956"/>
      <c r="Q100" s="2956"/>
      <c r="R100" s="2419" t="s">
        <v>1071</v>
      </c>
      <c r="S100" s="2419"/>
      <c r="T100" s="2419"/>
      <c r="U100" s="1562"/>
      <c r="V100" s="1563"/>
      <c r="W100" s="1563"/>
      <c r="X100" s="1564"/>
    </row>
    <row r="101" spans="1:24" s="699" customFormat="1" ht="23.25" hidden="1" customHeight="1">
      <c r="A101" s="2934" t="s">
        <v>238</v>
      </c>
      <c r="B101" s="2934"/>
      <c r="C101" s="2934"/>
      <c r="D101" s="2936" t="s">
        <v>240</v>
      </c>
      <c r="E101" s="2936"/>
      <c r="F101" s="2939">
        <v>13600000</v>
      </c>
      <c r="G101" s="2940"/>
      <c r="H101" s="2940"/>
      <c r="I101" s="2941">
        <v>0</v>
      </c>
      <c r="J101" s="2942"/>
      <c r="K101" s="2942"/>
      <c r="L101" s="2939">
        <v>13599999</v>
      </c>
      <c r="M101" s="2940"/>
      <c r="N101" s="2940"/>
      <c r="O101" s="2941">
        <v>0</v>
      </c>
      <c r="P101" s="2942"/>
      <c r="Q101" s="2942"/>
      <c r="R101" s="2943">
        <f t="shared" ref="R101:R116" si="0">ROUND(L101/F101*100,2)</f>
        <v>100</v>
      </c>
      <c r="S101" s="2943"/>
      <c r="T101" s="2943"/>
      <c r="U101" s="2944"/>
      <c r="V101" s="2944"/>
      <c r="W101" s="2944"/>
      <c r="X101" s="2944"/>
    </row>
    <row r="102" spans="1:24" ht="23.25" hidden="1" customHeight="1">
      <c r="A102" s="2903" t="s">
        <v>241</v>
      </c>
      <c r="B102" s="2903"/>
      <c r="C102" s="2903"/>
      <c r="D102" s="2905" t="s">
        <v>240</v>
      </c>
      <c r="E102" s="2905"/>
      <c r="F102" s="2906">
        <v>6570000</v>
      </c>
      <c r="G102" s="2907"/>
      <c r="H102" s="2907"/>
      <c r="I102" s="2908">
        <v>0</v>
      </c>
      <c r="J102" s="2909"/>
      <c r="K102" s="2909"/>
      <c r="L102" s="2906">
        <v>6569999</v>
      </c>
      <c r="M102" s="2907"/>
      <c r="N102" s="2907"/>
      <c r="O102" s="2908">
        <v>0</v>
      </c>
      <c r="P102" s="2909"/>
      <c r="Q102" s="2909"/>
      <c r="R102" s="2910">
        <f t="shared" si="0"/>
        <v>100</v>
      </c>
      <c r="S102" s="2910"/>
      <c r="T102" s="2910"/>
      <c r="U102" s="2944"/>
      <c r="V102" s="2944"/>
      <c r="W102" s="2944"/>
      <c r="X102" s="2944"/>
    </row>
    <row r="103" spans="1:24" ht="23.25" hidden="1" customHeight="1">
      <c r="A103" s="2398" t="s">
        <v>241</v>
      </c>
      <c r="B103" s="2398"/>
      <c r="C103" s="2398"/>
      <c r="D103" s="2912" t="s">
        <v>188</v>
      </c>
      <c r="E103" s="2912"/>
      <c r="F103" s="2945">
        <v>1810000</v>
      </c>
      <c r="G103" s="2946"/>
      <c r="H103" s="2946"/>
      <c r="I103" s="2947">
        <v>0</v>
      </c>
      <c r="J103" s="2948"/>
      <c r="K103" s="2948"/>
      <c r="L103" s="2945">
        <v>1809999</v>
      </c>
      <c r="M103" s="2946"/>
      <c r="N103" s="2946"/>
      <c r="O103" s="2947">
        <v>0</v>
      </c>
      <c r="P103" s="2948"/>
      <c r="Q103" s="2948"/>
      <c r="R103" s="2949">
        <f t="shared" si="0"/>
        <v>100</v>
      </c>
      <c r="S103" s="2949"/>
      <c r="T103" s="2949"/>
      <c r="U103" s="2944"/>
      <c r="V103" s="2944"/>
      <c r="W103" s="2944"/>
      <c r="X103" s="2944"/>
    </row>
    <row r="104" spans="1:24" ht="23.25" hidden="1" customHeight="1">
      <c r="A104" s="2435" t="s">
        <v>1148</v>
      </c>
      <c r="B104" s="2435"/>
      <c r="C104" s="2435"/>
      <c r="D104" s="2922"/>
      <c r="E104" s="2922"/>
      <c r="F104" s="2923">
        <f>SUM(F101:G103)</f>
        <v>21980000</v>
      </c>
      <c r="G104" s="2923"/>
      <c r="H104" s="2923"/>
      <c r="I104" s="2923">
        <f>SUM(I101:K103)</f>
        <v>0</v>
      </c>
      <c r="J104" s="2923"/>
      <c r="K104" s="2923"/>
      <c r="L104" s="2923">
        <f>SUM(L101:M103)</f>
        <v>21979997</v>
      </c>
      <c r="M104" s="2923"/>
      <c r="N104" s="2923"/>
      <c r="O104" s="2923">
        <f>SUM(O101:P103)</f>
        <v>0</v>
      </c>
      <c r="P104" s="2923"/>
      <c r="Q104" s="2923"/>
      <c r="R104" s="2924">
        <f t="shared" si="0"/>
        <v>100</v>
      </c>
      <c r="S104" s="2924"/>
      <c r="T104" s="2924"/>
      <c r="U104" s="2925"/>
      <c r="V104" s="2925"/>
      <c r="W104" s="2925"/>
      <c r="X104" s="2925"/>
    </row>
    <row r="105" spans="1:24" ht="23.25" hidden="1" customHeight="1">
      <c r="A105" s="2934" t="s">
        <v>239</v>
      </c>
      <c r="B105" s="2934"/>
      <c r="C105" s="2934"/>
      <c r="D105" s="2935">
        <v>15</v>
      </c>
      <c r="E105" s="2936"/>
      <c r="F105" s="2929">
        <v>3129000</v>
      </c>
      <c r="G105" s="2930"/>
      <c r="H105" s="2930"/>
      <c r="I105" s="2931">
        <v>0</v>
      </c>
      <c r="J105" s="2932"/>
      <c r="K105" s="2932"/>
      <c r="L105" s="2937">
        <v>2590116</v>
      </c>
      <c r="M105" s="2923"/>
      <c r="N105" s="2923"/>
      <c r="O105" s="2931">
        <v>0</v>
      </c>
      <c r="P105" s="2932"/>
      <c r="Q105" s="2932"/>
      <c r="R105" s="2938">
        <f t="shared" si="0"/>
        <v>82.78</v>
      </c>
      <c r="S105" s="2938"/>
      <c r="T105" s="2938"/>
      <c r="U105" s="1566"/>
      <c r="V105" s="1567"/>
      <c r="W105" s="1567"/>
      <c r="X105" s="1568"/>
    </row>
    <row r="106" spans="1:24" ht="23.25" hidden="1" customHeight="1">
      <c r="A106" s="2435" t="s">
        <v>1148</v>
      </c>
      <c r="B106" s="2435"/>
      <c r="C106" s="2435"/>
      <c r="D106" s="2922"/>
      <c r="E106" s="2922"/>
      <c r="F106" s="2923">
        <f>SUM(F105)</f>
        <v>3129000</v>
      </c>
      <c r="G106" s="2923"/>
      <c r="H106" s="2923"/>
      <c r="I106" s="2923">
        <f>SUM(I105)</f>
        <v>0</v>
      </c>
      <c r="J106" s="2923"/>
      <c r="K106" s="2923"/>
      <c r="L106" s="2923">
        <f>SUM(L105)</f>
        <v>2590116</v>
      </c>
      <c r="M106" s="2923"/>
      <c r="N106" s="2923"/>
      <c r="O106" s="2923">
        <f>SUM(O105)</f>
        <v>0</v>
      </c>
      <c r="P106" s="2923"/>
      <c r="Q106" s="2923"/>
      <c r="R106" s="2924">
        <f t="shared" si="0"/>
        <v>82.78</v>
      </c>
      <c r="S106" s="2924"/>
      <c r="T106" s="2924"/>
      <c r="U106" s="2925"/>
      <c r="V106" s="2925"/>
      <c r="W106" s="2925"/>
      <c r="X106" s="2925"/>
    </row>
    <row r="107" spans="1:24" s="699" customFormat="1" ht="23.25" hidden="1" customHeight="1">
      <c r="A107" s="2926" t="s">
        <v>222</v>
      </c>
      <c r="B107" s="2926"/>
      <c r="C107" s="2926"/>
      <c r="D107" s="2927">
        <v>15</v>
      </c>
      <c r="E107" s="2928"/>
      <c r="F107" s="2929">
        <v>119685</v>
      </c>
      <c r="G107" s="2930"/>
      <c r="H107" s="2930"/>
      <c r="I107" s="2931">
        <v>0</v>
      </c>
      <c r="J107" s="2932"/>
      <c r="K107" s="2932"/>
      <c r="L107" s="2929">
        <v>119684</v>
      </c>
      <c r="M107" s="2930"/>
      <c r="N107" s="2930"/>
      <c r="O107" s="2931">
        <v>0</v>
      </c>
      <c r="P107" s="2932"/>
      <c r="Q107" s="2932"/>
      <c r="R107" s="2910">
        <f t="shared" si="0"/>
        <v>100</v>
      </c>
      <c r="S107" s="2910"/>
      <c r="T107" s="2910"/>
      <c r="U107" s="2933"/>
      <c r="V107" s="2933"/>
      <c r="W107" s="2933"/>
      <c r="X107" s="2933"/>
    </row>
    <row r="108" spans="1:24" ht="23.25" hidden="1" customHeight="1">
      <c r="A108" s="2903" t="s">
        <v>241</v>
      </c>
      <c r="B108" s="2903"/>
      <c r="C108" s="2903"/>
      <c r="D108" s="2904">
        <v>5</v>
      </c>
      <c r="E108" s="2905"/>
      <c r="F108" s="2906">
        <v>6715</v>
      </c>
      <c r="G108" s="2907"/>
      <c r="H108" s="2907"/>
      <c r="I108" s="2908">
        <v>0</v>
      </c>
      <c r="J108" s="2909"/>
      <c r="K108" s="2909"/>
      <c r="L108" s="2906">
        <v>6714</v>
      </c>
      <c r="M108" s="2907"/>
      <c r="N108" s="2907"/>
      <c r="O108" s="2908">
        <v>0</v>
      </c>
      <c r="P108" s="2909"/>
      <c r="Q108" s="2909"/>
      <c r="R108" s="2910">
        <f t="shared" si="0"/>
        <v>99.99</v>
      </c>
      <c r="S108" s="2910"/>
      <c r="T108" s="2910"/>
      <c r="U108" s="2933"/>
      <c r="V108" s="2933"/>
      <c r="W108" s="2933"/>
      <c r="X108" s="2933"/>
    </row>
    <row r="109" spans="1:24" ht="23.25" hidden="1" customHeight="1">
      <c r="A109" s="2903" t="s">
        <v>241</v>
      </c>
      <c r="B109" s="2903"/>
      <c r="C109" s="2903"/>
      <c r="D109" s="2904">
        <v>3</v>
      </c>
      <c r="E109" s="2905"/>
      <c r="F109" s="2906">
        <v>19707</v>
      </c>
      <c r="G109" s="2907"/>
      <c r="H109" s="2907"/>
      <c r="I109" s="2908">
        <v>0</v>
      </c>
      <c r="J109" s="2909"/>
      <c r="K109" s="2909"/>
      <c r="L109" s="2906">
        <v>19706</v>
      </c>
      <c r="M109" s="2907"/>
      <c r="N109" s="2907"/>
      <c r="O109" s="2908">
        <v>0</v>
      </c>
      <c r="P109" s="2909"/>
      <c r="Q109" s="2909"/>
      <c r="R109" s="2910">
        <f t="shared" si="0"/>
        <v>99.99</v>
      </c>
      <c r="S109" s="2910"/>
      <c r="T109" s="2910"/>
      <c r="U109" s="2933"/>
      <c r="V109" s="2933"/>
      <c r="W109" s="2933"/>
      <c r="X109" s="2933"/>
    </row>
    <row r="110" spans="1:24" ht="23.25" hidden="1" customHeight="1">
      <c r="A110" s="2903" t="s">
        <v>241</v>
      </c>
      <c r="B110" s="2903"/>
      <c r="C110" s="2903"/>
      <c r="D110" s="2904">
        <v>15</v>
      </c>
      <c r="E110" s="2905"/>
      <c r="F110" s="2906">
        <v>31827</v>
      </c>
      <c r="G110" s="2907"/>
      <c r="H110" s="2907"/>
      <c r="I110" s="2908">
        <v>0</v>
      </c>
      <c r="J110" s="2909"/>
      <c r="K110" s="2909"/>
      <c r="L110" s="2906">
        <v>31826</v>
      </c>
      <c r="M110" s="2907"/>
      <c r="N110" s="2907"/>
      <c r="O110" s="2908">
        <v>0</v>
      </c>
      <c r="P110" s="2909"/>
      <c r="Q110" s="2909"/>
      <c r="R110" s="2910">
        <f t="shared" si="0"/>
        <v>100</v>
      </c>
      <c r="S110" s="2910"/>
      <c r="T110" s="2910"/>
      <c r="U110" s="2933"/>
      <c r="V110" s="2933"/>
      <c r="W110" s="2933"/>
      <c r="X110" s="2933"/>
    </row>
    <row r="111" spans="1:24" ht="23.25" hidden="1" customHeight="1">
      <c r="A111" s="2613" t="s">
        <v>241</v>
      </c>
      <c r="B111" s="2613"/>
      <c r="C111" s="2613"/>
      <c r="D111" s="2904">
        <v>15</v>
      </c>
      <c r="E111" s="2905"/>
      <c r="F111" s="2915">
        <v>161298</v>
      </c>
      <c r="G111" s="2916"/>
      <c r="H111" s="2916"/>
      <c r="I111" s="2917">
        <v>0</v>
      </c>
      <c r="J111" s="2918"/>
      <c r="K111" s="2918"/>
      <c r="L111" s="2915">
        <v>161297</v>
      </c>
      <c r="M111" s="2916"/>
      <c r="N111" s="2916"/>
      <c r="O111" s="2917">
        <v>0</v>
      </c>
      <c r="P111" s="2918"/>
      <c r="Q111" s="2918"/>
      <c r="R111" s="2910">
        <f t="shared" si="0"/>
        <v>100</v>
      </c>
      <c r="S111" s="2910"/>
      <c r="T111" s="2910"/>
      <c r="U111" s="2933"/>
      <c r="V111" s="2933"/>
      <c r="W111" s="2933"/>
      <c r="X111" s="2933"/>
    </row>
    <row r="112" spans="1:24" ht="23.25" hidden="1" customHeight="1">
      <c r="A112" s="2919" t="s">
        <v>241</v>
      </c>
      <c r="B112" s="2919"/>
      <c r="C112" s="2919"/>
      <c r="D112" s="2920">
        <v>4</v>
      </c>
      <c r="E112" s="2921"/>
      <c r="F112" s="2915">
        <v>115500</v>
      </c>
      <c r="G112" s="2916"/>
      <c r="H112" s="2916"/>
      <c r="I112" s="2917">
        <v>0</v>
      </c>
      <c r="J112" s="2918"/>
      <c r="K112" s="2918"/>
      <c r="L112" s="2915">
        <v>115499</v>
      </c>
      <c r="M112" s="2916"/>
      <c r="N112" s="2916"/>
      <c r="O112" s="2917">
        <v>0</v>
      </c>
      <c r="P112" s="2918"/>
      <c r="Q112" s="2918"/>
      <c r="R112" s="2910">
        <f t="shared" si="0"/>
        <v>100</v>
      </c>
      <c r="S112" s="2910"/>
      <c r="T112" s="2910"/>
      <c r="U112" s="1569"/>
      <c r="V112" s="1570"/>
      <c r="W112" s="1570"/>
      <c r="X112" s="1571"/>
    </row>
    <row r="113" spans="1:24" ht="23.25" hidden="1" customHeight="1">
      <c r="A113" s="2903" t="s">
        <v>241</v>
      </c>
      <c r="B113" s="2903"/>
      <c r="C113" s="2903"/>
      <c r="D113" s="2904">
        <v>4</v>
      </c>
      <c r="E113" s="2905"/>
      <c r="F113" s="2906">
        <v>112350</v>
      </c>
      <c r="G113" s="2907"/>
      <c r="H113" s="2907"/>
      <c r="I113" s="2908">
        <v>0</v>
      </c>
      <c r="J113" s="2909"/>
      <c r="K113" s="2909"/>
      <c r="L113" s="2906">
        <v>112349</v>
      </c>
      <c r="M113" s="2907"/>
      <c r="N113" s="2907"/>
      <c r="O113" s="2908">
        <v>0</v>
      </c>
      <c r="P113" s="2909"/>
      <c r="Q113" s="2909"/>
      <c r="R113" s="2910">
        <f t="shared" si="0"/>
        <v>100</v>
      </c>
      <c r="S113" s="2910"/>
      <c r="T113" s="2910"/>
      <c r="U113" s="1569"/>
      <c r="V113" s="1570"/>
      <c r="W113" s="1570"/>
      <c r="X113" s="1571"/>
    </row>
    <row r="114" spans="1:24" s="699" customFormat="1" ht="23.25" hidden="1" customHeight="1">
      <c r="A114" s="2398" t="s">
        <v>241</v>
      </c>
      <c r="B114" s="2398"/>
      <c r="C114" s="2398"/>
      <c r="D114" s="2911">
        <v>4</v>
      </c>
      <c r="E114" s="2912"/>
      <c r="F114" s="2877">
        <v>110250</v>
      </c>
      <c r="G114" s="2876"/>
      <c r="H114" s="2876"/>
      <c r="I114" s="2913">
        <v>0</v>
      </c>
      <c r="J114" s="2914"/>
      <c r="K114" s="2914"/>
      <c r="L114" s="2877">
        <v>110249</v>
      </c>
      <c r="M114" s="2876"/>
      <c r="N114" s="2876"/>
      <c r="O114" s="2913">
        <v>0</v>
      </c>
      <c r="P114" s="2914"/>
      <c r="Q114" s="2914"/>
      <c r="R114" s="2910">
        <f t="shared" si="0"/>
        <v>100</v>
      </c>
      <c r="S114" s="2910"/>
      <c r="T114" s="2910"/>
      <c r="U114" s="1569"/>
      <c r="V114" s="1570"/>
      <c r="W114" s="1570"/>
      <c r="X114" s="1571"/>
    </row>
    <row r="115" spans="1:24" ht="23.25" hidden="1" customHeight="1">
      <c r="A115" s="2618" t="s">
        <v>1148</v>
      </c>
      <c r="B115" s="2618"/>
      <c r="C115" s="2618"/>
      <c r="D115" s="2894"/>
      <c r="E115" s="2894"/>
      <c r="F115" s="2895">
        <f>SUM(F107:H114)</f>
        <v>677332</v>
      </c>
      <c r="G115" s="2895"/>
      <c r="H115" s="2895"/>
      <c r="I115" s="2895">
        <f>SUM(I107:K114)</f>
        <v>0</v>
      </c>
      <c r="J115" s="2895"/>
      <c r="K115" s="2895"/>
      <c r="L115" s="2895">
        <f>SUM(L107:N114)</f>
        <v>677324</v>
      </c>
      <c r="M115" s="2895"/>
      <c r="N115" s="2895"/>
      <c r="O115" s="2895">
        <f>SUM(O107:Q114)</f>
        <v>0</v>
      </c>
      <c r="P115" s="2895"/>
      <c r="Q115" s="2895"/>
      <c r="R115" s="2896">
        <f t="shared" si="0"/>
        <v>100</v>
      </c>
      <c r="S115" s="2896"/>
      <c r="T115" s="2896"/>
      <c r="U115" s="2897"/>
      <c r="V115" s="2897"/>
      <c r="W115" s="2897"/>
      <c r="X115" s="2897"/>
    </row>
    <row r="116" spans="1:24" ht="23.25" hidden="1" customHeight="1">
      <c r="A116" s="2630" t="s">
        <v>1078</v>
      </c>
      <c r="B116" s="2630"/>
      <c r="C116" s="2630"/>
      <c r="D116" s="2898"/>
      <c r="E116" s="2898"/>
      <c r="F116" s="2899">
        <f>F104+F115+F106</f>
        <v>25786332</v>
      </c>
      <c r="G116" s="2899"/>
      <c r="H116" s="2899"/>
      <c r="I116" s="2900">
        <f>I104+I115+I106</f>
        <v>0</v>
      </c>
      <c r="J116" s="2900"/>
      <c r="K116" s="2900"/>
      <c r="L116" s="2900">
        <f>L104+L115+L106</f>
        <v>25247437</v>
      </c>
      <c r="M116" s="2900"/>
      <c r="N116" s="2900"/>
      <c r="O116" s="2900">
        <f>O104+O115+O106</f>
        <v>0</v>
      </c>
      <c r="P116" s="2900"/>
      <c r="Q116" s="2900"/>
      <c r="R116" s="2901">
        <f t="shared" si="0"/>
        <v>97.91</v>
      </c>
      <c r="S116" s="2901"/>
      <c r="T116" s="2901"/>
      <c r="U116" s="2902"/>
      <c r="V116" s="2902"/>
      <c r="W116" s="2902"/>
      <c r="X116" s="2902"/>
    </row>
    <row r="117" spans="1:24" ht="30" hidden="1" customHeight="1" outlineLevel="1">
      <c r="A117" s="732"/>
      <c r="B117" s="732"/>
      <c r="C117" s="732"/>
      <c r="D117" s="732"/>
      <c r="E117" s="732"/>
      <c r="F117" s="732"/>
      <c r="G117" s="290"/>
      <c r="H117" s="290"/>
      <c r="I117" s="290"/>
      <c r="J117" s="290"/>
      <c r="K117" s="290"/>
      <c r="L117" s="733"/>
      <c r="M117" s="734"/>
      <c r="N117" s="734"/>
      <c r="O117" s="734"/>
      <c r="P117" s="734"/>
      <c r="Q117" s="734"/>
      <c r="R117" s="734"/>
      <c r="S117" s="735"/>
      <c r="T117" s="735"/>
    </row>
    <row r="118" spans="1:24" ht="21" hidden="1" customHeight="1" outlineLevel="1">
      <c r="A118" s="732"/>
      <c r="B118" s="732"/>
      <c r="C118" s="732"/>
      <c r="D118" s="732"/>
      <c r="E118" s="732"/>
      <c r="F118" s="732"/>
      <c r="G118" s="290"/>
      <c r="H118" s="290"/>
      <c r="I118" s="2413" t="s">
        <v>1149</v>
      </c>
      <c r="J118" s="2413"/>
      <c r="K118" s="2413"/>
      <c r="L118" s="2413"/>
      <c r="M118" s="2413"/>
      <c r="N118" s="2413"/>
      <c r="O118" s="2413"/>
      <c r="P118" s="2413"/>
      <c r="Q118" s="734"/>
      <c r="R118" s="734"/>
      <c r="S118" s="735"/>
      <c r="T118" s="735"/>
    </row>
    <row r="119" spans="1:24" ht="9" hidden="1" customHeight="1" outlineLevel="1"/>
    <row r="120" spans="1:24" s="699" customFormat="1" ht="22.5" hidden="1" customHeight="1" outlineLevel="1">
      <c r="A120" s="2414" t="s">
        <v>873</v>
      </c>
      <c r="B120" s="2414"/>
      <c r="C120" s="2414"/>
      <c r="D120" s="2414"/>
      <c r="E120" s="2415" t="s">
        <v>874</v>
      </c>
      <c r="F120" s="2415"/>
      <c r="G120" s="2415"/>
      <c r="H120" s="2415"/>
      <c r="I120" s="2415" t="s">
        <v>875</v>
      </c>
      <c r="J120" s="2415"/>
      <c r="K120" s="2415"/>
      <c r="L120" s="2415"/>
      <c r="M120" s="2415" t="s">
        <v>876</v>
      </c>
      <c r="N120" s="2415"/>
      <c r="O120" s="2415"/>
      <c r="P120" s="2415"/>
      <c r="Q120" s="2416" t="s">
        <v>877</v>
      </c>
      <c r="R120" s="2416"/>
      <c r="S120" s="2416"/>
      <c r="T120" s="2416"/>
      <c r="U120" s="2417" t="s">
        <v>878</v>
      </c>
      <c r="V120" s="2417"/>
      <c r="W120" s="2417"/>
      <c r="X120" s="2417"/>
    </row>
    <row r="121" spans="1:24" s="699" customFormat="1" ht="9.75" hidden="1" customHeight="1" outlineLevel="1">
      <c r="A121" s="2418"/>
      <c r="B121" s="2418"/>
      <c r="C121" s="2418"/>
      <c r="D121" s="2418"/>
      <c r="E121" s="2419" t="s">
        <v>551</v>
      </c>
      <c r="F121" s="2419"/>
      <c r="G121" s="2419"/>
      <c r="H121" s="2419"/>
      <c r="I121" s="2419" t="s">
        <v>551</v>
      </c>
      <c r="J121" s="2419"/>
      <c r="K121" s="2419"/>
      <c r="L121" s="2419"/>
      <c r="M121" s="2419" t="s">
        <v>551</v>
      </c>
      <c r="N121" s="2419"/>
      <c r="O121" s="2419"/>
      <c r="P121" s="2419"/>
      <c r="Q121" s="2419" t="s">
        <v>551</v>
      </c>
      <c r="R121" s="2419"/>
      <c r="S121" s="2419"/>
      <c r="T121" s="2419"/>
      <c r="U121" s="1572"/>
      <c r="V121" s="1573"/>
      <c r="W121" s="1573"/>
      <c r="X121" s="1574"/>
    </row>
    <row r="122" spans="1:24" s="699" customFormat="1" ht="23.25" hidden="1" customHeight="1" outlineLevel="1">
      <c r="A122" s="2398" t="s">
        <v>242</v>
      </c>
      <c r="B122" s="2398"/>
      <c r="C122" s="2398"/>
      <c r="D122" s="2398"/>
      <c r="E122" s="2877">
        <v>0</v>
      </c>
      <c r="F122" s="2876"/>
      <c r="G122" s="2876"/>
      <c r="H122" s="2876"/>
      <c r="I122" s="2877">
        <v>0</v>
      </c>
      <c r="J122" s="2876"/>
      <c r="K122" s="2876"/>
      <c r="L122" s="2876"/>
      <c r="M122" s="2891">
        <v>0</v>
      </c>
      <c r="N122" s="2892"/>
      <c r="O122" s="2892"/>
      <c r="P122" s="2892"/>
      <c r="Q122" s="2872">
        <f>E122+I122-M122</f>
        <v>0</v>
      </c>
      <c r="R122" s="2872"/>
      <c r="S122" s="2872"/>
      <c r="T122" s="2872"/>
      <c r="U122" s="2893" t="s">
        <v>1150</v>
      </c>
      <c r="V122" s="2893"/>
      <c r="W122" s="2893"/>
      <c r="X122" s="2893"/>
    </row>
    <row r="123" spans="1:24" s="699" customFormat="1" ht="23.25" hidden="1" customHeight="1" outlineLevel="1">
      <c r="A123" s="2618" t="s">
        <v>879</v>
      </c>
      <c r="B123" s="2618"/>
      <c r="C123" s="2618"/>
      <c r="D123" s="2618"/>
      <c r="E123" s="2873">
        <f>SUM(E120:H122)</f>
        <v>0</v>
      </c>
      <c r="F123" s="2873"/>
      <c r="G123" s="2873"/>
      <c r="H123" s="2873"/>
      <c r="I123" s="2873">
        <f>SUM(I120:L122)</f>
        <v>0</v>
      </c>
      <c r="J123" s="2873"/>
      <c r="K123" s="2873"/>
      <c r="L123" s="2873"/>
      <c r="M123" s="2873">
        <f>SUM(M120:P122)</f>
        <v>0</v>
      </c>
      <c r="N123" s="2873"/>
      <c r="O123" s="2873"/>
      <c r="P123" s="2873"/>
      <c r="Q123" s="2873">
        <f>SUM(Q120:T122)</f>
        <v>0</v>
      </c>
      <c r="R123" s="2873"/>
      <c r="S123" s="2873"/>
      <c r="T123" s="2873"/>
      <c r="U123" s="2886"/>
      <c r="V123" s="2886"/>
      <c r="W123" s="2886"/>
      <c r="X123" s="2886"/>
    </row>
    <row r="124" spans="1:24" ht="30" hidden="1" customHeight="1" outlineLevel="1">
      <c r="A124" s="1551"/>
      <c r="B124" s="1551"/>
      <c r="C124" s="1551"/>
      <c r="D124" s="1551"/>
      <c r="E124" s="290"/>
      <c r="F124" s="290"/>
      <c r="G124" s="290"/>
      <c r="H124" s="290"/>
      <c r="I124" s="290"/>
      <c r="J124" s="290"/>
      <c r="K124" s="290"/>
      <c r="L124" s="290"/>
      <c r="M124" s="290"/>
      <c r="N124" s="290"/>
      <c r="O124" s="290"/>
      <c r="P124" s="290"/>
      <c r="Q124" s="290"/>
      <c r="R124" s="290"/>
      <c r="S124" s="290"/>
      <c r="T124" s="290"/>
    </row>
    <row r="125" spans="1:24" ht="21" hidden="1" customHeight="1" outlineLevel="1">
      <c r="I125" s="2889" t="s">
        <v>1079</v>
      </c>
      <c r="J125" s="2889"/>
      <c r="K125" s="2889"/>
      <c r="L125" s="2889"/>
      <c r="M125" s="2889"/>
      <c r="N125" s="2889"/>
      <c r="O125" s="2889"/>
      <c r="P125" s="2889"/>
      <c r="Q125" s="584"/>
      <c r="R125" s="584"/>
      <c r="S125" s="584"/>
      <c r="T125" s="584"/>
    </row>
    <row r="126" spans="1:24" ht="9" hidden="1" customHeight="1" outlineLevel="1"/>
    <row r="127" spans="1:24" s="1544" customFormat="1" ht="22.5" hidden="1" customHeight="1" outlineLevel="1">
      <c r="A127" s="2414" t="s">
        <v>873</v>
      </c>
      <c r="B127" s="2414"/>
      <c r="C127" s="2414"/>
      <c r="D127" s="2414"/>
      <c r="E127" s="2415" t="s">
        <v>874</v>
      </c>
      <c r="F127" s="2415"/>
      <c r="G127" s="2415"/>
      <c r="H127" s="2415"/>
      <c r="I127" s="2415" t="s">
        <v>875</v>
      </c>
      <c r="J127" s="2415"/>
      <c r="K127" s="2415"/>
      <c r="L127" s="2415"/>
      <c r="M127" s="2415" t="s">
        <v>876</v>
      </c>
      <c r="N127" s="2415"/>
      <c r="O127" s="2415"/>
      <c r="P127" s="2415"/>
      <c r="Q127" s="2416" t="s">
        <v>877</v>
      </c>
      <c r="R127" s="2416"/>
      <c r="S127" s="2416"/>
      <c r="T127" s="2416"/>
      <c r="U127" s="2417" t="s">
        <v>878</v>
      </c>
      <c r="V127" s="2417"/>
      <c r="W127" s="2417"/>
      <c r="X127" s="2417"/>
    </row>
    <row r="128" spans="1:24" s="1544" customFormat="1" ht="9" hidden="1" customHeight="1" outlineLevel="1">
      <c r="A128" s="2890"/>
      <c r="B128" s="2890"/>
      <c r="C128" s="2890"/>
      <c r="D128" s="2890"/>
      <c r="E128" s="2419" t="s">
        <v>551</v>
      </c>
      <c r="F128" s="2419"/>
      <c r="G128" s="2419"/>
      <c r="H128" s="2419"/>
      <c r="I128" s="2419" t="s">
        <v>551</v>
      </c>
      <c r="J128" s="2419"/>
      <c r="K128" s="2419"/>
      <c r="L128" s="2419"/>
      <c r="M128" s="2419" t="s">
        <v>551</v>
      </c>
      <c r="N128" s="2419"/>
      <c r="O128" s="2419"/>
      <c r="P128" s="2419"/>
      <c r="Q128" s="2419" t="s">
        <v>551</v>
      </c>
      <c r="R128" s="2419"/>
      <c r="S128" s="2419"/>
      <c r="T128" s="2419"/>
      <c r="U128" s="2420"/>
      <c r="V128" s="2420"/>
      <c r="W128" s="2420"/>
      <c r="X128" s="2420"/>
    </row>
    <row r="129" spans="1:27" ht="23.25" hidden="1" customHeight="1" outlineLevel="1">
      <c r="A129" s="2398" t="s">
        <v>229</v>
      </c>
      <c r="B129" s="2398"/>
      <c r="C129" s="2398"/>
      <c r="D129" s="2398"/>
      <c r="E129" s="2872"/>
      <c r="F129" s="2872"/>
      <c r="G129" s="2872"/>
      <c r="H129" s="2872"/>
      <c r="I129" s="2872">
        <f>I116</f>
        <v>0</v>
      </c>
      <c r="J129" s="2872"/>
      <c r="K129" s="2872"/>
      <c r="L129" s="2872"/>
      <c r="M129" s="2872"/>
      <c r="N129" s="2872"/>
      <c r="O129" s="2872"/>
      <c r="P129" s="2872"/>
      <c r="Q129" s="2872">
        <f>E129-M129</f>
        <v>0</v>
      </c>
      <c r="R129" s="2872"/>
      <c r="S129" s="2872"/>
      <c r="T129" s="2872"/>
      <c r="U129" s="1575"/>
      <c r="V129" s="1576"/>
      <c r="W129" s="1576"/>
      <c r="X129" s="1577"/>
    </row>
    <row r="130" spans="1:27" ht="23.25" hidden="1" customHeight="1" outlineLevel="1">
      <c r="A130" s="2618" t="s">
        <v>879</v>
      </c>
      <c r="B130" s="2618"/>
      <c r="C130" s="2618"/>
      <c r="D130" s="2618"/>
      <c r="E130" s="2873">
        <f>SUM(E129:H129)</f>
        <v>0</v>
      </c>
      <c r="F130" s="2873"/>
      <c r="G130" s="2873"/>
      <c r="H130" s="2873"/>
      <c r="I130" s="2873">
        <f>SUM(I129:L129)</f>
        <v>0</v>
      </c>
      <c r="J130" s="2873"/>
      <c r="K130" s="2873"/>
      <c r="L130" s="2873"/>
      <c r="M130" s="2873">
        <f>SUM(M129:P129)</f>
        <v>0</v>
      </c>
      <c r="N130" s="2873"/>
      <c r="O130" s="2873"/>
      <c r="P130" s="2873"/>
      <c r="Q130" s="2873">
        <f>SUM(Q129:T129)</f>
        <v>0</v>
      </c>
      <c r="R130" s="2873"/>
      <c r="S130" s="2873"/>
      <c r="T130" s="2873"/>
      <c r="U130" s="2886"/>
      <c r="V130" s="2886"/>
      <c r="W130" s="2886"/>
      <c r="X130" s="2886"/>
    </row>
    <row r="131" spans="1:27" ht="23.25" hidden="1" customHeight="1" outlineLevel="1">
      <c r="A131" s="1547"/>
      <c r="B131" s="1547"/>
      <c r="C131" s="1547"/>
      <c r="D131" s="1547"/>
      <c r="E131" s="290"/>
      <c r="F131" s="290"/>
      <c r="G131" s="290"/>
      <c r="H131" s="290"/>
      <c r="I131" s="290"/>
      <c r="J131" s="290"/>
      <c r="K131" s="290"/>
      <c r="L131" s="290"/>
      <c r="M131" s="290"/>
      <c r="N131" s="290"/>
      <c r="O131" s="290"/>
      <c r="P131" s="290"/>
      <c r="Q131" s="290"/>
      <c r="R131" s="290"/>
      <c r="S131" s="290"/>
      <c r="T131" s="290"/>
      <c r="U131" s="1578"/>
      <c r="V131" s="1578"/>
      <c r="W131" s="1578"/>
      <c r="X131" s="1578"/>
    </row>
    <row r="132" spans="1:27" s="699" customFormat="1" ht="21" customHeight="1">
      <c r="A132" s="696"/>
      <c r="B132" s="696"/>
      <c r="C132" s="696"/>
      <c r="D132" s="696"/>
      <c r="E132" s="696"/>
      <c r="F132" s="696"/>
      <c r="G132" s="696"/>
      <c r="H132" s="696"/>
      <c r="I132" s="2396" t="s">
        <v>1081</v>
      </c>
      <c r="J132" s="2396"/>
      <c r="K132" s="2396"/>
      <c r="L132" s="2396"/>
      <c r="M132" s="2396"/>
      <c r="N132" s="2396"/>
      <c r="O132" s="2396"/>
      <c r="P132" s="2396"/>
      <c r="Q132" s="584"/>
      <c r="R132" s="584"/>
      <c r="S132" s="584"/>
      <c r="T132" s="584"/>
    </row>
    <row r="133" spans="1:27" s="699" customFormat="1" ht="9" customHeight="1">
      <c r="A133" s="696"/>
      <c r="B133" s="696"/>
      <c r="C133" s="696"/>
      <c r="D133" s="696"/>
      <c r="E133" s="696"/>
      <c r="F133" s="696"/>
      <c r="G133" s="696"/>
      <c r="H133" s="696"/>
      <c r="I133" s="696"/>
      <c r="J133" s="696"/>
      <c r="K133" s="696"/>
      <c r="L133" s="696"/>
      <c r="M133" s="696"/>
      <c r="N133" s="696"/>
      <c r="O133" s="696"/>
      <c r="P133" s="696"/>
      <c r="Q133" s="696"/>
      <c r="R133" s="696"/>
      <c r="S133" s="696"/>
      <c r="T133" s="696"/>
    </row>
    <row r="134" spans="1:27" s="1544" customFormat="1" ht="22.5" customHeight="1">
      <c r="A134" s="2414" t="s">
        <v>1082</v>
      </c>
      <c r="B134" s="2414"/>
      <c r="C134" s="2414"/>
      <c r="D134" s="2414"/>
      <c r="E134" s="2415" t="s">
        <v>1083</v>
      </c>
      <c r="F134" s="2415"/>
      <c r="G134" s="2415"/>
      <c r="H134" s="2415"/>
      <c r="I134" s="2415"/>
      <c r="J134" s="2415" t="s">
        <v>1084</v>
      </c>
      <c r="K134" s="2415"/>
      <c r="L134" s="2415"/>
      <c r="M134" s="2415"/>
      <c r="N134" s="2415"/>
      <c r="O134" s="2415" t="s">
        <v>1085</v>
      </c>
      <c r="P134" s="2415"/>
      <c r="Q134" s="2415"/>
      <c r="R134" s="2415"/>
      <c r="S134" s="2415"/>
      <c r="T134" s="2417" t="s">
        <v>1086</v>
      </c>
      <c r="U134" s="2417"/>
      <c r="V134" s="2417"/>
      <c r="W134" s="2417"/>
      <c r="X134" s="2417"/>
      <c r="AA134" s="1544" t="s">
        <v>415</v>
      </c>
    </row>
    <row r="135" spans="1:27" s="1544" customFormat="1" ht="9" customHeight="1">
      <c r="A135" s="2887"/>
      <c r="B135" s="2887"/>
      <c r="C135" s="2887"/>
      <c r="D135" s="2887"/>
      <c r="E135" s="2419" t="s">
        <v>551</v>
      </c>
      <c r="F135" s="2419"/>
      <c r="G135" s="2419"/>
      <c r="H135" s="2419"/>
      <c r="I135" s="2419"/>
      <c r="J135" s="2419" t="s">
        <v>551</v>
      </c>
      <c r="K135" s="2419"/>
      <c r="L135" s="2419"/>
      <c r="M135" s="2419"/>
      <c r="N135" s="2419"/>
      <c r="O135" s="2419" t="s">
        <v>551</v>
      </c>
      <c r="P135" s="2419"/>
      <c r="Q135" s="2419"/>
      <c r="R135" s="2419"/>
      <c r="S135" s="2419"/>
      <c r="T135" s="2888" t="s">
        <v>551</v>
      </c>
      <c r="U135" s="2888"/>
      <c r="V135" s="2888"/>
      <c r="W135" s="2888"/>
      <c r="X135" s="2888"/>
    </row>
    <row r="136" spans="1:27" s="1544" customFormat="1" ht="23.25" customHeight="1">
      <c r="A136" s="2398" t="s">
        <v>128</v>
      </c>
      <c r="B136" s="2398"/>
      <c r="C136" s="2398"/>
      <c r="D136" s="2398"/>
      <c r="E136" s="3175">
        <f>'報告_保健P20-22'!M46</f>
        <v>7146000</v>
      </c>
      <c r="F136" s="3175"/>
      <c r="G136" s="3175"/>
      <c r="H136" s="3175"/>
      <c r="I136" s="3175"/>
      <c r="J136" s="3175">
        <f>保健_決算精算表!C27</f>
        <v>6510030</v>
      </c>
      <c r="K136" s="3175"/>
      <c r="L136" s="3175"/>
      <c r="M136" s="3175"/>
      <c r="N136" s="3175"/>
      <c r="O136" s="2872">
        <f>保健_決算精算表!B27</f>
        <v>0</v>
      </c>
      <c r="P136" s="2872"/>
      <c r="Q136" s="2872"/>
      <c r="R136" s="2872"/>
      <c r="S136" s="2872"/>
      <c r="T136" s="2884">
        <f>E136-J136-O136</f>
        <v>635970</v>
      </c>
      <c r="U136" s="2884"/>
      <c r="V136" s="2884"/>
      <c r="W136" s="2884"/>
      <c r="X136" s="2884"/>
    </row>
    <row r="137" spans="1:27" s="1544" customFormat="1" ht="23.25" customHeight="1">
      <c r="A137" s="2879" t="s">
        <v>130</v>
      </c>
      <c r="B137" s="2879"/>
      <c r="C137" s="2879"/>
      <c r="D137" s="2879"/>
      <c r="E137" s="3175">
        <f>'報告_保健P20-22'!M49</f>
        <v>110000</v>
      </c>
      <c r="F137" s="3175"/>
      <c r="G137" s="3175"/>
      <c r="H137" s="3175"/>
      <c r="I137" s="3175"/>
      <c r="J137" s="3176">
        <v>0</v>
      </c>
      <c r="K137" s="3175"/>
      <c r="L137" s="3175"/>
      <c r="M137" s="3175"/>
      <c r="N137" s="3175"/>
      <c r="O137" s="2871">
        <v>0</v>
      </c>
      <c r="P137" s="2872"/>
      <c r="Q137" s="2872"/>
      <c r="R137" s="2872"/>
      <c r="S137" s="2872"/>
      <c r="T137" s="2884">
        <f>E137-J137-O137</f>
        <v>110000</v>
      </c>
      <c r="U137" s="2884"/>
      <c r="V137" s="2884"/>
      <c r="W137" s="2884"/>
      <c r="X137" s="2884"/>
    </row>
    <row r="138" spans="1:27" ht="23.25" customHeight="1">
      <c r="A138" s="2879" t="s">
        <v>131</v>
      </c>
      <c r="B138" s="2879"/>
      <c r="C138" s="2879"/>
      <c r="D138" s="2879"/>
      <c r="E138" s="3177">
        <f>'報告_保健P20-22'!M50</f>
        <v>700000</v>
      </c>
      <c r="F138" s="3177"/>
      <c r="G138" s="3177"/>
      <c r="H138" s="3177"/>
      <c r="I138" s="3177"/>
      <c r="J138" s="3177">
        <f>保健_決算精算表!C30</f>
        <v>513236</v>
      </c>
      <c r="K138" s="3177"/>
      <c r="L138" s="3177"/>
      <c r="M138" s="3177"/>
      <c r="N138" s="3177"/>
      <c r="O138" s="2881">
        <f>G52</f>
        <v>30544</v>
      </c>
      <c r="P138" s="2881"/>
      <c r="Q138" s="2881"/>
      <c r="R138" s="2881"/>
      <c r="S138" s="2881"/>
      <c r="T138" s="2882">
        <f>E138-J138-O138</f>
        <v>156220</v>
      </c>
      <c r="U138" s="2882"/>
      <c r="V138" s="2882"/>
      <c r="W138" s="2882"/>
      <c r="X138" s="2882"/>
    </row>
    <row r="139" spans="1:27" s="699" customFormat="1" ht="23.25" customHeight="1">
      <c r="A139" s="2618" t="s">
        <v>879</v>
      </c>
      <c r="B139" s="2618"/>
      <c r="C139" s="2618"/>
      <c r="D139" s="2618"/>
      <c r="E139" s="2873">
        <f>SUM(E136:I138)</f>
        <v>7956000</v>
      </c>
      <c r="F139" s="2873"/>
      <c r="G139" s="2873"/>
      <c r="H139" s="2873"/>
      <c r="I139" s="2873"/>
      <c r="J139" s="2873">
        <f>SUM(J136:N138)</f>
        <v>7023266</v>
      </c>
      <c r="K139" s="2873"/>
      <c r="L139" s="2873"/>
      <c r="M139" s="2873"/>
      <c r="N139" s="2873"/>
      <c r="O139" s="2873">
        <f>SUM(O136:S138)</f>
        <v>30544</v>
      </c>
      <c r="P139" s="2873"/>
      <c r="Q139" s="2873"/>
      <c r="R139" s="2873"/>
      <c r="S139" s="2873"/>
      <c r="T139" s="2883">
        <f>SUM(T136:X138)</f>
        <v>902190</v>
      </c>
      <c r="U139" s="2883"/>
      <c r="V139" s="2883"/>
      <c r="W139" s="2883"/>
      <c r="X139" s="2883"/>
    </row>
    <row r="140" spans="1:27" s="699" customFormat="1" ht="30" customHeight="1">
      <c r="A140" s="732"/>
      <c r="B140" s="732"/>
      <c r="C140" s="732"/>
      <c r="D140" s="732"/>
      <c r="E140" s="290"/>
      <c r="F140" s="290"/>
      <c r="G140" s="290"/>
      <c r="H140" s="290"/>
      <c r="I140" s="290"/>
      <c r="J140" s="290"/>
      <c r="K140" s="290"/>
      <c r="L140" s="290"/>
      <c r="M140" s="290"/>
      <c r="N140" s="290"/>
      <c r="O140" s="290"/>
      <c r="P140" s="290"/>
      <c r="Q140" s="290"/>
      <c r="R140" s="290"/>
      <c r="S140" s="290"/>
      <c r="T140" s="290"/>
    </row>
    <row r="141" spans="1:27" ht="21" customHeight="1">
      <c r="A141" s="732"/>
      <c r="B141" s="732"/>
      <c r="C141" s="732"/>
      <c r="D141" s="732"/>
      <c r="E141" s="732"/>
      <c r="F141" s="732"/>
      <c r="G141" s="290"/>
      <c r="H141" s="290"/>
      <c r="I141" s="2413" t="s">
        <v>872</v>
      </c>
      <c r="J141" s="2413"/>
      <c r="K141" s="2413"/>
      <c r="L141" s="2413"/>
      <c r="M141" s="2413"/>
      <c r="N141" s="2413"/>
      <c r="O141" s="2413"/>
      <c r="P141" s="2413"/>
      <c r="Q141" s="734"/>
      <c r="R141" s="734"/>
      <c r="S141" s="735"/>
      <c r="T141" s="735"/>
    </row>
    <row r="142" spans="1:27" ht="9" customHeight="1"/>
    <row r="143" spans="1:27" s="699" customFormat="1" ht="22.5" customHeight="1">
      <c r="A143" s="2414" t="s">
        <v>873</v>
      </c>
      <c r="B143" s="2414"/>
      <c r="C143" s="2414"/>
      <c r="D143" s="2414"/>
      <c r="E143" s="2415" t="s">
        <v>874</v>
      </c>
      <c r="F143" s="2415"/>
      <c r="G143" s="2415"/>
      <c r="H143" s="2415"/>
      <c r="I143" s="2415" t="s">
        <v>875</v>
      </c>
      <c r="J143" s="2415"/>
      <c r="K143" s="2415"/>
      <c r="L143" s="2415"/>
      <c r="M143" s="2415" t="s">
        <v>876</v>
      </c>
      <c r="N143" s="2415"/>
      <c r="O143" s="2415"/>
      <c r="P143" s="2415"/>
      <c r="Q143" s="2416" t="s">
        <v>877</v>
      </c>
      <c r="R143" s="2416"/>
      <c r="S143" s="2416"/>
      <c r="T143" s="2416"/>
      <c r="U143" s="2417" t="s">
        <v>878</v>
      </c>
      <c r="V143" s="2417"/>
      <c r="W143" s="2417"/>
      <c r="X143" s="2417"/>
    </row>
    <row r="144" spans="1:27" s="699" customFormat="1" ht="9" customHeight="1">
      <c r="A144" s="2418"/>
      <c r="B144" s="2418"/>
      <c r="C144" s="2418"/>
      <c r="D144" s="2418"/>
      <c r="E144" s="2419" t="s">
        <v>551</v>
      </c>
      <c r="F144" s="2419"/>
      <c r="G144" s="2419"/>
      <c r="H144" s="2419"/>
      <c r="I144" s="2419" t="s">
        <v>551</v>
      </c>
      <c r="J144" s="2419"/>
      <c r="K144" s="2419"/>
      <c r="L144" s="2419"/>
      <c r="M144" s="2419" t="s">
        <v>551</v>
      </c>
      <c r="N144" s="2419"/>
      <c r="O144" s="2419"/>
      <c r="P144" s="2419"/>
      <c r="Q144" s="2419" t="s">
        <v>551</v>
      </c>
      <c r="R144" s="2419"/>
      <c r="S144" s="2419"/>
      <c r="T144" s="2419"/>
      <c r="U144" s="2420"/>
      <c r="V144" s="2420"/>
      <c r="W144" s="2420"/>
      <c r="X144" s="2420"/>
    </row>
    <row r="145" spans="1:24" s="699" customFormat="1" ht="23.25" hidden="1" customHeight="1" outlineLevel="1">
      <c r="A145" s="2398" t="s">
        <v>243</v>
      </c>
      <c r="B145" s="2398"/>
      <c r="C145" s="2398"/>
      <c r="D145" s="2398"/>
      <c r="E145" s="2876"/>
      <c r="F145" s="2876"/>
      <c r="G145" s="2876"/>
      <c r="H145" s="2876"/>
      <c r="I145" s="2877">
        <v>0</v>
      </c>
      <c r="J145" s="2876"/>
      <c r="K145" s="2876"/>
      <c r="L145" s="2876"/>
      <c r="M145" s="2876"/>
      <c r="N145" s="2876"/>
      <c r="O145" s="2876"/>
      <c r="P145" s="2876"/>
      <c r="Q145" s="2872">
        <f>E145+I145-M145</f>
        <v>0</v>
      </c>
      <c r="R145" s="2872"/>
      <c r="S145" s="2872"/>
      <c r="T145" s="2872"/>
      <c r="U145" s="2875" t="s">
        <v>1151</v>
      </c>
      <c r="V145" s="2875"/>
      <c r="W145" s="2875"/>
      <c r="X145" s="2875"/>
    </row>
    <row r="146" spans="1:24" s="699" customFormat="1" ht="23.25" hidden="1" customHeight="1" outlineLevel="1">
      <c r="A146" s="2878" t="s">
        <v>201</v>
      </c>
      <c r="B146" s="2878"/>
      <c r="C146" s="2878"/>
      <c r="D146" s="2878"/>
      <c r="E146" s="2872"/>
      <c r="F146" s="2872"/>
      <c r="G146" s="2872"/>
      <c r="H146" s="2872"/>
      <c r="I146" s="2871">
        <v>0</v>
      </c>
      <c r="J146" s="2872"/>
      <c r="K146" s="2872"/>
      <c r="L146" s="2872"/>
      <c r="M146" s="2872"/>
      <c r="N146" s="2872"/>
      <c r="O146" s="2872"/>
      <c r="P146" s="2872"/>
      <c r="Q146" s="2872">
        <f>E146+I146-M146</f>
        <v>0</v>
      </c>
      <c r="R146" s="2872"/>
      <c r="S146" s="2872"/>
      <c r="T146" s="2872"/>
      <c r="U146" s="2875" t="s">
        <v>1151</v>
      </c>
      <c r="V146" s="2875"/>
      <c r="W146" s="2875"/>
      <c r="X146" s="2875"/>
    </row>
    <row r="147" spans="1:24" s="699" customFormat="1" ht="23.25" customHeight="1">
      <c r="A147" s="2398" t="s">
        <v>225</v>
      </c>
      <c r="B147" s="2398"/>
      <c r="C147" s="2398"/>
      <c r="D147" s="2398"/>
      <c r="E147" s="3175">
        <f>前年度貼付!$E$282</f>
        <v>270947604</v>
      </c>
      <c r="F147" s="3175"/>
      <c r="G147" s="3175"/>
      <c r="H147" s="3175"/>
      <c r="I147" s="3175">
        <f>保健_財務諸表!C60</f>
        <v>14265140</v>
      </c>
      <c r="J147" s="3175"/>
      <c r="K147" s="3175"/>
      <c r="L147" s="3175"/>
      <c r="M147" s="2872">
        <f>保健_財務諸表!G50</f>
        <v>0</v>
      </c>
      <c r="N147" s="2872"/>
      <c r="O147" s="2872"/>
      <c r="P147" s="2872"/>
      <c r="Q147" s="2872">
        <f>E147+I147-M147</f>
        <v>285212744</v>
      </c>
      <c r="R147" s="2872"/>
      <c r="S147" s="2872"/>
      <c r="T147" s="2872"/>
      <c r="U147" s="2875"/>
      <c r="V147" s="2875"/>
      <c r="W147" s="2875"/>
      <c r="X147" s="2875"/>
    </row>
    <row r="148" spans="1:24" ht="23.25" customHeight="1">
      <c r="A148" s="2404" t="s">
        <v>879</v>
      </c>
      <c r="B148" s="2404"/>
      <c r="C148" s="2404"/>
      <c r="D148" s="2404"/>
      <c r="E148" s="2873">
        <f>SUM(E145:H147)</f>
        <v>270947604</v>
      </c>
      <c r="F148" s="2873"/>
      <c r="G148" s="2873"/>
      <c r="H148" s="2873"/>
      <c r="I148" s="2873">
        <f>SUM(I145:L147)</f>
        <v>14265140</v>
      </c>
      <c r="J148" s="2873"/>
      <c r="K148" s="2873"/>
      <c r="L148" s="2873"/>
      <c r="M148" s="2873">
        <f>SUM(M145:P147)</f>
        <v>0</v>
      </c>
      <c r="N148" s="2873"/>
      <c r="O148" s="2873"/>
      <c r="P148" s="2873"/>
      <c r="Q148" s="2873">
        <f>SUM(Q145:T147)</f>
        <v>285212744</v>
      </c>
      <c r="R148" s="2873"/>
      <c r="S148" s="2873"/>
      <c r="T148" s="2873"/>
      <c r="U148" s="2867"/>
      <c r="V148" s="2867"/>
      <c r="W148" s="2867"/>
      <c r="X148" s="2867"/>
    </row>
    <row r="149" spans="1:24" ht="21" customHeight="1">
      <c r="A149" s="732"/>
      <c r="B149" s="732"/>
      <c r="C149" s="732"/>
      <c r="D149" s="732"/>
      <c r="E149" s="827"/>
      <c r="F149" s="827"/>
      <c r="G149" s="827"/>
      <c r="H149" s="827"/>
      <c r="I149" s="290"/>
      <c r="J149" s="290"/>
      <c r="K149" s="290"/>
      <c r="L149" s="290"/>
      <c r="M149" s="290"/>
      <c r="N149" s="290"/>
      <c r="O149" s="290"/>
      <c r="P149" s="290"/>
      <c r="Q149" s="290"/>
      <c r="R149" s="290"/>
      <c r="S149" s="290"/>
      <c r="T149" s="290"/>
      <c r="U149" s="740"/>
      <c r="V149" s="740"/>
      <c r="W149" s="740"/>
      <c r="X149" s="740"/>
    </row>
    <row r="150" spans="1:24" ht="21" hidden="1" customHeight="1">
      <c r="A150" s="732"/>
      <c r="B150" s="732"/>
      <c r="C150" s="732"/>
      <c r="D150" s="732"/>
      <c r="E150" s="290"/>
      <c r="F150" s="290"/>
      <c r="G150" s="290"/>
      <c r="H150" s="290"/>
      <c r="I150" s="290"/>
      <c r="J150" s="290"/>
      <c r="K150" s="290"/>
      <c r="L150" s="290"/>
      <c r="M150" s="290"/>
      <c r="N150" s="290"/>
      <c r="O150" s="290"/>
      <c r="P150" s="290"/>
      <c r="Q150" s="290"/>
      <c r="R150" s="290"/>
      <c r="S150" s="290"/>
      <c r="T150" s="290"/>
      <c r="U150" s="740"/>
      <c r="V150" s="740"/>
      <c r="W150" s="740"/>
      <c r="X150" s="740"/>
    </row>
    <row r="151" spans="1:24" ht="21" hidden="1" customHeight="1">
      <c r="I151" s="2396" t="s">
        <v>1152</v>
      </c>
      <c r="J151" s="2396"/>
      <c r="K151" s="2396"/>
      <c r="L151" s="2396"/>
      <c r="M151" s="2396"/>
      <c r="N151" s="2396"/>
      <c r="O151" s="2396"/>
      <c r="P151" s="2396"/>
      <c r="Q151" s="584"/>
      <c r="R151" s="584"/>
      <c r="S151" s="584"/>
      <c r="T151" s="584"/>
    </row>
    <row r="152" spans="1:24" ht="9" hidden="1" customHeight="1"/>
    <row r="153" spans="1:24" s="699" customFormat="1" ht="22.5" hidden="1" customHeight="1">
      <c r="A153" s="2414" t="s">
        <v>873</v>
      </c>
      <c r="B153" s="2414"/>
      <c r="C153" s="2414"/>
      <c r="D153" s="2414"/>
      <c r="E153" s="2415" t="s">
        <v>874</v>
      </c>
      <c r="F153" s="2415"/>
      <c r="G153" s="2415"/>
      <c r="H153" s="2415"/>
      <c r="I153" s="2415" t="s">
        <v>875</v>
      </c>
      <c r="J153" s="2415"/>
      <c r="K153" s="2415"/>
      <c r="L153" s="2415"/>
      <c r="M153" s="2415" t="s">
        <v>876</v>
      </c>
      <c r="N153" s="2415"/>
      <c r="O153" s="2415"/>
      <c r="P153" s="2415"/>
      <c r="Q153" s="2416" t="s">
        <v>877</v>
      </c>
      <c r="R153" s="2416"/>
      <c r="S153" s="2416"/>
      <c r="T153" s="2416"/>
      <c r="U153" s="2417" t="s">
        <v>878</v>
      </c>
      <c r="V153" s="2417"/>
      <c r="W153" s="2417"/>
      <c r="X153" s="2417"/>
    </row>
    <row r="154" spans="1:24" ht="9" hidden="1" customHeight="1">
      <c r="A154" s="2418"/>
      <c r="B154" s="2418"/>
      <c r="C154" s="2418"/>
      <c r="D154" s="2418"/>
      <c r="E154" s="2419" t="s">
        <v>551</v>
      </c>
      <c r="F154" s="2419"/>
      <c r="G154" s="2419"/>
      <c r="H154" s="2419"/>
      <c r="I154" s="2419" t="s">
        <v>551</v>
      </c>
      <c r="J154" s="2419"/>
      <c r="K154" s="2419"/>
      <c r="L154" s="2419"/>
      <c r="M154" s="2419" t="s">
        <v>551</v>
      </c>
      <c r="N154" s="2419"/>
      <c r="O154" s="2419"/>
      <c r="P154" s="2419"/>
      <c r="Q154" s="2419" t="s">
        <v>551</v>
      </c>
      <c r="R154" s="2419"/>
      <c r="S154" s="2419"/>
      <c r="T154" s="2419"/>
      <c r="U154" s="2420"/>
      <c r="V154" s="2420"/>
      <c r="W154" s="2420"/>
      <c r="X154" s="2420"/>
    </row>
    <row r="155" spans="1:24" ht="23.25" hidden="1" customHeight="1">
      <c r="A155" s="2870" t="s">
        <v>244</v>
      </c>
      <c r="B155" s="2870"/>
      <c r="C155" s="2870"/>
      <c r="D155" s="2870"/>
      <c r="E155" s="2871">
        <v>0</v>
      </c>
      <c r="F155" s="2872"/>
      <c r="G155" s="2872"/>
      <c r="H155" s="2872"/>
      <c r="I155" s="2871">
        <v>0</v>
      </c>
      <c r="J155" s="2872"/>
      <c r="K155" s="2872"/>
      <c r="L155" s="2872"/>
      <c r="M155" s="2871">
        <v>0</v>
      </c>
      <c r="N155" s="2872"/>
      <c r="O155" s="2872"/>
      <c r="P155" s="2872"/>
      <c r="Q155" s="2872">
        <f>E155+I155-M155</f>
        <v>0</v>
      </c>
      <c r="R155" s="2872"/>
      <c r="S155" s="2872"/>
      <c r="T155" s="2872"/>
      <c r="U155" s="1579"/>
      <c r="V155" s="1580"/>
      <c r="W155" s="1580"/>
      <c r="X155" s="1581"/>
    </row>
    <row r="156" spans="1:24" ht="23.25" hidden="1" customHeight="1">
      <c r="A156" s="2404" t="s">
        <v>879</v>
      </c>
      <c r="B156" s="2404"/>
      <c r="C156" s="2404"/>
      <c r="D156" s="2404"/>
      <c r="E156" s="2873">
        <f>SUM(E155)</f>
        <v>0</v>
      </c>
      <c r="F156" s="2873"/>
      <c r="G156" s="2873"/>
      <c r="H156" s="2873"/>
      <c r="I156" s="2873">
        <f>SUM(I155)</f>
        <v>0</v>
      </c>
      <c r="J156" s="2873"/>
      <c r="K156" s="2873"/>
      <c r="L156" s="2873"/>
      <c r="M156" s="2873">
        <f>SUM(M155)</f>
        <v>0</v>
      </c>
      <c r="N156" s="2873"/>
      <c r="O156" s="2873"/>
      <c r="P156" s="2873"/>
      <c r="Q156" s="2873">
        <f>SUM(Q155)</f>
        <v>0</v>
      </c>
      <c r="R156" s="2873"/>
      <c r="S156" s="2873"/>
      <c r="T156" s="2873"/>
      <c r="U156" s="2867"/>
      <c r="V156" s="2867"/>
      <c r="W156" s="2867"/>
      <c r="X156" s="2867"/>
    </row>
    <row r="157" spans="1:24" ht="30" customHeight="1">
      <c r="A157" s="732"/>
      <c r="B157" s="732"/>
      <c r="C157" s="732"/>
      <c r="D157" s="732"/>
      <c r="E157" s="732"/>
      <c r="F157" s="732"/>
      <c r="G157" s="290"/>
      <c r="H157" s="290"/>
      <c r="I157" s="290"/>
      <c r="J157" s="290"/>
      <c r="K157" s="290"/>
      <c r="L157" s="733"/>
      <c r="M157" s="734"/>
      <c r="N157" s="734"/>
      <c r="O157" s="734"/>
      <c r="P157" s="734"/>
      <c r="Q157" s="734"/>
      <c r="R157" s="734"/>
      <c r="S157" s="735"/>
      <c r="T157" s="735"/>
    </row>
    <row r="158" spans="1:24" s="699" customFormat="1" ht="20.25" customHeight="1">
      <c r="I158" s="2396" t="s">
        <v>880</v>
      </c>
      <c r="J158" s="2396"/>
      <c r="K158" s="2396"/>
      <c r="L158" s="2396"/>
      <c r="M158" s="2396"/>
      <c r="N158" s="2396"/>
      <c r="O158" s="2396"/>
      <c r="P158" s="2396"/>
      <c r="U158" s="210"/>
      <c r="V158" s="210"/>
      <c r="W158" s="210"/>
    </row>
    <row r="159" spans="1:24" s="699" customFormat="1" ht="6.75" customHeight="1">
      <c r="U159" s="210"/>
      <c r="V159" s="210"/>
      <c r="W159" s="210"/>
    </row>
    <row r="160" spans="1:24" s="699" customFormat="1" ht="20.25" customHeight="1">
      <c r="A160" s="210"/>
      <c r="B160" s="210"/>
      <c r="C160" s="210"/>
      <c r="D160" s="210"/>
      <c r="E160" s="210"/>
      <c r="F160" s="210"/>
      <c r="G160" s="3120"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60" s="3120"/>
      <c r="I160" s="3120"/>
      <c r="J160" s="3120"/>
      <c r="K160" s="3120"/>
      <c r="L160" s="3120"/>
      <c r="M160" s="3120"/>
      <c r="N160" s="3120"/>
      <c r="O160" s="3120"/>
      <c r="P160" s="3120"/>
      <c r="Q160" s="3120"/>
      <c r="R160" s="3120"/>
      <c r="S160" s="210"/>
      <c r="T160" s="210"/>
      <c r="W160" s="210"/>
    </row>
    <row r="161" spans="1:23" s="699" customFormat="1" ht="6.75" customHeight="1">
      <c r="A161" s="210"/>
      <c r="B161" s="210"/>
      <c r="C161" s="210"/>
      <c r="D161" s="210"/>
      <c r="E161" s="210"/>
      <c r="F161" s="210"/>
      <c r="G161" s="210"/>
      <c r="H161" s="210"/>
      <c r="I161" s="210"/>
      <c r="J161" s="210"/>
      <c r="K161" s="210"/>
      <c r="L161" s="210"/>
      <c r="M161" s="210"/>
      <c r="N161" s="210"/>
      <c r="O161" s="210"/>
      <c r="P161" s="210"/>
      <c r="Q161" s="210"/>
      <c r="R161" s="210"/>
      <c r="S161" s="210"/>
      <c r="T161" s="210"/>
      <c r="W161" s="210"/>
    </row>
    <row r="162" spans="1:23" s="699" customFormat="1" ht="23.25" customHeight="1">
      <c r="A162" s="210"/>
      <c r="B162" s="210"/>
      <c r="C162" s="1582" t="s">
        <v>881</v>
      </c>
      <c r="D162" s="2865" t="s">
        <v>1153</v>
      </c>
      <c r="E162" s="2865"/>
      <c r="F162" s="2865"/>
      <c r="G162" s="2865"/>
      <c r="H162" s="2865"/>
      <c r="I162" s="2865"/>
      <c r="J162" s="2865"/>
      <c r="K162" s="2865"/>
      <c r="L162" s="210"/>
      <c r="M162" s="210"/>
      <c r="N162" s="210"/>
      <c r="O162" s="210"/>
      <c r="P162" s="2868">
        <f>E147</f>
        <v>270947604</v>
      </c>
      <c r="Q162" s="2868"/>
      <c r="R162" s="2868"/>
      <c r="S162" s="2868"/>
      <c r="T162" s="2868"/>
      <c r="U162" s="290"/>
      <c r="V162" s="210" t="s">
        <v>551</v>
      </c>
      <c r="W162" s="210"/>
    </row>
    <row r="163" spans="1:23" s="699" customFormat="1" ht="23.25" customHeight="1">
      <c r="A163" s="210"/>
      <c r="B163" s="210"/>
      <c r="C163" s="1582" t="s">
        <v>883</v>
      </c>
      <c r="D163" s="2865" t="s">
        <v>884</v>
      </c>
      <c r="E163" s="2865"/>
      <c r="F163" s="2865"/>
      <c r="G163" s="2865"/>
      <c r="H163" s="2865"/>
      <c r="I163" s="2865"/>
      <c r="J163" s="2865"/>
      <c r="K163" s="2865"/>
      <c r="L163" s="210"/>
      <c r="M163" s="210"/>
      <c r="N163" s="210"/>
      <c r="O163" s="210"/>
      <c r="P163" s="2868">
        <f>保健_財務諸表!C60-保健_財務諸表!G50</f>
        <v>14265140</v>
      </c>
      <c r="Q163" s="2868"/>
      <c r="R163" s="2868"/>
      <c r="S163" s="2868"/>
      <c r="T163" s="2868"/>
      <c r="U163" s="290"/>
      <c r="V163" s="210" t="s">
        <v>551</v>
      </c>
    </row>
    <row r="164" spans="1:23" s="699" customFormat="1" ht="23.25" customHeight="1">
      <c r="A164" s="210"/>
      <c r="B164" s="210"/>
      <c r="C164" s="1582" t="s">
        <v>885</v>
      </c>
      <c r="D164" s="2865" t="s">
        <v>230</v>
      </c>
      <c r="E164" s="2865"/>
      <c r="F164" s="2865"/>
      <c r="G164" s="2865"/>
      <c r="H164" s="2865"/>
      <c r="I164" s="2865"/>
      <c r="J164" s="2865"/>
      <c r="K164" s="2865"/>
      <c r="L164" s="210"/>
      <c r="M164" s="210"/>
      <c r="N164" s="210"/>
      <c r="O164" s="210"/>
      <c r="P164" s="2869">
        <v>0</v>
      </c>
      <c r="Q164" s="2868"/>
      <c r="R164" s="2868"/>
      <c r="S164" s="2868"/>
      <c r="T164" s="2868"/>
      <c r="U164" s="290"/>
      <c r="V164" s="210" t="s">
        <v>551</v>
      </c>
      <c r="W164" s="210"/>
    </row>
    <row r="165" spans="1:23" s="699" customFormat="1" ht="13.5" hidden="1" customHeight="1" outlineLevel="1">
      <c r="A165" s="210"/>
      <c r="B165" s="210"/>
      <c r="C165" s="1582"/>
      <c r="D165" s="1583"/>
      <c r="E165" s="2863" t="s">
        <v>245</v>
      </c>
      <c r="F165" s="2863"/>
      <c r="G165" s="2863"/>
      <c r="H165" s="2863"/>
      <c r="I165" s="2863"/>
      <c r="J165" s="2863"/>
      <c r="K165" s="2863"/>
      <c r="L165" s="2863"/>
      <c r="M165" s="2863"/>
      <c r="N165" s="2863"/>
      <c r="O165" s="2863"/>
      <c r="P165" s="2863"/>
      <c r="Q165" s="2863"/>
      <c r="R165" s="2864">
        <v>22319232</v>
      </c>
      <c r="S165" s="2029"/>
      <c r="T165" s="2029"/>
      <c r="U165" s="290"/>
      <c r="V165" s="210" t="s">
        <v>551</v>
      </c>
      <c r="W165" s="210"/>
    </row>
    <row r="166" spans="1:23" s="699" customFormat="1" ht="13.5" hidden="1" customHeight="1" outlineLevel="1">
      <c r="A166" s="210"/>
      <c r="B166" s="210"/>
      <c r="C166" s="1582"/>
      <c r="D166" s="1583"/>
      <c r="E166" s="1584" t="s">
        <v>1154</v>
      </c>
      <c r="F166" s="1585"/>
      <c r="G166" s="1585"/>
      <c r="H166" s="1585"/>
      <c r="I166" s="1585"/>
      <c r="J166" s="1585"/>
      <c r="K166" s="1585"/>
      <c r="L166" s="1585"/>
      <c r="M166" s="1586"/>
      <c r="N166" s="1586"/>
      <c r="O166" s="1586"/>
      <c r="P166" s="1585"/>
      <c r="Q166" s="1549"/>
      <c r="R166" s="2864">
        <v>1115961</v>
      </c>
      <c r="S166" s="2029"/>
      <c r="T166" s="2029"/>
      <c r="U166" s="290"/>
      <c r="V166" s="210" t="s">
        <v>551</v>
      </c>
      <c r="W166" s="210"/>
    </row>
    <row r="167" spans="1:23" ht="23.25" customHeight="1">
      <c r="A167" s="210"/>
      <c r="B167" s="210"/>
      <c r="C167" s="210"/>
      <c r="D167" s="2865" t="s">
        <v>1153</v>
      </c>
      <c r="E167" s="2865"/>
      <c r="F167" s="2865"/>
      <c r="G167" s="2865"/>
      <c r="H167" s="2865"/>
      <c r="I167" s="2865"/>
      <c r="J167" s="2865"/>
      <c r="K167" s="2865"/>
      <c r="L167" s="210"/>
      <c r="M167" s="210"/>
      <c r="N167" s="210"/>
      <c r="O167" s="210"/>
      <c r="P167" s="699"/>
      <c r="Q167" s="2866">
        <f>P162+P163+P164</f>
        <v>285212744</v>
      </c>
      <c r="R167" s="2866"/>
      <c r="S167" s="2866"/>
      <c r="T167" s="2866"/>
      <c r="U167" s="1587"/>
      <c r="V167" s="1588" t="s">
        <v>551</v>
      </c>
    </row>
    <row r="168" spans="1:23" ht="14.25" customHeight="1">
      <c r="A168" s="699"/>
      <c r="B168" s="699"/>
      <c r="C168" s="699"/>
      <c r="D168" s="699"/>
      <c r="E168" s="699"/>
      <c r="F168" s="699"/>
      <c r="G168" s="699"/>
      <c r="H168" s="699"/>
      <c r="I168" s="699"/>
      <c r="J168" s="699"/>
      <c r="K168" s="699"/>
      <c r="L168" s="699"/>
      <c r="M168" s="699"/>
      <c r="N168" s="699"/>
      <c r="O168" s="699"/>
      <c r="P168" s="699"/>
      <c r="Q168" s="699"/>
      <c r="R168" s="699"/>
      <c r="S168" s="699"/>
      <c r="T168" s="699"/>
    </row>
    <row r="175" spans="1:23" ht="38.25" customHeight="1"/>
    <row r="188" ht="38.25" customHeight="1"/>
  </sheetData>
  <sheetProtection formatCells="0" formatColumns="0" formatRows="0" insertColumns="0" insertRows="0" insertHyperlinks="0" deleteColumns="0" deleteRows="0" selectLockedCells="1"/>
  <mergeCells count="534">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A10:F10"/>
    <mergeCell ref="G10:L10"/>
    <mergeCell ref="M10:R10"/>
    <mergeCell ref="S10:X10"/>
    <mergeCell ref="A12:F12"/>
    <mergeCell ref="G12:L12"/>
    <mergeCell ref="M12:Q12"/>
    <mergeCell ref="S12:X12"/>
    <mergeCell ref="A13:F13"/>
    <mergeCell ref="G13:L13"/>
    <mergeCell ref="M13:Q13"/>
    <mergeCell ref="S13:X13"/>
    <mergeCell ref="I15:P15"/>
    <mergeCell ref="A17:F17"/>
    <mergeCell ref="G17:L17"/>
    <mergeCell ref="M17:R17"/>
    <mergeCell ref="S17:X17"/>
    <mergeCell ref="A19:F19"/>
    <mergeCell ref="G19:L19"/>
    <mergeCell ref="M19:Q19"/>
    <mergeCell ref="S19:X19"/>
    <mergeCell ref="A20:F20"/>
    <mergeCell ref="G20:L20"/>
    <mergeCell ref="M20:Q20"/>
    <mergeCell ref="S20:X20"/>
    <mergeCell ref="I22:P22"/>
    <mergeCell ref="A24:F24"/>
    <mergeCell ref="G24:L24"/>
    <mergeCell ref="M24:R24"/>
    <mergeCell ref="S24:X24"/>
    <mergeCell ref="A26:F26"/>
    <mergeCell ref="G26:K26"/>
    <mergeCell ref="M26:R26"/>
    <mergeCell ref="S26:X26"/>
    <mergeCell ref="A27:F27"/>
    <mergeCell ref="G27:K27"/>
    <mergeCell ref="M27:R27"/>
    <mergeCell ref="S27:X27"/>
    <mergeCell ref="I29:P29"/>
    <mergeCell ref="A31:F31"/>
    <mergeCell ref="G31:L31"/>
    <mergeCell ref="M31:R31"/>
    <mergeCell ref="S31:X31"/>
    <mergeCell ref="A33:F33"/>
    <mergeCell ref="G33:K33"/>
    <mergeCell ref="M33:R33"/>
    <mergeCell ref="S33:X33"/>
    <mergeCell ref="A34:F34"/>
    <mergeCell ref="G34:K34"/>
    <mergeCell ref="M34:R34"/>
    <mergeCell ref="S34:X34"/>
    <mergeCell ref="A35:F35"/>
    <mergeCell ref="G35:K35"/>
    <mergeCell ref="M35:R35"/>
    <mergeCell ref="S35:X35"/>
    <mergeCell ref="I37:P37"/>
    <mergeCell ref="A39:F39"/>
    <mergeCell ref="G39:L39"/>
    <mergeCell ref="M39:R39"/>
    <mergeCell ref="S39:X39"/>
    <mergeCell ref="A41:F41"/>
    <mergeCell ref="G41:K41"/>
    <mergeCell ref="M41:R41"/>
    <mergeCell ref="S41:X41"/>
    <mergeCell ref="A42:F42"/>
    <mergeCell ref="G42:K42"/>
    <mergeCell ref="M42:R42"/>
    <mergeCell ref="S42:X42"/>
    <mergeCell ref="A43:F43"/>
    <mergeCell ref="G43:K43"/>
    <mergeCell ref="M43:R43"/>
    <mergeCell ref="S43:X43"/>
    <mergeCell ref="I46:P46"/>
    <mergeCell ref="A48:F48"/>
    <mergeCell ref="G48:L48"/>
    <mergeCell ref="M48:R48"/>
    <mergeCell ref="S48:X48"/>
    <mergeCell ref="A50:F50"/>
    <mergeCell ref="G50:K50"/>
    <mergeCell ref="M50:R50"/>
    <mergeCell ref="S50:X50"/>
    <mergeCell ref="A51:F51"/>
    <mergeCell ref="G51:K51"/>
    <mergeCell ref="M51:R51"/>
    <mergeCell ref="S51:X51"/>
    <mergeCell ref="A52:F52"/>
    <mergeCell ref="G52:K52"/>
    <mergeCell ref="M52:R52"/>
    <mergeCell ref="S52:X52"/>
    <mergeCell ref="A53:F53"/>
    <mergeCell ref="G53:K53"/>
    <mergeCell ref="M53:R53"/>
    <mergeCell ref="S53:X53"/>
    <mergeCell ref="A54:F54"/>
    <mergeCell ref="G54:K54"/>
    <mergeCell ref="M54:R54"/>
    <mergeCell ref="S54:X54"/>
    <mergeCell ref="A55:F55"/>
    <mergeCell ref="G55:K55"/>
    <mergeCell ref="M55:R55"/>
    <mergeCell ref="S55:X55"/>
    <mergeCell ref="A56:F56"/>
    <mergeCell ref="G56:K56"/>
    <mergeCell ref="M56:R56"/>
    <mergeCell ref="S56:X56"/>
    <mergeCell ref="A57:F57"/>
    <mergeCell ref="G57:K57"/>
    <mergeCell ref="M57:R57"/>
    <mergeCell ref="S57:X57"/>
    <mergeCell ref="A58:F58"/>
    <mergeCell ref="G58:K58"/>
    <mergeCell ref="M58:R58"/>
    <mergeCell ref="S58:X58"/>
    <mergeCell ref="A59:F59"/>
    <mergeCell ref="G59:K59"/>
    <mergeCell ref="M59:R59"/>
    <mergeCell ref="S59:X59"/>
    <mergeCell ref="A60:F60"/>
    <mergeCell ref="G60:K60"/>
    <mergeCell ref="M60:R60"/>
    <mergeCell ref="S60:X60"/>
    <mergeCell ref="A61:F61"/>
    <mergeCell ref="G61:K61"/>
    <mergeCell ref="M61:R61"/>
    <mergeCell ref="S61:X61"/>
    <mergeCell ref="I63:P63"/>
    <mergeCell ref="Q63:X63"/>
    <mergeCell ref="A65:F65"/>
    <mergeCell ref="G65:L65"/>
    <mergeCell ref="M65:R65"/>
    <mergeCell ref="S65:X65"/>
    <mergeCell ref="A67:F67"/>
    <mergeCell ref="G67:K67"/>
    <mergeCell ref="M67:R67"/>
    <mergeCell ref="S67:X67"/>
    <mergeCell ref="A68:F68"/>
    <mergeCell ref="G68:K68"/>
    <mergeCell ref="M68:R68"/>
    <mergeCell ref="S68:X68"/>
    <mergeCell ref="A69:F69"/>
    <mergeCell ref="G69:K69"/>
    <mergeCell ref="M69:R69"/>
    <mergeCell ref="S69:X69"/>
    <mergeCell ref="A70:F70"/>
    <mergeCell ref="G70:K70"/>
    <mergeCell ref="M70:R70"/>
    <mergeCell ref="S70:X70"/>
    <mergeCell ref="I72:P72"/>
    <mergeCell ref="Q72:X72"/>
    <mergeCell ref="A74:F74"/>
    <mergeCell ref="G74:L74"/>
    <mergeCell ref="M74:R74"/>
    <mergeCell ref="S74:X74"/>
    <mergeCell ref="A76:F76"/>
    <mergeCell ref="G76:K76"/>
    <mergeCell ref="M76:R76"/>
    <mergeCell ref="S76:X76"/>
    <mergeCell ref="A77:F77"/>
    <mergeCell ref="G77:K77"/>
    <mergeCell ref="M77:R77"/>
    <mergeCell ref="S77:X77"/>
    <mergeCell ref="A78:F78"/>
    <mergeCell ref="G78:K78"/>
    <mergeCell ref="M78:R78"/>
    <mergeCell ref="S78:X78"/>
    <mergeCell ref="A79:F79"/>
    <mergeCell ref="G79:K79"/>
    <mergeCell ref="M79:R79"/>
    <mergeCell ref="S79:X79"/>
    <mergeCell ref="I81:P81"/>
    <mergeCell ref="Q81:X81"/>
    <mergeCell ref="A83:F83"/>
    <mergeCell ref="G83:L83"/>
    <mergeCell ref="M83:R83"/>
    <mergeCell ref="S83:X83"/>
    <mergeCell ref="A85:F85"/>
    <mergeCell ref="G85:K85"/>
    <mergeCell ref="M85:R85"/>
    <mergeCell ref="S85:X85"/>
    <mergeCell ref="A86:F86"/>
    <mergeCell ref="G86:K86"/>
    <mergeCell ref="M86:R86"/>
    <mergeCell ref="S86:X86"/>
    <mergeCell ref="I88:P88"/>
    <mergeCell ref="Q88:X88"/>
    <mergeCell ref="A90:C90"/>
    <mergeCell ref="D90:F90"/>
    <mergeCell ref="G90:I90"/>
    <mergeCell ref="J90:L90"/>
    <mergeCell ref="M90:O90"/>
    <mergeCell ref="P90:R90"/>
    <mergeCell ref="S90:U90"/>
    <mergeCell ref="V90:X90"/>
    <mergeCell ref="A91:C91"/>
    <mergeCell ref="D91:F91"/>
    <mergeCell ref="G91:I91"/>
    <mergeCell ref="J91:L91"/>
    <mergeCell ref="M91:O91"/>
    <mergeCell ref="P91:R91"/>
    <mergeCell ref="S91:U91"/>
    <mergeCell ref="V91:X92"/>
    <mergeCell ref="A92:C92"/>
    <mergeCell ref="D92:F92"/>
    <mergeCell ref="G92:I92"/>
    <mergeCell ref="J92:L92"/>
    <mergeCell ref="M92:O92"/>
    <mergeCell ref="P92:R92"/>
    <mergeCell ref="S92:U92"/>
    <mergeCell ref="A93:C93"/>
    <mergeCell ref="D93:F93"/>
    <mergeCell ref="G93:I93"/>
    <mergeCell ref="J93:L93"/>
    <mergeCell ref="M93:O93"/>
    <mergeCell ref="P93:R93"/>
    <mergeCell ref="S93:U93"/>
    <mergeCell ref="V93:X93"/>
    <mergeCell ref="A94:C94"/>
    <mergeCell ref="D94:F94"/>
    <mergeCell ref="G94:I94"/>
    <mergeCell ref="J94:L94"/>
    <mergeCell ref="M94:O94"/>
    <mergeCell ref="P94:R94"/>
    <mergeCell ref="S94:U94"/>
    <mergeCell ref="A95:C95"/>
    <mergeCell ref="D95:F95"/>
    <mergeCell ref="G95:I95"/>
    <mergeCell ref="J95:L95"/>
    <mergeCell ref="M95:O95"/>
    <mergeCell ref="P95:R95"/>
    <mergeCell ref="S95:U95"/>
    <mergeCell ref="V95:X95"/>
    <mergeCell ref="I97:P97"/>
    <mergeCell ref="Q97:X97"/>
    <mergeCell ref="A99:C99"/>
    <mergeCell ref="D99:E99"/>
    <mergeCell ref="F99:H99"/>
    <mergeCell ref="I99:K99"/>
    <mergeCell ref="L99:N99"/>
    <mergeCell ref="O99:Q99"/>
    <mergeCell ref="R99:T99"/>
    <mergeCell ref="U99:X99"/>
    <mergeCell ref="A100:C100"/>
    <mergeCell ref="D100:E100"/>
    <mergeCell ref="F100:H100"/>
    <mergeCell ref="I100:K100"/>
    <mergeCell ref="L100:N100"/>
    <mergeCell ref="O100:Q100"/>
    <mergeCell ref="R100:T100"/>
    <mergeCell ref="A101:C101"/>
    <mergeCell ref="D101:E101"/>
    <mergeCell ref="F101:H101"/>
    <mergeCell ref="I101:K101"/>
    <mergeCell ref="L101:N101"/>
    <mergeCell ref="O101:Q101"/>
    <mergeCell ref="R101:T101"/>
    <mergeCell ref="U101:X103"/>
    <mergeCell ref="A102:C102"/>
    <mergeCell ref="D102:E102"/>
    <mergeCell ref="F102:H102"/>
    <mergeCell ref="I102:K102"/>
    <mergeCell ref="L102:N102"/>
    <mergeCell ref="O102:Q102"/>
    <mergeCell ref="R102:T102"/>
    <mergeCell ref="A103:C103"/>
    <mergeCell ref="D103:E103"/>
    <mergeCell ref="F103:H103"/>
    <mergeCell ref="I103:K103"/>
    <mergeCell ref="L103:N103"/>
    <mergeCell ref="O103:Q103"/>
    <mergeCell ref="R103:T103"/>
    <mergeCell ref="A104:C104"/>
    <mergeCell ref="D104:E104"/>
    <mergeCell ref="F104:H104"/>
    <mergeCell ref="I104:K104"/>
    <mergeCell ref="L104:N104"/>
    <mergeCell ref="O104:Q104"/>
    <mergeCell ref="R104:T104"/>
    <mergeCell ref="U104:X104"/>
    <mergeCell ref="A105:C105"/>
    <mergeCell ref="D105:E105"/>
    <mergeCell ref="F105:H105"/>
    <mergeCell ref="I105:K105"/>
    <mergeCell ref="L105:N105"/>
    <mergeCell ref="O105:Q105"/>
    <mergeCell ref="R105:T105"/>
    <mergeCell ref="A106:C106"/>
    <mergeCell ref="D106:E106"/>
    <mergeCell ref="F106:H106"/>
    <mergeCell ref="I106:K106"/>
    <mergeCell ref="L106:N106"/>
    <mergeCell ref="O106:Q106"/>
    <mergeCell ref="R106:T106"/>
    <mergeCell ref="U106:X106"/>
    <mergeCell ref="A107:C107"/>
    <mergeCell ref="D107:E107"/>
    <mergeCell ref="F107:H107"/>
    <mergeCell ref="I107:K107"/>
    <mergeCell ref="L107:N107"/>
    <mergeCell ref="O107:Q107"/>
    <mergeCell ref="R107:T107"/>
    <mergeCell ref="U107:X111"/>
    <mergeCell ref="A108:C108"/>
    <mergeCell ref="D108:E108"/>
    <mergeCell ref="F108:H108"/>
    <mergeCell ref="I108:K108"/>
    <mergeCell ref="L108:N108"/>
    <mergeCell ref="O108:Q108"/>
    <mergeCell ref="R108:T108"/>
    <mergeCell ref="A109:C109"/>
    <mergeCell ref="D109:E109"/>
    <mergeCell ref="F109:H109"/>
    <mergeCell ref="I109:K109"/>
    <mergeCell ref="L109:N109"/>
    <mergeCell ref="O109:Q109"/>
    <mergeCell ref="R109:T109"/>
    <mergeCell ref="A110:C110"/>
    <mergeCell ref="D110:E110"/>
    <mergeCell ref="F110:H110"/>
    <mergeCell ref="I110:K110"/>
    <mergeCell ref="L110:N110"/>
    <mergeCell ref="O110:Q110"/>
    <mergeCell ref="R110:T110"/>
    <mergeCell ref="A111:C111"/>
    <mergeCell ref="D111:E111"/>
    <mergeCell ref="F111:H111"/>
    <mergeCell ref="I111:K111"/>
    <mergeCell ref="L111:N111"/>
    <mergeCell ref="O111:Q111"/>
    <mergeCell ref="R111:T111"/>
    <mergeCell ref="A112:C112"/>
    <mergeCell ref="D112:E112"/>
    <mergeCell ref="F112:H112"/>
    <mergeCell ref="I112:K112"/>
    <mergeCell ref="L112:N112"/>
    <mergeCell ref="O112:Q112"/>
    <mergeCell ref="R112:T112"/>
    <mergeCell ref="A113:C113"/>
    <mergeCell ref="D113:E113"/>
    <mergeCell ref="F113:H113"/>
    <mergeCell ref="I113:K113"/>
    <mergeCell ref="L113:N113"/>
    <mergeCell ref="O113:Q113"/>
    <mergeCell ref="R113:T113"/>
    <mergeCell ref="A114:C114"/>
    <mergeCell ref="D114:E114"/>
    <mergeCell ref="F114:H114"/>
    <mergeCell ref="I114:K114"/>
    <mergeCell ref="L114:N114"/>
    <mergeCell ref="O114:Q114"/>
    <mergeCell ref="R114:T114"/>
    <mergeCell ref="A115:C115"/>
    <mergeCell ref="D115:E115"/>
    <mergeCell ref="F115:H115"/>
    <mergeCell ref="I115:K115"/>
    <mergeCell ref="L115:N115"/>
    <mergeCell ref="O115:Q115"/>
    <mergeCell ref="R115:T115"/>
    <mergeCell ref="U115:X115"/>
    <mergeCell ref="A116:C116"/>
    <mergeCell ref="D116:E116"/>
    <mergeCell ref="F116:H116"/>
    <mergeCell ref="I116:K116"/>
    <mergeCell ref="L116:N116"/>
    <mergeCell ref="O116:Q116"/>
    <mergeCell ref="R116:T116"/>
    <mergeCell ref="U116:X116"/>
    <mergeCell ref="I118:P118"/>
    <mergeCell ref="A120:D120"/>
    <mergeCell ref="E120:H120"/>
    <mergeCell ref="I120:L120"/>
    <mergeCell ref="M120:P120"/>
    <mergeCell ref="Q120:T120"/>
    <mergeCell ref="U120:X120"/>
    <mergeCell ref="A121:D121"/>
    <mergeCell ref="E121:H121"/>
    <mergeCell ref="I121:L121"/>
    <mergeCell ref="M121:P121"/>
    <mergeCell ref="Q121:T121"/>
    <mergeCell ref="A122:D122"/>
    <mergeCell ref="E122:H122"/>
    <mergeCell ref="I122:L122"/>
    <mergeCell ref="M122:P122"/>
    <mergeCell ref="Q122:T122"/>
    <mergeCell ref="U122:X122"/>
    <mergeCell ref="A123:D123"/>
    <mergeCell ref="E123:H123"/>
    <mergeCell ref="I123:L123"/>
    <mergeCell ref="M123:P123"/>
    <mergeCell ref="Q123:T123"/>
    <mergeCell ref="U123:X123"/>
    <mergeCell ref="I125:P125"/>
    <mergeCell ref="A127:D127"/>
    <mergeCell ref="E127:H127"/>
    <mergeCell ref="I127:L127"/>
    <mergeCell ref="M127:P127"/>
    <mergeCell ref="Q127:T127"/>
    <mergeCell ref="U127:X127"/>
    <mergeCell ref="A128:D128"/>
    <mergeCell ref="E128:H128"/>
    <mergeCell ref="I128:L128"/>
    <mergeCell ref="M128:P128"/>
    <mergeCell ref="Q128:T128"/>
    <mergeCell ref="U128:X128"/>
    <mergeCell ref="A129:D129"/>
    <mergeCell ref="E129:H129"/>
    <mergeCell ref="I129:L129"/>
    <mergeCell ref="M129:P129"/>
    <mergeCell ref="Q129:T129"/>
    <mergeCell ref="A130:D130"/>
    <mergeCell ref="E130:H130"/>
    <mergeCell ref="I130:L130"/>
    <mergeCell ref="M130:P130"/>
    <mergeCell ref="Q130:T130"/>
    <mergeCell ref="U130:X130"/>
    <mergeCell ref="I132:P132"/>
    <mergeCell ref="A134:D134"/>
    <mergeCell ref="E134:I134"/>
    <mergeCell ref="J134:N134"/>
    <mergeCell ref="O134:S134"/>
    <mergeCell ref="T134:X134"/>
    <mergeCell ref="A135:D135"/>
    <mergeCell ref="E135:I135"/>
    <mergeCell ref="J135:N135"/>
    <mergeCell ref="O135:S135"/>
    <mergeCell ref="T135:X135"/>
    <mergeCell ref="A136:D136"/>
    <mergeCell ref="E136:I136"/>
    <mergeCell ref="J136:N136"/>
    <mergeCell ref="O136:S136"/>
    <mergeCell ref="T136:X136"/>
    <mergeCell ref="A137:D137"/>
    <mergeCell ref="E137:I137"/>
    <mergeCell ref="J137:N137"/>
    <mergeCell ref="O137:S137"/>
    <mergeCell ref="T137:X137"/>
    <mergeCell ref="A138:D138"/>
    <mergeCell ref="E138:I138"/>
    <mergeCell ref="J138:N138"/>
    <mergeCell ref="O138:S138"/>
    <mergeCell ref="T138:X138"/>
    <mergeCell ref="A139:D139"/>
    <mergeCell ref="E139:I139"/>
    <mergeCell ref="J139:N139"/>
    <mergeCell ref="O139:S139"/>
    <mergeCell ref="T139:X139"/>
    <mergeCell ref="I141:P141"/>
    <mergeCell ref="A143:D143"/>
    <mergeCell ref="E143:H143"/>
    <mergeCell ref="I143:L143"/>
    <mergeCell ref="M143:P143"/>
    <mergeCell ref="Q143:T143"/>
    <mergeCell ref="U143:X143"/>
    <mergeCell ref="A144:D144"/>
    <mergeCell ref="E144:H144"/>
    <mergeCell ref="I144:L144"/>
    <mergeCell ref="M144:P144"/>
    <mergeCell ref="Q144:T144"/>
    <mergeCell ref="U144:X144"/>
    <mergeCell ref="A145:D145"/>
    <mergeCell ref="E145:H145"/>
    <mergeCell ref="I145:L145"/>
    <mergeCell ref="M145:P145"/>
    <mergeCell ref="Q145:T145"/>
    <mergeCell ref="U145:X145"/>
    <mergeCell ref="A146:D146"/>
    <mergeCell ref="E146:H146"/>
    <mergeCell ref="I146:L146"/>
    <mergeCell ref="M146:P146"/>
    <mergeCell ref="Q146:T146"/>
    <mergeCell ref="U146:X146"/>
    <mergeCell ref="A147:D147"/>
    <mergeCell ref="E147:H147"/>
    <mergeCell ref="I147:L147"/>
    <mergeCell ref="M147:P147"/>
    <mergeCell ref="Q147:T147"/>
    <mergeCell ref="U147:X147"/>
    <mergeCell ref="A148:D148"/>
    <mergeCell ref="E148:H148"/>
    <mergeCell ref="I148:L148"/>
    <mergeCell ref="M148:P148"/>
    <mergeCell ref="Q148:T148"/>
    <mergeCell ref="U148:X148"/>
    <mergeCell ref="I151:P151"/>
    <mergeCell ref="A153:D153"/>
    <mergeCell ref="E153:H153"/>
    <mergeCell ref="I153:L153"/>
    <mergeCell ref="M153:P153"/>
    <mergeCell ref="Q153:T153"/>
    <mergeCell ref="U153:X153"/>
    <mergeCell ref="A154:D154"/>
    <mergeCell ref="E154:H154"/>
    <mergeCell ref="I154:L154"/>
    <mergeCell ref="M154:P154"/>
    <mergeCell ref="Q154:T154"/>
    <mergeCell ref="U154:X154"/>
    <mergeCell ref="A155:D155"/>
    <mergeCell ref="E155:H155"/>
    <mergeCell ref="I155:L155"/>
    <mergeCell ref="M155:P155"/>
    <mergeCell ref="Q155:T155"/>
    <mergeCell ref="A156:D156"/>
    <mergeCell ref="E156:H156"/>
    <mergeCell ref="I156:L156"/>
    <mergeCell ref="M156:P156"/>
    <mergeCell ref="Q156:T156"/>
    <mergeCell ref="E165:Q165"/>
    <mergeCell ref="R165:T165"/>
    <mergeCell ref="R166:T166"/>
    <mergeCell ref="D167:K167"/>
    <mergeCell ref="Q167:T167"/>
    <mergeCell ref="U156:X156"/>
    <mergeCell ref="I158:P158"/>
    <mergeCell ref="G160:R160"/>
    <mergeCell ref="D162:K162"/>
    <mergeCell ref="P162:T162"/>
    <mergeCell ref="D163:K163"/>
    <mergeCell ref="P163:T163"/>
    <mergeCell ref="D164:K164"/>
    <mergeCell ref="P164:T164"/>
  </mergeCells>
  <phoneticPr fontId="155"/>
  <conditionalFormatting sqref="D92 D93 D94 D105 D107 D108 D109 D110 D111 D112 D113 D114 E122 E155 F101 F102 F103 F105 F107 F108 F109 F110 F111 F112 F113 F114 G33 G34 G41 G50 G51 G52 G53 G54 G56 G57 G58 G59 G60 G67 G76 G77 G92 G93 G94 I101 I102 I103 I105 I107 I108 I109 I110 I111 I112 I113 I114 I122 I145 I146 I155 J92 J93 J94 J137 L101 L102 L103 L105 L107 L108 L109 L110 L111 L112 L113 L114 M5 M12 M19 M122 M155 O101 O102 O103 O105 O107 O108 O109 O110 O111 O112 O113 O114 O137 P164 R165 R166 S56">
    <cfRule type="expression" dxfId="6" priority="1">
      <formula>AND(入力色表示=1,NOT(_xlfn.ISFORMULA(D92)))</formula>
    </cfRule>
  </conditionalFormatting>
  <dataValidations count="68">
    <dataValidation allowBlank="1" showInputMessage="1" promptTitle="手入力セル" prompt="反映先：保健_附属明細表 D95,M92&#10;他の帳票：保健_決算精算表" sqref="D92"/>
    <dataValidation allowBlank="1" showInputMessage="1" promptTitle="手入力セル" prompt="反映先：保健_附属明細表 D95,M93&#10;他の帳票：保健_決算精算表" sqref="D93"/>
    <dataValidation allowBlank="1" showInputMessage="1" promptTitle="手入力セル" prompt="反映先：保健_附属明細表 D95,M94&#10;他の帳票：保健_決算精算表" sqref="D94"/>
    <dataValidation allowBlank="1" showInputMessage="1" promptTitle="手入力セル" prompt="反映先：なし（このセルのみ）" sqref="D105 D107 D108 D109 D110 D111 D112 D113 D114 R165 R166"/>
    <dataValidation allowBlank="1" showInputMessage="1" promptTitle="手入力セル" prompt="反映先：保健_附属明細表 E123,Q122&#10;他の帳票：保健_財務諸表" sqref="E122"/>
    <dataValidation allowBlank="1" showInputMessage="1" promptTitle="手入力セル" prompt="反映先：保健_附属明細表 E156,Q155&#10;他の帳票：なし" sqref="E155"/>
    <dataValidation allowBlank="1" showInputMessage="1" promptTitle="手入力セル" prompt="反映先：保健_附属明細表 F104,R101&#10;他の帳票：なし" sqref="F101"/>
    <dataValidation allowBlank="1" showInputMessage="1" promptTitle="手入力セル" prompt="反映先：保健_附属明細表 F104,R102&#10;他の帳票：なし" sqref="F102"/>
    <dataValidation allowBlank="1" showInputMessage="1" promptTitle="手入力セル" prompt="反映先：保健_附属明細表 F104,R103&#10;他の帳票：なし" sqref="F103"/>
    <dataValidation allowBlank="1" showInputMessage="1" promptTitle="手入力セル" prompt="反映先：保健_附属明細表 F106,R105&#10;他の帳票：なし" sqref="F105"/>
    <dataValidation allowBlank="1" showInputMessage="1" promptTitle="手入力セル" prompt="反映先：保健_附属明細表 F115,R107&#10;他の帳票：なし" sqref="F107"/>
    <dataValidation allowBlank="1" showInputMessage="1" promptTitle="手入力セル" prompt="反映先：保健_附属明細表 F115,R108&#10;他の帳票：なし" sqref="F108"/>
    <dataValidation allowBlank="1" showInputMessage="1" promptTitle="手入力セル" prompt="反映先：保健_附属明細表 F115,R109&#10;他の帳票：なし" sqref="F109"/>
    <dataValidation allowBlank="1" showInputMessage="1" promptTitle="手入力セル" prompt="反映先：保健_附属明細表 F115,R110&#10;他の帳票：なし" sqref="F110"/>
    <dataValidation allowBlank="1" showInputMessage="1" promptTitle="手入力セル" prompt="反映先：保健_附属明細表 F115,R111&#10;他の帳票：なし" sqref="F111"/>
    <dataValidation allowBlank="1" showInputMessage="1" promptTitle="手入力セル" prompt="反映先：保健_附属明細表 F115,R112&#10;他の帳票：なし" sqref="F112"/>
    <dataValidation allowBlank="1" showInputMessage="1" promptTitle="手入力セル" prompt="反映先：保健_附属明細表 F115,R113&#10;他の帳票：なし" sqref="F113"/>
    <dataValidation allowBlank="1" showInputMessage="1" promptTitle="手入力セル" prompt="反映先：保健_附属明細表 F115,R114&#10;他の帳票：なし" sqref="F114"/>
    <dataValidation allowBlank="1" showInputMessage="1" promptTitle="手入力セル" prompt="反映先：保健_附属明細表 G35&#10;他の帳票：保健_財務諸表" sqref="G33 G34"/>
    <dataValidation allowBlank="1" showInputMessage="1" promptTitle="手入力セル" prompt="反映先：保健_附属明細表 G43、保健_決算精算表 F46&#10;他の帳票：報告_保健P20-22、保健_財務諸表、保健_決算精算表" sqref="G41"/>
    <dataValidation allowBlank="1" showInputMessage="1" promptTitle="手入力セル" prompt="反映先：保健_附属明細表 G61、保健_決算精算表 B28&#10;他の帳票：報告_保健P20-22、保健_財務諸表、保健_決算精算表" sqref="G50"/>
    <dataValidation allowBlank="1" showInputMessage="1" promptTitle="手入力セル" prompt="反映先：保健_附属明細表 G61、保健_決算精算表 B29&#10;他の帳票：報告_保健P20-22、保健_財務諸表、保健_決算精算表" sqref="G51"/>
    <dataValidation allowBlank="1" showInputMessage="1" promptTitle="手入力セル" prompt="反映先：保健_附属明細表 G61,O138、保健_決算精算表 B30&#10;他の帳票：報告_保健P20-22、保健_財務諸表、保健_決算精算表" sqref="G52"/>
    <dataValidation allowBlank="1" showInputMessage="1" promptTitle="手入力セル" prompt="反映先：保健_附属明細表 G61&#10;他の帳票：保健_財務諸表、保健_決算精算表" sqref="G53"/>
    <dataValidation allowBlank="1" showInputMessage="1" promptTitle="手入力セル" prompt="反映先：保健_附属明細表 G61、保健_決算精算表 B33&#10;他の帳票：報告_保健P20-22、保健_財務諸表、保健_決算精算表" sqref="G54"/>
    <dataValidation allowBlank="1" showInputMessage="1" promptTitle="手入力セル" prompt="反映先：保健_附属明細表 G61、保健_決算精算表 B36&#10;他の帳票：報告_保健P20-22、保健_財務諸表、保健_決算精算表" sqref="G56"/>
    <dataValidation allowBlank="1" showInputMessage="1" promptTitle="手入力セル" prompt="反映先：保健_附属明細表 G61、保健_決算精算表 B37&#10;他の帳票：報告_保健P20-22、保健_財務諸表、保健_決算精算表" sqref="G57"/>
    <dataValidation allowBlank="1" showInputMessage="1" promptTitle="手入力セル" prompt="反映先：保健_附属明細表 G61、保健_決算精算表 B40&#10;他の帳票：報告_保健P20-22、保健_財務諸表、保健_決算精算表" sqref="G58"/>
    <dataValidation allowBlank="1" showInputMessage="1" promptTitle="手入力セル" prompt="反映先：保健_附属明細表 G61、保健_決算精算表 B46&#10;他の帳票：報告_保健P20-22、保健_財務諸表、保健_決算精算表" sqref="G59"/>
    <dataValidation allowBlank="1" showInputMessage="1" promptTitle="手入力セル" prompt="反映先：保健_附属明細表 G61、保健_決算精算表 B39&#10;他の帳票：報告_保健P20-22、保健_財務諸表、保健_決算精算表" sqref="G60"/>
    <dataValidation allowBlank="1" showInputMessage="1" promptTitle="手入力セル" prompt="反映先：保健_附属明細表 G70、保健_決算精算表 B37&#10;他の帳票：報告_保健P20-22、保健_財務諸表、保健_決算精算表" sqref="G67"/>
    <dataValidation allowBlank="1" showInputMessage="1" promptTitle="手入力セル" prompt="反映先：保健_附属明細表 G79&#10;他の帳票：保健_財務諸表、保健_決算精算表" sqref="G76 G77"/>
    <dataValidation allowBlank="1" showInputMessage="1" promptTitle="手入力セル" prompt="反映先：保健_附属明細表 G95,M92&#10;他の帳票：保健_決算精算表" sqref="G92"/>
    <dataValidation allowBlank="1" showInputMessage="1" promptTitle="手入力セル" prompt="反映先：保健_附属明細表 G95,M93&#10;他の帳票：保健_決算精算表" sqref="G93"/>
    <dataValidation allowBlank="1" showInputMessage="1" promptTitle="手入力セル" prompt="反映先：保健_附属明細表 G95,M94&#10;他の帳票：保健_決算精算表" sqref="G94"/>
    <dataValidation allowBlank="1" showInputMessage="1" promptTitle="手入力セル" prompt="反映先：保健_附属明細表 I104&#10;他の帳票：報告_保健P20-22、保健_財務諸表、保健_決算精算表" sqref="I101 I102 I103"/>
    <dataValidation allowBlank="1" showInputMessage="1" promptTitle="手入力セル" prompt="反映先：保健_附属明細表 I106&#10;他の帳票：報告_保健P20-22、保健_財務諸表、保健_決算精算表" sqref="I105"/>
    <dataValidation allowBlank="1" showInputMessage="1" promptTitle="手入力セル" prompt="反映先：保健_附属明細表 I115&#10;他の帳票：報告_保健P20-22、保健_財務諸表、保健_決算精算表" sqref="I107 I108 I109 I110 I111 I112 I113 I114"/>
    <dataValidation allowBlank="1" showInputMessage="1" promptTitle="手入力セル" prompt="反映先：保健_附属明細表 I123,Q122&#10;他の帳票：保健_財務諸表" sqref="I122"/>
    <dataValidation allowBlank="1" showInputMessage="1" promptTitle="手入力セル" prompt="反映先：保健_附属明細表 I148,Q145&#10;他の帳票：保健_財務諸表、保健_決算精算表" sqref="I145"/>
    <dataValidation allowBlank="1" showInputMessage="1" promptTitle="手入力セル" prompt="反映先：保健_附属明細表 I148,Q146&#10;他の帳票：保健_財務諸表、保健_決算精算表" sqref="I146"/>
    <dataValidation allowBlank="1" showInputMessage="1" promptTitle="手入力セル" prompt="反映先：保健_附属明細表 I156,Q155&#10;他の帳票：なし" sqref="I155"/>
    <dataValidation allowBlank="1" showInputMessage="1" promptTitle="手入力セル" prompt="反映先：保健_附属明細表 J95,M92&#10;他の帳票：保健_決算精算表" sqref="J92"/>
    <dataValidation allowBlank="1" showInputMessage="1" promptTitle="手入力セル" prompt="反映先：保健_附属明細表 J95,M93&#10;他の帳票：保健_決算精算表" sqref="J93"/>
    <dataValidation allowBlank="1" showInputMessage="1" promptTitle="手入力セル" prompt="反映先：保健_附属明細表 J95,M94&#10;他の帳票：保健_決算精算表" sqref="J94"/>
    <dataValidation allowBlank="1" showInputMessage="1" promptTitle="手入力セル" prompt="反映先：保健_附属明細表 J139,T137&#10;他の帳票：なし" sqref="J137"/>
    <dataValidation allowBlank="1" showInputMessage="1" promptTitle="手入力セル" prompt="反映先：保健_附属明細表 L104,R101&#10;他の帳票：なし" sqref="L101"/>
    <dataValidation allowBlank="1" showInputMessage="1" promptTitle="手入力セル" prompt="反映先：保健_附属明細表 L104,R102&#10;他の帳票：なし" sqref="L102"/>
    <dataValidation allowBlank="1" showInputMessage="1" promptTitle="手入力セル" prompt="反映先：保健_附属明細表 L104,R103&#10;他の帳票：なし" sqref="L103"/>
    <dataValidation allowBlank="1" showInputMessage="1" promptTitle="手入力セル" prompt="反映先：保健_附属明細表 L106,R105&#10;他の帳票：なし" sqref="L105"/>
    <dataValidation allowBlank="1" showInputMessage="1" promptTitle="手入力セル" prompt="反映先：保健_附属明細表 L115,R107&#10;他の帳票：なし" sqref="L107"/>
    <dataValidation allowBlank="1" showInputMessage="1" promptTitle="手入力セル" prompt="反映先：保健_附属明細表 L115,R108&#10;他の帳票：なし" sqref="L108"/>
    <dataValidation allowBlank="1" showInputMessage="1" promptTitle="手入力セル" prompt="反映先：保健_附属明細表 L115,R109&#10;他の帳票：なし" sqref="L109"/>
    <dataValidation allowBlank="1" showInputMessage="1" promptTitle="手入力セル" prompt="反映先：保健_附属明細表 L115,R110&#10;他の帳票：なし" sqref="L110"/>
    <dataValidation allowBlank="1" showInputMessage="1" promptTitle="手入力セル" prompt="反映先：保健_附属明細表 L115,R111&#10;他の帳票：なし" sqref="L111"/>
    <dataValidation allowBlank="1" showInputMessage="1" promptTitle="手入力セル" prompt="反映先：保健_附属明細表 L115,R112&#10;他の帳票：なし" sqref="L112"/>
    <dataValidation allowBlank="1" showInputMessage="1" promptTitle="手入力セル" prompt="反映先：保健_附属明細表 L115,R113&#10;他の帳票：なし" sqref="L113"/>
    <dataValidation allowBlank="1" showInputMessage="1" promptTitle="手入力セル" prompt="反映先：保健_附属明細表 L115,R114&#10;他の帳票：なし" sqref="L114"/>
    <dataValidation allowBlank="1" showInputMessage="1" promptTitle="手入力セル" prompt="反映先：保健_附属明細表 M6&#10;他の帳票：保健_財務諸表、保健_決算精算表" sqref="M5"/>
    <dataValidation allowBlank="1" showInputMessage="1" promptTitle="手入力セル" prompt="反映先：保健_財務諸表 C8、保健_附属明細表 M13&#10;他の帳票：保健_財務諸表" sqref="M12"/>
    <dataValidation allowBlank="1" showInputMessage="1" promptTitle="手入力セル" prompt="反映先：保健_附属明細表 M20&#10;他の帳票：保健_財務諸表" sqref="M19"/>
    <dataValidation allowBlank="1" showInputMessage="1" promptTitle="手入力セル" prompt="反映先：保健_附属明細表 M123,Q122&#10;他の帳票：保健_財務諸表" sqref="M122"/>
    <dataValidation allowBlank="1" showInputMessage="1" promptTitle="手入力セル" prompt="反映先：保健_附属明細表 M156,Q155&#10;他の帳票：なし" sqref="M155"/>
    <dataValidation allowBlank="1" showInputMessage="1" promptTitle="手入力セル" prompt="反映先：保健_附属明細表 O104&#10;他の帳票：保健_財務諸表" sqref="O101 O102 O103"/>
    <dataValidation allowBlank="1" showInputMessage="1" promptTitle="手入力セル" prompt="反映先：保健_附属明細表 O106&#10;他の帳票：保健_財務諸表" sqref="O105"/>
    <dataValidation allowBlank="1" showInputMessage="1" promptTitle="手入力セル" prompt="反映先：保健_附属明細表 O115&#10;他の帳票：保健_財務諸表" sqref="O107 O108 O109 O110 O111 O112 O113 O114"/>
    <dataValidation allowBlank="1" showInputMessage="1" promptTitle="手入力セル" prompt="反映先：保健_附属明細表 O139,T137&#10;他の帳票：なし" sqref="O137"/>
    <dataValidation allowBlank="1" showInputMessage="1" promptTitle="手入力セル" prompt="反映先：保健_附属明細表 Q167&#10;他の帳票：なし" sqref="P164"/>
  </dataValidations>
  <pageMargins left="0.78749999999999998" right="0.39374999999999999" top="0.78749999999999998" bottom="0.78749999999999998" header="0.511811023622047" footer="0.31527777777777799"/>
  <pageSetup paperSize="9" scale="85" firstPageNumber="54" orientation="portrait" useFirstPageNumber="1" horizontalDpi="300" verticalDpi="300"/>
  <headerFooter>
    <oddFooter>&amp;C&amp;"ＭＳ 明朝,Regular"- &amp;P -</oddFooter>
  </headerFooter>
  <rowBreaks count="3" manualBreakCount="3">
    <brk id="62" max="16383" man="1"/>
    <brk id="96" max="16383" man="1"/>
    <brk id="140" max="16383" man="1"/>
  </rowBreaks>
  <drawing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9ECCC-A206-4C14-92F0-8CC3817D10BD}">
  <sheetPr codeName="Sheet46"/>
  <dimension ref="A1:IW188"/>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257" width="9" style="199"/>
  </cols>
  <sheetData>
    <row r="1" spans="1:8" ht="19.5" customHeight="1">
      <c r="A1" s="758"/>
      <c r="B1" s="758"/>
      <c r="C1" s="2490" t="s">
        <v>887</v>
      </c>
      <c r="D1" s="2490"/>
      <c r="E1" s="2490"/>
      <c r="F1" s="758"/>
      <c r="G1" s="758"/>
      <c r="H1" s="758"/>
    </row>
    <row r="2" spans="1:8" ht="6" customHeight="1">
      <c r="A2" s="758"/>
      <c r="B2" s="758"/>
      <c r="C2" s="759"/>
      <c r="D2" s="760"/>
      <c r="E2" s="760"/>
      <c r="F2" s="758"/>
      <c r="G2" s="758"/>
      <c r="H2" s="758"/>
    </row>
    <row r="3" spans="1:8" ht="18" customHeight="1">
      <c r="A3" s="761"/>
      <c r="B3" s="762"/>
      <c r="C3" s="2491" t="s">
        <v>1155</v>
      </c>
      <c r="D3" s="2491"/>
      <c r="E3" s="2491"/>
      <c r="F3" s="763"/>
      <c r="G3" s="764"/>
      <c r="H3" s="758"/>
    </row>
    <row r="4" spans="1:8" ht="18" customHeight="1">
      <c r="A4" s="765"/>
      <c r="B4" s="766"/>
      <c r="C4" s="767"/>
      <c r="D4" s="3121" t="str">
        <f>"令和"&amp;IF((入力ガイド!$C$6)&gt;=10,MID("０１２３４５６７８９",INT((入力ガイド!$C$6)/10)+1,1),"")&amp;MID("０１２３４５６７８９",MOD((入力ガイド!$C$6),10)+1,1)&amp;"年度"&amp;"分"</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3.5" customHeight="1">
      <c r="A8" s="778" t="s">
        <v>551</v>
      </c>
      <c r="B8" s="779" t="s">
        <v>551</v>
      </c>
      <c r="C8" s="780" t="s">
        <v>551</v>
      </c>
      <c r="D8" s="781"/>
      <c r="E8" s="780" t="s">
        <v>551</v>
      </c>
      <c r="F8" s="779" t="s">
        <v>551</v>
      </c>
      <c r="G8" s="1589" t="s">
        <v>551</v>
      </c>
      <c r="H8" s="758"/>
    </row>
    <row r="9" spans="1:8" ht="15" customHeight="1">
      <c r="A9" s="783">
        <f>SUM(B9:C9)</f>
        <v>332277800</v>
      </c>
      <c r="B9" s="784"/>
      <c r="C9" s="785">
        <f>保健_附属明細表!M6</f>
        <v>332277800</v>
      </c>
      <c r="D9" s="786" t="s">
        <v>895</v>
      </c>
      <c r="E9" s="787"/>
      <c r="F9" s="784"/>
      <c r="G9" s="788"/>
      <c r="H9" s="758"/>
    </row>
    <row r="10" spans="1:8" ht="15" customHeight="1">
      <c r="A10" s="789"/>
      <c r="B10" s="784"/>
      <c r="C10" s="785"/>
      <c r="D10" s="786" t="s">
        <v>896</v>
      </c>
      <c r="E10" s="787"/>
      <c r="F10" s="784"/>
      <c r="G10" s="788"/>
      <c r="H10" s="758"/>
    </row>
    <row r="11" spans="1:8" ht="15" customHeight="1">
      <c r="A11" s="789"/>
      <c r="B11" s="790"/>
      <c r="C11" s="791"/>
      <c r="D11" s="792" t="s">
        <v>897</v>
      </c>
      <c r="E11" s="793"/>
      <c r="F11" s="790"/>
      <c r="G11" s="796"/>
      <c r="H11" s="758"/>
    </row>
    <row r="12" spans="1:8" ht="15" customHeight="1">
      <c r="A12" s="789"/>
      <c r="B12" s="790"/>
      <c r="C12" s="791"/>
      <c r="D12" s="792" t="s">
        <v>1094</v>
      </c>
      <c r="E12" s="793"/>
      <c r="F12" s="790"/>
      <c r="G12" s="788"/>
      <c r="H12" s="758"/>
    </row>
    <row r="13" spans="1:8" ht="15" customHeight="1">
      <c r="A13" s="789"/>
      <c r="B13" s="790"/>
      <c r="C13" s="791"/>
      <c r="D13" s="792" t="s">
        <v>214</v>
      </c>
      <c r="E13" s="793"/>
      <c r="F13" s="790"/>
      <c r="G13" s="788"/>
      <c r="H13" s="758"/>
    </row>
    <row r="14" spans="1:8" ht="15" customHeight="1">
      <c r="A14" s="789">
        <f>SUM(B14:C14)</f>
        <v>129211081</v>
      </c>
      <c r="B14" s="790">
        <f>保健_附属明細表!G43</f>
        <v>129211081</v>
      </c>
      <c r="C14" s="791"/>
      <c r="D14" s="792" t="s">
        <v>898</v>
      </c>
      <c r="E14" s="793"/>
      <c r="F14" s="790"/>
      <c r="G14" s="796"/>
      <c r="H14" s="758"/>
    </row>
    <row r="15" spans="1:8" ht="15" customHeight="1">
      <c r="A15" s="789" t="str">
        <f>IF(SUM(B15:C15)-SUM(F15)=0,"",SUM(B15:C15)-SUM(F15))</f>
        <v/>
      </c>
      <c r="B15" s="790"/>
      <c r="C15" s="791" t="str">
        <f>IF(N(保健_附属明細表!M92)=0,"",保健_附属明細表!M92)</f>
        <v/>
      </c>
      <c r="D15" s="792" t="s">
        <v>238</v>
      </c>
      <c r="E15" s="793"/>
      <c r="F15" s="790" t="str">
        <f>IF(N(保健_附属明細表!P92)=0,"",保健_附属明細表!P92)</f>
        <v/>
      </c>
      <c r="G15" s="796"/>
      <c r="H15" s="758"/>
    </row>
    <row r="16" spans="1:8" ht="15" customHeight="1">
      <c r="A16" s="789" t="str">
        <f>IF(SUM(B16:C16)-SUM(F16)=0,"",SUM(B16:C16)-SUM(F16))</f>
        <v/>
      </c>
      <c r="B16" s="790"/>
      <c r="C16" s="791" t="str">
        <f>IF(N(保健_附属明細表!M93)=0,"",保健_附属明細表!M93)</f>
        <v/>
      </c>
      <c r="D16" s="792" t="s">
        <v>239</v>
      </c>
      <c r="E16" s="793"/>
      <c r="F16" s="790" t="str">
        <f>IF(N(保健_附属明細表!P93)=0,"",保健_附属明細表!P93)</f>
        <v/>
      </c>
      <c r="G16" s="796"/>
      <c r="H16" s="758"/>
    </row>
    <row r="17" spans="1:8" ht="15" customHeight="1">
      <c r="A17" s="789" t="str">
        <f>IF(SUM(B17:C17)-SUM(F17)=0,"",SUM(B17:C17)-SUM(F17))</f>
        <v/>
      </c>
      <c r="B17" s="790"/>
      <c r="C17" s="791" t="str">
        <f>IF(N(保健_附属明細表!M94)=0,"",保健_附属明細表!M94)</f>
        <v/>
      </c>
      <c r="D17" s="792" t="s">
        <v>222</v>
      </c>
      <c r="E17" s="793"/>
      <c r="F17" s="790" t="str">
        <f>IF(N(保健_附属明細表!P94)=0,"",保健_附属明細表!P94)</f>
        <v/>
      </c>
      <c r="G17" s="796"/>
      <c r="H17" s="758"/>
    </row>
    <row r="18" spans="1:8" ht="15" customHeight="1">
      <c r="A18" s="789"/>
      <c r="B18" s="790"/>
      <c r="C18" s="791"/>
      <c r="D18" s="792" t="s">
        <v>242</v>
      </c>
      <c r="E18" s="793"/>
      <c r="F18" s="790"/>
      <c r="G18" s="796"/>
      <c r="H18" s="758"/>
    </row>
    <row r="19" spans="1:8" ht="15" customHeight="1">
      <c r="A19" s="789"/>
      <c r="B19" s="790"/>
      <c r="C19" s="791"/>
      <c r="D19" s="792" t="s">
        <v>899</v>
      </c>
      <c r="E19" s="793"/>
      <c r="F19" s="790">
        <f>保健_附属明細表!G61</f>
        <v>175260287</v>
      </c>
      <c r="G19" s="796">
        <f>SUM(E19:F19)</f>
        <v>175260287</v>
      </c>
      <c r="H19" s="758"/>
    </row>
    <row r="20" spans="1:8" ht="15" customHeight="1">
      <c r="A20" s="789"/>
      <c r="B20" s="790"/>
      <c r="C20" s="791"/>
      <c r="D20" s="792" t="s">
        <v>997</v>
      </c>
      <c r="E20" s="793"/>
      <c r="F20" s="1590">
        <f>保健_附属明細表!G70</f>
        <v>0</v>
      </c>
      <c r="G20" s="1591">
        <f>SUM(E20:F20)</f>
        <v>0</v>
      </c>
      <c r="H20" s="758"/>
    </row>
    <row r="21" spans="1:8" ht="15" customHeight="1">
      <c r="A21" s="789"/>
      <c r="B21" s="790"/>
      <c r="C21" s="791"/>
      <c r="D21" s="792" t="s">
        <v>200</v>
      </c>
      <c r="E21" s="793"/>
      <c r="F21" s="790"/>
      <c r="G21" s="1591">
        <f>SUM(E21:F21)</f>
        <v>0</v>
      </c>
      <c r="H21" s="758"/>
    </row>
    <row r="22" spans="1:8" ht="15" customHeight="1">
      <c r="A22" s="789"/>
      <c r="B22" s="790"/>
      <c r="C22" s="791"/>
      <c r="D22" s="792" t="s">
        <v>900</v>
      </c>
      <c r="E22" s="793"/>
      <c r="F22" s="790"/>
      <c r="G22" s="796"/>
      <c r="H22" s="758"/>
    </row>
    <row r="23" spans="1:8" ht="15" customHeight="1">
      <c r="A23" s="789"/>
      <c r="B23" s="790"/>
      <c r="C23" s="791"/>
      <c r="D23" s="792" t="s">
        <v>221</v>
      </c>
      <c r="E23" s="793">
        <f>保健_附属明細表!G79</f>
        <v>1015850</v>
      </c>
      <c r="F23" s="790"/>
      <c r="G23" s="796">
        <f>SUM(E23:F23)</f>
        <v>1015850</v>
      </c>
      <c r="H23" s="758"/>
    </row>
    <row r="24" spans="1:8" ht="15" customHeight="1">
      <c r="A24" s="789"/>
      <c r="B24" s="790"/>
      <c r="C24" s="791"/>
      <c r="D24" s="792" t="s">
        <v>1095</v>
      </c>
      <c r="E24" s="793"/>
      <c r="F24" s="790"/>
      <c r="G24" s="1591">
        <f>E24+F24-B24</f>
        <v>0</v>
      </c>
      <c r="H24" s="758"/>
    </row>
    <row r="25" spans="1:8" ht="15" customHeight="1">
      <c r="A25" s="789"/>
      <c r="B25" s="790">
        <f>保健_附属明細表!I148+保健_附属明細表!M147</f>
        <v>14265140</v>
      </c>
      <c r="C25" s="791"/>
      <c r="D25" s="792" t="s">
        <v>1156</v>
      </c>
      <c r="E25" s="793">
        <f>保健_附属明細表!E148</f>
        <v>270947604</v>
      </c>
      <c r="F25" s="790">
        <f>保健_附属明細表!I148*2</f>
        <v>28530280</v>
      </c>
      <c r="G25" s="796">
        <f>E25+F25-B25</f>
        <v>285212744</v>
      </c>
      <c r="H25" s="758"/>
    </row>
    <row r="26" spans="1:8" ht="15" customHeight="1">
      <c r="A26" s="1592">
        <f>SUM(A9:A25)</f>
        <v>461488881</v>
      </c>
      <c r="B26" s="1593">
        <f>SUM(B9:B25)</f>
        <v>143476221</v>
      </c>
      <c r="C26" s="1594">
        <f>SUM(C9:C25)</f>
        <v>332277800</v>
      </c>
      <c r="D26" s="801" t="s">
        <v>903</v>
      </c>
      <c r="E26" s="1595">
        <f>SUM(E9:E25)</f>
        <v>271963454</v>
      </c>
      <c r="F26" s="1593">
        <f>SUM(F9:F25)</f>
        <v>203790567</v>
      </c>
      <c r="G26" s="1596">
        <f>SUM(G9:G25)</f>
        <v>461488881</v>
      </c>
      <c r="H26" s="758"/>
    </row>
    <row r="27" spans="1:8" ht="15" customHeight="1">
      <c r="A27" s="783">
        <f>SUM(B27:C27)-F27</f>
        <v>6510030</v>
      </c>
      <c r="B27" s="784"/>
      <c r="C27" s="1676">
        <v>6510030</v>
      </c>
      <c r="D27" s="786" t="s">
        <v>128</v>
      </c>
      <c r="E27" s="787"/>
      <c r="F27" s="784"/>
      <c r="G27" s="788"/>
      <c r="H27" s="758"/>
    </row>
    <row r="28" spans="1:8" ht="15" customHeight="1">
      <c r="A28" s="789">
        <f>SUM(B28:C28)-E28</f>
        <v>574362302</v>
      </c>
      <c r="B28" s="790">
        <f>保健_附属明細表!G50</f>
        <v>170769925</v>
      </c>
      <c r="C28" s="1677">
        <v>403592377</v>
      </c>
      <c r="D28" s="786" t="s">
        <v>129</v>
      </c>
      <c r="E28" s="793"/>
      <c r="F28" s="790"/>
      <c r="G28" s="796"/>
      <c r="H28" s="758"/>
    </row>
    <row r="29" spans="1:8" ht="15" customHeight="1">
      <c r="A29" s="789">
        <f>SUM(B29:C29)-F29</f>
        <v>20355535</v>
      </c>
      <c r="B29" s="790">
        <f>保健_附属明細表!G51</f>
        <v>3896573</v>
      </c>
      <c r="C29" s="1677">
        <v>16458962</v>
      </c>
      <c r="D29" s="792" t="s">
        <v>149</v>
      </c>
      <c r="E29" s="793"/>
      <c r="F29" s="790"/>
      <c r="G29" s="796"/>
      <c r="H29" s="758"/>
    </row>
    <row r="30" spans="1:8" ht="15" customHeight="1">
      <c r="A30" s="789">
        <f>SUM(B30:C30)-F30</f>
        <v>543780</v>
      </c>
      <c r="B30" s="819">
        <f>保健_附属明細表!G52</f>
        <v>30544</v>
      </c>
      <c r="C30" s="1677">
        <v>513236</v>
      </c>
      <c r="D30" s="792" t="s">
        <v>131</v>
      </c>
      <c r="E30" s="793"/>
      <c r="F30" s="790"/>
      <c r="G30" s="796"/>
      <c r="H30" s="758"/>
    </row>
    <row r="31" spans="1:8" ht="15" customHeight="1">
      <c r="A31" s="789">
        <f>SUM(B31:C31)</f>
        <v>170673</v>
      </c>
      <c r="B31" s="790"/>
      <c r="C31" s="1677">
        <v>170673</v>
      </c>
      <c r="D31" s="792" t="s">
        <v>150</v>
      </c>
      <c r="E31" s="793"/>
      <c r="F31" s="790"/>
      <c r="G31" s="796"/>
      <c r="H31" s="758"/>
    </row>
    <row r="32" spans="1:8" ht="15" customHeight="1">
      <c r="A32" s="789"/>
      <c r="B32" s="790"/>
      <c r="C32" s="791"/>
      <c r="D32" s="792" t="s">
        <v>132</v>
      </c>
      <c r="E32" s="793"/>
      <c r="F32" s="790"/>
      <c r="G32" s="796"/>
      <c r="H32" s="758"/>
    </row>
    <row r="33" spans="1:8" ht="15" customHeight="1">
      <c r="A33" s="789">
        <f>SUM(B33:C33)</f>
        <v>4535066</v>
      </c>
      <c r="B33" s="790">
        <f>保健_附属明細表!G54</f>
        <v>252450</v>
      </c>
      <c r="C33" s="1677">
        <v>4282616</v>
      </c>
      <c r="D33" s="792" t="s">
        <v>133</v>
      </c>
      <c r="E33" s="793"/>
      <c r="F33" s="819"/>
      <c r="G33" s="796"/>
      <c r="H33" s="758"/>
    </row>
    <row r="34" spans="1:8" ht="15" customHeight="1">
      <c r="A34" s="789"/>
      <c r="B34" s="790"/>
      <c r="C34" s="791"/>
      <c r="D34" s="792" t="s">
        <v>135</v>
      </c>
      <c r="E34" s="793"/>
      <c r="F34" s="819"/>
      <c r="G34" s="796"/>
      <c r="H34" s="758"/>
    </row>
    <row r="35" spans="1:8" ht="15" customHeight="1">
      <c r="A35" s="789"/>
      <c r="B35" s="790"/>
      <c r="C35" s="791"/>
      <c r="D35" s="792" t="s">
        <v>136</v>
      </c>
      <c r="E35" s="793"/>
      <c r="F35" s="819"/>
      <c r="G35" s="796"/>
      <c r="H35" s="758"/>
    </row>
    <row r="36" spans="1:8" ht="15" customHeight="1">
      <c r="A36" s="789">
        <f>SUM(B36:C36)</f>
        <v>28027</v>
      </c>
      <c r="B36" s="790">
        <f>保健_附属明細表!G56</f>
        <v>5274</v>
      </c>
      <c r="C36" s="1677">
        <v>22753</v>
      </c>
      <c r="D36" s="792" t="s">
        <v>151</v>
      </c>
      <c r="E36" s="793"/>
      <c r="F36" s="819"/>
      <c r="G36" s="796"/>
      <c r="H36" s="758"/>
    </row>
    <row r="37" spans="1:8" ht="15" customHeight="1">
      <c r="A37" s="789">
        <f>SUM(B37:C37)</f>
        <v>3453940</v>
      </c>
      <c r="B37" s="790">
        <f>保健_附属明細表!G57+保健_附属明細表!G67</f>
        <v>286501</v>
      </c>
      <c r="C37" s="1677">
        <v>3167439</v>
      </c>
      <c r="D37" s="792" t="s">
        <v>137</v>
      </c>
      <c r="E37" s="793"/>
      <c r="F37" s="779"/>
      <c r="G37" s="796"/>
      <c r="H37" s="758"/>
    </row>
    <row r="38" spans="1:8" ht="15" customHeight="1">
      <c r="A38" s="789"/>
      <c r="B38" s="790"/>
      <c r="C38" s="791"/>
      <c r="D38" s="792" t="s">
        <v>152</v>
      </c>
      <c r="E38" s="793"/>
      <c r="F38" s="1597"/>
      <c r="G38" s="796"/>
      <c r="H38" s="758"/>
    </row>
    <row r="39" spans="1:8" ht="15" customHeight="1">
      <c r="A39" s="789">
        <f>SUM(B39:C39)</f>
        <v>1768131</v>
      </c>
      <c r="B39" s="790">
        <f>保健_附属明細表!G60+F30</f>
        <v>0</v>
      </c>
      <c r="C39" s="1677">
        <v>1768131</v>
      </c>
      <c r="D39" s="792" t="s">
        <v>138</v>
      </c>
      <c r="E39" s="793"/>
      <c r="F39" s="790"/>
      <c r="G39" s="796"/>
      <c r="H39" s="758"/>
    </row>
    <row r="40" spans="1:8" ht="15" customHeight="1">
      <c r="A40" s="789">
        <f>SUM(B40:C40)</f>
        <v>565872</v>
      </c>
      <c r="B40" s="790">
        <f>保健_附属明細表!G58</f>
        <v>19020</v>
      </c>
      <c r="C40" s="1677">
        <v>546852</v>
      </c>
      <c r="D40" s="792" t="s">
        <v>125</v>
      </c>
      <c r="E40" s="793"/>
      <c r="F40" s="790"/>
      <c r="G40" s="796"/>
      <c r="H40" s="758"/>
    </row>
    <row r="41" spans="1:8" ht="15" customHeight="1">
      <c r="A41" s="789">
        <f>SUM(B41:C41)</f>
        <v>2868615</v>
      </c>
      <c r="B41" s="790"/>
      <c r="C41" s="1677">
        <v>2868615</v>
      </c>
      <c r="D41" s="792" t="s">
        <v>140</v>
      </c>
      <c r="E41" s="793"/>
      <c r="F41" s="790"/>
      <c r="G41" s="796"/>
      <c r="H41" s="758"/>
    </row>
    <row r="42" spans="1:8" ht="15" customHeight="1">
      <c r="A42" s="789" t="str">
        <f>IF(SUM(B42:C42)=0,"",SUM(B42:C42))</f>
        <v/>
      </c>
      <c r="B42" s="819" t="str">
        <f>IF(N(保健_附属明細表!I116)=0,"",保健_附属明細表!I116)</f>
        <v/>
      </c>
      <c r="C42" s="791"/>
      <c r="D42" s="792" t="s">
        <v>142</v>
      </c>
      <c r="E42" s="793"/>
      <c r="F42" s="790"/>
      <c r="G42" s="796"/>
      <c r="H42" s="758"/>
    </row>
    <row r="43" spans="1:8" ht="15" customHeight="1">
      <c r="A43" s="789"/>
      <c r="B43" s="819"/>
      <c r="C43" s="791"/>
      <c r="D43" s="792" t="s">
        <v>143</v>
      </c>
      <c r="E43" s="793"/>
      <c r="F43" s="790"/>
      <c r="G43" s="796"/>
      <c r="H43" s="758"/>
    </row>
    <row r="44" spans="1:8" ht="15" customHeight="1">
      <c r="A44" s="789"/>
      <c r="B44" s="819"/>
      <c r="C44" s="791"/>
      <c r="D44" s="792" t="s">
        <v>144</v>
      </c>
      <c r="E44" s="793"/>
      <c r="F44" s="790"/>
      <c r="G44" s="796"/>
      <c r="H44" s="758"/>
    </row>
    <row r="45" spans="1:8" ht="15" customHeight="1">
      <c r="A45" s="789">
        <f>MAX(0,SUM(G46:G51)-SUM(A27:A44))</f>
        <v>14265140</v>
      </c>
      <c r="B45" s="790">
        <f>A45</f>
        <v>14265140</v>
      </c>
      <c r="C45" s="791"/>
      <c r="D45" s="792" t="s">
        <v>828</v>
      </c>
      <c r="E45" s="793"/>
      <c r="F45" s="790"/>
      <c r="G45" s="796"/>
      <c r="H45" s="758"/>
    </row>
    <row r="46" spans="1:8" ht="15" customHeight="1">
      <c r="A46" s="789"/>
      <c r="B46" s="1590">
        <f>保健_附属明細表!G59</f>
        <v>0</v>
      </c>
      <c r="C46" s="791"/>
      <c r="D46" s="792" t="s">
        <v>125</v>
      </c>
      <c r="E46" s="793">
        <f>'報告_保健P20-22'!V20-F46+B46</f>
        <v>275957410</v>
      </c>
      <c r="F46" s="790">
        <f>保健_附属明細表!G41</f>
        <v>129211081</v>
      </c>
      <c r="G46" s="796">
        <f>SUM(E46:F46)-B46</f>
        <v>405168491</v>
      </c>
      <c r="H46" s="758"/>
    </row>
    <row r="47" spans="1:8" ht="15" customHeight="1">
      <c r="A47" s="789"/>
      <c r="B47" s="790"/>
      <c r="C47" s="1598"/>
      <c r="D47" s="792" t="s">
        <v>196</v>
      </c>
      <c r="E47" s="793">
        <f>'報告_保健P20-22'!V24</f>
        <v>224153980</v>
      </c>
      <c r="F47" s="790"/>
      <c r="G47" s="796">
        <f>SUM(E47:F47)</f>
        <v>224153980</v>
      </c>
      <c r="H47" s="758"/>
    </row>
    <row r="48" spans="1:8" ht="15" customHeight="1">
      <c r="A48" s="789"/>
      <c r="B48" s="790"/>
      <c r="C48" s="1598"/>
      <c r="D48" s="792" t="s">
        <v>147</v>
      </c>
      <c r="E48" s="793"/>
      <c r="F48" s="790"/>
      <c r="G48" s="796"/>
      <c r="H48" s="758"/>
    </row>
    <row r="49" spans="1:8" ht="15" customHeight="1">
      <c r="A49" s="789"/>
      <c r="B49" s="790"/>
      <c r="C49" s="1599"/>
      <c r="D49" s="792" t="s">
        <v>148</v>
      </c>
      <c r="E49" s="793"/>
      <c r="F49" s="790"/>
      <c r="G49" s="796"/>
      <c r="H49" s="758"/>
    </row>
    <row r="50" spans="1:8" ht="15" customHeight="1">
      <c r="A50" s="789"/>
      <c r="B50" s="790"/>
      <c r="C50" s="1600"/>
      <c r="D50" s="792" t="s">
        <v>106</v>
      </c>
      <c r="E50" s="793"/>
      <c r="F50" s="790"/>
      <c r="G50" s="796"/>
      <c r="H50" s="758"/>
    </row>
    <row r="51" spans="1:8" ht="15" customHeight="1">
      <c r="A51" s="789"/>
      <c r="B51" s="790"/>
      <c r="C51" s="1600"/>
      <c r="D51" s="792" t="s">
        <v>51</v>
      </c>
      <c r="E51" s="1678">
        <v>104640</v>
      </c>
      <c r="F51" s="790"/>
      <c r="G51" s="796">
        <f>SUM(E51:F51)-B51</f>
        <v>104640</v>
      </c>
      <c r="H51" s="758"/>
    </row>
    <row r="52" spans="1:8" ht="15" customHeight="1">
      <c r="A52" s="789"/>
      <c r="B52" s="790"/>
      <c r="C52" s="791"/>
      <c r="D52" s="792" t="s">
        <v>233</v>
      </c>
      <c r="E52" s="793"/>
      <c r="F52" s="1590">
        <f>保健_財務諸表!G50</f>
        <v>0</v>
      </c>
      <c r="G52" s="796" t="str">
        <f>IF(SUM(E52:F52)=0,"",SUM(E52:F52))</f>
        <v/>
      </c>
      <c r="H52" s="758"/>
    </row>
    <row r="53" spans="1:8" ht="15" customHeight="1">
      <c r="A53" s="1592">
        <f>SUM(A27:A52)</f>
        <v>629427111</v>
      </c>
      <c r="B53" s="1593">
        <f>SUM(B27:B52)</f>
        <v>189525427</v>
      </c>
      <c r="C53" s="1594">
        <f>SUM(C27:C52)</f>
        <v>439901684</v>
      </c>
      <c r="D53" s="801" t="s">
        <v>903</v>
      </c>
      <c r="E53" s="1595">
        <f>SUM(E27:E52)</f>
        <v>500216030</v>
      </c>
      <c r="F53" s="1593">
        <f>SUM(F27:F52)</f>
        <v>129211081</v>
      </c>
      <c r="G53" s="1596">
        <f>SUM(G27:G52)</f>
        <v>629427111</v>
      </c>
      <c r="H53" s="758"/>
    </row>
    <row r="54" spans="1:8" ht="15" customHeight="1">
      <c r="A54" s="1592">
        <f>SUM(A26+A53)</f>
        <v>1090915992</v>
      </c>
      <c r="B54" s="1593">
        <f>SUM(B53,B26)</f>
        <v>333001648</v>
      </c>
      <c r="C54" s="1594">
        <f>SUM(C53,C26)</f>
        <v>772179484</v>
      </c>
      <c r="D54" s="801" t="s">
        <v>675</v>
      </c>
      <c r="E54" s="1595">
        <f>SUM(E26+E53)</f>
        <v>772179484</v>
      </c>
      <c r="F54" s="1593">
        <f>SUM(F53,F26)</f>
        <v>333001648</v>
      </c>
      <c r="G54" s="1596">
        <f>SUM(G53,G26)</f>
        <v>1090915992</v>
      </c>
      <c r="H54" s="758"/>
    </row>
    <row r="55" spans="1:8" s="834" customFormat="1" ht="5.25" customHeight="1">
      <c r="A55" s="826"/>
      <c r="B55" s="827"/>
      <c r="C55" s="827"/>
      <c r="D55" s="1601"/>
      <c r="E55" s="827"/>
      <c r="F55" s="827"/>
      <c r="G55" s="1602"/>
      <c r="H55" s="833"/>
    </row>
    <row r="56" spans="1:8" s="834" customFormat="1" ht="13.5" customHeight="1">
      <c r="A56" s="2847"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56" s="2847"/>
      <c r="C56" s="1487"/>
      <c r="D56" s="1487"/>
      <c r="E56" s="1488" t="s">
        <v>905</v>
      </c>
      <c r="F56" s="1488"/>
      <c r="G56" s="1603"/>
      <c r="H56" s="833"/>
    </row>
    <row r="57" spans="1:8" ht="2.25" customHeight="1">
      <c r="A57" s="1604"/>
      <c r="B57" s="1605"/>
      <c r="C57" s="1606"/>
      <c r="D57" s="1606"/>
      <c r="E57" s="1607"/>
      <c r="F57" s="1607"/>
      <c r="G57" s="1608"/>
      <c r="H57" s="758"/>
    </row>
    <row r="58" spans="1:8" ht="13.5" customHeight="1">
      <c r="A58" s="2487" t="s">
        <v>906</v>
      </c>
      <c r="B58" s="2487"/>
      <c r="C58" s="2487"/>
      <c r="D58" s="2487"/>
      <c r="E58" s="2487"/>
      <c r="F58" s="2487"/>
      <c r="G58" s="2487"/>
      <c r="H58" s="758"/>
    </row>
    <row r="59" spans="1:8" s="834" customFormat="1" ht="13.5" customHeight="1">
      <c r="A59" s="2488"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59" s="2488"/>
      <c r="C59" s="739"/>
      <c r="D59" s="739"/>
      <c r="E59" s="2489" t="s">
        <v>907</v>
      </c>
      <c r="F59" s="2489"/>
      <c r="G59" s="2489"/>
      <c r="H59" s="833"/>
    </row>
    <row r="60" spans="1:8" ht="3.75" customHeight="1">
      <c r="A60" s="1492"/>
      <c r="B60" s="1493"/>
      <c r="C60" s="1493"/>
      <c r="D60" s="1493"/>
      <c r="E60" s="2489"/>
      <c r="F60" s="2489"/>
      <c r="G60" s="2489"/>
      <c r="H60" s="758"/>
    </row>
    <row r="61" spans="1:8" ht="24" customHeight="1">
      <c r="A61" s="758"/>
      <c r="B61" s="758"/>
      <c r="C61" s="758"/>
      <c r="D61" s="758"/>
      <c r="E61" s="758"/>
      <c r="F61" s="758"/>
      <c r="G61" s="758"/>
      <c r="H61" s="758"/>
    </row>
    <row r="62" spans="1:8" ht="24" customHeight="1">
      <c r="A62" s="758"/>
      <c r="B62" s="758"/>
      <c r="C62" s="758"/>
      <c r="D62" s="758"/>
      <c r="E62" s="758"/>
      <c r="F62" s="758"/>
      <c r="G62" s="758"/>
    </row>
    <row r="64" spans="1:8"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56:B56"/>
    <mergeCell ref="A58:G58"/>
    <mergeCell ref="A59:B59"/>
    <mergeCell ref="E59:G60"/>
    <mergeCell ref="C1:E1"/>
    <mergeCell ref="C3:E3"/>
    <mergeCell ref="A6:C6"/>
    <mergeCell ref="D6:D7"/>
    <mergeCell ref="E6:G6"/>
  </mergeCells>
  <phoneticPr fontId="155"/>
  <conditionalFormatting sqref="C27 C28 C29 C30 C31 C33 C36 C37 C39 C40 C41 E51">
    <cfRule type="expression" dxfId="6" priority="1">
      <formula>AND(入力色表示=1,NOT(_xlfn.ISFORMULA(C27)))</formula>
    </cfRule>
  </conditionalFormatting>
  <dataValidations count="12">
    <dataValidation allowBlank="1" showInputMessage="1" promptTitle="手入力セル" prompt="反映先：保健_附属明細表 J136、保健_決算精算表 A27,C53&#10;他の帳票：報告_保健P20-22、保健_財務諸表、保健_附属明細表" sqref="C27"/>
    <dataValidation allowBlank="1" showInputMessage="1" promptTitle="手入力セル" prompt="反映先：保健_決算精算表 A28,C53&#10;他の帳票：報告_保健P20-22、保健_財務諸表、保健_附属明細表" sqref="C28"/>
    <dataValidation allowBlank="1" showInputMessage="1" promptTitle="手入力セル" prompt="反映先：保健_決算精算表 A29,C53&#10;他の帳票：報告_保健P20-22、保健_財務諸表、保健_附属明細表" sqref="C29"/>
    <dataValidation allowBlank="1" showInputMessage="1" promptTitle="手入力セル" prompt="反映先：保健_附属明細表 J138、保健_決算精算表 A30,C53&#10;他の帳票：報告_保健P20-22、保健_財務諸表、保健_附属明細表" sqref="C30"/>
    <dataValidation allowBlank="1" showInputMessage="1" promptTitle="手入力セル" prompt="反映先：保健_決算精算表 A31,C53&#10;他の帳票：報告_保健P20-22、保健_財務諸表、保健_附属明細表" sqref="C31"/>
    <dataValidation allowBlank="1" showInputMessage="1" promptTitle="手入力セル" prompt="反映先：保健_決算精算表 A33,C53&#10;他の帳票：報告_保健P20-22、保健_財務諸表、保健_附属明細表" sqref="C33"/>
    <dataValidation allowBlank="1" showInputMessage="1" promptTitle="手入力セル" prompt="反映先：保健_決算精算表 A36,C53&#10;他の帳票：報告_保健P20-22、保健_財務諸表、保健_附属明細表" sqref="C36"/>
    <dataValidation allowBlank="1" showInputMessage="1" promptTitle="手入力セル" prompt="反映先：保健_決算精算表 A37,C53&#10;他の帳票：報告_保健P20-22、保健_財務諸表、保健_附属明細表" sqref="C37"/>
    <dataValidation allowBlank="1" showInputMessage="1" promptTitle="手入力セル" prompt="反映先：保健_決算精算表 A39,C53&#10;他の帳票：報告_保健P20-22、保健_財務諸表、保健_附属明細表" sqref="C39"/>
    <dataValidation allowBlank="1" showInputMessage="1" promptTitle="手入力セル" prompt="反映先：保健_決算精算表 A40,C53&#10;他の帳票：報告_保健P20-22、保健_財務諸表、保健_附属明細表" sqref="C40"/>
    <dataValidation allowBlank="1" showInputMessage="1" promptTitle="手入力セル" prompt="反映先：保健_決算精算表 A41,C53&#10;他の帳票：報告_保健P20-22、保健_財務諸表、保健_附属明細表" sqref="C41"/>
    <dataValidation allowBlank="1" showInputMessage="1" promptTitle="手入力セル" prompt="反映先：保健_決算精算表 E53,G51&#10;他の帳票：報告_保健P20-22、保健_財務諸表、保健_附属明細表" sqref="E51"/>
  </dataValidations>
  <printOptions horizontalCentered="1"/>
  <pageMargins left="0.78749999999999998" right="0.39374999999999999" top="0.39374999999999999" bottom="0.47222222222222199" header="0.511811023622047" footer="0.27569444444444402"/>
  <pageSetup paperSize="9" firstPageNumber="58" orientation="portrait" useFirstPageNumber="1" horizontalDpi="300" verticalDpi="300"/>
  <headerFooter>
    <oddFooter>&amp;C&amp;"ＭＳ 明朝,Regular"- &amp;P -</oddFooter>
  </headerFooter>
  <legacy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D77AB-B10E-4A02-942C-B0A7F5CAF304}">
  <sheetPr codeName="Sheet47">
    <pageSetUpPr fitToPage="1"/>
  </sheetPr>
  <dimension ref="A1:D86"/>
  <sheetViews>
    <sheetView topLeftCell="A3" zoomScaleNormal="100" zoomScalePageLayoutView="60" workbookViewId="0">
      <pane ySplit="4" topLeftCell="A14" activePane="bottomLeft" state="frozen"/>
      <selection sqref="A1:G1"/>
      <selection pane="bottomLeft" sqref="A1:D1"/>
    </sheetView>
  </sheetViews>
  <sheetFormatPr defaultColWidth="9" defaultRowHeight="13.2"/>
  <cols>
    <col min="1" max="1" width="14" style="1698" customWidth="1"/>
    <col min="2" max="2" width="48" style="1698" customWidth="1"/>
    <col min="3" max="3" width="22" style="1698" customWidth="1"/>
    <col min="4" max="4" width="52" style="1698" customWidth="1"/>
  </cols>
  <sheetData>
    <row r="1" spans="1:4" ht="30" customHeight="1">
      <c r="A1" s="2981" t="s">
        <v>3240</v>
      </c>
      <c r="B1" s="2981"/>
      <c r="C1" s="2981"/>
      <c r="D1" s="2981"/>
    </row>
    <row r="2" spans="1:4" ht="22.05" customHeight="1">
      <c r="A2" s="1809" t="s">
        <v>3241</v>
      </c>
      <c r="B2" s="1809"/>
      <c r="C2" s="1809"/>
      <c r="D2" s="1710" t="str">
        <f>HYPERLINK("#'入力ガイド'!A1","≪ 入力ガイド（ダッシュボード）へ戻る")</f>
        <v>≪ 入力ガイド（ダッシュボード）へ戻る</v>
      </c>
    </row>
    <row r="3" spans="1:4" ht="24" customHeight="1">
      <c r="A3" s="2982" t="str">
        <f>IF(COUNTIF(C77:C86,"NG")=0,"【貸付経理 整合性チェック：全10項目 OK】 貸借対照表・損益計算書・決算精算表・附属明細表すべて一致しています","【要確認】 貸付経理の下部チェック（77～86行目）で NG が "&amp;COUNTIF(C77:C86,"NG")&amp;" 件あります")</f>
        <v>【貸付経理 整合性チェック：全10項目 OK】 貸借対照表・損益計算書・決算精算表・附属明細表すべて一致しています</v>
      </c>
      <c r="B3" s="2982"/>
      <c r="C3" s="2982"/>
      <c r="D3" s="1710" t="str">
        <f>HYPERLINK("#'貸付_決算精算表'!A1","▶ 貸付_決算精算表を確認する")</f>
        <v>▶ 貸付_決算精算表を確認する</v>
      </c>
    </row>
    <row r="4" spans="1:4" ht="25.05" customHeight="1">
      <c r="A4" s="1751" t="s">
        <v>1556</v>
      </c>
      <c r="B4" s="1751" t="s">
        <v>3242</v>
      </c>
      <c r="C4" s="1751" t="s">
        <v>3243</v>
      </c>
      <c r="D4" s="1751" t="s">
        <v>3244</v>
      </c>
    </row>
    <row r="5" spans="1:4" ht="24" customHeight="1">
      <c r="A5" s="1818" t="s">
        <v>1157</v>
      </c>
      <c r="B5" s="1818"/>
      <c r="C5" s="1818"/>
      <c r="D5" s="1818"/>
    </row>
    <row r="6" spans="1:4" ht="21" customHeight="1">
      <c r="A6" s="1735" t="s">
        <v>3245</v>
      </c>
      <c r="B6" s="1764" t="s">
        <v>3246</v>
      </c>
      <c r="C6" s="1774">
        <f>入力ガイド!$C$6</f>
        <v>7</v>
      </c>
      <c r="D6" s="1775" t="s">
        <v>1158</v>
      </c>
    </row>
    <row r="7" spans="1:4" ht="21" customHeight="1">
      <c r="A7" s="1735" t="s">
        <v>3245</v>
      </c>
      <c r="B7" s="1764" t="s">
        <v>3247</v>
      </c>
      <c r="C7" s="1774">
        <f>入力ガイド!$C$7</f>
        <v>8</v>
      </c>
      <c r="D7" s="1775" t="s">
        <v>1159</v>
      </c>
    </row>
    <row r="8" spans="1:4" ht="21" customHeight="1">
      <c r="A8" s="1735" t="s">
        <v>3245</v>
      </c>
      <c r="B8" s="1764" t="s">
        <v>3248</v>
      </c>
      <c r="C8" s="1774">
        <f>入力ガイド!$C$8</f>
        <v>4</v>
      </c>
      <c r="D8" s="1775"/>
    </row>
    <row r="9" spans="1:4" ht="21" customHeight="1">
      <c r="A9" s="1735" t="s">
        <v>3245</v>
      </c>
      <c r="B9" s="1764" t="s">
        <v>3249</v>
      </c>
      <c r="C9" s="1774">
        <f>入力ガイド!$C$9</f>
        <v>22</v>
      </c>
      <c r="D9" s="1775"/>
    </row>
    <row r="10" spans="1:4" ht="24" customHeight="1">
      <c r="A10" s="1818" t="s">
        <v>1160</v>
      </c>
      <c r="B10" s="1818"/>
      <c r="C10" s="1818"/>
      <c r="D10" s="1818"/>
    </row>
    <row r="11" spans="1:4" ht="22.05" customHeight="1">
      <c r="A11" s="1726" t="s">
        <v>1294</v>
      </c>
      <c r="B11" s="1752" t="s">
        <v>1161</v>
      </c>
      <c r="C11" s="1776">
        <v>1108845248</v>
      </c>
      <c r="D11" s="1728" t="s">
        <v>1162</v>
      </c>
    </row>
    <row r="12" spans="1:4" ht="21" customHeight="1">
      <c r="A12" s="1735" t="s">
        <v>3245</v>
      </c>
      <c r="B12" s="1764" t="s">
        <v>3250</v>
      </c>
      <c r="C12" s="1774">
        <f>'報告_貸付P23-25'!Q92</f>
        <v>957879024</v>
      </c>
      <c r="D12" s="1775" t="s">
        <v>1163</v>
      </c>
    </row>
    <row r="13" spans="1:4" ht="22.05" customHeight="1">
      <c r="A13" s="1726" t="s">
        <v>1294</v>
      </c>
      <c r="B13" s="1752" t="s">
        <v>1164</v>
      </c>
      <c r="C13" s="1776">
        <v>126110000</v>
      </c>
      <c r="D13" s="1728" t="s">
        <v>1163</v>
      </c>
    </row>
    <row r="14" spans="1:4" ht="22.05" customHeight="1">
      <c r="A14" s="1726" t="s">
        <v>1294</v>
      </c>
      <c r="B14" s="1752" t="s">
        <v>1165</v>
      </c>
      <c r="C14" s="1776">
        <v>234813316</v>
      </c>
      <c r="D14" s="1728" t="s">
        <v>1163</v>
      </c>
    </row>
    <row r="15" spans="1:4" ht="21" customHeight="1">
      <c r="A15" s="1735" t="s">
        <v>3245</v>
      </c>
      <c r="B15" s="1764" t="s">
        <v>1166</v>
      </c>
      <c r="C15" s="1774">
        <f>前年度貼付!$E$328</f>
        <v>105000000</v>
      </c>
      <c r="D15" s="1775" t="s">
        <v>1167</v>
      </c>
    </row>
    <row r="16" spans="1:4" ht="22.05" customHeight="1">
      <c r="A16" s="1726" t="s">
        <v>1294</v>
      </c>
      <c r="B16" s="1752" t="s">
        <v>1168</v>
      </c>
      <c r="C16" s="1776">
        <v>0</v>
      </c>
      <c r="D16" s="1728" t="s">
        <v>1167</v>
      </c>
    </row>
    <row r="17" spans="1:4" ht="22.05" customHeight="1">
      <c r="A17" s="1726" t="s">
        <v>1294</v>
      </c>
      <c r="B17" s="1752" t="s">
        <v>1169</v>
      </c>
      <c r="C17" s="1776">
        <v>105000000</v>
      </c>
      <c r="D17" s="1728" t="s">
        <v>1167</v>
      </c>
    </row>
    <row r="18" spans="1:4" ht="24" customHeight="1">
      <c r="A18" s="1818" t="s">
        <v>1170</v>
      </c>
      <c r="B18" s="1818"/>
      <c r="C18" s="1818"/>
      <c r="D18" s="1818"/>
    </row>
    <row r="19" spans="1:4" ht="22.05" customHeight="1">
      <c r="A19" s="1726" t="s">
        <v>1294</v>
      </c>
      <c r="B19" s="1752" t="s">
        <v>1171</v>
      </c>
      <c r="C19" s="1776">
        <v>180749</v>
      </c>
      <c r="D19" s="1728" t="s">
        <v>1172</v>
      </c>
    </row>
    <row r="20" spans="1:4" ht="22.05" customHeight="1">
      <c r="A20" s="1726" t="s">
        <v>1294</v>
      </c>
      <c r="B20" s="1752" t="s">
        <v>1173</v>
      </c>
      <c r="C20" s="1776">
        <v>0</v>
      </c>
      <c r="D20" s="1728" t="s">
        <v>850</v>
      </c>
    </row>
    <row r="21" spans="1:4" ht="22.05" customHeight="1">
      <c r="A21" s="1726" t="s">
        <v>1294</v>
      </c>
      <c r="B21" s="1752" t="s">
        <v>1174</v>
      </c>
      <c r="C21" s="1776"/>
      <c r="D21" s="1728" t="s">
        <v>851</v>
      </c>
    </row>
    <row r="22" spans="1:4" ht="22.05" customHeight="1">
      <c r="A22" s="1726" t="s">
        <v>1294</v>
      </c>
      <c r="B22" s="1752" t="s">
        <v>1175</v>
      </c>
      <c r="C22" s="1776"/>
      <c r="D22" s="1728" t="s">
        <v>851</v>
      </c>
    </row>
    <row r="23" spans="1:4" ht="22.05" customHeight="1">
      <c r="A23" s="1726" t="s">
        <v>1294</v>
      </c>
      <c r="B23" s="1752" t="s">
        <v>1176</v>
      </c>
      <c r="C23" s="1776">
        <v>25659</v>
      </c>
      <c r="D23" s="1728" t="s">
        <v>1177</v>
      </c>
    </row>
    <row r="24" spans="1:4" ht="22.05" customHeight="1">
      <c r="A24" s="1726" t="s">
        <v>1294</v>
      </c>
      <c r="B24" s="1752" t="s">
        <v>1178</v>
      </c>
      <c r="C24" s="1776">
        <v>192720</v>
      </c>
      <c r="D24" s="1728" t="s">
        <v>1179</v>
      </c>
    </row>
    <row r="25" spans="1:4" ht="22.05" customHeight="1">
      <c r="A25" s="1726" t="s">
        <v>1294</v>
      </c>
      <c r="B25" s="1752" t="s">
        <v>1180</v>
      </c>
      <c r="C25" s="1776">
        <v>90826</v>
      </c>
      <c r="D25" s="1728" t="s">
        <v>1181</v>
      </c>
    </row>
    <row r="26" spans="1:4" ht="22.05" customHeight="1">
      <c r="A26" s="1726" t="s">
        <v>1294</v>
      </c>
      <c r="B26" s="1752" t="s">
        <v>1182</v>
      </c>
      <c r="C26" s="1776">
        <v>71325</v>
      </c>
      <c r="D26" s="1728" t="s">
        <v>1183</v>
      </c>
    </row>
    <row r="27" spans="1:4" ht="22.05" customHeight="1">
      <c r="A27" s="1726" t="s">
        <v>1294</v>
      </c>
      <c r="B27" s="1752" t="s">
        <v>1184</v>
      </c>
      <c r="C27" s="1776"/>
      <c r="D27" s="1728" t="s">
        <v>1185</v>
      </c>
    </row>
    <row r="28" spans="1:4" ht="22.05" customHeight="1">
      <c r="A28" s="1726" t="s">
        <v>1294</v>
      </c>
      <c r="B28" s="1752" t="s">
        <v>1186</v>
      </c>
      <c r="C28" s="1776">
        <v>383205</v>
      </c>
      <c r="D28" s="1728" t="s">
        <v>1187</v>
      </c>
    </row>
    <row r="29" spans="1:4" ht="22.05" customHeight="1">
      <c r="A29" s="1726" t="s">
        <v>1294</v>
      </c>
      <c r="B29" s="1752" t="s">
        <v>1188</v>
      </c>
      <c r="C29" s="1776">
        <v>305231</v>
      </c>
      <c r="D29" s="1728" t="s">
        <v>1189</v>
      </c>
    </row>
    <row r="30" spans="1:4" ht="22.05" customHeight="1">
      <c r="A30" s="1726" t="s">
        <v>1294</v>
      </c>
      <c r="B30" s="1752" t="s">
        <v>1190</v>
      </c>
      <c r="C30" s="1776"/>
      <c r="D30" s="1728" t="s">
        <v>861</v>
      </c>
    </row>
    <row r="31" spans="1:4" ht="22.05" customHeight="1">
      <c r="A31" s="1726" t="s">
        <v>1294</v>
      </c>
      <c r="B31" s="1752" t="s">
        <v>1191</v>
      </c>
      <c r="C31" s="1776"/>
      <c r="D31" s="1728" t="s">
        <v>861</v>
      </c>
    </row>
    <row r="32" spans="1:4" ht="24" customHeight="1">
      <c r="A32" s="1818" t="s">
        <v>1192</v>
      </c>
      <c r="B32" s="1818"/>
      <c r="C32" s="1818"/>
      <c r="D32" s="1818"/>
    </row>
    <row r="33" spans="1:4" ht="21" customHeight="1">
      <c r="A33" s="1735" t="s">
        <v>3245</v>
      </c>
      <c r="B33" s="1764" t="s">
        <v>1193</v>
      </c>
      <c r="C33" s="1774">
        <f>前年度貼付!$E$329</f>
        <v>1</v>
      </c>
      <c r="D33" s="1775" t="s">
        <v>1194</v>
      </c>
    </row>
    <row r="34" spans="1:4" ht="22.05" customHeight="1">
      <c r="A34" s="1726" t="s">
        <v>1294</v>
      </c>
      <c r="B34" s="1752" t="s">
        <v>1195</v>
      </c>
      <c r="C34" s="1776">
        <v>0</v>
      </c>
      <c r="D34" s="1728" t="s">
        <v>1057</v>
      </c>
    </row>
    <row r="35" spans="1:4" ht="22.05" customHeight="1">
      <c r="A35" s="1726" t="s">
        <v>1294</v>
      </c>
      <c r="B35" s="1752" t="s">
        <v>1196</v>
      </c>
      <c r="C35" s="1776">
        <v>0</v>
      </c>
      <c r="D35" s="1728" t="s">
        <v>1057</v>
      </c>
    </row>
    <row r="36" spans="1:4" ht="22.05" customHeight="1">
      <c r="A36" s="1726" t="s">
        <v>1294</v>
      </c>
      <c r="B36" s="1752" t="s">
        <v>1197</v>
      </c>
      <c r="C36" s="1776">
        <v>0</v>
      </c>
      <c r="D36" s="1728" t="s">
        <v>1198</v>
      </c>
    </row>
    <row r="37" spans="1:4" ht="22.05" customHeight="1">
      <c r="A37" s="1726" t="s">
        <v>1294</v>
      </c>
      <c r="B37" s="1752" t="s">
        <v>1199</v>
      </c>
      <c r="C37" s="1776">
        <v>580545</v>
      </c>
      <c r="D37" s="1728" t="s">
        <v>1064</v>
      </c>
    </row>
    <row r="38" spans="1:4" ht="21" customHeight="1">
      <c r="A38" s="1735" t="s">
        <v>3245</v>
      </c>
      <c r="B38" s="1764" t="s">
        <v>1200</v>
      </c>
      <c r="C38" s="1774">
        <f>前年度貼付!$E$330</f>
        <v>580544</v>
      </c>
      <c r="D38" s="1775" t="s">
        <v>1201</v>
      </c>
    </row>
    <row r="39" spans="1:4" ht="22.05" customHeight="1">
      <c r="A39" s="1726" t="s">
        <v>1294</v>
      </c>
      <c r="B39" s="1752" t="s">
        <v>1202</v>
      </c>
      <c r="C39" s="1776">
        <v>0</v>
      </c>
      <c r="D39" s="1728" t="s">
        <v>1079</v>
      </c>
    </row>
    <row r="40" spans="1:4" ht="24" customHeight="1">
      <c r="A40" s="1818" t="s">
        <v>1203</v>
      </c>
      <c r="B40" s="1818"/>
      <c r="C40" s="1818"/>
      <c r="D40" s="1818"/>
    </row>
    <row r="41" spans="1:4" ht="21" customHeight="1">
      <c r="A41" s="1735" t="s">
        <v>3245</v>
      </c>
      <c r="B41" s="1764" t="s">
        <v>1204</v>
      </c>
      <c r="C41" s="1774">
        <f>前年度貼付!$E$331</f>
        <v>1961052168</v>
      </c>
      <c r="D41" s="1775" t="s">
        <v>1205</v>
      </c>
    </row>
    <row r="42" spans="1:4" ht="21" customHeight="1">
      <c r="A42" s="1735" t="s">
        <v>3245</v>
      </c>
      <c r="B42" s="1764" t="s">
        <v>1206</v>
      </c>
      <c r="C42" s="1774">
        <f>貸付_財務諸表!C54</f>
        <v>0</v>
      </c>
      <c r="D42" s="1775" t="s">
        <v>872</v>
      </c>
    </row>
    <row r="43" spans="1:4" ht="21" customHeight="1">
      <c r="A43" s="1735" t="s">
        <v>3245</v>
      </c>
      <c r="B43" s="1764" t="s">
        <v>3251</v>
      </c>
      <c r="C43" s="1777">
        <f>貸付_附属明細表!Q90</f>
        <v>1957132740</v>
      </c>
      <c r="D43" s="1775" t="s">
        <v>1207</v>
      </c>
    </row>
    <row r="44" spans="1:4" ht="21" customHeight="1">
      <c r="A44" s="1735" t="s">
        <v>3245</v>
      </c>
      <c r="B44" s="1764" t="s">
        <v>1208</v>
      </c>
      <c r="C44" s="1774">
        <f>前年度貼付!$E$332</f>
        <v>0</v>
      </c>
      <c r="D44" s="1775" t="s">
        <v>1152</v>
      </c>
    </row>
    <row r="45" spans="1:4" ht="22.05" customHeight="1">
      <c r="A45" s="1726" t="s">
        <v>1294</v>
      </c>
      <c r="B45" s="1752" t="s">
        <v>1209</v>
      </c>
      <c r="C45" s="1776">
        <v>0</v>
      </c>
      <c r="D45" s="1728" t="s">
        <v>1152</v>
      </c>
    </row>
    <row r="46" spans="1:4" ht="22.05" customHeight="1">
      <c r="A46" s="1726" t="s">
        <v>1294</v>
      </c>
      <c r="B46" s="1752" t="s">
        <v>1210</v>
      </c>
      <c r="C46" s="1776"/>
      <c r="D46" s="1728" t="s">
        <v>1152</v>
      </c>
    </row>
    <row r="47" spans="1:4" ht="24" customHeight="1">
      <c r="A47" s="1818" t="s">
        <v>1211</v>
      </c>
      <c r="B47" s="1818"/>
      <c r="C47" s="1818"/>
      <c r="D47" s="1818"/>
    </row>
    <row r="48" spans="1:4" ht="22.05" customHeight="1">
      <c r="A48" s="1726" t="s">
        <v>1294</v>
      </c>
      <c r="B48" s="1752" t="s">
        <v>1212</v>
      </c>
      <c r="C48" s="1776">
        <v>7148000</v>
      </c>
      <c r="D48" s="1728" t="s">
        <v>1213</v>
      </c>
    </row>
    <row r="49" spans="1:4" ht="22.05" customHeight="1">
      <c r="A49" s="1726" t="s">
        <v>1294</v>
      </c>
      <c r="B49" s="1752" t="s">
        <v>1214</v>
      </c>
      <c r="C49" s="1776">
        <v>364000</v>
      </c>
      <c r="D49" s="1728" t="s">
        <v>1213</v>
      </c>
    </row>
    <row r="50" spans="1:4" ht="22.05" customHeight="1">
      <c r="A50" s="1726" t="s">
        <v>1294</v>
      </c>
      <c r="B50" s="1752" t="s">
        <v>1215</v>
      </c>
      <c r="C50" s="1776">
        <v>1489000</v>
      </c>
      <c r="D50" s="1728" t="s">
        <v>1213</v>
      </c>
    </row>
    <row r="51" spans="1:4" ht="24" customHeight="1">
      <c r="A51" s="1818" t="s">
        <v>1216</v>
      </c>
      <c r="B51" s="1818"/>
      <c r="C51" s="1818"/>
      <c r="D51" s="1818"/>
    </row>
    <row r="52" spans="1:4" ht="22.05" customHeight="1">
      <c r="A52" s="1726" t="s">
        <v>1294</v>
      </c>
      <c r="B52" s="1752" t="s">
        <v>128</v>
      </c>
      <c r="C52" s="1776">
        <v>6345567</v>
      </c>
      <c r="D52" s="1728" t="s">
        <v>1217</v>
      </c>
    </row>
    <row r="53" spans="1:4" ht="22.05" customHeight="1">
      <c r="A53" s="1726" t="s">
        <v>1294</v>
      </c>
      <c r="B53" s="1752" t="s">
        <v>129</v>
      </c>
      <c r="C53" s="1776">
        <v>23507</v>
      </c>
      <c r="D53" s="1728" t="s">
        <v>1217</v>
      </c>
    </row>
    <row r="54" spans="1:4" ht="22.05" customHeight="1">
      <c r="A54" s="1726" t="s">
        <v>1294</v>
      </c>
      <c r="B54" s="1752" t="s">
        <v>130</v>
      </c>
      <c r="C54" s="1776">
        <v>0</v>
      </c>
      <c r="D54" s="1728" t="s">
        <v>1217</v>
      </c>
    </row>
    <row r="55" spans="1:4" ht="22.05" customHeight="1">
      <c r="A55" s="1726" t="s">
        <v>1294</v>
      </c>
      <c r="B55" s="1752" t="s">
        <v>131</v>
      </c>
      <c r="C55" s="1776">
        <v>609600</v>
      </c>
      <c r="D55" s="1728" t="s">
        <v>1217</v>
      </c>
    </row>
    <row r="56" spans="1:4" ht="22.05" customHeight="1">
      <c r="A56" s="1726" t="s">
        <v>1294</v>
      </c>
      <c r="B56" s="1752" t="s">
        <v>132</v>
      </c>
      <c r="C56" s="1776">
        <v>4019980</v>
      </c>
      <c r="D56" s="1728" t="s">
        <v>1217</v>
      </c>
    </row>
    <row r="57" spans="1:4" ht="22.05" customHeight="1">
      <c r="A57" s="1726" t="s">
        <v>1294</v>
      </c>
      <c r="B57" s="1752" t="s">
        <v>133</v>
      </c>
      <c r="C57" s="1776">
        <v>36943</v>
      </c>
      <c r="D57" s="1728" t="s">
        <v>1217</v>
      </c>
    </row>
    <row r="58" spans="1:4" ht="22.05" customHeight="1">
      <c r="A58" s="1726" t="s">
        <v>1294</v>
      </c>
      <c r="B58" s="1752" t="s">
        <v>137</v>
      </c>
      <c r="C58" s="1776">
        <v>821414</v>
      </c>
      <c r="D58" s="1728" t="s">
        <v>1217</v>
      </c>
    </row>
    <row r="59" spans="1:4" ht="22.05" customHeight="1">
      <c r="A59" s="1726" t="s">
        <v>1294</v>
      </c>
      <c r="B59" s="1752" t="s">
        <v>138</v>
      </c>
      <c r="C59" s="1776">
        <v>323822</v>
      </c>
      <c r="D59" s="1728" t="s">
        <v>1217</v>
      </c>
    </row>
    <row r="60" spans="1:4" ht="22.05" customHeight="1">
      <c r="A60" s="1726" t="s">
        <v>1294</v>
      </c>
      <c r="B60" s="1752" t="s">
        <v>125</v>
      </c>
      <c r="C60" s="1776">
        <v>1825629</v>
      </c>
      <c r="D60" s="1728" t="s">
        <v>1217</v>
      </c>
    </row>
    <row r="61" spans="1:4" ht="22.05" customHeight="1">
      <c r="A61" s="1726" t="s">
        <v>1294</v>
      </c>
      <c r="B61" s="1752" t="s">
        <v>174</v>
      </c>
      <c r="C61" s="1776">
        <v>112191</v>
      </c>
      <c r="D61" s="1728" t="s">
        <v>1217</v>
      </c>
    </row>
    <row r="62" spans="1:4" ht="22.05" customHeight="1">
      <c r="A62" s="1726" t="s">
        <v>1294</v>
      </c>
      <c r="B62" s="1752" t="s">
        <v>143</v>
      </c>
      <c r="C62" s="1776"/>
      <c r="D62" s="1728" t="s">
        <v>1217</v>
      </c>
    </row>
    <row r="63" spans="1:4" ht="24" customHeight="1">
      <c r="A63" s="1818" t="s">
        <v>1218</v>
      </c>
      <c r="B63" s="1818"/>
      <c r="C63" s="1818"/>
      <c r="D63" s="1818"/>
    </row>
    <row r="64" spans="1:4" ht="22.05" customHeight="1">
      <c r="A64" s="1726" t="s">
        <v>1294</v>
      </c>
      <c r="B64" s="1752" t="s">
        <v>1219</v>
      </c>
      <c r="C64" s="1776">
        <v>10740211</v>
      </c>
      <c r="D64" s="1728" t="s">
        <v>1217</v>
      </c>
    </row>
    <row r="65" spans="1:4" ht="22.05" customHeight="1">
      <c r="A65" s="1726" t="s">
        <v>1294</v>
      </c>
      <c r="B65" s="1752" t="s">
        <v>38</v>
      </c>
      <c r="C65" s="1776">
        <v>42000</v>
      </c>
      <c r="D65" s="1728" t="s">
        <v>1217</v>
      </c>
    </row>
    <row r="66" spans="1:4" ht="22.05" customHeight="1">
      <c r="A66" s="1726" t="s">
        <v>1294</v>
      </c>
      <c r="B66" s="1752" t="s">
        <v>106</v>
      </c>
      <c r="C66" s="1776"/>
      <c r="D66" s="1728" t="s">
        <v>1217</v>
      </c>
    </row>
    <row r="67" spans="1:4" ht="10.050000000000001" customHeight="1"/>
    <row r="68" spans="1:4" ht="24" customHeight="1">
      <c r="A68" s="1818" t="s">
        <v>1220</v>
      </c>
      <c r="B68" s="1818"/>
      <c r="C68" s="1818"/>
      <c r="D68" s="1818"/>
    </row>
    <row r="69" spans="1:4" ht="21" customHeight="1">
      <c r="A69" s="1735" t="s">
        <v>3245</v>
      </c>
      <c r="B69" s="1764" t="s">
        <v>1221</v>
      </c>
      <c r="C69" s="1778" t="str">
        <f>"令和"&amp;IF((C6+1)&gt;=10,MID("０１２３４５６７８９",INT((C6+1)/10)+1,1),"")&amp;MID("０１２３４５６７８９",MOD((C6+1),10)+1,1)&amp;"年３月３１日現在"</f>
        <v>令和８年３月３１日現在</v>
      </c>
      <c r="D69" s="1775"/>
    </row>
    <row r="70" spans="1:4" ht="21" customHeight="1">
      <c r="A70" s="1735" t="s">
        <v>3245</v>
      </c>
      <c r="B70" s="1764" t="s">
        <v>1222</v>
      </c>
      <c r="C70" s="1778" t="str">
        <f>"自  令和"&amp;IF(C6&gt;=10,MID("０１２３４５６７８９",INT(C6/10)+1,1),"")&amp;MID("０１２３４５６７８９",MOD(C6,10)+1,1)&amp;"年４月  １日"</f>
        <v>自  令和７年４月  １日</v>
      </c>
      <c r="D70" s="1775"/>
    </row>
    <row r="71" spans="1:4" ht="21" customHeight="1">
      <c r="A71" s="1735" t="s">
        <v>3245</v>
      </c>
      <c r="B71" s="1764" t="s">
        <v>1223</v>
      </c>
      <c r="C71" s="1778" t="str">
        <f>"至  令和"&amp;IF((C6+1)&gt;=10,MID("０１２３４５６７８９",INT((C6+1)/10)+1,1),"")&amp;MID("０１２３４５６７８９",MOD((C6+1),10)+1,1)&amp;"年３月３１日"</f>
        <v>至  令和８年３月３１日</v>
      </c>
      <c r="D71" s="1775"/>
    </row>
    <row r="72" spans="1:4" ht="21" customHeight="1">
      <c r="A72" s="1735" t="s">
        <v>3245</v>
      </c>
      <c r="B72" s="1764" t="s">
        <v>1224</v>
      </c>
      <c r="C72" s="1778" t="str">
        <f>"令和"&amp;IF(C6&gt;=10,MID("０１２３４５６７８９",INT(C6/10)+1,1),"")&amp;MID("０１２３４５６７８９",MOD(C6,10)+1,1)&amp;"年度分"</f>
        <v>令和７年度分</v>
      </c>
      <c r="D72" s="1775"/>
    </row>
    <row r="73" spans="1:4" ht="21" customHeight="1">
      <c r="A73" s="1735" t="s">
        <v>3245</v>
      </c>
      <c r="B73" s="1764" t="s">
        <v>1225</v>
      </c>
      <c r="C73" s="1778" t="str">
        <f>"令和　"&amp;IF(C7&gt;=10,MID("０１２３４５６７８９",INT(C7/10)+1,1),"")&amp;MID("０１２３４５６７８９",MOD(C7,10)+1,1)&amp;"年　"&amp;IF(C8&gt;=10,MID("０１２３４５６７８９",INT(C8/10)+1,1),"")&amp;MID("０１２３４５６７８９",MOD(C8,10)+1,1)&amp;"月"&amp;IF(C9&gt;=10,MID("０１２３４５６７８９",INT(C9/10)+1,1),"")&amp;MID("０１２３４５６７８９",MOD(C9,10)+1,1)&amp;"日"</f>
        <v>令和　８年　４月２２日</v>
      </c>
      <c r="D73" s="1775"/>
    </row>
    <row r="74" spans="1:4" ht="21" customHeight="1">
      <c r="A74" s="1735" t="s">
        <v>3245</v>
      </c>
      <c r="B74" s="1764" t="s">
        <v>1226</v>
      </c>
      <c r="C74" s="1778" t="str">
        <f>"自 令和"&amp;IF(C6&gt;=10,MID("０１２３４５６７８９",INT(C6/10)+1,1),"")&amp;MID("０１２３４５６７８９",MOD(C6,10)+1,1)&amp;"年４月１日  至 令和"&amp;IF((C6+1)&gt;=10,MID("０１２３４５６７８９",INT((C6+1)/10)+1,1),"")&amp;MID("０１２３４５６７８９",MOD((C6+1),10)+1,1)&amp;"年３月３１日"</f>
        <v>自 令和７年４月１日  至 令和８年３月３１日</v>
      </c>
      <c r="D74" s="1775"/>
    </row>
    <row r="75" spans="1:4" ht="10.050000000000001" customHeight="1"/>
    <row r="76" spans="1:4" ht="24" customHeight="1">
      <c r="A76" s="2983" t="s">
        <v>3252</v>
      </c>
      <c r="B76" s="2983"/>
      <c r="C76" s="2983"/>
      <c r="D76" s="2983"/>
    </row>
    <row r="77" spans="1:4" ht="21" customHeight="1">
      <c r="A77" s="1732" t="s">
        <v>3253</v>
      </c>
      <c r="B77" s="1752" t="s">
        <v>1227</v>
      </c>
      <c r="C77" s="1714" t="str">
        <f>IF(貸付_財務諸表!D25=貸付_財務諸表!H25,"OK","NG")</f>
        <v>OK</v>
      </c>
      <c r="D77" s="1779"/>
    </row>
    <row r="78" spans="1:4" ht="21" customHeight="1">
      <c r="A78" s="1732" t="s">
        <v>3253</v>
      </c>
      <c r="B78" s="1752" t="s">
        <v>1228</v>
      </c>
      <c r="C78" s="1714" t="str">
        <f>IF(貸付_財務諸表!D58=貸付_財務諸表!H58,"OK","NG")</f>
        <v>OK</v>
      </c>
      <c r="D78" s="1779"/>
    </row>
    <row r="79" spans="1:4" ht="21" customHeight="1">
      <c r="A79" s="1732" t="s">
        <v>3253</v>
      </c>
      <c r="B79" s="1752" t="s">
        <v>1229</v>
      </c>
      <c r="C79" s="1714" t="str">
        <f>IF(貸付_決算精算表!A39=貸付_決算精算表!G39+貸付_附属明細表!G70,"OK","NG")</f>
        <v>OK</v>
      </c>
      <c r="D79" s="1779"/>
    </row>
    <row r="80" spans="1:4" ht="21" customHeight="1">
      <c r="A80" s="1732" t="s">
        <v>3253</v>
      </c>
      <c r="B80" s="1752" t="s">
        <v>1230</v>
      </c>
      <c r="C80" s="1714" t="str">
        <f>IF(貸付_決算精算表!C39=貸付_決算精算表!E39,"OK","NG")</f>
        <v>OK</v>
      </c>
      <c r="D80" s="1779"/>
    </row>
    <row r="81" spans="1:4" ht="21" customHeight="1">
      <c r="A81" s="1732" t="s">
        <v>3253</v>
      </c>
      <c r="B81" s="1752" t="s">
        <v>3254</v>
      </c>
      <c r="C81" s="1714" t="str">
        <f>IF(貸付_財務諸表!B19=貸付_附属明細表!R13-貸付_附属明細表!G28-貸付_附属明細表!G35+貸付_附属明細表!G68,"OK","NG")</f>
        <v>OK</v>
      </c>
      <c r="D81" s="1779"/>
    </row>
    <row r="82" spans="1:4" ht="21" customHeight="1">
      <c r="A82" s="1732" t="s">
        <v>3253</v>
      </c>
      <c r="B82" s="1752" t="s">
        <v>1231</v>
      </c>
      <c r="C82" s="1714" t="str">
        <f>IF(貸付_財務諸表!C7=貸付_附属明細表!M6,"OK","NG")</f>
        <v>OK</v>
      </c>
      <c r="D82" s="1779"/>
    </row>
    <row r="83" spans="1:4" ht="21" customHeight="1">
      <c r="A83" s="1732" t="s">
        <v>3253</v>
      </c>
      <c r="B83" s="1752" t="s">
        <v>1232</v>
      </c>
      <c r="C83" s="1714" t="str">
        <f>IF(貸付_財務諸表!H18=貸付_附属明細表!Q91,"OK","NG")</f>
        <v>OK</v>
      </c>
      <c r="D83" s="1779"/>
    </row>
    <row r="84" spans="1:4" ht="21" customHeight="1">
      <c r="A84" s="1732" t="s">
        <v>3253</v>
      </c>
      <c r="B84" s="1752" t="s">
        <v>1233</v>
      </c>
      <c r="C84" s="1714" t="str">
        <f>IF(貸付_附属明細表!S77=貸付_財務諸表!B14,"OK","NG")</f>
        <v>OK</v>
      </c>
      <c r="D84" s="1779"/>
    </row>
    <row r="85" spans="1:4" ht="21" customHeight="1">
      <c r="A85" s="1732" t="s">
        <v>3253</v>
      </c>
      <c r="B85" s="1752" t="s">
        <v>1234</v>
      </c>
      <c r="C85" s="1714" t="str">
        <f>IF(AND(貸付_財務諸表!G7=貸付_附属明細表!G47,貸付_財務諸表!G8=貸付_附属明細表!G55,貸付_財務諸表!G9=貸付_附属明細表!G62,貸付_財務諸表!G10=貸付_附属明細表!G70),"OK","NG")</f>
        <v>OK</v>
      </c>
      <c r="D85" s="1779"/>
    </row>
    <row r="86" spans="1:4" ht="21" customHeight="1">
      <c r="A86" s="1732" t="s">
        <v>3253</v>
      </c>
      <c r="B86" s="1752" t="s">
        <v>1235</v>
      </c>
      <c r="C86" s="1714" t="str">
        <f>IF('報告_貸付P23-25'!AG92=貸付_附属明細表!R13,"OK","NG")</f>
        <v>OK</v>
      </c>
      <c r="D86" s="1779"/>
    </row>
  </sheetData>
  <sheetProtection formatCells="0" formatColumns="0" formatRows="0" insertColumns="0" insertRows="0" insertHyperlinks="0" deleteColumns="0" deleteRows="0" selectLockedCells="1"/>
  <mergeCells count="13">
    <mergeCell ref="A76:D76"/>
    <mergeCell ref="A51:D51"/>
    <mergeCell ref="A10:D10"/>
    <mergeCell ref="A47:D47"/>
    <mergeCell ref="A32:D32"/>
    <mergeCell ref="A1:D1"/>
    <mergeCell ref="A5:D5"/>
    <mergeCell ref="A18:D18"/>
    <mergeCell ref="A40:D40"/>
    <mergeCell ref="A68:D68"/>
    <mergeCell ref="A63:D63"/>
    <mergeCell ref="A3:C3"/>
    <mergeCell ref="A2:C2"/>
  </mergeCells>
  <phoneticPr fontId="155"/>
  <conditionalFormatting sqref="C77:C86">
    <cfRule type="cellIs" dxfId="0" priority="1" stopIfTrue="1" operator="equal">
      <formula>"NG"</formula>
    </cfRule>
  </conditionalFormatting>
  <pageMargins left="0.47222222222222199" right="0.47222222222222199" top="0.68888888888888899" bottom="0.68888888888888899" header="0.59027777777777801" footer="0.59027777777777801"/>
  <pageSetup paperSize="9" fitToHeight="0" orientation="portrait" useFirstPageNumber="1" horizontalDpi="300" verticalDpi="30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662A6-C568-4385-8680-5240781555CB}">
  <sheetPr codeName="Sheet48">
    <tabColor rgb="FFA6A6A6"/>
  </sheetPr>
  <dimension ref="A1:IW64"/>
  <sheetViews>
    <sheetView zoomScaleNormal="100" zoomScalePageLayoutView="60" workbookViewId="0">
      <selection sqref="A1:G1"/>
    </sheetView>
  </sheetViews>
  <sheetFormatPr defaultColWidth="11.33203125" defaultRowHeight="13.2"/>
  <cols>
    <col min="1" max="1" width="12" style="1267" customWidth="1"/>
    <col min="2" max="2" width="11.21875" style="1267" customWidth="1"/>
    <col min="3" max="4" width="11.33203125" style="1267"/>
    <col min="5" max="5" width="12" style="1267" customWidth="1"/>
    <col min="6" max="6" width="10.88671875" style="1267" customWidth="1"/>
    <col min="7" max="257" width="11.33203125" style="1267"/>
  </cols>
  <sheetData>
    <row r="1" spans="1:18" ht="21" customHeight="1">
      <c r="B1" s="1268"/>
      <c r="D1" s="2683" t="s">
        <v>14</v>
      </c>
      <c r="E1" s="2683"/>
      <c r="F1" s="1269"/>
      <c r="G1" s="1268"/>
      <c r="H1" s="1268"/>
    </row>
    <row r="2" spans="1:18" ht="21" customHeight="1">
      <c r="B2" s="1268"/>
      <c r="D2" s="2684" t="s">
        <v>764</v>
      </c>
      <c r="E2" s="2684"/>
      <c r="F2" s="1269"/>
      <c r="G2" s="1268"/>
      <c r="H2" s="1268"/>
    </row>
    <row r="3" spans="1:18" ht="12" customHeight="1">
      <c r="A3" s="1270"/>
      <c r="B3" s="1270"/>
      <c r="C3" s="1271"/>
      <c r="D3" s="1271"/>
      <c r="E3" s="1270"/>
      <c r="F3" s="1270"/>
      <c r="G3" s="2685" t="str">
        <f>貸付_入力!C69</f>
        <v>令和８年３月３１日現在</v>
      </c>
      <c r="H3" s="2685"/>
    </row>
    <row r="4" spans="1:18" s="1274" customFormat="1" ht="13.5" customHeight="1">
      <c r="A4" s="2686" t="s">
        <v>765</v>
      </c>
      <c r="B4" s="2686"/>
      <c r="C4" s="2686"/>
      <c r="D4" s="1610" t="s">
        <v>455</v>
      </c>
      <c r="E4" s="2687" t="s">
        <v>766</v>
      </c>
      <c r="F4" s="2687"/>
      <c r="G4" s="2687"/>
      <c r="H4" s="1609" t="s">
        <v>455</v>
      </c>
    </row>
    <row r="5" spans="1:18" ht="12" customHeight="1">
      <c r="A5" s="590"/>
      <c r="B5" s="591" t="s">
        <v>551</v>
      </c>
      <c r="C5" s="592" t="s">
        <v>551</v>
      </c>
      <c r="D5" s="593" t="s">
        <v>551</v>
      </c>
      <c r="E5" s="611"/>
      <c r="F5" s="591" t="s">
        <v>551</v>
      </c>
      <c r="G5" s="592" t="s">
        <v>551</v>
      </c>
      <c r="H5" s="595" t="s">
        <v>551</v>
      </c>
      <c r="I5" s="1281"/>
      <c r="J5" s="1281"/>
      <c r="K5" s="1281"/>
      <c r="L5" s="1281"/>
      <c r="M5" s="1281"/>
      <c r="N5" s="1281"/>
      <c r="O5" s="1281"/>
      <c r="P5" s="1281"/>
      <c r="Q5" s="1281"/>
      <c r="R5" s="1281"/>
    </row>
    <row r="6" spans="1:18" ht="13.5" customHeight="1">
      <c r="A6" s="596" t="s">
        <v>767</v>
      </c>
      <c r="B6" s="597"/>
      <c r="C6" s="598"/>
      <c r="D6" s="1301">
        <f>SUM(C7:C9)</f>
        <v>1109025997</v>
      </c>
      <c r="E6" s="600" t="s">
        <v>768</v>
      </c>
      <c r="F6" s="601"/>
      <c r="G6" s="602"/>
      <c r="H6" s="1289">
        <f>SUM(G7:G10)</f>
        <v>1068966</v>
      </c>
      <c r="I6" s="1281"/>
      <c r="J6" s="1281"/>
      <c r="K6" s="1281"/>
      <c r="L6" s="1281"/>
      <c r="M6" s="1281"/>
      <c r="N6" s="1281"/>
      <c r="O6" s="1281"/>
      <c r="P6" s="1281"/>
      <c r="Q6" s="1281"/>
      <c r="R6" s="1281"/>
    </row>
    <row r="7" spans="1:18" ht="13.5" customHeight="1">
      <c r="A7" s="604" t="s">
        <v>194</v>
      </c>
      <c r="B7" s="649"/>
      <c r="C7" s="1300">
        <f>貸付_決算精算表!A9</f>
        <v>1108845248</v>
      </c>
      <c r="D7" s="599"/>
      <c r="E7" s="607" t="s">
        <v>1236</v>
      </c>
      <c r="F7" s="633"/>
      <c r="G7" s="1287">
        <f>貸付_決算精算表!G14</f>
        <v>380530</v>
      </c>
      <c r="H7" s="603"/>
      <c r="I7" s="1281"/>
      <c r="J7" s="1281"/>
      <c r="K7" s="1281"/>
      <c r="L7" s="1281"/>
      <c r="M7" s="1281"/>
      <c r="N7" s="1281"/>
      <c r="O7" s="1281"/>
      <c r="P7" s="1281"/>
      <c r="Q7" s="1281"/>
      <c r="R7" s="1281"/>
    </row>
    <row r="8" spans="1:18" ht="13.5" customHeight="1">
      <c r="A8" s="604" t="s">
        <v>214</v>
      </c>
      <c r="B8" s="601"/>
      <c r="C8" s="1300">
        <f>貸付_決算精算表!A10</f>
        <v>180749</v>
      </c>
      <c r="D8" s="617"/>
      <c r="E8" s="607" t="s">
        <v>997</v>
      </c>
      <c r="F8" s="601"/>
      <c r="G8" s="1287">
        <f>貸付_決算精算表!G15</f>
        <v>383205</v>
      </c>
      <c r="H8" s="603"/>
      <c r="I8" s="1281"/>
      <c r="J8" s="1281"/>
      <c r="K8" s="1281"/>
      <c r="L8" s="1281"/>
      <c r="M8" s="1281"/>
      <c r="N8" s="1281"/>
      <c r="O8" s="1281"/>
      <c r="P8" s="1281"/>
      <c r="Q8" s="1281"/>
      <c r="R8" s="1281"/>
    </row>
    <row r="9" spans="1:18" ht="13.5" customHeight="1">
      <c r="A9" s="604" t="s">
        <v>1237</v>
      </c>
      <c r="B9" s="601"/>
      <c r="C9" s="1300">
        <f>貸付_決算精算表!A11</f>
        <v>0</v>
      </c>
      <c r="D9" s="617"/>
      <c r="E9" s="607" t="s">
        <v>1238</v>
      </c>
      <c r="F9" s="601"/>
      <c r="G9" s="1287">
        <f>貸付_決算精算表!G16</f>
        <v>305231</v>
      </c>
      <c r="H9" s="603"/>
      <c r="I9" s="1281"/>
      <c r="J9" s="1281"/>
      <c r="K9" s="1281"/>
      <c r="L9" s="1281"/>
      <c r="M9" s="1281"/>
      <c r="N9" s="1281"/>
      <c r="O9" s="1281"/>
      <c r="P9" s="1281"/>
      <c r="Q9" s="1281"/>
      <c r="R9" s="1281"/>
    </row>
    <row r="10" spans="1:18" ht="13.5" customHeight="1">
      <c r="A10" s="604"/>
      <c r="B10" s="601"/>
      <c r="C10" s="1300"/>
      <c r="D10" s="617"/>
      <c r="E10" s="607" t="s">
        <v>900</v>
      </c>
      <c r="F10" s="601"/>
      <c r="G10" s="1288">
        <f>貸付_附属明細表!G70</f>
        <v>0</v>
      </c>
      <c r="H10" s="603"/>
      <c r="I10" s="1281"/>
      <c r="J10" s="1281"/>
      <c r="K10" s="1281"/>
      <c r="L10" s="1281"/>
      <c r="M10" s="1281"/>
      <c r="N10" s="1281"/>
      <c r="O10" s="1281"/>
      <c r="P10" s="1281"/>
      <c r="Q10" s="1281"/>
      <c r="R10" s="1281"/>
    </row>
    <row r="11" spans="1:18" ht="13.5" customHeight="1">
      <c r="A11" s="604"/>
      <c r="B11" s="601"/>
      <c r="C11" s="619"/>
      <c r="D11" s="617"/>
      <c r="E11" s="611"/>
      <c r="F11" s="601"/>
      <c r="G11" s="1288"/>
      <c r="H11" s="603"/>
      <c r="I11" s="1281"/>
      <c r="J11" s="1281"/>
      <c r="K11" s="1281"/>
      <c r="L11" s="1281"/>
      <c r="M11" s="1281"/>
      <c r="N11" s="1281"/>
      <c r="O11" s="1281"/>
      <c r="P11" s="1281"/>
      <c r="Q11" s="1281"/>
      <c r="R11" s="1281"/>
    </row>
    <row r="12" spans="1:18" ht="13.5" customHeight="1">
      <c r="A12" s="596" t="s">
        <v>980</v>
      </c>
      <c r="B12" s="601"/>
      <c r="C12" s="619"/>
      <c r="D12" s="1301">
        <f>SUM(C13:C19)</f>
        <v>849175709</v>
      </c>
      <c r="E12" s="600" t="s">
        <v>776</v>
      </c>
      <c r="F12" s="601"/>
      <c r="G12" s="1288"/>
      <c r="H12" s="1289">
        <f>SUM(G13:G14)</f>
        <v>0</v>
      </c>
      <c r="I12" s="1281"/>
      <c r="J12" s="1281"/>
      <c r="K12" s="1281"/>
      <c r="L12" s="1281"/>
      <c r="M12" s="1281"/>
      <c r="N12" s="1281"/>
      <c r="O12" s="1281"/>
      <c r="P12" s="1281"/>
      <c r="Q12" s="1281"/>
      <c r="R12" s="1281"/>
    </row>
    <row r="13" spans="1:18" ht="13.5" customHeight="1">
      <c r="A13" s="645" t="s">
        <v>998</v>
      </c>
      <c r="B13" s="601"/>
      <c r="C13" s="1304">
        <f>B14</f>
        <v>1</v>
      </c>
      <c r="D13" s="617"/>
      <c r="E13" s="652" t="s">
        <v>1239</v>
      </c>
      <c r="F13" s="601"/>
      <c r="G13" s="1611">
        <f>貸付_決算精算表!G17</f>
        <v>0</v>
      </c>
      <c r="H13" s="603"/>
      <c r="I13" s="1281"/>
      <c r="J13" s="1281"/>
      <c r="K13" s="1281"/>
      <c r="L13" s="1281"/>
      <c r="M13" s="1281"/>
      <c r="N13" s="1281"/>
      <c r="O13" s="1281"/>
      <c r="P13" s="1281"/>
      <c r="Q13" s="1281"/>
      <c r="R13" s="1281"/>
    </row>
    <row r="14" spans="1:18" ht="13.5" customHeight="1">
      <c r="A14" s="604" t="s">
        <v>222</v>
      </c>
      <c r="B14" s="1287">
        <f>貸付_決算精算表!A12</f>
        <v>1</v>
      </c>
      <c r="C14" s="619"/>
      <c r="D14" s="617"/>
      <c r="E14" s="611"/>
      <c r="F14" s="601"/>
      <c r="G14" s="601"/>
      <c r="H14" s="603"/>
      <c r="I14" s="1281"/>
      <c r="J14" s="1281"/>
      <c r="K14" s="1281"/>
      <c r="L14" s="1281"/>
      <c r="M14" s="1281"/>
      <c r="N14" s="1281"/>
      <c r="O14" s="1281"/>
      <c r="P14" s="1281"/>
      <c r="Q14" s="1281"/>
      <c r="R14" s="1281"/>
    </row>
    <row r="15" spans="1:18" ht="13.5" customHeight="1">
      <c r="A15" s="604"/>
      <c r="B15" s="1287"/>
      <c r="C15" s="619"/>
      <c r="D15" s="617"/>
      <c r="E15" s="611"/>
      <c r="F15" s="601"/>
      <c r="G15" s="602"/>
      <c r="H15" s="603"/>
      <c r="I15" s="1281"/>
      <c r="J15" s="1281"/>
      <c r="K15" s="1281"/>
      <c r="L15" s="1281"/>
      <c r="M15" s="1281"/>
      <c r="N15" s="1281"/>
      <c r="O15" s="1281"/>
      <c r="P15" s="1281"/>
      <c r="Q15" s="1281"/>
      <c r="R15" s="1281"/>
    </row>
    <row r="16" spans="1:18" ht="13.5" customHeight="1">
      <c r="A16" s="604"/>
      <c r="B16" s="1287"/>
      <c r="C16" s="619"/>
      <c r="D16" s="617"/>
      <c r="E16" s="618" t="s">
        <v>777</v>
      </c>
      <c r="F16" s="601"/>
      <c r="G16" s="623"/>
      <c r="H16" s="1289">
        <f>SUM(H6:H13)</f>
        <v>1068966</v>
      </c>
      <c r="I16" s="1281"/>
      <c r="J16" s="1281"/>
      <c r="K16" s="1281"/>
      <c r="L16" s="1281"/>
      <c r="M16" s="1281"/>
      <c r="N16" s="1281"/>
      <c r="O16" s="1281"/>
      <c r="P16" s="1281"/>
      <c r="Q16" s="1281"/>
      <c r="R16" s="1281"/>
    </row>
    <row r="17" spans="1:18" ht="13.5" customHeight="1">
      <c r="A17" s="604"/>
      <c r="B17" s="1287"/>
      <c r="C17" s="606"/>
      <c r="D17" s="617"/>
      <c r="E17" s="611"/>
      <c r="F17" s="601"/>
      <c r="G17" s="602"/>
      <c r="H17" s="603"/>
      <c r="I17" s="1281"/>
      <c r="J17" s="1281"/>
      <c r="K17" s="1281"/>
      <c r="L17" s="1281"/>
      <c r="M17" s="1281"/>
      <c r="N17" s="1281"/>
      <c r="O17" s="1281"/>
      <c r="P17" s="1281"/>
      <c r="Q17" s="1281"/>
      <c r="R17" s="1281"/>
    </row>
    <row r="18" spans="1:18" ht="13.5" customHeight="1">
      <c r="A18" s="1612" t="s">
        <v>981</v>
      </c>
      <c r="B18" s="1287"/>
      <c r="C18" s="1304">
        <f>B19</f>
        <v>849175708</v>
      </c>
      <c r="D18" s="617"/>
      <c r="E18" s="600" t="s">
        <v>778</v>
      </c>
      <c r="F18" s="601"/>
      <c r="G18" s="602"/>
      <c r="H18" s="1289">
        <f>SUM(G19)</f>
        <v>1957132740</v>
      </c>
      <c r="I18" s="1281"/>
      <c r="J18" s="1281"/>
      <c r="K18" s="1281"/>
      <c r="L18" s="1281"/>
      <c r="M18" s="1281"/>
      <c r="N18" s="1281"/>
      <c r="O18" s="1281"/>
      <c r="P18" s="1281"/>
      <c r="Q18" s="1281"/>
      <c r="R18" s="1281"/>
    </row>
    <row r="19" spans="1:18" ht="13.5" customHeight="1">
      <c r="A19" s="604" t="s">
        <v>1240</v>
      </c>
      <c r="B19" s="1287">
        <f>貸付_決算精算表!A13</f>
        <v>849175708</v>
      </c>
      <c r="C19" s="606"/>
      <c r="D19" s="617"/>
      <c r="E19" s="652" t="s">
        <v>901</v>
      </c>
      <c r="F19" s="601"/>
      <c r="G19" s="1308">
        <f>F20+F22</f>
        <v>1957132740</v>
      </c>
      <c r="H19" s="603"/>
      <c r="I19" s="1281"/>
      <c r="J19" s="1281"/>
      <c r="K19" s="1281"/>
      <c r="L19" s="1281"/>
      <c r="M19" s="1281"/>
      <c r="N19" s="1281"/>
      <c r="O19" s="1281"/>
      <c r="P19" s="1281"/>
      <c r="Q19" s="1281"/>
      <c r="R19" s="1281"/>
    </row>
    <row r="20" spans="1:18" ht="13.5" customHeight="1">
      <c r="A20" s="604"/>
      <c r="B20" s="1287"/>
      <c r="C20" s="619"/>
      <c r="D20" s="617"/>
      <c r="E20" s="2986" t="s">
        <v>201</v>
      </c>
      <c r="F20" s="2987">
        <f>貸付_附属明細表!Q90</f>
        <v>1957132740</v>
      </c>
      <c r="G20" s="602"/>
      <c r="H20" s="603"/>
      <c r="I20" s="1281"/>
      <c r="J20" s="1281"/>
      <c r="K20" s="1281"/>
      <c r="L20" s="1281"/>
      <c r="M20" s="1281"/>
      <c r="N20" s="1281"/>
      <c r="O20" s="1281"/>
      <c r="P20" s="1281"/>
      <c r="Q20" s="1281"/>
      <c r="R20" s="1281"/>
    </row>
    <row r="21" spans="1:18" ht="13.5" customHeight="1">
      <c r="A21" s="604"/>
      <c r="B21" s="601"/>
      <c r="C21" s="619"/>
      <c r="D21" s="617"/>
      <c r="E21" s="2986"/>
      <c r="F21" s="2987"/>
      <c r="G21" s="602"/>
      <c r="H21" s="603"/>
      <c r="I21" s="1281"/>
      <c r="J21" s="1281"/>
      <c r="K21" s="1281"/>
      <c r="L21" s="1281"/>
      <c r="M21" s="1281"/>
      <c r="N21" s="1281"/>
      <c r="O21" s="1281"/>
      <c r="P21" s="1281"/>
      <c r="Q21" s="1281"/>
      <c r="R21" s="1281"/>
    </row>
    <row r="22" spans="1:18" ht="13.5" customHeight="1">
      <c r="A22" s="590"/>
      <c r="B22" s="601"/>
      <c r="C22" s="619"/>
      <c r="D22" s="617"/>
      <c r="E22" s="652" t="s">
        <v>1241</v>
      </c>
      <c r="F22" s="601">
        <f>貸付_決算精算表!G18-F20</f>
        <v>0</v>
      </c>
      <c r="G22" s="602"/>
      <c r="H22" s="603"/>
      <c r="I22" s="1281"/>
      <c r="J22" s="1281"/>
      <c r="K22" s="1281"/>
      <c r="L22" s="1281"/>
      <c r="M22" s="1281"/>
      <c r="N22" s="1281"/>
      <c r="O22" s="1281"/>
      <c r="P22" s="1281"/>
      <c r="Q22" s="1281"/>
      <c r="R22" s="1281"/>
    </row>
    <row r="23" spans="1:18" ht="13.5" customHeight="1">
      <c r="A23" s="590"/>
      <c r="B23" s="601"/>
      <c r="C23" s="619"/>
      <c r="D23" s="617"/>
      <c r="E23" s="618" t="s">
        <v>781</v>
      </c>
      <c r="F23" s="601"/>
      <c r="G23" s="602"/>
      <c r="H23" s="1289">
        <f>SUM(H18:H22)</f>
        <v>1957132740</v>
      </c>
      <c r="I23" s="1281"/>
      <c r="J23" s="1281"/>
      <c r="K23" s="1281"/>
      <c r="L23" s="1281"/>
      <c r="M23" s="1281"/>
      <c r="N23" s="1281"/>
      <c r="O23" s="1281"/>
      <c r="P23" s="1281"/>
      <c r="Q23" s="1281"/>
      <c r="R23" s="1281"/>
    </row>
    <row r="24" spans="1:18" ht="13.5" customHeight="1">
      <c r="A24" s="590"/>
      <c r="B24" s="601"/>
      <c r="C24" s="619"/>
      <c r="D24" s="617"/>
      <c r="E24" s="611"/>
      <c r="F24" s="601"/>
      <c r="G24" s="602"/>
      <c r="H24" s="603"/>
      <c r="I24" s="1281"/>
      <c r="J24" s="1281"/>
      <c r="K24" s="1281"/>
      <c r="L24" s="1281"/>
      <c r="M24" s="1281"/>
      <c r="N24" s="1281"/>
      <c r="O24" s="1281"/>
      <c r="P24" s="1281"/>
      <c r="Q24" s="1281"/>
      <c r="R24" s="1281"/>
    </row>
    <row r="25" spans="1:18" ht="13.5" customHeight="1">
      <c r="A25" s="2384" t="s">
        <v>782</v>
      </c>
      <c r="B25" s="2384"/>
      <c r="C25" s="2384"/>
      <c r="D25" s="1310">
        <f>SUM(D6:D19)</f>
        <v>1958201706</v>
      </c>
      <c r="E25" s="2385" t="s">
        <v>783</v>
      </c>
      <c r="F25" s="2385"/>
      <c r="G25" s="2385"/>
      <c r="H25" s="1311">
        <f>SUM(H16+H23)</f>
        <v>1958201706</v>
      </c>
      <c r="I25" s="1281"/>
      <c r="J25" s="1281"/>
      <c r="K25" s="1281"/>
      <c r="L25" s="1281"/>
      <c r="M25" s="1281"/>
      <c r="N25" s="1281"/>
      <c r="O25" s="1281"/>
      <c r="P25" s="1281"/>
      <c r="Q25" s="1281"/>
      <c r="R25" s="1281"/>
    </row>
    <row r="26" spans="1:18" ht="24" customHeight="1">
      <c r="A26" s="2988" t="str">
        <f>"  （注）　固定資産の減価償却は、地方公務員等共済組合法施行規程第73条に基づき定額法により行っており、有形固定資産の減価償"&amp;CHAR(10)&amp;"　　　　却累計額は、"&amp;TEXT(貸付_附属明細表!Q105,"#,##0")&amp;"円である。"</f>
        <v xml:space="preserve">  （注）　固定資産の減価償却は、地方公務員等共済組合法施行規程第73条に基づき定額法により行っており、有形固定資産の減価償
　　　　却累計額は、580,544円である。</v>
      </c>
      <c r="B26" s="2988"/>
      <c r="C26" s="2988"/>
      <c r="D26" s="2988"/>
      <c r="E26" s="2988"/>
      <c r="F26" s="2988"/>
      <c r="G26" s="2988"/>
      <c r="H26" s="2988"/>
      <c r="I26" s="1281"/>
      <c r="J26" s="1281"/>
      <c r="K26" s="1281"/>
      <c r="L26" s="1281"/>
      <c r="M26" s="1281"/>
      <c r="N26" s="1281"/>
      <c r="O26" s="1281"/>
      <c r="P26" s="1281"/>
      <c r="Q26" s="1281"/>
      <c r="R26" s="1281"/>
    </row>
    <row r="27" spans="1:18" ht="13.5" customHeight="1">
      <c r="A27" s="1613" t="s">
        <v>1242</v>
      </c>
      <c r="B27" s="1613"/>
      <c r="C27" s="1613"/>
      <c r="D27" s="1613"/>
      <c r="E27" s="1613"/>
      <c r="F27" s="1613"/>
      <c r="G27" s="1613"/>
      <c r="H27" s="1613"/>
      <c r="I27" s="1281"/>
      <c r="J27" s="1281"/>
      <c r="K27" s="1281"/>
      <c r="L27" s="1281"/>
      <c r="M27" s="1281"/>
      <c r="N27" s="1281"/>
      <c r="O27" s="1281"/>
      <c r="P27" s="1281"/>
      <c r="Q27" s="1281"/>
      <c r="R27" s="1281"/>
    </row>
    <row r="28" spans="1:18" ht="18" customHeight="1">
      <c r="A28" s="1613"/>
      <c r="B28" s="1613"/>
      <c r="C28" s="1613"/>
      <c r="D28" s="1613"/>
      <c r="E28" s="1613"/>
      <c r="F28" s="1613"/>
      <c r="G28" s="1613"/>
      <c r="H28" s="1613"/>
      <c r="I28" s="1281"/>
      <c r="J28" s="1281"/>
      <c r="K28" s="1281"/>
      <c r="L28" s="1281"/>
      <c r="M28" s="1281"/>
      <c r="N28" s="1281"/>
      <c r="O28" s="1281"/>
      <c r="P28" s="1281"/>
      <c r="Q28" s="1281"/>
      <c r="R28" s="1281"/>
    </row>
    <row r="29" spans="1:18" ht="21" customHeight="1">
      <c r="B29" s="1315"/>
      <c r="D29" s="2683" t="s">
        <v>14</v>
      </c>
      <c r="E29" s="2683"/>
      <c r="F29" s="1269"/>
      <c r="G29" s="1315"/>
      <c r="H29" s="1315"/>
      <c r="I29" s="1281"/>
      <c r="J29" s="1281"/>
      <c r="K29" s="1281"/>
      <c r="L29" s="1281"/>
      <c r="M29" s="1281"/>
      <c r="N29" s="1281"/>
      <c r="O29" s="1281"/>
      <c r="P29" s="1281"/>
      <c r="Q29" s="1281"/>
      <c r="R29" s="1281"/>
    </row>
    <row r="30" spans="1:18" ht="21" customHeight="1">
      <c r="B30" s="1315"/>
      <c r="D30" s="2684" t="s">
        <v>787</v>
      </c>
      <c r="E30" s="2684"/>
      <c r="F30" s="1269"/>
      <c r="G30" s="1315"/>
      <c r="H30" s="1315"/>
      <c r="I30" s="1281"/>
      <c r="J30" s="1281"/>
      <c r="K30" s="1281"/>
      <c r="L30" s="1281"/>
      <c r="M30" s="1281"/>
      <c r="N30" s="1281"/>
      <c r="O30" s="1281"/>
      <c r="P30" s="1281"/>
      <c r="Q30" s="1281"/>
      <c r="R30" s="1281"/>
    </row>
    <row r="31" spans="1:18" ht="11.25" customHeight="1">
      <c r="A31" s="1271"/>
      <c r="B31" s="1271"/>
      <c r="C31" s="1271"/>
      <c r="D31" s="1271"/>
      <c r="E31" s="1271"/>
      <c r="F31" s="1271"/>
      <c r="G31" s="2677" t="str">
        <f>貸付_入力!C70</f>
        <v>自  令和７年４月  １日</v>
      </c>
      <c r="H31" s="2677"/>
      <c r="I31" s="1281"/>
      <c r="J31" s="1281"/>
      <c r="K31" s="1281"/>
      <c r="L31" s="1281"/>
      <c r="M31" s="1281"/>
      <c r="N31" s="1281"/>
      <c r="O31" s="1281"/>
      <c r="P31" s="1281"/>
      <c r="Q31" s="1281"/>
      <c r="R31" s="1281"/>
    </row>
    <row r="32" spans="1:18" ht="11.25" customHeight="1">
      <c r="A32" s="1270"/>
      <c r="B32" s="1270"/>
      <c r="C32" s="1271"/>
      <c r="D32" s="1271"/>
      <c r="E32" s="1270"/>
      <c r="F32" s="1270"/>
      <c r="G32" s="2677" t="str">
        <f>貸付_入力!C71</f>
        <v>至  令和８年３月３１日</v>
      </c>
      <c r="H32" s="2677"/>
      <c r="I32" s="1281"/>
      <c r="J32" s="1281"/>
      <c r="K32" s="1281"/>
      <c r="L32" s="1281"/>
      <c r="M32" s="1281"/>
      <c r="N32" s="1281"/>
      <c r="O32" s="1281"/>
      <c r="P32" s="1281"/>
      <c r="Q32" s="1281"/>
      <c r="R32" s="1281"/>
    </row>
    <row r="33" spans="1:18" ht="13.5" customHeight="1">
      <c r="A33" s="2678" t="s">
        <v>788</v>
      </c>
      <c r="B33" s="2678"/>
      <c r="C33" s="2678"/>
      <c r="D33" s="1273" t="s">
        <v>455</v>
      </c>
      <c r="E33" s="2679" t="s">
        <v>789</v>
      </c>
      <c r="F33" s="2679"/>
      <c r="G33" s="2679"/>
      <c r="H33" s="1272" t="s">
        <v>455</v>
      </c>
      <c r="I33" s="1281"/>
      <c r="J33" s="1281"/>
      <c r="K33" s="1281"/>
      <c r="L33" s="1281"/>
      <c r="M33" s="1281"/>
      <c r="N33" s="1281"/>
      <c r="O33" s="1281"/>
      <c r="P33" s="1281"/>
      <c r="Q33" s="1281"/>
      <c r="R33" s="1281"/>
    </row>
    <row r="34" spans="1:18" ht="12" customHeight="1">
      <c r="A34" s="1275"/>
      <c r="B34" s="1276" t="s">
        <v>551</v>
      </c>
      <c r="C34" s="1316" t="s">
        <v>551</v>
      </c>
      <c r="D34" s="1614" t="s">
        <v>551</v>
      </c>
      <c r="E34" s="1279"/>
      <c r="F34" s="1276" t="s">
        <v>551</v>
      </c>
      <c r="G34" s="1316" t="s">
        <v>551</v>
      </c>
      <c r="H34" s="1317" t="s">
        <v>551</v>
      </c>
      <c r="I34" s="1281"/>
      <c r="J34" s="1281"/>
      <c r="K34" s="1281"/>
      <c r="L34" s="1281"/>
      <c r="M34" s="1281"/>
      <c r="N34" s="1281"/>
      <c r="O34" s="1281"/>
      <c r="P34" s="1281"/>
      <c r="Q34" s="1281"/>
      <c r="R34" s="1281"/>
    </row>
    <row r="35" spans="1:18" ht="13.5" customHeight="1">
      <c r="A35" s="596" t="s">
        <v>791</v>
      </c>
      <c r="B35" s="601"/>
      <c r="C35" s="602"/>
      <c r="D35" s="1301">
        <f>SUM(C36)</f>
        <v>14882388</v>
      </c>
      <c r="E35" s="600" t="s">
        <v>792</v>
      </c>
      <c r="F35" s="639"/>
      <c r="G35" s="640"/>
      <c r="H35" s="1320">
        <f>SUM(G36:G45)</f>
        <v>10962960</v>
      </c>
      <c r="I35" s="1281"/>
      <c r="J35" s="1281"/>
      <c r="K35" s="1281"/>
      <c r="L35" s="1281"/>
      <c r="M35" s="1281"/>
      <c r="N35" s="1281"/>
      <c r="O35" s="1281"/>
      <c r="P35" s="1281"/>
      <c r="Q35" s="1281"/>
      <c r="R35" s="1281"/>
    </row>
    <row r="36" spans="1:18" ht="13.5" customHeight="1">
      <c r="A36" s="645" t="s">
        <v>793</v>
      </c>
      <c r="B36" s="601"/>
      <c r="C36" s="1308">
        <f>SUM(B37:B50)</f>
        <v>14882388</v>
      </c>
      <c r="D36" s="617"/>
      <c r="E36" s="646" t="s">
        <v>794</v>
      </c>
      <c r="F36" s="639"/>
      <c r="G36" s="1321">
        <f>SUM(F37:F39)</f>
        <v>10920960</v>
      </c>
      <c r="H36" s="647"/>
      <c r="I36" s="1281"/>
      <c r="J36" s="1281"/>
      <c r="K36" s="1281"/>
      <c r="L36" s="1281"/>
      <c r="M36" s="1281"/>
      <c r="N36" s="1281"/>
      <c r="O36" s="1281"/>
      <c r="P36" s="1281"/>
      <c r="Q36" s="1281"/>
      <c r="R36" s="1281"/>
    </row>
    <row r="37" spans="1:18" ht="13.5" customHeight="1">
      <c r="A37" s="604" t="s">
        <v>128</v>
      </c>
      <c r="B37" s="1287">
        <f>貸付_決算精算表!A21</f>
        <v>6345567</v>
      </c>
      <c r="C37" s="602"/>
      <c r="D37" s="617"/>
      <c r="E37" s="2984" t="s">
        <v>172</v>
      </c>
      <c r="F37" s="2985">
        <f>貸付_決算精算表!G34</f>
        <v>10920960</v>
      </c>
      <c r="G37" s="623"/>
      <c r="H37" s="647"/>
      <c r="I37" s="1281"/>
      <c r="J37" s="1281"/>
      <c r="K37" s="1281"/>
      <c r="L37" s="1281"/>
      <c r="M37" s="1281"/>
      <c r="N37" s="1281"/>
      <c r="O37" s="1281"/>
      <c r="P37" s="1281"/>
      <c r="Q37" s="1281"/>
      <c r="R37" s="1281"/>
    </row>
    <row r="38" spans="1:18" ht="13.5" customHeight="1">
      <c r="A38" s="604" t="s">
        <v>1104</v>
      </c>
      <c r="B38" s="1287">
        <f>貸付_決算精算表!A22</f>
        <v>23507</v>
      </c>
      <c r="C38" s="602"/>
      <c r="D38" s="617"/>
      <c r="E38" s="2984"/>
      <c r="F38" s="2985"/>
      <c r="G38" s="602"/>
      <c r="H38" s="603"/>
      <c r="I38" s="1281"/>
      <c r="J38" s="1281"/>
      <c r="K38" s="1281"/>
      <c r="L38" s="1281"/>
      <c r="M38" s="1281"/>
      <c r="N38" s="1281"/>
      <c r="O38" s="1281"/>
      <c r="P38" s="1281"/>
      <c r="Q38" s="1281"/>
      <c r="R38" s="1281"/>
    </row>
    <row r="39" spans="1:18" ht="13.5" customHeight="1">
      <c r="A39" s="604" t="s">
        <v>1002</v>
      </c>
      <c r="B39" s="1287">
        <f>貸付_決算精算表!A23</f>
        <v>0</v>
      </c>
      <c r="C39" s="602"/>
      <c r="D39" s="617"/>
      <c r="E39" s="1616"/>
      <c r="F39" s="1615"/>
      <c r="G39" s="602"/>
      <c r="H39" s="603"/>
      <c r="I39" s="1281"/>
      <c r="J39" s="1281"/>
      <c r="K39" s="1281"/>
      <c r="L39" s="1281"/>
      <c r="M39" s="1281"/>
      <c r="N39" s="1281"/>
      <c r="O39" s="1281"/>
      <c r="P39" s="1281"/>
      <c r="Q39" s="1281"/>
      <c r="R39" s="1281"/>
    </row>
    <row r="40" spans="1:18" ht="13.5" customHeight="1">
      <c r="A40" s="604" t="s">
        <v>1003</v>
      </c>
      <c r="B40" s="1287">
        <f>貸付_決算精算表!A24</f>
        <v>635259</v>
      </c>
      <c r="C40" s="602"/>
      <c r="D40" s="617"/>
      <c r="E40" s="1617" t="s">
        <v>812</v>
      </c>
      <c r="F40" s="1287"/>
      <c r="G40" s="1308">
        <f>F41</f>
        <v>42000</v>
      </c>
      <c r="H40" s="603"/>
      <c r="I40" s="1281"/>
      <c r="J40" s="1281"/>
      <c r="K40" s="1281"/>
      <c r="L40" s="1281"/>
      <c r="M40" s="1281"/>
      <c r="N40" s="1281"/>
      <c r="O40" s="1281"/>
      <c r="P40" s="1281"/>
      <c r="Q40" s="1281"/>
      <c r="R40" s="1281"/>
    </row>
    <row r="41" spans="1:18" ht="13.5" customHeight="1">
      <c r="A41" s="604" t="s">
        <v>1106</v>
      </c>
      <c r="B41" s="1287">
        <f>貸付_決算精算表!A25</f>
        <v>4403185</v>
      </c>
      <c r="C41" s="602"/>
      <c r="D41" s="617"/>
      <c r="E41" s="1618" t="s">
        <v>1243</v>
      </c>
      <c r="F41" s="1287">
        <f>貸付_決算精算表!G35</f>
        <v>42000</v>
      </c>
      <c r="G41" s="602"/>
      <c r="H41" s="603"/>
      <c r="I41" s="1281"/>
      <c r="J41" s="1281"/>
      <c r="K41" s="1281"/>
      <c r="L41" s="1281"/>
      <c r="M41" s="1281"/>
      <c r="N41" s="1281"/>
      <c r="O41" s="1281"/>
      <c r="P41" s="1281"/>
      <c r="Q41" s="1281"/>
      <c r="R41" s="1281"/>
    </row>
    <row r="42" spans="1:18" ht="13.5" customHeight="1">
      <c r="A42" s="604" t="s">
        <v>1004</v>
      </c>
      <c r="B42" s="1287">
        <f>貸付_決算精算表!A26</f>
        <v>229663</v>
      </c>
      <c r="C42" s="602"/>
      <c r="D42" s="617"/>
      <c r="E42" s="646"/>
      <c r="F42" s="601"/>
      <c r="G42" s="1308"/>
      <c r="H42" s="603"/>
      <c r="I42" s="1281"/>
      <c r="J42" s="1281"/>
      <c r="K42" s="1281"/>
      <c r="L42" s="1281"/>
      <c r="M42" s="1281"/>
      <c r="N42" s="1281"/>
      <c r="O42" s="1281"/>
      <c r="P42" s="1281"/>
      <c r="Q42" s="1281"/>
      <c r="R42" s="1281"/>
    </row>
    <row r="43" spans="1:18" ht="13.5" customHeight="1">
      <c r="A43" s="604" t="s">
        <v>1007</v>
      </c>
      <c r="B43" s="1287">
        <f>貸付_決算精算表!A27</f>
        <v>912240</v>
      </c>
      <c r="C43" s="602"/>
      <c r="D43" s="617"/>
      <c r="E43" s="646" t="s">
        <v>817</v>
      </c>
      <c r="F43" s="601"/>
      <c r="G43" s="1308">
        <f>SUM(F44)</f>
        <v>0</v>
      </c>
      <c r="H43" s="603"/>
      <c r="I43" s="1281"/>
      <c r="J43" s="1281"/>
      <c r="K43" s="1281"/>
      <c r="L43" s="1281"/>
      <c r="M43" s="1281"/>
      <c r="N43" s="1281"/>
      <c r="O43" s="1281"/>
      <c r="P43" s="1281"/>
      <c r="Q43" s="1281"/>
      <c r="R43" s="1281"/>
    </row>
    <row r="44" spans="1:18" ht="13.5" customHeight="1">
      <c r="A44" s="604" t="s">
        <v>1008</v>
      </c>
      <c r="B44" s="1287">
        <f>貸付_決算精算表!A28</f>
        <v>323822</v>
      </c>
      <c r="C44" s="602"/>
      <c r="D44" s="617"/>
      <c r="E44" s="1619" t="s">
        <v>1244</v>
      </c>
      <c r="F44" s="1287">
        <f>貸付_決算精算表!E36+貸付_決算精算表!F36</f>
        <v>0</v>
      </c>
      <c r="G44" s="1308"/>
      <c r="H44" s="603"/>
      <c r="I44" s="1281"/>
      <c r="J44" s="1281"/>
      <c r="K44" s="1281"/>
      <c r="L44" s="1281"/>
      <c r="M44" s="1281"/>
      <c r="N44" s="1281"/>
      <c r="O44" s="1281"/>
      <c r="P44" s="1281"/>
      <c r="Q44" s="1281"/>
      <c r="R44" s="1281"/>
    </row>
    <row r="45" spans="1:18" ht="13.5" customHeight="1">
      <c r="A45" s="604" t="s">
        <v>1009</v>
      </c>
      <c r="B45" s="1287">
        <f>貸付_決算精算表!A29</f>
        <v>1896954</v>
      </c>
      <c r="C45" s="602"/>
      <c r="D45" s="617"/>
      <c r="E45" s="1619"/>
      <c r="F45" s="601"/>
      <c r="G45" s="602"/>
      <c r="H45" s="603"/>
      <c r="I45" s="1281"/>
      <c r="J45" s="1281"/>
      <c r="K45" s="1281"/>
      <c r="L45" s="1281"/>
      <c r="M45" s="1281"/>
      <c r="N45" s="1281"/>
      <c r="O45" s="1281"/>
      <c r="P45" s="1281"/>
      <c r="Q45" s="1281"/>
      <c r="R45" s="1281"/>
    </row>
    <row r="46" spans="1:18" ht="13.5" customHeight="1">
      <c r="A46" s="604" t="s">
        <v>174</v>
      </c>
      <c r="B46" s="1287">
        <f>貸付_決算精算表!A30</f>
        <v>112191</v>
      </c>
      <c r="C46" s="602"/>
      <c r="D46" s="617"/>
      <c r="E46" s="600" t="s">
        <v>233</v>
      </c>
      <c r="F46" s="601"/>
      <c r="G46" s="602"/>
      <c r="H46" s="1289">
        <f>G47</f>
        <v>3919428</v>
      </c>
      <c r="I46" s="1281"/>
      <c r="J46" s="1281"/>
      <c r="K46" s="1281"/>
      <c r="L46" s="1281"/>
      <c r="M46" s="1281"/>
      <c r="N46" s="1281"/>
      <c r="O46" s="1281"/>
      <c r="P46" s="1281"/>
      <c r="Q46" s="1281"/>
      <c r="R46" s="1281"/>
    </row>
    <row r="47" spans="1:18" ht="13.5" customHeight="1">
      <c r="A47" s="604" t="str">
        <f>IF(N(貸付_附属明細表!H84)=0,"","減価償却費")</f>
        <v/>
      </c>
      <c r="B47" s="1287" t="str">
        <f>IF(N(貸付_附属明細表!H84)=0,"",貸付_附属明細表!H84)</f>
        <v/>
      </c>
      <c r="C47" s="602"/>
      <c r="D47" s="617"/>
      <c r="E47" s="646" t="s">
        <v>233</v>
      </c>
      <c r="F47" s="601"/>
      <c r="G47" s="602">
        <f>MAX(0,D35+D49-H35)</f>
        <v>3919428</v>
      </c>
      <c r="H47" s="603"/>
      <c r="I47" s="1281"/>
      <c r="J47" s="1281"/>
      <c r="K47" s="1281"/>
      <c r="L47" s="1281"/>
      <c r="M47" s="1281"/>
      <c r="N47" s="1281"/>
      <c r="O47" s="1281"/>
      <c r="P47" s="1281"/>
      <c r="Q47" s="1281"/>
      <c r="R47" s="1281"/>
    </row>
    <row r="48" spans="1:18" ht="13.5" customHeight="1">
      <c r="A48" s="604"/>
      <c r="B48" s="1620"/>
      <c r="C48" s="602"/>
      <c r="D48" s="617"/>
      <c r="E48" s="1616"/>
      <c r="F48" s="1536"/>
      <c r="G48" s="602"/>
      <c r="H48" s="603"/>
      <c r="I48" s="1281"/>
      <c r="J48" s="1281"/>
      <c r="K48" s="1281"/>
      <c r="L48" s="1281"/>
      <c r="M48" s="1281"/>
      <c r="N48" s="1281"/>
      <c r="O48" s="1281"/>
      <c r="P48" s="1281"/>
      <c r="Q48" s="1281"/>
      <c r="R48" s="1281"/>
    </row>
    <row r="49" spans="1:18" ht="13.5" customHeight="1">
      <c r="A49" s="596" t="s">
        <v>825</v>
      </c>
      <c r="B49" s="1620"/>
      <c r="C49" s="602"/>
      <c r="D49" s="1301">
        <f>C50</f>
        <v>0</v>
      </c>
      <c r="E49" s="652"/>
      <c r="F49" s="601"/>
      <c r="G49" s="602"/>
      <c r="H49" s="603"/>
      <c r="I49" s="1281"/>
      <c r="J49" s="1281"/>
      <c r="K49" s="1281"/>
      <c r="L49" s="1281"/>
      <c r="M49" s="1281"/>
      <c r="N49" s="1281"/>
      <c r="O49" s="1281"/>
      <c r="P49" s="1281"/>
      <c r="Q49" s="1281"/>
      <c r="R49" s="1281"/>
    </row>
    <row r="50" spans="1:18" ht="13.5" customHeight="1">
      <c r="A50" s="1621" t="s">
        <v>1245</v>
      </c>
      <c r="B50" s="1287"/>
      <c r="C50" s="602">
        <f>貸付_決算精算表!A32</f>
        <v>0</v>
      </c>
      <c r="D50" s="617"/>
      <c r="E50" s="1622"/>
      <c r="F50" s="601"/>
      <c r="G50" s="602"/>
      <c r="H50" s="603"/>
      <c r="I50" s="1281"/>
      <c r="J50" s="1281"/>
      <c r="K50" s="1281"/>
      <c r="L50" s="1281"/>
      <c r="M50" s="1281"/>
      <c r="N50" s="1281"/>
      <c r="O50" s="1281"/>
      <c r="P50" s="1281"/>
      <c r="Q50" s="1281"/>
      <c r="R50" s="1281"/>
    </row>
    <row r="51" spans="1:18" ht="13.5" customHeight="1">
      <c r="A51" s="1621"/>
      <c r="B51" s="1287"/>
      <c r="C51" s="602"/>
      <c r="D51" s="617"/>
      <c r="E51" s="1623"/>
      <c r="F51" s="601"/>
      <c r="G51" s="602"/>
      <c r="H51" s="603"/>
      <c r="I51" s="1281"/>
      <c r="J51" s="1281"/>
      <c r="K51" s="1281"/>
      <c r="L51" s="1281"/>
      <c r="M51" s="1281"/>
      <c r="N51" s="1281"/>
      <c r="O51" s="1281"/>
      <c r="P51" s="1281"/>
      <c r="Q51" s="1281"/>
      <c r="R51" s="1281"/>
    </row>
    <row r="52" spans="1:18" ht="13.5" customHeight="1">
      <c r="A52" s="651"/>
      <c r="B52" s="1287"/>
      <c r="C52" s="602"/>
      <c r="D52" s="617"/>
      <c r="E52" s="1623"/>
      <c r="F52" s="601"/>
      <c r="G52" s="602"/>
      <c r="H52" s="603"/>
      <c r="I52" s="1281"/>
      <c r="J52" s="1281"/>
      <c r="K52" s="1281"/>
      <c r="L52" s="1281"/>
      <c r="M52" s="1281"/>
      <c r="N52" s="1281"/>
      <c r="O52" s="1281"/>
      <c r="P52" s="1281"/>
      <c r="Q52" s="1281"/>
      <c r="R52" s="1281"/>
    </row>
    <row r="53" spans="1:18" ht="13.5" customHeight="1">
      <c r="A53" s="596" t="s">
        <v>828</v>
      </c>
      <c r="B53" s="601"/>
      <c r="C53" s="602"/>
      <c r="D53" s="1301">
        <f>C54</f>
        <v>0</v>
      </c>
      <c r="E53" s="600"/>
      <c r="F53" s="601"/>
      <c r="G53" s="602"/>
      <c r="H53" s="1289"/>
      <c r="I53" s="1281"/>
      <c r="J53" s="1281"/>
      <c r="K53" s="1281"/>
      <c r="L53" s="1281"/>
      <c r="M53" s="1281"/>
      <c r="N53" s="1281"/>
      <c r="O53" s="1281"/>
      <c r="P53" s="1281"/>
      <c r="Q53" s="1281"/>
      <c r="R53" s="1281"/>
    </row>
    <row r="54" spans="1:18" ht="13.5" customHeight="1">
      <c r="A54" s="651" t="s">
        <v>828</v>
      </c>
      <c r="B54" s="601"/>
      <c r="C54" s="1288">
        <f>MAX(0,H35-D35-D49)</f>
        <v>0</v>
      </c>
      <c r="D54" s="617"/>
      <c r="E54" s="646"/>
      <c r="F54" s="601"/>
      <c r="G54" s="602"/>
      <c r="H54" s="603"/>
      <c r="I54" s="1281"/>
      <c r="J54" s="1281"/>
      <c r="K54" s="1281"/>
      <c r="L54" s="1281"/>
      <c r="M54" s="1281"/>
      <c r="N54" s="1281"/>
      <c r="O54" s="1281"/>
      <c r="P54" s="1281"/>
      <c r="Q54" s="1281"/>
      <c r="R54" s="1281"/>
    </row>
    <row r="55" spans="1:18" ht="13.5" customHeight="1">
      <c r="A55" s="651"/>
      <c r="B55" s="601"/>
      <c r="C55" s="1288"/>
      <c r="D55" s="617"/>
      <c r="E55" s="646"/>
      <c r="F55" s="601"/>
      <c r="G55" s="602"/>
      <c r="H55" s="603"/>
      <c r="I55" s="1281"/>
      <c r="J55" s="1281"/>
      <c r="K55" s="1281"/>
      <c r="L55" s="1281"/>
      <c r="M55" s="1281"/>
      <c r="N55" s="1281"/>
      <c r="O55" s="1281"/>
      <c r="P55" s="1281"/>
      <c r="Q55" s="1281"/>
      <c r="R55" s="1281"/>
    </row>
    <row r="56" spans="1:18" ht="12.75" customHeight="1">
      <c r="A56" s="651"/>
      <c r="B56" s="601"/>
      <c r="C56" s="1288"/>
      <c r="D56" s="617"/>
      <c r="E56" s="646"/>
      <c r="F56" s="601"/>
      <c r="G56" s="602"/>
      <c r="H56" s="603"/>
      <c r="I56" s="1281"/>
      <c r="J56" s="1281"/>
      <c r="K56" s="1281"/>
      <c r="L56" s="1281"/>
      <c r="M56" s="1281"/>
      <c r="N56" s="1281"/>
      <c r="O56" s="1281"/>
      <c r="P56" s="1281"/>
      <c r="Q56" s="1281"/>
      <c r="R56" s="1281"/>
    </row>
    <row r="57" spans="1:18" ht="13.5" customHeight="1">
      <c r="A57" s="1624"/>
      <c r="B57" s="601"/>
      <c r="C57" s="602"/>
      <c r="D57" s="617"/>
      <c r="E57" s="1625"/>
      <c r="F57" s="601"/>
      <c r="G57" s="602"/>
      <c r="H57" s="603"/>
      <c r="I57" s="1281"/>
      <c r="J57" s="1281"/>
      <c r="K57" s="1281"/>
      <c r="L57" s="1281"/>
      <c r="M57" s="1281"/>
      <c r="N57" s="1281"/>
      <c r="O57" s="1281"/>
      <c r="P57" s="1281"/>
      <c r="Q57" s="1281"/>
      <c r="R57" s="1281"/>
    </row>
    <row r="58" spans="1:18" ht="13.5" customHeight="1">
      <c r="A58" s="2384" t="s">
        <v>833</v>
      </c>
      <c r="B58" s="2384"/>
      <c r="C58" s="2384"/>
      <c r="D58" s="1310">
        <f>SUM(D35:D57)</f>
        <v>14882388</v>
      </c>
      <c r="E58" s="2385" t="s">
        <v>1014</v>
      </c>
      <c r="F58" s="2385"/>
      <c r="G58" s="2385"/>
      <c r="H58" s="1311">
        <f>SUM(H35:H57)</f>
        <v>14882388</v>
      </c>
      <c r="I58" s="1281"/>
      <c r="J58" s="1281"/>
      <c r="K58" s="1281"/>
      <c r="L58" s="1281"/>
      <c r="M58" s="1281"/>
      <c r="N58" s="1281"/>
      <c r="O58" s="1281"/>
      <c r="P58" s="1281"/>
      <c r="Q58" s="1281"/>
      <c r="R58" s="1281"/>
    </row>
    <row r="59" spans="1:18" ht="10.5" customHeight="1">
      <c r="A59" s="1313"/>
      <c r="B59" s="1313"/>
      <c r="C59" s="1313"/>
      <c r="D59" s="1313"/>
      <c r="E59" s="1313"/>
      <c r="F59" s="1313"/>
      <c r="G59" s="1313"/>
      <c r="H59" s="1313"/>
      <c r="I59" s="1281"/>
      <c r="J59" s="1281"/>
      <c r="K59" s="1281"/>
      <c r="L59" s="1281"/>
      <c r="M59" s="1281"/>
      <c r="N59" s="1281"/>
      <c r="O59" s="1281"/>
      <c r="P59" s="1281"/>
      <c r="Q59" s="1281"/>
      <c r="R59" s="1281"/>
    </row>
    <row r="60" spans="1:18" ht="10.5" customHeight="1">
      <c r="A60" s="1313"/>
      <c r="B60" s="1313"/>
      <c r="C60" s="1313"/>
      <c r="D60" s="1313"/>
      <c r="E60" s="1313"/>
      <c r="F60" s="1313"/>
      <c r="G60" s="1313"/>
      <c r="H60" s="1313"/>
      <c r="I60" s="1281"/>
      <c r="J60" s="1281"/>
      <c r="K60" s="1281"/>
      <c r="L60" s="1281"/>
      <c r="M60" s="1281"/>
      <c r="N60" s="1281"/>
      <c r="O60" s="1281"/>
      <c r="P60" s="1281"/>
      <c r="Q60" s="1281"/>
      <c r="R60" s="1281"/>
    </row>
    <row r="61" spans="1:18" ht="10.5" customHeight="1">
      <c r="A61" s="1270"/>
      <c r="B61" s="1270"/>
      <c r="C61" s="1270"/>
      <c r="D61" s="1270"/>
      <c r="E61" s="1270"/>
      <c r="F61" s="1270"/>
      <c r="G61" s="1270"/>
      <c r="H61" s="1270"/>
    </row>
    <row r="62" spans="1:18" ht="10.5" customHeight="1">
      <c r="A62" s="1270"/>
      <c r="B62" s="1270"/>
      <c r="C62" s="1270"/>
      <c r="D62" s="1270"/>
      <c r="E62" s="1270"/>
      <c r="F62" s="1270"/>
      <c r="G62" s="1270"/>
      <c r="H62" s="1270"/>
    </row>
    <row r="63" spans="1:18" ht="10.5" customHeight="1">
      <c r="A63" s="1270"/>
      <c r="B63" s="1270"/>
      <c r="C63" s="1270"/>
      <c r="D63" s="1270"/>
      <c r="E63" s="1270"/>
      <c r="F63" s="1270"/>
      <c r="G63" s="1270"/>
      <c r="H63" s="1270"/>
    </row>
    <row r="64" spans="1:18" ht="10.5" customHeight="1">
      <c r="A64" s="1270"/>
      <c r="B64" s="1270"/>
      <c r="C64" s="1270"/>
      <c r="D64" s="1270"/>
      <c r="E64" s="1270"/>
      <c r="F64" s="1270"/>
      <c r="G64" s="1270"/>
      <c r="H64" s="1270"/>
    </row>
  </sheetData>
  <sheetProtection formatCells="0" formatColumns="0" formatRows="0" insertColumns="0" insertRows="0" insertHyperlinks="0" deleteColumns="0" deleteRows="0" selectLockedCells="1"/>
  <mergeCells count="20">
    <mergeCell ref="D1:E1"/>
    <mergeCell ref="D2:E2"/>
    <mergeCell ref="G3:H3"/>
    <mergeCell ref="A4:C4"/>
    <mergeCell ref="E4:G4"/>
    <mergeCell ref="E20:E21"/>
    <mergeCell ref="F20:F21"/>
    <mergeCell ref="A25:C25"/>
    <mergeCell ref="E25:G25"/>
    <mergeCell ref="A26:H26"/>
    <mergeCell ref="E37:E38"/>
    <mergeCell ref="F37:F38"/>
    <mergeCell ref="A58:C58"/>
    <mergeCell ref="E58:G58"/>
    <mergeCell ref="D29:E29"/>
    <mergeCell ref="D30:E30"/>
    <mergeCell ref="G31:H31"/>
    <mergeCell ref="G32:H32"/>
    <mergeCell ref="A33:C33"/>
    <mergeCell ref="E33:G33"/>
  </mergeCells>
  <phoneticPr fontId="155"/>
  <pageMargins left="0.78749999999999998" right="0.39374999999999999" top="0.74791666666666701" bottom="0.47291666666666698" header="0.511811023622047" footer="0.31527777777777799"/>
  <pageSetup paperSize="9" firstPageNumber="59" orientation="portrait" useFirstPageNumber="1" horizontalDpi="300" verticalDpi="300"/>
  <headerFooter>
    <oddFooter>&amp;C&amp;"ＭＳ 明朝,Regular"- &amp;P -</oddFooter>
  </headerFooter>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CCF2F-861F-46F2-A79B-3D44EAAE812E}">
  <sheetPr codeName="Sheet49">
    <tabColor rgb="FFA6A6A6"/>
  </sheetPr>
  <dimension ref="A1:IW127"/>
  <sheetViews>
    <sheetView zoomScaleNormal="100" zoomScalePageLayoutView="60" workbookViewId="0">
      <selection sqref="A1:G1"/>
    </sheetView>
  </sheetViews>
  <sheetFormatPr defaultColWidth="10.6640625" defaultRowHeight="13.2"/>
  <cols>
    <col min="1" max="24" width="3.77734375" style="696" customWidth="1"/>
    <col min="25" max="27" width="4.109375" style="696" customWidth="1"/>
    <col min="28" max="257" width="10.6640625" style="696"/>
  </cols>
  <sheetData>
    <row r="1" spans="1:24" ht="18.75" customHeight="1">
      <c r="I1" s="2396" t="s">
        <v>835</v>
      </c>
      <c r="J1" s="2396"/>
      <c r="K1" s="2396"/>
      <c r="L1" s="2396"/>
      <c r="M1" s="2396"/>
      <c r="N1" s="2396"/>
      <c r="O1" s="2396"/>
      <c r="P1" s="2396"/>
      <c r="Q1" s="2477"/>
      <c r="R1" s="2477"/>
      <c r="S1" s="2477"/>
      <c r="T1" s="2477"/>
      <c r="U1" s="2477"/>
      <c r="V1" s="2477"/>
      <c r="W1" s="2477"/>
      <c r="X1" s="2477"/>
    </row>
    <row r="2" spans="1:24" ht="12"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12"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743" customFormat="1" ht="18" customHeight="1">
      <c r="A5" s="2989" t="s">
        <v>839</v>
      </c>
      <c r="B5" s="2989"/>
      <c r="C5" s="2989"/>
      <c r="D5" s="2989"/>
      <c r="E5" s="2989"/>
      <c r="F5" s="2989"/>
      <c r="G5" s="3044" t="s">
        <v>1015</v>
      </c>
      <c r="H5" s="3044"/>
      <c r="I5" s="3044"/>
      <c r="J5" s="3044"/>
      <c r="K5" s="3044"/>
      <c r="L5" s="3044"/>
      <c r="M5" s="3028">
        <f>貸付_入力!C11</f>
        <v>1108845248</v>
      </c>
      <c r="N5" s="3028"/>
      <c r="O5" s="3028"/>
      <c r="P5" s="3028"/>
      <c r="Q5" s="3028"/>
      <c r="R5" s="1626"/>
      <c r="S5" s="3045" t="s">
        <v>1246</v>
      </c>
      <c r="T5" s="3045"/>
      <c r="U5" s="3045"/>
      <c r="V5" s="3045"/>
      <c r="W5" s="3045"/>
      <c r="X5" s="3045"/>
    </row>
    <row r="6" spans="1:24" s="699" customFormat="1" ht="23.25" customHeight="1">
      <c r="A6" s="2404" t="s">
        <v>460</v>
      </c>
      <c r="B6" s="2404"/>
      <c r="C6" s="2404"/>
      <c r="D6" s="2404"/>
      <c r="E6" s="2404"/>
      <c r="F6" s="2404"/>
      <c r="G6" s="2469"/>
      <c r="H6" s="2469"/>
      <c r="I6" s="2469"/>
      <c r="J6" s="2469"/>
      <c r="K6" s="2469"/>
      <c r="L6" s="2469"/>
      <c r="M6" s="2799">
        <f>SUM(M5)</f>
        <v>1108845248</v>
      </c>
      <c r="N6" s="2799"/>
      <c r="O6" s="2799"/>
      <c r="P6" s="2799"/>
      <c r="Q6" s="2799"/>
      <c r="R6" s="716"/>
      <c r="S6" s="2470"/>
      <c r="T6" s="2470"/>
      <c r="U6" s="2470"/>
      <c r="V6" s="2470"/>
      <c r="W6" s="2470"/>
      <c r="X6" s="2470"/>
    </row>
    <row r="7" spans="1:24" s="699" customFormat="1" ht="15" customHeight="1">
      <c r="A7" s="718"/>
      <c r="B7" s="718"/>
      <c r="C7" s="718"/>
      <c r="D7" s="718"/>
      <c r="E7" s="718"/>
      <c r="F7" s="718"/>
      <c r="G7" s="1627"/>
      <c r="H7" s="1627"/>
      <c r="I7" s="1627"/>
      <c r="J7" s="1627"/>
      <c r="K7" s="1627"/>
      <c r="L7" s="1627"/>
      <c r="M7" s="1628"/>
      <c r="N7" s="1628"/>
      <c r="O7" s="1628"/>
      <c r="P7" s="1628"/>
      <c r="Q7" s="1628"/>
      <c r="R7" s="1629"/>
      <c r="S7" s="1561"/>
      <c r="T7" s="1561"/>
      <c r="U7" s="1561"/>
      <c r="V7" s="1561"/>
      <c r="W7" s="1561"/>
      <c r="X7" s="1561"/>
    </row>
    <row r="8" spans="1:24" ht="18.75" customHeight="1">
      <c r="I8" s="2396" t="s">
        <v>1163</v>
      </c>
      <c r="J8" s="2396"/>
      <c r="K8" s="2396"/>
      <c r="L8" s="2396"/>
      <c r="M8" s="2396"/>
      <c r="N8" s="2396"/>
      <c r="O8" s="2396"/>
      <c r="P8" s="2396"/>
      <c r="Q8" s="2477"/>
      <c r="R8" s="2477"/>
      <c r="S8" s="2477"/>
      <c r="T8" s="2477"/>
      <c r="U8" s="2477"/>
      <c r="V8" s="2477"/>
      <c r="W8" s="2477"/>
      <c r="X8" s="2477"/>
    </row>
    <row r="9" spans="1:24" ht="12" customHeight="1">
      <c r="A9" s="717"/>
      <c r="B9" s="717"/>
      <c r="C9" s="717"/>
      <c r="D9" s="717"/>
      <c r="E9" s="717"/>
      <c r="F9" s="717"/>
      <c r="G9" s="717"/>
      <c r="H9" s="717"/>
      <c r="I9" s="1630"/>
      <c r="J9" s="1630"/>
      <c r="K9" s="1630"/>
      <c r="L9" s="1630"/>
      <c r="M9" s="1630"/>
      <c r="N9" s="1630"/>
      <c r="O9" s="1630"/>
      <c r="P9" s="1630"/>
      <c r="Q9" s="717"/>
      <c r="R9" s="717"/>
      <c r="S9" s="717"/>
      <c r="T9" s="717"/>
      <c r="U9" s="717"/>
      <c r="V9" s="717"/>
      <c r="W9" s="717"/>
      <c r="X9" s="717"/>
    </row>
    <row r="10" spans="1:24" ht="21" customHeight="1">
      <c r="A10" s="2478" t="s">
        <v>1247</v>
      </c>
      <c r="B10" s="2478"/>
      <c r="C10" s="2478"/>
      <c r="D10" s="2415" t="s">
        <v>990</v>
      </c>
      <c r="E10" s="2415"/>
      <c r="F10" s="2415" t="s">
        <v>991</v>
      </c>
      <c r="G10" s="2415"/>
      <c r="H10" s="2415"/>
      <c r="I10" s="2415"/>
      <c r="J10" s="3033" t="s">
        <v>875</v>
      </c>
      <c r="K10" s="3033"/>
      <c r="L10" s="3033"/>
      <c r="M10" s="3033"/>
      <c r="N10" s="3033" t="s">
        <v>876</v>
      </c>
      <c r="O10" s="3033"/>
      <c r="P10" s="3033"/>
      <c r="Q10" s="3033"/>
      <c r="R10" s="2415" t="s">
        <v>992</v>
      </c>
      <c r="S10" s="2415"/>
      <c r="T10" s="2415"/>
      <c r="U10" s="2415"/>
      <c r="V10" s="2417" t="s">
        <v>1146</v>
      </c>
      <c r="W10" s="2417"/>
      <c r="X10" s="2417"/>
    </row>
    <row r="11" spans="1:24" ht="12" customHeight="1">
      <c r="A11" s="3039"/>
      <c r="B11" s="3039"/>
      <c r="C11" s="3039"/>
      <c r="D11" s="2119" t="s">
        <v>1248</v>
      </c>
      <c r="E11" s="2119"/>
      <c r="F11" s="2419" t="s">
        <v>551</v>
      </c>
      <c r="G11" s="2419"/>
      <c r="H11" s="2419"/>
      <c r="I11" s="2419"/>
      <c r="J11" s="3040" t="s">
        <v>551</v>
      </c>
      <c r="K11" s="3040"/>
      <c r="L11" s="3040"/>
      <c r="M11" s="3040"/>
      <c r="N11" s="3040" t="s">
        <v>551</v>
      </c>
      <c r="O11" s="3040"/>
      <c r="P11" s="3040"/>
      <c r="Q11" s="3040"/>
      <c r="R11" s="3040" t="s">
        <v>551</v>
      </c>
      <c r="S11" s="3040"/>
      <c r="T11" s="3040"/>
      <c r="U11" s="3040"/>
      <c r="V11" s="3041" t="s">
        <v>1249</v>
      </c>
      <c r="W11" s="3041"/>
      <c r="X11" s="3041"/>
    </row>
    <row r="12" spans="1:24" s="743" customFormat="1" ht="18" customHeight="1">
      <c r="A12" s="3036" t="s">
        <v>1250</v>
      </c>
      <c r="B12" s="3036"/>
      <c r="C12" s="3036"/>
      <c r="D12" s="2119"/>
      <c r="E12" s="2119"/>
      <c r="F12" s="2991">
        <f>貸付_入力!C12</f>
        <v>957879024</v>
      </c>
      <c r="G12" s="2991"/>
      <c r="H12" s="2991"/>
      <c r="I12" s="2991"/>
      <c r="J12" s="3042">
        <f>貸付_入力!C13</f>
        <v>126110000</v>
      </c>
      <c r="K12" s="3042"/>
      <c r="L12" s="3042"/>
      <c r="M12" s="3042"/>
      <c r="N12" s="3042">
        <f>貸付_入力!C14</f>
        <v>234813316</v>
      </c>
      <c r="O12" s="3042"/>
      <c r="P12" s="3042"/>
      <c r="Q12" s="3042"/>
      <c r="R12" s="3043">
        <f>F12+J12-N12</f>
        <v>849175708</v>
      </c>
      <c r="S12" s="3043"/>
      <c r="T12" s="3043"/>
      <c r="U12" s="3043"/>
      <c r="V12" s="3041"/>
      <c r="W12" s="3041"/>
      <c r="X12" s="3041"/>
    </row>
    <row r="13" spans="1:24" ht="23.25" customHeight="1">
      <c r="A13" s="2588" t="s">
        <v>1078</v>
      </c>
      <c r="B13" s="2588"/>
      <c r="C13" s="2588"/>
      <c r="D13" s="3037"/>
      <c r="E13" s="3037"/>
      <c r="F13" s="3032">
        <f>SUM(F12)</f>
        <v>957879024</v>
      </c>
      <c r="G13" s="3032"/>
      <c r="H13" s="3032"/>
      <c r="I13" s="3032"/>
      <c r="J13" s="3032">
        <f>SUM(J12)</f>
        <v>126110000</v>
      </c>
      <c r="K13" s="3032"/>
      <c r="L13" s="3032"/>
      <c r="M13" s="3032"/>
      <c r="N13" s="3032">
        <f>SUM(N12)</f>
        <v>234813316</v>
      </c>
      <c r="O13" s="3032"/>
      <c r="P13" s="3032"/>
      <c r="Q13" s="3032"/>
      <c r="R13" s="3032">
        <f>SUM(R12)</f>
        <v>849175708</v>
      </c>
      <c r="S13" s="3032"/>
      <c r="T13" s="3032"/>
      <c r="U13" s="3032"/>
      <c r="V13" s="3038"/>
      <c r="W13" s="3038"/>
      <c r="X13" s="3038"/>
    </row>
    <row r="14" spans="1:24" ht="14.25" customHeight="1">
      <c r="A14" s="717"/>
      <c r="B14" s="717"/>
      <c r="C14" s="717"/>
      <c r="D14" s="717"/>
      <c r="E14" s="717"/>
      <c r="F14" s="717"/>
      <c r="G14" s="717"/>
      <c r="H14" s="717"/>
      <c r="I14" s="1630"/>
      <c r="J14" s="1630"/>
      <c r="K14" s="1630"/>
      <c r="L14" s="1630"/>
      <c r="M14" s="1630"/>
      <c r="N14" s="1630"/>
      <c r="O14" s="1630"/>
      <c r="P14" s="1630"/>
      <c r="Q14" s="717"/>
      <c r="R14" s="717"/>
      <c r="S14" s="717"/>
      <c r="T14" s="717"/>
      <c r="U14" s="717"/>
      <c r="V14" s="717"/>
      <c r="W14" s="717"/>
      <c r="X14" s="717"/>
    </row>
    <row r="15" spans="1:24" ht="18.75" customHeight="1">
      <c r="I15" s="2396" t="s">
        <v>1167</v>
      </c>
      <c r="J15" s="2396"/>
      <c r="K15" s="2396"/>
      <c r="L15" s="2396"/>
      <c r="M15" s="2396"/>
      <c r="N15" s="2396"/>
      <c r="O15" s="2396"/>
      <c r="P15" s="2396"/>
      <c r="Q15" s="2477"/>
      <c r="R15" s="2477"/>
      <c r="S15" s="2477"/>
      <c r="T15" s="2477"/>
      <c r="U15" s="2477"/>
      <c r="V15" s="2477"/>
      <c r="W15" s="2477"/>
      <c r="X15" s="2477"/>
    </row>
    <row r="16" spans="1:24" ht="12" customHeight="1">
      <c r="A16" s="717"/>
      <c r="B16" s="717"/>
      <c r="C16" s="717"/>
      <c r="D16" s="717"/>
      <c r="E16" s="717"/>
      <c r="F16" s="717"/>
      <c r="G16" s="717"/>
      <c r="H16" s="717"/>
      <c r="I16" s="1630"/>
      <c r="J16" s="1630"/>
      <c r="K16" s="1630"/>
      <c r="L16" s="1630"/>
      <c r="M16" s="1630"/>
      <c r="N16" s="1630"/>
      <c r="O16" s="1630"/>
      <c r="P16" s="1630"/>
      <c r="Q16" s="717"/>
      <c r="R16" s="717"/>
      <c r="S16" s="717"/>
      <c r="T16" s="717"/>
      <c r="U16" s="717"/>
      <c r="V16" s="717"/>
      <c r="W16" s="717"/>
      <c r="X16" s="717"/>
    </row>
    <row r="17" spans="1:24" ht="21" customHeight="1">
      <c r="A17" s="2478" t="s">
        <v>1251</v>
      </c>
      <c r="B17" s="2478"/>
      <c r="C17" s="2478"/>
      <c r="D17" s="2415" t="s">
        <v>1252</v>
      </c>
      <c r="E17" s="2415"/>
      <c r="F17" s="2415" t="s">
        <v>991</v>
      </c>
      <c r="G17" s="2415"/>
      <c r="H17" s="2415"/>
      <c r="I17" s="2415"/>
      <c r="J17" s="3033" t="s">
        <v>875</v>
      </c>
      <c r="K17" s="3033"/>
      <c r="L17" s="3033"/>
      <c r="M17" s="3033"/>
      <c r="N17" s="3033" t="s">
        <v>876</v>
      </c>
      <c r="O17" s="3033"/>
      <c r="P17" s="3033"/>
      <c r="Q17" s="3033"/>
      <c r="R17" s="2415" t="s">
        <v>992</v>
      </c>
      <c r="S17" s="2415"/>
      <c r="T17" s="2415"/>
      <c r="U17" s="2415"/>
      <c r="V17" s="2417" t="s">
        <v>1146</v>
      </c>
      <c r="W17" s="2417"/>
      <c r="X17" s="2417"/>
    </row>
    <row r="18" spans="1:24" ht="12" customHeight="1">
      <c r="A18" s="2890"/>
      <c r="B18" s="2890"/>
      <c r="C18" s="2890"/>
      <c r="D18" s="3034" t="s">
        <v>11</v>
      </c>
      <c r="E18" s="3034"/>
      <c r="F18" s="2419" t="s">
        <v>551</v>
      </c>
      <c r="G18" s="2419"/>
      <c r="H18" s="2419"/>
      <c r="I18" s="2419"/>
      <c r="J18" s="2419" t="s">
        <v>551</v>
      </c>
      <c r="K18" s="2419"/>
      <c r="L18" s="2419"/>
      <c r="M18" s="2419"/>
      <c r="N18" s="2419" t="s">
        <v>551</v>
      </c>
      <c r="O18" s="2419"/>
      <c r="P18" s="2419"/>
      <c r="Q18" s="2419"/>
      <c r="R18" s="2419" t="s">
        <v>551</v>
      </c>
      <c r="S18" s="2419"/>
      <c r="T18" s="2419"/>
      <c r="U18" s="2419"/>
      <c r="V18" s="3035"/>
      <c r="W18" s="3035"/>
      <c r="X18" s="3035"/>
    </row>
    <row r="19" spans="1:24" s="743" customFormat="1" ht="18" customHeight="1">
      <c r="A19" s="3036" t="s">
        <v>1250</v>
      </c>
      <c r="B19" s="3036"/>
      <c r="C19" s="3036"/>
      <c r="D19" s="3034"/>
      <c r="E19" s="3034"/>
      <c r="F19" s="2991">
        <f>貸付_入力!C15</f>
        <v>105000000</v>
      </c>
      <c r="G19" s="2991"/>
      <c r="H19" s="2991"/>
      <c r="I19" s="2991"/>
      <c r="J19" s="2991">
        <f>貸付_入力!C16</f>
        <v>0</v>
      </c>
      <c r="K19" s="2991"/>
      <c r="L19" s="2991"/>
      <c r="M19" s="2991"/>
      <c r="N19" s="2991">
        <f>貸付_入力!C17</f>
        <v>105000000</v>
      </c>
      <c r="O19" s="2991"/>
      <c r="P19" s="2991"/>
      <c r="Q19" s="2991"/>
      <c r="R19" s="2992">
        <f>F19+J19-N19</f>
        <v>0</v>
      </c>
      <c r="S19" s="2992"/>
      <c r="T19" s="2992"/>
      <c r="U19" s="2992"/>
      <c r="V19" s="2995"/>
      <c r="W19" s="2995"/>
      <c r="X19" s="2995"/>
    </row>
    <row r="20" spans="1:24" ht="23.25" customHeight="1">
      <c r="A20" s="2404" t="s">
        <v>1078</v>
      </c>
      <c r="B20" s="2404"/>
      <c r="C20" s="2404"/>
      <c r="D20" s="2428"/>
      <c r="E20" s="2428"/>
      <c r="F20" s="3032">
        <f>SUM(F19)</f>
        <v>105000000</v>
      </c>
      <c r="G20" s="3032"/>
      <c r="H20" s="3032"/>
      <c r="I20" s="3032"/>
      <c r="J20" s="3032">
        <f>SUM(J19)</f>
        <v>0</v>
      </c>
      <c r="K20" s="3032"/>
      <c r="L20" s="3032"/>
      <c r="M20" s="3032"/>
      <c r="N20" s="3032">
        <f>SUM(N19)</f>
        <v>105000000</v>
      </c>
      <c r="O20" s="3032"/>
      <c r="P20" s="3032"/>
      <c r="Q20" s="3032"/>
      <c r="R20" s="3032">
        <f>SUM(R19)</f>
        <v>0</v>
      </c>
      <c r="S20" s="3032"/>
      <c r="T20" s="3032"/>
      <c r="U20" s="3032"/>
      <c r="V20" s="2470"/>
      <c r="W20" s="2470"/>
      <c r="X20" s="2470"/>
    </row>
    <row r="21" spans="1:24" ht="14.25" customHeight="1">
      <c r="B21" s="1631"/>
      <c r="C21" s="767"/>
      <c r="D21" s="1632"/>
      <c r="E21" s="1631"/>
      <c r="F21" s="1631"/>
      <c r="G21" s="719"/>
    </row>
    <row r="22" spans="1:24" s="1338" customFormat="1" ht="14.25" customHeight="1">
      <c r="B22" s="1351"/>
      <c r="C22" s="1352"/>
      <c r="D22" s="1352"/>
      <c r="E22" s="1352"/>
      <c r="F22" s="1352"/>
      <c r="G22" s="1352"/>
    </row>
    <row r="23" spans="1:24" ht="18.75" customHeight="1">
      <c r="B23" s="720"/>
      <c r="C23" s="720"/>
      <c r="D23" s="720"/>
      <c r="E23" s="720"/>
      <c r="F23" s="720"/>
      <c r="G23" s="720"/>
      <c r="H23" s="720"/>
      <c r="I23" s="2396" t="s">
        <v>850</v>
      </c>
      <c r="J23" s="2396"/>
      <c r="K23" s="2396"/>
      <c r="L23" s="2396"/>
      <c r="M23" s="2396"/>
      <c r="N23" s="2396"/>
      <c r="O23" s="2396"/>
      <c r="P23" s="2396"/>
      <c r="Q23" s="720"/>
      <c r="R23" s="720"/>
      <c r="S23" s="720"/>
      <c r="T23" s="720"/>
      <c r="U23" s="720"/>
      <c r="V23" s="720"/>
      <c r="W23" s="720"/>
      <c r="X23" s="720"/>
    </row>
    <row r="24" spans="1:24" ht="12" customHeight="1">
      <c r="A24" s="697"/>
      <c r="B24" s="698"/>
      <c r="C24" s="698"/>
      <c r="D24" s="698"/>
      <c r="E24" s="698"/>
      <c r="F24" s="698"/>
      <c r="G24" s="698"/>
      <c r="H24" s="698"/>
      <c r="I24" s="698"/>
      <c r="J24" s="698"/>
      <c r="K24" s="698"/>
      <c r="L24" s="698"/>
      <c r="M24" s="698"/>
      <c r="N24" s="698"/>
      <c r="O24" s="698"/>
      <c r="P24" s="698"/>
      <c r="Q24" s="698"/>
      <c r="R24" s="698"/>
      <c r="S24" s="698"/>
      <c r="T24" s="698"/>
      <c r="U24" s="698"/>
      <c r="V24" s="698"/>
      <c r="W24" s="698"/>
      <c r="X24" s="698"/>
    </row>
    <row r="25" spans="1:24" s="699" customFormat="1" ht="21" customHeight="1">
      <c r="A25" s="2414" t="s">
        <v>847</v>
      </c>
      <c r="B25" s="2414"/>
      <c r="C25" s="2414"/>
      <c r="D25" s="2414"/>
      <c r="E25" s="2414"/>
      <c r="F25" s="2414"/>
      <c r="G25" s="2438" t="s">
        <v>837</v>
      </c>
      <c r="H25" s="2438"/>
      <c r="I25" s="2438"/>
      <c r="J25" s="2438"/>
      <c r="K25" s="2438"/>
      <c r="L25" s="2438"/>
      <c r="M25" s="2438" t="s">
        <v>848</v>
      </c>
      <c r="N25" s="2438"/>
      <c r="O25" s="2438"/>
      <c r="P25" s="2438"/>
      <c r="Q25" s="2438"/>
      <c r="R25" s="2438"/>
      <c r="S25" s="2417" t="s">
        <v>838</v>
      </c>
      <c r="T25" s="2417"/>
      <c r="U25" s="2417"/>
      <c r="V25" s="2417"/>
      <c r="W25" s="2417"/>
      <c r="X25" s="2417"/>
    </row>
    <row r="26" spans="1:24" s="699" customFormat="1" ht="11.25" customHeight="1">
      <c r="A26" s="700"/>
      <c r="B26" s="701"/>
      <c r="C26" s="701"/>
      <c r="D26" s="701"/>
      <c r="E26" s="701"/>
      <c r="F26" s="702"/>
      <c r="G26" s="703"/>
      <c r="H26" s="701"/>
      <c r="I26" s="701"/>
      <c r="J26" s="701"/>
      <c r="K26" s="701"/>
      <c r="L26" s="704" t="s">
        <v>551</v>
      </c>
      <c r="M26" s="703"/>
      <c r="N26" s="701"/>
      <c r="O26" s="701"/>
      <c r="P26" s="701"/>
      <c r="Q26" s="701"/>
      <c r="R26" s="726"/>
      <c r="S26" s="3026" t="s">
        <v>1253</v>
      </c>
      <c r="T26" s="3026"/>
      <c r="U26" s="3026"/>
      <c r="V26" s="3026"/>
      <c r="W26" s="3026"/>
      <c r="X26" s="3026"/>
    </row>
    <row r="27" spans="1:24" s="699" customFormat="1" ht="18.75" customHeight="1">
      <c r="A27" s="3027" t="s">
        <v>1254</v>
      </c>
      <c r="B27" s="3027"/>
      <c r="C27" s="3027"/>
      <c r="D27" s="3027"/>
      <c r="E27" s="3027"/>
      <c r="F27" s="3027"/>
      <c r="G27" s="3028">
        <f>貸付_入力!C19</f>
        <v>180749</v>
      </c>
      <c r="H27" s="3028"/>
      <c r="I27" s="3028"/>
      <c r="J27" s="3028"/>
      <c r="K27" s="3028"/>
      <c r="L27" s="1488"/>
      <c r="M27" s="3029" t="s">
        <v>482</v>
      </c>
      <c r="N27" s="3029"/>
      <c r="O27" s="3029"/>
      <c r="P27" s="3029"/>
      <c r="Q27" s="3029"/>
      <c r="R27" s="3029"/>
      <c r="S27" s="3026"/>
      <c r="T27" s="3026"/>
      <c r="U27" s="3026"/>
      <c r="V27" s="3026"/>
      <c r="W27" s="3026"/>
      <c r="X27" s="3026"/>
    </row>
    <row r="28" spans="1:24" s="699" customFormat="1" ht="18.75" hidden="1" customHeight="1">
      <c r="A28" s="2537" t="s">
        <v>1240</v>
      </c>
      <c r="B28" s="2537"/>
      <c r="C28" s="2537"/>
      <c r="D28" s="2537"/>
      <c r="E28" s="2537"/>
      <c r="F28" s="2537"/>
      <c r="G28" s="2819">
        <f>貸付_入力!C20</f>
        <v>0</v>
      </c>
      <c r="H28" s="2819"/>
      <c r="I28" s="2819"/>
      <c r="J28" s="2819"/>
      <c r="K28" s="2819"/>
      <c r="L28" s="1633"/>
      <c r="M28" s="3030"/>
      <c r="N28" s="3030"/>
      <c r="O28" s="3030"/>
      <c r="P28" s="3030"/>
      <c r="Q28" s="3030"/>
      <c r="R28" s="3030"/>
      <c r="S28" s="3031" t="s">
        <v>1255</v>
      </c>
      <c r="T28" s="3031"/>
      <c r="U28" s="3031"/>
      <c r="V28" s="3031"/>
      <c r="W28" s="3031"/>
      <c r="X28" s="3031"/>
    </row>
    <row r="29" spans="1:24" s="699" customFormat="1" ht="23.25" customHeight="1">
      <c r="A29" s="2404" t="s">
        <v>460</v>
      </c>
      <c r="B29" s="2404"/>
      <c r="C29" s="2404"/>
      <c r="D29" s="2404"/>
      <c r="E29" s="2404"/>
      <c r="F29" s="2404"/>
      <c r="G29" s="2815">
        <f>SUM(G27:K28)</f>
        <v>180749</v>
      </c>
      <c r="H29" s="2815"/>
      <c r="I29" s="2815"/>
      <c r="J29" s="2815"/>
      <c r="K29" s="2815"/>
      <c r="L29" s="731"/>
      <c r="M29" s="2455"/>
      <c r="N29" s="2455"/>
      <c r="O29" s="2455"/>
      <c r="P29" s="2455"/>
      <c r="Q29" s="2455"/>
      <c r="R29" s="2455"/>
      <c r="S29" s="2456"/>
      <c r="T29" s="2456"/>
      <c r="U29" s="2456"/>
      <c r="V29" s="2456"/>
      <c r="W29" s="2456"/>
      <c r="X29" s="2456"/>
    </row>
    <row r="30" spans="1:24" ht="14.25" customHeight="1">
      <c r="B30" s="1631"/>
      <c r="C30" s="767"/>
      <c r="D30" s="1632"/>
      <c r="E30" s="1631"/>
      <c r="F30" s="1631"/>
      <c r="G30" s="719"/>
    </row>
    <row r="31" spans="1:24" s="1338" customFormat="1" ht="18.75" hidden="1" customHeight="1">
      <c r="A31" s="696"/>
      <c r="B31" s="720"/>
      <c r="C31" s="720"/>
      <c r="D31" s="720"/>
      <c r="E31" s="720"/>
      <c r="F31" s="720"/>
      <c r="G31" s="720"/>
      <c r="H31" s="720"/>
      <c r="I31" s="2396" t="s">
        <v>851</v>
      </c>
      <c r="J31" s="2396"/>
      <c r="K31" s="2396"/>
      <c r="L31" s="2396"/>
      <c r="M31" s="2396"/>
      <c r="N31" s="2396"/>
      <c r="O31" s="2396"/>
      <c r="P31" s="2396"/>
      <c r="Q31" s="720"/>
      <c r="R31" s="720"/>
      <c r="S31" s="720"/>
      <c r="T31" s="720"/>
      <c r="U31" s="720"/>
      <c r="V31" s="720"/>
      <c r="W31" s="720"/>
      <c r="X31" s="720"/>
    </row>
    <row r="32" spans="1:24" s="1338" customFormat="1" ht="12" hidden="1" customHeight="1">
      <c r="A32" s="697"/>
      <c r="B32" s="698"/>
      <c r="C32" s="698"/>
      <c r="D32" s="698"/>
      <c r="E32" s="698"/>
      <c r="F32" s="698"/>
      <c r="G32" s="698"/>
      <c r="H32" s="698"/>
      <c r="I32" s="698"/>
      <c r="J32" s="698"/>
      <c r="K32" s="698"/>
      <c r="L32" s="698"/>
      <c r="M32" s="698"/>
      <c r="N32" s="698"/>
      <c r="O32" s="698"/>
      <c r="P32" s="698"/>
      <c r="Q32" s="698"/>
      <c r="R32" s="698"/>
      <c r="S32" s="698"/>
      <c r="T32" s="698"/>
      <c r="U32" s="698"/>
      <c r="V32" s="698"/>
      <c r="W32" s="698"/>
      <c r="X32" s="698"/>
    </row>
    <row r="33" spans="1:24" s="1341" customFormat="1" ht="21" hidden="1" customHeight="1">
      <c r="A33" s="2414" t="s">
        <v>847</v>
      </c>
      <c r="B33" s="2414"/>
      <c r="C33" s="2414"/>
      <c r="D33" s="2414"/>
      <c r="E33" s="2414"/>
      <c r="F33" s="2414"/>
      <c r="G33" s="2438" t="s">
        <v>837</v>
      </c>
      <c r="H33" s="2438"/>
      <c r="I33" s="2438"/>
      <c r="J33" s="2438"/>
      <c r="K33" s="2438"/>
      <c r="L33" s="2438"/>
      <c r="M33" s="2438" t="s">
        <v>848</v>
      </c>
      <c r="N33" s="2438"/>
      <c r="O33" s="2438"/>
      <c r="P33" s="2438"/>
      <c r="Q33" s="2438"/>
      <c r="R33" s="2438"/>
      <c r="S33" s="2417" t="s">
        <v>838</v>
      </c>
      <c r="T33" s="2417"/>
      <c r="U33" s="2417"/>
      <c r="V33" s="2417"/>
      <c r="W33" s="2417"/>
      <c r="X33" s="2417"/>
    </row>
    <row r="34" spans="1:24" s="1341" customFormat="1" ht="9" hidden="1" customHeight="1">
      <c r="A34" s="700"/>
      <c r="B34" s="701"/>
      <c r="C34" s="701"/>
      <c r="D34" s="701"/>
      <c r="E34" s="701"/>
      <c r="F34" s="702"/>
      <c r="G34" s="703"/>
      <c r="H34" s="701"/>
      <c r="I34" s="701"/>
      <c r="J34" s="701"/>
      <c r="K34" s="701"/>
      <c r="L34" s="704" t="s">
        <v>551</v>
      </c>
      <c r="M34" s="703"/>
      <c r="N34" s="701"/>
      <c r="O34" s="701"/>
      <c r="P34" s="701"/>
      <c r="Q34" s="701"/>
      <c r="R34" s="726"/>
      <c r="S34" s="703"/>
      <c r="T34" s="701"/>
      <c r="U34" s="701"/>
      <c r="V34" s="701"/>
      <c r="W34" s="701"/>
      <c r="X34" s="705"/>
    </row>
    <row r="35" spans="1:24" s="1341" customFormat="1" ht="24" hidden="1" customHeight="1">
      <c r="A35" s="2442" t="s">
        <v>1240</v>
      </c>
      <c r="B35" s="2442"/>
      <c r="C35" s="2442"/>
      <c r="D35" s="2442"/>
      <c r="E35" s="2442"/>
      <c r="F35" s="2442"/>
      <c r="G35" s="3016">
        <f>貸付_入力!C21</f>
        <v>0</v>
      </c>
      <c r="H35" s="3016"/>
      <c r="I35" s="3016"/>
      <c r="J35" s="3016"/>
      <c r="K35" s="3016"/>
      <c r="L35" s="706"/>
      <c r="M35" s="2445" t="s">
        <v>482</v>
      </c>
      <c r="N35" s="2445"/>
      <c r="O35" s="2445"/>
      <c r="P35" s="2445"/>
      <c r="Q35" s="2445"/>
      <c r="R35" s="2445"/>
      <c r="S35" s="2973" t="s">
        <v>1256</v>
      </c>
      <c r="T35" s="2973"/>
      <c r="U35" s="2973"/>
      <c r="V35" s="2973"/>
      <c r="W35" s="2973"/>
      <c r="X35" s="2973"/>
    </row>
    <row r="36" spans="1:24" s="1341" customFormat="1" ht="24" hidden="1" customHeight="1">
      <c r="A36" s="2971" t="s">
        <v>172</v>
      </c>
      <c r="B36" s="2971"/>
      <c r="C36" s="2971"/>
      <c r="D36" s="2971"/>
      <c r="E36" s="2971"/>
      <c r="F36" s="2971"/>
      <c r="G36" s="3014">
        <f>貸付_入力!C22</f>
        <v>0</v>
      </c>
      <c r="H36" s="3014"/>
      <c r="I36" s="3014"/>
      <c r="J36" s="3014"/>
      <c r="K36" s="3014"/>
      <c r="L36" s="831"/>
      <c r="M36" s="3025" t="s">
        <v>482</v>
      </c>
      <c r="N36" s="3025"/>
      <c r="O36" s="3025"/>
      <c r="P36" s="3025"/>
      <c r="Q36" s="3025"/>
      <c r="R36" s="3025"/>
      <c r="S36" s="2973" t="s">
        <v>1257</v>
      </c>
      <c r="T36" s="2973"/>
      <c r="U36" s="2973"/>
      <c r="V36" s="2973"/>
      <c r="W36" s="2973"/>
      <c r="X36" s="2973"/>
    </row>
    <row r="37" spans="1:24" s="1341" customFormat="1" ht="24" hidden="1" customHeight="1">
      <c r="A37" s="2404" t="s">
        <v>460</v>
      </c>
      <c r="B37" s="2404"/>
      <c r="C37" s="2404"/>
      <c r="D37" s="2404"/>
      <c r="E37" s="2404"/>
      <c r="F37" s="2404"/>
      <c r="G37" s="2815">
        <f>SUM(G35:K36)</f>
        <v>0</v>
      </c>
      <c r="H37" s="2815"/>
      <c r="I37" s="2815"/>
      <c r="J37" s="2815"/>
      <c r="K37" s="2815"/>
      <c r="L37" s="731"/>
      <c r="M37" s="2455"/>
      <c r="N37" s="2455"/>
      <c r="O37" s="2455"/>
      <c r="P37" s="2455"/>
      <c r="Q37" s="2455"/>
      <c r="R37" s="2455"/>
      <c r="S37" s="2456"/>
      <c r="T37" s="2456"/>
      <c r="U37" s="2456"/>
      <c r="V37" s="2456"/>
      <c r="W37" s="2456"/>
      <c r="X37" s="2456"/>
    </row>
    <row r="38" spans="1:24" s="1341" customFormat="1" ht="14.25" customHeight="1">
      <c r="A38" s="732"/>
      <c r="B38" s="732"/>
      <c r="C38" s="732"/>
      <c r="D38" s="732"/>
      <c r="E38" s="732"/>
      <c r="F38" s="732"/>
      <c r="G38" s="1411"/>
      <c r="H38" s="1411"/>
      <c r="I38" s="1411"/>
      <c r="J38" s="1411"/>
      <c r="K38" s="1411"/>
      <c r="L38" s="733"/>
      <c r="M38" s="734"/>
      <c r="N38" s="734"/>
      <c r="O38" s="734"/>
      <c r="P38" s="734"/>
      <c r="Q38" s="734"/>
      <c r="R38" s="734"/>
      <c r="S38" s="735"/>
      <c r="T38" s="735"/>
      <c r="U38" s="735"/>
      <c r="V38" s="735"/>
      <c r="W38" s="735"/>
      <c r="X38" s="735"/>
    </row>
    <row r="39" spans="1:24" ht="18.75" customHeight="1">
      <c r="I39" s="2396" t="s">
        <v>855</v>
      </c>
      <c r="J39" s="2396"/>
      <c r="K39" s="2396"/>
      <c r="L39" s="2396"/>
      <c r="M39" s="2396"/>
      <c r="N39" s="2396"/>
      <c r="O39" s="2396"/>
      <c r="P39" s="2396"/>
      <c r="Q39" s="2477"/>
      <c r="R39" s="2477"/>
      <c r="S39" s="2477"/>
      <c r="T39" s="2477"/>
      <c r="U39" s="2477"/>
      <c r="V39" s="2477"/>
      <c r="W39" s="2477"/>
      <c r="X39" s="2477"/>
    </row>
    <row r="40" spans="1:24" ht="12" customHeight="1">
      <c r="A40" s="697"/>
      <c r="B40" s="698"/>
      <c r="C40" s="698"/>
      <c r="D40" s="698"/>
      <c r="E40" s="698"/>
      <c r="F40" s="698"/>
      <c r="G40" s="698"/>
      <c r="H40" s="698"/>
      <c r="I40" s="698"/>
      <c r="J40" s="698"/>
      <c r="K40" s="698"/>
      <c r="L40" s="698"/>
      <c r="M40" s="698"/>
      <c r="N40" s="698"/>
      <c r="O40" s="698"/>
      <c r="P40" s="698"/>
      <c r="Q40" s="698"/>
      <c r="R40" s="698"/>
      <c r="S40" s="698"/>
      <c r="T40" s="698"/>
      <c r="U40" s="698"/>
      <c r="V40" s="698"/>
      <c r="W40" s="698"/>
      <c r="X40" s="698"/>
    </row>
    <row r="41" spans="1:24" s="699" customFormat="1" ht="21" customHeight="1">
      <c r="A41" s="2414" t="s">
        <v>847</v>
      </c>
      <c r="B41" s="2414"/>
      <c r="C41" s="2414"/>
      <c r="D41" s="2414"/>
      <c r="E41" s="2414"/>
      <c r="F41" s="2414"/>
      <c r="G41" s="2438" t="s">
        <v>837</v>
      </c>
      <c r="H41" s="2438"/>
      <c r="I41" s="2438"/>
      <c r="J41" s="2438"/>
      <c r="K41" s="2438"/>
      <c r="L41" s="2438"/>
      <c r="M41" s="2438" t="s">
        <v>848</v>
      </c>
      <c r="N41" s="2438"/>
      <c r="O41" s="2438"/>
      <c r="P41" s="2438"/>
      <c r="Q41" s="2438"/>
      <c r="R41" s="2438"/>
      <c r="S41" s="2417" t="s">
        <v>838</v>
      </c>
      <c r="T41" s="2417"/>
      <c r="U41" s="2417"/>
      <c r="V41" s="2417"/>
      <c r="W41" s="2417"/>
      <c r="X41" s="2417"/>
    </row>
    <row r="42" spans="1:24" s="699" customFormat="1" ht="12" customHeight="1">
      <c r="A42" s="700"/>
      <c r="B42" s="701"/>
      <c r="C42" s="701"/>
      <c r="D42" s="701"/>
      <c r="E42" s="701"/>
      <c r="F42" s="702"/>
      <c r="G42" s="703"/>
      <c r="H42" s="701"/>
      <c r="I42" s="701"/>
      <c r="J42" s="701"/>
      <c r="K42" s="701"/>
      <c r="L42" s="704" t="s">
        <v>551</v>
      </c>
      <c r="M42" s="703"/>
      <c r="N42" s="701"/>
      <c r="O42" s="701"/>
      <c r="P42" s="701"/>
      <c r="Q42" s="701"/>
      <c r="R42" s="726"/>
      <c r="S42" s="703"/>
      <c r="T42" s="701"/>
      <c r="U42" s="701"/>
      <c r="V42" s="701"/>
      <c r="W42" s="701"/>
      <c r="X42" s="705"/>
    </row>
    <row r="43" spans="1:24" s="743" customFormat="1" ht="19.5" customHeight="1">
      <c r="A43" s="2804" t="s">
        <v>131</v>
      </c>
      <c r="B43" s="2804"/>
      <c r="C43" s="2804"/>
      <c r="D43" s="2804"/>
      <c r="E43" s="2804"/>
      <c r="F43" s="2804"/>
      <c r="G43" s="2806">
        <f>貸付_入力!C23</f>
        <v>25659</v>
      </c>
      <c r="H43" s="2806"/>
      <c r="I43" s="2806"/>
      <c r="J43" s="2806"/>
      <c r="K43" s="2806"/>
      <c r="L43" s="1553"/>
      <c r="M43" s="3023" t="s">
        <v>1258</v>
      </c>
      <c r="N43" s="3023"/>
      <c r="O43" s="3023"/>
      <c r="P43" s="3023"/>
      <c r="Q43" s="3023"/>
      <c r="R43" s="3023"/>
      <c r="S43" s="3020" t="s">
        <v>1259</v>
      </c>
      <c r="T43" s="3020"/>
      <c r="U43" s="3020"/>
      <c r="V43" s="3020"/>
      <c r="W43" s="3020"/>
      <c r="X43" s="3020"/>
    </row>
    <row r="44" spans="1:24" s="743" customFormat="1" ht="19.5" customHeight="1">
      <c r="A44" s="2804" t="s">
        <v>133</v>
      </c>
      <c r="B44" s="2804"/>
      <c r="C44" s="2804"/>
      <c r="D44" s="2804"/>
      <c r="E44" s="2804"/>
      <c r="F44" s="2804"/>
      <c r="G44" s="2806">
        <f>貸付_入力!C24</f>
        <v>192720</v>
      </c>
      <c r="H44" s="2806"/>
      <c r="I44" s="2806"/>
      <c r="J44" s="2806"/>
      <c r="K44" s="2806"/>
      <c r="L44" s="1553"/>
      <c r="M44" s="3024" t="s">
        <v>1260</v>
      </c>
      <c r="N44" s="3024"/>
      <c r="O44" s="3024"/>
      <c r="P44" s="3024"/>
      <c r="Q44" s="3024"/>
      <c r="R44" s="3024"/>
      <c r="S44" s="3020" t="s">
        <v>1261</v>
      </c>
      <c r="T44" s="3020"/>
      <c r="U44" s="3020"/>
      <c r="V44" s="3020"/>
      <c r="W44" s="3020"/>
      <c r="X44" s="3020"/>
    </row>
    <row r="45" spans="1:24" s="743" customFormat="1" ht="19.5" customHeight="1">
      <c r="A45" s="2804" t="s">
        <v>137</v>
      </c>
      <c r="B45" s="2804"/>
      <c r="C45" s="2804"/>
      <c r="D45" s="2804"/>
      <c r="E45" s="2804"/>
      <c r="F45" s="2804"/>
      <c r="G45" s="2806">
        <f>貸付_入力!C25</f>
        <v>90826</v>
      </c>
      <c r="H45" s="2806"/>
      <c r="I45" s="2806"/>
      <c r="J45" s="2806"/>
      <c r="K45" s="2806"/>
      <c r="L45" s="1553"/>
      <c r="M45" s="2809" t="s">
        <v>1262</v>
      </c>
      <c r="N45" s="2809"/>
      <c r="O45" s="2809"/>
      <c r="P45" s="2809"/>
      <c r="Q45" s="2809"/>
      <c r="R45" s="2809"/>
      <c r="S45" s="3020" t="s">
        <v>1263</v>
      </c>
      <c r="T45" s="3020"/>
      <c r="U45" s="3020"/>
      <c r="V45" s="3020"/>
      <c r="W45" s="3020"/>
      <c r="X45" s="3020"/>
    </row>
    <row r="46" spans="1:24" s="699" customFormat="1" ht="22.5" customHeight="1">
      <c r="A46" s="2804" t="s">
        <v>125</v>
      </c>
      <c r="B46" s="2804"/>
      <c r="C46" s="2804"/>
      <c r="D46" s="2804"/>
      <c r="E46" s="2804"/>
      <c r="F46" s="2804"/>
      <c r="G46" s="2819">
        <f>貸付_入力!C26</f>
        <v>71325</v>
      </c>
      <c r="H46" s="2819"/>
      <c r="I46" s="2819"/>
      <c r="J46" s="2819"/>
      <c r="K46" s="2819"/>
      <c r="L46" s="1553"/>
      <c r="M46" s="2809" t="s">
        <v>1043</v>
      </c>
      <c r="N46" s="2809"/>
      <c r="O46" s="2809"/>
      <c r="P46" s="2809"/>
      <c r="Q46" s="2809"/>
      <c r="R46" s="2809"/>
      <c r="S46" s="3021" t="s">
        <v>1044</v>
      </c>
      <c r="T46" s="3021"/>
      <c r="U46" s="3021"/>
      <c r="V46" s="3021"/>
      <c r="W46" s="3021"/>
      <c r="X46" s="3021"/>
    </row>
    <row r="47" spans="1:24" s="699" customFormat="1" ht="23.25" customHeight="1">
      <c r="A47" s="2404" t="s">
        <v>460</v>
      </c>
      <c r="B47" s="2404"/>
      <c r="C47" s="2404"/>
      <c r="D47" s="2404"/>
      <c r="E47" s="2404"/>
      <c r="F47" s="2404"/>
      <c r="G47" s="2815">
        <f>SUM(G43:K46)</f>
        <v>380530</v>
      </c>
      <c r="H47" s="2815"/>
      <c r="I47" s="2815"/>
      <c r="J47" s="2815"/>
      <c r="K47" s="2815"/>
      <c r="L47" s="731"/>
      <c r="M47" s="3022"/>
      <c r="N47" s="3022"/>
      <c r="O47" s="3022"/>
      <c r="P47" s="3022"/>
      <c r="Q47" s="3022"/>
      <c r="R47" s="3022"/>
      <c r="S47" s="3019"/>
      <c r="T47" s="3019"/>
      <c r="U47" s="3019"/>
      <c r="V47" s="3019"/>
      <c r="W47" s="3019"/>
      <c r="X47" s="3019"/>
    </row>
    <row r="48" spans="1:24" s="699" customFormat="1" ht="15" customHeight="1">
      <c r="A48" s="732"/>
      <c r="B48" s="732"/>
      <c r="C48" s="732"/>
      <c r="D48" s="732"/>
      <c r="E48" s="732"/>
      <c r="F48" s="732"/>
      <c r="G48" s="290"/>
      <c r="H48" s="290"/>
      <c r="I48" s="290"/>
      <c r="J48" s="290"/>
      <c r="K48" s="290"/>
      <c r="L48" s="733"/>
      <c r="M48" s="828"/>
      <c r="N48" s="828"/>
      <c r="O48" s="828"/>
      <c r="P48" s="828"/>
      <c r="Q48" s="828"/>
      <c r="R48" s="828"/>
      <c r="S48" s="714"/>
      <c r="T48" s="714"/>
      <c r="U48" s="714"/>
      <c r="V48" s="714"/>
      <c r="W48" s="714"/>
      <c r="X48" s="714"/>
    </row>
    <row r="49" spans="1:24" ht="18.75" customHeight="1">
      <c r="I49" s="2396" t="s">
        <v>1047</v>
      </c>
      <c r="J49" s="2396"/>
      <c r="K49" s="2396"/>
      <c r="L49" s="2396"/>
      <c r="M49" s="2396"/>
      <c r="N49" s="2396"/>
      <c r="O49" s="2396"/>
      <c r="P49" s="2396"/>
      <c r="Q49" s="2477"/>
      <c r="R49" s="2477"/>
      <c r="S49" s="2477"/>
      <c r="T49" s="2477"/>
      <c r="U49" s="2477"/>
      <c r="V49" s="2477"/>
      <c r="W49" s="2477"/>
      <c r="X49" s="2477"/>
    </row>
    <row r="50" spans="1:24" ht="12" customHeight="1">
      <c r="A50" s="697"/>
      <c r="B50" s="698"/>
      <c r="C50" s="698"/>
      <c r="D50" s="698"/>
      <c r="E50" s="698"/>
      <c r="F50" s="698"/>
      <c r="G50" s="698"/>
      <c r="H50" s="698"/>
      <c r="I50" s="698"/>
      <c r="J50" s="698"/>
      <c r="K50" s="698"/>
      <c r="L50" s="698"/>
      <c r="M50" s="698"/>
      <c r="N50" s="698"/>
      <c r="O50" s="698"/>
      <c r="P50" s="698"/>
      <c r="Q50" s="698"/>
      <c r="R50" s="698"/>
      <c r="S50" s="698"/>
      <c r="T50" s="698"/>
      <c r="U50" s="698"/>
      <c r="V50" s="698"/>
      <c r="W50" s="698"/>
      <c r="X50" s="698"/>
    </row>
    <row r="51" spans="1:24" s="699" customFormat="1" ht="21" customHeight="1">
      <c r="A51" s="2414" t="s">
        <v>1264</v>
      </c>
      <c r="B51" s="2414"/>
      <c r="C51" s="2414"/>
      <c r="D51" s="2414"/>
      <c r="E51" s="2414"/>
      <c r="F51" s="2414"/>
      <c r="G51" s="2438" t="s">
        <v>1265</v>
      </c>
      <c r="H51" s="2438"/>
      <c r="I51" s="2438"/>
      <c r="J51" s="2438"/>
      <c r="K51" s="2438"/>
      <c r="L51" s="2438"/>
      <c r="M51" s="2438" t="s">
        <v>1266</v>
      </c>
      <c r="N51" s="2438"/>
      <c r="O51" s="2438"/>
      <c r="P51" s="2438"/>
      <c r="Q51" s="2438"/>
      <c r="R51" s="2438"/>
      <c r="S51" s="2417" t="s">
        <v>1267</v>
      </c>
      <c r="T51" s="2417"/>
      <c r="U51" s="2417"/>
      <c r="V51" s="2417"/>
      <c r="W51" s="2417"/>
      <c r="X51" s="2417"/>
    </row>
    <row r="52" spans="1:24" s="699" customFormat="1" ht="12" hidden="1" customHeight="1">
      <c r="A52" s="700"/>
      <c r="B52" s="701"/>
      <c r="C52" s="701"/>
      <c r="D52" s="701"/>
      <c r="E52" s="701"/>
      <c r="F52" s="702"/>
      <c r="G52" s="703"/>
      <c r="H52" s="701"/>
      <c r="I52" s="701"/>
      <c r="J52" s="701"/>
      <c r="K52" s="701"/>
      <c r="L52" s="704" t="s">
        <v>551</v>
      </c>
      <c r="M52" s="703"/>
      <c r="N52" s="701"/>
      <c r="O52" s="701"/>
      <c r="P52" s="701"/>
      <c r="Q52" s="701"/>
      <c r="R52" s="726"/>
      <c r="S52" s="703"/>
      <c r="T52" s="701"/>
      <c r="U52" s="701"/>
      <c r="V52" s="701"/>
      <c r="W52" s="701"/>
      <c r="X52" s="705"/>
    </row>
    <row r="53" spans="1:24" s="210" customFormat="1" ht="18" hidden="1" customHeight="1">
      <c r="A53" s="2550" t="s">
        <v>1268</v>
      </c>
      <c r="B53" s="2550"/>
      <c r="C53" s="2550"/>
      <c r="D53" s="2550"/>
      <c r="E53" s="2550"/>
      <c r="F53" s="2550"/>
      <c r="G53" s="3016">
        <f>貸付_入力!C27</f>
        <v>0</v>
      </c>
      <c r="H53" s="3016"/>
      <c r="I53" s="3016"/>
      <c r="J53" s="3016"/>
      <c r="K53" s="3016"/>
      <c r="L53" s="1553"/>
      <c r="M53" s="3017" t="s">
        <v>1269</v>
      </c>
      <c r="N53" s="3017"/>
      <c r="O53" s="3017"/>
      <c r="P53" s="3017"/>
      <c r="Q53" s="3017"/>
      <c r="R53" s="3017"/>
      <c r="S53" s="2446" t="s">
        <v>1270</v>
      </c>
      <c r="T53" s="2446"/>
      <c r="U53" s="2446"/>
      <c r="V53" s="2446"/>
      <c r="W53" s="2446"/>
      <c r="X53" s="2446"/>
    </row>
    <row r="54" spans="1:24" s="210" customFormat="1" ht="21" customHeight="1">
      <c r="A54" s="2550" t="s">
        <v>1271</v>
      </c>
      <c r="B54" s="2550"/>
      <c r="C54" s="2550"/>
      <c r="D54" s="2550"/>
      <c r="E54" s="2550"/>
      <c r="F54" s="2550"/>
      <c r="G54" s="2806">
        <f>貸付_入力!C28</f>
        <v>383205</v>
      </c>
      <c r="H54" s="2806"/>
      <c r="I54" s="2806"/>
      <c r="J54" s="2806"/>
      <c r="K54" s="2806"/>
      <c r="L54" s="1553"/>
      <c r="M54" s="3017" t="s">
        <v>1050</v>
      </c>
      <c r="N54" s="3017"/>
      <c r="O54" s="3017"/>
      <c r="P54" s="3017"/>
      <c r="Q54" s="3017"/>
      <c r="R54" s="3017"/>
      <c r="S54" s="2446" t="s">
        <v>1051</v>
      </c>
      <c r="T54" s="2446"/>
      <c r="U54" s="2446"/>
      <c r="V54" s="2446"/>
      <c r="W54" s="2446"/>
      <c r="X54" s="2446"/>
    </row>
    <row r="55" spans="1:24" s="210" customFormat="1" ht="21" customHeight="1">
      <c r="A55" s="2588" t="s">
        <v>1272</v>
      </c>
      <c r="B55" s="2588"/>
      <c r="C55" s="2588"/>
      <c r="D55" s="2588"/>
      <c r="E55" s="2588"/>
      <c r="F55" s="2588"/>
      <c r="G55" s="2815">
        <f>SUM(G53:K54)</f>
        <v>383205</v>
      </c>
      <c r="H55" s="2815"/>
      <c r="I55" s="2815"/>
      <c r="J55" s="2815"/>
      <c r="K55" s="2815"/>
      <c r="L55" s="731"/>
      <c r="M55" s="3018"/>
      <c r="N55" s="3018"/>
      <c r="O55" s="3018"/>
      <c r="P55" s="3018"/>
      <c r="Q55" s="3018"/>
      <c r="R55" s="3018"/>
      <c r="S55" s="3019"/>
      <c r="T55" s="3019"/>
      <c r="U55" s="3019"/>
      <c r="V55" s="3019"/>
      <c r="W55" s="3019"/>
      <c r="X55" s="3019"/>
    </row>
    <row r="56" spans="1:24" s="210" customFormat="1" ht="21" customHeight="1">
      <c r="A56" s="732"/>
      <c r="B56" s="732"/>
      <c r="C56" s="732"/>
      <c r="D56" s="732"/>
      <c r="E56" s="732"/>
      <c r="F56" s="732"/>
      <c r="G56" s="1411"/>
      <c r="H56" s="1411"/>
      <c r="I56" s="1411"/>
      <c r="J56" s="1411"/>
      <c r="K56" s="1411"/>
      <c r="L56" s="733"/>
      <c r="M56" s="733"/>
      <c r="N56" s="733"/>
      <c r="O56" s="733"/>
      <c r="P56" s="733"/>
      <c r="Q56" s="733"/>
      <c r="R56" s="733"/>
      <c r="S56" s="714"/>
      <c r="T56" s="714"/>
      <c r="U56" s="714"/>
      <c r="V56" s="714"/>
      <c r="W56" s="714"/>
      <c r="X56" s="714"/>
    </row>
    <row r="57" spans="1:24" s="1338" customFormat="1" ht="18.75" customHeight="1">
      <c r="I57" s="2698" t="s">
        <v>859</v>
      </c>
      <c r="J57" s="2698"/>
      <c r="K57" s="2698"/>
      <c r="L57" s="2698"/>
      <c r="M57" s="2698"/>
      <c r="N57" s="2698"/>
      <c r="O57" s="2698"/>
      <c r="P57" s="2698"/>
    </row>
    <row r="58" spans="1:24" s="1338" customFormat="1" ht="9.75" customHeight="1"/>
    <row r="59" spans="1:24" s="1338" customFormat="1" ht="21.75" customHeight="1">
      <c r="A59" s="2717" t="s">
        <v>847</v>
      </c>
      <c r="B59" s="2717"/>
      <c r="C59" s="2717"/>
      <c r="D59" s="2717"/>
      <c r="E59" s="2717"/>
      <c r="F59" s="2717"/>
      <c r="G59" s="2803" t="s">
        <v>837</v>
      </c>
      <c r="H59" s="2803"/>
      <c r="I59" s="2803"/>
      <c r="J59" s="2803"/>
      <c r="K59" s="2803"/>
      <c r="L59" s="2779" t="s">
        <v>848</v>
      </c>
      <c r="M59" s="2779"/>
      <c r="N59" s="2779"/>
      <c r="O59" s="2779"/>
      <c r="P59" s="2779"/>
      <c r="Q59" s="2779"/>
      <c r="R59" s="2719" t="s">
        <v>838</v>
      </c>
      <c r="S59" s="2719"/>
      <c r="T59" s="2719"/>
      <c r="U59" s="2719"/>
      <c r="V59" s="2719"/>
      <c r="W59" s="2719"/>
      <c r="X59" s="2719"/>
    </row>
    <row r="60" spans="1:24" s="1338" customFormat="1" ht="9" customHeight="1">
      <c r="A60" s="1342"/>
      <c r="B60" s="1343"/>
      <c r="C60" s="1343"/>
      <c r="D60" s="1343"/>
      <c r="E60" s="1343"/>
      <c r="F60" s="1344"/>
      <c r="G60" s="1345"/>
      <c r="H60" s="1343"/>
      <c r="I60" s="1343"/>
      <c r="J60" s="1343"/>
      <c r="K60" s="1367" t="s">
        <v>551</v>
      </c>
      <c r="L60" s="1345"/>
      <c r="M60" s="1343"/>
      <c r="N60" s="1343"/>
      <c r="O60" s="1343"/>
      <c r="P60" s="1343"/>
      <c r="Q60" s="1353"/>
      <c r="R60" s="1345"/>
      <c r="S60" s="1343"/>
      <c r="T60" s="1343"/>
      <c r="U60" s="1343"/>
      <c r="V60" s="1343"/>
      <c r="W60" s="1343"/>
      <c r="X60" s="1347"/>
    </row>
    <row r="61" spans="1:24" s="1338" customFormat="1" ht="18.899999999999999" customHeight="1">
      <c r="A61" s="2804" t="s">
        <v>108</v>
      </c>
      <c r="B61" s="2804"/>
      <c r="C61" s="2804"/>
      <c r="D61" s="2804"/>
      <c r="E61" s="2804"/>
      <c r="F61" s="2804"/>
      <c r="G61" s="2806">
        <f>貸付_入力!C29</f>
        <v>305231</v>
      </c>
      <c r="H61" s="2806"/>
      <c r="I61" s="2806"/>
      <c r="J61" s="2806"/>
      <c r="K61" s="1368"/>
      <c r="L61" s="3015" t="s">
        <v>482</v>
      </c>
      <c r="M61" s="3015"/>
      <c r="N61" s="3015"/>
      <c r="O61" s="3015"/>
      <c r="P61" s="3015"/>
      <c r="Q61" s="3015"/>
      <c r="R61" s="2813" t="s">
        <v>1273</v>
      </c>
      <c r="S61" s="2813"/>
      <c r="T61" s="2813"/>
      <c r="U61" s="2813"/>
      <c r="V61" s="2813"/>
      <c r="W61" s="2813"/>
      <c r="X61" s="2813"/>
    </row>
    <row r="62" spans="1:24" s="1338" customFormat="1" ht="21" customHeight="1">
      <c r="A62" s="2707" t="s">
        <v>460</v>
      </c>
      <c r="B62" s="2707"/>
      <c r="C62" s="2707"/>
      <c r="D62" s="2707"/>
      <c r="E62" s="2707"/>
      <c r="F62" s="2707"/>
      <c r="G62" s="2799">
        <f>SUM(G61:K61)</f>
        <v>305231</v>
      </c>
      <c r="H62" s="2799"/>
      <c r="I62" s="2799"/>
      <c r="J62" s="2799"/>
      <c r="K62" s="1369"/>
      <c r="L62" s="2800"/>
      <c r="M62" s="2800"/>
      <c r="N62" s="2800"/>
      <c r="O62" s="2800"/>
      <c r="P62" s="2800"/>
      <c r="Q62" s="2800"/>
      <c r="R62" s="2791"/>
      <c r="S62" s="2791"/>
      <c r="T62" s="2791"/>
      <c r="U62" s="2791"/>
      <c r="V62" s="2791"/>
      <c r="W62" s="2791"/>
      <c r="X62" s="2791"/>
    </row>
    <row r="63" spans="1:24" s="1338" customFormat="1" ht="12.75" customHeight="1">
      <c r="A63" s="1370"/>
      <c r="B63" s="1370"/>
      <c r="C63" s="1370"/>
      <c r="D63" s="1370"/>
      <c r="E63" s="1370"/>
      <c r="F63" s="1370"/>
      <c r="G63" s="1371"/>
      <c r="H63" s="1371"/>
      <c r="I63" s="1371"/>
      <c r="J63" s="1371"/>
      <c r="K63" s="1371"/>
      <c r="L63" s="1372"/>
      <c r="M63" s="1372"/>
      <c r="N63" s="1372"/>
      <c r="O63" s="1372"/>
      <c r="P63" s="1372"/>
      <c r="Q63" s="1372"/>
      <c r="R63" s="1373"/>
      <c r="S63" s="1373"/>
      <c r="T63" s="1373"/>
      <c r="U63" s="1373"/>
      <c r="V63" s="1373"/>
      <c r="W63" s="1373"/>
      <c r="X63" s="1373"/>
    </row>
    <row r="64" spans="1:24" s="1338" customFormat="1" ht="18.75" hidden="1" customHeight="1">
      <c r="I64" s="2698" t="s">
        <v>861</v>
      </c>
      <c r="J64" s="2698"/>
      <c r="K64" s="2698"/>
      <c r="L64" s="2698"/>
      <c r="M64" s="2698"/>
      <c r="N64" s="2698"/>
      <c r="O64" s="2698"/>
      <c r="P64" s="2698"/>
    </row>
    <row r="65" spans="1:24" s="1338" customFormat="1" ht="9.75" hidden="1" customHeight="1"/>
    <row r="66" spans="1:24" s="1338" customFormat="1" ht="21.75" hidden="1" customHeight="1">
      <c r="A66" s="2717" t="s">
        <v>847</v>
      </c>
      <c r="B66" s="2717"/>
      <c r="C66" s="2717"/>
      <c r="D66" s="2717"/>
      <c r="E66" s="2717"/>
      <c r="F66" s="2717"/>
      <c r="G66" s="2803" t="s">
        <v>837</v>
      </c>
      <c r="H66" s="2803"/>
      <c r="I66" s="2803"/>
      <c r="J66" s="2803"/>
      <c r="K66" s="2803"/>
      <c r="L66" s="2779" t="s">
        <v>848</v>
      </c>
      <c r="M66" s="2779"/>
      <c r="N66" s="2779"/>
      <c r="O66" s="2779"/>
      <c r="P66" s="2779"/>
      <c r="Q66" s="2779"/>
      <c r="R66" s="2719" t="s">
        <v>838</v>
      </c>
      <c r="S66" s="2719"/>
      <c r="T66" s="2719"/>
      <c r="U66" s="2719"/>
      <c r="V66" s="2719"/>
      <c r="W66" s="2719"/>
      <c r="X66" s="2719"/>
    </row>
    <row r="67" spans="1:24" s="1338" customFormat="1" ht="9" hidden="1" customHeight="1">
      <c r="A67" s="1342"/>
      <c r="B67" s="1343"/>
      <c r="C67" s="1343"/>
      <c r="D67" s="1343"/>
      <c r="E67" s="1343"/>
      <c r="F67" s="1344"/>
      <c r="G67" s="1345"/>
      <c r="H67" s="1343"/>
      <c r="I67" s="1343"/>
      <c r="J67" s="1343"/>
      <c r="K67" s="1367" t="s">
        <v>551</v>
      </c>
      <c r="L67" s="1345"/>
      <c r="M67" s="1343"/>
      <c r="N67" s="1343"/>
      <c r="O67" s="1343"/>
      <c r="P67" s="1343"/>
      <c r="Q67" s="1353"/>
      <c r="R67" s="1345"/>
      <c r="S67" s="1343"/>
      <c r="T67" s="1343"/>
      <c r="U67" s="1343"/>
      <c r="V67" s="1343"/>
      <c r="W67" s="1343"/>
      <c r="X67" s="1347"/>
    </row>
    <row r="68" spans="1:24" s="1338" customFormat="1" ht="18.899999999999999" hidden="1" customHeight="1">
      <c r="A68" s="2804" t="s">
        <v>1240</v>
      </c>
      <c r="B68" s="2804"/>
      <c r="C68" s="2804"/>
      <c r="D68" s="2804"/>
      <c r="E68" s="2804"/>
      <c r="F68" s="2804"/>
      <c r="G68" s="3016">
        <f>貸付_入力!C30</f>
        <v>0</v>
      </c>
      <c r="H68" s="3016"/>
      <c r="I68" s="3016"/>
      <c r="J68" s="3016"/>
      <c r="K68" s="1368"/>
      <c r="L68" s="3015" t="s">
        <v>482</v>
      </c>
      <c r="M68" s="3015"/>
      <c r="N68" s="3015"/>
      <c r="O68" s="3015"/>
      <c r="P68" s="3015"/>
      <c r="Q68" s="3015"/>
      <c r="R68" s="2813" t="s">
        <v>1274</v>
      </c>
      <c r="S68" s="2813"/>
      <c r="T68" s="2813"/>
      <c r="U68" s="2813"/>
      <c r="V68" s="2813"/>
      <c r="W68" s="2813"/>
      <c r="X68" s="2813"/>
    </row>
    <row r="69" spans="1:24" s="1338" customFormat="1" ht="18.899999999999999" hidden="1" customHeight="1">
      <c r="A69" s="2537" t="s">
        <v>1254</v>
      </c>
      <c r="B69" s="2537"/>
      <c r="C69" s="2537"/>
      <c r="D69" s="2537"/>
      <c r="E69" s="2537"/>
      <c r="F69" s="2537"/>
      <c r="G69" s="3014">
        <f>貸付_入力!C31</f>
        <v>0</v>
      </c>
      <c r="H69" s="3014"/>
      <c r="I69" s="3014"/>
      <c r="J69" s="3014"/>
      <c r="K69" s="1634"/>
      <c r="L69" s="3015" t="s">
        <v>482</v>
      </c>
      <c r="M69" s="3015"/>
      <c r="N69" s="3015"/>
      <c r="O69" s="3015"/>
      <c r="P69" s="3015"/>
      <c r="Q69" s="3015"/>
      <c r="R69" s="2813" t="s">
        <v>1275</v>
      </c>
      <c r="S69" s="2813"/>
      <c r="T69" s="2813"/>
      <c r="U69" s="2813"/>
      <c r="V69" s="2813"/>
      <c r="W69" s="2813"/>
      <c r="X69" s="2813"/>
    </row>
    <row r="70" spans="1:24" s="1338" customFormat="1" ht="21" hidden="1" customHeight="1">
      <c r="A70" s="2707" t="s">
        <v>460</v>
      </c>
      <c r="B70" s="2707"/>
      <c r="C70" s="2707"/>
      <c r="D70" s="2707"/>
      <c r="E70" s="2707"/>
      <c r="F70" s="2707"/>
      <c r="G70" s="2799">
        <f>SUM(G68:K69)</f>
        <v>0</v>
      </c>
      <c r="H70" s="2799"/>
      <c r="I70" s="2799"/>
      <c r="J70" s="2799"/>
      <c r="K70" s="1369"/>
      <c r="L70" s="2800"/>
      <c r="M70" s="2800"/>
      <c r="N70" s="2800"/>
      <c r="O70" s="2800"/>
      <c r="P70" s="2800"/>
      <c r="Q70" s="2800"/>
      <c r="R70" s="2791"/>
      <c r="S70" s="2791"/>
      <c r="T70" s="2791"/>
      <c r="U70" s="2791"/>
      <c r="V70" s="2791"/>
      <c r="W70" s="2791"/>
      <c r="X70" s="2791"/>
    </row>
    <row r="71" spans="1:24" s="1338" customFormat="1" ht="12.75" customHeight="1">
      <c r="A71" s="1370"/>
      <c r="B71" s="1370"/>
      <c r="C71" s="1370"/>
      <c r="D71" s="1370"/>
      <c r="E71" s="1370"/>
      <c r="F71" s="1370"/>
      <c r="G71" s="1371"/>
      <c r="H71" s="1371"/>
      <c r="I71" s="1371"/>
      <c r="J71" s="1371"/>
      <c r="K71" s="1371"/>
      <c r="L71" s="1372"/>
      <c r="M71" s="1372"/>
      <c r="N71" s="1372"/>
      <c r="O71" s="1372"/>
      <c r="P71" s="1372"/>
      <c r="Q71" s="1372"/>
      <c r="R71" s="1373"/>
      <c r="S71" s="1373"/>
      <c r="T71" s="1373"/>
      <c r="U71" s="1373"/>
      <c r="V71" s="1373"/>
      <c r="W71" s="1373"/>
      <c r="X71" s="1373"/>
    </row>
    <row r="72" spans="1:24" ht="18.75" customHeight="1">
      <c r="I72" s="2396" t="s">
        <v>1057</v>
      </c>
      <c r="J72" s="2396"/>
      <c r="K72" s="2396"/>
      <c r="L72" s="2396"/>
      <c r="M72" s="2396"/>
      <c r="N72" s="2396"/>
      <c r="O72" s="2396"/>
      <c r="P72" s="2396"/>
      <c r="Q72" s="2477"/>
      <c r="R72" s="2477"/>
      <c r="S72" s="2477"/>
      <c r="T72" s="2477"/>
      <c r="U72" s="2477"/>
      <c r="V72" s="2477"/>
      <c r="W72" s="2477"/>
      <c r="X72" s="2477"/>
    </row>
    <row r="73" spans="1:24" ht="12" customHeight="1"/>
    <row r="74" spans="1:24" ht="20.25" customHeight="1">
      <c r="A74" s="3007" t="s">
        <v>1058</v>
      </c>
      <c r="B74" s="3007"/>
      <c r="C74" s="3007"/>
      <c r="D74" s="3009" t="s">
        <v>1059</v>
      </c>
      <c r="E74" s="3009"/>
      <c r="F74" s="3009"/>
      <c r="G74" s="3009" t="s">
        <v>875</v>
      </c>
      <c r="H74" s="3009"/>
      <c r="I74" s="3009"/>
      <c r="J74" s="3009" t="s">
        <v>876</v>
      </c>
      <c r="K74" s="3009"/>
      <c r="L74" s="3009"/>
      <c r="M74" s="3009" t="s">
        <v>992</v>
      </c>
      <c r="N74" s="3009"/>
      <c r="O74" s="3009"/>
      <c r="P74" s="3012" t="s">
        <v>1060</v>
      </c>
      <c r="Q74" s="3012"/>
      <c r="R74" s="3012"/>
      <c r="S74" s="3009" t="s">
        <v>1061</v>
      </c>
      <c r="T74" s="3009"/>
      <c r="U74" s="3009"/>
      <c r="V74" s="3011" t="s">
        <v>1146</v>
      </c>
      <c r="W74" s="3011"/>
      <c r="X74" s="3011"/>
    </row>
    <row r="75" spans="1:24" ht="12" customHeight="1">
      <c r="A75" s="2887"/>
      <c r="B75" s="2887"/>
      <c r="C75" s="2887"/>
      <c r="D75" s="2955" t="s">
        <v>551</v>
      </c>
      <c r="E75" s="2955"/>
      <c r="F75" s="2955"/>
      <c r="G75" s="2955" t="s">
        <v>551</v>
      </c>
      <c r="H75" s="2955"/>
      <c r="I75" s="2955"/>
      <c r="J75" s="2955" t="s">
        <v>551</v>
      </c>
      <c r="K75" s="2955"/>
      <c r="L75" s="2955"/>
      <c r="M75" s="2955" t="s">
        <v>551</v>
      </c>
      <c r="N75" s="2955"/>
      <c r="O75" s="2955"/>
      <c r="P75" s="2955" t="s">
        <v>551</v>
      </c>
      <c r="Q75" s="2955"/>
      <c r="R75" s="2955"/>
      <c r="S75" s="2955" t="s">
        <v>551</v>
      </c>
      <c r="T75" s="2955"/>
      <c r="U75" s="2955"/>
      <c r="V75" s="3013"/>
      <c r="W75" s="3013"/>
      <c r="X75" s="3013"/>
    </row>
    <row r="76" spans="1:24" ht="18" customHeight="1">
      <c r="A76" s="3001" t="s">
        <v>222</v>
      </c>
      <c r="B76" s="3001"/>
      <c r="C76" s="3001"/>
      <c r="D76" s="3003">
        <f>貸付_入力!C33</f>
        <v>1</v>
      </c>
      <c r="E76" s="3003"/>
      <c r="F76" s="3003"/>
      <c r="G76" s="3003">
        <f>貸付_入力!C34</f>
        <v>0</v>
      </c>
      <c r="H76" s="3003"/>
      <c r="I76" s="3003"/>
      <c r="J76" s="3003">
        <f>貸付_入力!C35</f>
        <v>0</v>
      </c>
      <c r="K76" s="3003"/>
      <c r="L76" s="3003"/>
      <c r="M76" s="3004">
        <f>D76+G76-J76</f>
        <v>1</v>
      </c>
      <c r="N76" s="3004"/>
      <c r="O76" s="3004"/>
      <c r="P76" s="3003">
        <f>H83</f>
        <v>0</v>
      </c>
      <c r="Q76" s="3003"/>
      <c r="R76" s="3003"/>
      <c r="S76" s="3004">
        <f>M76-P76</f>
        <v>1</v>
      </c>
      <c r="T76" s="3004"/>
      <c r="U76" s="3004"/>
      <c r="V76" s="3006" t="s">
        <v>1276</v>
      </c>
      <c r="W76" s="3006"/>
      <c r="X76" s="3006"/>
    </row>
    <row r="77" spans="1:24" ht="21" customHeight="1">
      <c r="A77" s="2997" t="s">
        <v>1078</v>
      </c>
      <c r="B77" s="2997"/>
      <c r="C77" s="2997"/>
      <c r="D77" s="2999">
        <f>SUM(D76:F76)</f>
        <v>1</v>
      </c>
      <c r="E77" s="2999"/>
      <c r="F77" s="2999"/>
      <c r="G77" s="2999">
        <f>SUM(G76:I76)</f>
        <v>0</v>
      </c>
      <c r="H77" s="2999"/>
      <c r="I77" s="2999"/>
      <c r="J77" s="2999">
        <f>SUM(J76:L76)</f>
        <v>0</v>
      </c>
      <c r="K77" s="2999"/>
      <c r="L77" s="2999"/>
      <c r="M77" s="2999">
        <f>SUM(M76:O76)</f>
        <v>1</v>
      </c>
      <c r="N77" s="2999"/>
      <c r="O77" s="2999"/>
      <c r="P77" s="2999">
        <f>SUM(P76:R76)</f>
        <v>0</v>
      </c>
      <c r="Q77" s="2999"/>
      <c r="R77" s="2999"/>
      <c r="S77" s="2999">
        <f>SUM(S76:U76)</f>
        <v>1</v>
      </c>
      <c r="T77" s="2999"/>
      <c r="U77" s="2999"/>
      <c r="V77" s="2957"/>
      <c r="W77" s="2957"/>
      <c r="X77" s="2957"/>
    </row>
    <row r="78" spans="1:24" ht="14.25" customHeight="1"/>
    <row r="79" spans="1:24" ht="18.75" customHeight="1">
      <c r="I79" s="2698" t="s">
        <v>1064</v>
      </c>
      <c r="J79" s="2698"/>
      <c r="K79" s="2698"/>
      <c r="L79" s="2698"/>
      <c r="M79" s="2698"/>
      <c r="N79" s="2698"/>
      <c r="O79" s="2698"/>
      <c r="P79" s="2698"/>
      <c r="Q79" s="2477"/>
      <c r="R79" s="2477"/>
      <c r="S79" s="2477"/>
      <c r="T79" s="2477"/>
      <c r="U79" s="2477"/>
      <c r="V79" s="2477"/>
      <c r="W79" s="2477"/>
      <c r="X79" s="2477"/>
    </row>
    <row r="80" spans="1:24" ht="12" customHeight="1">
      <c r="D80" s="1560"/>
    </row>
    <row r="81" spans="1:24" s="1561" customFormat="1" ht="20.25" customHeight="1">
      <c r="A81" s="3007" t="s">
        <v>1058</v>
      </c>
      <c r="B81" s="3007"/>
      <c r="C81" s="3007"/>
      <c r="D81" s="3008" t="s">
        <v>1065</v>
      </c>
      <c r="E81" s="3008"/>
      <c r="F81" s="3009" t="s">
        <v>1066</v>
      </c>
      <c r="G81" s="3009"/>
      <c r="H81" s="3010" t="s">
        <v>1060</v>
      </c>
      <c r="I81" s="3010"/>
      <c r="J81" s="3010" t="s">
        <v>1067</v>
      </c>
      <c r="K81" s="3010"/>
      <c r="L81" s="3010" t="s">
        <v>1068</v>
      </c>
      <c r="M81" s="3010"/>
      <c r="N81" s="3010" t="s">
        <v>1069</v>
      </c>
      <c r="O81" s="3010"/>
      <c r="P81" s="3011" t="s">
        <v>1074</v>
      </c>
      <c r="Q81" s="3011"/>
      <c r="R81" s="3011"/>
      <c r="S81" s="3011"/>
      <c r="T81" s="3011"/>
      <c r="U81" s="3011"/>
      <c r="V81" s="3011"/>
      <c r="W81" s="3011"/>
      <c r="X81" s="3011"/>
    </row>
    <row r="82" spans="1:24" ht="12" customHeight="1">
      <c r="A82" s="2890"/>
      <c r="B82" s="2890"/>
      <c r="C82" s="2890"/>
      <c r="D82" s="2955" t="s">
        <v>1075</v>
      </c>
      <c r="E82" s="2955"/>
      <c r="F82" s="2419" t="s">
        <v>551</v>
      </c>
      <c r="G82" s="2419"/>
      <c r="H82" s="2419" t="s">
        <v>551</v>
      </c>
      <c r="I82" s="2419"/>
      <c r="J82" s="2419" t="s">
        <v>551</v>
      </c>
      <c r="K82" s="2419"/>
      <c r="L82" s="2419" t="s">
        <v>551</v>
      </c>
      <c r="M82" s="2419"/>
      <c r="N82" s="2419" t="s">
        <v>1071</v>
      </c>
      <c r="O82" s="2419"/>
      <c r="P82" s="2420"/>
      <c r="Q82" s="2420"/>
      <c r="R82" s="2420"/>
      <c r="S82" s="2420"/>
      <c r="T82" s="2420"/>
      <c r="U82" s="2420"/>
      <c r="V82" s="2420"/>
      <c r="W82" s="2420"/>
      <c r="X82" s="2420"/>
    </row>
    <row r="83" spans="1:24" s="743" customFormat="1" ht="18" customHeight="1">
      <c r="A83" s="3001" t="s">
        <v>222</v>
      </c>
      <c r="B83" s="3001"/>
      <c r="C83" s="3001"/>
      <c r="D83" s="3002" t="s">
        <v>1277</v>
      </c>
      <c r="E83" s="3002"/>
      <c r="F83" s="3003">
        <f>貸付_入力!C37</f>
        <v>580545</v>
      </c>
      <c r="G83" s="3003"/>
      <c r="H83" s="3003">
        <f>貸付_入力!C36</f>
        <v>0</v>
      </c>
      <c r="I83" s="3003"/>
      <c r="J83" s="3003">
        <f>Q104</f>
        <v>580544</v>
      </c>
      <c r="K83" s="3003"/>
      <c r="L83" s="3004">
        <f>F83-J83</f>
        <v>1</v>
      </c>
      <c r="M83" s="3004"/>
      <c r="N83" s="3005">
        <f>ROUNDDOWN(J83/F83*100,3)</f>
        <v>99.998999999999995</v>
      </c>
      <c r="O83" s="3005"/>
      <c r="P83" s="3006" t="s">
        <v>1278</v>
      </c>
      <c r="Q83" s="3006"/>
      <c r="R83" s="3006"/>
      <c r="S83" s="3006"/>
      <c r="T83" s="3006"/>
      <c r="U83" s="3006"/>
      <c r="V83" s="3006"/>
      <c r="W83" s="3006"/>
      <c r="X83" s="3006"/>
    </row>
    <row r="84" spans="1:24" ht="21" customHeight="1">
      <c r="A84" s="2997" t="s">
        <v>1078</v>
      </c>
      <c r="B84" s="2997"/>
      <c r="C84" s="2997"/>
      <c r="D84" s="2998"/>
      <c r="E84" s="2998"/>
      <c r="F84" s="2999">
        <f>SUM(F83)</f>
        <v>580545</v>
      </c>
      <c r="G84" s="2999"/>
      <c r="H84" s="2999">
        <f>SUM(H83)</f>
        <v>0</v>
      </c>
      <c r="I84" s="2999"/>
      <c r="J84" s="2999">
        <f>SUM(J83)</f>
        <v>580544</v>
      </c>
      <c r="K84" s="2999"/>
      <c r="L84" s="2999">
        <f>SUM(L83)</f>
        <v>1</v>
      </c>
      <c r="M84" s="2999"/>
      <c r="N84" s="3000"/>
      <c r="O84" s="3000"/>
      <c r="P84" s="2957"/>
      <c r="Q84" s="2957"/>
      <c r="R84" s="2957"/>
      <c r="S84" s="2957"/>
      <c r="T84" s="2957"/>
      <c r="U84" s="2957"/>
      <c r="V84" s="2957"/>
      <c r="W84" s="2957"/>
      <c r="X84" s="2957"/>
    </row>
    <row r="85" spans="1:24" ht="14.25" customHeight="1"/>
    <row r="86" spans="1:24" ht="18.75" customHeight="1">
      <c r="I86" s="2396" t="s">
        <v>872</v>
      </c>
      <c r="J86" s="2396"/>
      <c r="K86" s="2396"/>
      <c r="L86" s="2396"/>
      <c r="M86" s="2396"/>
      <c r="N86" s="2396"/>
      <c r="O86" s="2396"/>
      <c r="P86" s="2396"/>
      <c r="Q86" s="2477"/>
      <c r="R86" s="2477"/>
      <c r="S86" s="2477"/>
      <c r="T86" s="2477"/>
      <c r="U86" s="2477"/>
      <c r="V86" s="2477"/>
      <c r="W86" s="2477"/>
      <c r="X86" s="2477"/>
    </row>
    <row r="87" spans="1:24" ht="12" customHeight="1"/>
    <row r="88" spans="1:24" ht="20.25" customHeight="1">
      <c r="A88" s="2414" t="s">
        <v>873</v>
      </c>
      <c r="B88" s="2414"/>
      <c r="C88" s="2414"/>
      <c r="D88" s="2414"/>
      <c r="E88" s="2415" t="s">
        <v>874</v>
      </c>
      <c r="F88" s="2415"/>
      <c r="G88" s="2415"/>
      <c r="H88" s="2415"/>
      <c r="I88" s="2415" t="s">
        <v>875</v>
      </c>
      <c r="J88" s="2415"/>
      <c r="K88" s="2415"/>
      <c r="L88" s="2415"/>
      <c r="M88" s="2415" t="s">
        <v>876</v>
      </c>
      <c r="N88" s="2415"/>
      <c r="O88" s="2415"/>
      <c r="P88" s="2415"/>
      <c r="Q88" s="2416" t="s">
        <v>877</v>
      </c>
      <c r="R88" s="2416"/>
      <c r="S88" s="2416"/>
      <c r="T88" s="2416"/>
      <c r="U88" s="2417" t="s">
        <v>878</v>
      </c>
      <c r="V88" s="2417"/>
      <c r="W88" s="2417"/>
      <c r="X88" s="2417"/>
    </row>
    <row r="89" spans="1:24" ht="12" customHeight="1">
      <c r="A89" s="2418"/>
      <c r="B89" s="2418"/>
      <c r="C89" s="2418"/>
      <c r="D89" s="2418"/>
      <c r="E89" s="2419" t="s">
        <v>551</v>
      </c>
      <c r="F89" s="2419"/>
      <c r="G89" s="2419"/>
      <c r="H89" s="2419"/>
      <c r="I89" s="2419" t="s">
        <v>551</v>
      </c>
      <c r="J89" s="2419"/>
      <c r="K89" s="2419"/>
      <c r="L89" s="2419"/>
      <c r="M89" s="2419" t="s">
        <v>551</v>
      </c>
      <c r="N89" s="2419"/>
      <c r="O89" s="2419"/>
      <c r="P89" s="2419"/>
      <c r="Q89" s="2419" t="s">
        <v>551</v>
      </c>
      <c r="R89" s="2419"/>
      <c r="S89" s="2419"/>
      <c r="T89" s="2419"/>
      <c r="U89" s="2420"/>
      <c r="V89" s="2420"/>
      <c r="W89" s="2420"/>
      <c r="X89" s="2420"/>
    </row>
    <row r="90" spans="1:24" s="743" customFormat="1" ht="18" customHeight="1">
      <c r="A90" s="2996" t="s">
        <v>201</v>
      </c>
      <c r="B90" s="2996"/>
      <c r="C90" s="2996"/>
      <c r="D90" s="2996"/>
      <c r="E90" s="2991">
        <f>貸付_入力!C41</f>
        <v>1961052168</v>
      </c>
      <c r="F90" s="2991"/>
      <c r="G90" s="2991"/>
      <c r="H90" s="2991"/>
      <c r="I90" s="2994">
        <f>貸付_入力!C42</f>
        <v>0</v>
      </c>
      <c r="J90" s="2994"/>
      <c r="K90" s="2994"/>
      <c r="L90" s="2994"/>
      <c r="M90" s="2991">
        <f>貸付_財務諸表!G47</f>
        <v>3919428</v>
      </c>
      <c r="N90" s="2991"/>
      <c r="O90" s="2991"/>
      <c r="P90" s="2991"/>
      <c r="Q90" s="2992">
        <f>E90+I90-M90</f>
        <v>1957132740</v>
      </c>
      <c r="R90" s="2992"/>
      <c r="S90" s="2992"/>
      <c r="T90" s="2992"/>
      <c r="U90" s="2995"/>
      <c r="V90" s="2995"/>
      <c r="W90" s="2995"/>
      <c r="X90" s="2995"/>
    </row>
    <row r="91" spans="1:24" ht="21" customHeight="1">
      <c r="A91" s="2404" t="s">
        <v>879</v>
      </c>
      <c r="B91" s="2404"/>
      <c r="C91" s="2404"/>
      <c r="D91" s="2404"/>
      <c r="E91" s="2708">
        <f>SUM(E90)</f>
        <v>1961052168</v>
      </c>
      <c r="F91" s="2708"/>
      <c r="G91" s="2708"/>
      <c r="H91" s="2708"/>
      <c r="I91" s="2708">
        <f>SUM(I90)</f>
        <v>0</v>
      </c>
      <c r="J91" s="2708"/>
      <c r="K91" s="2708"/>
      <c r="L91" s="2708"/>
      <c r="M91" s="2873">
        <f>SUM(M90)</f>
        <v>3919428</v>
      </c>
      <c r="N91" s="2873"/>
      <c r="O91" s="2873"/>
      <c r="P91" s="2873"/>
      <c r="Q91" s="2708">
        <f>SUM(Q90)</f>
        <v>1957132740</v>
      </c>
      <c r="R91" s="2708"/>
      <c r="S91" s="2708"/>
      <c r="T91" s="2708"/>
      <c r="U91" s="2470"/>
      <c r="V91" s="2470"/>
      <c r="W91" s="2470"/>
      <c r="X91" s="2470"/>
    </row>
    <row r="93" spans="1:24" ht="18.75" hidden="1" customHeight="1">
      <c r="I93" s="2396" t="s">
        <v>1152</v>
      </c>
      <c r="J93" s="2396"/>
      <c r="K93" s="2396"/>
      <c r="L93" s="2396"/>
      <c r="M93" s="2396"/>
      <c r="N93" s="2396"/>
      <c r="O93" s="2396"/>
      <c r="P93" s="2396"/>
      <c r="Q93" s="2477"/>
      <c r="R93" s="2477"/>
      <c r="S93" s="2477"/>
      <c r="T93" s="2477"/>
      <c r="U93" s="2477"/>
      <c r="V93" s="2477"/>
      <c r="W93" s="2477"/>
      <c r="X93" s="2477"/>
    </row>
    <row r="94" spans="1:24" ht="21" hidden="1" customHeight="1"/>
    <row r="95" spans="1:24" ht="21" hidden="1" customHeight="1">
      <c r="A95" s="2414" t="s">
        <v>873</v>
      </c>
      <c r="B95" s="2414"/>
      <c r="C95" s="2414"/>
      <c r="D95" s="2414"/>
      <c r="E95" s="2415" t="s">
        <v>874</v>
      </c>
      <c r="F95" s="2415"/>
      <c r="G95" s="2415"/>
      <c r="H95" s="2415"/>
      <c r="I95" s="2415" t="s">
        <v>875</v>
      </c>
      <c r="J95" s="2415"/>
      <c r="K95" s="2415"/>
      <c r="L95" s="2415"/>
      <c r="M95" s="2415" t="s">
        <v>876</v>
      </c>
      <c r="N95" s="2415"/>
      <c r="O95" s="2415"/>
      <c r="P95" s="2415"/>
      <c r="Q95" s="2416" t="s">
        <v>877</v>
      </c>
      <c r="R95" s="2416"/>
      <c r="S95" s="2416"/>
      <c r="T95" s="2416"/>
      <c r="U95" s="2417" t="s">
        <v>878</v>
      </c>
      <c r="V95" s="2417"/>
      <c r="W95" s="2417"/>
      <c r="X95" s="2417"/>
    </row>
    <row r="96" spans="1:24" ht="21" hidden="1" customHeight="1">
      <c r="A96" s="2418"/>
      <c r="B96" s="2418"/>
      <c r="C96" s="2418"/>
      <c r="D96" s="2418"/>
      <c r="E96" s="2419" t="s">
        <v>551</v>
      </c>
      <c r="F96" s="2419"/>
      <c r="G96" s="2419"/>
      <c r="H96" s="2419"/>
      <c r="I96" s="2419" t="s">
        <v>551</v>
      </c>
      <c r="J96" s="2419"/>
      <c r="K96" s="2419"/>
      <c r="L96" s="2419"/>
      <c r="M96" s="2419" t="s">
        <v>551</v>
      </c>
      <c r="N96" s="2419"/>
      <c r="O96" s="2419"/>
      <c r="P96" s="2419"/>
      <c r="Q96" s="2419" t="s">
        <v>551</v>
      </c>
      <c r="R96" s="2419"/>
      <c r="S96" s="2419"/>
      <c r="T96" s="2419"/>
      <c r="U96" s="2420"/>
      <c r="V96" s="2420"/>
      <c r="W96" s="2420"/>
      <c r="X96" s="2420"/>
    </row>
    <row r="97" spans="1:24" ht="21" hidden="1" customHeight="1">
      <c r="A97" s="2993" t="s">
        <v>244</v>
      </c>
      <c r="B97" s="2993"/>
      <c r="C97" s="2993"/>
      <c r="D97" s="2993"/>
      <c r="E97" s="2994">
        <f>貸付_入力!C44</f>
        <v>0</v>
      </c>
      <c r="F97" s="2994"/>
      <c r="G97" s="2994"/>
      <c r="H97" s="2994"/>
      <c r="I97" s="2991">
        <f>貸付_入力!C45</f>
        <v>0</v>
      </c>
      <c r="J97" s="2991"/>
      <c r="K97" s="2991"/>
      <c r="L97" s="2991"/>
      <c r="M97" s="2994">
        <f>貸付_入力!C46</f>
        <v>0</v>
      </c>
      <c r="N97" s="2994"/>
      <c r="O97" s="2994"/>
      <c r="P97" s="2994"/>
      <c r="Q97" s="2992">
        <f>E97+I97-M97</f>
        <v>0</v>
      </c>
      <c r="R97" s="2992"/>
      <c r="S97" s="2992"/>
      <c r="T97" s="2992"/>
      <c r="U97" s="2995"/>
      <c r="V97" s="2995"/>
      <c r="W97" s="2995"/>
      <c r="X97" s="2995"/>
    </row>
    <row r="98" spans="1:24" ht="21" hidden="1" customHeight="1">
      <c r="A98" s="2404" t="s">
        <v>879</v>
      </c>
      <c r="B98" s="2404"/>
      <c r="C98" s="2404"/>
      <c r="D98" s="2404"/>
      <c r="E98" s="2708">
        <f>SUM(E97)</f>
        <v>0</v>
      </c>
      <c r="F98" s="2708"/>
      <c r="G98" s="2708"/>
      <c r="H98" s="2708"/>
      <c r="I98" s="2708">
        <f>SUM(I97)</f>
        <v>0</v>
      </c>
      <c r="J98" s="2708"/>
      <c r="K98" s="2708"/>
      <c r="L98" s="2708"/>
      <c r="M98" s="2708">
        <f>SUM(M97)</f>
        <v>0</v>
      </c>
      <c r="N98" s="2708"/>
      <c r="O98" s="2708"/>
      <c r="P98" s="2708"/>
      <c r="Q98" s="2708">
        <f>SUM(Q97)</f>
        <v>0</v>
      </c>
      <c r="R98" s="2708"/>
      <c r="S98" s="2708"/>
      <c r="T98" s="2708"/>
      <c r="U98" s="2470"/>
      <c r="V98" s="2470"/>
      <c r="W98" s="2470"/>
      <c r="X98" s="2470"/>
    </row>
    <row r="99" spans="1:24" ht="13.5" hidden="1" customHeight="1"/>
    <row r="100" spans="1:24" ht="18.75" customHeight="1">
      <c r="I100" s="2889" t="s">
        <v>1079</v>
      </c>
      <c r="J100" s="2889"/>
      <c r="K100" s="2889"/>
      <c r="L100" s="2889"/>
      <c r="M100" s="2889"/>
      <c r="N100" s="2889"/>
      <c r="O100" s="2889"/>
      <c r="P100" s="2889"/>
      <c r="Q100" s="2477"/>
      <c r="R100" s="2477"/>
      <c r="S100" s="2477"/>
      <c r="T100" s="2477"/>
      <c r="U100" s="2477"/>
      <c r="V100" s="2477"/>
      <c r="W100" s="2477"/>
      <c r="X100" s="2477"/>
    </row>
    <row r="101" spans="1:24" ht="12" customHeight="1"/>
    <row r="102" spans="1:24" ht="21" customHeight="1">
      <c r="A102" s="2414" t="s">
        <v>873</v>
      </c>
      <c r="B102" s="2414"/>
      <c r="C102" s="2414"/>
      <c r="D102" s="2414"/>
      <c r="E102" s="2415" t="s">
        <v>874</v>
      </c>
      <c r="F102" s="2415"/>
      <c r="G102" s="2415"/>
      <c r="H102" s="2415"/>
      <c r="I102" s="2415" t="s">
        <v>875</v>
      </c>
      <c r="J102" s="2415"/>
      <c r="K102" s="2415"/>
      <c r="L102" s="2415"/>
      <c r="M102" s="2415" t="s">
        <v>876</v>
      </c>
      <c r="N102" s="2415"/>
      <c r="O102" s="2415"/>
      <c r="P102" s="2415"/>
      <c r="Q102" s="2416" t="s">
        <v>877</v>
      </c>
      <c r="R102" s="2416"/>
      <c r="S102" s="2416"/>
      <c r="T102" s="2416"/>
      <c r="U102" s="2417" t="s">
        <v>878</v>
      </c>
      <c r="V102" s="2417"/>
      <c r="W102" s="2417"/>
      <c r="X102" s="2417"/>
    </row>
    <row r="103" spans="1:24" ht="12" customHeight="1">
      <c r="A103" s="2890"/>
      <c r="B103" s="2890"/>
      <c r="C103" s="2890"/>
      <c r="D103" s="2890"/>
      <c r="E103" s="2419" t="s">
        <v>551</v>
      </c>
      <c r="F103" s="2419"/>
      <c r="G103" s="2419"/>
      <c r="H103" s="2419"/>
      <c r="I103" s="2419" t="s">
        <v>551</v>
      </c>
      <c r="J103" s="2419"/>
      <c r="K103" s="2419"/>
      <c r="L103" s="2419"/>
      <c r="M103" s="2419" t="s">
        <v>551</v>
      </c>
      <c r="N103" s="2419"/>
      <c r="O103" s="2419"/>
      <c r="P103" s="2419"/>
      <c r="Q103" s="2419" t="s">
        <v>551</v>
      </c>
      <c r="R103" s="2419"/>
      <c r="S103" s="2419"/>
      <c r="T103" s="2419"/>
      <c r="U103" s="2990" t="s">
        <v>1279</v>
      </c>
      <c r="V103" s="2990"/>
      <c r="W103" s="2990"/>
      <c r="X103" s="2990"/>
    </row>
    <row r="104" spans="1:24" s="743" customFormat="1" ht="18" customHeight="1">
      <c r="A104" s="2989" t="s">
        <v>229</v>
      </c>
      <c r="B104" s="2989"/>
      <c r="C104" s="2989"/>
      <c r="D104" s="2989"/>
      <c r="E104" s="2991">
        <f>貸付_入力!C38</f>
        <v>580544</v>
      </c>
      <c r="F104" s="2991"/>
      <c r="G104" s="2991"/>
      <c r="H104" s="2991"/>
      <c r="I104" s="2991">
        <f>H83</f>
        <v>0</v>
      </c>
      <c r="J104" s="2991"/>
      <c r="K104" s="2991"/>
      <c r="L104" s="2991"/>
      <c r="M104" s="2991">
        <f>貸付_入力!C39</f>
        <v>0</v>
      </c>
      <c r="N104" s="2991"/>
      <c r="O104" s="2991"/>
      <c r="P104" s="2991"/>
      <c r="Q104" s="2992">
        <f>E104+I104-M104</f>
        <v>580544</v>
      </c>
      <c r="R104" s="2992"/>
      <c r="S104" s="2992"/>
      <c r="T104" s="2992"/>
      <c r="U104" s="2990"/>
      <c r="V104" s="2990"/>
      <c r="W104" s="2990"/>
      <c r="X104" s="2990"/>
    </row>
    <row r="105" spans="1:24" ht="21" customHeight="1">
      <c r="A105" s="2404" t="s">
        <v>879</v>
      </c>
      <c r="B105" s="2404"/>
      <c r="C105" s="2404"/>
      <c r="D105" s="2404"/>
      <c r="E105" s="2708">
        <f>SUM(E104)</f>
        <v>580544</v>
      </c>
      <c r="F105" s="2708"/>
      <c r="G105" s="2708"/>
      <c r="H105" s="2708"/>
      <c r="I105" s="2708">
        <f>SUM(I104)</f>
        <v>0</v>
      </c>
      <c r="J105" s="2708"/>
      <c r="K105" s="2708"/>
      <c r="L105" s="2708"/>
      <c r="M105" s="2708">
        <f>SUM(M104)</f>
        <v>0</v>
      </c>
      <c r="N105" s="2708"/>
      <c r="O105" s="2708"/>
      <c r="P105" s="2708"/>
      <c r="Q105" s="2708">
        <f>SUM(Q104)</f>
        <v>580544</v>
      </c>
      <c r="R105" s="2708"/>
      <c r="S105" s="2708"/>
      <c r="T105" s="2708"/>
      <c r="U105" s="2470"/>
      <c r="V105" s="2470"/>
      <c r="W105" s="2470"/>
      <c r="X105" s="2470"/>
    </row>
    <row r="106" spans="1:24" ht="14.25" customHeight="1"/>
    <row r="107" spans="1:24" ht="14.25" customHeight="1"/>
    <row r="108" spans="1:24" ht="18.75" customHeight="1">
      <c r="I108" s="2645" t="s">
        <v>1081</v>
      </c>
      <c r="J108" s="2645"/>
      <c r="K108" s="2645"/>
      <c r="L108" s="2645"/>
      <c r="M108" s="2645"/>
      <c r="N108" s="2645"/>
      <c r="O108" s="2645"/>
      <c r="P108" s="2645"/>
      <c r="Q108" s="2477"/>
      <c r="R108" s="2477"/>
      <c r="S108" s="2477"/>
      <c r="T108" s="2477"/>
      <c r="U108" s="2477"/>
      <c r="V108" s="2477"/>
      <c r="W108" s="2477"/>
      <c r="X108" s="2477"/>
    </row>
    <row r="109" spans="1:24" ht="12" customHeight="1"/>
    <row r="110" spans="1:24" s="699" customFormat="1" ht="20.25" customHeight="1">
      <c r="A110" s="2414" t="s">
        <v>1082</v>
      </c>
      <c r="B110" s="2414"/>
      <c r="C110" s="2414"/>
      <c r="D110" s="2414"/>
      <c r="E110" s="2438" t="s">
        <v>1280</v>
      </c>
      <c r="F110" s="2438"/>
      <c r="G110" s="2438"/>
      <c r="H110" s="2438"/>
      <c r="I110" s="2438"/>
      <c r="J110" s="2415" t="s">
        <v>1084</v>
      </c>
      <c r="K110" s="2415"/>
      <c r="L110" s="2415"/>
      <c r="M110" s="2415"/>
      <c r="N110" s="2415"/>
      <c r="O110" s="2415" t="s">
        <v>1085</v>
      </c>
      <c r="P110" s="2415"/>
      <c r="Q110" s="2415"/>
      <c r="R110" s="2415"/>
      <c r="S110" s="2415"/>
      <c r="T110" s="2417" t="s">
        <v>1281</v>
      </c>
      <c r="U110" s="2417"/>
      <c r="V110" s="2417"/>
      <c r="W110" s="2417"/>
      <c r="X110" s="2417"/>
    </row>
    <row r="111" spans="1:24" s="699" customFormat="1" ht="12" customHeight="1">
      <c r="A111" s="2887"/>
      <c r="B111" s="2887"/>
      <c r="C111" s="2887"/>
      <c r="D111" s="2887"/>
      <c r="E111" s="2419" t="s">
        <v>551</v>
      </c>
      <c r="F111" s="2419"/>
      <c r="G111" s="2419"/>
      <c r="H111" s="2419"/>
      <c r="I111" s="2419"/>
      <c r="J111" s="2419" t="s">
        <v>551</v>
      </c>
      <c r="K111" s="2419"/>
      <c r="L111" s="2419"/>
      <c r="M111" s="2419"/>
      <c r="N111" s="2419"/>
      <c r="O111" s="2419" t="s">
        <v>551</v>
      </c>
      <c r="P111" s="2419"/>
      <c r="Q111" s="2419"/>
      <c r="R111" s="2419"/>
      <c r="S111" s="2419"/>
      <c r="T111" s="2888" t="s">
        <v>551</v>
      </c>
      <c r="U111" s="2888"/>
      <c r="V111" s="2888"/>
      <c r="W111" s="2888"/>
      <c r="X111" s="2888"/>
    </row>
    <row r="112" spans="1:24" s="743" customFormat="1" ht="18" customHeight="1">
      <c r="A112" s="2989" t="s">
        <v>1282</v>
      </c>
      <c r="B112" s="2989"/>
      <c r="C112" s="2989"/>
      <c r="D112" s="2989"/>
      <c r="E112" s="2714">
        <f>'報告_貸付P23-25'!P15</f>
        <v>7148000</v>
      </c>
      <c r="F112" s="2714"/>
      <c r="G112" s="2714"/>
      <c r="H112" s="2714"/>
      <c r="I112" s="2714"/>
      <c r="J112" s="2714">
        <f>貸付_決算精算表!C21</f>
        <v>6345567</v>
      </c>
      <c r="K112" s="2714"/>
      <c r="L112" s="2714"/>
      <c r="M112" s="2714"/>
      <c r="N112" s="2714"/>
      <c r="O112" s="2714">
        <f>貸付_決算精算表!B21</f>
        <v>0</v>
      </c>
      <c r="P112" s="2714"/>
      <c r="Q112" s="2714"/>
      <c r="R112" s="2714"/>
      <c r="S112" s="2714"/>
      <c r="T112" s="2715">
        <f>E112-J112-O112</f>
        <v>802433</v>
      </c>
      <c r="U112" s="2715"/>
      <c r="V112" s="2715"/>
      <c r="W112" s="2715"/>
      <c r="X112" s="2715"/>
    </row>
    <row r="113" spans="1:24" s="699" customFormat="1" ht="22.5" customHeight="1">
      <c r="A113" s="2971" t="s">
        <v>1283</v>
      </c>
      <c r="B113" s="2971"/>
      <c r="C113" s="2971"/>
      <c r="D113" s="2971"/>
      <c r="E113" s="2705">
        <f>'報告_貸付P23-25'!P17</f>
        <v>364000</v>
      </c>
      <c r="F113" s="2705"/>
      <c r="G113" s="2705"/>
      <c r="H113" s="2705"/>
      <c r="I113" s="2705"/>
      <c r="J113" s="2705">
        <f>貸付_決算精算表!C23</f>
        <v>0</v>
      </c>
      <c r="K113" s="2705"/>
      <c r="L113" s="2705"/>
      <c r="M113" s="2705"/>
      <c r="N113" s="2705"/>
      <c r="O113" s="2705">
        <f>貸付_決算精算表!B23</f>
        <v>0</v>
      </c>
      <c r="P113" s="2705"/>
      <c r="Q113" s="2705"/>
      <c r="R113" s="2705"/>
      <c r="S113" s="2705"/>
      <c r="T113" s="2715">
        <f>E113-J113-O113</f>
        <v>364000</v>
      </c>
      <c r="U113" s="2715"/>
      <c r="V113" s="2715"/>
      <c r="W113" s="2715"/>
      <c r="X113" s="2715"/>
    </row>
    <row r="114" spans="1:24" s="699" customFormat="1" ht="22.5" customHeight="1">
      <c r="A114" s="2971" t="s">
        <v>1284</v>
      </c>
      <c r="B114" s="2971"/>
      <c r="C114" s="2971"/>
      <c r="D114" s="2971"/>
      <c r="E114" s="2705">
        <f>'報告_貸付P23-25'!P18</f>
        <v>1489000</v>
      </c>
      <c r="F114" s="2705"/>
      <c r="G114" s="2705"/>
      <c r="H114" s="2705"/>
      <c r="I114" s="2705"/>
      <c r="J114" s="2705">
        <f>貸付_決算精算表!C24</f>
        <v>609600</v>
      </c>
      <c r="K114" s="2705"/>
      <c r="L114" s="2705"/>
      <c r="M114" s="2705"/>
      <c r="N114" s="2705"/>
      <c r="O114" s="2705">
        <f>貸付_決算精算表!B24</f>
        <v>25659</v>
      </c>
      <c r="P114" s="2705"/>
      <c r="Q114" s="2705"/>
      <c r="R114" s="2705"/>
      <c r="S114" s="2705"/>
      <c r="T114" s="2715">
        <f>E114-J114-O114</f>
        <v>853741</v>
      </c>
      <c r="U114" s="2715"/>
      <c r="V114" s="2715"/>
      <c r="W114" s="2715"/>
      <c r="X114" s="2715"/>
    </row>
    <row r="115" spans="1:24" s="699" customFormat="1" ht="23.25" customHeight="1">
      <c r="A115" s="2404" t="s">
        <v>879</v>
      </c>
      <c r="B115" s="2404"/>
      <c r="C115" s="2404"/>
      <c r="D115" s="2404"/>
      <c r="E115" s="2708">
        <f>SUM(E112:I114)</f>
        <v>9001000</v>
      </c>
      <c r="F115" s="2708"/>
      <c r="G115" s="2708"/>
      <c r="H115" s="2708"/>
      <c r="I115" s="2708"/>
      <c r="J115" s="2708">
        <f>SUM(J112:N114)</f>
        <v>6955167</v>
      </c>
      <c r="K115" s="2708"/>
      <c r="L115" s="2708"/>
      <c r="M115" s="2708"/>
      <c r="N115" s="2708"/>
      <c r="O115" s="2708">
        <f>SUM(O112:S114)</f>
        <v>25659</v>
      </c>
      <c r="P115" s="2708"/>
      <c r="Q115" s="2708"/>
      <c r="R115" s="2708"/>
      <c r="S115" s="2708"/>
      <c r="T115" s="2709">
        <f>E115-J115-O115</f>
        <v>2020174</v>
      </c>
      <c r="U115" s="2709"/>
      <c r="V115" s="2709"/>
      <c r="W115" s="2709"/>
      <c r="X115" s="2709"/>
    </row>
    <row r="116" spans="1:24" ht="15" customHeight="1"/>
    <row r="117" spans="1:24" s="699" customFormat="1" ht="21" customHeight="1">
      <c r="B117" s="1635"/>
      <c r="C117" s="1635"/>
      <c r="D117" s="1635"/>
      <c r="E117" s="1635"/>
      <c r="F117" s="1635"/>
      <c r="G117" s="736"/>
      <c r="H117" s="736"/>
      <c r="I117" s="2645" t="s">
        <v>880</v>
      </c>
      <c r="J117" s="2645"/>
      <c r="K117" s="2645"/>
      <c r="L117" s="2645"/>
      <c r="M117" s="2645"/>
      <c r="N117" s="2645"/>
      <c r="O117" s="2645"/>
      <c r="P117" s="2645"/>
      <c r="Q117" s="736"/>
      <c r="R117" s="736"/>
      <c r="S117" s="736"/>
      <c r="T117" s="736"/>
      <c r="U117" s="1635"/>
      <c r="V117" s="1635"/>
      <c r="W117" s="1635"/>
      <c r="X117" s="1635"/>
    </row>
    <row r="118" spans="1:24" s="699" customFormat="1" ht="12" customHeight="1"/>
    <row r="119" spans="1:24" s="699" customFormat="1" ht="20.25" customHeight="1">
      <c r="A119" s="210"/>
      <c r="B119" s="210"/>
      <c r="C119" s="210"/>
      <c r="D119" s="210"/>
      <c r="E119" s="210"/>
      <c r="F119" s="210"/>
      <c r="G119" s="1833" t="str">
        <f>貸付_入力!C74</f>
        <v>自 令和７年４月１日  至 令和８年３月３１日</v>
      </c>
      <c r="H119" s="1833"/>
      <c r="I119" s="1833"/>
      <c r="J119" s="1833"/>
      <c r="K119" s="1833"/>
      <c r="L119" s="1833"/>
      <c r="M119" s="1833"/>
      <c r="N119" s="1833"/>
      <c r="O119" s="1833"/>
      <c r="P119" s="1833"/>
      <c r="Q119" s="1833"/>
      <c r="R119" s="1833"/>
      <c r="S119" s="210"/>
      <c r="T119" s="210"/>
      <c r="U119" s="210"/>
      <c r="V119" s="210"/>
      <c r="W119" s="210"/>
    </row>
    <row r="120" spans="1:24" s="699" customFormat="1" ht="20.25" customHeight="1">
      <c r="A120" s="210"/>
      <c r="B120" s="210"/>
      <c r="C120" s="210"/>
      <c r="D120" s="210"/>
      <c r="E120" s="210"/>
      <c r="F120" s="210"/>
      <c r="G120" s="210"/>
      <c r="H120" s="210"/>
      <c r="I120" s="210"/>
      <c r="J120" s="210"/>
      <c r="K120" s="210"/>
      <c r="L120" s="210"/>
      <c r="M120" s="210"/>
      <c r="N120" s="210"/>
      <c r="O120" s="210"/>
      <c r="P120" s="210"/>
      <c r="Q120" s="210"/>
      <c r="R120" s="210"/>
      <c r="S120" s="210"/>
      <c r="T120" s="210"/>
      <c r="U120" s="210"/>
      <c r="V120" s="210"/>
      <c r="W120" s="210"/>
    </row>
    <row r="121" spans="1:24" s="699" customFormat="1" ht="20.25" customHeight="1">
      <c r="A121" s="210"/>
      <c r="B121" s="210"/>
      <c r="C121" s="1582" t="s">
        <v>881</v>
      </c>
      <c r="D121" s="210" t="s">
        <v>225</v>
      </c>
      <c r="E121" s="210"/>
      <c r="F121" s="210"/>
      <c r="G121" s="210"/>
      <c r="H121" s="210"/>
      <c r="I121" s="210"/>
      <c r="J121" s="210"/>
      <c r="K121" s="210"/>
      <c r="L121" s="210"/>
      <c r="M121" s="210"/>
      <c r="N121" s="210"/>
      <c r="O121" s="210"/>
      <c r="P121" s="2701"/>
      <c r="Q121" s="2701"/>
      <c r="R121" s="2701"/>
      <c r="S121" s="2701"/>
      <c r="T121" s="2701"/>
      <c r="U121" s="2701"/>
      <c r="V121" s="210" t="s">
        <v>551</v>
      </c>
      <c r="W121" s="210"/>
    </row>
    <row r="122" spans="1:24" s="699" customFormat="1" ht="20.25" customHeight="1">
      <c r="A122" s="210"/>
      <c r="B122" s="210"/>
      <c r="C122" s="1582" t="s">
        <v>883</v>
      </c>
      <c r="D122" s="210" t="str">
        <f>IF(貸付_財務諸表!C54&gt;0,"当期利益金","当期損失金（△）")</f>
        <v>当期損失金（△）</v>
      </c>
      <c r="E122" s="210"/>
      <c r="F122" s="210"/>
      <c r="G122" s="210"/>
      <c r="H122" s="210"/>
      <c r="I122" s="210"/>
      <c r="J122" s="210"/>
      <c r="K122" s="210"/>
      <c r="L122" s="49"/>
      <c r="M122" s="49"/>
      <c r="N122" s="49"/>
      <c r="O122" s="49"/>
      <c r="P122" s="2701">
        <f>貸付_財務諸表!C54-貸付_財務諸表!G47</f>
        <v>-3919428</v>
      </c>
      <c r="Q122" s="2701"/>
      <c r="R122" s="2701"/>
      <c r="S122" s="2701"/>
      <c r="T122" s="2701"/>
      <c r="U122" s="2701"/>
      <c r="V122" s="210" t="s">
        <v>551</v>
      </c>
      <c r="W122" s="210"/>
    </row>
    <row r="123" spans="1:24" s="699" customFormat="1" ht="20.25" customHeight="1">
      <c r="A123" s="210"/>
      <c r="B123" s="210"/>
      <c r="C123" s="1582" t="s">
        <v>885</v>
      </c>
      <c r="D123" s="210" t="s">
        <v>230</v>
      </c>
      <c r="E123" s="210"/>
      <c r="F123" s="210"/>
      <c r="G123" s="210"/>
      <c r="H123" s="210"/>
      <c r="I123" s="210"/>
      <c r="J123" s="210"/>
      <c r="K123" s="210"/>
      <c r="L123" s="49"/>
      <c r="M123" s="49"/>
      <c r="N123" s="49"/>
      <c r="O123" s="49"/>
      <c r="P123" s="2701">
        <f>L124</f>
        <v>3919428</v>
      </c>
      <c r="Q123" s="2701"/>
      <c r="R123" s="2701"/>
      <c r="S123" s="2701"/>
      <c r="T123" s="2701"/>
      <c r="U123" s="2701"/>
      <c r="V123" s="210" t="s">
        <v>551</v>
      </c>
      <c r="W123" s="210"/>
    </row>
    <row r="124" spans="1:24" s="699" customFormat="1" ht="20.25" customHeight="1">
      <c r="A124" s="210"/>
      <c r="B124" s="210"/>
      <c r="C124" s="210"/>
      <c r="D124" s="210"/>
      <c r="E124" s="2865" t="str">
        <f>IF(I91&gt;0,"欠損金補てん積立金へ積立","欠損金補てん積立金を取崩し")</f>
        <v>欠損金補てん積立金を取崩し</v>
      </c>
      <c r="F124" s="2865"/>
      <c r="G124" s="2865"/>
      <c r="H124" s="2865"/>
      <c r="I124" s="2865"/>
      <c r="J124" s="2865"/>
      <c r="K124" s="2865"/>
      <c r="L124" s="2701">
        <f>M91-I91</f>
        <v>3919428</v>
      </c>
      <c r="M124" s="2701"/>
      <c r="N124" s="2701"/>
      <c r="O124" s="2701"/>
      <c r="P124" s="49" t="s">
        <v>551</v>
      </c>
      <c r="Q124" s="1341"/>
      <c r="R124" s="49"/>
      <c r="S124" s="49"/>
      <c r="T124" s="49"/>
      <c r="U124" s="49"/>
      <c r="V124" s="210"/>
      <c r="W124" s="210"/>
    </row>
    <row r="125" spans="1:24" s="699" customFormat="1" ht="20.25" customHeight="1">
      <c r="A125" s="210"/>
      <c r="B125" s="210"/>
      <c r="C125" s="210"/>
      <c r="D125" s="2865" t="s">
        <v>225</v>
      </c>
      <c r="E125" s="2865"/>
      <c r="F125" s="2865"/>
      <c r="G125" s="2865"/>
      <c r="H125" s="2865"/>
      <c r="I125" s="2865"/>
      <c r="J125" s="2865"/>
      <c r="K125" s="2865"/>
      <c r="L125" s="210"/>
      <c r="M125" s="210"/>
      <c r="N125" s="210"/>
      <c r="O125" s="210"/>
      <c r="P125" s="290"/>
      <c r="Q125" s="2697">
        <f>P121+P122+P123</f>
        <v>0</v>
      </c>
      <c r="R125" s="2697"/>
      <c r="S125" s="2697"/>
      <c r="T125" s="2697"/>
      <c r="U125" s="2697"/>
      <c r="V125" s="1636" t="s">
        <v>551</v>
      </c>
      <c r="W125" s="210"/>
    </row>
    <row r="126" spans="1:24" s="699" customFormat="1" ht="20.25" customHeight="1">
      <c r="M126" s="290"/>
      <c r="N126" s="290"/>
      <c r="O126" s="290"/>
      <c r="P126" s="290"/>
    </row>
    <row r="127" spans="1:24" s="699" customFormat="1" ht="13.5" customHeight="1"/>
  </sheetData>
  <sheetProtection formatCells="0" formatColumns="0" formatRows="0" insertColumns="0" insertRows="0" insertHyperlinks="0" deleteColumns="0" deleteRows="0" selectLockedCells="1"/>
  <mergeCells count="365">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Q8:X8"/>
    <mergeCell ref="A10:C10"/>
    <mergeCell ref="D10:E10"/>
    <mergeCell ref="F10:I10"/>
    <mergeCell ref="J10:M10"/>
    <mergeCell ref="N10:Q10"/>
    <mergeCell ref="R10:U10"/>
    <mergeCell ref="V10:X10"/>
    <mergeCell ref="A11:C11"/>
    <mergeCell ref="D11:E12"/>
    <mergeCell ref="F11:I11"/>
    <mergeCell ref="J11:M11"/>
    <mergeCell ref="N11:Q11"/>
    <mergeCell ref="R11:U11"/>
    <mergeCell ref="V11:X12"/>
    <mergeCell ref="A12:C12"/>
    <mergeCell ref="F12:I12"/>
    <mergeCell ref="J12:M12"/>
    <mergeCell ref="N12:Q12"/>
    <mergeCell ref="R12:U12"/>
    <mergeCell ref="A13:C13"/>
    <mergeCell ref="D13:E13"/>
    <mergeCell ref="F13:I13"/>
    <mergeCell ref="J13:M13"/>
    <mergeCell ref="N13:Q13"/>
    <mergeCell ref="R13:U13"/>
    <mergeCell ref="V13:X13"/>
    <mergeCell ref="I15:P15"/>
    <mergeCell ref="Q15:X15"/>
    <mergeCell ref="A17:C17"/>
    <mergeCell ref="D17:E17"/>
    <mergeCell ref="F17:I17"/>
    <mergeCell ref="J17:M17"/>
    <mergeCell ref="N17:Q17"/>
    <mergeCell ref="R17:U17"/>
    <mergeCell ref="V17:X17"/>
    <mergeCell ref="A18:C18"/>
    <mergeCell ref="D18:E19"/>
    <mergeCell ref="F18:I18"/>
    <mergeCell ref="J18:M18"/>
    <mergeCell ref="N18:Q18"/>
    <mergeCell ref="R18:U18"/>
    <mergeCell ref="V18:X18"/>
    <mergeCell ref="A19:C19"/>
    <mergeCell ref="F19:I19"/>
    <mergeCell ref="J19:M19"/>
    <mergeCell ref="N19:Q19"/>
    <mergeCell ref="R19:U19"/>
    <mergeCell ref="V19:X19"/>
    <mergeCell ref="A20:C20"/>
    <mergeCell ref="D20:E20"/>
    <mergeCell ref="F20:I20"/>
    <mergeCell ref="J20:M20"/>
    <mergeCell ref="N20:Q20"/>
    <mergeCell ref="R20:U20"/>
    <mergeCell ref="V20:X20"/>
    <mergeCell ref="I23:P23"/>
    <mergeCell ref="A25:F25"/>
    <mergeCell ref="G25:L25"/>
    <mergeCell ref="M25:R25"/>
    <mergeCell ref="S25:X25"/>
    <mergeCell ref="S26:X27"/>
    <mergeCell ref="A27:F27"/>
    <mergeCell ref="G27:K27"/>
    <mergeCell ref="M27:R27"/>
    <mergeCell ref="A28:F28"/>
    <mergeCell ref="G28:K28"/>
    <mergeCell ref="M28:R28"/>
    <mergeCell ref="S28:X28"/>
    <mergeCell ref="A29:F29"/>
    <mergeCell ref="G29:K29"/>
    <mergeCell ref="M29:R29"/>
    <mergeCell ref="S29:X29"/>
    <mergeCell ref="I31:P31"/>
    <mergeCell ref="A33:F33"/>
    <mergeCell ref="G33:L33"/>
    <mergeCell ref="M33:R33"/>
    <mergeCell ref="S33:X33"/>
    <mergeCell ref="A35:F35"/>
    <mergeCell ref="G35:K35"/>
    <mergeCell ref="M35:R35"/>
    <mergeCell ref="S35:X35"/>
    <mergeCell ref="A36:F36"/>
    <mergeCell ref="G36:K36"/>
    <mergeCell ref="M36:R36"/>
    <mergeCell ref="S36:X36"/>
    <mergeCell ref="A37:F37"/>
    <mergeCell ref="G37:K37"/>
    <mergeCell ref="M37:R37"/>
    <mergeCell ref="S37:X37"/>
    <mergeCell ref="I39:P39"/>
    <mergeCell ref="Q39:X39"/>
    <mergeCell ref="A41:F41"/>
    <mergeCell ref="G41:L41"/>
    <mergeCell ref="M41:R41"/>
    <mergeCell ref="S41:X41"/>
    <mergeCell ref="A43:F43"/>
    <mergeCell ref="G43:K43"/>
    <mergeCell ref="M43:R43"/>
    <mergeCell ref="S43:X43"/>
    <mergeCell ref="A44:F44"/>
    <mergeCell ref="G44:K44"/>
    <mergeCell ref="M44:R44"/>
    <mergeCell ref="S44:X44"/>
    <mergeCell ref="A45:F45"/>
    <mergeCell ref="G45:K45"/>
    <mergeCell ref="M45:R45"/>
    <mergeCell ref="S45:X45"/>
    <mergeCell ref="A46:F46"/>
    <mergeCell ref="G46:K46"/>
    <mergeCell ref="M46:R46"/>
    <mergeCell ref="S46:X46"/>
    <mergeCell ref="A47:F47"/>
    <mergeCell ref="G47:K47"/>
    <mergeCell ref="M47:R47"/>
    <mergeCell ref="S47:X47"/>
    <mergeCell ref="I49:P49"/>
    <mergeCell ref="Q49:X49"/>
    <mergeCell ref="A51:F51"/>
    <mergeCell ref="G51:L51"/>
    <mergeCell ref="M51:R51"/>
    <mergeCell ref="S51:X51"/>
    <mergeCell ref="A53:F53"/>
    <mergeCell ref="G53:K53"/>
    <mergeCell ref="M53:R53"/>
    <mergeCell ref="S53:X53"/>
    <mergeCell ref="A54:F54"/>
    <mergeCell ref="G54:K54"/>
    <mergeCell ref="M54:R54"/>
    <mergeCell ref="S54:X54"/>
    <mergeCell ref="A55:F55"/>
    <mergeCell ref="G55:K55"/>
    <mergeCell ref="M55:R55"/>
    <mergeCell ref="S55:X55"/>
    <mergeCell ref="I57:P57"/>
    <mergeCell ref="A59:F59"/>
    <mergeCell ref="G59:K59"/>
    <mergeCell ref="L59:Q59"/>
    <mergeCell ref="R59:X59"/>
    <mergeCell ref="A61:F61"/>
    <mergeCell ref="G61:J61"/>
    <mergeCell ref="L61:Q61"/>
    <mergeCell ref="R61:X61"/>
    <mergeCell ref="A62:F62"/>
    <mergeCell ref="G62:J62"/>
    <mergeCell ref="L62:Q62"/>
    <mergeCell ref="R62:X62"/>
    <mergeCell ref="I64:P64"/>
    <mergeCell ref="A66:F66"/>
    <mergeCell ref="G66:K66"/>
    <mergeCell ref="L66:Q66"/>
    <mergeCell ref="R66:X66"/>
    <mergeCell ref="A68:F68"/>
    <mergeCell ref="G68:J68"/>
    <mergeCell ref="L68:Q68"/>
    <mergeCell ref="R68:X68"/>
    <mergeCell ref="A69:F69"/>
    <mergeCell ref="G69:J69"/>
    <mergeCell ref="L69:Q69"/>
    <mergeCell ref="R69:X69"/>
    <mergeCell ref="A70:F70"/>
    <mergeCell ref="G70:J70"/>
    <mergeCell ref="L70:Q70"/>
    <mergeCell ref="R70:X70"/>
    <mergeCell ref="I72:P72"/>
    <mergeCell ref="Q72:X72"/>
    <mergeCell ref="A74:C74"/>
    <mergeCell ref="D74:F74"/>
    <mergeCell ref="G74:I74"/>
    <mergeCell ref="J74:L74"/>
    <mergeCell ref="M74:O74"/>
    <mergeCell ref="P74:R74"/>
    <mergeCell ref="S74:U74"/>
    <mergeCell ref="V74:X74"/>
    <mergeCell ref="A75:C75"/>
    <mergeCell ref="D75:F75"/>
    <mergeCell ref="G75:I75"/>
    <mergeCell ref="J75:L75"/>
    <mergeCell ref="M75:O75"/>
    <mergeCell ref="P75:R75"/>
    <mergeCell ref="S75:U75"/>
    <mergeCell ref="V75:X75"/>
    <mergeCell ref="A76:C76"/>
    <mergeCell ref="D76:F76"/>
    <mergeCell ref="G76:I76"/>
    <mergeCell ref="J76:L76"/>
    <mergeCell ref="M76:O76"/>
    <mergeCell ref="P76:R76"/>
    <mergeCell ref="S76:U76"/>
    <mergeCell ref="V76:X76"/>
    <mergeCell ref="A77:C77"/>
    <mergeCell ref="D77:F77"/>
    <mergeCell ref="G77:I77"/>
    <mergeCell ref="J77:L77"/>
    <mergeCell ref="M77:O77"/>
    <mergeCell ref="P77:R77"/>
    <mergeCell ref="S77:U77"/>
    <mergeCell ref="V77:X77"/>
    <mergeCell ref="I79:P79"/>
    <mergeCell ref="Q79:X79"/>
    <mergeCell ref="A81:C81"/>
    <mergeCell ref="D81:E81"/>
    <mergeCell ref="F81:G81"/>
    <mergeCell ref="H81:I81"/>
    <mergeCell ref="J81:K81"/>
    <mergeCell ref="L81:M81"/>
    <mergeCell ref="N81:O81"/>
    <mergeCell ref="P81:X81"/>
    <mergeCell ref="A82:C82"/>
    <mergeCell ref="D82:E82"/>
    <mergeCell ref="F82:G82"/>
    <mergeCell ref="H82:I82"/>
    <mergeCell ref="J82:K82"/>
    <mergeCell ref="L82:M82"/>
    <mergeCell ref="N82:O82"/>
    <mergeCell ref="P82:X82"/>
    <mergeCell ref="A83:C83"/>
    <mergeCell ref="D83:E83"/>
    <mergeCell ref="F83:G83"/>
    <mergeCell ref="H83:I83"/>
    <mergeCell ref="J83:K83"/>
    <mergeCell ref="L83:M83"/>
    <mergeCell ref="N83:O83"/>
    <mergeCell ref="P83:X83"/>
    <mergeCell ref="A84:C84"/>
    <mergeCell ref="D84:E84"/>
    <mergeCell ref="F84:G84"/>
    <mergeCell ref="H84:I84"/>
    <mergeCell ref="J84:K84"/>
    <mergeCell ref="L84:M84"/>
    <mergeCell ref="N84:O84"/>
    <mergeCell ref="P84:X84"/>
    <mergeCell ref="I86:P86"/>
    <mergeCell ref="Q86:X86"/>
    <mergeCell ref="A88:D88"/>
    <mergeCell ref="E88:H88"/>
    <mergeCell ref="I88:L88"/>
    <mergeCell ref="M88:P88"/>
    <mergeCell ref="Q88:T88"/>
    <mergeCell ref="U88:X88"/>
    <mergeCell ref="A89:D89"/>
    <mergeCell ref="E89:H89"/>
    <mergeCell ref="I89:L89"/>
    <mergeCell ref="M89:P89"/>
    <mergeCell ref="Q89:T89"/>
    <mergeCell ref="U89:X89"/>
    <mergeCell ref="A90:D90"/>
    <mergeCell ref="E90:H90"/>
    <mergeCell ref="I90:L90"/>
    <mergeCell ref="M90:P90"/>
    <mergeCell ref="Q90:T90"/>
    <mergeCell ref="U90:X90"/>
    <mergeCell ref="A91:D91"/>
    <mergeCell ref="E91:H91"/>
    <mergeCell ref="I91:L91"/>
    <mergeCell ref="M91:P91"/>
    <mergeCell ref="Q91:T91"/>
    <mergeCell ref="U91:X91"/>
    <mergeCell ref="I93:P93"/>
    <mergeCell ref="Q93:X93"/>
    <mergeCell ref="A95:D95"/>
    <mergeCell ref="E95:H95"/>
    <mergeCell ref="I95:L95"/>
    <mergeCell ref="M95:P95"/>
    <mergeCell ref="Q95:T95"/>
    <mergeCell ref="U95:X95"/>
    <mergeCell ref="A96:D96"/>
    <mergeCell ref="E96:H96"/>
    <mergeCell ref="I96:L96"/>
    <mergeCell ref="M96:P96"/>
    <mergeCell ref="Q96:T96"/>
    <mergeCell ref="U96:X96"/>
    <mergeCell ref="A97:D97"/>
    <mergeCell ref="E97:H97"/>
    <mergeCell ref="I97:L97"/>
    <mergeCell ref="M97:P97"/>
    <mergeCell ref="Q97:T97"/>
    <mergeCell ref="U97:X97"/>
    <mergeCell ref="A98:D98"/>
    <mergeCell ref="E98:H98"/>
    <mergeCell ref="I98:L98"/>
    <mergeCell ref="M98:P98"/>
    <mergeCell ref="Q98:T98"/>
    <mergeCell ref="U98:X98"/>
    <mergeCell ref="I100:P100"/>
    <mergeCell ref="Q100:X100"/>
    <mergeCell ref="A102:D102"/>
    <mergeCell ref="E102:H102"/>
    <mergeCell ref="I102:L102"/>
    <mergeCell ref="M102:P102"/>
    <mergeCell ref="Q102:T102"/>
    <mergeCell ref="U102:X102"/>
    <mergeCell ref="A103:D103"/>
    <mergeCell ref="E103:H103"/>
    <mergeCell ref="I103:L103"/>
    <mergeCell ref="M103:P103"/>
    <mergeCell ref="Q103:T103"/>
    <mergeCell ref="U103:X104"/>
    <mergeCell ref="A104:D104"/>
    <mergeCell ref="E104:H104"/>
    <mergeCell ref="I104:L104"/>
    <mergeCell ref="M104:P104"/>
    <mergeCell ref="Q104:T104"/>
    <mergeCell ref="A105:D105"/>
    <mergeCell ref="E105:H105"/>
    <mergeCell ref="I105:L105"/>
    <mergeCell ref="M105:P105"/>
    <mergeCell ref="Q105:T105"/>
    <mergeCell ref="U105:X105"/>
    <mergeCell ref="I108:P108"/>
    <mergeCell ref="Q108:X108"/>
    <mergeCell ref="A110:D110"/>
    <mergeCell ref="E110:I110"/>
    <mergeCell ref="J110:N110"/>
    <mergeCell ref="O110:S110"/>
    <mergeCell ref="T110:X110"/>
    <mergeCell ref="A111:D111"/>
    <mergeCell ref="E111:I111"/>
    <mergeCell ref="J111:N111"/>
    <mergeCell ref="O111:S111"/>
    <mergeCell ref="T111:X111"/>
    <mergeCell ref="A112:D112"/>
    <mergeCell ref="E112:I112"/>
    <mergeCell ref="J112:N112"/>
    <mergeCell ref="O112:S112"/>
    <mergeCell ref="T112:X112"/>
    <mergeCell ref="A113:D113"/>
    <mergeCell ref="E113:I113"/>
    <mergeCell ref="J113:N113"/>
    <mergeCell ref="O113:S113"/>
    <mergeCell ref="T113:X113"/>
    <mergeCell ref="A114:D114"/>
    <mergeCell ref="E114:I114"/>
    <mergeCell ref="J114:N114"/>
    <mergeCell ref="O114:S114"/>
    <mergeCell ref="T114:X114"/>
    <mergeCell ref="P123:U123"/>
    <mergeCell ref="E124:K124"/>
    <mergeCell ref="L124:O124"/>
    <mergeCell ref="D125:K125"/>
    <mergeCell ref="Q125:U125"/>
    <mergeCell ref="A115:D115"/>
    <mergeCell ref="E115:I115"/>
    <mergeCell ref="J115:N115"/>
    <mergeCell ref="O115:S115"/>
    <mergeCell ref="T115:X115"/>
    <mergeCell ref="I117:P117"/>
    <mergeCell ref="G119:R119"/>
    <mergeCell ref="P121:U121"/>
    <mergeCell ref="P122:U122"/>
  </mergeCells>
  <phoneticPr fontId="155"/>
  <pageMargins left="0.78749999999999998" right="0.39374999999999999" top="0.55138888888888904" bottom="0.66944444444444495" header="0.511811023622047" footer="0.35416666666666702"/>
  <pageSetup paperSize="9" scale="97" firstPageNumber="60" orientation="portrait" useFirstPageNumber="1" horizontalDpi="300" verticalDpi="300"/>
  <headerFooter>
    <oddFooter>&amp;C&amp;"ＭＳ 明朝,Regular"- &amp;P -</oddFooter>
  </headerFooter>
  <rowBreaks count="2" manualBreakCount="2">
    <brk id="47" max="16383" man="1"/>
    <brk id="92" max="16383" man="1"/>
  </rowBreaks>
  <legacy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2B357-EF31-4E97-A231-E6644A21586E}">
  <sheetPr codeName="Sheet50">
    <tabColor rgb="FFA6A6A6"/>
  </sheetPr>
  <dimension ref="A1:IW47"/>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257" width="9" style="199"/>
  </cols>
  <sheetData>
    <row r="1" spans="1:8" ht="24" customHeight="1">
      <c r="A1" s="758"/>
      <c r="B1" s="758"/>
      <c r="C1" s="2490" t="s">
        <v>887</v>
      </c>
      <c r="D1" s="2490"/>
      <c r="E1" s="2490"/>
      <c r="F1" s="758"/>
      <c r="G1" s="758"/>
      <c r="H1" s="758"/>
    </row>
    <row r="2" spans="1:8" ht="12" customHeight="1">
      <c r="A2" s="758"/>
      <c r="B2" s="758"/>
      <c r="C2" s="759"/>
      <c r="D2" s="760"/>
      <c r="E2" s="760"/>
      <c r="F2" s="758"/>
      <c r="G2" s="758"/>
      <c r="H2" s="758"/>
    </row>
    <row r="3" spans="1:8" ht="21" customHeight="1">
      <c r="A3" s="761"/>
      <c r="B3" s="762"/>
      <c r="C3" s="2491" t="s">
        <v>1285</v>
      </c>
      <c r="D3" s="2491"/>
      <c r="E3" s="2491"/>
      <c r="F3" s="763"/>
      <c r="G3" s="764"/>
      <c r="H3" s="758"/>
    </row>
    <row r="4" spans="1:8" ht="21" customHeight="1">
      <c r="A4" s="765"/>
      <c r="B4" s="766"/>
      <c r="C4" s="767"/>
      <c r="D4" s="1429" t="str">
        <f>貸付_入力!C72</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4.1" customHeight="1">
      <c r="A8" s="778" t="s">
        <v>551</v>
      </c>
      <c r="B8" s="779" t="s">
        <v>551</v>
      </c>
      <c r="C8" s="780" t="s">
        <v>551</v>
      </c>
      <c r="D8" s="781"/>
      <c r="E8" s="780" t="s">
        <v>551</v>
      </c>
      <c r="F8" s="779" t="s">
        <v>551</v>
      </c>
      <c r="G8" s="1589" t="s">
        <v>551</v>
      </c>
      <c r="H8" s="758"/>
    </row>
    <row r="9" spans="1:8" ht="14.1" customHeight="1">
      <c r="A9" s="1637">
        <f>SUM(C9,B9)</f>
        <v>1108845248</v>
      </c>
      <c r="B9" s="1638"/>
      <c r="C9" s="1639">
        <f>貸付_附属明細表!M6</f>
        <v>1108845248</v>
      </c>
      <c r="D9" s="1640" t="s">
        <v>895</v>
      </c>
      <c r="E9" s="1641"/>
      <c r="F9" s="1638"/>
      <c r="G9" s="788"/>
      <c r="H9" s="758"/>
    </row>
    <row r="10" spans="1:8" ht="20.399999999999999" customHeight="1">
      <c r="A10" s="1642">
        <f>SUM(C10,B10)</f>
        <v>180749</v>
      </c>
      <c r="B10" s="1457">
        <f>貸付_附属明細表!G29</f>
        <v>180749</v>
      </c>
      <c r="C10" s="1462"/>
      <c r="D10" s="1643" t="s">
        <v>214</v>
      </c>
      <c r="E10" s="1644"/>
      <c r="F10" s="1645"/>
      <c r="G10" s="796"/>
      <c r="H10" s="758"/>
    </row>
    <row r="11" spans="1:8" ht="20.399999999999999" customHeight="1">
      <c r="A11" s="1642">
        <f>SUM(C11,B11)</f>
        <v>0</v>
      </c>
      <c r="B11" s="1646">
        <f>貸付_附属明細表!G37</f>
        <v>0</v>
      </c>
      <c r="C11" s="1462"/>
      <c r="D11" s="1643" t="s">
        <v>898</v>
      </c>
      <c r="E11" s="1644"/>
      <c r="F11" s="1645"/>
      <c r="G11" s="788"/>
      <c r="H11" s="758"/>
    </row>
    <row r="12" spans="1:8" ht="20.399999999999999" customHeight="1">
      <c r="A12" s="1642">
        <f>C12-F12</f>
        <v>1</v>
      </c>
      <c r="B12" s="1457"/>
      <c r="C12" s="1462">
        <f>貸付_附属明細表!M76</f>
        <v>1</v>
      </c>
      <c r="D12" s="1643" t="s">
        <v>222</v>
      </c>
      <c r="E12" s="1644"/>
      <c r="F12" s="1647">
        <f>貸付_附属明細表!P76</f>
        <v>0</v>
      </c>
      <c r="G12" s="788"/>
      <c r="H12" s="758"/>
    </row>
    <row r="13" spans="1:8" ht="20.399999999999999" customHeight="1">
      <c r="A13" s="1637">
        <f>SUM(C13,B13)-F13</f>
        <v>849175708</v>
      </c>
      <c r="B13" s="1646">
        <f>貸付_附属明細表!G68</f>
        <v>0</v>
      </c>
      <c r="C13" s="1462">
        <f>貸付_附属明細表!R13</f>
        <v>849175708</v>
      </c>
      <c r="D13" s="1643" t="s">
        <v>1240</v>
      </c>
      <c r="E13" s="1644"/>
      <c r="F13" s="1646">
        <f>貸付_附属明細表!G28+貸付_附属明細表!G35</f>
        <v>0</v>
      </c>
      <c r="G13" s="1648"/>
      <c r="H13" s="758"/>
    </row>
    <row r="14" spans="1:8" ht="20.399999999999999" customHeight="1">
      <c r="A14" s="789"/>
      <c r="B14" s="1457"/>
      <c r="C14" s="1649"/>
      <c r="D14" s="1643" t="s">
        <v>899</v>
      </c>
      <c r="E14" s="1644"/>
      <c r="F14" s="1457">
        <f>貸付_附属明細表!G47</f>
        <v>380530</v>
      </c>
      <c r="G14" s="1648">
        <f>SUM(E14:F14)</f>
        <v>380530</v>
      </c>
      <c r="H14" s="758"/>
    </row>
    <row r="15" spans="1:8" ht="20.399999999999999" customHeight="1">
      <c r="A15" s="789"/>
      <c r="B15" s="1457"/>
      <c r="C15" s="1649"/>
      <c r="D15" s="1643" t="s">
        <v>997</v>
      </c>
      <c r="E15" s="1644"/>
      <c r="F15" s="1457">
        <f>貸付_附属明細表!G55</f>
        <v>383205</v>
      </c>
      <c r="G15" s="1648">
        <f>SUM(E15:F15)</f>
        <v>383205</v>
      </c>
      <c r="H15" s="758"/>
    </row>
    <row r="16" spans="1:8" ht="20.399999999999999" customHeight="1">
      <c r="A16" s="789"/>
      <c r="B16" s="1457"/>
      <c r="C16" s="1649"/>
      <c r="D16" s="1643" t="s">
        <v>200</v>
      </c>
      <c r="E16" s="1463">
        <f>貸付_附属明細表!G62</f>
        <v>305231</v>
      </c>
      <c r="F16" s="1457"/>
      <c r="G16" s="1648">
        <f>SUM(E16:F16)</f>
        <v>305231</v>
      </c>
      <c r="H16" s="758"/>
    </row>
    <row r="17" spans="1:8" ht="20.399999999999999" customHeight="1">
      <c r="A17" s="789"/>
      <c r="B17" s="1457"/>
      <c r="C17" s="1649"/>
      <c r="D17" s="1643" t="s">
        <v>1239</v>
      </c>
      <c r="E17" s="1650">
        <f>貸付_附属明細表!R20</f>
        <v>0</v>
      </c>
      <c r="F17" s="1457"/>
      <c r="G17" s="1648">
        <f>SUM(E17:F17)-B17</f>
        <v>0</v>
      </c>
      <c r="H17" s="758"/>
    </row>
    <row r="18" spans="1:8" ht="20.399999999999999" customHeight="1">
      <c r="A18" s="789"/>
      <c r="B18" s="1457">
        <f>F37</f>
        <v>3919428</v>
      </c>
      <c r="C18" s="1649"/>
      <c r="D18" s="1643" t="s">
        <v>901</v>
      </c>
      <c r="E18" s="1463">
        <f>貸付_附属明細表!E91</f>
        <v>1961052168</v>
      </c>
      <c r="F18" s="1457" t="str">
        <f>IF(貸付_財務諸表!C54=0,"",貸付_財務諸表!C54)</f>
        <v/>
      </c>
      <c r="G18" s="1648">
        <f>SUM(E18:F18)-B18</f>
        <v>1957132740</v>
      </c>
      <c r="H18" s="758"/>
    </row>
    <row r="19" spans="1:8" ht="20.399999999999999" customHeight="1">
      <c r="A19" s="789"/>
      <c r="B19" s="1457">
        <f>F37</f>
        <v>3919428</v>
      </c>
      <c r="C19" s="1649"/>
      <c r="D19" s="792" t="s">
        <v>902</v>
      </c>
      <c r="E19" s="1463"/>
      <c r="F19" s="1457">
        <f>F37</f>
        <v>3919428</v>
      </c>
      <c r="G19" s="1648">
        <f>E19-B19+F19</f>
        <v>0</v>
      </c>
      <c r="H19" s="758"/>
    </row>
    <row r="20" spans="1:8" ht="20.399999999999999" customHeight="1">
      <c r="A20" s="1651">
        <f>SUM(A9:A19)</f>
        <v>1958201706</v>
      </c>
      <c r="B20" s="1652">
        <f>SUM(B9:B19)</f>
        <v>8019605</v>
      </c>
      <c r="C20" s="1653">
        <f>SUM(C9:C19)</f>
        <v>1958020957</v>
      </c>
      <c r="D20" s="1654" t="s">
        <v>1286</v>
      </c>
      <c r="E20" s="1655">
        <f>SUM(E9:E19)</f>
        <v>1961357399</v>
      </c>
      <c r="F20" s="1652">
        <f>SUM(F9:F19)</f>
        <v>4683163</v>
      </c>
      <c r="G20" s="1656">
        <f>SUM(G9:G19)</f>
        <v>1958201706</v>
      </c>
      <c r="H20" s="758"/>
    </row>
    <row r="21" spans="1:8" ht="20.399999999999999" customHeight="1">
      <c r="A21" s="1637">
        <f>C21+B21-F21</f>
        <v>6345567</v>
      </c>
      <c r="B21" s="1657">
        <f>貸付_附属明細表!G53</f>
        <v>0</v>
      </c>
      <c r="C21" s="1639">
        <f>貸付_入力!C52</f>
        <v>6345567</v>
      </c>
      <c r="D21" s="1640" t="s">
        <v>128</v>
      </c>
      <c r="E21" s="1641"/>
      <c r="F21" s="1638"/>
      <c r="G21" s="788"/>
      <c r="H21" s="758"/>
    </row>
    <row r="22" spans="1:8" ht="20.399999999999999" customHeight="1">
      <c r="A22" s="1642">
        <f t="shared" ref="A22:A29" si="0">SUM(B22:C22)</f>
        <v>23507</v>
      </c>
      <c r="B22" s="1638"/>
      <c r="C22" s="1639">
        <f>貸付_入力!C53</f>
        <v>23507</v>
      </c>
      <c r="D22" s="1640" t="s">
        <v>129</v>
      </c>
      <c r="E22" s="1641"/>
      <c r="F22" s="1638"/>
      <c r="G22" s="788"/>
      <c r="H22" s="758"/>
    </row>
    <row r="23" spans="1:8" ht="20.399999999999999" customHeight="1">
      <c r="A23" s="1658">
        <f t="shared" si="0"/>
        <v>0</v>
      </c>
      <c r="B23" s="1590"/>
      <c r="C23" s="1659">
        <f>貸付_入力!C54</f>
        <v>0</v>
      </c>
      <c r="D23" s="1643" t="s">
        <v>1002</v>
      </c>
      <c r="E23" s="1644"/>
      <c r="F23" s="1645"/>
      <c r="G23" s="796"/>
      <c r="H23" s="758"/>
    </row>
    <row r="24" spans="1:8" ht="20.399999999999999" customHeight="1">
      <c r="A24" s="1642">
        <f t="shared" si="0"/>
        <v>635259</v>
      </c>
      <c r="B24" s="1457">
        <f>貸付_附属明細表!G43</f>
        <v>25659</v>
      </c>
      <c r="C24" s="1462">
        <f>貸付_入力!C55</f>
        <v>609600</v>
      </c>
      <c r="D24" s="1643" t="s">
        <v>131</v>
      </c>
      <c r="E24" s="1644"/>
      <c r="F24" s="1645"/>
      <c r="G24" s="796"/>
      <c r="H24" s="758"/>
    </row>
    <row r="25" spans="1:8" ht="20.399999999999999" customHeight="1">
      <c r="A25" s="1642">
        <f t="shared" si="0"/>
        <v>4403185</v>
      </c>
      <c r="B25" s="1457">
        <f>貸付_附属明細表!G54</f>
        <v>383205</v>
      </c>
      <c r="C25" s="1462">
        <f>貸付_入力!C56</f>
        <v>4019980</v>
      </c>
      <c r="D25" s="1643" t="s">
        <v>132</v>
      </c>
      <c r="E25" s="1644"/>
      <c r="F25" s="1645"/>
      <c r="G25" s="796"/>
      <c r="H25" s="758"/>
    </row>
    <row r="26" spans="1:8" ht="20.399999999999999" customHeight="1">
      <c r="A26" s="1642">
        <f t="shared" si="0"/>
        <v>229663</v>
      </c>
      <c r="B26" s="1457">
        <f>貸付_附属明細表!G44</f>
        <v>192720</v>
      </c>
      <c r="C26" s="1462">
        <f>貸付_入力!C57</f>
        <v>36943</v>
      </c>
      <c r="D26" s="1643" t="s">
        <v>133</v>
      </c>
      <c r="E26" s="1644"/>
      <c r="F26" s="1645"/>
      <c r="G26" s="796"/>
      <c r="H26" s="758"/>
    </row>
    <row r="27" spans="1:8" ht="20.399999999999999" customHeight="1">
      <c r="A27" s="1642">
        <f t="shared" si="0"/>
        <v>912240</v>
      </c>
      <c r="B27" s="1457">
        <f>貸付_附属明細表!G45</f>
        <v>90826</v>
      </c>
      <c r="C27" s="1462">
        <f>貸付_入力!C58</f>
        <v>821414</v>
      </c>
      <c r="D27" s="1643" t="s">
        <v>137</v>
      </c>
      <c r="E27" s="1644"/>
      <c r="F27" s="1645"/>
      <c r="G27" s="796"/>
      <c r="H27" s="758"/>
    </row>
    <row r="28" spans="1:8" ht="20.399999999999999" customHeight="1">
      <c r="A28" s="1642">
        <f t="shared" si="0"/>
        <v>323822</v>
      </c>
      <c r="B28" s="1457"/>
      <c r="C28" s="1462">
        <f>貸付_入力!C59</f>
        <v>323822</v>
      </c>
      <c r="D28" s="1643" t="s">
        <v>138</v>
      </c>
      <c r="E28" s="1644"/>
      <c r="F28" s="1645"/>
      <c r="G28" s="796"/>
      <c r="H28" s="758"/>
    </row>
    <row r="29" spans="1:8" ht="20.399999999999999" customHeight="1">
      <c r="A29" s="1642">
        <f t="shared" si="0"/>
        <v>1896954</v>
      </c>
      <c r="B29" s="1457">
        <f>貸付_附属明細表!G46</f>
        <v>71325</v>
      </c>
      <c r="C29" s="1462">
        <f>貸付_入力!C60</f>
        <v>1825629</v>
      </c>
      <c r="D29" s="1643" t="s">
        <v>125</v>
      </c>
      <c r="E29" s="1644"/>
      <c r="F29" s="1645"/>
      <c r="G29" s="796"/>
      <c r="H29" s="758"/>
    </row>
    <row r="30" spans="1:8" ht="20.399999999999999" customHeight="1">
      <c r="A30" s="1642">
        <f>SUM(B30:C30)-F30</f>
        <v>112191</v>
      </c>
      <c r="B30" s="1457"/>
      <c r="C30" s="1462">
        <f>貸付_入力!C61</f>
        <v>112191</v>
      </c>
      <c r="D30" s="1643" t="s">
        <v>174</v>
      </c>
      <c r="E30" s="1644"/>
      <c r="F30" s="1645"/>
      <c r="G30" s="796"/>
      <c r="H30" s="758"/>
    </row>
    <row r="31" spans="1:8" ht="20.399999999999999" customHeight="1">
      <c r="A31" s="1642" t="str">
        <f>IF(SUM(B31:C31)=0,"",SUM(B31:C31))</f>
        <v/>
      </c>
      <c r="B31" s="1457" t="str">
        <f>IF(N(貸付_附属明細表!H84)=0,"",貸付_附属明細表!H84)</f>
        <v/>
      </c>
      <c r="C31" s="1462"/>
      <c r="D31" s="1643" t="str">
        <f>IF(N(貸付_附属明細表!H84)&gt;0,"減価償却費","連合会払込金")</f>
        <v>連合会払込金</v>
      </c>
      <c r="E31" s="1644"/>
      <c r="F31" s="1645"/>
      <c r="G31" s="796"/>
      <c r="H31" s="758"/>
    </row>
    <row r="32" spans="1:8" ht="20.399999999999999" customHeight="1">
      <c r="A32" s="1658">
        <f>SUM(B32:C32)</f>
        <v>0</v>
      </c>
      <c r="B32" s="1457"/>
      <c r="C32" s="1660">
        <f>貸付_入力!C62</f>
        <v>0</v>
      </c>
      <c r="D32" s="1643" t="s">
        <v>143</v>
      </c>
      <c r="E32" s="1644"/>
      <c r="F32" s="1645"/>
      <c r="G32" s="796"/>
      <c r="H32" s="758"/>
    </row>
    <row r="33" spans="1:8" ht="20.399999999999999" customHeight="1">
      <c r="A33" s="1642" t="str">
        <f>IF(SUM(B33:C33)=0,"",SUM(B33:C33))</f>
        <v/>
      </c>
      <c r="B33" s="1457" t="str">
        <f>IF(貸付_財務諸表!C54=0,"",貸付_財務諸表!C54)</f>
        <v/>
      </c>
      <c r="C33" s="1661"/>
      <c r="D33" s="1643" t="s">
        <v>828</v>
      </c>
      <c r="E33" s="1644"/>
      <c r="F33" s="1645"/>
      <c r="G33" s="1648"/>
      <c r="H33" s="758"/>
    </row>
    <row r="34" spans="1:8" ht="20.399999999999999" customHeight="1">
      <c r="A34" s="1642"/>
      <c r="B34" s="1657">
        <f>貸付_附属明細表!G69</f>
        <v>0</v>
      </c>
      <c r="C34" s="1649"/>
      <c r="D34" s="1643" t="s">
        <v>172</v>
      </c>
      <c r="E34" s="1463">
        <f>貸付_入力!C64</f>
        <v>10740211</v>
      </c>
      <c r="F34" s="1457">
        <f>貸付_附属明細表!G27+貸付_附属明細表!G36</f>
        <v>180749</v>
      </c>
      <c r="G34" s="1662">
        <f>E34-B34+F34</f>
        <v>10920960</v>
      </c>
      <c r="H34" s="758"/>
    </row>
    <row r="35" spans="1:8" ht="20.399999999999999" customHeight="1">
      <c r="A35" s="789"/>
      <c r="B35" s="1638"/>
      <c r="C35" s="1649"/>
      <c r="D35" s="1643" t="s">
        <v>38</v>
      </c>
      <c r="E35" s="1663">
        <f>貸付_入力!C65</f>
        <v>42000</v>
      </c>
      <c r="F35" s="1645"/>
      <c r="G35" s="1648">
        <f>SUM(E35:F35)</f>
        <v>42000</v>
      </c>
      <c r="H35" s="758"/>
    </row>
    <row r="36" spans="1:8" ht="20.399999999999999" customHeight="1">
      <c r="A36" s="789"/>
      <c r="B36" s="1638"/>
      <c r="C36" s="1649"/>
      <c r="D36" s="1643" t="s">
        <v>106</v>
      </c>
      <c r="E36" s="1664">
        <f>貸付_入力!C66</f>
        <v>0</v>
      </c>
      <c r="F36" s="1665"/>
      <c r="G36" s="1648"/>
      <c r="H36" s="758"/>
    </row>
    <row r="37" spans="1:8" ht="20.399999999999999" customHeight="1">
      <c r="A37" s="789"/>
      <c r="B37" s="1645"/>
      <c r="C37" s="1649"/>
      <c r="D37" s="1643" t="s">
        <v>233</v>
      </c>
      <c r="E37" s="1666"/>
      <c r="F37" s="1667">
        <f>貸付_財務諸表!G47</f>
        <v>3919428</v>
      </c>
      <c r="G37" s="1648">
        <f>SUM(E37:F37)</f>
        <v>3919428</v>
      </c>
      <c r="H37" s="758"/>
    </row>
    <row r="38" spans="1:8" ht="20.399999999999999" customHeight="1">
      <c r="A38" s="1651">
        <f>SUM(A21:A34)</f>
        <v>14882388</v>
      </c>
      <c r="B38" s="1652">
        <f>SUM(B21:B34)</f>
        <v>763735</v>
      </c>
      <c r="C38" s="1653">
        <f>SUM(C21:C34)</f>
        <v>14118653</v>
      </c>
      <c r="D38" s="1654" t="s">
        <v>903</v>
      </c>
      <c r="E38" s="1655">
        <f>SUM(E21:E35)</f>
        <v>10782211</v>
      </c>
      <c r="F38" s="1652">
        <f>SUM(F21:F37)</f>
        <v>4100177</v>
      </c>
      <c r="G38" s="1656">
        <f>SUM(G21:G37)</f>
        <v>14882388</v>
      </c>
      <c r="H38" s="758"/>
    </row>
    <row r="39" spans="1:8" ht="20.399999999999999" customHeight="1">
      <c r="A39" s="1651">
        <f>SUM(A20+A38)</f>
        <v>1973084094</v>
      </c>
      <c r="B39" s="1652">
        <f>SUM(B38,B20)</f>
        <v>8783340</v>
      </c>
      <c r="C39" s="1653">
        <f>SUM(C38,C20)</f>
        <v>1972139610</v>
      </c>
      <c r="D39" s="1654" t="s">
        <v>675</v>
      </c>
      <c r="E39" s="1655">
        <f>SUM(E20+E38)</f>
        <v>1972139610</v>
      </c>
      <c r="F39" s="1652">
        <f>SUM(F38,F20)</f>
        <v>8783340</v>
      </c>
      <c r="G39" s="1656">
        <f>SUM(G38,G20)</f>
        <v>1973084094</v>
      </c>
      <c r="H39" s="758"/>
    </row>
    <row r="40" spans="1:8" ht="13.5" customHeight="1">
      <c r="A40" s="826"/>
      <c r="B40" s="827"/>
      <c r="C40" s="739"/>
      <c r="D40" s="828"/>
      <c r="E40" s="739"/>
      <c r="F40" s="739"/>
      <c r="G40" s="829"/>
      <c r="H40" s="758"/>
    </row>
    <row r="41" spans="1:8" s="834" customFormat="1" ht="21" customHeight="1">
      <c r="A41" s="2847" t="str">
        <f>貸付_入力!C73</f>
        <v>令和　８年　４月２２日</v>
      </c>
      <c r="B41" s="2847"/>
      <c r="C41" s="1487"/>
      <c r="D41" s="1487"/>
      <c r="E41" s="1488" t="s">
        <v>1287</v>
      </c>
      <c r="F41" s="1488"/>
      <c r="G41" s="1603"/>
      <c r="H41" s="833"/>
    </row>
    <row r="42" spans="1:8" ht="13.5" customHeight="1">
      <c r="A42" s="835"/>
      <c r="B42" s="739"/>
      <c r="C42" s="739"/>
      <c r="D42" s="739"/>
      <c r="E42" s="739"/>
      <c r="F42" s="739"/>
      <c r="G42" s="829"/>
      <c r="H42" s="758"/>
    </row>
    <row r="43" spans="1:8" ht="13.5" customHeight="1">
      <c r="A43" s="2487" t="s">
        <v>906</v>
      </c>
      <c r="B43" s="2487"/>
      <c r="C43" s="2487"/>
      <c r="D43" s="2487"/>
      <c r="E43" s="2487"/>
      <c r="F43" s="2487"/>
      <c r="G43" s="2487"/>
      <c r="H43" s="758"/>
    </row>
    <row r="44" spans="1:8" ht="13.5" customHeight="1">
      <c r="A44" s="2488" t="str">
        <f>貸付_入力!C73</f>
        <v>令和　８年　４月２２日</v>
      </c>
      <c r="B44" s="2488"/>
      <c r="C44" s="739"/>
      <c r="D44" s="739"/>
      <c r="E44" s="739"/>
      <c r="F44" s="739"/>
      <c r="G44" s="829"/>
      <c r="H44" s="758"/>
    </row>
    <row r="45" spans="1:8" s="834" customFormat="1" ht="21" customHeight="1">
      <c r="A45" s="1492"/>
      <c r="B45" s="1493"/>
      <c r="C45" s="1493"/>
      <c r="D45" s="1493"/>
      <c r="E45" s="2849" t="s">
        <v>1097</v>
      </c>
      <c r="F45" s="2849"/>
      <c r="G45" s="2849"/>
      <c r="H45" s="833"/>
    </row>
    <row r="46" spans="1:8" ht="13.5" customHeight="1">
      <c r="A46" s="758"/>
      <c r="B46" s="758"/>
      <c r="C46" s="758"/>
      <c r="D46" s="758"/>
      <c r="E46" s="758"/>
      <c r="F46" s="758"/>
      <c r="G46" s="758"/>
      <c r="H46" s="758"/>
    </row>
    <row r="47" spans="1:8" ht="13.5" customHeight="1">
      <c r="A47" s="758"/>
      <c r="B47" s="758"/>
      <c r="C47" s="758"/>
      <c r="D47" s="758"/>
      <c r="E47" s="758"/>
      <c r="F47" s="758"/>
      <c r="G47" s="758"/>
      <c r="H47" s="758"/>
    </row>
  </sheetData>
  <sheetProtection formatCells="0" formatColumns="0" formatRows="0" insertColumns="0" insertRows="0" insertHyperlinks="0" deleteColumns="0" deleteRows="0" selectLockedCells="1"/>
  <mergeCells count="9">
    <mergeCell ref="A41:B41"/>
    <mergeCell ref="A43:G43"/>
    <mergeCell ref="A44:B44"/>
    <mergeCell ref="E45:G45"/>
    <mergeCell ref="C1:E1"/>
    <mergeCell ref="C3:E3"/>
    <mergeCell ref="A6:C6"/>
    <mergeCell ref="D6:D7"/>
    <mergeCell ref="E6:G6"/>
  </mergeCells>
  <phoneticPr fontId="155"/>
  <pageMargins left="0.78749999999999998" right="0.39374999999999999" top="0.66944444444444495" bottom="0.78749999999999998" header="0.511811023622047" footer="0.31527777777777799"/>
  <pageSetup paperSize="9" scale="95" firstPageNumber="63" orientation="portrait" useFirstPageNumber="1" horizontalDpi="300" verticalDpi="300"/>
  <headerFooter>
    <oddFooter>&amp;C&amp;"ＭＳ 明朝,Regular"- &amp;P -</oddFooter>
  </headerFooter>
  <rowBreaks count="1" manualBreakCount="1">
    <brk id="45" max="16383" man="1"/>
  </rowBreak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0623-8350-4AFD-9FF1-85EEE24BDBE9}">
  <sheetPr codeName="Sheet51">
    <tabColor rgb="FFA6A6A6"/>
  </sheetPr>
  <dimension ref="A1"/>
  <sheetViews>
    <sheetView zoomScaleNormal="100" zoomScalePageLayoutView="60" workbookViewId="0">
      <selection sqref="A1:G1"/>
    </sheetView>
  </sheetViews>
  <sheetFormatPr defaultColWidth="9" defaultRowHeight="13.2"/>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firstPageNumber="64" orientation="portrait" useFirstPageNumber="1" horizontalDpi="300" verticalDpi="300"/>
  <headerFooter>
    <oddFooter>&amp;C&amp;"ＭＳ 明朝,Regular"- &amp;P -</oddFooter>
  </headerFooter>
</worksheet>
</file>

<file path=docProps/app.xml><?xml version="1.0" encoding="utf-8"?>
<Properties xmlns="http://schemas.openxmlformats.org/officeDocument/2006/extended-properties" xmlns:vt="http://schemas.openxmlformats.org/officeDocument/2006/docPropsVTypes">
  <Template/>
  <TotalTime>17</TotalTime>
  <Application>Microsoft Excel</Application>
  <DocSecurity>0</DocSecurity>
  <ScaleCrop>false</ScaleCrop>
  <HeadingPairs>
    <vt:vector size="4" baseType="variant">
      <vt:variant>
        <vt:lpstr>ワークシート</vt:lpstr>
      </vt:variant>
      <vt:variant>
        <vt:i4>53</vt:i4>
      </vt:variant>
      <vt:variant>
        <vt:lpstr>名前付き一覧</vt:lpstr>
      </vt:variant>
      <vt:variant>
        <vt:i4>39</vt:i4>
      </vt:variant>
    </vt:vector>
  </HeadingPairs>
  <TitlesOfParts>
    <vt:vector size="92" baseType="lpstr">
      <vt:lpstr>入力ガイド</vt:lpstr>
      <vt:lpstr>入力セル一覧</vt:lpstr>
      <vt:lpstr>前年度貼付</vt:lpstr>
      <vt:lpstr>チェック</vt:lpstr>
      <vt:lpstr>表紙等</vt:lpstr>
      <vt:lpstr>目次</vt:lpstr>
      <vt:lpstr>報告_概況P1-2</vt:lpstr>
      <vt:lpstr>報告_総括P3-5</vt:lpstr>
      <vt:lpstr>報告_短期P6</vt:lpstr>
      <vt:lpstr>報告_短期P7-10</vt:lpstr>
      <vt:lpstr>報告_短期P11-13</vt:lpstr>
      <vt:lpstr>報告_P8グラフデータ</vt:lpstr>
      <vt:lpstr>報告_厚生年金P14</vt:lpstr>
      <vt:lpstr>報告_退職等年金P15</vt:lpstr>
      <vt:lpstr>報告_経過的長期P16</vt:lpstr>
      <vt:lpstr>報告_預託金P17</vt:lpstr>
      <vt:lpstr>報告_預託金のカメラ</vt:lpstr>
      <vt:lpstr>報告_業務P18</vt:lpstr>
      <vt:lpstr>報告_業務P19</vt:lpstr>
      <vt:lpstr>報告_保健P20-22</vt:lpstr>
      <vt:lpstr>報告_貸付P23-25</vt:lpstr>
      <vt:lpstr>報告_白紙P26</vt:lpstr>
      <vt:lpstr>短期_財務諸表</vt:lpstr>
      <vt:lpstr>短期_附属明細表</vt:lpstr>
      <vt:lpstr>短期_決算精算表</vt:lpstr>
      <vt:lpstr>厚生_貸借・損益</vt:lpstr>
      <vt:lpstr>厚生_預金・立替・未収</vt:lpstr>
      <vt:lpstr>厚生_決算精算表</vt:lpstr>
      <vt:lpstr>厚生_白紙</vt:lpstr>
      <vt:lpstr>退職等_貸借・損益</vt:lpstr>
      <vt:lpstr>退職等_預金・立替・未収</vt:lpstr>
      <vt:lpstr>退職等_決算精算表</vt:lpstr>
      <vt:lpstr>退職等_白紙</vt:lpstr>
      <vt:lpstr>経過的_貸借・損益</vt:lpstr>
      <vt:lpstr>経過的_預金・立替・未収</vt:lpstr>
      <vt:lpstr>経過的_決算精算表</vt:lpstr>
      <vt:lpstr>経過的_白紙</vt:lpstr>
      <vt:lpstr>預託金_貸借・損益</vt:lpstr>
      <vt:lpstr>預託金_預金・未収・貸付・預託金</vt:lpstr>
      <vt:lpstr>預託金_決算精算表</vt:lpstr>
      <vt:lpstr>預託金_白紙</vt:lpstr>
      <vt:lpstr>業務_財務諸表</vt:lpstr>
      <vt:lpstr>業務_附属明細表</vt:lpstr>
      <vt:lpstr>業務_決算精算表</vt:lpstr>
      <vt:lpstr>業務_白紙</vt:lpstr>
      <vt:lpstr>保健_財務諸表</vt:lpstr>
      <vt:lpstr>保健_附属明細表</vt:lpstr>
      <vt:lpstr>保健_決算精算表</vt:lpstr>
      <vt:lpstr>貸付_入力</vt:lpstr>
      <vt:lpstr>貸付_財務諸表</vt:lpstr>
      <vt:lpstr>貸付_附属明細表</vt:lpstr>
      <vt:lpstr>貸付_決算精算表</vt:lpstr>
      <vt:lpstr>貸付_白紙</vt:lpstr>
      <vt:lpstr>業務_決算精算表!Print_Area</vt:lpstr>
      <vt:lpstr>業務_白紙!Print_Area</vt:lpstr>
      <vt:lpstr>業務_附属明細表!Print_Area</vt:lpstr>
      <vt:lpstr>経過的_決算精算表!Print_Area</vt:lpstr>
      <vt:lpstr>経過的_貸借・損益!Print_Area</vt:lpstr>
      <vt:lpstr>経過的_預金・立替・未収!Print_Area</vt:lpstr>
      <vt:lpstr>厚生_決算精算表!Print_Area</vt:lpstr>
      <vt:lpstr>厚生_貸借・損益!Print_Area</vt:lpstr>
      <vt:lpstr>厚生_預金・立替・未収!Print_Area</vt:lpstr>
      <vt:lpstr>貸付_決算精算表!Print_Area</vt:lpstr>
      <vt:lpstr>貸付_白紙!Print_Area</vt:lpstr>
      <vt:lpstr>貸付_附属明細表!Print_Area</vt:lpstr>
      <vt:lpstr>退職等_決算精算表!Print_Area</vt:lpstr>
      <vt:lpstr>退職等_貸借・損益!Print_Area</vt:lpstr>
      <vt:lpstr>退職等_預金・立替・未収!Print_Area</vt:lpstr>
      <vt:lpstr>短期_決算精算表!Print_Area</vt:lpstr>
      <vt:lpstr>短期_財務諸表!Print_Area</vt:lpstr>
      <vt:lpstr>短期_附属明細表!Print_Area</vt:lpstr>
      <vt:lpstr>表紙等!Print_Area</vt:lpstr>
      <vt:lpstr>保健_決算精算表!Print_Area</vt:lpstr>
      <vt:lpstr>保健_財務諸表!Print_Area</vt:lpstr>
      <vt:lpstr>保健_附属明細表!Print_Area</vt:lpstr>
      <vt:lpstr>'報告_概況P1-2'!Print_Area</vt:lpstr>
      <vt:lpstr>報告_業務P18!Print_Area</vt:lpstr>
      <vt:lpstr>報告_業務P19!Print_Area</vt:lpstr>
      <vt:lpstr>報告_経過的長期P16!Print_Area</vt:lpstr>
      <vt:lpstr>報告_厚生年金P14!Print_Area</vt:lpstr>
      <vt:lpstr>'報告_総括P3-5'!Print_Area</vt:lpstr>
      <vt:lpstr>'報告_貸付P23-25'!Print_Area</vt:lpstr>
      <vt:lpstr>報告_退職等年金P15!Print_Area</vt:lpstr>
      <vt:lpstr>'報告_短期P11-13'!Print_Area</vt:lpstr>
      <vt:lpstr>報告_短期P6!Print_Area</vt:lpstr>
      <vt:lpstr>'報告_短期P7-10'!Print_Area</vt:lpstr>
      <vt:lpstr>報告_白紙P26!Print_Area</vt:lpstr>
      <vt:lpstr>'報告_保健P20-22'!Print_Area</vt:lpstr>
      <vt:lpstr>目次!Print_Area</vt:lpstr>
      <vt:lpstr>預託金_決算精算表!Print_Area</vt:lpstr>
      <vt:lpstr>預託金_貸借・損益!Print_Area</vt:lpstr>
      <vt:lpstr>預託金_預金・未収・貸付・預託金!Print_Area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広島市職員共済組合</dc:creator>
  <dc:description/>
  <cp:lastModifiedBy>木本 拓志</cp:lastModifiedBy>
  <cp:revision>4</cp:revision>
  <cp:lastPrinted>2026-10-16T03:59:15Z</cp:lastPrinted>
  <dcterms:created xsi:type="dcterms:W3CDTF">2001-01-06T08:03:36Z</dcterms:created>
  <dcterms:modified xsi:type="dcterms:W3CDTF">2026-10-18T23:56:53Z</dcterms:modified>
  <dc:language>en-US</dc:language>
</cp:coreProperties>
</file>