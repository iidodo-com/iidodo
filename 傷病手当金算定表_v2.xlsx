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92" yWindow="-108" windowWidth="29016" windowHeight="15696" tabRatio="500" firstSheet="0" activeTab="1" autoFilterDateGrouping="1"/>
  </bookViews>
  <sheets>
    <sheet xmlns:r="http://schemas.openxmlformats.org/officeDocument/2006/relationships" name="使い方" sheetId="1" state="visible" r:id="rId1"/>
    <sheet xmlns:r="http://schemas.openxmlformats.org/officeDocument/2006/relationships" name="入力" sheetId="2" state="visible" r:id="rId2"/>
    <sheet xmlns:r="http://schemas.openxmlformats.org/officeDocument/2006/relationships" name="月別集計" sheetId="3" state="visible" r:id="rId3"/>
    <sheet xmlns:r="http://schemas.openxmlformats.org/officeDocument/2006/relationships" name="算定表" sheetId="4" state="visible" r:id="rId4"/>
    <sheet xmlns:r="http://schemas.openxmlformats.org/officeDocument/2006/relationships" name="カレンダーマスタ" sheetId="5" state="visible" r:id="rId5"/>
    <sheet xmlns:r="http://schemas.openxmlformats.org/officeDocument/2006/relationships" name="請求シート雛形" sheetId="6" state="visible" r:id="rId6"/>
  </sheets>
  <definedNames>
    <definedName name="EMP_ID">'入力'!$C$4</definedName>
    <definedName name="EMP_NAME">'入力'!$C$5</definedName>
    <definedName name="DAILY_RATE">'入力'!$J$10</definedName>
    <definedName name="P_START">'入力'!$J$5</definedName>
    <definedName name="P_LEGAL_END">'入力'!$J$6</definedName>
    <definedName name="P_ADD_START">'入力'!$J$7</definedName>
    <definedName name="P_ADD_END">'入力'!$J$8</definedName>
    <definedName name="P_FINAL">'入力'!$J$9</definedName>
    <definedName name="EXT_MONTHS">'入力'!$D$85</definedName>
    <definedName name="EXT_DAYS">'入力'!$E$85</definedName>
    <definedName name="_xlnm.Print_Titles" localSheetId="3">'算定表'!$5:$5</definedName>
  </definedNames>
  <calcPr calcId="191029" fullCalcOnLoad="1"/>
</workbook>
</file>

<file path=xl/styles.xml><?xml version="1.0" encoding="utf-8"?>
<styleSheet xmlns="http://schemas.openxmlformats.org/spreadsheetml/2006/main">
  <numFmts count="10">
    <numFmt numFmtId="164" formatCode="#,##0;[Red]\-#,##0;0"/>
    <numFmt numFmtId="165" formatCode="yyyy/m"/>
    <numFmt numFmtId="166" formatCode="#,##0.0"/>
    <numFmt numFmtId="167" formatCode="yyyy/m/d"/>
    <numFmt numFmtId="168" formatCode="yyyy-mm-dd h:mm:ss"/>
    <numFmt numFmtId="169" formatCode="0&quot;か月&quot;"/>
    <numFmt numFmtId="170" formatCode="0&quot;日&quot;"/>
    <numFmt numFmtId="171" formatCode="[$-411]ge"/>
    <numFmt numFmtId="172" formatCode="[$-411]ge.m.d"/>
    <numFmt numFmtId="173" formatCode="[$-411]ge.m"/>
  </numFmts>
  <fonts count="35">
    <font>
      <name val="Calibri"/>
      <charset val="1"/>
      <family val="2"/>
      <color theme="1"/>
      <sz val="11"/>
    </font>
    <font>
      <name val="WenQuanYi Zen Hei"/>
      <family val="2"/>
      <b val="1"/>
      <color rgb="FF000000"/>
      <sz val="14"/>
    </font>
    <font>
      <name val="Meiryo UI"/>
      <charset val="128"/>
      <family val="3"/>
      <b val="1"/>
      <color rgb="FF000000"/>
      <sz val="14"/>
    </font>
    <font>
      <name val="Meiryo UI"/>
      <charset val="128"/>
      <family val="3"/>
      <color rgb="FF000000"/>
      <sz val="10"/>
    </font>
    <font>
      <name val="WenQuanYi Zen Hei"/>
      <family val="2"/>
      <b val="1"/>
      <color rgb="FF000000"/>
      <sz val="10"/>
    </font>
    <font>
      <name val="WenQuanYi Zen Hei"/>
      <family val="2"/>
      <color rgb="FF000000"/>
      <sz val="10"/>
    </font>
    <font>
      <name val="WenQuanYi Zen Hei"/>
      <family val="2"/>
      <i val="1"/>
      <color rgb="FF000000"/>
      <sz val="10"/>
    </font>
    <font>
      <name val="Meiryo UI"/>
      <charset val="128"/>
      <family val="3"/>
      <color rgb="FF0000FF"/>
      <sz val="10"/>
    </font>
    <font>
      <name val="WenQuanYi Zen Hei"/>
      <family val="2"/>
      <color rgb="FF0000FF"/>
      <sz val="10"/>
    </font>
    <font>
      <name val="Meiryo UI"/>
      <charset val="128"/>
      <family val="3"/>
      <i val="1"/>
      <color rgb="FF000000"/>
      <sz val="10"/>
    </font>
    <font>
      <name val="Meiryo UI"/>
      <charset val="128"/>
      <family val="3"/>
      <b val="1"/>
      <color rgb="FF000000"/>
      <sz val="10"/>
    </font>
    <font>
      <name val="WenQuanYi Zen Hei"/>
      <family val="2"/>
      <b val="1"/>
      <color rgb="FFFFFFFF"/>
      <sz val="10"/>
    </font>
    <font>
      <name val="Meiryo UI"/>
      <charset val="128"/>
      <family val="3"/>
      <b val="1"/>
      <color rgb="FFFFFFFF"/>
      <sz val="10"/>
    </font>
    <font>
      <name val="WenQuanYi Zen Hei"/>
      <family val="2"/>
      <color rgb="FF000000"/>
      <sz val="9"/>
    </font>
    <font>
      <name val="Meiryo UI"/>
      <charset val="128"/>
      <family val="3"/>
      <color rgb="FF000000"/>
      <sz val="9"/>
    </font>
    <font>
      <name val="ＭＳ Ｐゴシック"/>
      <charset val="128"/>
      <family val="3"/>
      <sz val="6"/>
    </font>
    <font>
      <name val="Meiryo UI"/>
      <i val="1"/>
      <color rgb="FF595959"/>
      <sz val="10"/>
    </font>
    <font>
      <name val="Meiryo UI"/>
      <i val="1"/>
      <color rgb="FF7F7F7F"/>
      <sz val="10"/>
    </font>
    <font>
      <name val="Meiryo UI"/>
      <b val="1"/>
      <color rgb="FFC00000"/>
      <sz val="10"/>
    </font>
    <font>
      <name val="Calibri"/>
      <family val="2"/>
      <color theme="1"/>
      <sz val="12"/>
      <scheme val="minor"/>
    </font>
    <font>
      <name val="メイリオ"/>
      <charset val="1"/>
      <family val="2"/>
      <color theme="1"/>
      <sz val="11"/>
    </font>
    <font>
      <name val="メイリオ"/>
      <family val="2"/>
      <color theme="1"/>
      <sz val="12"/>
    </font>
    <font>
      <name val="メイリオ"/>
      <family val="2"/>
      <b val="1"/>
      <color rgb="FF000000"/>
      <sz val="14"/>
    </font>
    <font>
      <name val="メイリオ"/>
      <charset val="128"/>
      <family val="3"/>
      <color rgb="FF000000"/>
      <sz val="10"/>
    </font>
    <font>
      <name val="メイリオ"/>
      <family val="2"/>
      <b val="1"/>
      <color rgb="FF000000"/>
      <sz val="10"/>
    </font>
    <font>
      <name val="メイリオ"/>
      <family val="2"/>
      <color rgb="FF000000"/>
      <sz val="10"/>
    </font>
    <font>
      <name val="メイリオ"/>
      <charset val="128"/>
      <family val="3"/>
      <color rgb="FF0000FF"/>
      <sz val="10"/>
    </font>
    <font>
      <name val="メイリオ"/>
      <family val="2"/>
      <color rgb="FF0000FF"/>
      <sz val="10"/>
    </font>
    <font>
      <name val="メイリオ"/>
      <b val="1"/>
      <color rgb="FFC00000"/>
      <sz val="10"/>
    </font>
    <font>
      <name val="メイリオ"/>
      <family val="2"/>
      <b val="1"/>
      <color rgb="FFFFFFFF"/>
      <sz val="10"/>
    </font>
    <font>
      <name val="メイリオ"/>
      <charset val="128"/>
      <family val="3"/>
      <b val="1"/>
      <color rgb="FFFFFFFF"/>
      <sz val="10"/>
    </font>
    <font>
      <name val="メイリオ"/>
      <color rgb="FF595959"/>
      <sz val="10"/>
    </font>
    <font>
      <name val="メイリオ"/>
      <charset val="128"/>
      <family val="3"/>
      <b val="1"/>
      <color rgb="FF000000"/>
      <sz val="10"/>
    </font>
    <font>
      <name val="メイリオ"/>
      <family val="2"/>
      <color rgb="FF000000"/>
      <sz val="9"/>
    </font>
    <font>
      <name val="メイリオ"/>
      <color rgb="FF7F7F7F"/>
      <sz val="10"/>
    </font>
  </fonts>
  <fills count="8">
    <fill>
      <patternFill/>
    </fill>
    <fill>
      <patternFill patternType="gray125"/>
    </fill>
    <fill>
      <patternFill patternType="solid">
        <fgColor rgb="FFFFFF99"/>
        <bgColor rgb="FFFCE4D6"/>
      </patternFill>
    </fill>
    <fill>
      <patternFill patternType="solid">
        <fgColor rgb="FFD9D9D9"/>
        <bgColor rgb="FFDDEBF7"/>
      </patternFill>
    </fill>
    <fill>
      <patternFill patternType="solid">
        <fgColor rgb="FF1F3864"/>
        <bgColor rgb="FF333333"/>
      </patternFill>
    </fill>
    <fill>
      <patternFill patternType="solid">
        <fgColor rgb="FFE2EFDA"/>
        <bgColor rgb="FFDDEBF7"/>
      </patternFill>
    </fill>
    <fill>
      <patternFill patternType="solid">
        <fgColor rgb="FFDDEBF7"/>
        <bgColor rgb="FFE2EFDA"/>
      </patternFill>
    </fill>
    <fill>
      <patternFill patternType="solid">
        <fgColor rgb="FFF2F2F2"/>
      </patternFill>
    </fill>
  </fills>
  <borders count="6">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s>
  <cellStyleXfs count="2">
    <xf numFmtId="0" fontId="20" fillId="0" borderId="0"/>
    <xf numFmtId="0" fontId="21" fillId="0" borderId="0"/>
  </cellStyleXfs>
  <cellXfs count="118">
    <xf numFmtId="0" fontId="0" fillId="0" borderId="0" pivotButton="0" quotePrefix="0" xfId="0"/>
    <xf numFmtId="0" fontId="4" fillId="5" borderId="1" applyAlignment="1" pivotButton="0" quotePrefix="0" xfId="0">
      <alignment horizontal="center"/>
    </xf>
    <xf numFmtId="0" fontId="4" fillId="6" borderId="1" applyAlignment="1" pivotButton="0" quotePrefix="0" xfId="0">
      <alignment horizontal="center"/>
    </xf>
    <xf numFmtId="0" fontId="6" fillId="0" borderId="0" applyAlignment="1" pivotButton="0" quotePrefix="0" xfId="0">
      <alignment vertical="center" wrapText="1"/>
    </xf>
    <xf numFmtId="0" fontId="4" fillId="0" borderId="0" pivotButton="0" quotePrefix="0" xfId="0"/>
    <xf numFmtId="0" fontId="8" fillId="2" borderId="1" applyAlignment="1" pivotButton="0" quotePrefix="0" xfId="0">
      <alignment horizontal="left" vertical="center"/>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6" fillId="0" borderId="0" pivotButton="0" quotePrefix="0" xfId="0"/>
    <xf numFmtId="0" fontId="4" fillId="0" borderId="0" pivotButton="0" quotePrefix="0" xfId="0"/>
    <xf numFmtId="0" fontId="7" fillId="2" borderId="1" applyAlignment="1" pivotButton="0" quotePrefix="0" xfId="0">
      <alignment horizontal="left" vertical="center"/>
    </xf>
    <xf numFmtId="0" fontId="5" fillId="0" borderId="0" pivotButton="0" quotePrefix="0" xfId="0"/>
    <xf numFmtId="14" fontId="3" fillId="3" borderId="1" applyAlignment="1" pivotButton="0" quotePrefix="0" xfId="0">
      <alignment horizontal="right"/>
    </xf>
    <xf numFmtId="14" fontId="7" fillId="2" borderId="1" applyAlignment="1" pivotButton="0" quotePrefix="0" xfId="0">
      <alignment horizontal="right" vertical="center"/>
    </xf>
    <xf numFmtId="164" fontId="7" fillId="2" borderId="1" applyAlignment="1" pivotButton="0" quotePrefix="0" xfId="0">
      <alignment horizontal="right" vertical="center"/>
    </xf>
    <xf numFmtId="0" fontId="11" fillId="4" borderId="1" applyAlignment="1" pivotButton="0" quotePrefix="0" xfId="0">
      <alignment horizontal="center" vertical="center" wrapText="1"/>
    </xf>
    <xf numFmtId="0" fontId="7" fillId="2" borderId="1" pivotButton="0" quotePrefix="0" xfId="0"/>
    <xf numFmtId="14" fontId="7" fillId="2" borderId="1" applyAlignment="1" pivotButton="0" quotePrefix="0" xfId="0">
      <alignment horizontal="right"/>
    </xf>
    <xf numFmtId="164" fontId="7" fillId="2" borderId="1" pivotButton="0" quotePrefix="0" xfId="0"/>
    <xf numFmtId="164" fontId="3" fillId="3" borderId="1" pivotButton="0" quotePrefix="0" xfId="0"/>
    <xf numFmtId="0" fontId="8" fillId="2" borderId="1" pivotButton="0" quotePrefix="0" xfId="0"/>
    <xf numFmtId="0" fontId="12" fillId="4" borderId="1" applyAlignment="1" pivotButton="0" quotePrefix="0" xfId="0">
      <alignment horizontal="center" vertical="center" wrapText="1"/>
    </xf>
    <xf numFmtId="0" fontId="3" fillId="0" borderId="1" pivotButton="0" quotePrefix="0" xfId="0"/>
    <xf numFmtId="14" fontId="3" fillId="0" borderId="1" pivotButton="0" quotePrefix="0" xfId="0"/>
    <xf numFmtId="165" fontId="3" fillId="0" borderId="1" pivotButton="0" quotePrefix="0" xfId="0"/>
    <xf numFmtId="0" fontId="3" fillId="3" borderId="1" pivotButton="0" quotePrefix="0" xfId="0"/>
    <xf numFmtId="166" fontId="3" fillId="3" borderId="1" pivotButton="0" quotePrefix="0" xfId="0"/>
    <xf numFmtId="0" fontId="3" fillId="0" borderId="1" applyAlignment="1" pivotButton="0" quotePrefix="0" xfId="0">
      <alignment horizontal="center" vertical="center"/>
    </xf>
    <xf numFmtId="14" fontId="3" fillId="0" borderId="1" applyAlignment="1" pivotButton="0" quotePrefix="0" xfId="0">
      <alignment horizontal="right" vertical="center"/>
    </xf>
    <xf numFmtId="164" fontId="3" fillId="0" borderId="1" applyAlignment="1" pivotButton="0" quotePrefix="0" xfId="0">
      <alignment horizontal="right" vertical="center"/>
    </xf>
    <xf numFmtId="0" fontId="3" fillId="0" borderId="1" applyAlignment="1" pivotButton="0" quotePrefix="0" xfId="0">
      <alignment horizontal="right" vertical="center"/>
    </xf>
    <xf numFmtId="0" fontId="4" fillId="0" borderId="1" applyAlignment="1" pivotButton="0" quotePrefix="0" xfId="0">
      <alignment horizontal="center" vertical="center"/>
    </xf>
    <xf numFmtId="164" fontId="10" fillId="5" borderId="1" applyAlignment="1" pivotButton="0" quotePrefix="0" xfId="0">
      <alignment horizontal="right" vertical="center"/>
    </xf>
    <xf numFmtId="164" fontId="10" fillId="6" borderId="1" applyAlignment="1" pivotButton="0" quotePrefix="0" xfId="0">
      <alignment horizontal="right"/>
    </xf>
    <xf numFmtId="164" fontId="10" fillId="5" borderId="1" applyAlignment="1" pivotButton="0" quotePrefix="0" xfId="0">
      <alignment horizontal="right"/>
    </xf>
    <xf numFmtId="164" fontId="0" fillId="0" borderId="0" pivotButton="0" quotePrefix="0" xfId="0"/>
    <xf numFmtId="0" fontId="0" fillId="0" borderId="0" pivotButton="0" quotePrefix="0" xfId="0"/>
    <xf numFmtId="0" fontId="13" fillId="0" borderId="0" pivotButton="0" quotePrefix="0" xfId="0"/>
    <xf numFmtId="0" fontId="4" fillId="3" borderId="0" pivotButton="0" quotePrefix="0" xfId="0"/>
    <xf numFmtId="165" fontId="3" fillId="0" borderId="0" pivotButton="0" quotePrefix="0" xfId="0"/>
    <xf numFmtId="0" fontId="7" fillId="0" borderId="0" pivotButton="0" quotePrefix="0" xfId="0"/>
    <xf numFmtId="0" fontId="0" fillId="0" borderId="4" pivotButton="0" quotePrefix="0" xfId="0"/>
    <xf numFmtId="164" fontId="7" fillId="2" borderId="1" applyAlignment="1" pivotButton="0" quotePrefix="0" xfId="0">
      <alignment horizontal="right" vertical="center"/>
    </xf>
    <xf numFmtId="0" fontId="7" fillId="2" borderId="1" applyAlignment="1" pivotButton="0" quotePrefix="0" xfId="0">
      <alignment horizontal="right" vertical="center"/>
    </xf>
    <xf numFmtId="164" fontId="7" fillId="2" borderId="1" pivotButton="0" quotePrefix="0" xfId="0"/>
    <xf numFmtId="164" fontId="3" fillId="3" borderId="1" pivotButton="0" quotePrefix="0" xfId="0"/>
    <xf numFmtId="165" fontId="3" fillId="0" borderId="1" pivotButton="0" quotePrefix="0" xfId="0"/>
    <xf numFmtId="166" fontId="3" fillId="3" borderId="1" pivotButton="0" quotePrefix="0" xfId="0"/>
    <xf numFmtId="167" fontId="3" fillId="0" borderId="1" applyAlignment="1" pivotButton="0" quotePrefix="0" xfId="0">
      <alignment horizontal="right" vertical="center"/>
    </xf>
    <xf numFmtId="164" fontId="3" fillId="0" borderId="1" applyAlignment="1" pivotButton="0" quotePrefix="0" xfId="0">
      <alignment horizontal="right" vertical="center"/>
    </xf>
    <xf numFmtId="164" fontId="10" fillId="5" borderId="1" applyAlignment="1" pivotButton="0" quotePrefix="0" xfId="0">
      <alignment horizontal="right" vertical="center"/>
    </xf>
    <xf numFmtId="164" fontId="10" fillId="6" borderId="1" applyAlignment="1" pivotButton="0" quotePrefix="0" xfId="0">
      <alignment horizontal="right"/>
    </xf>
    <xf numFmtId="164" fontId="10" fillId="5" borderId="1" applyAlignment="1" pivotButton="0" quotePrefix="0" xfId="0">
      <alignment horizontal="right"/>
    </xf>
    <xf numFmtId="164" fontId="0" fillId="0" borderId="0" pivotButton="0" quotePrefix="0" xfId="0"/>
    <xf numFmtId="0" fontId="0" fillId="0" borderId="5" pivotButton="0" quotePrefix="0" xfId="0"/>
    <xf numFmtId="165" fontId="3"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0" fillId="0" borderId="0" pivotButton="0" quotePrefix="0" xfId="0"/>
    <xf numFmtId="0" fontId="22" fillId="0" borderId="0" pivotButton="0" quotePrefix="0" xfId="0"/>
    <xf numFmtId="0" fontId="25" fillId="0" borderId="0" pivotButton="0" quotePrefix="0" xfId="0"/>
    <xf numFmtId="0" fontId="24" fillId="0" borderId="0" pivotButton="0" quotePrefix="0" xfId="0"/>
    <xf numFmtId="0" fontId="26" fillId="2" borderId="1" applyAlignment="1" pivotButton="0" quotePrefix="0" xfId="0">
      <alignment horizontal="left" vertical="center"/>
    </xf>
    <xf numFmtId="172" fontId="23" fillId="3" borderId="1" applyAlignment="1" pivotButton="0" quotePrefix="0" xfId="0">
      <alignment horizontal="right"/>
    </xf>
    <xf numFmtId="0" fontId="27" fillId="2" borderId="1" applyAlignment="1" pivotButton="0" quotePrefix="0" xfId="0">
      <alignment horizontal="left" vertical="center"/>
    </xf>
    <xf numFmtId="0" fontId="20" fillId="0" borderId="4" pivotButton="0" quotePrefix="0" xfId="0"/>
    <xf numFmtId="0" fontId="28" fillId="0" borderId="0" pivotButton="0" quotePrefix="0" xfId="0"/>
    <xf numFmtId="172" fontId="26" fillId="2" borderId="1" applyAlignment="1" pivotButton="0" quotePrefix="0" xfId="0">
      <alignment horizontal="right" vertical="center"/>
    </xf>
    <xf numFmtId="0" fontId="25" fillId="0" borderId="0" applyAlignment="1" pivotButton="0" quotePrefix="0" xfId="0">
      <alignment vertical="center" wrapText="1"/>
    </xf>
    <xf numFmtId="164" fontId="26" fillId="2" borderId="1" applyAlignment="1" pivotButton="0" quotePrefix="0" xfId="0">
      <alignment horizontal="right" vertical="center"/>
    </xf>
    <xf numFmtId="0" fontId="26" fillId="2" borderId="1" applyAlignment="1" pivotButton="0" quotePrefix="0" xfId="0">
      <alignment horizontal="right" vertical="center"/>
    </xf>
    <xf numFmtId="164" fontId="23" fillId="3" borderId="1" applyAlignment="1" pivotButton="0" quotePrefix="0" xfId="0">
      <alignment horizontal="right"/>
    </xf>
    <xf numFmtId="0" fontId="29" fillId="4" borderId="1" applyAlignment="1" pivotButton="0" quotePrefix="0" xfId="0">
      <alignment horizontal="center" vertical="center" wrapText="1"/>
    </xf>
    <xf numFmtId="0" fontId="26" fillId="2" borderId="1" pivotButton="0" quotePrefix="0" xfId="0"/>
    <xf numFmtId="172" fontId="26" fillId="2" borderId="1" applyAlignment="1" pivotButton="0" quotePrefix="0" xfId="0">
      <alignment horizontal="right"/>
    </xf>
    <xf numFmtId="164" fontId="26" fillId="2" borderId="1" pivotButton="0" quotePrefix="0" xfId="0"/>
    <xf numFmtId="164" fontId="23" fillId="3" borderId="1" pivotButton="0" quotePrefix="0" xfId="0"/>
    <xf numFmtId="0" fontId="27" fillId="2" borderId="1" pivotButton="0" quotePrefix="0" xfId="0"/>
    <xf numFmtId="0" fontId="30" fillId="4" borderId="1" applyAlignment="1" pivotButton="0" quotePrefix="0" xfId="0">
      <alignment horizontal="center" vertical="center" wrapText="1"/>
    </xf>
    <xf numFmtId="0" fontId="23" fillId="0" borderId="1" pivotButton="0" quotePrefix="0" xfId="0"/>
    <xf numFmtId="172" fontId="23" fillId="0" borderId="1" pivotButton="0" quotePrefix="0" xfId="0"/>
    <xf numFmtId="173" fontId="23" fillId="0" borderId="1" pivotButton="0" quotePrefix="0" xfId="0"/>
    <xf numFmtId="0" fontId="23" fillId="3" borderId="1" pivotButton="0" quotePrefix="0" xfId="0"/>
    <xf numFmtId="0" fontId="31" fillId="0" borderId="0" pivotButton="0" quotePrefix="0" xfId="0"/>
    <xf numFmtId="166" fontId="23" fillId="3" borderId="1" pivotButton="0" quotePrefix="0" xfId="0"/>
    <xf numFmtId="0" fontId="23" fillId="3" borderId="1" applyAlignment="1" pivotButton="0" quotePrefix="0" xfId="0">
      <alignment horizontal="center" vertical="center" wrapText="1"/>
    </xf>
    <xf numFmtId="0" fontId="23" fillId="0" borderId="1" applyAlignment="1" pivotButton="0" quotePrefix="0" xfId="0">
      <alignment horizontal="center" vertical="center"/>
    </xf>
    <xf numFmtId="171" fontId="23" fillId="0" borderId="1" applyAlignment="1" pivotButton="0" quotePrefix="0" xfId="0">
      <alignment horizontal="center" vertical="center"/>
    </xf>
    <xf numFmtId="172" fontId="23" fillId="0" borderId="1" applyAlignment="1" pivotButton="0" quotePrefix="0" xfId="0">
      <alignment horizontal="right" vertical="center"/>
    </xf>
    <xf numFmtId="0" fontId="23" fillId="0" borderId="1" applyAlignment="1" pivotButton="0" quotePrefix="0" xfId="0">
      <alignment horizontal="right" vertical="center"/>
    </xf>
    <xf numFmtId="164" fontId="23" fillId="0" borderId="1" applyAlignment="1" pivotButton="0" quotePrefix="0" xfId="0">
      <alignment horizontal="right" vertical="center"/>
    </xf>
    <xf numFmtId="164" fontId="32" fillId="5" borderId="1" applyAlignment="1" pivotButton="0" quotePrefix="0" xfId="0">
      <alignment horizontal="right" vertical="center"/>
    </xf>
    <xf numFmtId="0" fontId="21" fillId="0" borderId="0" pivotButton="0" quotePrefix="0" xfId="1"/>
    <xf numFmtId="0" fontId="24" fillId="6" borderId="1" applyAlignment="1" pivotButton="0" quotePrefix="0" xfId="0">
      <alignment horizontal="center"/>
    </xf>
    <xf numFmtId="171" fontId="20" fillId="0" borderId="5" pivotButton="0" quotePrefix="0" xfId="0"/>
    <xf numFmtId="0" fontId="20" fillId="0" borderId="5" pivotButton="0" quotePrefix="0" xfId="0"/>
    <xf numFmtId="164" fontId="32" fillId="6" borderId="1" applyAlignment="1" pivotButton="0" quotePrefix="0" xfId="0">
      <alignment horizontal="right"/>
    </xf>
    <xf numFmtId="0" fontId="24" fillId="5" borderId="1" applyAlignment="1" pivotButton="0" quotePrefix="0" xfId="0">
      <alignment horizontal="center"/>
    </xf>
    <xf numFmtId="164" fontId="32" fillId="5" borderId="1" applyAlignment="1" pivotButton="0" quotePrefix="0" xfId="0">
      <alignment horizontal="right"/>
    </xf>
    <xf numFmtId="164" fontId="20" fillId="0" borderId="0" pivotButton="0" quotePrefix="0" xfId="0"/>
    <xf numFmtId="0" fontId="33" fillId="0" borderId="0" pivotButton="0" quotePrefix="0" xfId="0"/>
    <xf numFmtId="0" fontId="24" fillId="0" borderId="1" applyAlignment="1" pivotButton="0" quotePrefix="0" xfId="0">
      <alignment horizontal="center" vertical="center"/>
    </xf>
    <xf numFmtId="3" fontId="34" fillId="7" borderId="1" applyAlignment="1" pivotButton="0" quotePrefix="0" xfId="0">
      <alignment horizontal="right" vertical="center"/>
    </xf>
    <xf numFmtId="173" fontId="26" fillId="2" borderId="1" applyAlignment="1" pivotButton="0" quotePrefix="0" xfId="0">
      <alignment horizontal="center"/>
    </xf>
    <xf numFmtId="1" fontId="26" fillId="2" borderId="1" pivotButton="0" quotePrefix="0" xfId="0"/>
    <xf numFmtId="49" fontId="20" fillId="0" borderId="0" applyAlignment="1" pivotButton="0" quotePrefix="0" xfId="0">
      <alignment horizontal="left"/>
    </xf>
    <xf numFmtId="172" fontId="20" fillId="0" borderId="0" applyAlignment="1" pivotButton="0" quotePrefix="0" xfId="0">
      <alignment horizontal="left"/>
    </xf>
    <xf numFmtId="0" fontId="20" fillId="0" borderId="0" applyAlignment="1" pivotButton="0" quotePrefix="0" xfId="0">
      <alignment horizontal="left"/>
    </xf>
    <xf numFmtId="172" fontId="26" fillId="2" borderId="1" applyAlignment="1" pivotButton="0" quotePrefix="0" xfId="0">
      <alignment horizontal="center"/>
    </xf>
    <xf numFmtId="0" fontId="20" fillId="0" borderId="0" applyAlignment="1" pivotButton="0" quotePrefix="0" xfId="0">
      <alignment horizontal="center"/>
    </xf>
    <xf numFmtId="3" fontId="20" fillId="0" borderId="0" applyAlignment="1" pivotButton="0" quotePrefix="0" xfId="0">
      <alignment horizontal="left"/>
    </xf>
    <xf numFmtId="169" fontId="20" fillId="0" borderId="0" applyAlignment="1" pivotButton="0" quotePrefix="0" xfId="0">
      <alignment horizontal="left"/>
    </xf>
    <xf numFmtId="170" fontId="20" fillId="0" borderId="0" applyAlignment="1" pivotButton="0" quotePrefix="0" xfId="0">
      <alignment horizontal="left"/>
    </xf>
  </cellXfs>
  <cellStyles count="2">
    <cellStyle name="標準" xfId="0" builtinId="0"/>
    <cellStyle name="Normal" xfId="1" builtinId="0" hidden="0"/>
  </cellStyles>
  <dxfs count="4">
    <dxf>
      <font>
        <name val="Meiryo UI"/>
        <charset val="1"/>
        <color rgb="FFC00000"/>
      </font>
      <fill>
        <patternFill>
          <bgColor rgb="FFFCE4D6"/>
        </patternFill>
      </fill>
    </dxf>
    <dxf>
      <font>
        <b val="1"/>
      </font>
      <fill>
        <patternFill patternType="solid">
          <bgColor rgb="00E2EFDA"/>
        </patternFill>
      </fill>
    </dxf>
    <dxf>
      <font>
        <b val="1"/>
        <color rgb="FFC00000"/>
      </font>
    </dxf>
    <dxf>
      <font>
        <color rgb="FFC00000"/>
      </font>
      <fill>
        <patternFill patternType="solid">
          <bgColor rgb="00FCE4D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showGridLines="0" tabSelected="0" zoomScaleNormal="100" workbookViewId="0">
      <selection activeCell="A33" sqref="A33"/>
    </sheetView>
  </sheetViews>
  <sheetFormatPr baseColWidth="8" defaultColWidth="8.6640625" defaultRowHeight="14.4"/>
  <cols>
    <col width="120" customWidth="1" style="39" min="1" max="1"/>
  </cols>
  <sheetData>
    <row r="1" ht="18.6" customHeight="1" s="39">
      <c r="A1" s="59" t="inlineStr">
        <is>
          <t>傷病手当金 算定表（試算＋調整額＋差額を1ファイルで計算）</t>
        </is>
      </c>
    </row>
    <row r="2">
      <c r="A2" s="60" t="n"/>
    </row>
    <row r="3">
      <c r="A3" s="61" t="inlineStr">
        <is>
          <t>【何が変わったか】</t>
        </is>
      </c>
    </row>
    <row r="4">
      <c r="A4" s="62" t="inlineStr">
        <is>
          <t>従来：①簡易試算シートで標準支給額を算出 → ②別ファイルの給与調整シートで調整額を算出 → ③差し引いて支給額を確認</t>
        </is>
      </c>
    </row>
    <row r="5">
      <c r="A5" s="62" t="inlineStr">
        <is>
          <t>今回：「入力」シートに入れるだけで、標準支給額・調整額・差引支給額（差額）が「算定表」シートに一度に表示されます。</t>
        </is>
      </c>
    </row>
    <row r="6">
      <c r="A6" s="60" t="n"/>
    </row>
    <row r="7">
      <c r="A7" s="61" t="inlineStr">
        <is>
          <t>【使い方】</t>
        </is>
      </c>
    </row>
    <row r="8">
      <c r="A8" s="60" t="inlineStr">
        <is>
          <t>1．「入力」シート：職員番号・氏名・病気休暇開始日を入力（黄色のセルのみ）。退職者は退職日と退職時附加金の受給有無も入力。</t>
        </is>
      </c>
    </row>
    <row r="9">
      <c r="A9" s="60" t="inlineStr">
        <is>
          <t>2．「入力」シート：給与証明に基づき、報酬が変わる日（10割→8割→無給、給与改定日など）ごとに1行ずつ入力。</t>
        </is>
      </c>
    </row>
    <row r="10" ht="27.6" customHeight="1" s="39">
      <c r="A10" s="60" t="inlineStr">
        <is>
          <t>3．「入力」シート：標準報酬月額（待機後の初日の月の12か月前から）を入力。傷病手当日額は、算定表で初めて〇になった月の額で全期間固定されます。基幹で日額を確認済みなら「傷病手当日額の確認値」に入力。</t>
        </is>
      </c>
    </row>
    <row r="11">
      <c r="A11" s="62" t="inlineStr">
        <is>
          <t>4．「算定表」シートで、月別（月の途中で区分が変わる場合は分割）・法定／附加別の標準支給額・調整額・差引支給額を確認。</t>
        </is>
      </c>
    </row>
    <row r="12">
      <c r="A12" s="62" t="inlineStr">
        <is>
          <t>5．出勤した期間があれば、「入力」シートの出勤期間（82行目〜、10件まで）に開始日・終了日を入力。法定末日・附加開始日・附加末日・最終日が自動で延びます。</t>
        </is>
      </c>
    </row>
    <row r="13">
      <c r="A13" s="62" t="inlineStr">
        <is>
          <t>6．「月別集計」シートで月ごと・法定／附加ごとの差引支給額を確認し、桐／基幹の入力額と照合（調整額はマイナスで入力）。</t>
        </is>
      </c>
    </row>
    <row r="14">
      <c r="A14" s="62" t="inlineStr">
        <is>
          <t>7．請求期間ごとの内訳が必要なとき：「請求シート雛形」の黄色に請求期間（始・終）を入れる。マクロを取り込んだ .xlsm なら、自動で請求シートが追加される。</t>
        </is>
      </c>
    </row>
    <row r="15">
      <c r="A15" s="62" t="n"/>
    </row>
    <row r="16">
      <c r="A16" s="61" t="inlineStr">
        <is>
          <t>【シート構成】</t>
        </is>
      </c>
    </row>
    <row r="17">
      <c r="A17" s="62" t="inlineStr">
        <is>
          <t>使い方 ／ 入力（黄色セルのみ入力） ／ 月別集計（基幹入力用） ／ 算定表（結果。印刷用） ／ カレンダーマスタ（月を入れると日数が入る） ／ 請求シート雛形（複写して、請求期間を入れる）</t>
        </is>
      </c>
    </row>
    <row r="18">
      <c r="A18" s="62" t="n"/>
    </row>
    <row r="19">
      <c r="A19" s="61" t="inlineStr">
        <is>
          <t>【前提・出典】</t>
        </is>
      </c>
    </row>
    <row r="20" ht="26.4" customHeight="1" s="39">
      <c r="A20" s="62" t="inlineStr">
        <is>
          <t>・計算式は、添付の「傷病手当金簡易試算」（日額の試算）と「給与調整」（報酬日額・調整額）の式を統合しています。支給開始日は算定表で初めて〇になった日で、傷病手当日額もその月の額で固定します。</t>
        </is>
      </c>
    </row>
    <row r="21">
      <c r="A21" s="62" t="inlineStr">
        <is>
          <t>・給付期間：待機3日の後から〇×を判定し、初めて〇になった日が支給開始日です。法定給付は待機後の初日から1年6か月、附加給付は続く6か月で、月は応当日の前日までです（傷病手当金・附加金マニュアルによる）。出勤期間があれば、その分だけ延びます。</t>
        </is>
      </c>
    </row>
    <row r="22">
      <c r="A22" s="62" t="inlineStr">
        <is>
          <t>・入力シートの例（広島太郎）は、添付ファイルの日付・標準報酬月額を使用。給与額は旧シートの給与証明の日額から逆算したサンプルです。</t>
        </is>
      </c>
    </row>
    <row r="23">
      <c r="A23" s="62" t="inlineStr">
        <is>
          <t>・報酬日額が傷病手当日額以上の月は「支給なし」とします。報酬が多い月による支給期間の延長は本ファイルでは計算していません（出勤期間による延長のみ）。</t>
        </is>
      </c>
    </row>
    <row r="24">
      <c r="A24" s="62" t="inlineStr">
        <is>
          <t>・出勤による延び方は「月数」（応当日の前日まで）と「土日を除く日数」です。数え方を変えるときは「入力」シートの出勤期間の D列・E列の式を直してください。</t>
        </is>
      </c>
    </row>
    <row r="25">
      <c r="A25" s="62" t="inlineStr">
        <is>
          <t>・標準報酬の表は、支給開始月より後の月も「参考」として残しています（算定表のP列にも参考日額が出ます）。傷病手当日額は支給開始月の額で固定です。</t>
        </is>
      </c>
    </row>
    <row r="26">
      <c r="A26" s="63" t="n"/>
    </row>
    <row r="27">
      <c r="A27" s="63" t="n"/>
    </row>
    <row r="28">
      <c r="A28" s="63" t="n"/>
    </row>
    <row r="29">
      <c r="A29" s="63" t="n"/>
    </row>
    <row r="30">
      <c r="A30" s="63" t="n"/>
    </row>
    <row r="31">
      <c r="A31" s="63" t="n"/>
    </row>
    <row r="32">
      <c r="A32" s="63" t="n"/>
    </row>
    <row r="33">
      <c r="A33" s="63" t="n"/>
    </row>
    <row r="34">
      <c r="A34" s="63" t="n"/>
    </row>
    <row r="35">
      <c r="A35" s="63" t="n"/>
    </row>
    <row r="36">
      <c r="A36" s="63" t="n"/>
    </row>
    <row r="37">
      <c r="A37" s="63" t="n"/>
    </row>
    <row r="38">
      <c r="A38" s="63" t="n"/>
    </row>
    <row r="39">
      <c r="A39" s="63"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fitToPage="1"/>
  </sheetPr>
  <dimension ref="A1:M97"/>
  <sheetViews>
    <sheetView showGridLines="0" tabSelected="1" zoomScaleNormal="100" workbookViewId="0">
      <selection activeCell="N23" sqref="N23"/>
    </sheetView>
  </sheetViews>
  <sheetFormatPr baseColWidth="8" defaultColWidth="8.6640625" defaultRowHeight="14.4"/>
  <cols>
    <col width="14" customWidth="1" style="39" min="1" max="2"/>
    <col width="12" customWidth="1" style="39" min="2" max="2"/>
    <col width="13" customWidth="1" style="39" min="3" max="11"/>
    <col width="12" customWidth="1" style="39" min="4" max="4"/>
    <col width="12" customWidth="1" style="39" min="5" max="5"/>
    <col width="12" customWidth="1" style="39" min="6" max="6"/>
    <col width="12" customWidth="1" style="39" min="7" max="7"/>
    <col width="12" customWidth="1" style="39" min="8" max="8"/>
    <col width="12" customWidth="1" style="39" min="9" max="9"/>
    <col width="12" customWidth="1" style="39" min="10" max="10"/>
    <col width="12" customWidth="1" style="39" min="11" max="11"/>
    <col width="12" customWidth="1" style="39" min="12" max="12"/>
    <col width="12" customWidth="1" style="39" min="13" max="13"/>
  </cols>
  <sheetData>
    <row r="1" ht="17.4" customHeight="1" s="39">
      <c r="A1" s="64" t="inlineStr">
        <is>
          <t>傷病手当金 算定表（入力シート）</t>
        </is>
      </c>
      <c r="B1" s="63" t="n"/>
      <c r="C1" s="63" t="n"/>
      <c r="D1" s="63" t="n"/>
      <c r="E1" s="63" t="n"/>
      <c r="F1" s="63" t="n"/>
      <c r="G1" s="63" t="n"/>
      <c r="H1" s="63" t="n"/>
      <c r="I1" s="63" t="n"/>
      <c r="J1" s="63" t="n"/>
      <c r="K1" s="63" t="n"/>
      <c r="L1" s="63" t="n"/>
      <c r="M1" s="63" t="n"/>
    </row>
    <row r="2">
      <c r="A2" s="65" t="inlineStr">
        <is>
          <t>黄色のセル（青字）だけ入力してください。試算・調整額・差額は「算定表」シートに自動表示されます。（出勤期間は82行目以降）</t>
        </is>
      </c>
      <c r="B2" s="63" t="n"/>
      <c r="C2" s="63" t="n"/>
      <c r="D2" s="63" t="n"/>
      <c r="E2" s="63" t="n"/>
      <c r="F2" s="63" t="n"/>
      <c r="G2" s="63" t="n"/>
      <c r="H2" s="63" t="n"/>
      <c r="I2" s="63" t="n"/>
      <c r="J2" s="63" t="n"/>
      <c r="K2" s="63" t="n"/>
      <c r="L2" s="63" t="n"/>
      <c r="M2" s="63" t="n"/>
    </row>
    <row r="3">
      <c r="A3" s="65" t="inlineStr">
        <is>
          <t>※月の数え方は応当日の前日まで（例：待機後の初日7/25から1年6か月 → 翌々年1/24）。1年6か月は待機後の初日から数え、傷病手当日額は算定表で初めて〇になった月の額で固定します。</t>
        </is>
      </c>
      <c r="B3" s="63" t="n"/>
      <c r="C3" s="63" t="n"/>
      <c r="D3" s="63" t="n"/>
      <c r="E3" s="63" t="n"/>
      <c r="F3" s="63" t="n"/>
      <c r="G3" s="63" t="n"/>
      <c r="H3" s="63" t="n"/>
      <c r="I3" s="63" t="n"/>
      <c r="J3" s="63" t="n"/>
      <c r="K3" s="63" t="n"/>
      <c r="L3" s="63" t="n"/>
      <c r="M3" s="63" t="n"/>
    </row>
    <row r="4">
      <c r="A4" s="66" t="inlineStr">
        <is>
          <t>職員番号</t>
        </is>
      </c>
      <c r="B4" s="63" t="n"/>
      <c r="C4" s="67" t="inlineStr">
        <is>
          <t>0000000</t>
        </is>
      </c>
      <c r="D4" s="63" t="n"/>
      <c r="E4" s="63" t="n"/>
      <c r="F4" s="63" t="n"/>
      <c r="G4" s="65" t="inlineStr">
        <is>
          <t>待機後の初日（判定の開始）</t>
        </is>
      </c>
      <c r="H4" s="63" t="n"/>
      <c r="I4" s="63" t="n"/>
      <c r="J4" s="68">
        <f>C6+3</f>
        <v/>
      </c>
      <c r="K4" s="63" t="n"/>
      <c r="L4" s="63" t="n"/>
      <c r="M4" s="63" t="n"/>
    </row>
    <row r="5">
      <c r="A5" s="66" t="inlineStr">
        <is>
          <t>氏名</t>
        </is>
      </c>
      <c r="B5" s="63" t="n"/>
      <c r="C5" s="69" t="inlineStr">
        <is>
          <t>広島　太郎</t>
        </is>
      </c>
      <c r="D5" s="70" t="n"/>
      <c r="E5" s="63" t="n"/>
      <c r="F5" s="63" t="n"/>
      <c r="G5" s="65" t="inlineStr">
        <is>
          <t>初めて〇になった日（日額の基準）</t>
        </is>
      </c>
      <c r="H5" s="63" t="n"/>
      <c r="I5" s="63" t="n"/>
      <c r="J5" s="68">
        <f>IF(算定表!$AD$6="",J4,INDEX(算定表!$U$6:$U$53,算定表!$AD$6))</f>
        <v/>
      </c>
      <c r="K5" s="71">
        <f>IF(算定表!$AD$6="","※〇になる行がありません。待機後の初日を支給開始日にしています","")</f>
        <v/>
      </c>
      <c r="L5" s="63" t="n"/>
      <c r="M5" s="63" t="n"/>
    </row>
    <row r="6" ht="22" customHeight="1" s="39">
      <c r="A6" s="66" t="inlineStr">
        <is>
          <t>病気休暇の開始日</t>
        </is>
      </c>
      <c r="B6" s="63" t="n"/>
      <c r="C6" s="72" t="n">
        <v>45495</v>
      </c>
      <c r="D6" s="73" t="inlineStr">
        <is>
          <t>※待機期間（3日）は年休でも可</t>
        </is>
      </c>
      <c r="E6" s="63" t="n"/>
      <c r="F6" s="63" t="n"/>
      <c r="G6" s="65" t="inlineStr">
        <is>
          <t>法定給付の末日（1年6月＋出勤）</t>
        </is>
      </c>
      <c r="H6" s="63" t="n"/>
      <c r="I6" s="63" t="n"/>
      <c r="J6" s="68">
        <f>MAX($K$85:$K$95)</f>
        <v/>
      </c>
      <c r="K6" s="63" t="n"/>
      <c r="L6" s="63" t="n"/>
      <c r="M6" s="63" t="n"/>
    </row>
    <row r="7" ht="34" customHeight="1" s="39">
      <c r="A7" s="66" t="inlineStr">
        <is>
          <t>退職日（任意）</t>
        </is>
      </c>
      <c r="B7" s="63" t="n"/>
      <c r="C7" s="72" t="n"/>
      <c r="D7" s="73" t="inlineStr">
        <is>
          <t>※退職者のみ入力（在職中は空欄）。法定給付は退職後も算定</t>
        </is>
      </c>
      <c r="E7" s="63" t="n"/>
      <c r="F7" s="63" t="n"/>
      <c r="G7" s="65" t="inlineStr">
        <is>
          <t>附加給付の開始日</t>
        </is>
      </c>
      <c r="H7" s="63" t="n"/>
      <c r="I7" s="63" t="n"/>
      <c r="J7" s="68">
        <f>J6+1</f>
        <v/>
      </c>
      <c r="K7" s="71">
        <f>IF(J9&lt;J7,"※退職のため附加給付は算定しません","")</f>
        <v/>
      </c>
      <c r="L7" s="63" t="n"/>
      <c r="M7" s="63" t="n"/>
    </row>
    <row r="8" ht="50" customHeight="1" s="39">
      <c r="A8" s="66" t="inlineStr">
        <is>
          <t>傷病手当日額の確認値（任意）</t>
        </is>
      </c>
      <c r="B8" s="63" t="n"/>
      <c r="C8" s="74" t="n"/>
      <c r="D8" s="73" t="inlineStr">
        <is>
          <t>※基幹で確認した日額。入力すると全期間この額で算定。空欄なら標準報酬から試算</t>
        </is>
      </c>
      <c r="E8" s="63" t="n"/>
      <c r="F8" s="63" t="n"/>
      <c r="G8" s="65" t="inlineStr">
        <is>
          <t>附加給付の末日（+6月＋出勤）</t>
        </is>
      </c>
      <c r="H8" s="63" t="n"/>
      <c r="I8" s="63" t="n"/>
      <c r="J8" s="68">
        <f>WORKDAY(EDATE(J7,6+MAX($I$85:$I$95))-1,MAX($J$85:$J$95))</f>
        <v/>
      </c>
      <c r="K8" s="63" t="n"/>
      <c r="L8" s="63" t="n"/>
      <c r="M8" s="63" t="n"/>
    </row>
    <row r="9" ht="34" customHeight="1" s="39">
      <c r="A9" s="66" t="inlineStr">
        <is>
          <t>退職時附加金の受給（退職者のみ）</t>
        </is>
      </c>
      <c r="B9" s="63" t="n"/>
      <c r="C9" s="75" t="n"/>
      <c r="D9" s="73" t="inlineStr">
        <is>
          <t>※退職日を入力した人のみ。有なら附加は退職日まで、無・空欄なら法定のみ</t>
        </is>
      </c>
      <c r="E9" s="63" t="n"/>
      <c r="F9" s="63" t="n"/>
      <c r="G9" s="65" t="inlineStr">
        <is>
          <t>算定の最終日</t>
        </is>
      </c>
      <c r="H9" s="63" t="n"/>
      <c r="I9" s="63" t="n"/>
      <c r="J9" s="68">
        <f>IF(C7="",J8,IF(C9="有",MAX(J6,MIN(J8,C7)),J6))</f>
        <v/>
      </c>
      <c r="K9" s="63" t="n"/>
      <c r="L9" s="63" t="n"/>
      <c r="M9" s="63" t="n"/>
    </row>
    <row r="10">
      <c r="A10" s="63" t="n"/>
      <c r="B10" s="63" t="n"/>
      <c r="C10" s="63" t="n"/>
      <c r="D10" s="63" t="n"/>
      <c r="E10" s="63" t="n"/>
      <c r="F10" s="63" t="n"/>
      <c r="G10" s="65" t="inlineStr">
        <is>
          <t>傷病手当日額（〇になった月で固定）</t>
        </is>
      </c>
      <c r="H10" s="63" t="n"/>
      <c r="I10" s="63" t="n"/>
      <c r="J10" s="76">
        <f>IF(C8&lt;&gt;"",C8,IFERROR(INDEX($G$37:$G$78,MATCH(DATE(YEAR($J$5),MONTH($J$5),1),$A$37:$A$78,0)),0))</f>
        <v/>
      </c>
      <c r="K10" s="63" t="n"/>
      <c r="L10" s="63" t="n"/>
      <c r="M10" s="63" t="n"/>
    </row>
    <row r="11">
      <c r="A11" s="66" t="inlineStr">
        <is>
          <t>■ 給与状況（給与課の給与証明で確認）　※報酬が変わる日ごとに1行。開始日の古い順に上から入力</t>
        </is>
      </c>
      <c r="B11" s="63" t="n"/>
      <c r="C11" s="63" t="n"/>
      <c r="D11" s="63" t="n"/>
      <c r="E11" s="63" t="n"/>
      <c r="F11" s="63" t="n"/>
      <c r="G11" s="63" t="n"/>
      <c r="H11" s="63" t="n"/>
      <c r="I11" s="63" t="n"/>
      <c r="J11" s="63" t="n"/>
      <c r="K11" s="63" t="n"/>
      <c r="L11" s="63" t="n"/>
      <c r="M11" s="63" t="n"/>
    </row>
    <row r="12" ht="30" customHeight="1" s="39">
      <c r="A12" s="77" t="inlineStr">
        <is>
          <t>区分</t>
        </is>
      </c>
      <c r="B12" s="77" t="inlineStr">
        <is>
          <t>開始日</t>
        </is>
      </c>
      <c r="C12" s="77" t="inlineStr">
        <is>
          <t>終了日
（自動）</t>
        </is>
      </c>
      <c r="D12" s="77" t="inlineStr">
        <is>
          <t>給料月額</t>
        </is>
      </c>
      <c r="E12" s="77" t="inlineStr">
        <is>
          <t>地域手当</t>
        </is>
      </c>
      <c r="F12" s="77" t="inlineStr">
        <is>
          <t>扶養手当</t>
        </is>
      </c>
      <c r="G12" s="77" t="inlineStr">
        <is>
          <t>住居手当</t>
        </is>
      </c>
      <c r="H12" s="77" t="inlineStr">
        <is>
          <t>日額で支給
されるもの</t>
        </is>
      </c>
      <c r="I12" s="77" t="inlineStr">
        <is>
          <t>月額で支給
されるもの</t>
        </is>
      </c>
      <c r="J12" s="63" t="n"/>
      <c r="K12" s="63" t="n"/>
      <c r="L12" s="63" t="n"/>
      <c r="M12" s="63" t="n"/>
    </row>
    <row r="13">
      <c r="A13" s="78" t="inlineStr">
        <is>
          <t>10割</t>
        </is>
      </c>
      <c r="B13" s="79" t="n">
        <v>45495</v>
      </c>
      <c r="C13" s="68">
        <f>IF(B13="","",IF(AND(B14&lt;&gt;"",B14&gt;B13),B14-1,$J$9))</f>
        <v/>
      </c>
      <c r="D13" s="80" t="n">
        <v>225300</v>
      </c>
      <c r="E13" s="80" t="n">
        <v>22530</v>
      </c>
      <c r="F13" s="80" t="n">
        <v>0</v>
      </c>
      <c r="G13" s="80" t="n">
        <v>0</v>
      </c>
      <c r="H13" s="81">
        <f>IF(B13="","",D13+E13)</f>
        <v/>
      </c>
      <c r="I13" s="81">
        <f>IF(B13="","",F13+G13)</f>
        <v/>
      </c>
      <c r="J13" s="63" t="n"/>
      <c r="K13" s="63" t="n"/>
      <c r="L13" s="63" t="n"/>
      <c r="M13" s="63" t="n"/>
    </row>
    <row r="14">
      <c r="A14" s="78" t="inlineStr">
        <is>
          <t>10割</t>
        </is>
      </c>
      <c r="B14" s="79" t="n">
        <v>45658</v>
      </c>
      <c r="C14" s="68">
        <f>IF(B14="","",IF(AND(B15&lt;&gt;"",B15&gt;B14),B15-1,$J$9))</f>
        <v/>
      </c>
      <c r="D14" s="80" t="n">
        <v>235200</v>
      </c>
      <c r="E14" s="80" t="n">
        <v>23520</v>
      </c>
      <c r="F14" s="80" t="n">
        <v>0</v>
      </c>
      <c r="G14" s="80" t="n">
        <v>0</v>
      </c>
      <c r="H14" s="81">
        <f>IF(B14="","",D14+E14)</f>
        <v/>
      </c>
      <c r="I14" s="81">
        <f>IF(B14="","",F14+G14)</f>
        <v/>
      </c>
      <c r="J14" s="63" t="n"/>
      <c r="K14" s="63" t="n"/>
      <c r="L14" s="63" t="n"/>
      <c r="M14" s="63" t="n"/>
    </row>
    <row r="15">
      <c r="A15" s="78" t="inlineStr">
        <is>
          <t>8割</t>
        </is>
      </c>
      <c r="B15" s="79" t="n">
        <v>45675</v>
      </c>
      <c r="C15" s="68">
        <f>IF(B15="","",IF(AND(B16&lt;&gt;"",B16&gt;B15),B16-1,$J$9))</f>
        <v/>
      </c>
      <c r="D15" s="80" t="n">
        <v>188160</v>
      </c>
      <c r="E15" s="80" t="n">
        <v>18816</v>
      </c>
      <c r="F15" s="80" t="n">
        <v>0</v>
      </c>
      <c r="G15" s="80" t="n">
        <v>0</v>
      </c>
      <c r="H15" s="81">
        <f>IF(B15="","",D15+E15)</f>
        <v/>
      </c>
      <c r="I15" s="81">
        <f>IF(B15="","",F15+G15)</f>
        <v/>
      </c>
      <c r="J15" s="63" t="n"/>
      <c r="K15" s="63" t="n"/>
      <c r="L15" s="63" t="n"/>
      <c r="M15" s="63" t="n"/>
    </row>
    <row r="16">
      <c r="A16" s="78" t="inlineStr">
        <is>
          <t>8割</t>
        </is>
      </c>
      <c r="B16" s="79" t="n">
        <v>45748</v>
      </c>
      <c r="C16" s="68">
        <f>IF(B16="","",IF(AND(B17&lt;&gt;"",B17&gt;B16),B17-1,$J$9))</f>
        <v/>
      </c>
      <c r="D16" s="80" t="n">
        <v>193980</v>
      </c>
      <c r="E16" s="80" t="n">
        <v>19398</v>
      </c>
      <c r="F16" s="80" t="n">
        <v>0</v>
      </c>
      <c r="G16" s="80" t="n">
        <v>0</v>
      </c>
      <c r="H16" s="81">
        <f>IF(B16="","",D16+E16)</f>
        <v/>
      </c>
      <c r="I16" s="81">
        <f>IF(B16="","",F16+G16)</f>
        <v/>
      </c>
      <c r="J16" s="63" t="n"/>
      <c r="K16" s="63" t="n"/>
      <c r="L16" s="63" t="n"/>
      <c r="M16" s="63" t="n"/>
    </row>
    <row r="17">
      <c r="A17" s="78" t="inlineStr">
        <is>
          <t>8割</t>
        </is>
      </c>
      <c r="B17" s="79" t="n">
        <v>46023</v>
      </c>
      <c r="C17" s="68">
        <f>IF(B17="","",IF(AND(B18&lt;&gt;"",B18&gt;B17),B18-1,$J$9))</f>
        <v/>
      </c>
      <c r="D17" s="80" t="n">
        <v>200243</v>
      </c>
      <c r="E17" s="80" t="n">
        <v>20024</v>
      </c>
      <c r="F17" s="80" t="n">
        <v>0</v>
      </c>
      <c r="G17" s="80" t="n">
        <v>0</v>
      </c>
      <c r="H17" s="81">
        <f>IF(B17="","",D17+E17)</f>
        <v/>
      </c>
      <c r="I17" s="81">
        <f>IF(B17="","",F17+G17)</f>
        <v/>
      </c>
      <c r="J17" s="63" t="n"/>
      <c r="K17" s="63" t="n"/>
      <c r="L17" s="63" t="n"/>
      <c r="M17" s="63" t="n"/>
    </row>
    <row r="18">
      <c r="A18" s="82" t="inlineStr">
        <is>
          <t>無給</t>
        </is>
      </c>
      <c r="B18" s="79" t="n">
        <v>46040</v>
      </c>
      <c r="C18" s="68">
        <f>IF(B18="","",IF(AND(B19&lt;&gt;"",B19&gt;B18),B19-1,$J$9))</f>
        <v/>
      </c>
      <c r="D18" s="80" t="n">
        <v>0</v>
      </c>
      <c r="E18" s="80" t="n">
        <v>0</v>
      </c>
      <c r="F18" s="80" t="n">
        <v>0</v>
      </c>
      <c r="G18" s="80" t="n">
        <v>0</v>
      </c>
      <c r="H18" s="81">
        <f>IF(B18="","",D18+E18)</f>
        <v/>
      </c>
      <c r="I18" s="81">
        <f>IF(B18="","",F18+G18)</f>
        <v/>
      </c>
      <c r="J18" s="63" t="n"/>
      <c r="K18" s="63" t="n"/>
      <c r="L18" s="63" t="n"/>
      <c r="M18" s="63" t="n"/>
    </row>
    <row r="19">
      <c r="A19" s="78" t="n"/>
      <c r="B19" s="79" t="n"/>
      <c r="C19" s="68">
        <f>IF(B19="","",IF(AND(B20&lt;&gt;"",B20&gt;B19),B20-1,$J$9))</f>
        <v/>
      </c>
      <c r="D19" s="80" t="n"/>
      <c r="E19" s="80" t="n"/>
      <c r="F19" s="80" t="n"/>
      <c r="G19" s="80" t="n"/>
      <c r="H19" s="81">
        <f>IF(B19="","",D19+E19)</f>
        <v/>
      </c>
      <c r="I19" s="81">
        <f>IF(B19="","",F19+G19)</f>
        <v/>
      </c>
      <c r="J19" s="63" t="n"/>
      <c r="K19" s="63" t="n"/>
      <c r="L19" s="63" t="n"/>
      <c r="M19" s="63" t="n"/>
    </row>
    <row r="20">
      <c r="A20" s="78" t="n"/>
      <c r="B20" s="79" t="n"/>
      <c r="C20" s="68">
        <f>IF(B20="","",$J$9)</f>
        <v/>
      </c>
      <c r="D20" s="80" t="n"/>
      <c r="E20" s="80" t="n"/>
      <c r="F20" s="80" t="n"/>
      <c r="G20" s="80" t="n"/>
      <c r="H20" s="81">
        <f>IF(B20="","",D20+E20)</f>
        <v/>
      </c>
      <c r="I20" s="81">
        <f>IF(B20="","",F20+G20)</f>
        <v/>
      </c>
      <c r="J20" s="63" t="n"/>
      <c r="K20" s="63" t="n"/>
      <c r="L20" s="63" t="n"/>
      <c r="M20" s="63" t="n"/>
    </row>
    <row r="21">
      <c r="A21" s="65" t="inlineStr">
        <is>
          <t>※日額で支給されるもの＝給料月額＋地域手当、月額で支給されるもの＝扶養手当＋住居手当（旧「計算内訳シート」「給与調整」と同じ区分）。無給期間は全て0。</t>
        </is>
      </c>
      <c r="B21" s="63" t="n"/>
      <c r="C21" s="63" t="n"/>
      <c r="D21" s="63" t="n"/>
      <c r="E21" s="63" t="n"/>
      <c r="F21" s="63" t="n"/>
      <c r="G21" s="63" t="n"/>
      <c r="H21" s="63" t="n"/>
      <c r="I21" s="63" t="n"/>
      <c r="J21" s="63" t="n"/>
      <c r="K21" s="63" t="n"/>
      <c r="L21" s="63" t="n"/>
      <c r="M21" s="63" t="n"/>
    </row>
    <row r="22">
      <c r="A22" s="65" t="inlineStr">
        <is>
          <t>※例のデータは、旧「給与調整」シートの給与証明の日額（247,830円など）から逆算したサンプルです。実際の証明額で書き換えてください。</t>
        </is>
      </c>
      <c r="B22" s="63" t="n"/>
      <c r="C22" s="63" t="n"/>
      <c r="D22" s="63" t="n"/>
      <c r="E22" s="63" t="n"/>
      <c r="F22" s="63" t="n"/>
      <c r="G22" s="63" t="n"/>
      <c r="H22" s="63" t="n"/>
      <c r="I22" s="63" t="n"/>
      <c r="J22" s="63" t="n"/>
      <c r="K22" s="63" t="n"/>
      <c r="L22" s="63" t="n"/>
      <c r="M22" s="63" t="n"/>
    </row>
    <row r="23">
      <c r="A23" s="63" t="n"/>
      <c r="B23" s="63" t="n"/>
      <c r="C23" s="63" t="n"/>
      <c r="D23" s="63" t="n"/>
      <c r="E23" s="63" t="n"/>
      <c r="F23" s="63" t="n"/>
      <c r="G23" s="63" t="n"/>
      <c r="H23" s="63" t="n"/>
      <c r="I23" s="63" t="n"/>
      <c r="J23" s="63" t="n"/>
      <c r="K23" s="63" t="n"/>
      <c r="L23" s="63" t="n"/>
      <c r="M23" s="63" t="n"/>
    </row>
    <row r="24">
      <c r="A24" s="66" t="inlineStr">
        <is>
          <t>■ 報酬日額（自動計算）＝ 日額で支給されるもの ÷ 勤務を要する日数 ＋ 月額で支給されるもの ÷ 22　（円未満切捨）</t>
        </is>
      </c>
      <c r="B24" s="63" t="n"/>
      <c r="C24" s="63" t="n"/>
      <c r="D24" s="63" t="n"/>
      <c r="E24" s="63" t="n"/>
      <c r="F24" s="63" t="n"/>
      <c r="G24" s="63" t="n"/>
      <c r="H24" s="63" t="n"/>
      <c r="I24" s="63" t="n"/>
      <c r="J24" s="63" t="n"/>
      <c r="K24" s="63" t="n"/>
      <c r="L24" s="63" t="n"/>
      <c r="M24" s="63" t="n"/>
    </row>
    <row r="25">
      <c r="A25" s="77" t="inlineStr">
        <is>
          <t>区分</t>
        </is>
      </c>
      <c r="B25" s="77" t="inlineStr">
        <is>
          <t>開始日</t>
        </is>
      </c>
      <c r="C25" s="83" t="inlineStr">
        <is>
          <t>20日の月</t>
        </is>
      </c>
      <c r="D25" s="83" t="inlineStr">
        <is>
          <t>21日の月</t>
        </is>
      </c>
      <c r="E25" s="83" t="inlineStr">
        <is>
          <t>22日の月</t>
        </is>
      </c>
      <c r="F25" s="83" t="inlineStr">
        <is>
          <t>23日の月</t>
        </is>
      </c>
      <c r="G25" s="63" t="n"/>
      <c r="H25" s="63" t="n"/>
      <c r="I25" s="63" t="n"/>
      <c r="J25" s="63" t="n"/>
      <c r="K25" s="63" t="n"/>
      <c r="L25" s="63" t="n"/>
      <c r="M25" s="63" t="n"/>
    </row>
    <row r="26">
      <c r="A26" s="84">
        <f>IF(B13="","",A13)</f>
        <v/>
      </c>
      <c r="B26" s="85">
        <f>IF(B13="","",B13)</f>
        <v/>
      </c>
      <c r="C26" s="81">
        <f>IF($B13="","",ROUNDDOWN($H13/20+$I13/22,0))</f>
        <v/>
      </c>
      <c r="D26" s="81">
        <f>IF($B13="","",ROUNDDOWN($H13/21+$I13/22,0))</f>
        <v/>
      </c>
      <c r="E26" s="81">
        <f>IF($B13="","",ROUNDDOWN($H13/22+$I13/22,0))</f>
        <v/>
      </c>
      <c r="F26" s="81">
        <f>IF($B13="","",ROUNDDOWN($H13/23+$I13/22,0))</f>
        <v/>
      </c>
      <c r="G26" s="63" t="n"/>
      <c r="H26" s="63" t="n"/>
      <c r="I26" s="63" t="n"/>
      <c r="J26" s="63" t="n"/>
      <c r="K26" s="63" t="n"/>
      <c r="L26" s="63" t="n"/>
      <c r="M26" s="63" t="n"/>
    </row>
    <row r="27">
      <c r="A27" s="84">
        <f>IF(B14="","",A14)</f>
        <v/>
      </c>
      <c r="B27" s="85">
        <f>IF(B14="","",B14)</f>
        <v/>
      </c>
      <c r="C27" s="81">
        <f>IF($B14="","",ROUNDDOWN($H14/20+$I14/22,0))</f>
        <v/>
      </c>
      <c r="D27" s="81">
        <f>IF($B14="","",ROUNDDOWN($H14/21+$I14/22,0))</f>
        <v/>
      </c>
      <c r="E27" s="81">
        <f>IF($B14="","",ROUNDDOWN($H14/22+$I14/22,0))</f>
        <v/>
      </c>
      <c r="F27" s="81">
        <f>IF($B14="","",ROUNDDOWN($H14/23+$I14/22,0))</f>
        <v/>
      </c>
      <c r="G27" s="63" t="n"/>
      <c r="H27" s="63" t="n"/>
      <c r="I27" s="63" t="n"/>
      <c r="J27" s="63" t="n"/>
      <c r="K27" s="63" t="n"/>
      <c r="L27" s="63" t="n"/>
      <c r="M27" s="63" t="n"/>
    </row>
    <row r="28">
      <c r="A28" s="84">
        <f>IF(B15="","",A15)</f>
        <v/>
      </c>
      <c r="B28" s="85">
        <f>IF(B15="","",B15)</f>
        <v/>
      </c>
      <c r="C28" s="81">
        <f>IF($B15="","",ROUNDDOWN($H15/20+$I15/22,0))</f>
        <v/>
      </c>
      <c r="D28" s="81">
        <f>IF($B15="","",ROUNDDOWN($H15/21+$I15/22,0))</f>
        <v/>
      </c>
      <c r="E28" s="81">
        <f>IF($B15="","",ROUNDDOWN($H15/22+$I15/22,0))</f>
        <v/>
      </c>
      <c r="F28" s="81">
        <f>IF($B15="","",ROUNDDOWN($H15/23+$I15/22,0))</f>
        <v/>
      </c>
      <c r="G28" s="63" t="n"/>
      <c r="H28" s="63" t="n"/>
      <c r="I28" s="63" t="n"/>
      <c r="J28" s="63" t="n"/>
      <c r="K28" s="63" t="n"/>
      <c r="L28" s="63" t="n"/>
      <c r="M28" s="63" t="n"/>
    </row>
    <row r="29">
      <c r="A29" s="84">
        <f>IF(B16="","",A16)</f>
        <v/>
      </c>
      <c r="B29" s="85">
        <f>IF(B16="","",B16)</f>
        <v/>
      </c>
      <c r="C29" s="81">
        <f>IF($B16="","",ROUNDDOWN($H16/20+$I16/22,0))</f>
        <v/>
      </c>
      <c r="D29" s="81">
        <f>IF($B16="","",ROUNDDOWN($H16/21+$I16/22,0))</f>
        <v/>
      </c>
      <c r="E29" s="81">
        <f>IF($B16="","",ROUNDDOWN($H16/22+$I16/22,0))</f>
        <v/>
      </c>
      <c r="F29" s="81">
        <f>IF($B16="","",ROUNDDOWN($H16/23+$I16/22,0))</f>
        <v/>
      </c>
      <c r="G29" s="63" t="n"/>
      <c r="H29" s="63" t="n"/>
      <c r="I29" s="63" t="n"/>
      <c r="J29" s="63" t="n"/>
      <c r="K29" s="63" t="n"/>
      <c r="L29" s="63" t="n"/>
      <c r="M29" s="63" t="n"/>
    </row>
    <row r="30">
      <c r="A30" s="84">
        <f>IF(B17="","",A17)</f>
        <v/>
      </c>
      <c r="B30" s="85">
        <f>IF(B17="","",B17)</f>
        <v/>
      </c>
      <c r="C30" s="81">
        <f>IF($B17="","",ROUNDDOWN($H17/20+$I17/22,0))</f>
        <v/>
      </c>
      <c r="D30" s="81">
        <f>IF($B17="","",ROUNDDOWN($H17/21+$I17/22,0))</f>
        <v/>
      </c>
      <c r="E30" s="81">
        <f>IF($B17="","",ROUNDDOWN($H17/22+$I17/22,0))</f>
        <v/>
      </c>
      <c r="F30" s="81">
        <f>IF($B17="","",ROUNDDOWN($H17/23+$I17/22,0))</f>
        <v/>
      </c>
      <c r="G30" s="63" t="n"/>
      <c r="H30" s="63" t="n"/>
      <c r="I30" s="63" t="n"/>
      <c r="J30" s="63" t="n"/>
      <c r="K30" s="63" t="n"/>
      <c r="L30" s="63" t="n"/>
      <c r="M30" s="63" t="n"/>
    </row>
    <row r="31">
      <c r="A31" s="84">
        <f>IF(B18="","",A18)</f>
        <v/>
      </c>
      <c r="B31" s="85">
        <f>IF(B18="","",B18)</f>
        <v/>
      </c>
      <c r="C31" s="81">
        <f>IF($B18="","",ROUNDDOWN($H18/20+$I18/22,0))</f>
        <v/>
      </c>
      <c r="D31" s="81">
        <f>IF($B18="","",ROUNDDOWN($H18/21+$I18/22,0))</f>
        <v/>
      </c>
      <c r="E31" s="81">
        <f>IF($B18="","",ROUNDDOWN($H18/22+$I18/22,0))</f>
        <v/>
      </c>
      <c r="F31" s="81">
        <f>IF($B18="","",ROUNDDOWN($H18/23+$I18/22,0))</f>
        <v/>
      </c>
      <c r="G31" s="63" t="n"/>
      <c r="H31" s="63" t="n"/>
      <c r="I31" s="63" t="n"/>
      <c r="J31" s="63" t="n"/>
      <c r="K31" s="63" t="n"/>
      <c r="L31" s="63" t="n"/>
      <c r="M31" s="63" t="n"/>
    </row>
    <row r="32">
      <c r="A32" s="84">
        <f>IF(B19="","",A19)</f>
        <v/>
      </c>
      <c r="B32" s="85">
        <f>IF(B19="","",B19)</f>
        <v/>
      </c>
      <c r="C32" s="81">
        <f>IF($B19="","",ROUNDDOWN($H19/20+$I19/22,0))</f>
        <v/>
      </c>
      <c r="D32" s="81">
        <f>IF($B19="","",ROUNDDOWN($H19/21+$I19/22,0))</f>
        <v/>
      </c>
      <c r="E32" s="81">
        <f>IF($B19="","",ROUNDDOWN($H19/22+$I19/22,0))</f>
        <v/>
      </c>
      <c r="F32" s="81">
        <f>IF($B19="","",ROUNDDOWN($H19/23+$I19/22,0))</f>
        <v/>
      </c>
      <c r="G32" s="63" t="n"/>
      <c r="H32" s="63" t="n"/>
      <c r="I32" s="63" t="n"/>
      <c r="J32" s="63" t="n"/>
      <c r="K32" s="63" t="n"/>
      <c r="L32" s="63" t="n"/>
      <c r="M32" s="63" t="n"/>
    </row>
    <row r="33">
      <c r="A33" s="84">
        <f>IF(B20="","",A20)</f>
        <v/>
      </c>
      <c r="B33" s="85">
        <f>IF(B20="","",B20)</f>
        <v/>
      </c>
      <c r="C33" s="81">
        <f>IF($B20="","",ROUNDDOWN($H20/20+$I20/22,0))</f>
        <v/>
      </c>
      <c r="D33" s="81">
        <f>IF($B20="","",ROUNDDOWN($H20/21+$I20/22,0))</f>
        <v/>
      </c>
      <c r="E33" s="81">
        <f>IF($B20="","",ROUNDDOWN($H20/22+$I20/22,0))</f>
        <v/>
      </c>
      <c r="F33" s="81">
        <f>IF($B20="","",ROUNDDOWN($H20/23+$I20/22,0))</f>
        <v/>
      </c>
      <c r="G33" s="63" t="n"/>
      <c r="H33" s="63" t="n"/>
      <c r="I33" s="63" t="n"/>
      <c r="J33" s="63" t="n"/>
      <c r="K33" s="63" t="n"/>
      <c r="L33" s="63" t="n"/>
      <c r="M33" s="63" t="n"/>
    </row>
    <row r="34">
      <c r="A34" s="63" t="n"/>
      <c r="B34" s="63" t="n"/>
      <c r="C34" s="63" t="n"/>
      <c r="D34" s="63" t="n"/>
      <c r="E34" s="63" t="n"/>
      <c r="F34" s="63" t="n"/>
      <c r="G34" s="63" t="n"/>
      <c r="H34" s="63" t="n"/>
      <c r="I34" s="63" t="n"/>
      <c r="J34" s="63" t="n"/>
      <c r="K34" s="63" t="n"/>
      <c r="L34" s="63" t="n"/>
      <c r="M34" s="63" t="n"/>
    </row>
    <row r="35">
      <c r="A35" s="66" t="inlineStr">
        <is>
          <t>■ 標準報酬月額と傷病手当日額の試算（直近12か月平均 ÷ 22 → 10円未満四捨五入 → ×2/3 → 1円未満四捨五入）</t>
        </is>
      </c>
      <c r="B35" s="63" t="n"/>
      <c r="C35" s="63" t="n"/>
      <c r="D35" s="63" t="n"/>
      <c r="E35" s="63" t="n"/>
      <c r="F35" s="63" t="n"/>
      <c r="G35" s="63" t="n"/>
      <c r="H35" s="63" t="n"/>
      <c r="I35" s="63" t="n"/>
      <c r="J35" s="63" t="n"/>
      <c r="K35" s="63" t="n"/>
      <c r="L35" s="63" t="n"/>
      <c r="M35" s="63" t="n"/>
    </row>
    <row r="36" ht="30" customHeight="1" s="39">
      <c r="A36" s="77" t="inlineStr">
        <is>
          <t>年月</t>
        </is>
      </c>
      <c r="B36" s="77" t="inlineStr">
        <is>
          <t>標準報酬
月額</t>
        </is>
      </c>
      <c r="C36" s="77" t="inlineStr">
        <is>
          <t>直近12月
平均</t>
        </is>
      </c>
      <c r="D36" s="83" t="inlineStr">
        <is>
          <t>÷22</t>
        </is>
      </c>
      <c r="E36" s="83" t="inlineStr">
        <is>
          <t>10円未満
四捨五入</t>
        </is>
      </c>
      <c r="F36" s="83" t="inlineStr">
        <is>
          <t>×2/3</t>
        </is>
      </c>
      <c r="G36" s="77" t="inlineStr">
        <is>
          <t>傷病手当
日額</t>
        </is>
      </c>
      <c r="H36" s="63" t="n"/>
      <c r="I36" s="63" t="n"/>
      <c r="J36" s="63" t="n"/>
      <c r="K36" s="63" t="n"/>
      <c r="L36" s="63" t="n"/>
      <c r="M36" s="63" t="n"/>
    </row>
    <row r="37">
      <c r="A37" s="86">
        <f>DATE(YEAR($J$4),MONTH($J$4)-12+0,1)</f>
        <v/>
      </c>
      <c r="B37" s="80" t="n">
        <v>440000</v>
      </c>
      <c r="C37" s="87" t="n"/>
      <c r="D37" s="87" t="n"/>
      <c r="E37" s="87" t="n"/>
      <c r="F37" s="87" t="n"/>
      <c r="G37" s="87" t="n"/>
      <c r="H37" s="88">
        <f>IF($A37&lt;DATE(YEAR($J$4),MONTH($J$4),1),"",IF($A37&lt;DATE(YEAR($J$5),MONTH($J$5),1),"判定用（初めて〇になる前の月の額）",IF($A37=DATE(YEAR($J$5),MONTH($J$5),1),IF($C$8&lt;&gt;"","← 確認値（C8）の額を、全期間の傷病手当日額として固定して使います","← 初めて〇になった月の額を、全期間の傷病手当日額として固定して使います"),"参考（算定には使いません）")))</f>
        <v/>
      </c>
      <c r="I37" s="63" t="n"/>
      <c r="J37" s="63" t="n"/>
      <c r="K37" s="63" t="n"/>
      <c r="L37" s="63" t="n"/>
      <c r="M37" s="63" t="n"/>
    </row>
    <row r="38">
      <c r="A38" s="86">
        <f>DATE(YEAR($J$4),MONTH($J$4)-12+1,1)</f>
        <v/>
      </c>
      <c r="B38" s="80" t="n">
        <v>440000</v>
      </c>
      <c r="C38" s="87" t="n"/>
      <c r="D38" s="87" t="n"/>
      <c r="E38" s="87" t="n"/>
      <c r="F38" s="87" t="n"/>
      <c r="G38" s="87" t="n"/>
      <c r="H38" s="88">
        <f>IF($A38&lt;DATE(YEAR($J$4),MONTH($J$4),1),"",IF($A38&lt;DATE(YEAR($J$5),MONTH($J$5),1),"判定用（初めて〇になる前の月の額）",IF($A38=DATE(YEAR($J$5),MONTH($J$5),1),IF($C$8&lt;&gt;"","← 確認値（C8）の額を、全期間の傷病手当日額として固定して使います","← 初めて〇になった月の額を、全期間の傷病手当日額として固定して使います"),"参考（算定には使いません）")))</f>
        <v/>
      </c>
      <c r="I38" s="63" t="n"/>
      <c r="J38" s="63" t="n"/>
      <c r="K38" s="63" t="n"/>
      <c r="L38" s="63" t="n"/>
      <c r="M38" s="63" t="n"/>
    </row>
    <row r="39">
      <c r="A39" s="86">
        <f>DATE(YEAR($J$4),MONTH($J$4)-12+2,1)</f>
        <v/>
      </c>
      <c r="B39" s="80" t="n">
        <v>410000</v>
      </c>
      <c r="C39" s="87" t="n"/>
      <c r="D39" s="87" t="n"/>
      <c r="E39" s="87" t="n"/>
      <c r="F39" s="87" t="n"/>
      <c r="G39" s="87" t="n"/>
      <c r="H39" s="88">
        <f>IF($A39&lt;DATE(YEAR($J$4),MONTH($J$4),1),"",IF($A39&lt;DATE(YEAR($J$5),MONTH($J$5),1),"判定用（初めて〇になる前の月の額）",IF($A39=DATE(YEAR($J$5),MONTH($J$5),1),IF($C$8&lt;&gt;"","← 確認値（C8）の額を、全期間の傷病手当日額として固定して使います","← 初めて〇になった月の額を、全期間の傷病手当日額として固定して使います"),"参考（算定には使いません）")))</f>
        <v/>
      </c>
      <c r="I39" s="63" t="n"/>
      <c r="J39" s="63" t="n"/>
      <c r="K39" s="63" t="n"/>
      <c r="L39" s="63" t="n"/>
      <c r="M39" s="63" t="n"/>
    </row>
    <row r="40">
      <c r="A40" s="86">
        <f>DATE(YEAR($J$4),MONTH($J$4)-12+3,1)</f>
        <v/>
      </c>
      <c r="B40" s="80" t="n">
        <v>410000</v>
      </c>
      <c r="C40" s="87" t="n"/>
      <c r="D40" s="87" t="n"/>
      <c r="E40" s="87" t="n"/>
      <c r="F40" s="87" t="n"/>
      <c r="G40" s="87" t="n"/>
      <c r="H40" s="88">
        <f>IF($A40&lt;DATE(YEAR($J$4),MONTH($J$4),1),"",IF($A40&lt;DATE(YEAR($J$5),MONTH($J$5),1),"判定用（初めて〇になる前の月の額）",IF($A40=DATE(YEAR($J$5),MONTH($J$5),1),IF($C$8&lt;&gt;"","← 確認値（C8）の額を、全期間の傷病手当日額として固定して使います","← 初めて〇になった月の額を、全期間の傷病手当日額として固定して使います"),"参考（算定には使いません）")))</f>
        <v/>
      </c>
      <c r="I40" s="63" t="n"/>
      <c r="J40" s="63" t="n"/>
      <c r="K40" s="63" t="n"/>
      <c r="L40" s="63" t="n"/>
      <c r="M40" s="63" t="n"/>
    </row>
    <row r="41">
      <c r="A41" s="86">
        <f>DATE(YEAR($J$4),MONTH($J$4)-12+4,1)</f>
        <v/>
      </c>
      <c r="B41" s="80" t="n">
        <v>410000</v>
      </c>
      <c r="C41" s="87" t="n"/>
      <c r="D41" s="87" t="n"/>
      <c r="E41" s="87" t="n"/>
      <c r="F41" s="87" t="n"/>
      <c r="G41" s="87" t="n"/>
      <c r="H41" s="88">
        <f>IF($A41&lt;DATE(YEAR($J$4),MONTH($J$4),1),"",IF($A41&lt;DATE(YEAR($J$5),MONTH($J$5),1),"判定用（初めて〇になる前の月の額）",IF($A41=DATE(YEAR($J$5),MONTH($J$5),1),IF($C$8&lt;&gt;"","← 確認値（C8）の額を、全期間の傷病手当日額として固定して使います","← 初めて〇になった月の額を、全期間の傷病手当日額として固定して使います"),"参考（算定には使いません）")))</f>
        <v/>
      </c>
      <c r="I41" s="63" t="n"/>
      <c r="J41" s="63" t="n"/>
      <c r="K41" s="63" t="n"/>
      <c r="L41" s="63" t="n"/>
      <c r="M41" s="63" t="n"/>
    </row>
    <row r="42">
      <c r="A42" s="86">
        <f>DATE(YEAR($J$4),MONTH($J$4)-12+5,1)</f>
        <v/>
      </c>
      <c r="B42" s="80" t="n">
        <v>410000</v>
      </c>
      <c r="C42" s="87" t="n"/>
      <c r="D42" s="87" t="n"/>
      <c r="E42" s="87" t="n"/>
      <c r="F42" s="87" t="n"/>
      <c r="G42" s="87" t="n"/>
      <c r="H42" s="88">
        <f>IF($A42&lt;DATE(YEAR($J$4),MONTH($J$4),1),"",IF($A42&lt;DATE(YEAR($J$5),MONTH($J$5),1),"判定用（初めて〇になる前の月の額）",IF($A42=DATE(YEAR($J$5),MONTH($J$5),1),IF($C$8&lt;&gt;"","← 確認値（C8）の額を、全期間の傷病手当日額として固定して使います","← 初めて〇になった月の額を、全期間の傷病手当日額として固定して使います"),"参考（算定には使いません）")))</f>
        <v/>
      </c>
      <c r="I42" s="63" t="n"/>
      <c r="J42" s="63" t="n"/>
      <c r="K42" s="63" t="n"/>
      <c r="L42" s="63" t="n"/>
      <c r="M42" s="63" t="n"/>
    </row>
    <row r="43">
      <c r="A43" s="86">
        <f>DATE(YEAR($J$4),MONTH($J$4)-12+6,1)</f>
        <v/>
      </c>
      <c r="B43" s="80" t="n">
        <v>410000</v>
      </c>
      <c r="C43" s="87" t="n"/>
      <c r="D43" s="87" t="n"/>
      <c r="E43" s="87" t="n"/>
      <c r="F43" s="87" t="n"/>
      <c r="G43" s="87" t="n"/>
      <c r="H43" s="88">
        <f>IF($A43&lt;DATE(YEAR($J$4),MONTH($J$4),1),"",IF($A43&lt;DATE(YEAR($J$5),MONTH($J$5),1),"判定用（初めて〇になる前の月の額）",IF($A43=DATE(YEAR($J$5),MONTH($J$5),1),IF($C$8&lt;&gt;"","← 確認値（C8）の額を、全期間の傷病手当日額として固定して使います","← 初めて〇になった月の額を、全期間の傷病手当日額として固定して使います"),"参考（算定には使いません）")))</f>
        <v/>
      </c>
      <c r="I43" s="63" t="n"/>
      <c r="J43" s="63" t="n"/>
      <c r="K43" s="63" t="n"/>
      <c r="L43" s="63" t="n"/>
      <c r="M43" s="63" t="n"/>
    </row>
    <row r="44">
      <c r="A44" s="86">
        <f>DATE(YEAR($J$4),MONTH($J$4)-12+7,1)</f>
        <v/>
      </c>
      <c r="B44" s="80" t="n">
        <v>410000</v>
      </c>
      <c r="C44" s="87" t="n"/>
      <c r="D44" s="87" t="n"/>
      <c r="E44" s="87" t="n"/>
      <c r="F44" s="87" t="n"/>
      <c r="G44" s="87" t="n"/>
      <c r="H44" s="88">
        <f>IF($A44&lt;DATE(YEAR($J$4),MONTH($J$4),1),"",IF($A44&lt;DATE(YEAR($J$5),MONTH($J$5),1),"判定用（初めて〇になる前の月の額）",IF($A44=DATE(YEAR($J$5),MONTH($J$5),1),IF($C$8&lt;&gt;"","← 確認値（C8）の額を、全期間の傷病手当日額として固定して使います","← 初めて〇になった月の額を、全期間の傷病手当日額として固定して使います"),"参考（算定には使いません）")))</f>
        <v/>
      </c>
      <c r="I44" s="63" t="n"/>
      <c r="J44" s="63" t="n"/>
      <c r="K44" s="63" t="n"/>
      <c r="L44" s="63" t="n"/>
      <c r="M44" s="63" t="n"/>
    </row>
    <row r="45">
      <c r="A45" s="86">
        <f>DATE(YEAR($J$4),MONTH($J$4)-12+8,1)</f>
        <v/>
      </c>
      <c r="B45" s="80" t="n">
        <v>410000</v>
      </c>
      <c r="C45" s="87" t="n"/>
      <c r="D45" s="87" t="n"/>
      <c r="E45" s="87" t="n"/>
      <c r="F45" s="87" t="n"/>
      <c r="G45" s="87" t="n"/>
      <c r="H45" s="88">
        <f>IF($A45&lt;DATE(YEAR($J$4),MONTH($J$4),1),"",IF($A45&lt;DATE(YEAR($J$5),MONTH($J$5),1),"判定用（初めて〇になる前の月の額）",IF($A45=DATE(YEAR($J$5),MONTH($J$5),1),IF($C$8&lt;&gt;"","← 確認値（C8）の額を、全期間の傷病手当日額として固定して使います","← 初めて〇になった月の額を、全期間の傷病手当日額として固定して使います"),"参考（算定には使いません）")))</f>
        <v/>
      </c>
      <c r="I45" s="63" t="n"/>
      <c r="J45" s="63" t="n"/>
      <c r="K45" s="63" t="n"/>
      <c r="L45" s="63" t="n"/>
      <c r="M45" s="63" t="n"/>
    </row>
    <row r="46">
      <c r="A46" s="86">
        <f>DATE(YEAR($J$4),MONTH($J$4)-12+9,1)</f>
        <v/>
      </c>
      <c r="B46" s="80" t="n">
        <v>410000</v>
      </c>
      <c r="C46" s="87" t="n"/>
      <c r="D46" s="87" t="n"/>
      <c r="E46" s="87" t="n"/>
      <c r="F46" s="87" t="n"/>
      <c r="G46" s="87" t="n"/>
      <c r="H46" s="88">
        <f>IF($A46&lt;DATE(YEAR($J$4),MONTH($J$4),1),"",IF($A46&lt;DATE(YEAR($J$5),MONTH($J$5),1),"判定用（初めて〇になる前の月の額）",IF($A46=DATE(YEAR($J$5),MONTH($J$5),1),IF($C$8&lt;&gt;"","← 確認値（C8）の額を、全期間の傷病手当日額として固定して使います","← 初めて〇になった月の額を、全期間の傷病手当日額として固定して使います"),"参考（算定には使いません）")))</f>
        <v/>
      </c>
      <c r="I46" s="63" t="n"/>
      <c r="J46" s="63" t="n"/>
      <c r="K46" s="63" t="n"/>
      <c r="L46" s="63" t="n"/>
      <c r="M46" s="63" t="n"/>
    </row>
    <row r="47">
      <c r="A47" s="86">
        <f>DATE(YEAR($J$4),MONTH($J$4)-12+10,1)</f>
        <v/>
      </c>
      <c r="B47" s="80" t="n">
        <v>280000</v>
      </c>
      <c r="C47" s="87" t="n"/>
      <c r="D47" s="87" t="n"/>
      <c r="E47" s="87" t="n"/>
      <c r="F47" s="87" t="n"/>
      <c r="G47" s="87" t="n"/>
      <c r="H47" s="88">
        <f>IF($A47&lt;DATE(YEAR($J$4),MONTH($J$4),1),"",IF($A47&lt;DATE(YEAR($J$5),MONTH($J$5),1),"判定用（初めて〇になる前の月の額）",IF($A47=DATE(YEAR($J$5),MONTH($J$5),1),IF($C$8&lt;&gt;"","← 確認値（C8）の額を、全期間の傷病手当日額として固定して使います","← 初めて〇になった月の額を、全期間の傷病手当日額として固定して使います"),"参考（算定には使いません）")))</f>
        <v/>
      </c>
      <c r="I47" s="63" t="n"/>
      <c r="J47" s="63" t="n"/>
      <c r="K47" s="63" t="n"/>
      <c r="L47" s="63" t="n"/>
      <c r="M47" s="63" t="n"/>
    </row>
    <row r="48">
      <c r="A48" s="86">
        <f>DATE(YEAR($J$4),MONTH($J$4)-12+11,1)</f>
        <v/>
      </c>
      <c r="B48" s="80" t="n">
        <v>320000</v>
      </c>
      <c r="C48" s="81">
        <f>AVERAGE(B37:B48)</f>
        <v/>
      </c>
      <c r="D48" s="89">
        <f>C48/22</f>
        <v/>
      </c>
      <c r="E48" s="81">
        <f>ROUND(D48,-1)</f>
        <v/>
      </c>
      <c r="F48" s="89">
        <f>E48/3*2</f>
        <v/>
      </c>
      <c r="G48" s="81">
        <f>ROUND(F48,0)</f>
        <v/>
      </c>
      <c r="H48" s="88">
        <f>IF($A48&lt;DATE(YEAR($J$4),MONTH($J$4),1),"",IF($A48&lt;DATE(YEAR($J$5),MONTH($J$5),1),"判定用（初めて〇になる前の月の額）",IF($A48=DATE(YEAR($J$5),MONTH($J$5),1),IF($C$8&lt;&gt;"","← 確認値（C8）の額を、全期間の傷病手当日額として固定して使います","← 初めて〇になった月の額を、全期間の傷病手当日額として固定して使います"),"参考（算定には使いません）")))</f>
        <v/>
      </c>
      <c r="I48" s="63" t="n"/>
      <c r="J48" s="63" t="n"/>
      <c r="K48" s="63" t="n"/>
      <c r="L48" s="63" t="n"/>
      <c r="M48" s="63" t="n"/>
    </row>
    <row r="49">
      <c r="A49" s="86">
        <f>DATE(YEAR($J$4),MONTH($J$4)-12+12,1)</f>
        <v/>
      </c>
      <c r="B49" s="80" t="n">
        <v>320000</v>
      </c>
      <c r="C49" s="81">
        <f>AVERAGE(B38:B49)</f>
        <v/>
      </c>
      <c r="D49" s="89">
        <f>C49/22</f>
        <v/>
      </c>
      <c r="E49" s="81">
        <f>ROUND(D49,-1)</f>
        <v/>
      </c>
      <c r="F49" s="89">
        <f>E49/3*2</f>
        <v/>
      </c>
      <c r="G49" s="81">
        <f>ROUND(F49,0)</f>
        <v/>
      </c>
      <c r="H49" s="88">
        <f>IF($A49&lt;DATE(YEAR($J$4),MONTH($J$4),1),"",IF($A49&lt;DATE(YEAR($J$5),MONTH($J$5),1),"判定用（初めて〇になる前の月の額）",IF($A49=DATE(YEAR($J$5),MONTH($J$5),1),IF($C$8&lt;&gt;"","← 確認値（C8）の額を、全期間の傷病手当日額として固定して使います","← 初めて〇になった月の額を、全期間の傷病手当日額として固定して使います"),"参考（算定には使いません）")))</f>
        <v/>
      </c>
      <c r="I49" s="63" t="n"/>
      <c r="J49" s="63" t="n"/>
      <c r="K49" s="63" t="n"/>
      <c r="L49" s="63" t="n"/>
      <c r="M49" s="63" t="n"/>
    </row>
    <row r="50">
      <c r="A50" s="86">
        <f>DATE(YEAR($J$4),MONTH($J$4)-12+13,1)</f>
        <v/>
      </c>
      <c r="B50" s="80" t="n">
        <v>320000</v>
      </c>
      <c r="C50" s="81">
        <f>AVERAGE(B39:B50)</f>
        <v/>
      </c>
      <c r="D50" s="89">
        <f>C50/22</f>
        <v/>
      </c>
      <c r="E50" s="81">
        <f>ROUND(D50,-1)</f>
        <v/>
      </c>
      <c r="F50" s="89">
        <f>E50/3*2</f>
        <v/>
      </c>
      <c r="G50" s="81">
        <f>ROUND(F50,0)</f>
        <v/>
      </c>
      <c r="H50" s="88">
        <f>IF($A50&lt;DATE(YEAR($J$4),MONTH($J$4),1),"",IF($A50&lt;DATE(YEAR($J$5),MONTH($J$5),1),"判定用（初めて〇になる前の月の額）",IF($A50=DATE(YEAR($J$5),MONTH($J$5),1),IF($C$8&lt;&gt;"","← 確認値（C8）の額を、全期間の傷病手当日額として固定して使います","← 初めて〇になった月の額を、全期間の傷病手当日額として固定して使います"),"参考（算定には使いません）")))</f>
        <v/>
      </c>
      <c r="I50" s="63" t="n"/>
      <c r="J50" s="63" t="n"/>
      <c r="K50" s="63" t="n"/>
      <c r="L50" s="63" t="n"/>
      <c r="M50" s="63" t="n"/>
    </row>
    <row r="51">
      <c r="A51" s="86">
        <f>DATE(YEAR($J$4),MONTH($J$4)-12+14,1)</f>
        <v/>
      </c>
      <c r="B51" s="80" t="n">
        <v>320000</v>
      </c>
      <c r="C51" s="81">
        <f>AVERAGE(B40:B51)</f>
        <v/>
      </c>
      <c r="D51" s="89">
        <f>C51/22</f>
        <v/>
      </c>
      <c r="E51" s="81">
        <f>ROUND(D51,-1)</f>
        <v/>
      </c>
      <c r="F51" s="89">
        <f>E51/3*2</f>
        <v/>
      </c>
      <c r="G51" s="81">
        <f>ROUND(F51,0)</f>
        <v/>
      </c>
      <c r="H51" s="88">
        <f>IF($A51&lt;DATE(YEAR($J$4),MONTH($J$4),1),"",IF($A51&lt;DATE(YEAR($J$5),MONTH($J$5),1),"判定用（初めて〇になる前の月の額）",IF($A51=DATE(YEAR($J$5),MONTH($J$5),1),IF($C$8&lt;&gt;"","← 確認値（C8）の額を、全期間の傷病手当日額として固定して使います","← 初めて〇になった月の額を、全期間の傷病手当日額として固定して使います"),"参考（算定には使いません）")))</f>
        <v/>
      </c>
      <c r="I51" s="63" t="n"/>
      <c r="J51" s="63" t="n"/>
      <c r="K51" s="63" t="n"/>
      <c r="L51" s="63" t="n"/>
      <c r="M51" s="63" t="n"/>
    </row>
    <row r="52">
      <c r="A52" s="86">
        <f>DATE(YEAR($J$4),MONTH($J$4)-12+15,1)</f>
        <v/>
      </c>
      <c r="B52" s="80" t="n">
        <v>340000</v>
      </c>
      <c r="C52" s="81">
        <f>AVERAGE(B41:B52)</f>
        <v/>
      </c>
      <c r="D52" s="89">
        <f>C52/22</f>
        <v/>
      </c>
      <c r="E52" s="81">
        <f>ROUND(D52,-1)</f>
        <v/>
      </c>
      <c r="F52" s="89">
        <f>E52/3*2</f>
        <v/>
      </c>
      <c r="G52" s="81">
        <f>ROUND(F52,0)</f>
        <v/>
      </c>
      <c r="H52" s="88">
        <f>IF($A52&lt;DATE(YEAR($J$4),MONTH($J$4),1),"",IF($A52&lt;DATE(YEAR($J$5),MONTH($J$5),1),"判定用（初めて〇になる前の月の額）",IF($A52=DATE(YEAR($J$5),MONTH($J$5),1),IF($C$8&lt;&gt;"","← 確認値（C8）の額を、全期間の傷病手当日額として固定して使います","← 初めて〇になった月の額を、全期間の傷病手当日額として固定して使います"),"参考（算定には使いません）")))</f>
        <v/>
      </c>
      <c r="I52" s="63" t="n"/>
      <c r="J52" s="63" t="n"/>
      <c r="K52" s="63" t="n"/>
      <c r="L52" s="63" t="n"/>
      <c r="M52" s="63" t="n"/>
    </row>
    <row r="53">
      <c r="A53" s="86">
        <f>DATE(YEAR($J$4),MONTH($J$4)-12+16,1)</f>
        <v/>
      </c>
      <c r="B53" s="80" t="n">
        <v>340000</v>
      </c>
      <c r="C53" s="81">
        <f>AVERAGE(B42:B53)</f>
        <v/>
      </c>
      <c r="D53" s="89">
        <f>C53/22</f>
        <v/>
      </c>
      <c r="E53" s="81">
        <f>ROUND(D53,-1)</f>
        <v/>
      </c>
      <c r="F53" s="89">
        <f>E53/3*2</f>
        <v/>
      </c>
      <c r="G53" s="81">
        <f>ROUND(F53,0)</f>
        <v/>
      </c>
      <c r="H53" s="88">
        <f>IF($A53&lt;DATE(YEAR($J$4),MONTH($J$4),1),"",IF($A53&lt;DATE(YEAR($J$5),MONTH($J$5),1),"判定用（初めて〇になる前の月の額）",IF($A53=DATE(YEAR($J$5),MONTH($J$5),1),IF($C$8&lt;&gt;"","← 確認値（C8）の額を、全期間の傷病手当日額として固定して使います","← 初めて〇になった月の額を、全期間の傷病手当日額として固定して使います"),"参考（算定には使いません）")))</f>
        <v/>
      </c>
      <c r="I53" s="63" t="n"/>
      <c r="J53" s="63" t="n"/>
      <c r="K53" s="63" t="n"/>
      <c r="L53" s="63" t="n"/>
      <c r="M53" s="63" t="n"/>
    </row>
    <row r="54">
      <c r="A54" s="86">
        <f>DATE(YEAR($J$4),MONTH($J$4)-12+17,1)</f>
        <v/>
      </c>
      <c r="B54" s="80" t="n">
        <v>340000</v>
      </c>
      <c r="C54" s="81">
        <f>AVERAGE(B43:B54)</f>
        <v/>
      </c>
      <c r="D54" s="89">
        <f>C54/22</f>
        <v/>
      </c>
      <c r="E54" s="81">
        <f>ROUND(D54,-1)</f>
        <v/>
      </c>
      <c r="F54" s="89">
        <f>E54/3*2</f>
        <v/>
      </c>
      <c r="G54" s="81">
        <f>ROUND(F54,0)</f>
        <v/>
      </c>
      <c r="H54" s="88">
        <f>IF($A54&lt;DATE(YEAR($J$4),MONTH($J$4),1),"",IF($A54&lt;DATE(YEAR($J$5),MONTH($J$5),1),"判定用（初めて〇になる前の月の額）",IF($A54=DATE(YEAR($J$5),MONTH($J$5),1),IF($C$8&lt;&gt;"","← 確認値（C8）の額を、全期間の傷病手当日額として固定して使います","← 初めて〇になった月の額を、全期間の傷病手当日額として固定して使います"),"参考（算定には使いません）")))</f>
        <v/>
      </c>
      <c r="I54" s="63" t="n"/>
      <c r="J54" s="63" t="n"/>
      <c r="K54" s="63" t="n"/>
      <c r="L54" s="63" t="n"/>
      <c r="M54" s="63" t="n"/>
    </row>
    <row r="55">
      <c r="A55" s="86">
        <f>DATE(YEAR($J$4),MONTH($J$4)-12+18,1)</f>
        <v/>
      </c>
      <c r="B55" s="80" t="n">
        <v>340000</v>
      </c>
      <c r="C55" s="81">
        <f>AVERAGE(B44:B55)</f>
        <v/>
      </c>
      <c r="D55" s="89">
        <f>C55/22</f>
        <v/>
      </c>
      <c r="E55" s="81">
        <f>ROUND(D55,-1)</f>
        <v/>
      </c>
      <c r="F55" s="89">
        <f>E55/3*2</f>
        <v/>
      </c>
      <c r="G55" s="81">
        <f>ROUND(F55,0)</f>
        <v/>
      </c>
      <c r="H55" s="88">
        <f>IF($A55&lt;DATE(YEAR($J$4),MONTH($J$4),1),"",IF($A55&lt;DATE(YEAR($J$5),MONTH($J$5),1),"判定用（初めて〇になる前の月の額）",IF($A55=DATE(YEAR($J$5),MONTH($J$5),1),IF($C$8&lt;&gt;"","← 確認値（C8）の額を、全期間の傷病手当日額として固定して使います","← 初めて〇になった月の額を、全期間の傷病手当日額として固定して使います"),"参考（算定には使いません）")))</f>
        <v/>
      </c>
      <c r="I55" s="63" t="n"/>
      <c r="J55" s="63" t="n"/>
      <c r="K55" s="63" t="n"/>
      <c r="L55" s="63" t="n"/>
      <c r="M55" s="63" t="n"/>
    </row>
    <row r="56">
      <c r="A56" s="86">
        <f>DATE(YEAR($J$4),MONTH($J$4)-12+19,1)</f>
        <v/>
      </c>
      <c r="B56" s="80" t="n">
        <v>340000</v>
      </c>
      <c r="C56" s="81">
        <f>AVERAGE(B45:B56)</f>
        <v/>
      </c>
      <c r="D56" s="89">
        <f>C56/22</f>
        <v/>
      </c>
      <c r="E56" s="81">
        <f>ROUND(D56,-1)</f>
        <v/>
      </c>
      <c r="F56" s="89">
        <f>E56/3*2</f>
        <v/>
      </c>
      <c r="G56" s="81">
        <f>ROUND(F56,0)</f>
        <v/>
      </c>
      <c r="H56" s="88">
        <f>IF($A56&lt;DATE(YEAR($J$4),MONTH($J$4),1),"",IF($A56&lt;DATE(YEAR($J$5),MONTH($J$5),1),"判定用（初めて〇になる前の月の額）",IF($A56=DATE(YEAR($J$5),MONTH($J$5),1),IF($C$8&lt;&gt;"","← 確認値（C8）の額を、全期間の傷病手当日額として固定して使います","← 初めて〇になった月の額を、全期間の傷病手当日額として固定して使います"),"参考（算定には使いません）")))</f>
        <v/>
      </c>
      <c r="I56" s="63" t="n"/>
      <c r="J56" s="63" t="n"/>
      <c r="K56" s="63" t="n"/>
      <c r="L56" s="63" t="n"/>
      <c r="M56" s="63" t="n"/>
    </row>
    <row r="57">
      <c r="A57" s="86">
        <f>DATE(YEAR($J$4),MONTH($J$4)-12+20,1)</f>
        <v/>
      </c>
      <c r="B57" s="80" t="n">
        <v>340000</v>
      </c>
      <c r="C57" s="81">
        <f>AVERAGE(B46:B57)</f>
        <v/>
      </c>
      <c r="D57" s="89">
        <f>C57/22</f>
        <v/>
      </c>
      <c r="E57" s="81">
        <f>ROUND(D57,-1)</f>
        <v/>
      </c>
      <c r="F57" s="89">
        <f>E57/3*2</f>
        <v/>
      </c>
      <c r="G57" s="81">
        <f>ROUND(F57,0)</f>
        <v/>
      </c>
      <c r="H57" s="88">
        <f>IF($A57&lt;DATE(YEAR($J$4),MONTH($J$4),1),"",IF($A57&lt;DATE(YEAR($J$5),MONTH($J$5),1),"判定用（初めて〇になる前の月の額）",IF($A57=DATE(YEAR($J$5),MONTH($J$5),1),IF($C$8&lt;&gt;"","← 確認値（C8）の額を、全期間の傷病手当日額として固定して使います","← 初めて〇になった月の額を、全期間の傷病手当日額として固定して使います"),"参考（算定には使いません）")))</f>
        <v/>
      </c>
      <c r="I57" s="63" t="n"/>
      <c r="J57" s="63" t="n"/>
      <c r="K57" s="63" t="n"/>
      <c r="L57" s="63" t="n"/>
      <c r="M57" s="63" t="n"/>
    </row>
    <row r="58">
      <c r="A58" s="86">
        <f>DATE(YEAR($J$4),MONTH($J$4)-12+21,1)</f>
        <v/>
      </c>
      <c r="B58" s="80" t="n">
        <v>340000</v>
      </c>
      <c r="C58" s="81">
        <f>AVERAGE(B47:B58)</f>
        <v/>
      </c>
      <c r="D58" s="89">
        <f>C58/22</f>
        <v/>
      </c>
      <c r="E58" s="81">
        <f>ROUND(D58,-1)</f>
        <v/>
      </c>
      <c r="F58" s="89">
        <f>E58/3*2</f>
        <v/>
      </c>
      <c r="G58" s="81">
        <f>ROUND(F58,0)</f>
        <v/>
      </c>
      <c r="H58" s="88">
        <f>IF($A58&lt;DATE(YEAR($J$4),MONTH($J$4),1),"",IF($A58&lt;DATE(YEAR($J$5),MONTH($J$5),1),"判定用（初めて〇になる前の月の額）",IF($A58=DATE(YEAR($J$5),MONTH($J$5),1),IF($C$8&lt;&gt;"","← 確認値（C8）の額を、全期間の傷病手当日額として固定して使います","← 初めて〇になった月の額を、全期間の傷病手当日額として固定して使います"),"参考（算定には使いません）")))</f>
        <v/>
      </c>
      <c r="I58" s="63" t="n"/>
      <c r="J58" s="63" t="n"/>
      <c r="K58" s="63" t="n"/>
      <c r="L58" s="63" t="n"/>
      <c r="M58" s="63" t="n"/>
    </row>
    <row r="59">
      <c r="A59" s="86">
        <f>DATE(YEAR($J$4),MONTH($J$4)-12+22,1)</f>
        <v/>
      </c>
      <c r="B59" s="80" t="n">
        <v>340000</v>
      </c>
      <c r="C59" s="81">
        <f>AVERAGE(B48:B59)</f>
        <v/>
      </c>
      <c r="D59" s="89">
        <f>C59/22</f>
        <v/>
      </c>
      <c r="E59" s="81">
        <f>ROUND(D59,-1)</f>
        <v/>
      </c>
      <c r="F59" s="89">
        <f>E59/3*2</f>
        <v/>
      </c>
      <c r="G59" s="81">
        <f>ROUND(F59,0)</f>
        <v/>
      </c>
      <c r="H59" s="88">
        <f>IF($A59&lt;DATE(YEAR($J$4),MONTH($J$4),1),"",IF($A59&lt;DATE(YEAR($J$5),MONTH($J$5),1),"判定用（初めて〇になる前の月の額）",IF($A59=DATE(YEAR($J$5),MONTH($J$5),1),IF($C$8&lt;&gt;"","← 確認値（C8）の額を、全期間の傷病手当日額として固定して使います","← 初めて〇になった月の額を、全期間の傷病手当日額として固定して使います"),"参考（算定には使いません）")))</f>
        <v/>
      </c>
      <c r="I59" s="63" t="n"/>
      <c r="J59" s="63" t="n"/>
      <c r="K59" s="63" t="n"/>
      <c r="L59" s="63" t="n"/>
      <c r="M59" s="63" t="n"/>
    </row>
    <row r="60">
      <c r="A60" s="86">
        <f>DATE(YEAR($J$4),MONTH($J$4)-12+23,1)</f>
        <v/>
      </c>
      <c r="B60" s="80" t="n">
        <v>340000</v>
      </c>
      <c r="C60" s="81">
        <f>AVERAGE(B49:B60)</f>
        <v/>
      </c>
      <c r="D60" s="89">
        <f>C60/22</f>
        <v/>
      </c>
      <c r="E60" s="81">
        <f>ROUND(D60,-1)</f>
        <v/>
      </c>
      <c r="F60" s="89">
        <f>E60/3*2</f>
        <v/>
      </c>
      <c r="G60" s="81">
        <f>ROUND(F60,0)</f>
        <v/>
      </c>
      <c r="H60" s="88">
        <f>IF($A60&lt;DATE(YEAR($J$4),MONTH($J$4),1),"",IF($A60&lt;DATE(YEAR($J$5),MONTH($J$5),1),"判定用（初めて〇になる前の月の額）",IF($A60=DATE(YEAR($J$5),MONTH($J$5),1),IF($C$8&lt;&gt;"","← 確認値（C8）の額を、全期間の傷病手当日額として固定して使います","← 初めて〇になった月の額を、全期間の傷病手当日額として固定して使います"),"参考（算定には使いません）")))</f>
        <v/>
      </c>
      <c r="I60" s="63" t="n"/>
      <c r="J60" s="63" t="n"/>
      <c r="K60" s="63" t="n"/>
      <c r="L60" s="63" t="n"/>
      <c r="M60" s="63" t="n"/>
    </row>
    <row r="61">
      <c r="A61" s="86">
        <f>DATE(YEAR($J$4),MONTH($J$4)-12+24,1)</f>
        <v/>
      </c>
      <c r="B61" s="80" t="n">
        <v>340000</v>
      </c>
      <c r="C61" s="81">
        <f>AVERAGE(B50:B61)</f>
        <v/>
      </c>
      <c r="D61" s="89">
        <f>C61/22</f>
        <v/>
      </c>
      <c r="E61" s="81">
        <f>ROUND(D61,-1)</f>
        <v/>
      </c>
      <c r="F61" s="89">
        <f>E61/3*2</f>
        <v/>
      </c>
      <c r="G61" s="81">
        <f>ROUND(F61,0)</f>
        <v/>
      </c>
      <c r="H61" s="88">
        <f>IF($A61&lt;DATE(YEAR($J$4),MONTH($J$4),1),"",IF($A61&lt;DATE(YEAR($J$5),MONTH($J$5),1),"判定用（初めて〇になる前の月の額）",IF($A61=DATE(YEAR($J$5),MONTH($J$5),1),IF($C$8&lt;&gt;"","← 確認値（C8）の額を、全期間の傷病手当日額として固定して使います","← 初めて〇になった月の額を、全期間の傷病手当日額として固定して使います"),"参考（算定には使いません）")))</f>
        <v/>
      </c>
      <c r="I61" s="63" t="n"/>
      <c r="J61" s="63" t="n"/>
      <c r="K61" s="63" t="n"/>
      <c r="L61" s="63" t="n"/>
      <c r="M61" s="63" t="n"/>
    </row>
    <row r="62">
      <c r="A62" s="86">
        <f>DATE(YEAR($J$4),MONTH($J$4)-12+25,1)</f>
        <v/>
      </c>
      <c r="B62" s="80" t="n">
        <v>340000</v>
      </c>
      <c r="C62" s="81">
        <f>AVERAGE(B51:B62)</f>
        <v/>
      </c>
      <c r="D62" s="89">
        <f>C62/22</f>
        <v/>
      </c>
      <c r="E62" s="81">
        <f>ROUND(D62,-1)</f>
        <v/>
      </c>
      <c r="F62" s="89">
        <f>E62/3*2</f>
        <v/>
      </c>
      <c r="G62" s="81">
        <f>ROUND(F62,0)</f>
        <v/>
      </c>
      <c r="H62" s="88">
        <f>IF($A62&lt;DATE(YEAR($J$4),MONTH($J$4),1),"",IF($A62&lt;DATE(YEAR($J$5),MONTH($J$5),1),"判定用（初めて〇になる前の月の額）",IF($A62=DATE(YEAR($J$5),MONTH($J$5),1),IF($C$8&lt;&gt;"","← 確認値（C8）の額を、全期間の傷病手当日額として固定して使います","← 初めて〇になった月の額を、全期間の傷病手当日額として固定して使います"),"参考（算定には使いません）")))</f>
        <v/>
      </c>
      <c r="I62" s="63" t="n"/>
      <c r="J62" s="63" t="n"/>
      <c r="K62" s="63" t="n"/>
      <c r="L62" s="63" t="n"/>
      <c r="M62" s="63" t="n"/>
    </row>
    <row r="63">
      <c r="A63" s="86">
        <f>DATE(YEAR($J$4),MONTH($J$4)-12+26,1)</f>
        <v/>
      </c>
      <c r="B63" s="80" t="n">
        <v>340000</v>
      </c>
      <c r="C63" s="81">
        <f>AVERAGE(B52:B63)</f>
        <v/>
      </c>
      <c r="D63" s="89">
        <f>C63/22</f>
        <v/>
      </c>
      <c r="E63" s="81">
        <f>ROUND(D63,-1)</f>
        <v/>
      </c>
      <c r="F63" s="89">
        <f>E63/3*2</f>
        <v/>
      </c>
      <c r="G63" s="81">
        <f>ROUND(F63,0)</f>
        <v/>
      </c>
      <c r="H63" s="88">
        <f>IF($A63&lt;DATE(YEAR($J$4),MONTH($J$4),1),"",IF($A63&lt;DATE(YEAR($J$5),MONTH($J$5),1),"判定用（初めて〇になる前の月の額）",IF($A63=DATE(YEAR($J$5),MONTH($J$5),1),IF($C$8&lt;&gt;"","← 確認値（C8）の額を、全期間の傷病手当日額として固定して使います","← 初めて〇になった月の額を、全期間の傷病手当日額として固定して使います"),"参考（算定には使いません）")))</f>
        <v/>
      </c>
      <c r="I63" s="63" t="n"/>
      <c r="J63" s="63" t="n"/>
      <c r="K63" s="63" t="n"/>
      <c r="L63" s="63" t="n"/>
      <c r="M63" s="63" t="n"/>
    </row>
    <row r="64">
      <c r="A64" s="86">
        <f>DATE(YEAR($J$4),MONTH($J$4)-12+27,1)</f>
        <v/>
      </c>
      <c r="B64" s="80" t="n">
        <v>340000</v>
      </c>
      <c r="C64" s="81">
        <f>AVERAGE(B53:B64)</f>
        <v/>
      </c>
      <c r="D64" s="89">
        <f>C64/22</f>
        <v/>
      </c>
      <c r="E64" s="81">
        <f>ROUND(D64,-1)</f>
        <v/>
      </c>
      <c r="F64" s="89">
        <f>E64/3*2</f>
        <v/>
      </c>
      <c r="G64" s="81">
        <f>ROUND(F64,0)</f>
        <v/>
      </c>
      <c r="H64" s="88">
        <f>IF($A64&lt;DATE(YEAR($J$4),MONTH($J$4),1),"",IF($A64&lt;DATE(YEAR($J$5),MONTH($J$5),1),"判定用（初めて〇になる前の月の額）",IF($A64=DATE(YEAR($J$5),MONTH($J$5),1),IF($C$8&lt;&gt;"","← 確認値（C8）の額を、全期間の傷病手当日額として固定して使います","← 初めて〇になった月の額を、全期間の傷病手当日額として固定して使います"),"参考（算定には使いません）")))</f>
        <v/>
      </c>
      <c r="I64" s="63" t="n"/>
      <c r="J64" s="63" t="n"/>
      <c r="K64" s="63" t="n"/>
      <c r="L64" s="63" t="n"/>
      <c r="M64" s="63" t="n"/>
    </row>
    <row r="65">
      <c r="A65" s="86">
        <f>DATE(YEAR($J$4),MONTH($J$4)-12+28,1)</f>
        <v/>
      </c>
      <c r="B65" s="80" t="n">
        <v>340000</v>
      </c>
      <c r="C65" s="81">
        <f>AVERAGE(B54:B65)</f>
        <v/>
      </c>
      <c r="D65" s="89">
        <f>C65/22</f>
        <v/>
      </c>
      <c r="E65" s="81">
        <f>ROUND(D65,-1)</f>
        <v/>
      </c>
      <c r="F65" s="89">
        <f>E65/3*2</f>
        <v/>
      </c>
      <c r="G65" s="81">
        <f>ROUND(F65,0)</f>
        <v/>
      </c>
      <c r="H65" s="88">
        <f>IF($A65&lt;DATE(YEAR($J$4),MONTH($J$4),1),"",IF($A65&lt;DATE(YEAR($J$5),MONTH($J$5),1),"判定用（初めて〇になる前の月の額）",IF($A65=DATE(YEAR($J$5),MONTH($J$5),1),IF($C$8&lt;&gt;"","← 確認値（C8）の額を、全期間の傷病手当日額として固定して使います","← 初めて〇になった月の額を、全期間の傷病手当日額として固定して使います"),"参考（算定には使いません）")))</f>
        <v/>
      </c>
      <c r="I65" s="63" t="n"/>
      <c r="J65" s="63" t="n"/>
      <c r="K65" s="63" t="n"/>
      <c r="L65" s="63" t="n"/>
      <c r="M65" s="63" t="n"/>
    </row>
    <row r="66">
      <c r="A66" s="86">
        <f>DATE(YEAR($J$4),MONTH($J$4)-12+29,1)</f>
        <v/>
      </c>
      <c r="B66" s="80" t="n">
        <v>340000</v>
      </c>
      <c r="C66" s="81">
        <f>AVERAGE(B55:B66)</f>
        <v/>
      </c>
      <c r="D66" s="89">
        <f>C66/22</f>
        <v/>
      </c>
      <c r="E66" s="81">
        <f>ROUND(D66,-1)</f>
        <v/>
      </c>
      <c r="F66" s="89">
        <f>E66/3*2</f>
        <v/>
      </c>
      <c r="G66" s="81">
        <f>ROUND(F66,0)</f>
        <v/>
      </c>
      <c r="H66" s="88">
        <f>IF($A66&lt;DATE(YEAR($J$4),MONTH($J$4),1),"",IF($A66&lt;DATE(YEAR($J$5),MONTH($J$5),1),"判定用（初めて〇になる前の月の額）",IF($A66=DATE(YEAR($J$5),MONTH($J$5),1),IF($C$8&lt;&gt;"","← 確認値（C8）の額を、全期間の傷病手当日額として固定して使います","← 初めて〇になった月の額を、全期間の傷病手当日額として固定して使います"),"参考（算定には使いません）")))</f>
        <v/>
      </c>
      <c r="I66" s="63" t="n"/>
      <c r="J66" s="63" t="n"/>
      <c r="K66" s="63" t="n"/>
      <c r="L66" s="63" t="n"/>
      <c r="M66" s="63" t="n"/>
    </row>
    <row r="67">
      <c r="A67" s="86">
        <f>DATE(YEAR($J$4),MONTH($J$4)-12+30,1)</f>
        <v/>
      </c>
      <c r="B67" s="80" t="n">
        <v>340000</v>
      </c>
      <c r="C67" s="81">
        <f>AVERAGE(B56:B67)</f>
        <v/>
      </c>
      <c r="D67" s="89">
        <f>C67/22</f>
        <v/>
      </c>
      <c r="E67" s="81">
        <f>ROUND(D67,-1)</f>
        <v/>
      </c>
      <c r="F67" s="89">
        <f>E67/3*2</f>
        <v/>
      </c>
      <c r="G67" s="81">
        <f>ROUND(F67,0)</f>
        <v/>
      </c>
      <c r="H67" s="88">
        <f>IF($A67&lt;DATE(YEAR($J$4),MONTH($J$4),1),"",IF($A67&lt;DATE(YEAR($J$5),MONTH($J$5),1),"判定用（初めて〇になる前の月の額）",IF($A67=DATE(YEAR($J$5),MONTH($J$5),1),IF($C$8&lt;&gt;"","← 確認値（C8）の額を、全期間の傷病手当日額として固定して使います","← 初めて〇になった月の額を、全期間の傷病手当日額として固定して使います"),"参考（算定には使いません）")))</f>
        <v/>
      </c>
      <c r="I67" s="63" t="n"/>
      <c r="J67" s="63" t="n"/>
      <c r="K67" s="63" t="n"/>
      <c r="L67" s="63" t="n"/>
      <c r="M67" s="63" t="n"/>
    </row>
    <row r="68">
      <c r="A68" s="86">
        <f>DATE(YEAR($J$4),MONTH($J$4)-12+31,1)</f>
        <v/>
      </c>
      <c r="B68" s="80" t="n">
        <v>340000</v>
      </c>
      <c r="C68" s="81">
        <f>AVERAGE(B57:B68)</f>
        <v/>
      </c>
      <c r="D68" s="89">
        <f>C68/22</f>
        <v/>
      </c>
      <c r="E68" s="81">
        <f>ROUND(D68,-1)</f>
        <v/>
      </c>
      <c r="F68" s="89">
        <f>E68/3*2</f>
        <v/>
      </c>
      <c r="G68" s="81">
        <f>ROUND(F68,0)</f>
        <v/>
      </c>
      <c r="H68" s="88">
        <f>IF($A68&lt;DATE(YEAR($J$4),MONTH($J$4),1),"",IF($A68&lt;DATE(YEAR($J$5),MONTH($J$5),1),"判定用（初めて〇になる前の月の額）",IF($A68=DATE(YEAR($J$5),MONTH($J$5),1),IF($C$8&lt;&gt;"","← 確認値（C8）の額を、全期間の傷病手当日額として固定して使います","← 初めて〇になった月の額を、全期間の傷病手当日額として固定して使います"),"参考（算定には使いません）")))</f>
        <v/>
      </c>
      <c r="I68" s="63" t="n"/>
      <c r="J68" s="63" t="n"/>
      <c r="K68" s="63" t="n"/>
      <c r="L68" s="63" t="n"/>
      <c r="M68" s="63" t="n"/>
    </row>
    <row r="69">
      <c r="A69" s="86">
        <f>DATE(YEAR($J$4),MONTH($J$4)-12+32,1)</f>
        <v/>
      </c>
      <c r="B69" s="80" t="n">
        <v>340000</v>
      </c>
      <c r="C69" s="81">
        <f>AVERAGE(B58:B69)</f>
        <v/>
      </c>
      <c r="D69" s="89">
        <f>C69/22</f>
        <v/>
      </c>
      <c r="E69" s="81">
        <f>ROUND(D69,-1)</f>
        <v/>
      </c>
      <c r="F69" s="89">
        <f>E69/3*2</f>
        <v/>
      </c>
      <c r="G69" s="81">
        <f>ROUND(F69,0)</f>
        <v/>
      </c>
      <c r="H69" s="88">
        <f>IF($A69&lt;DATE(YEAR($J$4),MONTH($J$4),1),"",IF($A69&lt;DATE(YEAR($J$5),MONTH($J$5),1),"判定用（初めて〇になる前の月の額）",IF($A69=DATE(YEAR($J$5),MONTH($J$5),1),IF($C$8&lt;&gt;"","← 確認値（C8）の額を、全期間の傷病手当日額として固定して使います","← 初めて〇になった月の額を、全期間の傷病手当日額として固定して使います"),"参考（算定には使いません）")))</f>
        <v/>
      </c>
      <c r="I69" s="63" t="n"/>
      <c r="J69" s="63" t="n"/>
      <c r="K69" s="63" t="n"/>
      <c r="L69" s="63" t="n"/>
      <c r="M69" s="63" t="n"/>
    </row>
    <row r="70">
      <c r="A70" s="86">
        <f>DATE(YEAR($J$4),MONTH($J$4)-12+33,1)</f>
        <v/>
      </c>
      <c r="B70" s="80" t="n">
        <v>340000</v>
      </c>
      <c r="C70" s="81">
        <f>AVERAGE(B59:B70)</f>
        <v/>
      </c>
      <c r="D70" s="89">
        <f>C70/22</f>
        <v/>
      </c>
      <c r="E70" s="81">
        <f>ROUND(D70,-1)</f>
        <v/>
      </c>
      <c r="F70" s="89">
        <f>E70/3*2</f>
        <v/>
      </c>
      <c r="G70" s="81">
        <f>ROUND(F70,0)</f>
        <v/>
      </c>
      <c r="H70" s="88">
        <f>IF($A70&lt;DATE(YEAR($J$4),MONTH($J$4),1),"",IF($A70&lt;DATE(YEAR($J$5),MONTH($J$5),1),"判定用（初めて〇になる前の月の額）",IF($A70=DATE(YEAR($J$5),MONTH($J$5),1),IF($C$8&lt;&gt;"","← 確認値（C8）の額を、全期間の傷病手当日額として固定して使います","← 初めて〇になった月の額を、全期間の傷病手当日額として固定して使います"),"参考（算定には使いません）")))</f>
        <v/>
      </c>
      <c r="I70" s="63" t="n"/>
      <c r="J70" s="63" t="n"/>
      <c r="K70" s="63" t="n"/>
      <c r="L70" s="63" t="n"/>
      <c r="M70" s="63" t="n"/>
    </row>
    <row r="71">
      <c r="A71" s="86">
        <f>DATE(YEAR($J$4),MONTH($J$4)-12+34,1)</f>
        <v/>
      </c>
      <c r="B71" s="80" t="n">
        <v>340000</v>
      </c>
      <c r="C71" s="81">
        <f>AVERAGE(B60:B71)</f>
        <v/>
      </c>
      <c r="D71" s="89">
        <f>C71/22</f>
        <v/>
      </c>
      <c r="E71" s="81">
        <f>ROUND(D71,-1)</f>
        <v/>
      </c>
      <c r="F71" s="89">
        <f>E71/3*2</f>
        <v/>
      </c>
      <c r="G71" s="81">
        <f>ROUND(F71,0)</f>
        <v/>
      </c>
      <c r="H71" s="88">
        <f>IF($A71&lt;DATE(YEAR($J$4),MONTH($J$4),1),"",IF($A71&lt;DATE(YEAR($J$5),MONTH($J$5),1),"判定用（初めて〇になる前の月の額）",IF($A71=DATE(YEAR($J$5),MONTH($J$5),1),IF($C$8&lt;&gt;"","← 確認値（C8）の額を、全期間の傷病手当日額として固定して使います","← 初めて〇になった月の額を、全期間の傷病手当日額として固定して使います"),"参考（算定には使いません）")))</f>
        <v/>
      </c>
      <c r="I71" s="63" t="n"/>
      <c r="J71" s="63" t="n"/>
      <c r="K71" s="63" t="n"/>
      <c r="L71" s="63" t="n"/>
      <c r="M71" s="63" t="n"/>
    </row>
    <row r="72">
      <c r="A72" s="86">
        <f>DATE(YEAR($J$4),MONTH($J$4)-12+35,1)</f>
        <v/>
      </c>
      <c r="B72" s="80" t="n">
        <v>340000</v>
      </c>
      <c r="C72" s="81">
        <f>AVERAGE(B61:B72)</f>
        <v/>
      </c>
      <c r="D72" s="89">
        <f>C72/22</f>
        <v/>
      </c>
      <c r="E72" s="81">
        <f>ROUND(D72,-1)</f>
        <v/>
      </c>
      <c r="F72" s="89">
        <f>E72/3*2</f>
        <v/>
      </c>
      <c r="G72" s="81">
        <f>ROUND(F72,0)</f>
        <v/>
      </c>
      <c r="H72" s="88">
        <f>IF($A72&lt;DATE(YEAR($J$4),MONTH($J$4),1),"",IF($A72&lt;DATE(YEAR($J$5),MONTH($J$5),1),"判定用（初めて〇になる前の月の額）",IF($A72=DATE(YEAR($J$5),MONTH($J$5),1),IF($C$8&lt;&gt;"","← 確認値（C8）の額を、全期間の傷病手当日額として固定して使います","← 初めて〇になった月の額を、全期間の傷病手当日額として固定して使います"),"参考（算定には使いません）")))</f>
        <v/>
      </c>
      <c r="I72" s="63" t="n"/>
      <c r="J72" s="63" t="n"/>
      <c r="K72" s="63" t="n"/>
      <c r="L72" s="63" t="n"/>
      <c r="M72" s="63" t="n"/>
    </row>
    <row r="73">
      <c r="A73" s="86">
        <f>DATE(YEAR($J$4),MONTH($J$4)-12+36,1)</f>
        <v/>
      </c>
      <c r="B73" s="80" t="n">
        <v>340000</v>
      </c>
      <c r="C73" s="81">
        <f>AVERAGE(B62:B73)</f>
        <v/>
      </c>
      <c r="D73" s="89">
        <f>C73/22</f>
        <v/>
      </c>
      <c r="E73" s="81">
        <f>ROUND(D73,-1)</f>
        <v/>
      </c>
      <c r="F73" s="89">
        <f>E73/3*2</f>
        <v/>
      </c>
      <c r="G73" s="81">
        <f>ROUND(F73,0)</f>
        <v/>
      </c>
      <c r="H73" s="88">
        <f>IF($A73&lt;DATE(YEAR($J$4),MONTH($J$4),1),"",IF($A73&lt;DATE(YEAR($J$5),MONTH($J$5),1),"判定用（初めて〇になる前の月の額）",IF($A73=DATE(YEAR($J$5),MONTH($J$5),1),IF($C$8&lt;&gt;"","← 確認値（C8）の額を、全期間の傷病手当日額として固定して使います","← 初めて〇になった月の額を、全期間の傷病手当日額として固定して使います"),"参考（算定には使いません）")))</f>
        <v/>
      </c>
      <c r="I73" s="63" t="n"/>
      <c r="J73" s="63" t="n"/>
      <c r="K73" s="63" t="n"/>
      <c r="L73" s="63" t="n"/>
      <c r="M73" s="63" t="n"/>
    </row>
    <row r="74">
      <c r="A74" s="86">
        <f>DATE(YEAR($J$4),MONTH($J$4)-12+37,1)</f>
        <v/>
      </c>
      <c r="B74" s="80" t="n">
        <v>340000</v>
      </c>
      <c r="C74" s="81">
        <f>AVERAGE(B63:B74)</f>
        <v/>
      </c>
      <c r="D74" s="89">
        <f>C74/22</f>
        <v/>
      </c>
      <c r="E74" s="81">
        <f>ROUND(D74,-1)</f>
        <v/>
      </c>
      <c r="F74" s="89">
        <f>E74/3*2</f>
        <v/>
      </c>
      <c r="G74" s="81">
        <f>ROUND(F74,0)</f>
        <v/>
      </c>
      <c r="H74" s="88">
        <f>IF($A74&lt;DATE(YEAR($J$4),MONTH($J$4),1),"",IF($A74&lt;DATE(YEAR($J$5),MONTH($J$5),1),"判定用（初めて〇になる前の月の額）",IF($A74=DATE(YEAR($J$5),MONTH($J$5),1),IF($C$8&lt;&gt;"","← 確認値（C8）の額を、全期間の傷病手当日額として固定して使います","← 初めて〇になった月の額を、全期間の傷病手当日額として固定して使います"),"参考（算定には使いません）")))</f>
        <v/>
      </c>
      <c r="I74" s="63" t="n"/>
      <c r="J74" s="63" t="n"/>
      <c r="K74" s="63" t="n"/>
      <c r="L74" s="63" t="n"/>
      <c r="M74" s="63" t="n"/>
    </row>
    <row r="75">
      <c r="A75" s="86">
        <f>DATE(YEAR($J$4),MONTH($J$4)-12+38,1)</f>
        <v/>
      </c>
      <c r="B75" s="80" t="n">
        <v>340000</v>
      </c>
      <c r="C75" s="81">
        <f>AVERAGE(B64:B75)</f>
        <v/>
      </c>
      <c r="D75" s="89">
        <f>C75/22</f>
        <v/>
      </c>
      <c r="E75" s="81">
        <f>ROUND(D75,-1)</f>
        <v/>
      </c>
      <c r="F75" s="89">
        <f>E75/3*2</f>
        <v/>
      </c>
      <c r="G75" s="81">
        <f>ROUND(F75,0)</f>
        <v/>
      </c>
      <c r="H75" s="88">
        <f>IF($A75&lt;DATE(YEAR($J$4),MONTH($J$4),1),"",IF($A75&lt;DATE(YEAR($J$5),MONTH($J$5),1),"判定用（初めて〇になる前の月の額）",IF($A75=DATE(YEAR($J$5),MONTH($J$5),1),IF($C$8&lt;&gt;"","← 確認値（C8）の額を、全期間の傷病手当日額として固定して使います","← 初めて〇になった月の額を、全期間の傷病手当日額として固定して使います"),"参考（算定には使いません）")))</f>
        <v/>
      </c>
      <c r="I75" s="63" t="n"/>
      <c r="J75" s="63" t="n"/>
      <c r="K75" s="63" t="n"/>
      <c r="L75" s="63" t="n"/>
      <c r="M75" s="63" t="n"/>
    </row>
    <row r="76">
      <c r="A76" s="86">
        <f>DATE(YEAR($J$4),MONTH($J$4)-12+39,1)</f>
        <v/>
      </c>
      <c r="B76" s="80" t="n">
        <v>340000</v>
      </c>
      <c r="C76" s="81">
        <f>AVERAGE(B65:B76)</f>
        <v/>
      </c>
      <c r="D76" s="89">
        <f>C76/22</f>
        <v/>
      </c>
      <c r="E76" s="81">
        <f>ROUND(D76,-1)</f>
        <v/>
      </c>
      <c r="F76" s="89">
        <f>E76/3*2</f>
        <v/>
      </c>
      <c r="G76" s="81">
        <f>ROUND(F76,0)</f>
        <v/>
      </c>
      <c r="H76" s="88">
        <f>IF($A76&lt;DATE(YEAR($J$4),MONTH($J$4),1),"",IF($A76&lt;DATE(YEAR($J$5),MONTH($J$5),1),"判定用（初めて〇になる前の月の額）",IF($A76=DATE(YEAR($J$5),MONTH($J$5),1),IF($C$8&lt;&gt;"","← 確認値（C8）の額を、全期間の傷病手当日額として固定して使います","← 初めて〇になった月の額を、全期間の傷病手当日額として固定して使います"),"参考（算定には使いません）")))</f>
        <v/>
      </c>
      <c r="I76" s="63" t="n"/>
      <c r="J76" s="63" t="n"/>
      <c r="K76" s="63" t="n"/>
      <c r="L76" s="63" t="n"/>
      <c r="M76" s="63" t="n"/>
    </row>
    <row r="77">
      <c r="A77" s="86">
        <f>DATE(YEAR($J$4),MONTH($J$4)-12+40,1)</f>
        <v/>
      </c>
      <c r="B77" s="80" t="n">
        <v>340000</v>
      </c>
      <c r="C77" s="81">
        <f>AVERAGE(B66:B77)</f>
        <v/>
      </c>
      <c r="D77" s="89">
        <f>C77/22</f>
        <v/>
      </c>
      <c r="E77" s="81">
        <f>ROUND(D77,-1)</f>
        <v/>
      </c>
      <c r="F77" s="89">
        <f>E77/3*2</f>
        <v/>
      </c>
      <c r="G77" s="81">
        <f>ROUND(F77,0)</f>
        <v/>
      </c>
      <c r="H77" s="88">
        <f>IF($A77&lt;DATE(YEAR($J$4),MONTH($J$4),1),"",IF($A77&lt;DATE(YEAR($J$5),MONTH($J$5),1),"判定用（初めて〇になる前の月の額）",IF($A77=DATE(YEAR($J$5),MONTH($J$5),1),IF($C$8&lt;&gt;"","← 確認値（C8）の額を、全期間の傷病手当日額として固定して使います","← 初めて〇になった月の額を、全期間の傷病手当日額として固定して使います"),"参考（算定には使いません）")))</f>
        <v/>
      </c>
      <c r="I77" s="63" t="n"/>
      <c r="J77" s="63" t="n"/>
      <c r="K77" s="63" t="n"/>
      <c r="L77" s="63" t="n"/>
      <c r="M77" s="63" t="n"/>
    </row>
    <row r="78">
      <c r="A78" s="86">
        <f>DATE(YEAR($J$4),MONTH($J$4)-12+41,1)</f>
        <v/>
      </c>
      <c r="B78" s="80" t="n">
        <v>340000</v>
      </c>
      <c r="C78" s="81">
        <f>AVERAGE(B67:B78)</f>
        <v/>
      </c>
      <c r="D78" s="89">
        <f>C78/22</f>
        <v/>
      </c>
      <c r="E78" s="81">
        <f>ROUND(D78,-1)</f>
        <v/>
      </c>
      <c r="F78" s="89">
        <f>E78/3*2</f>
        <v/>
      </c>
      <c r="G78" s="81">
        <f>ROUND(F78,0)</f>
        <v/>
      </c>
      <c r="H78" s="88">
        <f>IF($A78&lt;DATE(YEAR($J$4),MONTH($J$4),1),"",IF($A78&lt;DATE(YEAR($J$5),MONTH($J$5),1),"判定用（初めて〇になる前の月の額）",IF($A78=DATE(YEAR($J$5),MONTH($J$5),1),IF($C$8&lt;&gt;"","← 確認値（C8）の額を、全期間の傷病手当日額として固定して使います","← 初めて〇になった月の額を、全期間の傷病手当日額として固定して使います"),"参考（算定には使いません）")))</f>
        <v/>
      </c>
      <c r="I78" s="63" t="n"/>
      <c r="J78" s="63" t="n"/>
      <c r="K78" s="63" t="n"/>
      <c r="L78" s="63" t="n"/>
      <c r="M78" s="63" t="n"/>
    </row>
    <row r="79">
      <c r="A79" s="65" t="inlineStr">
        <is>
          <t>※標準報酬月額は、待機後の初日の月の12か月前から入力します。算定表で初めて〇になった月（太字の行）の額を傷病手当日額に使い、それより前の月は〇の判定にだけ使います。将来月は現在の額を見込みで入力し、定時決定・随時改定があれば更新します。</t>
        </is>
      </c>
      <c r="B79" s="63" t="n"/>
      <c r="C79" s="63" t="n"/>
      <c r="D79" s="63" t="n"/>
      <c r="E79" s="63" t="n"/>
      <c r="F79" s="63" t="n"/>
      <c r="G79" s="63" t="n"/>
      <c r="H79" s="63" t="n"/>
      <c r="I79" s="63" t="n"/>
      <c r="J79" s="63" t="n"/>
      <c r="K79" s="63" t="n"/>
      <c r="L79" s="63" t="n"/>
      <c r="M79" s="63" t="n"/>
    </row>
    <row r="80">
      <c r="A80" s="63" t="n"/>
      <c r="B80" s="63" t="n"/>
      <c r="C80" s="63" t="n"/>
      <c r="D80" s="63" t="n"/>
      <c r="E80" s="63" t="n"/>
      <c r="F80" s="63" t="n"/>
      <c r="G80" s="63" t="n"/>
      <c r="H80" s="63" t="n"/>
      <c r="I80" s="63" t="n"/>
      <c r="J80" s="63" t="n"/>
      <c r="K80" s="63" t="n"/>
      <c r="L80" s="63" t="n"/>
      <c r="M80" s="63" t="n"/>
    </row>
    <row r="81">
      <c r="A81" s="63" t="n"/>
      <c r="B81" s="63" t="n"/>
      <c r="C81" s="63" t="n"/>
      <c r="D81" s="63" t="n"/>
      <c r="E81" s="63" t="n"/>
      <c r="F81" s="63" t="n"/>
      <c r="G81" s="63" t="n"/>
      <c r="H81" s="63" t="n"/>
      <c r="I81" s="63" t="n"/>
      <c r="J81" s="63" t="n"/>
      <c r="K81" s="63" t="n"/>
      <c r="L81" s="63" t="n"/>
      <c r="M81" s="63" t="n"/>
    </row>
    <row r="82">
      <c r="A82" s="66" t="inlineStr">
        <is>
          <t>■ 出勤期間（出勤して傷病手当を受けない期間。その分だけ支給期間が延びます）</t>
        </is>
      </c>
      <c r="B82" s="63" t="n"/>
      <c r="C82" s="63" t="n"/>
      <c r="D82" s="63" t="n"/>
      <c r="E82" s="63" t="n"/>
      <c r="F82" s="63" t="n"/>
      <c r="G82" s="63" t="n"/>
      <c r="H82" s="63" t="n"/>
      <c r="I82" s="63" t="n"/>
      <c r="J82" s="63" t="n"/>
      <c r="K82" s="63" t="n"/>
      <c r="L82" s="63" t="n"/>
      <c r="M82" s="63" t="n"/>
    </row>
    <row r="83">
      <c r="A83" s="65" t="inlineStr">
        <is>
          <t>※出勤した期間の開始日・終了日を、古い順に入力（10件まで）。月は応当日の前日まで数え（例：1/3〜3/2 → 2か月）、残りは「土日を除く日数」だけ後ろにずれます（例：2/1〜3/15 → 1か月＋3/1〜3/15の土日を除く日数）。</t>
        </is>
      </c>
      <c r="B83" s="63" t="n"/>
      <c r="C83" s="63" t="n"/>
      <c r="D83" s="63" t="n"/>
      <c r="E83" s="63" t="n"/>
      <c r="F83" s="63" t="n"/>
      <c r="G83" s="63" t="n"/>
      <c r="H83" s="63" t="n"/>
      <c r="I83" s="63" t="n"/>
      <c r="J83" s="63" t="n"/>
      <c r="K83" s="63" t="n"/>
      <c r="L83" s="63" t="n"/>
      <c r="M83" s="63" t="n"/>
    </row>
    <row r="84" ht="44" customHeight="1" s="39">
      <c r="A84" s="77" t="inlineStr">
        <is>
          <t>番号</t>
        </is>
      </c>
      <c r="B84" s="77" t="inlineStr">
        <is>
          <t>開始日</t>
        </is>
      </c>
      <c r="C84" s="77" t="inlineStr">
        <is>
          <t>終了日</t>
        </is>
      </c>
      <c r="D84" s="77" t="inlineStr">
        <is>
          <t>延びる月数
（自動）</t>
        </is>
      </c>
      <c r="E84" s="77" t="inlineStr">
        <is>
          <t>延びる日数
（土日除く・自動）</t>
        </is>
      </c>
      <c r="F84" s="77" t="inlineStr">
        <is>
          <t>区分
（自動）</t>
        </is>
      </c>
      <c r="G84" s="77" t="inlineStr">
        <is>
          <t>法定：月数
（累計）</t>
        </is>
      </c>
      <c r="H84" s="77" t="inlineStr">
        <is>
          <t>法定：日数
（累計）</t>
        </is>
      </c>
      <c r="I84" s="77" t="inlineStr">
        <is>
          <t>附加：月数
（累計）</t>
        </is>
      </c>
      <c r="J84" s="77" t="inlineStr">
        <is>
          <t>附加：日数
（累計）</t>
        </is>
      </c>
      <c r="K84" s="77" t="inlineStr">
        <is>
          <t>法定末日
（この行まで）</t>
        </is>
      </c>
      <c r="L84" s="77" t="inlineStr">
        <is>
          <t>月で数えた終わり
（途中経過）</t>
        </is>
      </c>
      <c r="M84" s="77" t="inlineStr">
        <is>
          <t>残りの始め
（途中経過）</t>
        </is>
      </c>
    </row>
    <row r="85">
      <c r="A85" s="90" t="inlineStr">
        <is>
          <t>基準・合計</t>
        </is>
      </c>
      <c r="B85" s="87" t="n"/>
      <c r="C85" s="87" t="n"/>
      <c r="D85" s="81">
        <f>MAX(G85:G95)+MAX(I85:I95)</f>
        <v/>
      </c>
      <c r="E85" s="81">
        <f>MAX(H85:H95)+MAX(J85:J95)</f>
        <v/>
      </c>
      <c r="F85" s="87" t="n"/>
      <c r="G85" s="81" t="n">
        <v>0</v>
      </c>
      <c r="H85" s="81" t="n">
        <v>0</v>
      </c>
      <c r="I85" s="81" t="n">
        <v>0</v>
      </c>
      <c r="J85" s="81" t="n">
        <v>0</v>
      </c>
      <c r="K85" s="68">
        <f>EDATE($J$4,18)-1</f>
        <v/>
      </c>
      <c r="L85" s="87" t="n"/>
      <c r="M85" s="87" t="n"/>
    </row>
    <row r="86">
      <c r="A86" s="90" t="n">
        <v>1</v>
      </c>
      <c r="B86" s="79" t="n"/>
      <c r="C86" s="79" t="n"/>
      <c r="D86" s="81">
        <f>IF(OR(B86="",C86="",C86&lt;B86),0,MAX(0,(YEAR(C86)-YEAR(B86))*12+MONTH(C86)-MONTH(B86)-IF(EDATE(B86,(YEAR(C86)-YEAR(B86))*12+MONTH(C86)-MONTH(B86))-1&gt;C86,1,0)))</f>
        <v/>
      </c>
      <c r="E86" s="81">
        <f>IF(OR(OR(B86="",C86="",C86&lt;B86),M86=""),0,NETWORKDAYS(M86,C86))</f>
        <v/>
      </c>
      <c r="F86" s="90">
        <f>IF(OR(B86="",C86=""),"",IF(C86&lt;B86,"日付エラー",IF(B86&lt;$J$4,"対象外",IF(B86&lt;=K85,"法定",IF(B86&lt;=WORKDAY(EDATE(K85+1,6+I85)-1,J85),"附加","対象外")))))</f>
        <v/>
      </c>
      <c r="G86" s="81">
        <f>G85+IF(F86="法定",D86,0)</f>
        <v/>
      </c>
      <c r="H86" s="81">
        <f>H85+IF(F86="法定",E86,0)</f>
        <v/>
      </c>
      <c r="I86" s="81">
        <f>I85+IF(F86="附加",D86,0)</f>
        <v/>
      </c>
      <c r="J86" s="81">
        <f>J85+IF(F86="附加",E86,0)</f>
        <v/>
      </c>
      <c r="K86" s="68">
        <f>WORKDAY(EDATE($J$4,18+G86)-1,H86)</f>
        <v/>
      </c>
      <c r="L86" s="68">
        <f>IF(OR(B86="",C86="",C86&lt;B86),"",EDATE(B86,D86)-1)</f>
        <v/>
      </c>
      <c r="M86" s="68">
        <f>IF(L86="","",IF(L86&gt;=C86,"",L86+1))</f>
        <v/>
      </c>
    </row>
    <row r="87">
      <c r="A87" s="90" t="n">
        <v>2</v>
      </c>
      <c r="B87" s="79" t="n"/>
      <c r="C87" s="79" t="n"/>
      <c r="D87" s="81">
        <f>IF(OR(B87="",C87="",C87&lt;B87),0,MAX(0,(YEAR(C87)-YEAR(B87))*12+MONTH(C87)-MONTH(B87)-IF(EDATE(B87,(YEAR(C87)-YEAR(B87))*12+MONTH(C87)-MONTH(B87))-1&gt;C87,1,0)))</f>
        <v/>
      </c>
      <c r="E87" s="81">
        <f>IF(OR(OR(B87="",C87="",C87&lt;B87),M87=""),0,NETWORKDAYS(M87,C87))</f>
        <v/>
      </c>
      <c r="F87" s="90">
        <f>IF(OR(B87="",C87=""),"",IF(C87&lt;B87,"日付エラー",IF(B87&lt;$J$4,"対象外",IF(B87&lt;=K86,"法定",IF(B87&lt;=WORKDAY(EDATE(K86+1,6+I86)-1,J86),"附加","対象外")))))</f>
        <v/>
      </c>
      <c r="G87" s="81">
        <f>G86+IF(F87="法定",D87,0)</f>
        <v/>
      </c>
      <c r="H87" s="81">
        <f>H86+IF(F87="法定",E87,0)</f>
        <v/>
      </c>
      <c r="I87" s="81">
        <f>I86+IF(F87="附加",D87,0)</f>
        <v/>
      </c>
      <c r="J87" s="81">
        <f>J86+IF(F87="附加",E87,0)</f>
        <v/>
      </c>
      <c r="K87" s="68">
        <f>WORKDAY(EDATE($J$4,18+G87)-1,H87)</f>
        <v/>
      </c>
      <c r="L87" s="68">
        <f>IF(OR(B87="",C87="",C87&lt;B87),"",EDATE(B87,D87)-1)</f>
        <v/>
      </c>
      <c r="M87" s="68">
        <f>IF(L87="","",IF(L87&gt;=C87,"",L87+1))</f>
        <v/>
      </c>
    </row>
    <row r="88">
      <c r="A88" s="90" t="n">
        <v>3</v>
      </c>
      <c r="B88" s="79" t="n"/>
      <c r="C88" s="79" t="n"/>
      <c r="D88" s="81">
        <f>IF(OR(B88="",C88="",C88&lt;B88),0,MAX(0,(YEAR(C88)-YEAR(B88))*12+MONTH(C88)-MONTH(B88)-IF(EDATE(B88,(YEAR(C88)-YEAR(B88))*12+MONTH(C88)-MONTH(B88))-1&gt;C88,1,0)))</f>
        <v/>
      </c>
      <c r="E88" s="81">
        <f>IF(OR(OR(B88="",C88="",C88&lt;B88),M88=""),0,NETWORKDAYS(M88,C88))</f>
        <v/>
      </c>
      <c r="F88" s="90">
        <f>IF(OR(B88="",C88=""),"",IF(C88&lt;B88,"日付エラー",IF(B88&lt;$J$4,"対象外",IF(B88&lt;=K87,"法定",IF(B88&lt;=WORKDAY(EDATE(K87+1,6+I87)-1,J87),"附加","対象外")))))</f>
        <v/>
      </c>
      <c r="G88" s="81">
        <f>G87+IF(F88="法定",D88,0)</f>
        <v/>
      </c>
      <c r="H88" s="81">
        <f>H87+IF(F88="法定",E88,0)</f>
        <v/>
      </c>
      <c r="I88" s="81">
        <f>I87+IF(F88="附加",D88,0)</f>
        <v/>
      </c>
      <c r="J88" s="81">
        <f>J87+IF(F88="附加",E88,0)</f>
        <v/>
      </c>
      <c r="K88" s="68">
        <f>WORKDAY(EDATE($J$4,18+G88)-1,H88)</f>
        <v/>
      </c>
      <c r="L88" s="68">
        <f>IF(OR(B88="",C88="",C88&lt;B88),"",EDATE(B88,D88)-1)</f>
        <v/>
      </c>
      <c r="M88" s="68">
        <f>IF(L88="","",IF(L88&gt;=C88,"",L88+1))</f>
        <v/>
      </c>
    </row>
    <row r="89">
      <c r="A89" s="90" t="n">
        <v>4</v>
      </c>
      <c r="B89" s="79" t="n"/>
      <c r="C89" s="79" t="n"/>
      <c r="D89" s="81">
        <f>IF(OR(B89="",C89="",C89&lt;B89),0,MAX(0,(YEAR(C89)-YEAR(B89))*12+MONTH(C89)-MONTH(B89)-IF(EDATE(B89,(YEAR(C89)-YEAR(B89))*12+MONTH(C89)-MONTH(B89))-1&gt;C89,1,0)))</f>
        <v/>
      </c>
      <c r="E89" s="81">
        <f>IF(OR(OR(B89="",C89="",C89&lt;B89),M89=""),0,NETWORKDAYS(M89,C89))</f>
        <v/>
      </c>
      <c r="F89" s="90">
        <f>IF(OR(B89="",C89=""),"",IF(C89&lt;B89,"日付エラー",IF(B89&lt;$J$4,"対象外",IF(B89&lt;=K88,"法定",IF(B89&lt;=WORKDAY(EDATE(K88+1,6+I88)-1,J88),"附加","対象外")))))</f>
        <v/>
      </c>
      <c r="G89" s="81">
        <f>G88+IF(F89="法定",D89,0)</f>
        <v/>
      </c>
      <c r="H89" s="81">
        <f>H88+IF(F89="法定",E89,0)</f>
        <v/>
      </c>
      <c r="I89" s="81">
        <f>I88+IF(F89="附加",D89,0)</f>
        <v/>
      </c>
      <c r="J89" s="81">
        <f>J88+IF(F89="附加",E89,0)</f>
        <v/>
      </c>
      <c r="K89" s="68">
        <f>WORKDAY(EDATE($J$4,18+G89)-1,H89)</f>
        <v/>
      </c>
      <c r="L89" s="68">
        <f>IF(OR(B89="",C89="",C89&lt;B89),"",EDATE(B89,D89)-1)</f>
        <v/>
      </c>
      <c r="M89" s="68">
        <f>IF(L89="","",IF(L89&gt;=C89,"",L89+1))</f>
        <v/>
      </c>
    </row>
    <row r="90">
      <c r="A90" s="90" t="n">
        <v>5</v>
      </c>
      <c r="B90" s="79" t="n"/>
      <c r="C90" s="79" t="n"/>
      <c r="D90" s="81">
        <f>IF(OR(B90="",C90="",C90&lt;B90),0,MAX(0,(YEAR(C90)-YEAR(B90))*12+MONTH(C90)-MONTH(B90)-IF(EDATE(B90,(YEAR(C90)-YEAR(B90))*12+MONTH(C90)-MONTH(B90))-1&gt;C90,1,0)))</f>
        <v/>
      </c>
      <c r="E90" s="81">
        <f>IF(OR(OR(B90="",C90="",C90&lt;B90),M90=""),0,NETWORKDAYS(M90,C90))</f>
        <v/>
      </c>
      <c r="F90" s="90">
        <f>IF(OR(B90="",C90=""),"",IF(C90&lt;B90,"日付エラー",IF(B90&lt;$J$4,"対象外",IF(B90&lt;=K89,"法定",IF(B90&lt;=WORKDAY(EDATE(K89+1,6+I89)-1,J89),"附加","対象外")))))</f>
        <v/>
      </c>
      <c r="G90" s="81">
        <f>G89+IF(F90="法定",D90,0)</f>
        <v/>
      </c>
      <c r="H90" s="81">
        <f>H89+IF(F90="法定",E90,0)</f>
        <v/>
      </c>
      <c r="I90" s="81">
        <f>I89+IF(F90="附加",D90,0)</f>
        <v/>
      </c>
      <c r="J90" s="81">
        <f>J89+IF(F90="附加",E90,0)</f>
        <v/>
      </c>
      <c r="K90" s="68">
        <f>WORKDAY(EDATE($J$4,18+G90)-1,H90)</f>
        <v/>
      </c>
      <c r="L90" s="68">
        <f>IF(OR(B90="",C90="",C90&lt;B90),"",EDATE(B90,D90)-1)</f>
        <v/>
      </c>
      <c r="M90" s="68">
        <f>IF(L90="","",IF(L90&gt;=C90,"",L90+1))</f>
        <v/>
      </c>
    </row>
    <row r="91">
      <c r="A91" s="90" t="n">
        <v>6</v>
      </c>
      <c r="B91" s="79" t="n"/>
      <c r="C91" s="79" t="n"/>
      <c r="D91" s="81">
        <f>IF(OR(B91="",C91="",C91&lt;B91),0,MAX(0,(YEAR(C91)-YEAR(B91))*12+MONTH(C91)-MONTH(B91)-IF(EDATE(B91,(YEAR(C91)-YEAR(B91))*12+MONTH(C91)-MONTH(B91))-1&gt;C91,1,0)))</f>
        <v/>
      </c>
      <c r="E91" s="81">
        <f>IF(OR(OR(B91="",C91="",C91&lt;B91),M91=""),0,NETWORKDAYS(M91,C91))</f>
        <v/>
      </c>
      <c r="F91" s="90">
        <f>IF(OR(B91="",C91=""),"",IF(C91&lt;B91,"日付エラー",IF(B91&lt;$J$4,"対象外",IF(B91&lt;=K90,"法定",IF(B91&lt;=WORKDAY(EDATE(K90+1,6+I90)-1,J90),"附加","対象外")))))</f>
        <v/>
      </c>
      <c r="G91" s="81">
        <f>G90+IF(F91="法定",D91,0)</f>
        <v/>
      </c>
      <c r="H91" s="81">
        <f>H90+IF(F91="法定",E91,0)</f>
        <v/>
      </c>
      <c r="I91" s="81">
        <f>I90+IF(F91="附加",D91,0)</f>
        <v/>
      </c>
      <c r="J91" s="81">
        <f>J90+IF(F91="附加",E91,0)</f>
        <v/>
      </c>
      <c r="K91" s="68">
        <f>WORKDAY(EDATE($J$4,18+G91)-1,H91)</f>
        <v/>
      </c>
      <c r="L91" s="68">
        <f>IF(OR(B91="",C91="",C91&lt;B91),"",EDATE(B91,D91)-1)</f>
        <v/>
      </c>
      <c r="M91" s="68">
        <f>IF(L91="","",IF(L91&gt;=C91,"",L91+1))</f>
        <v/>
      </c>
    </row>
    <row r="92">
      <c r="A92" s="90" t="n">
        <v>7</v>
      </c>
      <c r="B92" s="79" t="n"/>
      <c r="C92" s="79" t="n"/>
      <c r="D92" s="81">
        <f>IF(OR(B92="",C92="",C92&lt;B92),0,MAX(0,(YEAR(C92)-YEAR(B92))*12+MONTH(C92)-MONTH(B92)-IF(EDATE(B92,(YEAR(C92)-YEAR(B92))*12+MONTH(C92)-MONTH(B92))-1&gt;C92,1,0)))</f>
        <v/>
      </c>
      <c r="E92" s="81">
        <f>IF(OR(OR(B92="",C92="",C92&lt;B92),M92=""),0,NETWORKDAYS(M92,C92))</f>
        <v/>
      </c>
      <c r="F92" s="90">
        <f>IF(OR(B92="",C92=""),"",IF(C92&lt;B92,"日付エラー",IF(B92&lt;$J$4,"対象外",IF(B92&lt;=K91,"法定",IF(B92&lt;=WORKDAY(EDATE(K91+1,6+I91)-1,J91),"附加","対象外")))))</f>
        <v/>
      </c>
      <c r="G92" s="81">
        <f>G91+IF(F92="法定",D92,0)</f>
        <v/>
      </c>
      <c r="H92" s="81">
        <f>H91+IF(F92="法定",E92,0)</f>
        <v/>
      </c>
      <c r="I92" s="81">
        <f>I91+IF(F92="附加",D92,0)</f>
        <v/>
      </c>
      <c r="J92" s="81">
        <f>J91+IF(F92="附加",E92,0)</f>
        <v/>
      </c>
      <c r="K92" s="68">
        <f>WORKDAY(EDATE($J$4,18+G92)-1,H92)</f>
        <v/>
      </c>
      <c r="L92" s="68">
        <f>IF(OR(B92="",C92="",C92&lt;B92),"",EDATE(B92,D92)-1)</f>
        <v/>
      </c>
      <c r="M92" s="68">
        <f>IF(L92="","",IF(L92&gt;=C92,"",L92+1))</f>
        <v/>
      </c>
    </row>
    <row r="93">
      <c r="A93" s="90" t="n">
        <v>8</v>
      </c>
      <c r="B93" s="79" t="n"/>
      <c r="C93" s="79" t="n"/>
      <c r="D93" s="81">
        <f>IF(OR(B93="",C93="",C93&lt;B93),0,MAX(0,(YEAR(C93)-YEAR(B93))*12+MONTH(C93)-MONTH(B93)-IF(EDATE(B93,(YEAR(C93)-YEAR(B93))*12+MONTH(C93)-MONTH(B93))-1&gt;C93,1,0)))</f>
        <v/>
      </c>
      <c r="E93" s="81">
        <f>IF(OR(OR(B93="",C93="",C93&lt;B93),M93=""),0,NETWORKDAYS(M93,C93))</f>
        <v/>
      </c>
      <c r="F93" s="90">
        <f>IF(OR(B93="",C93=""),"",IF(C93&lt;B93,"日付エラー",IF(B93&lt;$J$4,"対象外",IF(B93&lt;=K92,"法定",IF(B93&lt;=WORKDAY(EDATE(K92+1,6+I92)-1,J92),"附加","対象外")))))</f>
        <v/>
      </c>
      <c r="G93" s="81">
        <f>G92+IF(F93="法定",D93,0)</f>
        <v/>
      </c>
      <c r="H93" s="81">
        <f>H92+IF(F93="法定",E93,0)</f>
        <v/>
      </c>
      <c r="I93" s="81">
        <f>I92+IF(F93="附加",D93,0)</f>
        <v/>
      </c>
      <c r="J93" s="81">
        <f>J92+IF(F93="附加",E93,0)</f>
        <v/>
      </c>
      <c r="K93" s="68">
        <f>WORKDAY(EDATE($J$4,18+G93)-1,H93)</f>
        <v/>
      </c>
      <c r="L93" s="68">
        <f>IF(OR(B93="",C93="",C93&lt;B93),"",EDATE(B93,D93)-1)</f>
        <v/>
      </c>
      <c r="M93" s="68">
        <f>IF(L93="","",IF(L93&gt;=C93,"",L93+1))</f>
        <v/>
      </c>
    </row>
    <row r="94">
      <c r="A94" s="90" t="n">
        <v>9</v>
      </c>
      <c r="B94" s="79" t="n"/>
      <c r="C94" s="79" t="n"/>
      <c r="D94" s="81">
        <f>IF(OR(B94="",C94="",C94&lt;B94),0,MAX(0,(YEAR(C94)-YEAR(B94))*12+MONTH(C94)-MONTH(B94)-IF(EDATE(B94,(YEAR(C94)-YEAR(B94))*12+MONTH(C94)-MONTH(B94))-1&gt;C94,1,0)))</f>
        <v/>
      </c>
      <c r="E94" s="81">
        <f>IF(OR(OR(B94="",C94="",C94&lt;B94),M94=""),0,NETWORKDAYS(M94,C94))</f>
        <v/>
      </c>
      <c r="F94" s="90">
        <f>IF(OR(B94="",C94=""),"",IF(C94&lt;B94,"日付エラー",IF(B94&lt;$J$4,"対象外",IF(B94&lt;=K93,"法定",IF(B94&lt;=WORKDAY(EDATE(K93+1,6+I93)-1,J93),"附加","対象外")))))</f>
        <v/>
      </c>
      <c r="G94" s="81">
        <f>G93+IF(F94="法定",D94,0)</f>
        <v/>
      </c>
      <c r="H94" s="81">
        <f>H93+IF(F94="法定",E94,0)</f>
        <v/>
      </c>
      <c r="I94" s="81">
        <f>I93+IF(F94="附加",D94,0)</f>
        <v/>
      </c>
      <c r="J94" s="81">
        <f>J93+IF(F94="附加",E94,0)</f>
        <v/>
      </c>
      <c r="K94" s="68">
        <f>WORKDAY(EDATE($J$4,18+G94)-1,H94)</f>
        <v/>
      </c>
      <c r="L94" s="68">
        <f>IF(OR(B94="",C94="",C94&lt;B94),"",EDATE(B94,D94)-1)</f>
        <v/>
      </c>
      <c r="M94" s="68">
        <f>IF(L94="","",IF(L94&gt;=C94,"",L94+1))</f>
        <v/>
      </c>
    </row>
    <row r="95">
      <c r="A95" s="90" t="n">
        <v>10</v>
      </c>
      <c r="B95" s="79" t="n"/>
      <c r="C95" s="79" t="n"/>
      <c r="D95" s="81">
        <f>IF(OR(B95="",C95="",C95&lt;B95),0,MAX(0,(YEAR(C95)-YEAR(B95))*12+MONTH(C95)-MONTH(B95)-IF(EDATE(B95,(YEAR(C95)-YEAR(B95))*12+MONTH(C95)-MONTH(B95))-1&gt;C95,1,0)))</f>
        <v/>
      </c>
      <c r="E95" s="81">
        <f>IF(OR(OR(B95="",C95="",C95&lt;B95),M95=""),0,NETWORKDAYS(M95,C95))</f>
        <v/>
      </c>
      <c r="F95" s="90">
        <f>IF(OR(B95="",C95=""),"",IF(C95&lt;B95,"日付エラー",IF(B95&lt;$J$4,"対象外",IF(B95&lt;=K94,"法定",IF(B95&lt;=WORKDAY(EDATE(K94+1,6+I94)-1,J94),"附加","対象外")))))</f>
        <v/>
      </c>
      <c r="G95" s="81">
        <f>G94+IF(F95="法定",D95,0)</f>
        <v/>
      </c>
      <c r="H95" s="81">
        <f>H94+IF(F95="法定",E95,0)</f>
        <v/>
      </c>
      <c r="I95" s="81">
        <f>I94+IF(F95="附加",D95,0)</f>
        <v/>
      </c>
      <c r="J95" s="81">
        <f>J94+IF(F95="附加",E95,0)</f>
        <v/>
      </c>
      <c r="K95" s="68">
        <f>WORKDAY(EDATE($J$4,18+G95)-1,H95)</f>
        <v/>
      </c>
      <c r="L95" s="68">
        <f>IF(OR(B95="",C95="",C95&lt;B95),"",EDATE(B95,D95)-1)</f>
        <v/>
      </c>
      <c r="M95" s="68">
        <f>IF(L95="","",IF(L95&gt;=C95,"",L95+1))</f>
        <v/>
      </c>
    </row>
    <row r="96">
      <c r="A96" s="65" t="inlineStr">
        <is>
          <t>※10件を超えるときは、途中の行を挿入し、挿入した行から最終行までを選択して Ctrl+D（上の行の式をコピー）してください。範囲は自動で広がります。</t>
        </is>
      </c>
      <c r="B96" s="63" t="n"/>
      <c r="C96" s="63" t="n"/>
      <c r="D96" s="63" t="n"/>
      <c r="E96" s="63" t="n"/>
      <c r="F96" s="63" t="n"/>
      <c r="G96" s="63" t="n"/>
      <c r="H96" s="63" t="n"/>
      <c r="I96" s="63" t="n"/>
      <c r="J96" s="63" t="n"/>
      <c r="K96" s="63" t="n"/>
      <c r="L96" s="63" t="n"/>
      <c r="M96" s="63" t="n"/>
    </row>
    <row r="97">
      <c r="A97" s="65" t="inlineStr">
        <is>
          <t>※ずらし方（月数・土日を除く日数）を変えるときは、D列・E列の式だけ直せば、すべてに反映されます。</t>
        </is>
      </c>
      <c r="B97" s="63" t="n"/>
      <c r="C97" s="63" t="n"/>
      <c r="D97" s="63" t="n"/>
      <c r="E97" s="63" t="n"/>
      <c r="F97" s="63" t="n"/>
      <c r="G97" s="63" t="n"/>
      <c r="H97" s="63" t="n"/>
      <c r="I97" s="63" t="n"/>
      <c r="J97" s="63" t="n"/>
      <c r="K97" s="63" t="n"/>
      <c r="L97" s="63" t="n"/>
      <c r="M97" s="63" t="n"/>
    </row>
  </sheetData>
  <mergeCells count="9">
    <mergeCell ref="A7:B7"/>
    <mergeCell ref="A8:B8"/>
    <mergeCell ref="A9:B9"/>
    <mergeCell ref="C5:D5"/>
    <mergeCell ref="D9:F9"/>
    <mergeCell ref="D7:F7"/>
    <mergeCell ref="D8:F8"/>
    <mergeCell ref="D6:F6"/>
    <mergeCell ref="A6:B6"/>
  </mergeCells>
  <conditionalFormatting sqref="A37:G78">
    <cfRule type="expression" priority="1" dxfId="1">
      <formula>$A37=DATE(YEAR($J$5),MONTH($J$5),1)</formula>
    </cfRule>
  </conditionalFormatting>
  <conditionalFormatting sqref="H37:H78">
    <cfRule type="expression" priority="2" dxfId="2">
      <formula>$A37=DATE(YEAR($J$5),MONTH($J$5),1)</formula>
    </cfRule>
  </conditionalFormatting>
  <conditionalFormatting sqref="F86:F95">
    <cfRule type="expression" priority="3" dxfId="2">
      <formula>OR($F86="日付エラー",$F86="対象外")</formula>
    </cfRule>
  </conditionalFormatting>
  <dataValidations count="3">
    <dataValidation sqref="A13:A20" showDropDown="0" showInputMessage="0" showErrorMessage="0" allowBlank="1" type="list">
      <formula1>"10割,8割,無給,その他"</formula1>
      <formula2>0</formula2>
    </dataValidation>
    <dataValidation sqref="C9" showDropDown="0" showInputMessage="0" showErrorMessage="0" allowBlank="1" type="list">
      <formula1>"有,無"</formula1>
    </dataValidation>
    <dataValidation sqref="B86:C95" showDropDown="0" showInputMessage="0" showErrorMessage="1" allowBlank="1" errorTitle="日付を入力" error="日付（例：R7.9.1）を入力してください。" type="date" operator="greaterThan">
      <formula1>36526</formula1>
    </dataValidation>
  </dataValidations>
  <pageMargins left="0.75" right="0.75" top="1" bottom="1" header="0.511811023622047" footer="0.511811023622047"/>
  <pageSetup orientation="portrait" fitToHeight="0" horizontalDpi="300" verticalDpi="300"/>
  <rowBreaks count="1" manualBreakCount="1">
    <brk id="80" min="0" max="16383" man="1"/>
  </rowBreaks>
</worksheet>
</file>

<file path=xl/worksheets/sheet3.xml><?xml version="1.0" encoding="utf-8"?>
<worksheet xmlns="http://schemas.openxmlformats.org/spreadsheetml/2006/main">
  <sheetPr>
    <outlinePr summaryBelow="1" summaryRight="1"/>
    <pageSetUpPr fitToPage="1"/>
  </sheetPr>
  <dimension ref="A1:L69"/>
  <sheetViews>
    <sheetView tabSelected="0" workbookViewId="0">
      <pane ySplit="5" topLeftCell="A6" activePane="bottomLeft" state="frozen"/>
      <selection pane="bottomLeft" activeCell="A1" sqref="A1"/>
    </sheetView>
  </sheetViews>
  <sheetFormatPr baseColWidth="8" defaultRowHeight="15"/>
  <cols>
    <col width="6" customWidth="1" style="39" min="1" max="1"/>
    <col width="7" customWidth="1" style="39" min="2" max="2"/>
    <col width="5" customWidth="1" style="39" min="3" max="3"/>
    <col width="7" customWidth="1" style="39" min="4" max="4"/>
    <col width="13" customWidth="1" style="39" min="5" max="5"/>
    <col width="13" customWidth="1" style="39" min="6" max="6"/>
    <col width="9" customWidth="1" style="39" min="7" max="7"/>
    <col width="13" customWidth="1" style="39" min="8" max="8"/>
    <col width="12" customWidth="1" style="39" min="9" max="9"/>
    <col width="16" customWidth="1" style="39" min="10" max="10"/>
    <col width="10" customWidth="1" style="39" min="11" max="11"/>
    <col hidden="1" width="5" customWidth="1" style="39" min="12" max="12"/>
  </cols>
  <sheetData>
    <row r="1">
      <c r="A1" s="64">
        <f>算定表!A1</f>
        <v/>
      </c>
      <c r="B1" s="63" t="n"/>
      <c r="C1" s="63" t="n"/>
      <c r="D1" s="63" t="n"/>
      <c r="E1" s="63" t="n"/>
      <c r="F1" s="63" t="n"/>
      <c r="G1" s="63" t="n"/>
      <c r="H1" s="63" t="n"/>
      <c r="I1" s="63" t="n"/>
      <c r="J1" s="63" t="n"/>
      <c r="K1" s="63" t="n"/>
      <c r="L1" s="63" t="n"/>
    </row>
    <row r="2">
      <c r="A2" s="65" t="inlineStr">
        <is>
          <t>基幹システム入力用：月ごと・法定／附加ごとに集計します（給与区分で行が分かれる月も1行にまとめています）。</t>
        </is>
      </c>
      <c r="B2" s="63" t="n"/>
      <c r="C2" s="63" t="n"/>
      <c r="D2" s="63" t="n"/>
      <c r="E2" s="63" t="n"/>
      <c r="F2" s="63" t="n"/>
      <c r="G2" s="63" t="n"/>
      <c r="H2" s="63" t="n"/>
      <c r="I2" s="63" t="n"/>
      <c r="J2" s="63" t="n"/>
      <c r="K2" s="63" t="n"/>
      <c r="L2" s="63" t="n"/>
    </row>
    <row r="3">
      <c r="A3" s="65">
        <f>"支給開始日：" &amp; TEXT(入力!J5,"[$-411]ggge""年""m""月""d""日""") &amp; "　　法定給付の末日：" &amp; TEXT(入力!J6,"[$-411]ggge""年""m""月""d""日""") &amp; "　　附加給付：" &amp; IF(入力!J9&gt;入力!J6,TEXT(入力!J7,"[$-411]ggge""年""m""月""d""日""") &amp; "～" &amp; TEXT(入力!J8,"[$-411]ggge""年""m""月""d""日"""),"なし") &amp; "　　算定の最終日：" &amp; TEXT(入力!J9,"[$-411]ggge""年""m""月""d""日""")</f>
        <v/>
      </c>
      <c r="B3" s="63" t="n"/>
      <c r="C3" s="63" t="n"/>
      <c r="D3" s="63" t="n"/>
      <c r="E3" s="63" t="n"/>
      <c r="F3" s="63" t="n"/>
      <c r="G3" s="63" t="n"/>
      <c r="H3" s="63" t="n"/>
      <c r="I3" s="63" t="n"/>
      <c r="J3" s="63" t="n"/>
      <c r="K3" s="63" t="n"/>
      <c r="L3" s="63" t="n"/>
    </row>
    <row r="4">
      <c r="A4" s="65">
        <f>"傷病手当日額（初めて〇になった月で固定）：" &amp; TEXT(入力!J10,"#,##0") &amp; "円" &amp; IF(OR(入力!D85&gt;0,入力!E85&gt;0),"　　出勤による延長：" &amp; IF(入力!D85&gt;0,入力!D85 &amp; "か月","") &amp; IF(AND(入力!D85&gt;0,入力!E85&gt;0),"＋","") &amp; IF(入力!E85&gt;0,入力!E85 &amp; "日（土日を除く）",""),"")</f>
        <v/>
      </c>
      <c r="B4" s="63" t="n"/>
      <c r="C4" s="63" t="n"/>
      <c r="D4" s="63" t="n"/>
      <c r="E4" s="63" t="n"/>
      <c r="F4" s="63" t="n"/>
      <c r="G4" s="63" t="n"/>
      <c r="H4" s="63" t="n"/>
      <c r="I4" s="63" t="n"/>
      <c r="J4" s="63" t="n"/>
      <c r="K4" s="63" t="n"/>
      <c r="L4" s="63" t="n"/>
    </row>
    <row r="5" ht="34" customHeight="1" s="39">
      <c r="A5" s="77" t="inlineStr">
        <is>
          <t>番号</t>
        </is>
      </c>
      <c r="B5" s="77" t="inlineStr">
        <is>
          <t>年</t>
        </is>
      </c>
      <c r="C5" s="77" t="inlineStr">
        <is>
          <t>月</t>
        </is>
      </c>
      <c r="D5" s="77" t="inlineStr">
        <is>
          <t>給付
区分</t>
        </is>
      </c>
      <c r="E5" s="77" t="inlineStr">
        <is>
          <t>支給期間
（始）</t>
        </is>
      </c>
      <c r="F5" s="77" t="inlineStr">
        <is>
          <t>支給期間
（終）</t>
        </is>
      </c>
      <c r="G5" s="77" t="inlineStr">
        <is>
          <t>支給日数</t>
        </is>
      </c>
      <c r="H5" s="77" t="inlineStr">
        <is>
          <t>標準支給額</t>
        </is>
      </c>
      <c r="I5" s="77" t="inlineStr">
        <is>
          <t>調整額</t>
        </is>
      </c>
      <c r="J5" s="77" t="inlineStr">
        <is>
          <t>差引支給額
（基幹入力額）</t>
        </is>
      </c>
      <c r="K5" s="77" t="inlineStr">
        <is>
          <t>備考</t>
        </is>
      </c>
      <c r="L5" s="77" t="inlineStr">
        <is>
          <t>行</t>
        </is>
      </c>
    </row>
    <row r="6">
      <c r="A6" s="91">
        <f>IF(ROW()-5&lt;=MAX(算定表!$Q$6:$Q$53),ROW()-5,"")</f>
        <v/>
      </c>
      <c r="B6" s="92">
        <f>IF(A6="","",INDEX(算定表!$B$6:$B$53,L6))</f>
        <v/>
      </c>
      <c r="C6" s="91">
        <f>IF(A6="","",INDEX(算定表!$C$6:$C$53,L6))</f>
        <v/>
      </c>
      <c r="D6" s="91">
        <f>IF(A6="","",INDEX(算定表!$E$6:$E$53,L6))</f>
        <v/>
      </c>
      <c r="E6" s="93">
        <f>IF(A6="","",INDEX(算定表!$F$6:$F$53,L6))</f>
        <v/>
      </c>
      <c r="F6" s="93">
        <f>IF(A6="","",LOOKUP(2,1/((算定表!$B$6:$B$53=B6)*(算定表!$C$6:$C$53=C6)*(算定表!$E$6:$E$53=D6)),算定表!$G$6:$G$53))</f>
        <v/>
      </c>
      <c r="G6" s="94">
        <f>IF(A6="","",SUMIFS(算定表!$I$6:$I$53,算定表!$B$6:$B$53,B6,算定表!$C$6:$C$53,C6,算定表!$E$6:$E$53,D6))</f>
        <v/>
      </c>
      <c r="H6" s="95">
        <f>IF(A6="","",SUMIFS(算定表!$M$6:$M$53,算定表!$B$6:$B$53,B6,算定表!$C$6:$C$53,C6,算定表!$E$6:$E$53,D6))</f>
        <v/>
      </c>
      <c r="I6" s="95">
        <f>IF(A6="","",SUMIFS(算定表!$N$6:$N$53,算定表!$B$6:$B$53,B6,算定表!$C$6:$C$53,C6,算定表!$E$6:$E$53,D6))</f>
        <v/>
      </c>
      <c r="J6" s="96">
        <f>IF(A6="","",SUMIFS(算定表!$O$6:$O$53,算定表!$B$6:$B$53,B6,算定表!$C$6:$C$53,C6,算定表!$E$6:$E$53,D6))</f>
        <v/>
      </c>
      <c r="K6" s="91">
        <f>IF(A6="","",IF(J6=0,"支給なし",""))</f>
        <v/>
      </c>
      <c r="L6" s="91">
        <f>IF(A6="","",MATCH(A6,算定表!$Q$6:$Q$53,0))</f>
        <v/>
      </c>
    </row>
    <row r="7">
      <c r="A7" s="91">
        <f>IF(ROW()-5&lt;=MAX(算定表!$Q$6:$Q$53),ROW()-5,"")</f>
        <v/>
      </c>
      <c r="B7" s="92">
        <f>IF(A7="","",INDEX(算定表!$B$6:$B$53,L7))</f>
        <v/>
      </c>
      <c r="C7" s="91">
        <f>IF(A7="","",INDEX(算定表!$C$6:$C$53,L7))</f>
        <v/>
      </c>
      <c r="D7" s="91">
        <f>IF(A7="","",INDEX(算定表!$E$6:$E$53,L7))</f>
        <v/>
      </c>
      <c r="E7" s="93">
        <f>IF(A7="","",INDEX(算定表!$F$6:$F$53,L7))</f>
        <v/>
      </c>
      <c r="F7" s="93">
        <f>IF(A7="","",LOOKUP(2,1/((算定表!$B$6:$B$53=B7)*(算定表!$C$6:$C$53=C7)*(算定表!$E$6:$E$53=D7)),算定表!$G$6:$G$53))</f>
        <v/>
      </c>
      <c r="G7" s="94">
        <f>IF(A7="","",SUMIFS(算定表!$I$6:$I$53,算定表!$B$6:$B$53,B7,算定表!$C$6:$C$53,C7,算定表!$E$6:$E$53,D7))</f>
        <v/>
      </c>
      <c r="H7" s="95">
        <f>IF(A7="","",SUMIFS(算定表!$M$6:$M$53,算定表!$B$6:$B$53,B7,算定表!$C$6:$C$53,C7,算定表!$E$6:$E$53,D7))</f>
        <v/>
      </c>
      <c r="I7" s="95">
        <f>IF(A7="","",SUMIFS(算定表!$N$6:$N$53,算定表!$B$6:$B$53,B7,算定表!$C$6:$C$53,C7,算定表!$E$6:$E$53,D7))</f>
        <v/>
      </c>
      <c r="J7" s="96">
        <f>IF(A7="","",SUMIFS(算定表!$O$6:$O$53,算定表!$B$6:$B$53,B7,算定表!$C$6:$C$53,C7,算定表!$E$6:$E$53,D7))</f>
        <v/>
      </c>
      <c r="K7" s="91">
        <f>IF(A7="","",IF(J7=0,"支給なし",""))</f>
        <v/>
      </c>
      <c r="L7" s="91">
        <f>IF(A7="","",MATCH(A7,算定表!$Q$6:$Q$53,0))</f>
        <v/>
      </c>
    </row>
    <row r="8">
      <c r="A8" s="91">
        <f>IF(ROW()-5&lt;=MAX(算定表!$Q$6:$Q$53),ROW()-5,"")</f>
        <v/>
      </c>
      <c r="B8" s="92">
        <f>IF(A8="","",INDEX(算定表!$B$6:$B$53,L8))</f>
        <v/>
      </c>
      <c r="C8" s="91">
        <f>IF(A8="","",INDEX(算定表!$C$6:$C$53,L8))</f>
        <v/>
      </c>
      <c r="D8" s="91">
        <f>IF(A8="","",INDEX(算定表!$E$6:$E$53,L8))</f>
        <v/>
      </c>
      <c r="E8" s="93">
        <f>IF(A8="","",INDEX(算定表!$F$6:$F$53,L8))</f>
        <v/>
      </c>
      <c r="F8" s="93">
        <f>IF(A8="","",LOOKUP(2,1/((算定表!$B$6:$B$53=B8)*(算定表!$C$6:$C$53=C8)*(算定表!$E$6:$E$53=D8)),算定表!$G$6:$G$53))</f>
        <v/>
      </c>
      <c r="G8" s="94">
        <f>IF(A8="","",SUMIFS(算定表!$I$6:$I$53,算定表!$B$6:$B$53,B8,算定表!$C$6:$C$53,C8,算定表!$E$6:$E$53,D8))</f>
        <v/>
      </c>
      <c r="H8" s="95">
        <f>IF(A8="","",SUMIFS(算定表!$M$6:$M$53,算定表!$B$6:$B$53,B8,算定表!$C$6:$C$53,C8,算定表!$E$6:$E$53,D8))</f>
        <v/>
      </c>
      <c r="I8" s="95">
        <f>IF(A8="","",SUMIFS(算定表!$N$6:$N$53,算定表!$B$6:$B$53,B8,算定表!$C$6:$C$53,C8,算定表!$E$6:$E$53,D8))</f>
        <v/>
      </c>
      <c r="J8" s="96">
        <f>IF(A8="","",SUMIFS(算定表!$O$6:$O$53,算定表!$B$6:$B$53,B8,算定表!$C$6:$C$53,C8,算定表!$E$6:$E$53,D8))</f>
        <v/>
      </c>
      <c r="K8" s="91">
        <f>IF(A8="","",IF(J8=0,"支給なし",""))</f>
        <v/>
      </c>
      <c r="L8" s="91">
        <f>IF(A8="","",MATCH(A8,算定表!$Q$6:$Q$53,0))</f>
        <v/>
      </c>
    </row>
    <row r="9">
      <c r="A9" s="91">
        <f>IF(ROW()-5&lt;=MAX(算定表!$Q$6:$Q$53),ROW()-5,"")</f>
        <v/>
      </c>
      <c r="B9" s="92">
        <f>IF(A9="","",INDEX(算定表!$B$6:$B$53,L9))</f>
        <v/>
      </c>
      <c r="C9" s="91">
        <f>IF(A9="","",INDEX(算定表!$C$6:$C$53,L9))</f>
        <v/>
      </c>
      <c r="D9" s="91">
        <f>IF(A9="","",INDEX(算定表!$E$6:$E$53,L9))</f>
        <v/>
      </c>
      <c r="E9" s="93">
        <f>IF(A9="","",INDEX(算定表!$F$6:$F$53,L9))</f>
        <v/>
      </c>
      <c r="F9" s="93">
        <f>IF(A9="","",LOOKUP(2,1/((算定表!$B$6:$B$53=B9)*(算定表!$C$6:$C$53=C9)*(算定表!$E$6:$E$53=D9)),算定表!$G$6:$G$53))</f>
        <v/>
      </c>
      <c r="G9" s="94">
        <f>IF(A9="","",SUMIFS(算定表!$I$6:$I$53,算定表!$B$6:$B$53,B9,算定表!$C$6:$C$53,C9,算定表!$E$6:$E$53,D9))</f>
        <v/>
      </c>
      <c r="H9" s="95">
        <f>IF(A9="","",SUMIFS(算定表!$M$6:$M$53,算定表!$B$6:$B$53,B9,算定表!$C$6:$C$53,C9,算定表!$E$6:$E$53,D9))</f>
        <v/>
      </c>
      <c r="I9" s="95">
        <f>IF(A9="","",SUMIFS(算定表!$N$6:$N$53,算定表!$B$6:$B$53,B9,算定表!$C$6:$C$53,C9,算定表!$E$6:$E$53,D9))</f>
        <v/>
      </c>
      <c r="J9" s="96">
        <f>IF(A9="","",SUMIFS(算定表!$O$6:$O$53,算定表!$B$6:$B$53,B9,算定表!$C$6:$C$53,C9,算定表!$E$6:$E$53,D9))</f>
        <v/>
      </c>
      <c r="K9" s="91">
        <f>IF(A9="","",IF(J9=0,"支給なし",""))</f>
        <v/>
      </c>
      <c r="L9" s="91">
        <f>IF(A9="","",MATCH(A9,算定表!$Q$6:$Q$53,0))</f>
        <v/>
      </c>
    </row>
    <row r="10">
      <c r="A10" s="91">
        <f>IF(ROW()-5&lt;=MAX(算定表!$Q$6:$Q$53),ROW()-5,"")</f>
        <v/>
      </c>
      <c r="B10" s="92">
        <f>IF(A10="","",INDEX(算定表!$B$6:$B$53,L10))</f>
        <v/>
      </c>
      <c r="C10" s="91">
        <f>IF(A10="","",INDEX(算定表!$C$6:$C$53,L10))</f>
        <v/>
      </c>
      <c r="D10" s="91">
        <f>IF(A10="","",INDEX(算定表!$E$6:$E$53,L10))</f>
        <v/>
      </c>
      <c r="E10" s="93">
        <f>IF(A10="","",INDEX(算定表!$F$6:$F$53,L10))</f>
        <v/>
      </c>
      <c r="F10" s="93">
        <f>IF(A10="","",LOOKUP(2,1/((算定表!$B$6:$B$53=B10)*(算定表!$C$6:$C$53=C10)*(算定表!$E$6:$E$53=D10)),算定表!$G$6:$G$53))</f>
        <v/>
      </c>
      <c r="G10" s="94">
        <f>IF(A10="","",SUMIFS(算定表!$I$6:$I$53,算定表!$B$6:$B$53,B10,算定表!$C$6:$C$53,C10,算定表!$E$6:$E$53,D10))</f>
        <v/>
      </c>
      <c r="H10" s="95">
        <f>IF(A10="","",SUMIFS(算定表!$M$6:$M$53,算定表!$B$6:$B$53,B10,算定表!$C$6:$C$53,C10,算定表!$E$6:$E$53,D10))</f>
        <v/>
      </c>
      <c r="I10" s="95">
        <f>IF(A10="","",SUMIFS(算定表!$N$6:$N$53,算定表!$B$6:$B$53,B10,算定表!$C$6:$C$53,C10,算定表!$E$6:$E$53,D10))</f>
        <v/>
      </c>
      <c r="J10" s="96">
        <f>IF(A10="","",SUMIFS(算定表!$O$6:$O$53,算定表!$B$6:$B$53,B10,算定表!$C$6:$C$53,C10,算定表!$E$6:$E$53,D10))</f>
        <v/>
      </c>
      <c r="K10" s="91">
        <f>IF(A10="","",IF(J10=0,"支給なし",""))</f>
        <v/>
      </c>
      <c r="L10" s="91">
        <f>IF(A10="","",MATCH(A10,算定表!$Q$6:$Q$53,0))</f>
        <v/>
      </c>
    </row>
    <row r="11">
      <c r="A11" s="91">
        <f>IF(ROW()-5&lt;=MAX(算定表!$Q$6:$Q$53),ROW()-5,"")</f>
        <v/>
      </c>
      <c r="B11" s="92">
        <f>IF(A11="","",INDEX(算定表!$B$6:$B$53,L11))</f>
        <v/>
      </c>
      <c r="C11" s="91">
        <f>IF(A11="","",INDEX(算定表!$C$6:$C$53,L11))</f>
        <v/>
      </c>
      <c r="D11" s="91">
        <f>IF(A11="","",INDEX(算定表!$E$6:$E$53,L11))</f>
        <v/>
      </c>
      <c r="E11" s="93">
        <f>IF(A11="","",INDEX(算定表!$F$6:$F$53,L11))</f>
        <v/>
      </c>
      <c r="F11" s="93">
        <f>IF(A11="","",LOOKUP(2,1/((算定表!$B$6:$B$53=B11)*(算定表!$C$6:$C$53=C11)*(算定表!$E$6:$E$53=D11)),算定表!$G$6:$G$53))</f>
        <v/>
      </c>
      <c r="G11" s="94">
        <f>IF(A11="","",SUMIFS(算定表!$I$6:$I$53,算定表!$B$6:$B$53,B11,算定表!$C$6:$C$53,C11,算定表!$E$6:$E$53,D11))</f>
        <v/>
      </c>
      <c r="H11" s="95">
        <f>IF(A11="","",SUMIFS(算定表!$M$6:$M$53,算定表!$B$6:$B$53,B11,算定表!$C$6:$C$53,C11,算定表!$E$6:$E$53,D11))</f>
        <v/>
      </c>
      <c r="I11" s="95">
        <f>IF(A11="","",SUMIFS(算定表!$N$6:$N$53,算定表!$B$6:$B$53,B11,算定表!$C$6:$C$53,C11,算定表!$E$6:$E$53,D11))</f>
        <v/>
      </c>
      <c r="J11" s="96">
        <f>IF(A11="","",SUMIFS(算定表!$O$6:$O$53,算定表!$B$6:$B$53,B11,算定表!$C$6:$C$53,C11,算定表!$E$6:$E$53,D11))</f>
        <v/>
      </c>
      <c r="K11" s="91">
        <f>IF(A11="","",IF(J11=0,"支給なし",""))</f>
        <v/>
      </c>
      <c r="L11" s="91">
        <f>IF(A11="","",MATCH(A11,算定表!$Q$6:$Q$53,0))</f>
        <v/>
      </c>
    </row>
    <row r="12">
      <c r="A12" s="91">
        <f>IF(ROW()-5&lt;=MAX(算定表!$Q$6:$Q$53),ROW()-5,"")</f>
        <v/>
      </c>
      <c r="B12" s="92">
        <f>IF(A12="","",INDEX(算定表!$B$6:$B$53,L12))</f>
        <v/>
      </c>
      <c r="C12" s="91">
        <f>IF(A12="","",INDEX(算定表!$C$6:$C$53,L12))</f>
        <v/>
      </c>
      <c r="D12" s="91">
        <f>IF(A12="","",INDEX(算定表!$E$6:$E$53,L12))</f>
        <v/>
      </c>
      <c r="E12" s="93">
        <f>IF(A12="","",INDEX(算定表!$F$6:$F$53,L12))</f>
        <v/>
      </c>
      <c r="F12" s="93">
        <f>IF(A12="","",LOOKUP(2,1/((算定表!$B$6:$B$53=B12)*(算定表!$C$6:$C$53=C12)*(算定表!$E$6:$E$53=D12)),算定表!$G$6:$G$53))</f>
        <v/>
      </c>
      <c r="G12" s="94">
        <f>IF(A12="","",SUMIFS(算定表!$I$6:$I$53,算定表!$B$6:$B$53,B12,算定表!$C$6:$C$53,C12,算定表!$E$6:$E$53,D12))</f>
        <v/>
      </c>
      <c r="H12" s="95">
        <f>IF(A12="","",SUMIFS(算定表!$M$6:$M$53,算定表!$B$6:$B$53,B12,算定表!$C$6:$C$53,C12,算定表!$E$6:$E$53,D12))</f>
        <v/>
      </c>
      <c r="I12" s="95">
        <f>IF(A12="","",SUMIFS(算定表!$N$6:$N$53,算定表!$B$6:$B$53,B12,算定表!$C$6:$C$53,C12,算定表!$E$6:$E$53,D12))</f>
        <v/>
      </c>
      <c r="J12" s="96">
        <f>IF(A12="","",SUMIFS(算定表!$O$6:$O$53,算定表!$B$6:$B$53,B12,算定表!$C$6:$C$53,C12,算定表!$E$6:$E$53,D12))</f>
        <v/>
      </c>
      <c r="K12" s="91">
        <f>IF(A12="","",IF(J12=0,"支給なし",""))</f>
        <v/>
      </c>
      <c r="L12" s="91">
        <f>IF(A12="","",MATCH(A12,算定表!$Q$6:$Q$53,0))</f>
        <v/>
      </c>
    </row>
    <row r="13">
      <c r="A13" s="91">
        <f>IF(ROW()-5&lt;=MAX(算定表!$Q$6:$Q$53),ROW()-5,"")</f>
        <v/>
      </c>
      <c r="B13" s="92">
        <f>IF(A13="","",INDEX(算定表!$B$6:$B$53,L13))</f>
        <v/>
      </c>
      <c r="C13" s="91">
        <f>IF(A13="","",INDEX(算定表!$C$6:$C$53,L13))</f>
        <v/>
      </c>
      <c r="D13" s="91">
        <f>IF(A13="","",INDEX(算定表!$E$6:$E$53,L13))</f>
        <v/>
      </c>
      <c r="E13" s="93">
        <f>IF(A13="","",INDEX(算定表!$F$6:$F$53,L13))</f>
        <v/>
      </c>
      <c r="F13" s="93">
        <f>IF(A13="","",LOOKUP(2,1/((算定表!$B$6:$B$53=B13)*(算定表!$C$6:$C$53=C13)*(算定表!$E$6:$E$53=D13)),算定表!$G$6:$G$53))</f>
        <v/>
      </c>
      <c r="G13" s="94">
        <f>IF(A13="","",SUMIFS(算定表!$I$6:$I$53,算定表!$B$6:$B$53,B13,算定表!$C$6:$C$53,C13,算定表!$E$6:$E$53,D13))</f>
        <v/>
      </c>
      <c r="H13" s="95">
        <f>IF(A13="","",SUMIFS(算定表!$M$6:$M$53,算定表!$B$6:$B$53,B13,算定表!$C$6:$C$53,C13,算定表!$E$6:$E$53,D13))</f>
        <v/>
      </c>
      <c r="I13" s="95">
        <f>IF(A13="","",SUMIFS(算定表!$N$6:$N$53,算定表!$B$6:$B$53,B13,算定表!$C$6:$C$53,C13,算定表!$E$6:$E$53,D13))</f>
        <v/>
      </c>
      <c r="J13" s="96">
        <f>IF(A13="","",SUMIFS(算定表!$O$6:$O$53,算定表!$B$6:$B$53,B13,算定表!$C$6:$C$53,C13,算定表!$E$6:$E$53,D13))</f>
        <v/>
      </c>
      <c r="K13" s="91">
        <f>IF(A13="","",IF(J13=0,"支給なし",""))</f>
        <v/>
      </c>
      <c r="L13" s="91">
        <f>IF(A13="","",MATCH(A13,算定表!$Q$6:$Q$53,0))</f>
        <v/>
      </c>
    </row>
    <row r="14">
      <c r="A14" s="91">
        <f>IF(ROW()-5&lt;=MAX(算定表!$Q$6:$Q$53),ROW()-5,"")</f>
        <v/>
      </c>
      <c r="B14" s="92">
        <f>IF(A14="","",INDEX(算定表!$B$6:$B$53,L14))</f>
        <v/>
      </c>
      <c r="C14" s="91">
        <f>IF(A14="","",INDEX(算定表!$C$6:$C$53,L14))</f>
        <v/>
      </c>
      <c r="D14" s="91">
        <f>IF(A14="","",INDEX(算定表!$E$6:$E$53,L14))</f>
        <v/>
      </c>
      <c r="E14" s="93">
        <f>IF(A14="","",INDEX(算定表!$F$6:$F$53,L14))</f>
        <v/>
      </c>
      <c r="F14" s="93">
        <f>IF(A14="","",LOOKUP(2,1/((算定表!$B$6:$B$53=B14)*(算定表!$C$6:$C$53=C14)*(算定表!$E$6:$E$53=D14)),算定表!$G$6:$G$53))</f>
        <v/>
      </c>
      <c r="G14" s="94">
        <f>IF(A14="","",SUMIFS(算定表!$I$6:$I$53,算定表!$B$6:$B$53,B14,算定表!$C$6:$C$53,C14,算定表!$E$6:$E$53,D14))</f>
        <v/>
      </c>
      <c r="H14" s="95">
        <f>IF(A14="","",SUMIFS(算定表!$M$6:$M$53,算定表!$B$6:$B$53,B14,算定表!$C$6:$C$53,C14,算定表!$E$6:$E$53,D14))</f>
        <v/>
      </c>
      <c r="I14" s="95">
        <f>IF(A14="","",SUMIFS(算定表!$N$6:$N$53,算定表!$B$6:$B$53,B14,算定表!$C$6:$C$53,C14,算定表!$E$6:$E$53,D14))</f>
        <v/>
      </c>
      <c r="J14" s="96">
        <f>IF(A14="","",SUMIFS(算定表!$O$6:$O$53,算定表!$B$6:$B$53,B14,算定表!$C$6:$C$53,C14,算定表!$E$6:$E$53,D14))</f>
        <v/>
      </c>
      <c r="K14" s="91">
        <f>IF(A14="","",IF(J14=0,"支給なし",""))</f>
        <v/>
      </c>
      <c r="L14" s="91">
        <f>IF(A14="","",MATCH(A14,算定表!$Q$6:$Q$53,0))</f>
        <v/>
      </c>
    </row>
    <row r="15">
      <c r="A15" s="91">
        <f>IF(ROW()-5&lt;=MAX(算定表!$Q$6:$Q$53),ROW()-5,"")</f>
        <v/>
      </c>
      <c r="B15" s="92">
        <f>IF(A15="","",INDEX(算定表!$B$6:$B$53,L15))</f>
        <v/>
      </c>
      <c r="C15" s="91">
        <f>IF(A15="","",INDEX(算定表!$C$6:$C$53,L15))</f>
        <v/>
      </c>
      <c r="D15" s="91">
        <f>IF(A15="","",INDEX(算定表!$E$6:$E$53,L15))</f>
        <v/>
      </c>
      <c r="E15" s="93">
        <f>IF(A15="","",INDEX(算定表!$F$6:$F$53,L15))</f>
        <v/>
      </c>
      <c r="F15" s="93">
        <f>IF(A15="","",LOOKUP(2,1/((算定表!$B$6:$B$53=B15)*(算定表!$C$6:$C$53=C15)*(算定表!$E$6:$E$53=D15)),算定表!$G$6:$G$53))</f>
        <v/>
      </c>
      <c r="G15" s="94">
        <f>IF(A15="","",SUMIFS(算定表!$I$6:$I$53,算定表!$B$6:$B$53,B15,算定表!$C$6:$C$53,C15,算定表!$E$6:$E$53,D15))</f>
        <v/>
      </c>
      <c r="H15" s="95">
        <f>IF(A15="","",SUMIFS(算定表!$M$6:$M$53,算定表!$B$6:$B$53,B15,算定表!$C$6:$C$53,C15,算定表!$E$6:$E$53,D15))</f>
        <v/>
      </c>
      <c r="I15" s="95">
        <f>IF(A15="","",SUMIFS(算定表!$N$6:$N$53,算定表!$B$6:$B$53,B15,算定表!$C$6:$C$53,C15,算定表!$E$6:$E$53,D15))</f>
        <v/>
      </c>
      <c r="J15" s="96">
        <f>IF(A15="","",SUMIFS(算定表!$O$6:$O$53,算定表!$B$6:$B$53,B15,算定表!$C$6:$C$53,C15,算定表!$E$6:$E$53,D15))</f>
        <v/>
      </c>
      <c r="K15" s="91">
        <f>IF(A15="","",IF(J15=0,"支給なし",""))</f>
        <v/>
      </c>
      <c r="L15" s="91">
        <f>IF(A15="","",MATCH(A15,算定表!$Q$6:$Q$53,0))</f>
        <v/>
      </c>
    </row>
    <row r="16">
      <c r="A16" s="91">
        <f>IF(ROW()-5&lt;=MAX(算定表!$Q$6:$Q$53),ROW()-5,"")</f>
        <v/>
      </c>
      <c r="B16" s="92">
        <f>IF(A16="","",INDEX(算定表!$B$6:$B$53,L16))</f>
        <v/>
      </c>
      <c r="C16" s="91">
        <f>IF(A16="","",INDEX(算定表!$C$6:$C$53,L16))</f>
        <v/>
      </c>
      <c r="D16" s="91">
        <f>IF(A16="","",INDEX(算定表!$E$6:$E$53,L16))</f>
        <v/>
      </c>
      <c r="E16" s="93">
        <f>IF(A16="","",INDEX(算定表!$F$6:$F$53,L16))</f>
        <v/>
      </c>
      <c r="F16" s="93">
        <f>IF(A16="","",LOOKUP(2,1/((算定表!$B$6:$B$53=B16)*(算定表!$C$6:$C$53=C16)*(算定表!$E$6:$E$53=D16)),算定表!$G$6:$G$53))</f>
        <v/>
      </c>
      <c r="G16" s="94">
        <f>IF(A16="","",SUMIFS(算定表!$I$6:$I$53,算定表!$B$6:$B$53,B16,算定表!$C$6:$C$53,C16,算定表!$E$6:$E$53,D16))</f>
        <v/>
      </c>
      <c r="H16" s="95">
        <f>IF(A16="","",SUMIFS(算定表!$M$6:$M$53,算定表!$B$6:$B$53,B16,算定表!$C$6:$C$53,C16,算定表!$E$6:$E$53,D16))</f>
        <v/>
      </c>
      <c r="I16" s="95">
        <f>IF(A16="","",SUMIFS(算定表!$N$6:$N$53,算定表!$B$6:$B$53,B16,算定表!$C$6:$C$53,C16,算定表!$E$6:$E$53,D16))</f>
        <v/>
      </c>
      <c r="J16" s="96">
        <f>IF(A16="","",SUMIFS(算定表!$O$6:$O$53,算定表!$B$6:$B$53,B16,算定表!$C$6:$C$53,C16,算定表!$E$6:$E$53,D16))</f>
        <v/>
      </c>
      <c r="K16" s="91">
        <f>IF(A16="","",IF(J16=0,"支給なし",""))</f>
        <v/>
      </c>
      <c r="L16" s="91">
        <f>IF(A16="","",MATCH(A16,算定表!$Q$6:$Q$53,0))</f>
        <v/>
      </c>
    </row>
    <row r="17">
      <c r="A17" s="91">
        <f>IF(ROW()-5&lt;=MAX(算定表!$Q$6:$Q$53),ROW()-5,"")</f>
        <v/>
      </c>
      <c r="B17" s="92">
        <f>IF(A17="","",INDEX(算定表!$B$6:$B$53,L17))</f>
        <v/>
      </c>
      <c r="C17" s="91">
        <f>IF(A17="","",INDEX(算定表!$C$6:$C$53,L17))</f>
        <v/>
      </c>
      <c r="D17" s="91">
        <f>IF(A17="","",INDEX(算定表!$E$6:$E$53,L17))</f>
        <v/>
      </c>
      <c r="E17" s="93">
        <f>IF(A17="","",INDEX(算定表!$F$6:$F$53,L17))</f>
        <v/>
      </c>
      <c r="F17" s="93">
        <f>IF(A17="","",LOOKUP(2,1/((算定表!$B$6:$B$53=B17)*(算定表!$C$6:$C$53=C17)*(算定表!$E$6:$E$53=D17)),算定表!$G$6:$G$53))</f>
        <v/>
      </c>
      <c r="G17" s="94">
        <f>IF(A17="","",SUMIFS(算定表!$I$6:$I$53,算定表!$B$6:$B$53,B17,算定表!$C$6:$C$53,C17,算定表!$E$6:$E$53,D17))</f>
        <v/>
      </c>
      <c r="H17" s="95">
        <f>IF(A17="","",SUMIFS(算定表!$M$6:$M$53,算定表!$B$6:$B$53,B17,算定表!$C$6:$C$53,C17,算定表!$E$6:$E$53,D17))</f>
        <v/>
      </c>
      <c r="I17" s="95">
        <f>IF(A17="","",SUMIFS(算定表!$N$6:$N$53,算定表!$B$6:$B$53,B17,算定表!$C$6:$C$53,C17,算定表!$E$6:$E$53,D17))</f>
        <v/>
      </c>
      <c r="J17" s="96">
        <f>IF(A17="","",SUMIFS(算定表!$O$6:$O$53,算定表!$B$6:$B$53,B17,算定表!$C$6:$C$53,C17,算定表!$E$6:$E$53,D17))</f>
        <v/>
      </c>
      <c r="K17" s="91">
        <f>IF(A17="","",IF(J17=0,"支給なし",""))</f>
        <v/>
      </c>
      <c r="L17" s="91">
        <f>IF(A17="","",MATCH(A17,算定表!$Q$6:$Q$53,0))</f>
        <v/>
      </c>
    </row>
    <row r="18">
      <c r="A18" s="91">
        <f>IF(ROW()-5&lt;=MAX(算定表!$Q$6:$Q$53),ROW()-5,"")</f>
        <v/>
      </c>
      <c r="B18" s="92">
        <f>IF(A18="","",INDEX(算定表!$B$6:$B$53,L18))</f>
        <v/>
      </c>
      <c r="C18" s="91">
        <f>IF(A18="","",INDEX(算定表!$C$6:$C$53,L18))</f>
        <v/>
      </c>
      <c r="D18" s="91">
        <f>IF(A18="","",INDEX(算定表!$E$6:$E$53,L18))</f>
        <v/>
      </c>
      <c r="E18" s="93">
        <f>IF(A18="","",INDEX(算定表!$F$6:$F$53,L18))</f>
        <v/>
      </c>
      <c r="F18" s="93">
        <f>IF(A18="","",LOOKUP(2,1/((算定表!$B$6:$B$53=B18)*(算定表!$C$6:$C$53=C18)*(算定表!$E$6:$E$53=D18)),算定表!$G$6:$G$53))</f>
        <v/>
      </c>
      <c r="G18" s="94">
        <f>IF(A18="","",SUMIFS(算定表!$I$6:$I$53,算定表!$B$6:$B$53,B18,算定表!$C$6:$C$53,C18,算定表!$E$6:$E$53,D18))</f>
        <v/>
      </c>
      <c r="H18" s="95">
        <f>IF(A18="","",SUMIFS(算定表!$M$6:$M$53,算定表!$B$6:$B$53,B18,算定表!$C$6:$C$53,C18,算定表!$E$6:$E$53,D18))</f>
        <v/>
      </c>
      <c r="I18" s="95">
        <f>IF(A18="","",SUMIFS(算定表!$N$6:$N$53,算定表!$B$6:$B$53,B18,算定表!$C$6:$C$53,C18,算定表!$E$6:$E$53,D18))</f>
        <v/>
      </c>
      <c r="J18" s="96">
        <f>IF(A18="","",SUMIFS(算定表!$O$6:$O$53,算定表!$B$6:$B$53,B18,算定表!$C$6:$C$53,C18,算定表!$E$6:$E$53,D18))</f>
        <v/>
      </c>
      <c r="K18" s="91">
        <f>IF(A18="","",IF(J18=0,"支給なし",""))</f>
        <v/>
      </c>
      <c r="L18" s="91">
        <f>IF(A18="","",MATCH(A18,算定表!$Q$6:$Q$53,0))</f>
        <v/>
      </c>
    </row>
    <row r="19">
      <c r="A19" s="91">
        <f>IF(ROW()-5&lt;=MAX(算定表!$Q$6:$Q$53),ROW()-5,"")</f>
        <v/>
      </c>
      <c r="B19" s="92">
        <f>IF(A19="","",INDEX(算定表!$B$6:$B$53,L19))</f>
        <v/>
      </c>
      <c r="C19" s="91">
        <f>IF(A19="","",INDEX(算定表!$C$6:$C$53,L19))</f>
        <v/>
      </c>
      <c r="D19" s="91">
        <f>IF(A19="","",INDEX(算定表!$E$6:$E$53,L19))</f>
        <v/>
      </c>
      <c r="E19" s="93">
        <f>IF(A19="","",INDEX(算定表!$F$6:$F$53,L19))</f>
        <v/>
      </c>
      <c r="F19" s="93">
        <f>IF(A19="","",LOOKUP(2,1/((算定表!$B$6:$B$53=B19)*(算定表!$C$6:$C$53=C19)*(算定表!$E$6:$E$53=D19)),算定表!$G$6:$G$53))</f>
        <v/>
      </c>
      <c r="G19" s="94">
        <f>IF(A19="","",SUMIFS(算定表!$I$6:$I$53,算定表!$B$6:$B$53,B19,算定表!$C$6:$C$53,C19,算定表!$E$6:$E$53,D19))</f>
        <v/>
      </c>
      <c r="H19" s="95">
        <f>IF(A19="","",SUMIFS(算定表!$M$6:$M$53,算定表!$B$6:$B$53,B19,算定表!$C$6:$C$53,C19,算定表!$E$6:$E$53,D19))</f>
        <v/>
      </c>
      <c r="I19" s="95">
        <f>IF(A19="","",SUMIFS(算定表!$N$6:$N$53,算定表!$B$6:$B$53,B19,算定表!$C$6:$C$53,C19,算定表!$E$6:$E$53,D19))</f>
        <v/>
      </c>
      <c r="J19" s="96">
        <f>IF(A19="","",SUMIFS(算定表!$O$6:$O$53,算定表!$B$6:$B$53,B19,算定表!$C$6:$C$53,C19,算定表!$E$6:$E$53,D19))</f>
        <v/>
      </c>
      <c r="K19" s="91">
        <f>IF(A19="","",IF(J19=0,"支給なし",""))</f>
        <v/>
      </c>
      <c r="L19" s="91">
        <f>IF(A19="","",MATCH(A19,算定表!$Q$6:$Q$53,0))</f>
        <v/>
      </c>
    </row>
    <row r="20">
      <c r="A20" s="91">
        <f>IF(ROW()-5&lt;=MAX(算定表!$Q$6:$Q$53),ROW()-5,"")</f>
        <v/>
      </c>
      <c r="B20" s="92">
        <f>IF(A20="","",INDEX(算定表!$B$6:$B$53,L20))</f>
        <v/>
      </c>
      <c r="C20" s="91">
        <f>IF(A20="","",INDEX(算定表!$C$6:$C$53,L20))</f>
        <v/>
      </c>
      <c r="D20" s="91">
        <f>IF(A20="","",INDEX(算定表!$E$6:$E$53,L20))</f>
        <v/>
      </c>
      <c r="E20" s="93">
        <f>IF(A20="","",INDEX(算定表!$F$6:$F$53,L20))</f>
        <v/>
      </c>
      <c r="F20" s="93">
        <f>IF(A20="","",LOOKUP(2,1/((算定表!$B$6:$B$53=B20)*(算定表!$C$6:$C$53=C20)*(算定表!$E$6:$E$53=D20)),算定表!$G$6:$G$53))</f>
        <v/>
      </c>
      <c r="G20" s="94">
        <f>IF(A20="","",SUMIFS(算定表!$I$6:$I$53,算定表!$B$6:$B$53,B20,算定表!$C$6:$C$53,C20,算定表!$E$6:$E$53,D20))</f>
        <v/>
      </c>
      <c r="H20" s="95">
        <f>IF(A20="","",SUMIFS(算定表!$M$6:$M$53,算定表!$B$6:$B$53,B20,算定表!$C$6:$C$53,C20,算定表!$E$6:$E$53,D20))</f>
        <v/>
      </c>
      <c r="I20" s="95">
        <f>IF(A20="","",SUMIFS(算定表!$N$6:$N$53,算定表!$B$6:$B$53,B20,算定表!$C$6:$C$53,C20,算定表!$E$6:$E$53,D20))</f>
        <v/>
      </c>
      <c r="J20" s="96">
        <f>IF(A20="","",SUMIFS(算定表!$O$6:$O$53,算定表!$B$6:$B$53,B20,算定表!$C$6:$C$53,C20,算定表!$E$6:$E$53,D20))</f>
        <v/>
      </c>
      <c r="K20" s="91">
        <f>IF(A20="","",IF(J20=0,"支給なし",""))</f>
        <v/>
      </c>
      <c r="L20" s="91">
        <f>IF(A20="","",MATCH(A20,算定表!$Q$6:$Q$53,0))</f>
        <v/>
      </c>
    </row>
    <row r="21">
      <c r="A21" s="91">
        <f>IF(ROW()-5&lt;=MAX(算定表!$Q$6:$Q$53),ROW()-5,"")</f>
        <v/>
      </c>
      <c r="B21" s="92">
        <f>IF(A21="","",INDEX(算定表!$B$6:$B$53,L21))</f>
        <v/>
      </c>
      <c r="C21" s="91">
        <f>IF(A21="","",INDEX(算定表!$C$6:$C$53,L21))</f>
        <v/>
      </c>
      <c r="D21" s="91">
        <f>IF(A21="","",INDEX(算定表!$E$6:$E$53,L21))</f>
        <v/>
      </c>
      <c r="E21" s="93">
        <f>IF(A21="","",INDEX(算定表!$F$6:$F$53,L21))</f>
        <v/>
      </c>
      <c r="F21" s="93">
        <f>IF(A21="","",LOOKUP(2,1/((算定表!$B$6:$B$53=B21)*(算定表!$C$6:$C$53=C21)*(算定表!$E$6:$E$53=D21)),算定表!$G$6:$G$53))</f>
        <v/>
      </c>
      <c r="G21" s="94">
        <f>IF(A21="","",SUMIFS(算定表!$I$6:$I$53,算定表!$B$6:$B$53,B21,算定表!$C$6:$C$53,C21,算定表!$E$6:$E$53,D21))</f>
        <v/>
      </c>
      <c r="H21" s="95">
        <f>IF(A21="","",SUMIFS(算定表!$M$6:$M$53,算定表!$B$6:$B$53,B21,算定表!$C$6:$C$53,C21,算定表!$E$6:$E$53,D21))</f>
        <v/>
      </c>
      <c r="I21" s="95">
        <f>IF(A21="","",SUMIFS(算定表!$N$6:$N$53,算定表!$B$6:$B$53,B21,算定表!$C$6:$C$53,C21,算定表!$E$6:$E$53,D21))</f>
        <v/>
      </c>
      <c r="J21" s="96">
        <f>IF(A21="","",SUMIFS(算定表!$O$6:$O$53,算定表!$B$6:$B$53,B21,算定表!$C$6:$C$53,C21,算定表!$E$6:$E$53,D21))</f>
        <v/>
      </c>
      <c r="K21" s="91">
        <f>IF(A21="","",IF(J21=0,"支給なし",""))</f>
        <v/>
      </c>
      <c r="L21" s="91">
        <f>IF(A21="","",MATCH(A21,算定表!$Q$6:$Q$53,0))</f>
        <v/>
      </c>
    </row>
    <row r="22">
      <c r="A22" s="91">
        <f>IF(ROW()-5&lt;=MAX(算定表!$Q$6:$Q$53),ROW()-5,"")</f>
        <v/>
      </c>
      <c r="B22" s="92">
        <f>IF(A22="","",INDEX(算定表!$B$6:$B$53,L22))</f>
        <v/>
      </c>
      <c r="C22" s="91">
        <f>IF(A22="","",INDEX(算定表!$C$6:$C$53,L22))</f>
        <v/>
      </c>
      <c r="D22" s="91">
        <f>IF(A22="","",INDEX(算定表!$E$6:$E$53,L22))</f>
        <v/>
      </c>
      <c r="E22" s="93">
        <f>IF(A22="","",INDEX(算定表!$F$6:$F$53,L22))</f>
        <v/>
      </c>
      <c r="F22" s="93">
        <f>IF(A22="","",LOOKUP(2,1/((算定表!$B$6:$B$53=B22)*(算定表!$C$6:$C$53=C22)*(算定表!$E$6:$E$53=D22)),算定表!$G$6:$G$53))</f>
        <v/>
      </c>
      <c r="G22" s="94">
        <f>IF(A22="","",SUMIFS(算定表!$I$6:$I$53,算定表!$B$6:$B$53,B22,算定表!$C$6:$C$53,C22,算定表!$E$6:$E$53,D22))</f>
        <v/>
      </c>
      <c r="H22" s="95">
        <f>IF(A22="","",SUMIFS(算定表!$M$6:$M$53,算定表!$B$6:$B$53,B22,算定表!$C$6:$C$53,C22,算定表!$E$6:$E$53,D22))</f>
        <v/>
      </c>
      <c r="I22" s="95">
        <f>IF(A22="","",SUMIFS(算定表!$N$6:$N$53,算定表!$B$6:$B$53,B22,算定表!$C$6:$C$53,C22,算定表!$E$6:$E$53,D22))</f>
        <v/>
      </c>
      <c r="J22" s="96">
        <f>IF(A22="","",SUMIFS(算定表!$O$6:$O$53,算定表!$B$6:$B$53,B22,算定表!$C$6:$C$53,C22,算定表!$E$6:$E$53,D22))</f>
        <v/>
      </c>
      <c r="K22" s="91">
        <f>IF(A22="","",IF(J22=0,"支給なし",""))</f>
        <v/>
      </c>
      <c r="L22" s="91">
        <f>IF(A22="","",MATCH(A22,算定表!$Q$6:$Q$53,0))</f>
        <v/>
      </c>
    </row>
    <row r="23">
      <c r="A23" s="91">
        <f>IF(ROW()-5&lt;=MAX(算定表!$Q$6:$Q$53),ROW()-5,"")</f>
        <v/>
      </c>
      <c r="B23" s="92">
        <f>IF(A23="","",INDEX(算定表!$B$6:$B$53,L23))</f>
        <v/>
      </c>
      <c r="C23" s="91">
        <f>IF(A23="","",INDEX(算定表!$C$6:$C$53,L23))</f>
        <v/>
      </c>
      <c r="D23" s="91">
        <f>IF(A23="","",INDEX(算定表!$E$6:$E$53,L23))</f>
        <v/>
      </c>
      <c r="E23" s="93">
        <f>IF(A23="","",INDEX(算定表!$F$6:$F$53,L23))</f>
        <v/>
      </c>
      <c r="F23" s="93">
        <f>IF(A23="","",LOOKUP(2,1/((算定表!$B$6:$B$53=B23)*(算定表!$C$6:$C$53=C23)*(算定表!$E$6:$E$53=D23)),算定表!$G$6:$G$53))</f>
        <v/>
      </c>
      <c r="G23" s="94">
        <f>IF(A23="","",SUMIFS(算定表!$I$6:$I$53,算定表!$B$6:$B$53,B23,算定表!$C$6:$C$53,C23,算定表!$E$6:$E$53,D23))</f>
        <v/>
      </c>
      <c r="H23" s="95">
        <f>IF(A23="","",SUMIFS(算定表!$M$6:$M$53,算定表!$B$6:$B$53,B23,算定表!$C$6:$C$53,C23,算定表!$E$6:$E$53,D23))</f>
        <v/>
      </c>
      <c r="I23" s="95">
        <f>IF(A23="","",SUMIFS(算定表!$N$6:$N$53,算定表!$B$6:$B$53,B23,算定表!$C$6:$C$53,C23,算定表!$E$6:$E$53,D23))</f>
        <v/>
      </c>
      <c r="J23" s="96">
        <f>IF(A23="","",SUMIFS(算定表!$O$6:$O$53,算定表!$B$6:$B$53,B23,算定表!$C$6:$C$53,C23,算定表!$E$6:$E$53,D23))</f>
        <v/>
      </c>
      <c r="K23" s="91">
        <f>IF(A23="","",IF(J23=0,"支給なし",""))</f>
        <v/>
      </c>
      <c r="L23" s="91">
        <f>IF(A23="","",MATCH(A23,算定表!$Q$6:$Q$53,0))</f>
        <v/>
      </c>
    </row>
    <row r="24">
      <c r="A24" s="91">
        <f>IF(ROW()-5&lt;=MAX(算定表!$Q$6:$Q$53),ROW()-5,"")</f>
        <v/>
      </c>
      <c r="B24" s="92">
        <f>IF(A24="","",INDEX(算定表!$B$6:$B$53,L24))</f>
        <v/>
      </c>
      <c r="C24" s="91">
        <f>IF(A24="","",INDEX(算定表!$C$6:$C$53,L24))</f>
        <v/>
      </c>
      <c r="D24" s="91">
        <f>IF(A24="","",INDEX(算定表!$E$6:$E$53,L24))</f>
        <v/>
      </c>
      <c r="E24" s="93">
        <f>IF(A24="","",INDEX(算定表!$F$6:$F$53,L24))</f>
        <v/>
      </c>
      <c r="F24" s="93">
        <f>IF(A24="","",LOOKUP(2,1/((算定表!$B$6:$B$53=B24)*(算定表!$C$6:$C$53=C24)*(算定表!$E$6:$E$53=D24)),算定表!$G$6:$G$53))</f>
        <v/>
      </c>
      <c r="G24" s="94">
        <f>IF(A24="","",SUMIFS(算定表!$I$6:$I$53,算定表!$B$6:$B$53,B24,算定表!$C$6:$C$53,C24,算定表!$E$6:$E$53,D24))</f>
        <v/>
      </c>
      <c r="H24" s="95">
        <f>IF(A24="","",SUMIFS(算定表!$M$6:$M$53,算定表!$B$6:$B$53,B24,算定表!$C$6:$C$53,C24,算定表!$E$6:$E$53,D24))</f>
        <v/>
      </c>
      <c r="I24" s="95">
        <f>IF(A24="","",SUMIFS(算定表!$N$6:$N$53,算定表!$B$6:$B$53,B24,算定表!$C$6:$C$53,C24,算定表!$E$6:$E$53,D24))</f>
        <v/>
      </c>
      <c r="J24" s="96">
        <f>IF(A24="","",SUMIFS(算定表!$O$6:$O$53,算定表!$B$6:$B$53,B24,算定表!$C$6:$C$53,C24,算定表!$E$6:$E$53,D24))</f>
        <v/>
      </c>
      <c r="K24" s="91">
        <f>IF(A24="","",IF(J24=0,"支給なし",""))</f>
        <v/>
      </c>
      <c r="L24" s="91">
        <f>IF(A24="","",MATCH(A24,算定表!$Q$6:$Q$53,0))</f>
        <v/>
      </c>
    </row>
    <row r="25">
      <c r="A25" s="91">
        <f>IF(ROW()-5&lt;=MAX(算定表!$Q$6:$Q$53),ROW()-5,"")</f>
        <v/>
      </c>
      <c r="B25" s="92">
        <f>IF(A25="","",INDEX(算定表!$B$6:$B$53,L25))</f>
        <v/>
      </c>
      <c r="C25" s="91">
        <f>IF(A25="","",INDEX(算定表!$C$6:$C$53,L25))</f>
        <v/>
      </c>
      <c r="D25" s="91">
        <f>IF(A25="","",INDEX(算定表!$E$6:$E$53,L25))</f>
        <v/>
      </c>
      <c r="E25" s="93">
        <f>IF(A25="","",INDEX(算定表!$F$6:$F$53,L25))</f>
        <v/>
      </c>
      <c r="F25" s="93">
        <f>IF(A25="","",LOOKUP(2,1/((算定表!$B$6:$B$53=B25)*(算定表!$C$6:$C$53=C25)*(算定表!$E$6:$E$53=D25)),算定表!$G$6:$G$53))</f>
        <v/>
      </c>
      <c r="G25" s="94">
        <f>IF(A25="","",SUMIFS(算定表!$I$6:$I$53,算定表!$B$6:$B$53,B25,算定表!$C$6:$C$53,C25,算定表!$E$6:$E$53,D25))</f>
        <v/>
      </c>
      <c r="H25" s="95">
        <f>IF(A25="","",SUMIFS(算定表!$M$6:$M$53,算定表!$B$6:$B$53,B25,算定表!$C$6:$C$53,C25,算定表!$E$6:$E$53,D25))</f>
        <v/>
      </c>
      <c r="I25" s="95">
        <f>IF(A25="","",SUMIFS(算定表!$N$6:$N$53,算定表!$B$6:$B$53,B25,算定表!$C$6:$C$53,C25,算定表!$E$6:$E$53,D25))</f>
        <v/>
      </c>
      <c r="J25" s="96">
        <f>IF(A25="","",SUMIFS(算定表!$O$6:$O$53,算定表!$B$6:$B$53,B25,算定表!$C$6:$C$53,C25,算定表!$E$6:$E$53,D25))</f>
        <v/>
      </c>
      <c r="K25" s="91">
        <f>IF(A25="","",IF(J25=0,"支給なし",""))</f>
        <v/>
      </c>
      <c r="L25" s="91">
        <f>IF(A25="","",MATCH(A25,算定表!$Q$6:$Q$53,0))</f>
        <v/>
      </c>
    </row>
    <row r="26">
      <c r="A26" s="91">
        <f>IF(ROW()-5&lt;=MAX(算定表!$Q$6:$Q$53),ROW()-5,"")</f>
        <v/>
      </c>
      <c r="B26" s="92">
        <f>IF(A26="","",INDEX(算定表!$B$6:$B$53,L26))</f>
        <v/>
      </c>
      <c r="C26" s="91">
        <f>IF(A26="","",INDEX(算定表!$C$6:$C$53,L26))</f>
        <v/>
      </c>
      <c r="D26" s="91">
        <f>IF(A26="","",INDEX(算定表!$E$6:$E$53,L26))</f>
        <v/>
      </c>
      <c r="E26" s="93">
        <f>IF(A26="","",INDEX(算定表!$F$6:$F$53,L26))</f>
        <v/>
      </c>
      <c r="F26" s="93">
        <f>IF(A26="","",LOOKUP(2,1/((算定表!$B$6:$B$53=B26)*(算定表!$C$6:$C$53=C26)*(算定表!$E$6:$E$53=D26)),算定表!$G$6:$G$53))</f>
        <v/>
      </c>
      <c r="G26" s="94">
        <f>IF(A26="","",SUMIFS(算定表!$I$6:$I$53,算定表!$B$6:$B$53,B26,算定表!$C$6:$C$53,C26,算定表!$E$6:$E$53,D26))</f>
        <v/>
      </c>
      <c r="H26" s="95">
        <f>IF(A26="","",SUMIFS(算定表!$M$6:$M$53,算定表!$B$6:$B$53,B26,算定表!$C$6:$C$53,C26,算定表!$E$6:$E$53,D26))</f>
        <v/>
      </c>
      <c r="I26" s="95">
        <f>IF(A26="","",SUMIFS(算定表!$N$6:$N$53,算定表!$B$6:$B$53,B26,算定表!$C$6:$C$53,C26,算定表!$E$6:$E$53,D26))</f>
        <v/>
      </c>
      <c r="J26" s="96">
        <f>IF(A26="","",SUMIFS(算定表!$O$6:$O$53,算定表!$B$6:$B$53,B26,算定表!$C$6:$C$53,C26,算定表!$E$6:$E$53,D26))</f>
        <v/>
      </c>
      <c r="K26" s="91">
        <f>IF(A26="","",IF(J26=0,"支給なし",""))</f>
        <v/>
      </c>
      <c r="L26" s="91">
        <f>IF(A26="","",MATCH(A26,算定表!$Q$6:$Q$53,0))</f>
        <v/>
      </c>
    </row>
    <row r="27">
      <c r="A27" s="91">
        <f>IF(ROW()-5&lt;=MAX(算定表!$Q$6:$Q$53),ROW()-5,"")</f>
        <v/>
      </c>
      <c r="B27" s="92">
        <f>IF(A27="","",INDEX(算定表!$B$6:$B$53,L27))</f>
        <v/>
      </c>
      <c r="C27" s="91">
        <f>IF(A27="","",INDEX(算定表!$C$6:$C$53,L27))</f>
        <v/>
      </c>
      <c r="D27" s="91">
        <f>IF(A27="","",INDEX(算定表!$E$6:$E$53,L27))</f>
        <v/>
      </c>
      <c r="E27" s="93">
        <f>IF(A27="","",INDEX(算定表!$F$6:$F$53,L27))</f>
        <v/>
      </c>
      <c r="F27" s="93">
        <f>IF(A27="","",LOOKUP(2,1/((算定表!$B$6:$B$53=B27)*(算定表!$C$6:$C$53=C27)*(算定表!$E$6:$E$53=D27)),算定表!$G$6:$G$53))</f>
        <v/>
      </c>
      <c r="G27" s="94">
        <f>IF(A27="","",SUMIFS(算定表!$I$6:$I$53,算定表!$B$6:$B$53,B27,算定表!$C$6:$C$53,C27,算定表!$E$6:$E$53,D27))</f>
        <v/>
      </c>
      <c r="H27" s="95">
        <f>IF(A27="","",SUMIFS(算定表!$M$6:$M$53,算定表!$B$6:$B$53,B27,算定表!$C$6:$C$53,C27,算定表!$E$6:$E$53,D27))</f>
        <v/>
      </c>
      <c r="I27" s="95">
        <f>IF(A27="","",SUMIFS(算定表!$N$6:$N$53,算定表!$B$6:$B$53,B27,算定表!$C$6:$C$53,C27,算定表!$E$6:$E$53,D27))</f>
        <v/>
      </c>
      <c r="J27" s="96">
        <f>IF(A27="","",SUMIFS(算定表!$O$6:$O$53,算定表!$B$6:$B$53,B27,算定表!$C$6:$C$53,C27,算定表!$E$6:$E$53,D27))</f>
        <v/>
      </c>
      <c r="K27" s="91">
        <f>IF(A27="","",IF(J27=0,"支給なし",""))</f>
        <v/>
      </c>
      <c r="L27" s="91">
        <f>IF(A27="","",MATCH(A27,算定表!$Q$6:$Q$53,0))</f>
        <v/>
      </c>
    </row>
    <row r="28">
      <c r="A28" s="91">
        <f>IF(ROW()-5&lt;=MAX(算定表!$Q$6:$Q$53),ROW()-5,"")</f>
        <v/>
      </c>
      <c r="B28" s="92">
        <f>IF(A28="","",INDEX(算定表!$B$6:$B$53,L28))</f>
        <v/>
      </c>
      <c r="C28" s="91">
        <f>IF(A28="","",INDEX(算定表!$C$6:$C$53,L28))</f>
        <v/>
      </c>
      <c r="D28" s="91">
        <f>IF(A28="","",INDEX(算定表!$E$6:$E$53,L28))</f>
        <v/>
      </c>
      <c r="E28" s="93">
        <f>IF(A28="","",INDEX(算定表!$F$6:$F$53,L28))</f>
        <v/>
      </c>
      <c r="F28" s="93">
        <f>IF(A28="","",LOOKUP(2,1/((算定表!$B$6:$B$53=B28)*(算定表!$C$6:$C$53=C28)*(算定表!$E$6:$E$53=D28)),算定表!$G$6:$G$53))</f>
        <v/>
      </c>
      <c r="G28" s="94">
        <f>IF(A28="","",SUMIFS(算定表!$I$6:$I$53,算定表!$B$6:$B$53,B28,算定表!$C$6:$C$53,C28,算定表!$E$6:$E$53,D28))</f>
        <v/>
      </c>
      <c r="H28" s="95">
        <f>IF(A28="","",SUMIFS(算定表!$M$6:$M$53,算定表!$B$6:$B$53,B28,算定表!$C$6:$C$53,C28,算定表!$E$6:$E$53,D28))</f>
        <v/>
      </c>
      <c r="I28" s="95">
        <f>IF(A28="","",SUMIFS(算定表!$N$6:$N$53,算定表!$B$6:$B$53,B28,算定表!$C$6:$C$53,C28,算定表!$E$6:$E$53,D28))</f>
        <v/>
      </c>
      <c r="J28" s="96">
        <f>IF(A28="","",SUMIFS(算定表!$O$6:$O$53,算定表!$B$6:$B$53,B28,算定表!$C$6:$C$53,C28,算定表!$E$6:$E$53,D28))</f>
        <v/>
      </c>
      <c r="K28" s="91">
        <f>IF(A28="","",IF(J28=0,"支給なし",""))</f>
        <v/>
      </c>
      <c r="L28" s="91">
        <f>IF(A28="","",MATCH(A28,算定表!$Q$6:$Q$53,0))</f>
        <v/>
      </c>
    </row>
    <row r="29">
      <c r="A29" s="91">
        <f>IF(ROW()-5&lt;=MAX(算定表!$Q$6:$Q$53),ROW()-5,"")</f>
        <v/>
      </c>
      <c r="B29" s="92">
        <f>IF(A29="","",INDEX(算定表!$B$6:$B$53,L29))</f>
        <v/>
      </c>
      <c r="C29" s="91">
        <f>IF(A29="","",INDEX(算定表!$C$6:$C$53,L29))</f>
        <v/>
      </c>
      <c r="D29" s="91">
        <f>IF(A29="","",INDEX(算定表!$E$6:$E$53,L29))</f>
        <v/>
      </c>
      <c r="E29" s="93">
        <f>IF(A29="","",INDEX(算定表!$F$6:$F$53,L29))</f>
        <v/>
      </c>
      <c r="F29" s="93">
        <f>IF(A29="","",LOOKUP(2,1/((算定表!$B$6:$B$53=B29)*(算定表!$C$6:$C$53=C29)*(算定表!$E$6:$E$53=D29)),算定表!$G$6:$G$53))</f>
        <v/>
      </c>
      <c r="G29" s="94">
        <f>IF(A29="","",SUMIFS(算定表!$I$6:$I$53,算定表!$B$6:$B$53,B29,算定表!$C$6:$C$53,C29,算定表!$E$6:$E$53,D29))</f>
        <v/>
      </c>
      <c r="H29" s="95">
        <f>IF(A29="","",SUMIFS(算定表!$M$6:$M$53,算定表!$B$6:$B$53,B29,算定表!$C$6:$C$53,C29,算定表!$E$6:$E$53,D29))</f>
        <v/>
      </c>
      <c r="I29" s="95">
        <f>IF(A29="","",SUMIFS(算定表!$N$6:$N$53,算定表!$B$6:$B$53,B29,算定表!$C$6:$C$53,C29,算定表!$E$6:$E$53,D29))</f>
        <v/>
      </c>
      <c r="J29" s="96">
        <f>IF(A29="","",SUMIFS(算定表!$O$6:$O$53,算定表!$B$6:$B$53,B29,算定表!$C$6:$C$53,C29,算定表!$E$6:$E$53,D29))</f>
        <v/>
      </c>
      <c r="K29" s="91">
        <f>IF(A29="","",IF(J29=0,"支給なし",""))</f>
        <v/>
      </c>
      <c r="L29" s="91">
        <f>IF(A29="","",MATCH(A29,算定表!$Q$6:$Q$53,0))</f>
        <v/>
      </c>
    </row>
    <row r="30">
      <c r="A30" s="91">
        <f>IF(ROW()-5&lt;=MAX(算定表!$Q$6:$Q$53),ROW()-5,"")</f>
        <v/>
      </c>
      <c r="B30" s="92">
        <f>IF(A30="","",INDEX(算定表!$B$6:$B$53,L30))</f>
        <v/>
      </c>
      <c r="C30" s="91">
        <f>IF(A30="","",INDEX(算定表!$C$6:$C$53,L30))</f>
        <v/>
      </c>
      <c r="D30" s="91">
        <f>IF(A30="","",INDEX(算定表!$E$6:$E$53,L30))</f>
        <v/>
      </c>
      <c r="E30" s="93">
        <f>IF(A30="","",INDEX(算定表!$F$6:$F$53,L30))</f>
        <v/>
      </c>
      <c r="F30" s="93">
        <f>IF(A30="","",LOOKUP(2,1/((算定表!$B$6:$B$53=B30)*(算定表!$C$6:$C$53=C30)*(算定表!$E$6:$E$53=D30)),算定表!$G$6:$G$53))</f>
        <v/>
      </c>
      <c r="G30" s="94">
        <f>IF(A30="","",SUMIFS(算定表!$I$6:$I$53,算定表!$B$6:$B$53,B30,算定表!$C$6:$C$53,C30,算定表!$E$6:$E$53,D30))</f>
        <v/>
      </c>
      <c r="H30" s="95">
        <f>IF(A30="","",SUMIFS(算定表!$M$6:$M$53,算定表!$B$6:$B$53,B30,算定表!$C$6:$C$53,C30,算定表!$E$6:$E$53,D30))</f>
        <v/>
      </c>
      <c r="I30" s="95">
        <f>IF(A30="","",SUMIFS(算定表!$N$6:$N$53,算定表!$B$6:$B$53,B30,算定表!$C$6:$C$53,C30,算定表!$E$6:$E$53,D30))</f>
        <v/>
      </c>
      <c r="J30" s="96">
        <f>IF(A30="","",SUMIFS(算定表!$O$6:$O$53,算定表!$B$6:$B$53,B30,算定表!$C$6:$C$53,C30,算定表!$E$6:$E$53,D30))</f>
        <v/>
      </c>
      <c r="K30" s="91">
        <f>IF(A30="","",IF(J30=0,"支給なし",""))</f>
        <v/>
      </c>
      <c r="L30" s="91">
        <f>IF(A30="","",MATCH(A30,算定表!$Q$6:$Q$53,0))</f>
        <v/>
      </c>
    </row>
    <row r="31">
      <c r="A31" s="91">
        <f>IF(ROW()-5&lt;=MAX(算定表!$Q$6:$Q$53),ROW()-5,"")</f>
        <v/>
      </c>
      <c r="B31" s="92">
        <f>IF(A31="","",INDEX(算定表!$B$6:$B$53,L31))</f>
        <v/>
      </c>
      <c r="C31" s="91">
        <f>IF(A31="","",INDEX(算定表!$C$6:$C$53,L31))</f>
        <v/>
      </c>
      <c r="D31" s="91">
        <f>IF(A31="","",INDEX(算定表!$E$6:$E$53,L31))</f>
        <v/>
      </c>
      <c r="E31" s="93">
        <f>IF(A31="","",INDEX(算定表!$F$6:$F$53,L31))</f>
        <v/>
      </c>
      <c r="F31" s="93">
        <f>IF(A31="","",LOOKUP(2,1/((算定表!$B$6:$B$53=B31)*(算定表!$C$6:$C$53=C31)*(算定表!$E$6:$E$53=D31)),算定表!$G$6:$G$53))</f>
        <v/>
      </c>
      <c r="G31" s="94">
        <f>IF(A31="","",SUMIFS(算定表!$I$6:$I$53,算定表!$B$6:$B$53,B31,算定表!$C$6:$C$53,C31,算定表!$E$6:$E$53,D31))</f>
        <v/>
      </c>
      <c r="H31" s="95">
        <f>IF(A31="","",SUMIFS(算定表!$M$6:$M$53,算定表!$B$6:$B$53,B31,算定表!$C$6:$C$53,C31,算定表!$E$6:$E$53,D31))</f>
        <v/>
      </c>
      <c r="I31" s="95">
        <f>IF(A31="","",SUMIFS(算定表!$N$6:$N$53,算定表!$B$6:$B$53,B31,算定表!$C$6:$C$53,C31,算定表!$E$6:$E$53,D31))</f>
        <v/>
      </c>
      <c r="J31" s="96">
        <f>IF(A31="","",SUMIFS(算定表!$O$6:$O$53,算定表!$B$6:$B$53,B31,算定表!$C$6:$C$53,C31,算定表!$E$6:$E$53,D31))</f>
        <v/>
      </c>
      <c r="K31" s="91">
        <f>IF(A31="","",IF(J31=0,"支給なし",""))</f>
        <v/>
      </c>
      <c r="L31" s="91">
        <f>IF(A31="","",MATCH(A31,算定表!$Q$6:$Q$53,0))</f>
        <v/>
      </c>
    </row>
    <row r="32">
      <c r="A32" s="91">
        <f>IF(ROW()-5&lt;=MAX(算定表!$Q$6:$Q$53),ROW()-5,"")</f>
        <v/>
      </c>
      <c r="B32" s="92">
        <f>IF(A32="","",INDEX(算定表!$B$6:$B$53,L32))</f>
        <v/>
      </c>
      <c r="C32" s="91">
        <f>IF(A32="","",INDEX(算定表!$C$6:$C$53,L32))</f>
        <v/>
      </c>
      <c r="D32" s="91">
        <f>IF(A32="","",INDEX(算定表!$E$6:$E$53,L32))</f>
        <v/>
      </c>
      <c r="E32" s="93">
        <f>IF(A32="","",INDEX(算定表!$F$6:$F$53,L32))</f>
        <v/>
      </c>
      <c r="F32" s="93">
        <f>IF(A32="","",LOOKUP(2,1/((算定表!$B$6:$B$53=B32)*(算定表!$C$6:$C$53=C32)*(算定表!$E$6:$E$53=D32)),算定表!$G$6:$G$53))</f>
        <v/>
      </c>
      <c r="G32" s="94">
        <f>IF(A32="","",SUMIFS(算定表!$I$6:$I$53,算定表!$B$6:$B$53,B32,算定表!$C$6:$C$53,C32,算定表!$E$6:$E$53,D32))</f>
        <v/>
      </c>
      <c r="H32" s="95">
        <f>IF(A32="","",SUMIFS(算定表!$M$6:$M$53,算定表!$B$6:$B$53,B32,算定表!$C$6:$C$53,C32,算定表!$E$6:$E$53,D32))</f>
        <v/>
      </c>
      <c r="I32" s="95">
        <f>IF(A32="","",SUMIFS(算定表!$N$6:$N$53,算定表!$B$6:$B$53,B32,算定表!$C$6:$C$53,C32,算定表!$E$6:$E$53,D32))</f>
        <v/>
      </c>
      <c r="J32" s="96">
        <f>IF(A32="","",SUMIFS(算定表!$O$6:$O$53,算定表!$B$6:$B$53,B32,算定表!$C$6:$C$53,C32,算定表!$E$6:$E$53,D32))</f>
        <v/>
      </c>
      <c r="K32" s="91">
        <f>IF(A32="","",IF(J32=0,"支給なし",""))</f>
        <v/>
      </c>
      <c r="L32" s="91">
        <f>IF(A32="","",MATCH(A32,算定表!$Q$6:$Q$53,0))</f>
        <v/>
      </c>
    </row>
    <row r="33">
      <c r="A33" s="91">
        <f>IF(ROW()-5&lt;=MAX(算定表!$Q$6:$Q$53),ROW()-5,"")</f>
        <v/>
      </c>
      <c r="B33" s="92">
        <f>IF(A33="","",INDEX(算定表!$B$6:$B$53,L33))</f>
        <v/>
      </c>
      <c r="C33" s="91">
        <f>IF(A33="","",INDEX(算定表!$C$6:$C$53,L33))</f>
        <v/>
      </c>
      <c r="D33" s="91">
        <f>IF(A33="","",INDEX(算定表!$E$6:$E$53,L33))</f>
        <v/>
      </c>
      <c r="E33" s="93">
        <f>IF(A33="","",INDEX(算定表!$F$6:$F$53,L33))</f>
        <v/>
      </c>
      <c r="F33" s="93">
        <f>IF(A33="","",LOOKUP(2,1/((算定表!$B$6:$B$53=B33)*(算定表!$C$6:$C$53=C33)*(算定表!$E$6:$E$53=D33)),算定表!$G$6:$G$53))</f>
        <v/>
      </c>
      <c r="G33" s="94">
        <f>IF(A33="","",SUMIFS(算定表!$I$6:$I$53,算定表!$B$6:$B$53,B33,算定表!$C$6:$C$53,C33,算定表!$E$6:$E$53,D33))</f>
        <v/>
      </c>
      <c r="H33" s="95">
        <f>IF(A33="","",SUMIFS(算定表!$M$6:$M$53,算定表!$B$6:$B$53,B33,算定表!$C$6:$C$53,C33,算定表!$E$6:$E$53,D33))</f>
        <v/>
      </c>
      <c r="I33" s="95">
        <f>IF(A33="","",SUMIFS(算定表!$N$6:$N$53,算定表!$B$6:$B$53,B33,算定表!$C$6:$C$53,C33,算定表!$E$6:$E$53,D33))</f>
        <v/>
      </c>
      <c r="J33" s="96">
        <f>IF(A33="","",SUMIFS(算定表!$O$6:$O$53,算定表!$B$6:$B$53,B33,算定表!$C$6:$C$53,C33,算定表!$E$6:$E$53,D33))</f>
        <v/>
      </c>
      <c r="K33" s="91">
        <f>IF(A33="","",IF(J33=0,"支給なし",""))</f>
        <v/>
      </c>
      <c r="L33" s="91">
        <f>IF(A33="","",MATCH(A33,算定表!$Q$6:$Q$53,0))</f>
        <v/>
      </c>
    </row>
    <row r="34">
      <c r="A34" s="91">
        <f>IF(ROW()-5&lt;=MAX(算定表!$Q$6:$Q$53),ROW()-5,"")</f>
        <v/>
      </c>
      <c r="B34" s="92">
        <f>IF(A34="","",INDEX(算定表!$B$6:$B$53,L34))</f>
        <v/>
      </c>
      <c r="C34" s="91">
        <f>IF(A34="","",INDEX(算定表!$C$6:$C$53,L34))</f>
        <v/>
      </c>
      <c r="D34" s="91">
        <f>IF(A34="","",INDEX(算定表!$E$6:$E$53,L34))</f>
        <v/>
      </c>
      <c r="E34" s="93">
        <f>IF(A34="","",INDEX(算定表!$F$6:$F$53,L34))</f>
        <v/>
      </c>
      <c r="F34" s="93">
        <f>IF(A34="","",LOOKUP(2,1/((算定表!$B$6:$B$53=B34)*(算定表!$C$6:$C$53=C34)*(算定表!$E$6:$E$53=D34)),算定表!$G$6:$G$53))</f>
        <v/>
      </c>
      <c r="G34" s="94">
        <f>IF(A34="","",SUMIFS(算定表!$I$6:$I$53,算定表!$B$6:$B$53,B34,算定表!$C$6:$C$53,C34,算定表!$E$6:$E$53,D34))</f>
        <v/>
      </c>
      <c r="H34" s="95">
        <f>IF(A34="","",SUMIFS(算定表!$M$6:$M$53,算定表!$B$6:$B$53,B34,算定表!$C$6:$C$53,C34,算定表!$E$6:$E$53,D34))</f>
        <v/>
      </c>
      <c r="I34" s="95">
        <f>IF(A34="","",SUMIFS(算定表!$N$6:$N$53,算定表!$B$6:$B$53,B34,算定表!$C$6:$C$53,C34,算定表!$E$6:$E$53,D34))</f>
        <v/>
      </c>
      <c r="J34" s="96">
        <f>IF(A34="","",SUMIFS(算定表!$O$6:$O$53,算定表!$B$6:$B$53,B34,算定表!$C$6:$C$53,C34,算定表!$E$6:$E$53,D34))</f>
        <v/>
      </c>
      <c r="K34" s="91">
        <f>IF(A34="","",IF(J34=0,"支給なし",""))</f>
        <v/>
      </c>
      <c r="L34" s="91">
        <f>IF(A34="","",MATCH(A34,算定表!$Q$6:$Q$53,0))</f>
        <v/>
      </c>
    </row>
    <row r="35">
      <c r="A35" s="91">
        <f>IF(ROW()-5&lt;=MAX(算定表!$Q$6:$Q$53),ROW()-5,"")</f>
        <v/>
      </c>
      <c r="B35" s="92">
        <f>IF(A35="","",INDEX(算定表!$B$6:$B$53,L35))</f>
        <v/>
      </c>
      <c r="C35" s="91">
        <f>IF(A35="","",INDEX(算定表!$C$6:$C$53,L35))</f>
        <v/>
      </c>
      <c r="D35" s="91">
        <f>IF(A35="","",INDEX(算定表!$E$6:$E$53,L35))</f>
        <v/>
      </c>
      <c r="E35" s="93">
        <f>IF(A35="","",INDEX(算定表!$F$6:$F$53,L35))</f>
        <v/>
      </c>
      <c r="F35" s="93">
        <f>IF(A35="","",LOOKUP(2,1/((算定表!$B$6:$B$53=B35)*(算定表!$C$6:$C$53=C35)*(算定表!$E$6:$E$53=D35)),算定表!$G$6:$G$53))</f>
        <v/>
      </c>
      <c r="G35" s="94">
        <f>IF(A35="","",SUMIFS(算定表!$I$6:$I$53,算定表!$B$6:$B$53,B35,算定表!$C$6:$C$53,C35,算定表!$E$6:$E$53,D35))</f>
        <v/>
      </c>
      <c r="H35" s="95">
        <f>IF(A35="","",SUMIFS(算定表!$M$6:$M$53,算定表!$B$6:$B$53,B35,算定表!$C$6:$C$53,C35,算定表!$E$6:$E$53,D35))</f>
        <v/>
      </c>
      <c r="I35" s="95">
        <f>IF(A35="","",SUMIFS(算定表!$N$6:$N$53,算定表!$B$6:$B$53,B35,算定表!$C$6:$C$53,C35,算定表!$E$6:$E$53,D35))</f>
        <v/>
      </c>
      <c r="J35" s="96">
        <f>IF(A35="","",SUMIFS(算定表!$O$6:$O$53,算定表!$B$6:$B$53,B35,算定表!$C$6:$C$53,C35,算定表!$E$6:$E$53,D35))</f>
        <v/>
      </c>
      <c r="K35" s="91">
        <f>IF(A35="","",IF(J35=0,"支給なし",""))</f>
        <v/>
      </c>
      <c r="L35" s="91">
        <f>IF(A35="","",MATCH(A35,算定表!$Q$6:$Q$53,0))</f>
        <v/>
      </c>
    </row>
    <row r="36">
      <c r="A36" s="91">
        <f>IF(ROW()-5&lt;=MAX(算定表!$Q$6:$Q$53),ROW()-5,"")</f>
        <v/>
      </c>
      <c r="B36" s="92">
        <f>IF(A36="","",INDEX(算定表!$B$6:$B$53,L36))</f>
        <v/>
      </c>
      <c r="C36" s="91">
        <f>IF(A36="","",INDEX(算定表!$C$6:$C$53,L36))</f>
        <v/>
      </c>
      <c r="D36" s="91">
        <f>IF(A36="","",INDEX(算定表!$E$6:$E$53,L36))</f>
        <v/>
      </c>
      <c r="E36" s="93">
        <f>IF(A36="","",INDEX(算定表!$F$6:$F$53,L36))</f>
        <v/>
      </c>
      <c r="F36" s="93">
        <f>IF(A36="","",LOOKUP(2,1/((算定表!$B$6:$B$53=B36)*(算定表!$C$6:$C$53=C36)*(算定表!$E$6:$E$53=D36)),算定表!$G$6:$G$53))</f>
        <v/>
      </c>
      <c r="G36" s="94">
        <f>IF(A36="","",SUMIFS(算定表!$I$6:$I$53,算定表!$B$6:$B$53,B36,算定表!$C$6:$C$53,C36,算定表!$E$6:$E$53,D36))</f>
        <v/>
      </c>
      <c r="H36" s="95">
        <f>IF(A36="","",SUMIFS(算定表!$M$6:$M$53,算定表!$B$6:$B$53,B36,算定表!$C$6:$C$53,C36,算定表!$E$6:$E$53,D36))</f>
        <v/>
      </c>
      <c r="I36" s="95">
        <f>IF(A36="","",SUMIFS(算定表!$N$6:$N$53,算定表!$B$6:$B$53,B36,算定表!$C$6:$C$53,C36,算定表!$E$6:$E$53,D36))</f>
        <v/>
      </c>
      <c r="J36" s="96">
        <f>IF(A36="","",SUMIFS(算定表!$O$6:$O$53,算定表!$B$6:$B$53,B36,算定表!$C$6:$C$53,C36,算定表!$E$6:$E$53,D36))</f>
        <v/>
      </c>
      <c r="K36" s="91">
        <f>IF(A36="","",IF(J36=0,"支給なし",""))</f>
        <v/>
      </c>
      <c r="L36" s="91">
        <f>IF(A36="","",MATCH(A36,算定表!$Q$6:$Q$53,0))</f>
        <v/>
      </c>
    </row>
    <row r="37">
      <c r="A37" s="91">
        <f>IF(ROW()-5&lt;=MAX(算定表!$Q$6:$Q$53),ROW()-5,"")</f>
        <v/>
      </c>
      <c r="B37" s="92">
        <f>IF(A37="","",INDEX(算定表!$B$6:$B$53,L37))</f>
        <v/>
      </c>
      <c r="C37" s="91">
        <f>IF(A37="","",INDEX(算定表!$C$6:$C$53,L37))</f>
        <v/>
      </c>
      <c r="D37" s="91">
        <f>IF(A37="","",INDEX(算定表!$E$6:$E$53,L37))</f>
        <v/>
      </c>
      <c r="E37" s="93">
        <f>IF(A37="","",INDEX(算定表!$F$6:$F$53,L37))</f>
        <v/>
      </c>
      <c r="F37" s="93">
        <f>IF(A37="","",LOOKUP(2,1/((算定表!$B$6:$B$53=B37)*(算定表!$C$6:$C$53=C37)*(算定表!$E$6:$E$53=D37)),算定表!$G$6:$G$53))</f>
        <v/>
      </c>
      <c r="G37" s="94">
        <f>IF(A37="","",SUMIFS(算定表!$I$6:$I$53,算定表!$B$6:$B$53,B37,算定表!$C$6:$C$53,C37,算定表!$E$6:$E$53,D37))</f>
        <v/>
      </c>
      <c r="H37" s="95">
        <f>IF(A37="","",SUMIFS(算定表!$M$6:$M$53,算定表!$B$6:$B$53,B37,算定表!$C$6:$C$53,C37,算定表!$E$6:$E$53,D37))</f>
        <v/>
      </c>
      <c r="I37" s="95">
        <f>IF(A37="","",SUMIFS(算定表!$N$6:$N$53,算定表!$B$6:$B$53,B37,算定表!$C$6:$C$53,C37,算定表!$E$6:$E$53,D37))</f>
        <v/>
      </c>
      <c r="J37" s="96">
        <f>IF(A37="","",SUMIFS(算定表!$O$6:$O$53,算定表!$B$6:$B$53,B37,算定表!$C$6:$C$53,C37,算定表!$E$6:$E$53,D37))</f>
        <v/>
      </c>
      <c r="K37" s="91">
        <f>IF(A37="","",IF(J37=0,"支給なし",""))</f>
        <v/>
      </c>
      <c r="L37" s="91">
        <f>IF(A37="","",MATCH(A37,算定表!$Q$6:$Q$53,0))</f>
        <v/>
      </c>
    </row>
    <row r="38">
      <c r="A38" s="91">
        <f>IF(ROW()-5&lt;=MAX(算定表!$Q$6:$Q$53),ROW()-5,"")</f>
        <v/>
      </c>
      <c r="B38" s="92">
        <f>IF(A38="","",INDEX(算定表!$B$6:$B$53,L38))</f>
        <v/>
      </c>
      <c r="C38" s="91">
        <f>IF(A38="","",INDEX(算定表!$C$6:$C$53,L38))</f>
        <v/>
      </c>
      <c r="D38" s="91">
        <f>IF(A38="","",INDEX(算定表!$E$6:$E$53,L38))</f>
        <v/>
      </c>
      <c r="E38" s="93">
        <f>IF(A38="","",INDEX(算定表!$F$6:$F$53,L38))</f>
        <v/>
      </c>
      <c r="F38" s="93">
        <f>IF(A38="","",LOOKUP(2,1/((算定表!$B$6:$B$53=B38)*(算定表!$C$6:$C$53=C38)*(算定表!$E$6:$E$53=D38)),算定表!$G$6:$G$53))</f>
        <v/>
      </c>
      <c r="G38" s="94">
        <f>IF(A38="","",SUMIFS(算定表!$I$6:$I$53,算定表!$B$6:$B$53,B38,算定表!$C$6:$C$53,C38,算定表!$E$6:$E$53,D38))</f>
        <v/>
      </c>
      <c r="H38" s="95">
        <f>IF(A38="","",SUMIFS(算定表!$M$6:$M$53,算定表!$B$6:$B$53,B38,算定表!$C$6:$C$53,C38,算定表!$E$6:$E$53,D38))</f>
        <v/>
      </c>
      <c r="I38" s="95">
        <f>IF(A38="","",SUMIFS(算定表!$N$6:$N$53,算定表!$B$6:$B$53,B38,算定表!$C$6:$C$53,C38,算定表!$E$6:$E$53,D38))</f>
        <v/>
      </c>
      <c r="J38" s="96">
        <f>IF(A38="","",SUMIFS(算定表!$O$6:$O$53,算定表!$B$6:$B$53,B38,算定表!$C$6:$C$53,C38,算定表!$E$6:$E$53,D38))</f>
        <v/>
      </c>
      <c r="K38" s="91">
        <f>IF(A38="","",IF(J38=0,"支給なし",""))</f>
        <v/>
      </c>
      <c r="L38" s="91">
        <f>IF(A38="","",MATCH(A38,算定表!$Q$6:$Q$53,0))</f>
        <v/>
      </c>
    </row>
    <row r="39">
      <c r="A39" s="91">
        <f>IF(ROW()-5&lt;=MAX(算定表!$Q$6:$Q$53),ROW()-5,"")</f>
        <v/>
      </c>
      <c r="B39" s="92">
        <f>IF(A39="","",INDEX(算定表!$B$6:$B$53,L39))</f>
        <v/>
      </c>
      <c r="C39" s="91">
        <f>IF(A39="","",INDEX(算定表!$C$6:$C$53,L39))</f>
        <v/>
      </c>
      <c r="D39" s="91">
        <f>IF(A39="","",INDEX(算定表!$E$6:$E$53,L39))</f>
        <v/>
      </c>
      <c r="E39" s="93">
        <f>IF(A39="","",INDEX(算定表!$F$6:$F$53,L39))</f>
        <v/>
      </c>
      <c r="F39" s="93">
        <f>IF(A39="","",LOOKUP(2,1/((算定表!$B$6:$B$53=B39)*(算定表!$C$6:$C$53=C39)*(算定表!$E$6:$E$53=D39)),算定表!$G$6:$G$53))</f>
        <v/>
      </c>
      <c r="G39" s="94">
        <f>IF(A39="","",SUMIFS(算定表!$I$6:$I$53,算定表!$B$6:$B$53,B39,算定表!$C$6:$C$53,C39,算定表!$E$6:$E$53,D39))</f>
        <v/>
      </c>
      <c r="H39" s="95">
        <f>IF(A39="","",SUMIFS(算定表!$M$6:$M$53,算定表!$B$6:$B$53,B39,算定表!$C$6:$C$53,C39,算定表!$E$6:$E$53,D39))</f>
        <v/>
      </c>
      <c r="I39" s="95">
        <f>IF(A39="","",SUMIFS(算定表!$N$6:$N$53,算定表!$B$6:$B$53,B39,算定表!$C$6:$C$53,C39,算定表!$E$6:$E$53,D39))</f>
        <v/>
      </c>
      <c r="J39" s="96">
        <f>IF(A39="","",SUMIFS(算定表!$O$6:$O$53,算定表!$B$6:$B$53,B39,算定表!$C$6:$C$53,C39,算定表!$E$6:$E$53,D39))</f>
        <v/>
      </c>
      <c r="K39" s="91">
        <f>IF(A39="","",IF(J39=0,"支給なし",""))</f>
        <v/>
      </c>
      <c r="L39" s="91">
        <f>IF(A39="","",MATCH(A39,算定表!$Q$6:$Q$53,0))</f>
        <v/>
      </c>
    </row>
    <row r="40">
      <c r="A40" s="91">
        <f>IF(ROW()-5&lt;=MAX(算定表!$Q$6:$Q$53),ROW()-5,"")</f>
        <v/>
      </c>
      <c r="B40" s="92">
        <f>IF(A40="","",INDEX(算定表!$B$6:$B$53,L40))</f>
        <v/>
      </c>
      <c r="C40" s="91">
        <f>IF(A40="","",INDEX(算定表!$C$6:$C$53,L40))</f>
        <v/>
      </c>
      <c r="D40" s="91">
        <f>IF(A40="","",INDEX(算定表!$E$6:$E$53,L40))</f>
        <v/>
      </c>
      <c r="E40" s="93">
        <f>IF(A40="","",INDEX(算定表!$F$6:$F$53,L40))</f>
        <v/>
      </c>
      <c r="F40" s="93">
        <f>IF(A40="","",LOOKUP(2,1/((算定表!$B$6:$B$53=B40)*(算定表!$C$6:$C$53=C40)*(算定表!$E$6:$E$53=D40)),算定表!$G$6:$G$53))</f>
        <v/>
      </c>
      <c r="G40" s="94">
        <f>IF(A40="","",SUMIFS(算定表!$I$6:$I$53,算定表!$B$6:$B$53,B40,算定表!$C$6:$C$53,C40,算定表!$E$6:$E$53,D40))</f>
        <v/>
      </c>
      <c r="H40" s="95">
        <f>IF(A40="","",SUMIFS(算定表!$M$6:$M$53,算定表!$B$6:$B$53,B40,算定表!$C$6:$C$53,C40,算定表!$E$6:$E$53,D40))</f>
        <v/>
      </c>
      <c r="I40" s="95">
        <f>IF(A40="","",SUMIFS(算定表!$N$6:$N$53,算定表!$B$6:$B$53,B40,算定表!$C$6:$C$53,C40,算定表!$E$6:$E$53,D40))</f>
        <v/>
      </c>
      <c r="J40" s="96">
        <f>IF(A40="","",SUMIFS(算定表!$O$6:$O$53,算定表!$B$6:$B$53,B40,算定表!$C$6:$C$53,C40,算定表!$E$6:$E$53,D40))</f>
        <v/>
      </c>
      <c r="K40" s="91">
        <f>IF(A40="","",IF(J40=0,"支給なし",""))</f>
        <v/>
      </c>
      <c r="L40" s="91">
        <f>IF(A40="","",MATCH(A40,算定表!$Q$6:$Q$53,0))</f>
        <v/>
      </c>
    </row>
    <row r="41">
      <c r="A41" s="91">
        <f>IF(ROW()-5&lt;=MAX(算定表!$Q$6:$Q$53),ROW()-5,"")</f>
        <v/>
      </c>
      <c r="B41" s="92">
        <f>IF(A41="","",INDEX(算定表!$B$6:$B$53,L41))</f>
        <v/>
      </c>
      <c r="C41" s="91">
        <f>IF(A41="","",INDEX(算定表!$C$6:$C$53,L41))</f>
        <v/>
      </c>
      <c r="D41" s="91">
        <f>IF(A41="","",INDEX(算定表!$E$6:$E$53,L41))</f>
        <v/>
      </c>
      <c r="E41" s="93">
        <f>IF(A41="","",INDEX(算定表!$F$6:$F$53,L41))</f>
        <v/>
      </c>
      <c r="F41" s="93">
        <f>IF(A41="","",LOOKUP(2,1/((算定表!$B$6:$B$53=B41)*(算定表!$C$6:$C$53=C41)*(算定表!$E$6:$E$53=D41)),算定表!$G$6:$G$53))</f>
        <v/>
      </c>
      <c r="G41" s="94">
        <f>IF(A41="","",SUMIFS(算定表!$I$6:$I$53,算定表!$B$6:$B$53,B41,算定表!$C$6:$C$53,C41,算定表!$E$6:$E$53,D41))</f>
        <v/>
      </c>
      <c r="H41" s="95">
        <f>IF(A41="","",SUMIFS(算定表!$M$6:$M$53,算定表!$B$6:$B$53,B41,算定表!$C$6:$C$53,C41,算定表!$E$6:$E$53,D41))</f>
        <v/>
      </c>
      <c r="I41" s="95">
        <f>IF(A41="","",SUMIFS(算定表!$N$6:$N$53,算定表!$B$6:$B$53,B41,算定表!$C$6:$C$53,C41,算定表!$E$6:$E$53,D41))</f>
        <v/>
      </c>
      <c r="J41" s="96">
        <f>IF(A41="","",SUMIFS(算定表!$O$6:$O$53,算定表!$B$6:$B$53,B41,算定表!$C$6:$C$53,C41,算定表!$E$6:$E$53,D41))</f>
        <v/>
      </c>
      <c r="K41" s="91">
        <f>IF(A41="","",IF(J41=0,"支給なし",""))</f>
        <v/>
      </c>
      <c r="L41" s="91">
        <f>IF(A41="","",MATCH(A41,算定表!$Q$6:$Q$53,0))</f>
        <v/>
      </c>
    </row>
    <row r="42">
      <c r="A42" s="91">
        <f>IF(ROW()-5&lt;=MAX(算定表!$Q$6:$Q$53),ROW()-5,"")</f>
        <v/>
      </c>
      <c r="B42" s="92">
        <f>IF(A42="","",INDEX(算定表!$B$6:$B$53,L42))</f>
        <v/>
      </c>
      <c r="C42" s="91">
        <f>IF(A42="","",INDEX(算定表!$C$6:$C$53,L42))</f>
        <v/>
      </c>
      <c r="D42" s="91">
        <f>IF(A42="","",INDEX(算定表!$E$6:$E$53,L42))</f>
        <v/>
      </c>
      <c r="E42" s="93">
        <f>IF(A42="","",INDEX(算定表!$F$6:$F$53,L42))</f>
        <v/>
      </c>
      <c r="F42" s="93">
        <f>IF(A42="","",LOOKUP(2,1/((算定表!$B$6:$B$53=B42)*(算定表!$C$6:$C$53=C42)*(算定表!$E$6:$E$53=D42)),算定表!$G$6:$G$53))</f>
        <v/>
      </c>
      <c r="G42" s="94">
        <f>IF(A42="","",SUMIFS(算定表!$I$6:$I$53,算定表!$B$6:$B$53,B42,算定表!$C$6:$C$53,C42,算定表!$E$6:$E$53,D42))</f>
        <v/>
      </c>
      <c r="H42" s="95">
        <f>IF(A42="","",SUMIFS(算定表!$M$6:$M$53,算定表!$B$6:$B$53,B42,算定表!$C$6:$C$53,C42,算定表!$E$6:$E$53,D42))</f>
        <v/>
      </c>
      <c r="I42" s="95">
        <f>IF(A42="","",SUMIFS(算定表!$N$6:$N$53,算定表!$B$6:$B$53,B42,算定表!$C$6:$C$53,C42,算定表!$E$6:$E$53,D42))</f>
        <v/>
      </c>
      <c r="J42" s="96">
        <f>IF(A42="","",SUMIFS(算定表!$O$6:$O$53,算定表!$B$6:$B$53,B42,算定表!$C$6:$C$53,C42,算定表!$E$6:$E$53,D42))</f>
        <v/>
      </c>
      <c r="K42" s="91">
        <f>IF(A42="","",IF(J42=0,"支給なし",""))</f>
        <v/>
      </c>
      <c r="L42" s="91">
        <f>IF(A42="","",MATCH(A42,算定表!$Q$6:$Q$53,0))</f>
        <v/>
      </c>
    </row>
    <row r="43">
      <c r="A43" s="91">
        <f>IF(ROW()-5&lt;=MAX(算定表!$Q$6:$Q$53),ROW()-5,"")</f>
        <v/>
      </c>
      <c r="B43" s="92">
        <f>IF(A43="","",INDEX(算定表!$B$6:$B$53,L43))</f>
        <v/>
      </c>
      <c r="C43" s="91">
        <f>IF(A43="","",INDEX(算定表!$C$6:$C$53,L43))</f>
        <v/>
      </c>
      <c r="D43" s="91">
        <f>IF(A43="","",INDEX(算定表!$E$6:$E$53,L43))</f>
        <v/>
      </c>
      <c r="E43" s="93">
        <f>IF(A43="","",INDEX(算定表!$F$6:$F$53,L43))</f>
        <v/>
      </c>
      <c r="F43" s="93">
        <f>IF(A43="","",LOOKUP(2,1/((算定表!$B$6:$B$53=B43)*(算定表!$C$6:$C$53=C43)*(算定表!$E$6:$E$53=D43)),算定表!$G$6:$G$53))</f>
        <v/>
      </c>
      <c r="G43" s="94">
        <f>IF(A43="","",SUMIFS(算定表!$I$6:$I$53,算定表!$B$6:$B$53,B43,算定表!$C$6:$C$53,C43,算定表!$E$6:$E$53,D43))</f>
        <v/>
      </c>
      <c r="H43" s="95">
        <f>IF(A43="","",SUMIFS(算定表!$M$6:$M$53,算定表!$B$6:$B$53,B43,算定表!$C$6:$C$53,C43,算定表!$E$6:$E$53,D43))</f>
        <v/>
      </c>
      <c r="I43" s="95">
        <f>IF(A43="","",SUMIFS(算定表!$N$6:$N$53,算定表!$B$6:$B$53,B43,算定表!$C$6:$C$53,C43,算定表!$E$6:$E$53,D43))</f>
        <v/>
      </c>
      <c r="J43" s="96">
        <f>IF(A43="","",SUMIFS(算定表!$O$6:$O$53,算定表!$B$6:$B$53,B43,算定表!$C$6:$C$53,C43,算定表!$E$6:$E$53,D43))</f>
        <v/>
      </c>
      <c r="K43" s="91">
        <f>IF(A43="","",IF(J43=0,"支給なし",""))</f>
        <v/>
      </c>
      <c r="L43" s="91">
        <f>IF(A43="","",MATCH(A43,算定表!$Q$6:$Q$53,0))</f>
        <v/>
      </c>
    </row>
    <row r="44">
      <c r="A44" s="91">
        <f>IF(ROW()-5&lt;=MAX(算定表!$Q$6:$Q$53),ROW()-5,"")</f>
        <v/>
      </c>
      <c r="B44" s="92">
        <f>IF(A44="","",INDEX(算定表!$B$6:$B$53,L44))</f>
        <v/>
      </c>
      <c r="C44" s="91">
        <f>IF(A44="","",INDEX(算定表!$C$6:$C$53,L44))</f>
        <v/>
      </c>
      <c r="D44" s="91">
        <f>IF(A44="","",INDEX(算定表!$E$6:$E$53,L44))</f>
        <v/>
      </c>
      <c r="E44" s="93">
        <f>IF(A44="","",INDEX(算定表!$F$6:$F$53,L44))</f>
        <v/>
      </c>
      <c r="F44" s="93">
        <f>IF(A44="","",LOOKUP(2,1/((算定表!$B$6:$B$53=B44)*(算定表!$C$6:$C$53=C44)*(算定表!$E$6:$E$53=D44)),算定表!$G$6:$G$53))</f>
        <v/>
      </c>
      <c r="G44" s="94">
        <f>IF(A44="","",SUMIFS(算定表!$I$6:$I$53,算定表!$B$6:$B$53,B44,算定表!$C$6:$C$53,C44,算定表!$E$6:$E$53,D44))</f>
        <v/>
      </c>
      <c r="H44" s="95">
        <f>IF(A44="","",SUMIFS(算定表!$M$6:$M$53,算定表!$B$6:$B$53,B44,算定表!$C$6:$C$53,C44,算定表!$E$6:$E$53,D44))</f>
        <v/>
      </c>
      <c r="I44" s="95">
        <f>IF(A44="","",SUMIFS(算定表!$N$6:$N$53,算定表!$B$6:$B$53,B44,算定表!$C$6:$C$53,C44,算定表!$E$6:$E$53,D44))</f>
        <v/>
      </c>
      <c r="J44" s="96">
        <f>IF(A44="","",SUMIFS(算定表!$O$6:$O$53,算定表!$B$6:$B$53,B44,算定表!$C$6:$C$53,C44,算定表!$E$6:$E$53,D44))</f>
        <v/>
      </c>
      <c r="K44" s="91">
        <f>IF(A44="","",IF(J44=0,"支給なし",""))</f>
        <v/>
      </c>
      <c r="L44" s="91">
        <f>IF(A44="","",MATCH(A44,算定表!$Q$6:$Q$53,0))</f>
        <v/>
      </c>
    </row>
    <row r="45">
      <c r="A45" s="91">
        <f>IF(ROW()-5&lt;=MAX(算定表!$Q$6:$Q$53),ROW()-5,"")</f>
        <v/>
      </c>
      <c r="B45" s="92">
        <f>IF(A45="","",INDEX(算定表!$B$6:$B$53,L45))</f>
        <v/>
      </c>
      <c r="C45" s="91">
        <f>IF(A45="","",INDEX(算定表!$C$6:$C$53,L45))</f>
        <v/>
      </c>
      <c r="D45" s="91">
        <f>IF(A45="","",INDEX(算定表!$E$6:$E$53,L45))</f>
        <v/>
      </c>
      <c r="E45" s="93">
        <f>IF(A45="","",INDEX(算定表!$F$6:$F$53,L45))</f>
        <v/>
      </c>
      <c r="F45" s="93">
        <f>IF(A45="","",LOOKUP(2,1/((算定表!$B$6:$B$53=B45)*(算定表!$C$6:$C$53=C45)*(算定表!$E$6:$E$53=D45)),算定表!$G$6:$G$53))</f>
        <v/>
      </c>
      <c r="G45" s="94">
        <f>IF(A45="","",SUMIFS(算定表!$I$6:$I$53,算定表!$B$6:$B$53,B45,算定表!$C$6:$C$53,C45,算定表!$E$6:$E$53,D45))</f>
        <v/>
      </c>
      <c r="H45" s="95">
        <f>IF(A45="","",SUMIFS(算定表!$M$6:$M$53,算定表!$B$6:$B$53,B45,算定表!$C$6:$C$53,C45,算定表!$E$6:$E$53,D45))</f>
        <v/>
      </c>
      <c r="I45" s="95">
        <f>IF(A45="","",SUMIFS(算定表!$N$6:$N$53,算定表!$B$6:$B$53,B45,算定表!$C$6:$C$53,C45,算定表!$E$6:$E$53,D45))</f>
        <v/>
      </c>
      <c r="J45" s="96">
        <f>IF(A45="","",SUMIFS(算定表!$O$6:$O$53,算定表!$B$6:$B$53,B45,算定表!$C$6:$C$53,C45,算定表!$E$6:$E$53,D45))</f>
        <v/>
      </c>
      <c r="K45" s="91">
        <f>IF(A45="","",IF(J45=0,"支給なし",""))</f>
        <v/>
      </c>
      <c r="L45" s="91">
        <f>IF(A45="","",MATCH(A45,算定表!$Q$6:$Q$53,0))</f>
        <v/>
      </c>
    </row>
    <row r="46">
      <c r="A46" s="91">
        <f>IF(ROW()-5&lt;=MAX(算定表!$Q$6:$Q$53),ROW()-5,"")</f>
        <v/>
      </c>
      <c r="B46" s="92">
        <f>IF(A46="","",INDEX(算定表!$B$6:$B$53,L46))</f>
        <v/>
      </c>
      <c r="C46" s="91">
        <f>IF(A46="","",INDEX(算定表!$C$6:$C$53,L46))</f>
        <v/>
      </c>
      <c r="D46" s="91">
        <f>IF(A46="","",INDEX(算定表!$E$6:$E$53,L46))</f>
        <v/>
      </c>
      <c r="E46" s="93">
        <f>IF(A46="","",INDEX(算定表!$F$6:$F$53,L46))</f>
        <v/>
      </c>
      <c r="F46" s="93">
        <f>IF(A46="","",LOOKUP(2,1/((算定表!$B$6:$B$53=B46)*(算定表!$C$6:$C$53=C46)*(算定表!$E$6:$E$53=D46)),算定表!$G$6:$G$53))</f>
        <v/>
      </c>
      <c r="G46" s="94">
        <f>IF(A46="","",SUMIFS(算定表!$I$6:$I$53,算定表!$B$6:$B$53,B46,算定表!$C$6:$C$53,C46,算定表!$E$6:$E$53,D46))</f>
        <v/>
      </c>
      <c r="H46" s="95">
        <f>IF(A46="","",SUMIFS(算定表!$M$6:$M$53,算定表!$B$6:$B$53,B46,算定表!$C$6:$C$53,C46,算定表!$E$6:$E$53,D46))</f>
        <v/>
      </c>
      <c r="I46" s="95">
        <f>IF(A46="","",SUMIFS(算定表!$N$6:$N$53,算定表!$B$6:$B$53,B46,算定表!$C$6:$C$53,C46,算定表!$E$6:$E$53,D46))</f>
        <v/>
      </c>
      <c r="J46" s="96">
        <f>IF(A46="","",SUMIFS(算定表!$O$6:$O$53,算定表!$B$6:$B$53,B46,算定表!$C$6:$C$53,C46,算定表!$E$6:$E$53,D46))</f>
        <v/>
      </c>
      <c r="K46" s="91">
        <f>IF(A46="","",IF(J46=0,"支給なし",""))</f>
        <v/>
      </c>
      <c r="L46" s="91">
        <f>IF(A46="","",MATCH(A46,算定表!$Q$6:$Q$53,0))</f>
        <v/>
      </c>
    </row>
    <row r="47">
      <c r="A47" s="91">
        <f>IF(ROW()-5&lt;=MAX(算定表!$Q$6:$Q$53),ROW()-5,"")</f>
        <v/>
      </c>
      <c r="B47" s="92">
        <f>IF(A47="","",INDEX(算定表!$B$6:$B$53,L47))</f>
        <v/>
      </c>
      <c r="C47" s="91">
        <f>IF(A47="","",INDEX(算定表!$C$6:$C$53,L47))</f>
        <v/>
      </c>
      <c r="D47" s="91">
        <f>IF(A47="","",INDEX(算定表!$E$6:$E$53,L47))</f>
        <v/>
      </c>
      <c r="E47" s="93">
        <f>IF(A47="","",INDEX(算定表!$F$6:$F$53,L47))</f>
        <v/>
      </c>
      <c r="F47" s="93">
        <f>IF(A47="","",LOOKUP(2,1/((算定表!$B$6:$B$53=B47)*(算定表!$C$6:$C$53=C47)*(算定表!$E$6:$E$53=D47)),算定表!$G$6:$G$53))</f>
        <v/>
      </c>
      <c r="G47" s="94">
        <f>IF(A47="","",SUMIFS(算定表!$I$6:$I$53,算定表!$B$6:$B$53,B47,算定表!$C$6:$C$53,C47,算定表!$E$6:$E$53,D47))</f>
        <v/>
      </c>
      <c r="H47" s="95">
        <f>IF(A47="","",SUMIFS(算定表!$M$6:$M$53,算定表!$B$6:$B$53,B47,算定表!$C$6:$C$53,C47,算定表!$E$6:$E$53,D47))</f>
        <v/>
      </c>
      <c r="I47" s="95">
        <f>IF(A47="","",SUMIFS(算定表!$N$6:$N$53,算定表!$B$6:$B$53,B47,算定表!$C$6:$C$53,C47,算定表!$E$6:$E$53,D47))</f>
        <v/>
      </c>
      <c r="J47" s="96">
        <f>IF(A47="","",SUMIFS(算定表!$O$6:$O$53,算定表!$B$6:$B$53,B47,算定表!$C$6:$C$53,C47,算定表!$E$6:$E$53,D47))</f>
        <v/>
      </c>
      <c r="K47" s="91">
        <f>IF(A47="","",IF(J47=0,"支給なし",""))</f>
        <v/>
      </c>
      <c r="L47" s="91">
        <f>IF(A47="","",MATCH(A47,算定表!$Q$6:$Q$53,0))</f>
        <v/>
      </c>
    </row>
    <row r="48">
      <c r="A48" s="91">
        <f>IF(ROW()-5&lt;=MAX(算定表!$Q$6:$Q$53),ROW()-5,"")</f>
        <v/>
      </c>
      <c r="B48" s="92">
        <f>IF(A48="","",INDEX(算定表!$B$6:$B$53,L48))</f>
        <v/>
      </c>
      <c r="C48" s="91">
        <f>IF(A48="","",INDEX(算定表!$C$6:$C$53,L48))</f>
        <v/>
      </c>
      <c r="D48" s="91">
        <f>IF(A48="","",INDEX(算定表!$E$6:$E$53,L48))</f>
        <v/>
      </c>
      <c r="E48" s="93">
        <f>IF(A48="","",INDEX(算定表!$F$6:$F$53,L48))</f>
        <v/>
      </c>
      <c r="F48" s="93">
        <f>IF(A48="","",LOOKUP(2,1/((算定表!$B$6:$B$53=B48)*(算定表!$C$6:$C$53=C48)*(算定表!$E$6:$E$53=D48)),算定表!$G$6:$G$53))</f>
        <v/>
      </c>
      <c r="G48" s="94">
        <f>IF(A48="","",SUMIFS(算定表!$I$6:$I$53,算定表!$B$6:$B$53,B48,算定表!$C$6:$C$53,C48,算定表!$E$6:$E$53,D48))</f>
        <v/>
      </c>
      <c r="H48" s="95">
        <f>IF(A48="","",SUMIFS(算定表!$M$6:$M$53,算定表!$B$6:$B$53,B48,算定表!$C$6:$C$53,C48,算定表!$E$6:$E$53,D48))</f>
        <v/>
      </c>
      <c r="I48" s="95">
        <f>IF(A48="","",SUMIFS(算定表!$N$6:$N$53,算定表!$B$6:$B$53,B48,算定表!$C$6:$C$53,C48,算定表!$E$6:$E$53,D48))</f>
        <v/>
      </c>
      <c r="J48" s="96">
        <f>IF(A48="","",SUMIFS(算定表!$O$6:$O$53,算定表!$B$6:$B$53,B48,算定表!$C$6:$C$53,C48,算定表!$E$6:$E$53,D48))</f>
        <v/>
      </c>
      <c r="K48" s="91">
        <f>IF(A48="","",IF(J48=0,"支給なし",""))</f>
        <v/>
      </c>
      <c r="L48" s="91">
        <f>IF(A48="","",MATCH(A48,算定表!$Q$6:$Q$53,0))</f>
        <v/>
      </c>
    </row>
    <row r="49">
      <c r="A49" s="91">
        <f>IF(ROW()-5&lt;=MAX(算定表!$Q$6:$Q$53),ROW()-5,"")</f>
        <v/>
      </c>
      <c r="B49" s="92">
        <f>IF(A49="","",INDEX(算定表!$B$6:$B$53,L49))</f>
        <v/>
      </c>
      <c r="C49" s="91">
        <f>IF(A49="","",INDEX(算定表!$C$6:$C$53,L49))</f>
        <v/>
      </c>
      <c r="D49" s="91">
        <f>IF(A49="","",INDEX(算定表!$E$6:$E$53,L49))</f>
        <v/>
      </c>
      <c r="E49" s="93">
        <f>IF(A49="","",INDEX(算定表!$F$6:$F$53,L49))</f>
        <v/>
      </c>
      <c r="F49" s="93">
        <f>IF(A49="","",LOOKUP(2,1/((算定表!$B$6:$B$53=B49)*(算定表!$C$6:$C$53=C49)*(算定表!$E$6:$E$53=D49)),算定表!$G$6:$G$53))</f>
        <v/>
      </c>
      <c r="G49" s="94">
        <f>IF(A49="","",SUMIFS(算定表!$I$6:$I$53,算定表!$B$6:$B$53,B49,算定表!$C$6:$C$53,C49,算定表!$E$6:$E$53,D49))</f>
        <v/>
      </c>
      <c r="H49" s="95">
        <f>IF(A49="","",SUMIFS(算定表!$M$6:$M$53,算定表!$B$6:$B$53,B49,算定表!$C$6:$C$53,C49,算定表!$E$6:$E$53,D49))</f>
        <v/>
      </c>
      <c r="I49" s="95">
        <f>IF(A49="","",SUMIFS(算定表!$N$6:$N$53,算定表!$B$6:$B$53,B49,算定表!$C$6:$C$53,C49,算定表!$E$6:$E$53,D49))</f>
        <v/>
      </c>
      <c r="J49" s="96">
        <f>IF(A49="","",SUMIFS(算定表!$O$6:$O$53,算定表!$B$6:$B$53,B49,算定表!$C$6:$C$53,C49,算定表!$E$6:$E$53,D49))</f>
        <v/>
      </c>
      <c r="K49" s="91">
        <f>IF(A49="","",IF(J49=0,"支給なし",""))</f>
        <v/>
      </c>
      <c r="L49" s="91">
        <f>IF(A49="","",MATCH(A49,算定表!$Q$6:$Q$53,0))</f>
        <v/>
      </c>
    </row>
    <row r="50">
      <c r="A50" s="91">
        <f>IF(ROW()-5&lt;=MAX(算定表!$Q$6:$Q$53),ROW()-5,"")</f>
        <v/>
      </c>
      <c r="B50" s="92">
        <f>IF(A50="","",INDEX(算定表!$B$6:$B$53,L50))</f>
        <v/>
      </c>
      <c r="C50" s="91">
        <f>IF(A50="","",INDEX(算定表!$C$6:$C$53,L50))</f>
        <v/>
      </c>
      <c r="D50" s="91">
        <f>IF(A50="","",INDEX(算定表!$E$6:$E$53,L50))</f>
        <v/>
      </c>
      <c r="E50" s="93">
        <f>IF(A50="","",INDEX(算定表!$F$6:$F$53,L50))</f>
        <v/>
      </c>
      <c r="F50" s="93">
        <f>IF(A50="","",LOOKUP(2,1/((算定表!$B$6:$B$53=B50)*(算定表!$C$6:$C$53=C50)*(算定表!$E$6:$E$53=D50)),算定表!$G$6:$G$53))</f>
        <v/>
      </c>
      <c r="G50" s="94">
        <f>IF(A50="","",SUMIFS(算定表!$I$6:$I$53,算定表!$B$6:$B$53,B50,算定表!$C$6:$C$53,C50,算定表!$E$6:$E$53,D50))</f>
        <v/>
      </c>
      <c r="H50" s="95">
        <f>IF(A50="","",SUMIFS(算定表!$M$6:$M$53,算定表!$B$6:$B$53,B50,算定表!$C$6:$C$53,C50,算定表!$E$6:$E$53,D50))</f>
        <v/>
      </c>
      <c r="I50" s="95">
        <f>IF(A50="","",SUMIFS(算定表!$N$6:$N$53,算定表!$B$6:$B$53,B50,算定表!$C$6:$C$53,C50,算定表!$E$6:$E$53,D50))</f>
        <v/>
      </c>
      <c r="J50" s="96">
        <f>IF(A50="","",SUMIFS(算定表!$O$6:$O$53,算定表!$B$6:$B$53,B50,算定表!$C$6:$C$53,C50,算定表!$E$6:$E$53,D50))</f>
        <v/>
      </c>
      <c r="K50" s="91">
        <f>IF(A50="","",IF(J50=0,"支給なし",""))</f>
        <v/>
      </c>
      <c r="L50" s="91">
        <f>IF(A50="","",MATCH(A50,算定表!$Q$6:$Q$53,0))</f>
        <v/>
      </c>
    </row>
    <row r="51">
      <c r="A51" s="91">
        <f>IF(ROW()-5&lt;=MAX(算定表!$Q$6:$Q$53),ROW()-5,"")</f>
        <v/>
      </c>
      <c r="B51" s="92">
        <f>IF(A51="","",INDEX(算定表!$B$6:$B$53,L51))</f>
        <v/>
      </c>
      <c r="C51" s="91">
        <f>IF(A51="","",INDEX(算定表!$C$6:$C$53,L51))</f>
        <v/>
      </c>
      <c r="D51" s="91">
        <f>IF(A51="","",INDEX(算定表!$E$6:$E$53,L51))</f>
        <v/>
      </c>
      <c r="E51" s="93">
        <f>IF(A51="","",INDEX(算定表!$F$6:$F$53,L51))</f>
        <v/>
      </c>
      <c r="F51" s="93">
        <f>IF(A51="","",LOOKUP(2,1/((算定表!$B$6:$B$53=B51)*(算定表!$C$6:$C$53=C51)*(算定表!$E$6:$E$53=D51)),算定表!$G$6:$G$53))</f>
        <v/>
      </c>
      <c r="G51" s="94">
        <f>IF(A51="","",SUMIFS(算定表!$I$6:$I$53,算定表!$B$6:$B$53,B51,算定表!$C$6:$C$53,C51,算定表!$E$6:$E$53,D51))</f>
        <v/>
      </c>
      <c r="H51" s="95">
        <f>IF(A51="","",SUMIFS(算定表!$M$6:$M$53,算定表!$B$6:$B$53,B51,算定表!$C$6:$C$53,C51,算定表!$E$6:$E$53,D51))</f>
        <v/>
      </c>
      <c r="I51" s="95">
        <f>IF(A51="","",SUMIFS(算定表!$N$6:$N$53,算定表!$B$6:$B$53,B51,算定表!$C$6:$C$53,C51,算定表!$E$6:$E$53,D51))</f>
        <v/>
      </c>
      <c r="J51" s="96">
        <f>IF(A51="","",SUMIFS(算定表!$O$6:$O$53,算定表!$B$6:$B$53,B51,算定表!$C$6:$C$53,C51,算定表!$E$6:$E$53,D51))</f>
        <v/>
      </c>
      <c r="K51" s="91">
        <f>IF(A51="","",IF(J51=0,"支給なし",""))</f>
        <v/>
      </c>
      <c r="L51" s="91">
        <f>IF(A51="","",MATCH(A51,算定表!$Q$6:$Q$53,0))</f>
        <v/>
      </c>
    </row>
    <row r="52">
      <c r="A52" s="91">
        <f>IF(ROW()-5&lt;=MAX(算定表!$Q$6:$Q$53),ROW()-5,"")</f>
        <v/>
      </c>
      <c r="B52" s="92">
        <f>IF(A52="","",INDEX(算定表!$B$6:$B$53,L52))</f>
        <v/>
      </c>
      <c r="C52" s="91">
        <f>IF(A52="","",INDEX(算定表!$C$6:$C$53,L52))</f>
        <v/>
      </c>
      <c r="D52" s="91">
        <f>IF(A52="","",INDEX(算定表!$E$6:$E$53,L52))</f>
        <v/>
      </c>
      <c r="E52" s="93">
        <f>IF(A52="","",INDEX(算定表!$F$6:$F$53,L52))</f>
        <v/>
      </c>
      <c r="F52" s="93">
        <f>IF(A52="","",LOOKUP(2,1/((算定表!$B$6:$B$53=B52)*(算定表!$C$6:$C$53=C52)*(算定表!$E$6:$E$53=D52)),算定表!$G$6:$G$53))</f>
        <v/>
      </c>
      <c r="G52" s="94">
        <f>IF(A52="","",SUMIFS(算定表!$I$6:$I$53,算定表!$B$6:$B$53,B52,算定表!$C$6:$C$53,C52,算定表!$E$6:$E$53,D52))</f>
        <v/>
      </c>
      <c r="H52" s="95">
        <f>IF(A52="","",SUMIFS(算定表!$M$6:$M$53,算定表!$B$6:$B$53,B52,算定表!$C$6:$C$53,C52,算定表!$E$6:$E$53,D52))</f>
        <v/>
      </c>
      <c r="I52" s="95">
        <f>IF(A52="","",SUMIFS(算定表!$N$6:$N$53,算定表!$B$6:$B$53,B52,算定表!$C$6:$C$53,C52,算定表!$E$6:$E$53,D52))</f>
        <v/>
      </c>
      <c r="J52" s="96">
        <f>IF(A52="","",SUMIFS(算定表!$O$6:$O$53,算定表!$B$6:$B$53,B52,算定表!$C$6:$C$53,C52,算定表!$E$6:$E$53,D52))</f>
        <v/>
      </c>
      <c r="K52" s="91">
        <f>IF(A52="","",IF(J52=0,"支給なし",""))</f>
        <v/>
      </c>
      <c r="L52" s="91">
        <f>IF(A52="","",MATCH(A52,算定表!$Q$6:$Q$53,0))</f>
        <v/>
      </c>
    </row>
    <row r="53">
      <c r="A53" s="91">
        <f>IF(ROW()-5&lt;=MAX(算定表!$Q$6:$Q$53),ROW()-5,"")</f>
        <v/>
      </c>
      <c r="B53" s="92">
        <f>IF(A53="","",INDEX(算定表!$B$6:$B$53,L53))</f>
        <v/>
      </c>
      <c r="C53" s="91">
        <f>IF(A53="","",INDEX(算定表!$C$6:$C$53,L53))</f>
        <v/>
      </c>
      <c r="D53" s="91">
        <f>IF(A53="","",INDEX(算定表!$E$6:$E$53,L53))</f>
        <v/>
      </c>
      <c r="E53" s="93">
        <f>IF(A53="","",INDEX(算定表!$F$6:$F$53,L53))</f>
        <v/>
      </c>
      <c r="F53" s="93">
        <f>IF(A53="","",LOOKUP(2,1/((算定表!$B$6:$B$53=B53)*(算定表!$C$6:$C$53=C53)*(算定表!$E$6:$E$53=D53)),算定表!$G$6:$G$53))</f>
        <v/>
      </c>
      <c r="G53" s="94">
        <f>IF(A53="","",SUMIFS(算定表!$I$6:$I$53,算定表!$B$6:$B$53,B53,算定表!$C$6:$C$53,C53,算定表!$E$6:$E$53,D53))</f>
        <v/>
      </c>
      <c r="H53" s="95">
        <f>IF(A53="","",SUMIFS(算定表!$M$6:$M$53,算定表!$B$6:$B$53,B53,算定表!$C$6:$C$53,C53,算定表!$E$6:$E$53,D53))</f>
        <v/>
      </c>
      <c r="I53" s="95">
        <f>IF(A53="","",SUMIFS(算定表!$N$6:$N$53,算定表!$B$6:$B$53,B53,算定表!$C$6:$C$53,C53,算定表!$E$6:$E$53,D53))</f>
        <v/>
      </c>
      <c r="J53" s="96">
        <f>IF(A53="","",SUMIFS(算定表!$O$6:$O$53,算定表!$B$6:$B$53,B53,算定表!$C$6:$C$53,C53,算定表!$E$6:$E$53,D53))</f>
        <v/>
      </c>
      <c r="K53" s="91">
        <f>IF(A53="","",IF(J53=0,"支給なし",""))</f>
        <v/>
      </c>
      <c r="L53" s="91">
        <f>IF(A53="","",MATCH(A53,算定表!$Q$6:$Q$53,0))</f>
        <v/>
      </c>
    </row>
    <row r="54">
      <c r="A54" s="97" t="n"/>
      <c r="B54" s="97" t="n"/>
      <c r="C54" s="97" t="n"/>
      <c r="D54" s="97" t="n"/>
      <c r="E54" s="97" t="n"/>
      <c r="F54" s="97" t="n"/>
      <c r="G54" s="97" t="n"/>
      <c r="H54" s="97" t="n"/>
      <c r="I54" s="97" t="n"/>
      <c r="J54" s="97" t="n"/>
      <c r="K54" s="97" t="n"/>
      <c r="L54" s="97" t="n"/>
    </row>
    <row r="55">
      <c r="A55" s="98" t="inlineStr">
        <is>
          <t>法定給付 計</t>
        </is>
      </c>
      <c r="B55" s="99" t="n"/>
      <c r="C55" s="100" t="n"/>
      <c r="D55" s="100" t="n"/>
      <c r="E55" s="100" t="n"/>
      <c r="F55" s="70" t="n"/>
      <c r="G55" s="101">
        <f>SUMIFS(G6:G53,$D$6:$D$53,"法定")</f>
        <v/>
      </c>
      <c r="H55" s="101">
        <f>SUMIFS(H6:H53,$D$6:$D$53,"法定")</f>
        <v/>
      </c>
      <c r="I55" s="101">
        <f>SUMIFS(I6:I53,$D$6:$D$53,"法定")</f>
        <v/>
      </c>
      <c r="J55" s="101">
        <f>SUMIFS(J6:J53,$D$6:$D$53,"法定")</f>
        <v/>
      </c>
      <c r="K55" s="101" t="n"/>
      <c r="L55" s="97" t="n"/>
    </row>
    <row r="56">
      <c r="A56" s="98" t="inlineStr">
        <is>
          <t>附加給付 計</t>
        </is>
      </c>
      <c r="B56" s="99" t="n"/>
      <c r="C56" s="100" t="n"/>
      <c r="D56" s="100" t="n"/>
      <c r="E56" s="100" t="n"/>
      <c r="F56" s="70" t="n"/>
      <c r="G56" s="101">
        <f>SUMIFS(G6:G53,$D$6:$D$53,"附加")</f>
        <v/>
      </c>
      <c r="H56" s="101">
        <f>SUMIFS(H6:H53,$D$6:$D$53,"附加")</f>
        <v/>
      </c>
      <c r="I56" s="101">
        <f>SUMIFS(I6:I53,$D$6:$D$53,"附加")</f>
        <v/>
      </c>
      <c r="J56" s="101">
        <f>SUMIFS(J6:J53,$D$6:$D$53,"附加")</f>
        <v/>
      </c>
      <c r="K56" s="101" t="n"/>
      <c r="L56" s="97" t="n"/>
    </row>
    <row r="57">
      <c r="A57" s="102" t="inlineStr">
        <is>
          <t>合　計</t>
        </is>
      </c>
      <c r="B57" s="99" t="n"/>
      <c r="C57" s="100" t="n"/>
      <c r="D57" s="100" t="n"/>
      <c r="E57" s="100" t="n"/>
      <c r="F57" s="70" t="n"/>
      <c r="G57" s="103">
        <f>SUM(G55:G56)</f>
        <v/>
      </c>
      <c r="H57" s="103">
        <f>SUM(H55:H56)</f>
        <v/>
      </c>
      <c r="I57" s="103">
        <f>SUM(I55:I56)</f>
        <v/>
      </c>
      <c r="J57" s="103">
        <f>SUM(J55:J56)</f>
        <v/>
      </c>
      <c r="K57" s="103" t="n"/>
      <c r="L57" s="97" t="n"/>
    </row>
    <row r="58">
      <c r="A58" s="97" t="n"/>
      <c r="B58" s="97" t="n"/>
      <c r="C58" s="97" t="n"/>
      <c r="D58" s="97" t="n"/>
      <c r="E58" s="97" t="n"/>
      <c r="F58" s="97" t="n"/>
      <c r="G58" s="97" t="n"/>
      <c r="H58" s="97" t="n"/>
      <c r="I58" s="97" t="n"/>
      <c r="J58" s="97" t="n"/>
      <c r="K58" s="97" t="n"/>
      <c r="L58" s="97" t="n"/>
    </row>
    <row r="59">
      <c r="A59" s="66" t="inlineStr">
        <is>
          <t>■ 検算（算定表の合計との差。0なら整合）</t>
        </is>
      </c>
      <c r="B59" s="97" t="n"/>
      <c r="C59" s="97" t="n"/>
      <c r="D59" s="97" t="n"/>
      <c r="E59" s="97" t="n"/>
      <c r="F59" s="97" t="n"/>
      <c r="G59" s="97" t="n"/>
      <c r="H59" s="97" t="n"/>
      <c r="I59" s="97" t="n"/>
      <c r="J59" s="97" t="n"/>
      <c r="K59" s="97" t="n"/>
      <c r="L59" s="97" t="n"/>
    </row>
    <row r="60">
      <c r="A60" s="65" t="inlineStr">
        <is>
          <t>差引支給額：月別集計 − 算定表</t>
        </is>
      </c>
      <c r="B60" s="97" t="n"/>
      <c r="C60" s="97" t="n"/>
      <c r="D60" s="97" t="n"/>
      <c r="E60" s="97" t="n"/>
      <c r="F60" s="97" t="n"/>
      <c r="G60" s="97" t="n"/>
      <c r="H60" s="97" t="n"/>
      <c r="I60" s="97" t="n"/>
      <c r="J60" s="104">
        <f>J57-算定表!O57</f>
        <v/>
      </c>
      <c r="K60" s="97" t="n"/>
      <c r="L60" s="97" t="n"/>
    </row>
    <row r="61">
      <c r="A61" s="65" t="inlineStr">
        <is>
          <t>支給日数：月別集計 − 算定表</t>
        </is>
      </c>
      <c r="B61" s="97" t="n"/>
      <c r="C61" s="97" t="n"/>
      <c r="D61" s="97" t="n"/>
      <c r="E61" s="97" t="n"/>
      <c r="F61" s="97" t="n"/>
      <c r="G61" s="104">
        <f>G57-算定表!I57</f>
        <v/>
      </c>
      <c r="H61" s="97" t="n"/>
      <c r="I61" s="97" t="n"/>
      <c r="J61" s="97" t="n"/>
      <c r="K61" s="97" t="n"/>
      <c r="L61" s="97" t="n"/>
    </row>
    <row r="62">
      <c r="A62" s="97" t="n"/>
      <c r="B62" s="97" t="n"/>
      <c r="C62" s="97" t="n"/>
      <c r="D62" s="97" t="n"/>
      <c r="E62" s="97" t="n"/>
      <c r="F62" s="97" t="n"/>
      <c r="G62" s="97" t="n"/>
      <c r="H62" s="97" t="n"/>
      <c r="I62" s="97" t="n"/>
      <c r="J62" s="97" t="n"/>
      <c r="K62" s="97" t="n"/>
      <c r="L62" s="97" t="n"/>
    </row>
    <row r="63">
      <c r="A63" s="105" t="inlineStr">
        <is>
          <t>・基幹システムには、標準支給額（日額×日数）を入れ、報酬との調整分は「調整額」にマイナスで入力します。最終給付額が差引支給額と一致するか確認してください。</t>
        </is>
      </c>
      <c r="B63" s="97" t="n"/>
      <c r="C63" s="97" t="n"/>
      <c r="D63" s="97" t="n"/>
      <c r="E63" s="97" t="n"/>
      <c r="F63" s="97" t="n"/>
      <c r="G63" s="97" t="n"/>
      <c r="H63" s="97" t="n"/>
      <c r="I63" s="97" t="n"/>
      <c r="J63" s="97" t="n"/>
      <c r="K63" s="97" t="n"/>
      <c r="L63" s="97" t="n"/>
    </row>
    <row r="64">
      <c r="A64" s="97" t="n"/>
      <c r="B64" s="97" t="n"/>
      <c r="C64" s="97" t="n"/>
      <c r="D64" s="97" t="n"/>
      <c r="E64" s="97" t="n"/>
      <c r="F64" s="97" t="n"/>
      <c r="G64" s="97" t="n"/>
      <c r="H64" s="97" t="n"/>
      <c r="I64" s="97" t="n"/>
      <c r="J64" s="97" t="n"/>
      <c r="K64" s="97" t="n"/>
      <c r="L64" s="97" t="n"/>
    </row>
    <row r="65">
      <c r="A65" s="97" t="n"/>
      <c r="B65" s="97" t="n"/>
      <c r="C65" s="97" t="n"/>
      <c r="D65" s="97" t="n"/>
      <c r="E65" s="97" t="n"/>
      <c r="F65" s="97" t="n"/>
      <c r="G65" s="97" t="n"/>
      <c r="H65" s="97" t="n"/>
      <c r="I65" s="97" t="n"/>
      <c r="J65" s="97" t="n"/>
      <c r="K65" s="97" t="n"/>
      <c r="L65" s="97" t="n"/>
    </row>
    <row r="66">
      <c r="A66" s="97" t="n"/>
      <c r="B66" s="97" t="n"/>
      <c r="C66" s="97" t="n"/>
      <c r="D66" s="97" t="n"/>
      <c r="E66" s="97" t="n"/>
      <c r="F66" s="97" t="n"/>
      <c r="G66" s="97" t="n"/>
      <c r="H66" s="97" t="n"/>
      <c r="I66" s="97" t="n"/>
      <c r="J66" s="97" t="n"/>
      <c r="K66" s="97" t="n"/>
      <c r="L66" s="97" t="n"/>
    </row>
    <row r="67">
      <c r="A67" s="97" t="n"/>
      <c r="B67" s="97" t="n"/>
      <c r="C67" s="97" t="n"/>
      <c r="D67" s="97" t="n"/>
      <c r="E67" s="97" t="n"/>
      <c r="F67" s="97" t="n"/>
      <c r="G67" s="97" t="n"/>
      <c r="H67" s="97" t="n"/>
      <c r="I67" s="97" t="n"/>
      <c r="J67" s="97" t="n"/>
      <c r="K67" s="97" t="n"/>
      <c r="L67" s="97" t="n"/>
    </row>
    <row r="68">
      <c r="A68" s="97" t="n"/>
      <c r="B68" s="97" t="n"/>
      <c r="C68" s="97" t="n"/>
      <c r="D68" s="97" t="n"/>
      <c r="E68" s="97" t="n"/>
      <c r="F68" s="97" t="n"/>
      <c r="G68" s="97" t="n"/>
      <c r="H68" s="97" t="n"/>
      <c r="I68" s="97" t="n"/>
      <c r="J68" s="97" t="n"/>
      <c r="K68" s="97" t="n"/>
      <c r="L68" s="97" t="n"/>
    </row>
    <row r="69">
      <c r="A69" s="97" t="n"/>
      <c r="B69" s="97" t="n"/>
      <c r="C69" s="97" t="n"/>
      <c r="D69" s="97" t="n"/>
      <c r="E69" s="97" t="n"/>
      <c r="F69" s="97" t="n"/>
      <c r="G69" s="97" t="n"/>
      <c r="H69" s="97" t="n"/>
      <c r="I69" s="97" t="n"/>
      <c r="J69" s="97" t="n"/>
      <c r="K69" s="97" t="n"/>
      <c r="L69" s="97" t="n"/>
    </row>
  </sheetData>
  <mergeCells count="3">
    <mergeCell ref="A56:F56"/>
    <mergeCell ref="A55:F55"/>
    <mergeCell ref="A57:F57"/>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AD73"/>
  <sheetViews>
    <sheetView showGridLines="0" tabSelected="0" zoomScaleNormal="100" workbookViewId="0">
      <pane ySplit="5" topLeftCell="A6" activePane="bottomLeft" state="frozen"/>
      <selection pane="bottomLeft" activeCell="H23" sqref="H23"/>
    </sheetView>
  </sheetViews>
  <sheetFormatPr baseColWidth="8" defaultColWidth="8.6640625" defaultRowHeight="14.4"/>
  <cols>
    <col width="6" customWidth="1" style="39" min="1" max="1"/>
    <col width="7" customWidth="1" style="39" min="2" max="2"/>
    <col width="5" customWidth="1" style="39" min="3" max="3"/>
    <col width="7" customWidth="1" style="39" min="4" max="5"/>
    <col width="13" customWidth="1" style="39" min="6" max="7"/>
    <col width="9" customWidth="1" style="39" min="8" max="9"/>
    <col width="11" customWidth="1" style="39" min="10" max="10"/>
    <col width="10" customWidth="1" style="39" min="11" max="11"/>
    <col width="8" customWidth="1" style="39" min="12" max="12"/>
    <col width="13" customWidth="1" style="39" min="13" max="15"/>
    <col width="14" customWidth="1" style="39" min="16" max="16"/>
    <col hidden="1" width="13" customWidth="1" style="39" min="17" max="17"/>
    <col hidden="1" width="13" customWidth="1" style="39" min="18" max="18"/>
    <col hidden="1" width="13" customWidth="1" style="39" min="19" max="19"/>
    <col hidden="1" width="12" customWidth="1" style="39" min="21" max="21"/>
    <col hidden="1" width="12" customWidth="1" style="39" min="22" max="22"/>
    <col hidden="1" width="12" customWidth="1" style="39" min="23" max="23"/>
    <col hidden="1" width="12" customWidth="1" style="39" min="24" max="24"/>
    <col hidden="1" width="12" customWidth="1" style="39" min="25" max="25"/>
    <col hidden="1" width="12" customWidth="1" style="39" min="26" max="26"/>
    <col hidden="1" width="12" customWidth="1" style="39" min="27" max="27"/>
    <col hidden="1" width="12" customWidth="1" style="39" min="28" max="28"/>
    <col hidden="1" width="13" customWidth="1" style="39" min="30" max="30"/>
  </cols>
  <sheetData>
    <row r="1" ht="17.4" customHeight="1" s="39">
      <c r="A1" s="64">
        <f>"（"&amp;入力!C4&amp;"）　"&amp;入力!C5</f>
        <v/>
      </c>
      <c r="B1" s="63" t="n"/>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row>
    <row r="2">
      <c r="A2" s="65">
        <f>"病気休暇：" &amp; TEXT(入力!C6,"[$-411]ggge""年""m""月""d""日""") &amp; "～　　傷病手当（法定）：" &amp; TEXT(入力!J5,"[$-411]ggge""年""m""月""d""日""") &amp; "～" &amp; TEXT(入力!J6,"[$-411]ggge""年""m""月""d""日""")&amp; IF(入力!J9&gt;入力!J6,"　　附加給付：" &amp; TEXT(入力!J7,"[$-411]ggge""年""m""月""d""日""") &amp; "～" &amp; TEXT(入力!J9,"[$-411]ggge""年""m""月""d""日"""),"　　附加給付：なし")</f>
        <v/>
      </c>
      <c r="B2" s="63" t="n"/>
      <c r="C2" s="63" t="n"/>
      <c r="D2" s="63" t="n"/>
      <c r="E2" s="63" t="n"/>
      <c r="F2" s="63" t="n"/>
      <c r="G2" s="63" t="n"/>
      <c r="H2" s="63" t="n"/>
      <c r="I2" s="63" t="n"/>
      <c r="J2" s="63" t="n"/>
      <c r="K2" s="63" t="n"/>
      <c r="L2" s="63" t="n"/>
      <c r="M2" s="63" t="n"/>
      <c r="N2" s="63" t="n"/>
      <c r="O2" s="63" t="n"/>
      <c r="P2" s="63" t="n"/>
      <c r="Q2" s="63" t="n"/>
      <c r="R2" s="63" t="n"/>
      <c r="S2" s="63" t="n"/>
      <c r="T2" s="63" t="n"/>
      <c r="U2" s="63" t="n"/>
      <c r="V2" s="63" t="n"/>
      <c r="W2" s="63" t="n"/>
      <c r="X2" s="63" t="n"/>
      <c r="Y2" s="63" t="n"/>
      <c r="Z2" s="63" t="n"/>
      <c r="AA2" s="63" t="n"/>
      <c r="AB2" s="63" t="n"/>
      <c r="AC2" s="63" t="n"/>
      <c r="AD2" s="63" t="n"/>
    </row>
    <row r="3">
      <c r="A3" s="65" t="inlineStr">
        <is>
          <t xml:space="preserve">　標準支給額（報酬がないとした場合の額）から、報酬との調整額を差し引いた「差引支給額」を月別・給付区分別に自動計算します。</t>
        </is>
      </c>
      <c r="B3" s="63" t="n"/>
      <c r="C3" s="63" t="n"/>
      <c r="D3" s="63" t="n"/>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row>
    <row r="4">
      <c r="A4" s="63" t="n"/>
      <c r="B4" s="63" t="n"/>
      <c r="C4" s="63" t="n"/>
      <c r="D4" s="63" t="n"/>
      <c r="E4" s="63" t="n"/>
      <c r="F4" s="63" t="n"/>
      <c r="G4" s="63" t="n"/>
      <c r="H4" s="63" t="n"/>
      <c r="I4" s="63"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row>
    <row r="5" ht="42" customHeight="1" s="39">
      <c r="A5" s="77" t="inlineStr">
        <is>
          <t>番号</t>
        </is>
      </c>
      <c r="B5" s="77" t="inlineStr">
        <is>
          <t>年</t>
        </is>
      </c>
      <c r="C5" s="77" t="inlineStr">
        <is>
          <t>月</t>
        </is>
      </c>
      <c r="D5" s="77" t="inlineStr">
        <is>
          <t>給与
区分</t>
        </is>
      </c>
      <c r="E5" s="77" t="inlineStr">
        <is>
          <t>給付
区分</t>
        </is>
      </c>
      <c r="F5" s="77" t="inlineStr">
        <is>
          <t>支給期間
（始）</t>
        </is>
      </c>
      <c r="G5" s="77" t="inlineStr">
        <is>
          <t>支給期間
（終）</t>
        </is>
      </c>
      <c r="H5" s="77" t="inlineStr">
        <is>
          <t>勤務を
要する日</t>
        </is>
      </c>
      <c r="I5" s="77" t="inlineStr">
        <is>
          <t>支給日数
（A）</t>
        </is>
      </c>
      <c r="J5" s="77" t="inlineStr">
        <is>
          <t>傷病手当
日額（B）</t>
        </is>
      </c>
      <c r="K5" s="77" t="inlineStr">
        <is>
          <t>報酬日額
（C）</t>
        </is>
      </c>
      <c r="L5" s="77" t="inlineStr">
        <is>
          <t>支給
可否</t>
        </is>
      </c>
      <c r="M5" s="77" t="inlineStr">
        <is>
          <t>標準支給額
（F=B×A）</t>
        </is>
      </c>
      <c r="N5" s="77" t="inlineStr">
        <is>
          <t>調整額
（G）</t>
        </is>
      </c>
      <c r="O5" s="77" t="inlineStr">
        <is>
          <t>差引支給額
（E=F−G）</t>
        </is>
      </c>
      <c r="P5" s="77" t="inlineStr">
        <is>
          <t>参考
月ごとの試算日額</t>
        </is>
      </c>
      <c r="Q5" s="77" t="inlineStr">
        <is>
          <t>集計用</t>
        </is>
      </c>
      <c r="R5" s="77" t="inlineStr">
        <is>
          <t>出勤skip1</t>
        </is>
      </c>
      <c r="S5" s="77" t="inlineStr">
        <is>
          <t>出勤skip2</t>
        </is>
      </c>
      <c r="T5" s="63" t="n"/>
      <c r="U5" s="77" t="inlineStr">
        <is>
          <t>判定_始</t>
        </is>
      </c>
      <c r="V5" s="77" t="inlineStr">
        <is>
          <t>判定_終</t>
        </is>
      </c>
      <c r="W5" s="77" t="inlineStr">
        <is>
          <t>判定_skip1</t>
        </is>
      </c>
      <c r="X5" s="77" t="inlineStr">
        <is>
          <t>判定_skip2</t>
        </is>
      </c>
      <c r="Y5" s="77" t="inlineStr">
        <is>
          <t>判定_勤務日</t>
        </is>
      </c>
      <c r="Z5" s="77" t="inlineStr">
        <is>
          <t>判定_日額</t>
        </is>
      </c>
      <c r="AA5" s="77" t="inlineStr">
        <is>
          <t>判定_報酬日額</t>
        </is>
      </c>
      <c r="AB5" s="77" t="inlineStr">
        <is>
          <t>判定_〇</t>
        </is>
      </c>
      <c r="AC5" s="63" t="n"/>
      <c r="AD5" s="77" t="inlineStr">
        <is>
          <t>初めて〇の行</t>
        </is>
      </c>
    </row>
    <row r="6">
      <c r="A6" s="91">
        <f>IF(F6="","",1)</f>
        <v/>
      </c>
      <c r="B6" s="92">
        <f>IF(F6="","",DATE(YEAR(F6),MONTH(F6),1))</f>
        <v/>
      </c>
      <c r="C6" s="91">
        <f>IF(F6="","",MONTH(F6))</f>
        <v/>
      </c>
      <c r="D6" s="91">
        <f>IF(F6="","",INDEX(入力!$A$13:$A$20,MATCH(F6,入力!$B$13:$B$20,1)))</f>
        <v/>
      </c>
      <c r="E6" s="91">
        <f>IF(F6="","",IF(G6&lt;=入力!$J$6,"法定","附加"))</f>
        <v/>
      </c>
      <c r="F6" s="93">
        <f>入力!$J$4</f>
        <v/>
      </c>
      <c r="G6" s="93">
        <f>IF(F6="","",MIN(EOMONTH(F6,0),入力!$J$9,IF(AND(入力!$B$13&lt;&gt;"",入力!$B$13&gt;F6),入力!$B$13-1,999999),IF(AND(入力!$B$14&lt;&gt;"",入力!$B$14&gt;F6),入力!$B$14-1,999999),IF(AND(入力!$B$15&lt;&gt;"",入力!$B$15&gt;F6),入力!$B$15-1,999999),IF(AND(入力!$B$16&lt;&gt;"",入力!$B$16&gt;F6),入力!$B$16-1,999999),IF(AND(入力!$B$17&lt;&gt;"",入力!$B$17&gt;F6),入力!$B$17-1,999999),IF(AND(入力!$B$18&lt;&gt;"",入力!$B$18&gt;F6),入力!$B$18-1,999999),IF(AND(入力!$B$19&lt;&gt;"",入力!$B$19&gt;F6),入力!$B$19-1,999999),IF(AND(入力!$B$20&lt;&gt;"",入力!$B$20&gt;F6),入力!$B$20-1,999999),IF(AND(入力!$J$7&lt;&gt;"",入力!$J$7&gt;F6),入力!$J$7-1,999999),IFERROR(SMALL(入力!$B$86:$B$95,COUNTIF(入力!$B$86:$B$95,"&lt;="&amp;F6)+1)-1,999999)))</f>
        <v/>
      </c>
      <c r="H6" s="95">
        <f>IF(F6="","",IFERROR(VLOOKUP(B6,カレンダーマスタ!$A$2:$B$301,2,0),NETWORKDAYS(B6,EOMONTH(F6,0))))</f>
        <v/>
      </c>
      <c r="I6" s="94">
        <f>IF(F6="","",NETWORKDAYS(F6,G6))</f>
        <v/>
      </c>
      <c r="J6" s="95">
        <f>IF(F6="","",IF(入力!$C$8&lt;&gt;"",入力!$C$8,IF(F6&lt;入力!$J$5,IFERROR(INDEX(入力!$G$37:$G$78,MATCH(B6,入力!$A$37:$A$78,0)),入力!$J$10),入力!$J$10)))</f>
        <v/>
      </c>
      <c r="K6" s="95">
        <f>IF(F6="","",ROUNDDOWN(INDEX(入力!$H$13:$H$20,MATCH(F6,入力!$B$13:$B$20,1))/H6+INDEX(入力!$I$13:$I$20,MATCH(F6,入力!$B$13:$B$20,1))/22,0))</f>
        <v/>
      </c>
      <c r="L6" s="106">
        <f>IF(F6="","",IF(J6&gt;K6,"〇","×"))</f>
        <v/>
      </c>
      <c r="M6" s="95">
        <f>IF(F6="","",J6*I6)</f>
        <v/>
      </c>
      <c r="N6" s="95">
        <f>IF(F6="","",MIN(J6,K6)*I6)</f>
        <v/>
      </c>
      <c r="O6" s="96">
        <f>IF(F6="","",M6-N6)</f>
        <v/>
      </c>
      <c r="P6" s="107">
        <f>IF(F6="","",IFERROR(INDEX(入力!$G$37:$G$78,MATCH(B6,入力!$A$37:$A$78,0)),""))</f>
        <v/>
      </c>
      <c r="Q6" s="63">
        <f>IF(F6="","",IF(COUNTIFS($B$6:B6,B6,$C$6:C6,C6,$E$6:E6,E6)=1,MAX($Q$5:Q5)+1,""))</f>
        <v/>
      </c>
      <c r="R6" s="63">
        <f>IF(G6="","",IF(COUNTIFS(入力!$B$86:$B$95,"&lt;="&amp;(G6+1),入力!$C$86:$C$95,"&gt;="&amp;(G6+1))&gt;0,SUMIFS(入力!$C$86:$C$95,入力!$B$86:$B$95,"&lt;="&amp;(G6+1),入力!$C$86:$C$95,"&gt;="&amp;(G6+1))+1,G6+1))</f>
        <v/>
      </c>
      <c r="S6" s="63">
        <f>IF(R6="","",IF(COUNTIFS(入力!$B$86:$B$95,"&lt;="&amp;(R6),入力!$C$86:$C$95,"&gt;="&amp;(R6))&gt;0,SUMIFS(入力!$C$86:$C$95,入力!$B$86:$B$95,"&lt;="&amp;(R6),入力!$C$86:$C$95,"&gt;="&amp;(R6))+1,R6))</f>
        <v/>
      </c>
      <c r="T6" s="63" t="n"/>
      <c r="U6" s="63">
        <f>入力!$J$4</f>
        <v/>
      </c>
      <c r="V6" s="63">
        <f>IF(U6="","",MIN(EOMONTH(U6,0),IF(AND(入力!$B$13&lt;&gt;"",入力!$B$13&gt;U6),入力!$B$13-1,999999),IF(AND(入力!$B$14&lt;&gt;"",入力!$B$14&gt;U6),入力!$B$14-1,999999),IF(AND(入力!$B$15&lt;&gt;"",入力!$B$15&gt;U6),入力!$B$15-1,999999),IF(AND(入力!$B$16&lt;&gt;"",入力!$B$16&gt;U6),入力!$B$16-1,999999),IF(AND(入力!$B$17&lt;&gt;"",入力!$B$17&gt;U6),入力!$B$17-1,999999),IF(AND(入力!$B$18&lt;&gt;"",入力!$B$18&gt;U6),入力!$B$18-1,999999),IF(AND(入力!$B$19&lt;&gt;"",入力!$B$19&gt;U6),入力!$B$19-1,999999),IF(AND(入力!$B$20&lt;&gt;"",入力!$B$20&gt;U6),入力!$B$20-1,999999),IFERROR(SMALL(入力!$B$86:$B$95,COUNTIF(入力!$B$86:$B$95,"&lt;="&amp;U6)+1)-1,999999)))</f>
        <v/>
      </c>
      <c r="W6" s="63">
        <f>IF(V6="","",IF(COUNTIFS(入力!$B$86:$B$95,"&lt;="&amp;(V6+1),入力!$C$86:$C$95,"&gt;="&amp;(V6+1))&gt;0,SUMIFS(入力!$C$86:$C$95,入力!$B$86:$B$95,"&lt;="&amp;(V6+1),入力!$C$86:$C$95,"&gt;="&amp;(V6+1))+1,V6+1))</f>
        <v/>
      </c>
      <c r="X6" s="63">
        <f>IF(W6="","",IF(COUNTIFS(入力!$B$86:$B$95,"&lt;="&amp;(W6),入力!$C$86:$C$95,"&gt;="&amp;(W6))&gt;0,SUMIFS(入力!$C$86:$C$95,入力!$B$86:$B$95,"&lt;="&amp;(W6),入力!$C$86:$C$95,"&gt;="&amp;(W6))+1,W6))</f>
        <v/>
      </c>
      <c r="Y6" s="63">
        <f>IF(U6="","",IFERROR(VLOOKUP(DATE(YEAR(U6),MONTH(U6),1),カレンダーマスタ!$A$2:$B$301,2,0),NETWORKDAYS(DATE(YEAR(U6),MONTH(U6),1),EOMONTH(U6,0))))</f>
        <v/>
      </c>
      <c r="Z6" s="63">
        <f>IF(U6="","",IF(入力!$C$8&lt;&gt;"",入力!$C$8,IFERROR(INDEX(入力!$G$37:$G$78,MATCH(DATE(YEAR(U6),MONTH(U6),1),入力!$A$37:$A$78,0)),0)))</f>
        <v/>
      </c>
      <c r="AA6" s="63">
        <f>IF(U6="","",ROUNDDOWN(INDEX(入力!$H$13:$H$20,MATCH(U6,入力!$B$13:$B$20,1))/Y6+INDEX(入力!$I$13:$I$20,MATCH(U6,入力!$B$13:$B$20,1))/22,0))</f>
        <v/>
      </c>
      <c r="AB6" s="63">
        <f>IF(U6="",0,IF(AND(Z6&gt;AA6,NETWORKDAYS(U6,V6)&gt;0),1,0))</f>
        <v/>
      </c>
      <c r="AC6" s="63" t="n"/>
      <c r="AD6" s="63">
        <f>IFERROR(MATCH(1,AB6:AB53,0),"")</f>
        <v/>
      </c>
    </row>
    <row r="7">
      <c r="A7" s="91">
        <f>IF(F7="","",2)</f>
        <v/>
      </c>
      <c r="B7" s="92">
        <f>IF(F7="","",DATE(YEAR(F7),MONTH(F7),1))</f>
        <v/>
      </c>
      <c r="C7" s="91">
        <f>IF(F7="","",MONTH(F7))</f>
        <v/>
      </c>
      <c r="D7" s="91">
        <f>IF(F7="","",INDEX(入力!$A$13:$A$20,MATCH(F7,入力!$B$13:$B$20,1)))</f>
        <v/>
      </c>
      <c r="E7" s="91">
        <f>IF(F7="","",IF(G7&lt;=入力!$J$6,"法定","附加"))</f>
        <v/>
      </c>
      <c r="F7" s="93">
        <f>IF(G6="","",IF(G6&gt;=入力!$J$9,"",IF(S6&gt;入力!$J$9,"",S6)))</f>
        <v/>
      </c>
      <c r="G7" s="93">
        <f>IF(F7="","",MIN(EOMONTH(F7,0),入力!$J$9,IF(AND(入力!$B$13&lt;&gt;"",入力!$B$13&gt;F7),入力!$B$13-1,999999),IF(AND(入力!$B$14&lt;&gt;"",入力!$B$14&gt;F7),入力!$B$14-1,999999),IF(AND(入力!$B$15&lt;&gt;"",入力!$B$15&gt;F7),入力!$B$15-1,999999),IF(AND(入力!$B$16&lt;&gt;"",入力!$B$16&gt;F7),入力!$B$16-1,999999),IF(AND(入力!$B$17&lt;&gt;"",入力!$B$17&gt;F7),入力!$B$17-1,999999),IF(AND(入力!$B$18&lt;&gt;"",入力!$B$18&gt;F7),入力!$B$18-1,999999),IF(AND(入力!$B$19&lt;&gt;"",入力!$B$19&gt;F7),入力!$B$19-1,999999),IF(AND(入力!$B$20&lt;&gt;"",入力!$B$20&gt;F7),入力!$B$20-1,999999),IF(AND(入力!$J$7&lt;&gt;"",入力!$J$7&gt;F7),入力!$J$7-1,999999),IFERROR(SMALL(入力!$B$86:$B$95,COUNTIF(入力!$B$86:$B$95,"&lt;="&amp;F7)+1)-1,999999)))</f>
        <v/>
      </c>
      <c r="H7" s="95">
        <f>IF(F7="","",IFERROR(VLOOKUP(B7,カレンダーマスタ!$A$2:$B$301,2,0),NETWORKDAYS(B7,EOMONTH(F7,0))))</f>
        <v/>
      </c>
      <c r="I7" s="94">
        <f>IF(F7="","",NETWORKDAYS(F7,G7))</f>
        <v/>
      </c>
      <c r="J7" s="95">
        <f>IF(F7="","",IF(入力!$C$8&lt;&gt;"",入力!$C$8,IF(F7&lt;入力!$J$5,IFERROR(INDEX(入力!$G$37:$G$78,MATCH(B7,入力!$A$37:$A$78,0)),入力!$J$10),入力!$J$10)))</f>
        <v/>
      </c>
      <c r="K7" s="95">
        <f>IF(F7="","",ROUNDDOWN(INDEX(入力!$H$13:$H$20,MATCH(F7,入力!$B$13:$B$20,1))/H7+INDEX(入力!$I$13:$I$20,MATCH(F7,入力!$B$13:$B$20,1))/22,0))</f>
        <v/>
      </c>
      <c r="L7" s="106">
        <f>IF(F7="","",IF(J7&gt;K7,"〇","×"))</f>
        <v/>
      </c>
      <c r="M7" s="95">
        <f>IF(F7="","",J7*I7)</f>
        <v/>
      </c>
      <c r="N7" s="95">
        <f>IF(F7="","",MIN(J7,K7)*I7)</f>
        <v/>
      </c>
      <c r="O7" s="96">
        <f>IF(F7="","",M7-N7)</f>
        <v/>
      </c>
      <c r="P7" s="107">
        <f>IF(F7="","",IFERROR(INDEX(入力!$G$37:$G$78,MATCH(B7,入力!$A$37:$A$78,0)),""))</f>
        <v/>
      </c>
      <c r="Q7" s="63">
        <f>IF(F7="","",IF(COUNTIFS($B$6:B7,B7,$C$6:C7,C7,$E$6:E7,E7)=1,MAX($Q$5:Q6)+1,""))</f>
        <v/>
      </c>
      <c r="R7" s="63">
        <f>IF(G7="","",IF(COUNTIFS(入力!$B$86:$B$95,"&lt;="&amp;(G7+1),入力!$C$86:$C$95,"&gt;="&amp;(G7+1))&gt;0,SUMIFS(入力!$C$86:$C$95,入力!$B$86:$B$95,"&lt;="&amp;(G7+1),入力!$C$86:$C$95,"&gt;="&amp;(G7+1))+1,G7+1))</f>
        <v/>
      </c>
      <c r="S7" s="63">
        <f>IF(R7="","",IF(COUNTIFS(入力!$B$86:$B$95,"&lt;="&amp;(R7),入力!$C$86:$C$95,"&gt;="&amp;(R7))&gt;0,SUMIFS(入力!$C$86:$C$95,入力!$B$86:$B$95,"&lt;="&amp;(R7),入力!$C$86:$C$95,"&gt;="&amp;(R7))+1,R7))</f>
        <v/>
      </c>
      <c r="T7" s="63" t="n"/>
      <c r="U7" s="63">
        <f>IF(OR(X6="",X6&gt;入力!$J$4+3650),"",X6)</f>
        <v/>
      </c>
      <c r="V7" s="63">
        <f>IF(U7="","",MIN(EOMONTH(U7,0),IF(AND(入力!$B$13&lt;&gt;"",入力!$B$13&gt;U7),入力!$B$13-1,999999),IF(AND(入力!$B$14&lt;&gt;"",入力!$B$14&gt;U7),入力!$B$14-1,999999),IF(AND(入力!$B$15&lt;&gt;"",入力!$B$15&gt;U7),入力!$B$15-1,999999),IF(AND(入力!$B$16&lt;&gt;"",入力!$B$16&gt;U7),入力!$B$16-1,999999),IF(AND(入力!$B$17&lt;&gt;"",入力!$B$17&gt;U7),入力!$B$17-1,999999),IF(AND(入力!$B$18&lt;&gt;"",入力!$B$18&gt;U7),入力!$B$18-1,999999),IF(AND(入力!$B$19&lt;&gt;"",入力!$B$19&gt;U7),入力!$B$19-1,999999),IF(AND(入力!$B$20&lt;&gt;"",入力!$B$20&gt;U7),入力!$B$20-1,999999),IFERROR(SMALL(入力!$B$86:$B$95,COUNTIF(入力!$B$86:$B$95,"&lt;="&amp;U7)+1)-1,999999)))</f>
        <v/>
      </c>
      <c r="W7" s="63">
        <f>IF(V7="","",IF(COUNTIFS(入力!$B$86:$B$95,"&lt;="&amp;(V7+1),入力!$C$86:$C$95,"&gt;="&amp;(V7+1))&gt;0,SUMIFS(入力!$C$86:$C$95,入力!$B$86:$B$95,"&lt;="&amp;(V7+1),入力!$C$86:$C$95,"&gt;="&amp;(V7+1))+1,V7+1))</f>
        <v/>
      </c>
      <c r="X7" s="63">
        <f>IF(W7="","",IF(COUNTIFS(入力!$B$86:$B$95,"&lt;="&amp;(W7),入力!$C$86:$C$95,"&gt;="&amp;(W7))&gt;0,SUMIFS(入力!$C$86:$C$95,入力!$B$86:$B$95,"&lt;="&amp;(W7),入力!$C$86:$C$95,"&gt;="&amp;(W7))+1,W7))</f>
        <v/>
      </c>
      <c r="Y7" s="63">
        <f>IF(U7="","",IFERROR(VLOOKUP(DATE(YEAR(U7),MONTH(U7),1),カレンダーマスタ!$A$2:$B$301,2,0),NETWORKDAYS(DATE(YEAR(U7),MONTH(U7),1),EOMONTH(U7,0))))</f>
        <v/>
      </c>
      <c r="Z7" s="63">
        <f>IF(U7="","",IF(入力!$C$8&lt;&gt;"",入力!$C$8,IFERROR(INDEX(入力!$G$37:$G$78,MATCH(DATE(YEAR(U7),MONTH(U7),1),入力!$A$37:$A$78,0)),0)))</f>
        <v/>
      </c>
      <c r="AA7" s="63">
        <f>IF(U7="","",ROUNDDOWN(INDEX(入力!$H$13:$H$20,MATCH(U7,入力!$B$13:$B$20,1))/Y7+INDEX(入力!$I$13:$I$20,MATCH(U7,入力!$B$13:$B$20,1))/22,0))</f>
        <v/>
      </c>
      <c r="AB7" s="63">
        <f>IF(U7="",0,IF(AND(Z7&gt;AA7,NETWORKDAYS(U7,V7)&gt;0),1,0))</f>
        <v/>
      </c>
      <c r="AC7" s="63" t="n"/>
      <c r="AD7" s="63" t="n"/>
    </row>
    <row r="8">
      <c r="A8" s="91">
        <f>IF(F8="","",3)</f>
        <v/>
      </c>
      <c r="B8" s="92">
        <f>IF(F8="","",DATE(YEAR(F8),MONTH(F8),1))</f>
        <v/>
      </c>
      <c r="C8" s="91">
        <f>IF(F8="","",MONTH(F8))</f>
        <v/>
      </c>
      <c r="D8" s="91">
        <f>IF(F8="","",INDEX(入力!$A$13:$A$20,MATCH(F8,入力!$B$13:$B$20,1)))</f>
        <v/>
      </c>
      <c r="E8" s="91">
        <f>IF(F8="","",IF(G8&lt;=入力!$J$6,"法定","附加"))</f>
        <v/>
      </c>
      <c r="F8" s="93">
        <f>IF(G7="","",IF(G7&gt;=入力!$J$9,"",IF(S7&gt;入力!$J$9,"",S7)))</f>
        <v/>
      </c>
      <c r="G8" s="93">
        <f>IF(F8="","",MIN(EOMONTH(F8,0),入力!$J$9,IF(AND(入力!$B$13&lt;&gt;"",入力!$B$13&gt;F8),入力!$B$13-1,999999),IF(AND(入力!$B$14&lt;&gt;"",入力!$B$14&gt;F8),入力!$B$14-1,999999),IF(AND(入力!$B$15&lt;&gt;"",入力!$B$15&gt;F8),入力!$B$15-1,999999),IF(AND(入力!$B$16&lt;&gt;"",入力!$B$16&gt;F8),入力!$B$16-1,999999),IF(AND(入力!$B$17&lt;&gt;"",入力!$B$17&gt;F8),入力!$B$17-1,999999),IF(AND(入力!$B$18&lt;&gt;"",入力!$B$18&gt;F8),入力!$B$18-1,999999),IF(AND(入力!$B$19&lt;&gt;"",入力!$B$19&gt;F8),入力!$B$19-1,999999),IF(AND(入力!$B$20&lt;&gt;"",入力!$B$20&gt;F8),入力!$B$20-1,999999),IF(AND(入力!$J$7&lt;&gt;"",入力!$J$7&gt;F8),入力!$J$7-1,999999),IFERROR(SMALL(入力!$B$86:$B$95,COUNTIF(入力!$B$86:$B$95,"&lt;="&amp;F8)+1)-1,999999)))</f>
        <v/>
      </c>
      <c r="H8" s="95">
        <f>IF(F8="","",IFERROR(VLOOKUP(B8,カレンダーマスタ!$A$2:$B$301,2,0),NETWORKDAYS(B8,EOMONTH(F8,0))))</f>
        <v/>
      </c>
      <c r="I8" s="94">
        <f>IF(F8="","",NETWORKDAYS(F8,G8))</f>
        <v/>
      </c>
      <c r="J8" s="95">
        <f>IF(F8="","",IF(入力!$C$8&lt;&gt;"",入力!$C$8,IF(F8&lt;入力!$J$5,IFERROR(INDEX(入力!$G$37:$G$78,MATCH(B8,入力!$A$37:$A$78,0)),入力!$J$10),入力!$J$10)))</f>
        <v/>
      </c>
      <c r="K8" s="95">
        <f>IF(F8="","",ROUNDDOWN(INDEX(入力!$H$13:$H$20,MATCH(F8,入力!$B$13:$B$20,1))/H8+INDEX(入力!$I$13:$I$20,MATCH(F8,入力!$B$13:$B$20,1))/22,0))</f>
        <v/>
      </c>
      <c r="L8" s="106">
        <f>IF(F8="","",IF(J8&gt;K8,"〇","×"))</f>
        <v/>
      </c>
      <c r="M8" s="95">
        <f>IF(F8="","",J8*I8)</f>
        <v/>
      </c>
      <c r="N8" s="95">
        <f>IF(F8="","",MIN(J8,K8)*I8)</f>
        <v/>
      </c>
      <c r="O8" s="96">
        <f>IF(F8="","",M8-N8)</f>
        <v/>
      </c>
      <c r="P8" s="107">
        <f>IF(F8="","",IFERROR(INDEX(入力!$G$37:$G$78,MATCH(B8,入力!$A$37:$A$78,0)),""))</f>
        <v/>
      </c>
      <c r="Q8" s="63">
        <f>IF(F8="","",IF(COUNTIFS($B$6:B8,B8,$C$6:C8,C8,$E$6:E8,E8)=1,MAX($Q$5:Q7)+1,""))</f>
        <v/>
      </c>
      <c r="R8" s="63">
        <f>IF(G8="","",IF(COUNTIFS(入力!$B$86:$B$95,"&lt;="&amp;(G8+1),入力!$C$86:$C$95,"&gt;="&amp;(G8+1))&gt;0,SUMIFS(入力!$C$86:$C$95,入力!$B$86:$B$95,"&lt;="&amp;(G8+1),入力!$C$86:$C$95,"&gt;="&amp;(G8+1))+1,G8+1))</f>
        <v/>
      </c>
      <c r="S8" s="63">
        <f>IF(R8="","",IF(COUNTIFS(入力!$B$86:$B$95,"&lt;="&amp;(R8),入力!$C$86:$C$95,"&gt;="&amp;(R8))&gt;0,SUMIFS(入力!$C$86:$C$95,入力!$B$86:$B$95,"&lt;="&amp;(R8),入力!$C$86:$C$95,"&gt;="&amp;(R8))+1,R8))</f>
        <v/>
      </c>
      <c r="T8" s="63" t="n"/>
      <c r="U8" s="63">
        <f>IF(OR(X7="",X7&gt;入力!$J$4+3650),"",X7)</f>
        <v/>
      </c>
      <c r="V8" s="63">
        <f>IF(U8="","",MIN(EOMONTH(U8,0),IF(AND(入力!$B$13&lt;&gt;"",入力!$B$13&gt;U8),入力!$B$13-1,999999),IF(AND(入力!$B$14&lt;&gt;"",入力!$B$14&gt;U8),入力!$B$14-1,999999),IF(AND(入力!$B$15&lt;&gt;"",入力!$B$15&gt;U8),入力!$B$15-1,999999),IF(AND(入力!$B$16&lt;&gt;"",入力!$B$16&gt;U8),入力!$B$16-1,999999),IF(AND(入力!$B$17&lt;&gt;"",入力!$B$17&gt;U8),入力!$B$17-1,999999),IF(AND(入力!$B$18&lt;&gt;"",入力!$B$18&gt;U8),入力!$B$18-1,999999),IF(AND(入力!$B$19&lt;&gt;"",入力!$B$19&gt;U8),入力!$B$19-1,999999),IF(AND(入力!$B$20&lt;&gt;"",入力!$B$20&gt;U8),入力!$B$20-1,999999),IFERROR(SMALL(入力!$B$86:$B$95,COUNTIF(入力!$B$86:$B$95,"&lt;="&amp;U8)+1)-1,999999)))</f>
        <v/>
      </c>
      <c r="W8" s="63">
        <f>IF(V8="","",IF(COUNTIFS(入力!$B$86:$B$95,"&lt;="&amp;(V8+1),入力!$C$86:$C$95,"&gt;="&amp;(V8+1))&gt;0,SUMIFS(入力!$C$86:$C$95,入力!$B$86:$B$95,"&lt;="&amp;(V8+1),入力!$C$86:$C$95,"&gt;="&amp;(V8+1))+1,V8+1))</f>
        <v/>
      </c>
      <c r="X8" s="63">
        <f>IF(W8="","",IF(COUNTIFS(入力!$B$86:$B$95,"&lt;="&amp;(W8),入力!$C$86:$C$95,"&gt;="&amp;(W8))&gt;0,SUMIFS(入力!$C$86:$C$95,入力!$B$86:$B$95,"&lt;="&amp;(W8),入力!$C$86:$C$95,"&gt;="&amp;(W8))+1,W8))</f>
        <v/>
      </c>
      <c r="Y8" s="63">
        <f>IF(U8="","",IFERROR(VLOOKUP(DATE(YEAR(U8),MONTH(U8),1),カレンダーマスタ!$A$2:$B$301,2,0),NETWORKDAYS(DATE(YEAR(U8),MONTH(U8),1),EOMONTH(U8,0))))</f>
        <v/>
      </c>
      <c r="Z8" s="63">
        <f>IF(U8="","",IF(入力!$C$8&lt;&gt;"",入力!$C$8,IFERROR(INDEX(入力!$G$37:$G$78,MATCH(DATE(YEAR(U8),MONTH(U8),1),入力!$A$37:$A$78,0)),0)))</f>
        <v/>
      </c>
      <c r="AA8" s="63">
        <f>IF(U8="","",ROUNDDOWN(INDEX(入力!$H$13:$H$20,MATCH(U8,入力!$B$13:$B$20,1))/Y8+INDEX(入力!$I$13:$I$20,MATCH(U8,入力!$B$13:$B$20,1))/22,0))</f>
        <v/>
      </c>
      <c r="AB8" s="63">
        <f>IF(U8="",0,IF(AND(Z8&gt;AA8,NETWORKDAYS(U8,V8)&gt;0),1,0))</f>
        <v/>
      </c>
      <c r="AC8" s="63" t="n"/>
      <c r="AD8" s="63" t="n"/>
    </row>
    <row r="9">
      <c r="A9" s="91">
        <f>IF(F9="","",4)</f>
        <v/>
      </c>
      <c r="B9" s="92">
        <f>IF(F9="","",DATE(YEAR(F9),MONTH(F9),1))</f>
        <v/>
      </c>
      <c r="C9" s="91">
        <f>IF(F9="","",MONTH(F9))</f>
        <v/>
      </c>
      <c r="D9" s="91">
        <f>IF(F9="","",INDEX(入力!$A$13:$A$20,MATCH(F9,入力!$B$13:$B$20,1)))</f>
        <v/>
      </c>
      <c r="E9" s="91">
        <f>IF(F9="","",IF(G9&lt;=入力!$J$6,"法定","附加"))</f>
        <v/>
      </c>
      <c r="F9" s="93">
        <f>IF(G8="","",IF(G8&gt;=入力!$J$9,"",IF(S8&gt;入力!$J$9,"",S8)))</f>
        <v/>
      </c>
      <c r="G9" s="93">
        <f>IF(F9="","",MIN(EOMONTH(F9,0),入力!$J$9,IF(AND(入力!$B$13&lt;&gt;"",入力!$B$13&gt;F9),入力!$B$13-1,999999),IF(AND(入力!$B$14&lt;&gt;"",入力!$B$14&gt;F9),入力!$B$14-1,999999),IF(AND(入力!$B$15&lt;&gt;"",入力!$B$15&gt;F9),入力!$B$15-1,999999),IF(AND(入力!$B$16&lt;&gt;"",入力!$B$16&gt;F9),入力!$B$16-1,999999),IF(AND(入力!$B$17&lt;&gt;"",入力!$B$17&gt;F9),入力!$B$17-1,999999),IF(AND(入力!$B$18&lt;&gt;"",入力!$B$18&gt;F9),入力!$B$18-1,999999),IF(AND(入力!$B$19&lt;&gt;"",入力!$B$19&gt;F9),入力!$B$19-1,999999),IF(AND(入力!$B$20&lt;&gt;"",入力!$B$20&gt;F9),入力!$B$20-1,999999),IF(AND(入力!$J$7&lt;&gt;"",入力!$J$7&gt;F9),入力!$J$7-1,999999),IFERROR(SMALL(入力!$B$86:$B$95,COUNTIF(入力!$B$86:$B$95,"&lt;="&amp;F9)+1)-1,999999)))</f>
        <v/>
      </c>
      <c r="H9" s="95">
        <f>IF(F9="","",IFERROR(VLOOKUP(B9,カレンダーマスタ!$A$2:$B$301,2,0),NETWORKDAYS(B9,EOMONTH(F9,0))))</f>
        <v/>
      </c>
      <c r="I9" s="94">
        <f>IF(F9="","",NETWORKDAYS(F9,G9))</f>
        <v/>
      </c>
      <c r="J9" s="95">
        <f>IF(F9="","",IF(入力!$C$8&lt;&gt;"",入力!$C$8,IF(F9&lt;入力!$J$5,IFERROR(INDEX(入力!$G$37:$G$78,MATCH(B9,入力!$A$37:$A$78,0)),入力!$J$10),入力!$J$10)))</f>
        <v/>
      </c>
      <c r="K9" s="95">
        <f>IF(F9="","",ROUNDDOWN(INDEX(入力!$H$13:$H$20,MATCH(F9,入力!$B$13:$B$20,1))/H9+INDEX(入力!$I$13:$I$20,MATCH(F9,入力!$B$13:$B$20,1))/22,0))</f>
        <v/>
      </c>
      <c r="L9" s="106">
        <f>IF(F9="","",IF(J9&gt;K9,"〇","×"))</f>
        <v/>
      </c>
      <c r="M9" s="95">
        <f>IF(F9="","",J9*I9)</f>
        <v/>
      </c>
      <c r="N9" s="95">
        <f>IF(F9="","",MIN(J9,K9)*I9)</f>
        <v/>
      </c>
      <c r="O9" s="96">
        <f>IF(F9="","",M9-N9)</f>
        <v/>
      </c>
      <c r="P9" s="107">
        <f>IF(F9="","",IFERROR(INDEX(入力!$G$37:$G$78,MATCH(B9,入力!$A$37:$A$78,0)),""))</f>
        <v/>
      </c>
      <c r="Q9" s="63">
        <f>IF(F9="","",IF(COUNTIFS($B$6:B9,B9,$C$6:C9,C9,$E$6:E9,E9)=1,MAX($Q$5:Q8)+1,""))</f>
        <v/>
      </c>
      <c r="R9" s="63">
        <f>IF(G9="","",IF(COUNTIFS(入力!$B$86:$B$95,"&lt;="&amp;(G9+1),入力!$C$86:$C$95,"&gt;="&amp;(G9+1))&gt;0,SUMIFS(入力!$C$86:$C$95,入力!$B$86:$B$95,"&lt;="&amp;(G9+1),入力!$C$86:$C$95,"&gt;="&amp;(G9+1))+1,G9+1))</f>
        <v/>
      </c>
      <c r="S9" s="63">
        <f>IF(R9="","",IF(COUNTIFS(入力!$B$86:$B$95,"&lt;="&amp;(R9),入力!$C$86:$C$95,"&gt;="&amp;(R9))&gt;0,SUMIFS(入力!$C$86:$C$95,入力!$B$86:$B$95,"&lt;="&amp;(R9),入力!$C$86:$C$95,"&gt;="&amp;(R9))+1,R9))</f>
        <v/>
      </c>
      <c r="T9" s="63" t="n"/>
      <c r="U9" s="63">
        <f>IF(OR(X8="",X8&gt;入力!$J$4+3650),"",X8)</f>
        <v/>
      </c>
      <c r="V9" s="63">
        <f>IF(U9="","",MIN(EOMONTH(U9,0),IF(AND(入力!$B$13&lt;&gt;"",入力!$B$13&gt;U9),入力!$B$13-1,999999),IF(AND(入力!$B$14&lt;&gt;"",入力!$B$14&gt;U9),入力!$B$14-1,999999),IF(AND(入力!$B$15&lt;&gt;"",入力!$B$15&gt;U9),入力!$B$15-1,999999),IF(AND(入力!$B$16&lt;&gt;"",入力!$B$16&gt;U9),入力!$B$16-1,999999),IF(AND(入力!$B$17&lt;&gt;"",入力!$B$17&gt;U9),入力!$B$17-1,999999),IF(AND(入力!$B$18&lt;&gt;"",入力!$B$18&gt;U9),入力!$B$18-1,999999),IF(AND(入力!$B$19&lt;&gt;"",入力!$B$19&gt;U9),入力!$B$19-1,999999),IF(AND(入力!$B$20&lt;&gt;"",入力!$B$20&gt;U9),入力!$B$20-1,999999),IFERROR(SMALL(入力!$B$86:$B$95,COUNTIF(入力!$B$86:$B$95,"&lt;="&amp;U9)+1)-1,999999)))</f>
        <v/>
      </c>
      <c r="W9" s="63">
        <f>IF(V9="","",IF(COUNTIFS(入力!$B$86:$B$95,"&lt;="&amp;(V9+1),入力!$C$86:$C$95,"&gt;="&amp;(V9+1))&gt;0,SUMIFS(入力!$C$86:$C$95,入力!$B$86:$B$95,"&lt;="&amp;(V9+1),入力!$C$86:$C$95,"&gt;="&amp;(V9+1))+1,V9+1))</f>
        <v/>
      </c>
      <c r="X9" s="63">
        <f>IF(W9="","",IF(COUNTIFS(入力!$B$86:$B$95,"&lt;="&amp;(W9),入力!$C$86:$C$95,"&gt;="&amp;(W9))&gt;0,SUMIFS(入力!$C$86:$C$95,入力!$B$86:$B$95,"&lt;="&amp;(W9),入力!$C$86:$C$95,"&gt;="&amp;(W9))+1,W9))</f>
        <v/>
      </c>
      <c r="Y9" s="63">
        <f>IF(U9="","",IFERROR(VLOOKUP(DATE(YEAR(U9),MONTH(U9),1),カレンダーマスタ!$A$2:$B$301,2,0),NETWORKDAYS(DATE(YEAR(U9),MONTH(U9),1),EOMONTH(U9,0))))</f>
        <v/>
      </c>
      <c r="Z9" s="63">
        <f>IF(U9="","",IF(入力!$C$8&lt;&gt;"",入力!$C$8,IFERROR(INDEX(入力!$G$37:$G$78,MATCH(DATE(YEAR(U9),MONTH(U9),1),入力!$A$37:$A$78,0)),0)))</f>
        <v/>
      </c>
      <c r="AA9" s="63">
        <f>IF(U9="","",ROUNDDOWN(INDEX(入力!$H$13:$H$20,MATCH(U9,入力!$B$13:$B$20,1))/Y9+INDEX(入力!$I$13:$I$20,MATCH(U9,入力!$B$13:$B$20,1))/22,0))</f>
        <v/>
      </c>
      <c r="AB9" s="63">
        <f>IF(U9="",0,IF(AND(Z9&gt;AA9,NETWORKDAYS(U9,V9)&gt;0),1,0))</f>
        <v/>
      </c>
      <c r="AC9" s="63" t="n"/>
      <c r="AD9" s="63" t="n"/>
    </row>
    <row r="10">
      <c r="A10" s="91">
        <f>IF(F10="","",5)</f>
        <v/>
      </c>
      <c r="B10" s="92">
        <f>IF(F10="","",DATE(YEAR(F10),MONTH(F10),1))</f>
        <v/>
      </c>
      <c r="C10" s="91">
        <f>IF(F10="","",MONTH(F10))</f>
        <v/>
      </c>
      <c r="D10" s="91">
        <f>IF(F10="","",INDEX(入力!$A$13:$A$20,MATCH(F10,入力!$B$13:$B$20,1)))</f>
        <v/>
      </c>
      <c r="E10" s="91">
        <f>IF(F10="","",IF(G10&lt;=入力!$J$6,"法定","附加"))</f>
        <v/>
      </c>
      <c r="F10" s="93">
        <f>IF(G9="","",IF(G9&gt;=入力!$J$9,"",IF(S9&gt;入力!$J$9,"",S9)))</f>
        <v/>
      </c>
      <c r="G10" s="93">
        <f>IF(F10="","",MIN(EOMONTH(F10,0),入力!$J$9,IF(AND(入力!$B$13&lt;&gt;"",入力!$B$13&gt;F10),入力!$B$13-1,999999),IF(AND(入力!$B$14&lt;&gt;"",入力!$B$14&gt;F10),入力!$B$14-1,999999),IF(AND(入力!$B$15&lt;&gt;"",入力!$B$15&gt;F10),入力!$B$15-1,999999),IF(AND(入力!$B$16&lt;&gt;"",入力!$B$16&gt;F10),入力!$B$16-1,999999),IF(AND(入力!$B$17&lt;&gt;"",入力!$B$17&gt;F10),入力!$B$17-1,999999),IF(AND(入力!$B$18&lt;&gt;"",入力!$B$18&gt;F10),入力!$B$18-1,999999),IF(AND(入力!$B$19&lt;&gt;"",入力!$B$19&gt;F10),入力!$B$19-1,999999),IF(AND(入力!$B$20&lt;&gt;"",入力!$B$20&gt;F10),入力!$B$20-1,999999),IF(AND(入力!$J$7&lt;&gt;"",入力!$J$7&gt;F10),入力!$J$7-1,999999),IFERROR(SMALL(入力!$B$86:$B$95,COUNTIF(入力!$B$86:$B$95,"&lt;="&amp;F10)+1)-1,999999)))</f>
        <v/>
      </c>
      <c r="H10" s="95">
        <f>IF(F10="","",IFERROR(VLOOKUP(B10,カレンダーマスタ!$A$2:$B$301,2,0),NETWORKDAYS(B10,EOMONTH(F10,0))))</f>
        <v/>
      </c>
      <c r="I10" s="94">
        <f>IF(F10="","",NETWORKDAYS(F10,G10))</f>
        <v/>
      </c>
      <c r="J10" s="95">
        <f>IF(F10="","",IF(入力!$C$8&lt;&gt;"",入力!$C$8,IF(F10&lt;入力!$J$5,IFERROR(INDEX(入力!$G$37:$G$78,MATCH(B10,入力!$A$37:$A$78,0)),入力!$J$10),入力!$J$10)))</f>
        <v/>
      </c>
      <c r="K10" s="95">
        <f>IF(F10="","",ROUNDDOWN(INDEX(入力!$H$13:$H$20,MATCH(F10,入力!$B$13:$B$20,1))/H10+INDEX(入力!$I$13:$I$20,MATCH(F10,入力!$B$13:$B$20,1))/22,0))</f>
        <v/>
      </c>
      <c r="L10" s="106">
        <f>IF(F10="","",IF(J10&gt;K10,"〇","×"))</f>
        <v/>
      </c>
      <c r="M10" s="95">
        <f>IF(F10="","",J10*I10)</f>
        <v/>
      </c>
      <c r="N10" s="95">
        <f>IF(F10="","",MIN(J10,K10)*I10)</f>
        <v/>
      </c>
      <c r="O10" s="96">
        <f>IF(F10="","",M10-N10)</f>
        <v/>
      </c>
      <c r="P10" s="107">
        <f>IF(F10="","",IFERROR(INDEX(入力!$G$37:$G$78,MATCH(B10,入力!$A$37:$A$78,0)),""))</f>
        <v/>
      </c>
      <c r="Q10" s="63">
        <f>IF(F10="","",IF(COUNTIFS($B$6:B10,B10,$C$6:C10,C10,$E$6:E10,E10)=1,MAX($Q$5:Q9)+1,""))</f>
        <v/>
      </c>
      <c r="R10" s="63">
        <f>IF(G10="","",IF(COUNTIFS(入力!$B$86:$B$95,"&lt;="&amp;(G10+1),入力!$C$86:$C$95,"&gt;="&amp;(G10+1))&gt;0,SUMIFS(入力!$C$86:$C$95,入力!$B$86:$B$95,"&lt;="&amp;(G10+1),入力!$C$86:$C$95,"&gt;="&amp;(G10+1))+1,G10+1))</f>
        <v/>
      </c>
      <c r="S10" s="63">
        <f>IF(R10="","",IF(COUNTIFS(入力!$B$86:$B$95,"&lt;="&amp;(R10),入力!$C$86:$C$95,"&gt;="&amp;(R10))&gt;0,SUMIFS(入力!$C$86:$C$95,入力!$B$86:$B$95,"&lt;="&amp;(R10),入力!$C$86:$C$95,"&gt;="&amp;(R10))+1,R10))</f>
        <v/>
      </c>
      <c r="T10" s="63" t="n"/>
      <c r="U10" s="63">
        <f>IF(OR(X9="",X9&gt;入力!$J$4+3650),"",X9)</f>
        <v/>
      </c>
      <c r="V10" s="63">
        <f>IF(U10="","",MIN(EOMONTH(U10,0),IF(AND(入力!$B$13&lt;&gt;"",入力!$B$13&gt;U10),入力!$B$13-1,999999),IF(AND(入力!$B$14&lt;&gt;"",入力!$B$14&gt;U10),入力!$B$14-1,999999),IF(AND(入力!$B$15&lt;&gt;"",入力!$B$15&gt;U10),入力!$B$15-1,999999),IF(AND(入力!$B$16&lt;&gt;"",入力!$B$16&gt;U10),入力!$B$16-1,999999),IF(AND(入力!$B$17&lt;&gt;"",入力!$B$17&gt;U10),入力!$B$17-1,999999),IF(AND(入力!$B$18&lt;&gt;"",入力!$B$18&gt;U10),入力!$B$18-1,999999),IF(AND(入力!$B$19&lt;&gt;"",入力!$B$19&gt;U10),入力!$B$19-1,999999),IF(AND(入力!$B$20&lt;&gt;"",入力!$B$20&gt;U10),入力!$B$20-1,999999),IFERROR(SMALL(入力!$B$86:$B$95,COUNTIF(入力!$B$86:$B$95,"&lt;="&amp;U10)+1)-1,999999)))</f>
        <v/>
      </c>
      <c r="W10" s="63">
        <f>IF(V10="","",IF(COUNTIFS(入力!$B$86:$B$95,"&lt;="&amp;(V10+1),入力!$C$86:$C$95,"&gt;="&amp;(V10+1))&gt;0,SUMIFS(入力!$C$86:$C$95,入力!$B$86:$B$95,"&lt;="&amp;(V10+1),入力!$C$86:$C$95,"&gt;="&amp;(V10+1))+1,V10+1))</f>
        <v/>
      </c>
      <c r="X10" s="63">
        <f>IF(W10="","",IF(COUNTIFS(入力!$B$86:$B$95,"&lt;="&amp;(W10),入力!$C$86:$C$95,"&gt;="&amp;(W10))&gt;0,SUMIFS(入力!$C$86:$C$95,入力!$B$86:$B$95,"&lt;="&amp;(W10),入力!$C$86:$C$95,"&gt;="&amp;(W10))+1,W10))</f>
        <v/>
      </c>
      <c r="Y10" s="63">
        <f>IF(U10="","",IFERROR(VLOOKUP(DATE(YEAR(U10),MONTH(U10),1),カレンダーマスタ!$A$2:$B$301,2,0),NETWORKDAYS(DATE(YEAR(U10),MONTH(U10),1),EOMONTH(U10,0))))</f>
        <v/>
      </c>
      <c r="Z10" s="63">
        <f>IF(U10="","",IF(入力!$C$8&lt;&gt;"",入力!$C$8,IFERROR(INDEX(入力!$G$37:$G$78,MATCH(DATE(YEAR(U10),MONTH(U10),1),入力!$A$37:$A$78,0)),0)))</f>
        <v/>
      </c>
      <c r="AA10" s="63">
        <f>IF(U10="","",ROUNDDOWN(INDEX(入力!$H$13:$H$20,MATCH(U10,入力!$B$13:$B$20,1))/Y10+INDEX(入力!$I$13:$I$20,MATCH(U10,入力!$B$13:$B$20,1))/22,0))</f>
        <v/>
      </c>
      <c r="AB10" s="63">
        <f>IF(U10="",0,IF(AND(Z10&gt;AA10,NETWORKDAYS(U10,V10)&gt;0),1,0))</f>
        <v/>
      </c>
      <c r="AC10" s="63" t="n"/>
      <c r="AD10" s="63" t="n"/>
    </row>
    <row r="11">
      <c r="A11" s="91">
        <f>IF(F11="","",6)</f>
        <v/>
      </c>
      <c r="B11" s="92">
        <f>IF(F11="","",DATE(YEAR(F11),MONTH(F11),1))</f>
        <v/>
      </c>
      <c r="C11" s="91">
        <f>IF(F11="","",MONTH(F11))</f>
        <v/>
      </c>
      <c r="D11" s="91">
        <f>IF(F11="","",INDEX(入力!$A$13:$A$20,MATCH(F11,入力!$B$13:$B$20,1)))</f>
        <v/>
      </c>
      <c r="E11" s="91">
        <f>IF(F11="","",IF(G11&lt;=入力!$J$6,"法定","附加"))</f>
        <v/>
      </c>
      <c r="F11" s="93">
        <f>IF(G10="","",IF(G10&gt;=入力!$J$9,"",IF(S10&gt;入力!$J$9,"",S10)))</f>
        <v/>
      </c>
      <c r="G11" s="93">
        <f>IF(F11="","",MIN(EOMONTH(F11,0),入力!$J$9,IF(AND(入力!$B$13&lt;&gt;"",入力!$B$13&gt;F11),入力!$B$13-1,999999),IF(AND(入力!$B$14&lt;&gt;"",入力!$B$14&gt;F11),入力!$B$14-1,999999),IF(AND(入力!$B$15&lt;&gt;"",入力!$B$15&gt;F11),入力!$B$15-1,999999),IF(AND(入力!$B$16&lt;&gt;"",入力!$B$16&gt;F11),入力!$B$16-1,999999),IF(AND(入力!$B$17&lt;&gt;"",入力!$B$17&gt;F11),入力!$B$17-1,999999),IF(AND(入力!$B$18&lt;&gt;"",入力!$B$18&gt;F11),入力!$B$18-1,999999),IF(AND(入力!$B$19&lt;&gt;"",入力!$B$19&gt;F11),入力!$B$19-1,999999),IF(AND(入力!$B$20&lt;&gt;"",入力!$B$20&gt;F11),入力!$B$20-1,999999),IF(AND(入力!$J$7&lt;&gt;"",入力!$J$7&gt;F11),入力!$J$7-1,999999),IFERROR(SMALL(入力!$B$86:$B$95,COUNTIF(入力!$B$86:$B$95,"&lt;="&amp;F11)+1)-1,999999)))</f>
        <v/>
      </c>
      <c r="H11" s="95">
        <f>IF(F11="","",IFERROR(VLOOKUP(B11,カレンダーマスタ!$A$2:$B$301,2,0),NETWORKDAYS(B11,EOMONTH(F11,0))))</f>
        <v/>
      </c>
      <c r="I11" s="94">
        <f>IF(F11="","",NETWORKDAYS(F11,G11))</f>
        <v/>
      </c>
      <c r="J11" s="95">
        <f>IF(F11="","",IF(入力!$C$8&lt;&gt;"",入力!$C$8,IF(F11&lt;入力!$J$5,IFERROR(INDEX(入力!$G$37:$G$78,MATCH(B11,入力!$A$37:$A$78,0)),入力!$J$10),入力!$J$10)))</f>
        <v/>
      </c>
      <c r="K11" s="95">
        <f>IF(F11="","",ROUNDDOWN(INDEX(入力!$H$13:$H$20,MATCH(F11,入力!$B$13:$B$20,1))/H11+INDEX(入力!$I$13:$I$20,MATCH(F11,入力!$B$13:$B$20,1))/22,0))</f>
        <v/>
      </c>
      <c r="L11" s="106">
        <f>IF(F11="","",IF(J11&gt;K11,"〇","×"))</f>
        <v/>
      </c>
      <c r="M11" s="95">
        <f>IF(F11="","",J11*I11)</f>
        <v/>
      </c>
      <c r="N11" s="95">
        <f>IF(F11="","",MIN(J11,K11)*I11)</f>
        <v/>
      </c>
      <c r="O11" s="96">
        <f>IF(F11="","",M11-N11)</f>
        <v/>
      </c>
      <c r="P11" s="107">
        <f>IF(F11="","",IFERROR(INDEX(入力!$G$37:$G$78,MATCH(B11,入力!$A$37:$A$78,0)),""))</f>
        <v/>
      </c>
      <c r="Q11" s="63">
        <f>IF(F11="","",IF(COUNTIFS($B$6:B11,B11,$C$6:C11,C11,$E$6:E11,E11)=1,MAX($Q$5:Q10)+1,""))</f>
        <v/>
      </c>
      <c r="R11" s="63">
        <f>IF(G11="","",IF(COUNTIFS(入力!$B$86:$B$95,"&lt;="&amp;(G11+1),入力!$C$86:$C$95,"&gt;="&amp;(G11+1))&gt;0,SUMIFS(入力!$C$86:$C$95,入力!$B$86:$B$95,"&lt;="&amp;(G11+1),入力!$C$86:$C$95,"&gt;="&amp;(G11+1))+1,G11+1))</f>
        <v/>
      </c>
      <c r="S11" s="63">
        <f>IF(R11="","",IF(COUNTIFS(入力!$B$86:$B$95,"&lt;="&amp;(R11),入力!$C$86:$C$95,"&gt;="&amp;(R11))&gt;0,SUMIFS(入力!$C$86:$C$95,入力!$B$86:$B$95,"&lt;="&amp;(R11),入力!$C$86:$C$95,"&gt;="&amp;(R11))+1,R11))</f>
        <v/>
      </c>
      <c r="T11" s="63" t="n"/>
      <c r="U11" s="63">
        <f>IF(OR(X10="",X10&gt;入力!$J$4+3650),"",X10)</f>
        <v/>
      </c>
      <c r="V11" s="63">
        <f>IF(U11="","",MIN(EOMONTH(U11,0),IF(AND(入力!$B$13&lt;&gt;"",入力!$B$13&gt;U11),入力!$B$13-1,999999),IF(AND(入力!$B$14&lt;&gt;"",入力!$B$14&gt;U11),入力!$B$14-1,999999),IF(AND(入力!$B$15&lt;&gt;"",入力!$B$15&gt;U11),入力!$B$15-1,999999),IF(AND(入力!$B$16&lt;&gt;"",入力!$B$16&gt;U11),入力!$B$16-1,999999),IF(AND(入力!$B$17&lt;&gt;"",入力!$B$17&gt;U11),入力!$B$17-1,999999),IF(AND(入力!$B$18&lt;&gt;"",入力!$B$18&gt;U11),入力!$B$18-1,999999),IF(AND(入力!$B$19&lt;&gt;"",入力!$B$19&gt;U11),入力!$B$19-1,999999),IF(AND(入力!$B$20&lt;&gt;"",入力!$B$20&gt;U11),入力!$B$20-1,999999),IFERROR(SMALL(入力!$B$86:$B$95,COUNTIF(入力!$B$86:$B$95,"&lt;="&amp;U11)+1)-1,999999)))</f>
        <v/>
      </c>
      <c r="W11" s="63">
        <f>IF(V11="","",IF(COUNTIFS(入力!$B$86:$B$95,"&lt;="&amp;(V11+1),入力!$C$86:$C$95,"&gt;="&amp;(V11+1))&gt;0,SUMIFS(入力!$C$86:$C$95,入力!$B$86:$B$95,"&lt;="&amp;(V11+1),入力!$C$86:$C$95,"&gt;="&amp;(V11+1))+1,V11+1))</f>
        <v/>
      </c>
      <c r="X11" s="63">
        <f>IF(W11="","",IF(COUNTIFS(入力!$B$86:$B$95,"&lt;="&amp;(W11),入力!$C$86:$C$95,"&gt;="&amp;(W11))&gt;0,SUMIFS(入力!$C$86:$C$95,入力!$B$86:$B$95,"&lt;="&amp;(W11),入力!$C$86:$C$95,"&gt;="&amp;(W11))+1,W11))</f>
        <v/>
      </c>
      <c r="Y11" s="63">
        <f>IF(U11="","",IFERROR(VLOOKUP(DATE(YEAR(U11),MONTH(U11),1),カレンダーマスタ!$A$2:$B$301,2,0),NETWORKDAYS(DATE(YEAR(U11),MONTH(U11),1),EOMONTH(U11,0))))</f>
        <v/>
      </c>
      <c r="Z11" s="63">
        <f>IF(U11="","",IF(入力!$C$8&lt;&gt;"",入力!$C$8,IFERROR(INDEX(入力!$G$37:$G$78,MATCH(DATE(YEAR(U11),MONTH(U11),1),入力!$A$37:$A$78,0)),0)))</f>
        <v/>
      </c>
      <c r="AA11" s="63">
        <f>IF(U11="","",ROUNDDOWN(INDEX(入力!$H$13:$H$20,MATCH(U11,入力!$B$13:$B$20,1))/Y11+INDEX(入力!$I$13:$I$20,MATCH(U11,入力!$B$13:$B$20,1))/22,0))</f>
        <v/>
      </c>
      <c r="AB11" s="63">
        <f>IF(U11="",0,IF(AND(Z11&gt;AA11,NETWORKDAYS(U11,V11)&gt;0),1,0))</f>
        <v/>
      </c>
      <c r="AC11" s="63" t="n"/>
      <c r="AD11" s="63" t="n"/>
    </row>
    <row r="12">
      <c r="A12" s="91">
        <f>IF(F12="","",7)</f>
        <v/>
      </c>
      <c r="B12" s="92">
        <f>IF(F12="","",DATE(YEAR(F12),MONTH(F12),1))</f>
        <v/>
      </c>
      <c r="C12" s="91">
        <f>IF(F12="","",MONTH(F12))</f>
        <v/>
      </c>
      <c r="D12" s="91">
        <f>IF(F12="","",INDEX(入力!$A$13:$A$20,MATCH(F12,入力!$B$13:$B$20,1)))</f>
        <v/>
      </c>
      <c r="E12" s="91">
        <f>IF(F12="","",IF(G12&lt;=入力!$J$6,"法定","附加"))</f>
        <v/>
      </c>
      <c r="F12" s="93">
        <f>IF(G11="","",IF(G11&gt;=入力!$J$9,"",IF(S11&gt;入力!$J$9,"",S11)))</f>
        <v/>
      </c>
      <c r="G12" s="93">
        <f>IF(F12="","",MIN(EOMONTH(F12,0),入力!$J$9,IF(AND(入力!$B$13&lt;&gt;"",入力!$B$13&gt;F12),入力!$B$13-1,999999),IF(AND(入力!$B$14&lt;&gt;"",入力!$B$14&gt;F12),入力!$B$14-1,999999),IF(AND(入力!$B$15&lt;&gt;"",入力!$B$15&gt;F12),入力!$B$15-1,999999),IF(AND(入力!$B$16&lt;&gt;"",入力!$B$16&gt;F12),入力!$B$16-1,999999),IF(AND(入力!$B$17&lt;&gt;"",入力!$B$17&gt;F12),入力!$B$17-1,999999),IF(AND(入力!$B$18&lt;&gt;"",入力!$B$18&gt;F12),入力!$B$18-1,999999),IF(AND(入力!$B$19&lt;&gt;"",入力!$B$19&gt;F12),入力!$B$19-1,999999),IF(AND(入力!$B$20&lt;&gt;"",入力!$B$20&gt;F12),入力!$B$20-1,999999),IF(AND(入力!$J$7&lt;&gt;"",入力!$J$7&gt;F12),入力!$J$7-1,999999),IFERROR(SMALL(入力!$B$86:$B$95,COUNTIF(入力!$B$86:$B$95,"&lt;="&amp;F12)+1)-1,999999)))</f>
        <v/>
      </c>
      <c r="H12" s="95">
        <f>IF(F12="","",IFERROR(VLOOKUP(B12,カレンダーマスタ!$A$2:$B$301,2,0),NETWORKDAYS(B12,EOMONTH(F12,0))))</f>
        <v/>
      </c>
      <c r="I12" s="94">
        <f>IF(F12="","",NETWORKDAYS(F12,G12))</f>
        <v/>
      </c>
      <c r="J12" s="95">
        <f>IF(F12="","",IF(入力!$C$8&lt;&gt;"",入力!$C$8,IF(F12&lt;入力!$J$5,IFERROR(INDEX(入力!$G$37:$G$78,MATCH(B12,入力!$A$37:$A$78,0)),入力!$J$10),入力!$J$10)))</f>
        <v/>
      </c>
      <c r="K12" s="95">
        <f>IF(F12="","",ROUNDDOWN(INDEX(入力!$H$13:$H$20,MATCH(F12,入力!$B$13:$B$20,1))/H12+INDEX(入力!$I$13:$I$20,MATCH(F12,入力!$B$13:$B$20,1))/22,0))</f>
        <v/>
      </c>
      <c r="L12" s="106">
        <f>IF(F12="","",IF(J12&gt;K12,"〇","×"))</f>
        <v/>
      </c>
      <c r="M12" s="95">
        <f>IF(F12="","",J12*I12)</f>
        <v/>
      </c>
      <c r="N12" s="95">
        <f>IF(F12="","",MIN(J12,K12)*I12)</f>
        <v/>
      </c>
      <c r="O12" s="96">
        <f>IF(F12="","",M12-N12)</f>
        <v/>
      </c>
      <c r="P12" s="107">
        <f>IF(F12="","",IFERROR(INDEX(入力!$G$37:$G$78,MATCH(B12,入力!$A$37:$A$78,0)),""))</f>
        <v/>
      </c>
      <c r="Q12" s="63">
        <f>IF(F12="","",IF(COUNTIFS($B$6:B12,B12,$C$6:C12,C12,$E$6:E12,E12)=1,MAX($Q$5:Q11)+1,""))</f>
        <v/>
      </c>
      <c r="R12" s="63">
        <f>IF(G12="","",IF(COUNTIFS(入力!$B$86:$B$95,"&lt;="&amp;(G12+1),入力!$C$86:$C$95,"&gt;="&amp;(G12+1))&gt;0,SUMIFS(入力!$C$86:$C$95,入力!$B$86:$B$95,"&lt;="&amp;(G12+1),入力!$C$86:$C$95,"&gt;="&amp;(G12+1))+1,G12+1))</f>
        <v/>
      </c>
      <c r="S12" s="63">
        <f>IF(R12="","",IF(COUNTIFS(入力!$B$86:$B$95,"&lt;="&amp;(R12),入力!$C$86:$C$95,"&gt;="&amp;(R12))&gt;0,SUMIFS(入力!$C$86:$C$95,入力!$B$86:$B$95,"&lt;="&amp;(R12),入力!$C$86:$C$95,"&gt;="&amp;(R12))+1,R12))</f>
        <v/>
      </c>
      <c r="T12" s="63" t="n"/>
      <c r="U12" s="63">
        <f>IF(OR(X11="",X11&gt;入力!$J$4+3650),"",X11)</f>
        <v/>
      </c>
      <c r="V12" s="63">
        <f>IF(U12="","",MIN(EOMONTH(U12,0),IF(AND(入力!$B$13&lt;&gt;"",入力!$B$13&gt;U12),入力!$B$13-1,999999),IF(AND(入力!$B$14&lt;&gt;"",入力!$B$14&gt;U12),入力!$B$14-1,999999),IF(AND(入力!$B$15&lt;&gt;"",入力!$B$15&gt;U12),入力!$B$15-1,999999),IF(AND(入力!$B$16&lt;&gt;"",入力!$B$16&gt;U12),入力!$B$16-1,999999),IF(AND(入力!$B$17&lt;&gt;"",入力!$B$17&gt;U12),入力!$B$17-1,999999),IF(AND(入力!$B$18&lt;&gt;"",入力!$B$18&gt;U12),入力!$B$18-1,999999),IF(AND(入力!$B$19&lt;&gt;"",入力!$B$19&gt;U12),入力!$B$19-1,999999),IF(AND(入力!$B$20&lt;&gt;"",入力!$B$20&gt;U12),入力!$B$20-1,999999),IFERROR(SMALL(入力!$B$86:$B$95,COUNTIF(入力!$B$86:$B$95,"&lt;="&amp;U12)+1)-1,999999)))</f>
        <v/>
      </c>
      <c r="W12" s="63">
        <f>IF(V12="","",IF(COUNTIFS(入力!$B$86:$B$95,"&lt;="&amp;(V12+1),入力!$C$86:$C$95,"&gt;="&amp;(V12+1))&gt;0,SUMIFS(入力!$C$86:$C$95,入力!$B$86:$B$95,"&lt;="&amp;(V12+1),入力!$C$86:$C$95,"&gt;="&amp;(V12+1))+1,V12+1))</f>
        <v/>
      </c>
      <c r="X12" s="63">
        <f>IF(W12="","",IF(COUNTIFS(入力!$B$86:$B$95,"&lt;="&amp;(W12),入力!$C$86:$C$95,"&gt;="&amp;(W12))&gt;0,SUMIFS(入力!$C$86:$C$95,入力!$B$86:$B$95,"&lt;="&amp;(W12),入力!$C$86:$C$95,"&gt;="&amp;(W12))+1,W12))</f>
        <v/>
      </c>
      <c r="Y12" s="63">
        <f>IF(U12="","",IFERROR(VLOOKUP(DATE(YEAR(U12),MONTH(U12),1),カレンダーマスタ!$A$2:$B$301,2,0),NETWORKDAYS(DATE(YEAR(U12),MONTH(U12),1),EOMONTH(U12,0))))</f>
        <v/>
      </c>
      <c r="Z12" s="63">
        <f>IF(U12="","",IF(入力!$C$8&lt;&gt;"",入力!$C$8,IFERROR(INDEX(入力!$G$37:$G$78,MATCH(DATE(YEAR(U12),MONTH(U12),1),入力!$A$37:$A$78,0)),0)))</f>
        <v/>
      </c>
      <c r="AA12" s="63">
        <f>IF(U12="","",ROUNDDOWN(INDEX(入力!$H$13:$H$20,MATCH(U12,入力!$B$13:$B$20,1))/Y12+INDEX(入力!$I$13:$I$20,MATCH(U12,入力!$B$13:$B$20,1))/22,0))</f>
        <v/>
      </c>
      <c r="AB12" s="63">
        <f>IF(U12="",0,IF(AND(Z12&gt;AA12,NETWORKDAYS(U12,V12)&gt;0),1,0))</f>
        <v/>
      </c>
      <c r="AC12" s="63" t="n"/>
      <c r="AD12" s="63" t="n"/>
    </row>
    <row r="13">
      <c r="A13" s="91">
        <f>IF(F13="","",8)</f>
        <v/>
      </c>
      <c r="B13" s="92">
        <f>IF(F13="","",DATE(YEAR(F13),MONTH(F13),1))</f>
        <v/>
      </c>
      <c r="C13" s="91">
        <f>IF(F13="","",MONTH(F13))</f>
        <v/>
      </c>
      <c r="D13" s="91">
        <f>IF(F13="","",INDEX(入力!$A$13:$A$20,MATCH(F13,入力!$B$13:$B$20,1)))</f>
        <v/>
      </c>
      <c r="E13" s="91">
        <f>IF(F13="","",IF(G13&lt;=入力!$J$6,"法定","附加"))</f>
        <v/>
      </c>
      <c r="F13" s="93">
        <f>IF(G12="","",IF(G12&gt;=入力!$J$9,"",IF(S12&gt;入力!$J$9,"",S12)))</f>
        <v/>
      </c>
      <c r="G13" s="93">
        <f>IF(F13="","",MIN(EOMONTH(F13,0),入力!$J$9,IF(AND(入力!$B$13&lt;&gt;"",入力!$B$13&gt;F13),入力!$B$13-1,999999),IF(AND(入力!$B$14&lt;&gt;"",入力!$B$14&gt;F13),入力!$B$14-1,999999),IF(AND(入力!$B$15&lt;&gt;"",入力!$B$15&gt;F13),入力!$B$15-1,999999),IF(AND(入力!$B$16&lt;&gt;"",入力!$B$16&gt;F13),入力!$B$16-1,999999),IF(AND(入力!$B$17&lt;&gt;"",入力!$B$17&gt;F13),入力!$B$17-1,999999),IF(AND(入力!$B$18&lt;&gt;"",入力!$B$18&gt;F13),入力!$B$18-1,999999),IF(AND(入力!$B$19&lt;&gt;"",入力!$B$19&gt;F13),入力!$B$19-1,999999),IF(AND(入力!$B$20&lt;&gt;"",入力!$B$20&gt;F13),入力!$B$20-1,999999),IF(AND(入力!$J$7&lt;&gt;"",入力!$J$7&gt;F13),入力!$J$7-1,999999),IFERROR(SMALL(入力!$B$86:$B$95,COUNTIF(入力!$B$86:$B$95,"&lt;="&amp;F13)+1)-1,999999)))</f>
        <v/>
      </c>
      <c r="H13" s="95">
        <f>IF(F13="","",IFERROR(VLOOKUP(B13,カレンダーマスタ!$A$2:$B$301,2,0),NETWORKDAYS(B13,EOMONTH(F13,0))))</f>
        <v/>
      </c>
      <c r="I13" s="94">
        <f>IF(F13="","",NETWORKDAYS(F13,G13))</f>
        <v/>
      </c>
      <c r="J13" s="95">
        <f>IF(F13="","",IF(入力!$C$8&lt;&gt;"",入力!$C$8,IF(F13&lt;入力!$J$5,IFERROR(INDEX(入力!$G$37:$G$78,MATCH(B13,入力!$A$37:$A$78,0)),入力!$J$10),入力!$J$10)))</f>
        <v/>
      </c>
      <c r="K13" s="95">
        <f>IF(F13="","",ROUNDDOWN(INDEX(入力!$H$13:$H$20,MATCH(F13,入力!$B$13:$B$20,1))/H13+INDEX(入力!$I$13:$I$20,MATCH(F13,入力!$B$13:$B$20,1))/22,0))</f>
        <v/>
      </c>
      <c r="L13" s="106">
        <f>IF(F13="","",IF(J13&gt;K13,"〇","×"))</f>
        <v/>
      </c>
      <c r="M13" s="95">
        <f>IF(F13="","",J13*I13)</f>
        <v/>
      </c>
      <c r="N13" s="95">
        <f>IF(F13="","",MIN(J13,K13)*I13)</f>
        <v/>
      </c>
      <c r="O13" s="96">
        <f>IF(F13="","",M13-N13)</f>
        <v/>
      </c>
      <c r="P13" s="107">
        <f>IF(F13="","",IFERROR(INDEX(入力!$G$37:$G$78,MATCH(B13,入力!$A$37:$A$78,0)),""))</f>
        <v/>
      </c>
      <c r="Q13" s="63">
        <f>IF(F13="","",IF(COUNTIFS($B$6:B13,B13,$C$6:C13,C13,$E$6:E13,E13)=1,MAX($Q$5:Q12)+1,""))</f>
        <v/>
      </c>
      <c r="R13" s="63">
        <f>IF(G13="","",IF(COUNTIFS(入力!$B$86:$B$95,"&lt;="&amp;(G13+1),入力!$C$86:$C$95,"&gt;="&amp;(G13+1))&gt;0,SUMIFS(入力!$C$86:$C$95,入力!$B$86:$B$95,"&lt;="&amp;(G13+1),入力!$C$86:$C$95,"&gt;="&amp;(G13+1))+1,G13+1))</f>
        <v/>
      </c>
      <c r="S13" s="63">
        <f>IF(R13="","",IF(COUNTIFS(入力!$B$86:$B$95,"&lt;="&amp;(R13),入力!$C$86:$C$95,"&gt;="&amp;(R13))&gt;0,SUMIFS(入力!$C$86:$C$95,入力!$B$86:$B$95,"&lt;="&amp;(R13),入力!$C$86:$C$95,"&gt;="&amp;(R13))+1,R13))</f>
        <v/>
      </c>
      <c r="T13" s="63" t="n"/>
      <c r="U13" s="63">
        <f>IF(OR(X12="",X12&gt;入力!$J$4+3650),"",X12)</f>
        <v/>
      </c>
      <c r="V13" s="63">
        <f>IF(U13="","",MIN(EOMONTH(U13,0),IF(AND(入力!$B$13&lt;&gt;"",入力!$B$13&gt;U13),入力!$B$13-1,999999),IF(AND(入力!$B$14&lt;&gt;"",入力!$B$14&gt;U13),入力!$B$14-1,999999),IF(AND(入力!$B$15&lt;&gt;"",入力!$B$15&gt;U13),入力!$B$15-1,999999),IF(AND(入力!$B$16&lt;&gt;"",入力!$B$16&gt;U13),入力!$B$16-1,999999),IF(AND(入力!$B$17&lt;&gt;"",入力!$B$17&gt;U13),入力!$B$17-1,999999),IF(AND(入力!$B$18&lt;&gt;"",入力!$B$18&gt;U13),入力!$B$18-1,999999),IF(AND(入力!$B$19&lt;&gt;"",入力!$B$19&gt;U13),入力!$B$19-1,999999),IF(AND(入力!$B$20&lt;&gt;"",入力!$B$20&gt;U13),入力!$B$20-1,999999),IFERROR(SMALL(入力!$B$86:$B$95,COUNTIF(入力!$B$86:$B$95,"&lt;="&amp;U13)+1)-1,999999)))</f>
        <v/>
      </c>
      <c r="W13" s="63">
        <f>IF(V13="","",IF(COUNTIFS(入力!$B$86:$B$95,"&lt;="&amp;(V13+1),入力!$C$86:$C$95,"&gt;="&amp;(V13+1))&gt;0,SUMIFS(入力!$C$86:$C$95,入力!$B$86:$B$95,"&lt;="&amp;(V13+1),入力!$C$86:$C$95,"&gt;="&amp;(V13+1))+1,V13+1))</f>
        <v/>
      </c>
      <c r="X13" s="63">
        <f>IF(W13="","",IF(COUNTIFS(入力!$B$86:$B$95,"&lt;="&amp;(W13),入力!$C$86:$C$95,"&gt;="&amp;(W13))&gt;0,SUMIFS(入力!$C$86:$C$95,入力!$B$86:$B$95,"&lt;="&amp;(W13),入力!$C$86:$C$95,"&gt;="&amp;(W13))+1,W13))</f>
        <v/>
      </c>
      <c r="Y13" s="63">
        <f>IF(U13="","",IFERROR(VLOOKUP(DATE(YEAR(U13),MONTH(U13),1),カレンダーマスタ!$A$2:$B$301,2,0),NETWORKDAYS(DATE(YEAR(U13),MONTH(U13),1),EOMONTH(U13,0))))</f>
        <v/>
      </c>
      <c r="Z13" s="63">
        <f>IF(U13="","",IF(入力!$C$8&lt;&gt;"",入力!$C$8,IFERROR(INDEX(入力!$G$37:$G$78,MATCH(DATE(YEAR(U13),MONTH(U13),1),入力!$A$37:$A$78,0)),0)))</f>
        <v/>
      </c>
      <c r="AA13" s="63">
        <f>IF(U13="","",ROUNDDOWN(INDEX(入力!$H$13:$H$20,MATCH(U13,入力!$B$13:$B$20,1))/Y13+INDEX(入力!$I$13:$I$20,MATCH(U13,入力!$B$13:$B$20,1))/22,0))</f>
        <v/>
      </c>
      <c r="AB13" s="63">
        <f>IF(U13="",0,IF(AND(Z13&gt;AA13,NETWORKDAYS(U13,V13)&gt;0),1,0))</f>
        <v/>
      </c>
      <c r="AC13" s="63" t="n"/>
      <c r="AD13" s="63" t="n"/>
    </row>
    <row r="14">
      <c r="A14" s="91">
        <f>IF(F14="","",9)</f>
        <v/>
      </c>
      <c r="B14" s="92">
        <f>IF(F14="","",DATE(YEAR(F14),MONTH(F14),1))</f>
        <v/>
      </c>
      <c r="C14" s="91">
        <f>IF(F14="","",MONTH(F14))</f>
        <v/>
      </c>
      <c r="D14" s="91">
        <f>IF(F14="","",INDEX(入力!$A$13:$A$20,MATCH(F14,入力!$B$13:$B$20,1)))</f>
        <v/>
      </c>
      <c r="E14" s="91">
        <f>IF(F14="","",IF(G14&lt;=入力!$J$6,"法定","附加"))</f>
        <v/>
      </c>
      <c r="F14" s="93">
        <f>IF(G13="","",IF(G13&gt;=入力!$J$9,"",IF(S13&gt;入力!$J$9,"",S13)))</f>
        <v/>
      </c>
      <c r="G14" s="93">
        <f>IF(F14="","",MIN(EOMONTH(F14,0),入力!$J$9,IF(AND(入力!$B$13&lt;&gt;"",入力!$B$13&gt;F14),入力!$B$13-1,999999),IF(AND(入力!$B$14&lt;&gt;"",入力!$B$14&gt;F14),入力!$B$14-1,999999),IF(AND(入力!$B$15&lt;&gt;"",入力!$B$15&gt;F14),入力!$B$15-1,999999),IF(AND(入力!$B$16&lt;&gt;"",入力!$B$16&gt;F14),入力!$B$16-1,999999),IF(AND(入力!$B$17&lt;&gt;"",入力!$B$17&gt;F14),入力!$B$17-1,999999),IF(AND(入力!$B$18&lt;&gt;"",入力!$B$18&gt;F14),入力!$B$18-1,999999),IF(AND(入力!$B$19&lt;&gt;"",入力!$B$19&gt;F14),入力!$B$19-1,999999),IF(AND(入力!$B$20&lt;&gt;"",入力!$B$20&gt;F14),入力!$B$20-1,999999),IF(AND(入力!$J$7&lt;&gt;"",入力!$J$7&gt;F14),入力!$J$7-1,999999),IFERROR(SMALL(入力!$B$86:$B$95,COUNTIF(入力!$B$86:$B$95,"&lt;="&amp;F14)+1)-1,999999)))</f>
        <v/>
      </c>
      <c r="H14" s="95">
        <f>IF(F14="","",IFERROR(VLOOKUP(B14,カレンダーマスタ!$A$2:$B$301,2,0),NETWORKDAYS(B14,EOMONTH(F14,0))))</f>
        <v/>
      </c>
      <c r="I14" s="94">
        <f>IF(F14="","",NETWORKDAYS(F14,G14))</f>
        <v/>
      </c>
      <c r="J14" s="95">
        <f>IF(F14="","",IF(入力!$C$8&lt;&gt;"",入力!$C$8,IF(F14&lt;入力!$J$5,IFERROR(INDEX(入力!$G$37:$G$78,MATCH(B14,入力!$A$37:$A$78,0)),入力!$J$10),入力!$J$10)))</f>
        <v/>
      </c>
      <c r="K14" s="95">
        <f>IF(F14="","",ROUNDDOWN(INDEX(入力!$H$13:$H$20,MATCH(F14,入力!$B$13:$B$20,1))/H14+INDEX(入力!$I$13:$I$20,MATCH(F14,入力!$B$13:$B$20,1))/22,0))</f>
        <v/>
      </c>
      <c r="L14" s="106">
        <f>IF(F14="","",IF(J14&gt;K14,"〇","×"))</f>
        <v/>
      </c>
      <c r="M14" s="95">
        <f>IF(F14="","",J14*I14)</f>
        <v/>
      </c>
      <c r="N14" s="95">
        <f>IF(F14="","",MIN(J14,K14)*I14)</f>
        <v/>
      </c>
      <c r="O14" s="96">
        <f>IF(F14="","",M14-N14)</f>
        <v/>
      </c>
      <c r="P14" s="107">
        <f>IF(F14="","",IFERROR(INDEX(入力!$G$37:$G$78,MATCH(B14,入力!$A$37:$A$78,0)),""))</f>
        <v/>
      </c>
      <c r="Q14" s="63">
        <f>IF(F14="","",IF(COUNTIFS($B$6:B14,B14,$C$6:C14,C14,$E$6:E14,E14)=1,MAX($Q$5:Q13)+1,""))</f>
        <v/>
      </c>
      <c r="R14" s="63">
        <f>IF(G14="","",IF(COUNTIFS(入力!$B$86:$B$95,"&lt;="&amp;(G14+1),入力!$C$86:$C$95,"&gt;="&amp;(G14+1))&gt;0,SUMIFS(入力!$C$86:$C$95,入力!$B$86:$B$95,"&lt;="&amp;(G14+1),入力!$C$86:$C$95,"&gt;="&amp;(G14+1))+1,G14+1))</f>
        <v/>
      </c>
      <c r="S14" s="63">
        <f>IF(R14="","",IF(COUNTIFS(入力!$B$86:$B$95,"&lt;="&amp;(R14),入力!$C$86:$C$95,"&gt;="&amp;(R14))&gt;0,SUMIFS(入力!$C$86:$C$95,入力!$B$86:$B$95,"&lt;="&amp;(R14),入力!$C$86:$C$95,"&gt;="&amp;(R14))+1,R14))</f>
        <v/>
      </c>
      <c r="T14" s="63" t="n"/>
      <c r="U14" s="63">
        <f>IF(OR(X13="",X13&gt;入力!$J$4+3650),"",X13)</f>
        <v/>
      </c>
      <c r="V14" s="63">
        <f>IF(U14="","",MIN(EOMONTH(U14,0),IF(AND(入力!$B$13&lt;&gt;"",入力!$B$13&gt;U14),入力!$B$13-1,999999),IF(AND(入力!$B$14&lt;&gt;"",入力!$B$14&gt;U14),入力!$B$14-1,999999),IF(AND(入力!$B$15&lt;&gt;"",入力!$B$15&gt;U14),入力!$B$15-1,999999),IF(AND(入力!$B$16&lt;&gt;"",入力!$B$16&gt;U14),入力!$B$16-1,999999),IF(AND(入力!$B$17&lt;&gt;"",入力!$B$17&gt;U14),入力!$B$17-1,999999),IF(AND(入力!$B$18&lt;&gt;"",入力!$B$18&gt;U14),入力!$B$18-1,999999),IF(AND(入力!$B$19&lt;&gt;"",入力!$B$19&gt;U14),入力!$B$19-1,999999),IF(AND(入力!$B$20&lt;&gt;"",入力!$B$20&gt;U14),入力!$B$20-1,999999),IFERROR(SMALL(入力!$B$86:$B$95,COUNTIF(入力!$B$86:$B$95,"&lt;="&amp;U14)+1)-1,999999)))</f>
        <v/>
      </c>
      <c r="W14" s="63">
        <f>IF(V14="","",IF(COUNTIFS(入力!$B$86:$B$95,"&lt;="&amp;(V14+1),入力!$C$86:$C$95,"&gt;="&amp;(V14+1))&gt;0,SUMIFS(入力!$C$86:$C$95,入力!$B$86:$B$95,"&lt;="&amp;(V14+1),入力!$C$86:$C$95,"&gt;="&amp;(V14+1))+1,V14+1))</f>
        <v/>
      </c>
      <c r="X14" s="63">
        <f>IF(W14="","",IF(COUNTIFS(入力!$B$86:$B$95,"&lt;="&amp;(W14),入力!$C$86:$C$95,"&gt;="&amp;(W14))&gt;0,SUMIFS(入力!$C$86:$C$95,入力!$B$86:$B$95,"&lt;="&amp;(W14),入力!$C$86:$C$95,"&gt;="&amp;(W14))+1,W14))</f>
        <v/>
      </c>
      <c r="Y14" s="63">
        <f>IF(U14="","",IFERROR(VLOOKUP(DATE(YEAR(U14),MONTH(U14),1),カレンダーマスタ!$A$2:$B$301,2,0),NETWORKDAYS(DATE(YEAR(U14),MONTH(U14),1),EOMONTH(U14,0))))</f>
        <v/>
      </c>
      <c r="Z14" s="63">
        <f>IF(U14="","",IF(入力!$C$8&lt;&gt;"",入力!$C$8,IFERROR(INDEX(入力!$G$37:$G$78,MATCH(DATE(YEAR(U14),MONTH(U14),1),入力!$A$37:$A$78,0)),0)))</f>
        <v/>
      </c>
      <c r="AA14" s="63">
        <f>IF(U14="","",ROUNDDOWN(INDEX(入力!$H$13:$H$20,MATCH(U14,入力!$B$13:$B$20,1))/Y14+INDEX(入力!$I$13:$I$20,MATCH(U14,入力!$B$13:$B$20,1))/22,0))</f>
        <v/>
      </c>
      <c r="AB14" s="63">
        <f>IF(U14="",0,IF(AND(Z14&gt;AA14,NETWORKDAYS(U14,V14)&gt;0),1,0))</f>
        <v/>
      </c>
      <c r="AC14" s="63" t="n"/>
      <c r="AD14" s="63" t="n"/>
    </row>
    <row r="15">
      <c r="A15" s="91">
        <f>IF(F15="","",10)</f>
        <v/>
      </c>
      <c r="B15" s="92">
        <f>IF(F15="","",DATE(YEAR(F15),MONTH(F15),1))</f>
        <v/>
      </c>
      <c r="C15" s="91">
        <f>IF(F15="","",MONTH(F15))</f>
        <v/>
      </c>
      <c r="D15" s="91">
        <f>IF(F15="","",INDEX(入力!$A$13:$A$20,MATCH(F15,入力!$B$13:$B$20,1)))</f>
        <v/>
      </c>
      <c r="E15" s="91">
        <f>IF(F15="","",IF(G15&lt;=入力!$J$6,"法定","附加"))</f>
        <v/>
      </c>
      <c r="F15" s="93">
        <f>IF(G14="","",IF(G14&gt;=入力!$J$9,"",IF(S14&gt;入力!$J$9,"",S14)))</f>
        <v/>
      </c>
      <c r="G15" s="93">
        <f>IF(F15="","",MIN(EOMONTH(F15,0),入力!$J$9,IF(AND(入力!$B$13&lt;&gt;"",入力!$B$13&gt;F15),入力!$B$13-1,999999),IF(AND(入力!$B$14&lt;&gt;"",入力!$B$14&gt;F15),入力!$B$14-1,999999),IF(AND(入力!$B$15&lt;&gt;"",入力!$B$15&gt;F15),入力!$B$15-1,999999),IF(AND(入力!$B$16&lt;&gt;"",入力!$B$16&gt;F15),入力!$B$16-1,999999),IF(AND(入力!$B$17&lt;&gt;"",入力!$B$17&gt;F15),入力!$B$17-1,999999),IF(AND(入力!$B$18&lt;&gt;"",入力!$B$18&gt;F15),入力!$B$18-1,999999),IF(AND(入力!$B$19&lt;&gt;"",入力!$B$19&gt;F15),入力!$B$19-1,999999),IF(AND(入力!$B$20&lt;&gt;"",入力!$B$20&gt;F15),入力!$B$20-1,999999),IF(AND(入力!$J$7&lt;&gt;"",入力!$J$7&gt;F15),入力!$J$7-1,999999),IFERROR(SMALL(入力!$B$86:$B$95,COUNTIF(入力!$B$86:$B$95,"&lt;="&amp;F15)+1)-1,999999)))</f>
        <v/>
      </c>
      <c r="H15" s="95">
        <f>IF(F15="","",IFERROR(VLOOKUP(B15,カレンダーマスタ!$A$2:$B$301,2,0),NETWORKDAYS(B15,EOMONTH(F15,0))))</f>
        <v/>
      </c>
      <c r="I15" s="94">
        <f>IF(F15="","",NETWORKDAYS(F15,G15))</f>
        <v/>
      </c>
      <c r="J15" s="95">
        <f>IF(F15="","",IF(入力!$C$8&lt;&gt;"",入力!$C$8,IF(F15&lt;入力!$J$5,IFERROR(INDEX(入力!$G$37:$G$78,MATCH(B15,入力!$A$37:$A$78,0)),入力!$J$10),入力!$J$10)))</f>
        <v/>
      </c>
      <c r="K15" s="95">
        <f>IF(F15="","",ROUNDDOWN(INDEX(入力!$H$13:$H$20,MATCH(F15,入力!$B$13:$B$20,1))/H15+INDEX(入力!$I$13:$I$20,MATCH(F15,入力!$B$13:$B$20,1))/22,0))</f>
        <v/>
      </c>
      <c r="L15" s="106">
        <f>IF(F15="","",IF(J15&gt;K15,"〇","×"))</f>
        <v/>
      </c>
      <c r="M15" s="95">
        <f>IF(F15="","",J15*I15)</f>
        <v/>
      </c>
      <c r="N15" s="95">
        <f>IF(F15="","",MIN(J15,K15)*I15)</f>
        <v/>
      </c>
      <c r="O15" s="96">
        <f>IF(F15="","",M15-N15)</f>
        <v/>
      </c>
      <c r="P15" s="107">
        <f>IF(F15="","",IFERROR(INDEX(入力!$G$37:$G$78,MATCH(B15,入力!$A$37:$A$78,0)),""))</f>
        <v/>
      </c>
      <c r="Q15" s="63">
        <f>IF(F15="","",IF(COUNTIFS($B$6:B15,B15,$C$6:C15,C15,$E$6:E15,E15)=1,MAX($Q$5:Q14)+1,""))</f>
        <v/>
      </c>
      <c r="R15" s="63">
        <f>IF(G15="","",IF(COUNTIFS(入力!$B$86:$B$95,"&lt;="&amp;(G15+1),入力!$C$86:$C$95,"&gt;="&amp;(G15+1))&gt;0,SUMIFS(入力!$C$86:$C$95,入力!$B$86:$B$95,"&lt;="&amp;(G15+1),入力!$C$86:$C$95,"&gt;="&amp;(G15+1))+1,G15+1))</f>
        <v/>
      </c>
      <c r="S15" s="63">
        <f>IF(R15="","",IF(COUNTIFS(入力!$B$86:$B$95,"&lt;="&amp;(R15),入力!$C$86:$C$95,"&gt;="&amp;(R15))&gt;0,SUMIFS(入力!$C$86:$C$95,入力!$B$86:$B$95,"&lt;="&amp;(R15),入力!$C$86:$C$95,"&gt;="&amp;(R15))+1,R15))</f>
        <v/>
      </c>
      <c r="T15" s="63" t="n"/>
      <c r="U15" s="63">
        <f>IF(OR(X14="",X14&gt;入力!$J$4+3650),"",X14)</f>
        <v/>
      </c>
      <c r="V15" s="63">
        <f>IF(U15="","",MIN(EOMONTH(U15,0),IF(AND(入力!$B$13&lt;&gt;"",入力!$B$13&gt;U15),入力!$B$13-1,999999),IF(AND(入力!$B$14&lt;&gt;"",入力!$B$14&gt;U15),入力!$B$14-1,999999),IF(AND(入力!$B$15&lt;&gt;"",入力!$B$15&gt;U15),入力!$B$15-1,999999),IF(AND(入力!$B$16&lt;&gt;"",入力!$B$16&gt;U15),入力!$B$16-1,999999),IF(AND(入力!$B$17&lt;&gt;"",入力!$B$17&gt;U15),入力!$B$17-1,999999),IF(AND(入力!$B$18&lt;&gt;"",入力!$B$18&gt;U15),入力!$B$18-1,999999),IF(AND(入力!$B$19&lt;&gt;"",入力!$B$19&gt;U15),入力!$B$19-1,999999),IF(AND(入力!$B$20&lt;&gt;"",入力!$B$20&gt;U15),入力!$B$20-1,999999),IFERROR(SMALL(入力!$B$86:$B$95,COUNTIF(入力!$B$86:$B$95,"&lt;="&amp;U15)+1)-1,999999)))</f>
        <v/>
      </c>
      <c r="W15" s="63">
        <f>IF(V15="","",IF(COUNTIFS(入力!$B$86:$B$95,"&lt;="&amp;(V15+1),入力!$C$86:$C$95,"&gt;="&amp;(V15+1))&gt;0,SUMIFS(入力!$C$86:$C$95,入力!$B$86:$B$95,"&lt;="&amp;(V15+1),入力!$C$86:$C$95,"&gt;="&amp;(V15+1))+1,V15+1))</f>
        <v/>
      </c>
      <c r="X15" s="63">
        <f>IF(W15="","",IF(COUNTIFS(入力!$B$86:$B$95,"&lt;="&amp;(W15),入力!$C$86:$C$95,"&gt;="&amp;(W15))&gt;0,SUMIFS(入力!$C$86:$C$95,入力!$B$86:$B$95,"&lt;="&amp;(W15),入力!$C$86:$C$95,"&gt;="&amp;(W15))+1,W15))</f>
        <v/>
      </c>
      <c r="Y15" s="63">
        <f>IF(U15="","",IFERROR(VLOOKUP(DATE(YEAR(U15),MONTH(U15),1),カレンダーマスタ!$A$2:$B$301,2,0),NETWORKDAYS(DATE(YEAR(U15),MONTH(U15),1),EOMONTH(U15,0))))</f>
        <v/>
      </c>
      <c r="Z15" s="63">
        <f>IF(U15="","",IF(入力!$C$8&lt;&gt;"",入力!$C$8,IFERROR(INDEX(入力!$G$37:$G$78,MATCH(DATE(YEAR(U15),MONTH(U15),1),入力!$A$37:$A$78,0)),0)))</f>
        <v/>
      </c>
      <c r="AA15" s="63">
        <f>IF(U15="","",ROUNDDOWN(INDEX(入力!$H$13:$H$20,MATCH(U15,入力!$B$13:$B$20,1))/Y15+INDEX(入力!$I$13:$I$20,MATCH(U15,入力!$B$13:$B$20,1))/22,0))</f>
        <v/>
      </c>
      <c r="AB15" s="63">
        <f>IF(U15="",0,IF(AND(Z15&gt;AA15,NETWORKDAYS(U15,V15)&gt;0),1,0))</f>
        <v/>
      </c>
      <c r="AC15" s="63" t="n"/>
      <c r="AD15" s="63" t="n"/>
    </row>
    <row r="16">
      <c r="A16" s="91">
        <f>IF(F16="","",11)</f>
        <v/>
      </c>
      <c r="B16" s="92">
        <f>IF(F16="","",DATE(YEAR(F16),MONTH(F16),1))</f>
        <v/>
      </c>
      <c r="C16" s="91">
        <f>IF(F16="","",MONTH(F16))</f>
        <v/>
      </c>
      <c r="D16" s="91">
        <f>IF(F16="","",INDEX(入力!$A$13:$A$20,MATCH(F16,入力!$B$13:$B$20,1)))</f>
        <v/>
      </c>
      <c r="E16" s="91">
        <f>IF(F16="","",IF(G16&lt;=入力!$J$6,"法定","附加"))</f>
        <v/>
      </c>
      <c r="F16" s="93">
        <f>IF(G15="","",IF(G15&gt;=入力!$J$9,"",IF(S15&gt;入力!$J$9,"",S15)))</f>
        <v/>
      </c>
      <c r="G16" s="93">
        <f>IF(F16="","",MIN(EOMONTH(F16,0),入力!$J$9,IF(AND(入力!$B$13&lt;&gt;"",入力!$B$13&gt;F16),入力!$B$13-1,999999),IF(AND(入力!$B$14&lt;&gt;"",入力!$B$14&gt;F16),入力!$B$14-1,999999),IF(AND(入力!$B$15&lt;&gt;"",入力!$B$15&gt;F16),入力!$B$15-1,999999),IF(AND(入力!$B$16&lt;&gt;"",入力!$B$16&gt;F16),入力!$B$16-1,999999),IF(AND(入力!$B$17&lt;&gt;"",入力!$B$17&gt;F16),入力!$B$17-1,999999),IF(AND(入力!$B$18&lt;&gt;"",入力!$B$18&gt;F16),入力!$B$18-1,999999),IF(AND(入力!$B$19&lt;&gt;"",入力!$B$19&gt;F16),入力!$B$19-1,999999),IF(AND(入力!$B$20&lt;&gt;"",入力!$B$20&gt;F16),入力!$B$20-1,999999),IF(AND(入力!$J$7&lt;&gt;"",入力!$J$7&gt;F16),入力!$J$7-1,999999),IFERROR(SMALL(入力!$B$86:$B$95,COUNTIF(入力!$B$86:$B$95,"&lt;="&amp;F16)+1)-1,999999)))</f>
        <v/>
      </c>
      <c r="H16" s="95">
        <f>IF(F16="","",IFERROR(VLOOKUP(B16,カレンダーマスタ!$A$2:$B$301,2,0),NETWORKDAYS(B16,EOMONTH(F16,0))))</f>
        <v/>
      </c>
      <c r="I16" s="94">
        <f>IF(F16="","",NETWORKDAYS(F16,G16))</f>
        <v/>
      </c>
      <c r="J16" s="95">
        <f>IF(F16="","",IF(入力!$C$8&lt;&gt;"",入力!$C$8,IF(F16&lt;入力!$J$5,IFERROR(INDEX(入力!$G$37:$G$78,MATCH(B16,入力!$A$37:$A$78,0)),入力!$J$10),入力!$J$10)))</f>
        <v/>
      </c>
      <c r="K16" s="95">
        <f>IF(F16="","",ROUNDDOWN(INDEX(入力!$H$13:$H$20,MATCH(F16,入力!$B$13:$B$20,1))/H16+INDEX(入力!$I$13:$I$20,MATCH(F16,入力!$B$13:$B$20,1))/22,0))</f>
        <v/>
      </c>
      <c r="L16" s="106">
        <f>IF(F16="","",IF(J16&gt;K16,"〇","×"))</f>
        <v/>
      </c>
      <c r="M16" s="95">
        <f>IF(F16="","",J16*I16)</f>
        <v/>
      </c>
      <c r="N16" s="95">
        <f>IF(F16="","",MIN(J16,K16)*I16)</f>
        <v/>
      </c>
      <c r="O16" s="96">
        <f>IF(F16="","",M16-N16)</f>
        <v/>
      </c>
      <c r="P16" s="107">
        <f>IF(F16="","",IFERROR(INDEX(入力!$G$37:$G$78,MATCH(B16,入力!$A$37:$A$78,0)),""))</f>
        <v/>
      </c>
      <c r="Q16" s="63">
        <f>IF(F16="","",IF(COUNTIFS($B$6:B16,B16,$C$6:C16,C16,$E$6:E16,E16)=1,MAX($Q$5:Q15)+1,""))</f>
        <v/>
      </c>
      <c r="R16" s="63">
        <f>IF(G16="","",IF(COUNTIFS(入力!$B$86:$B$95,"&lt;="&amp;(G16+1),入力!$C$86:$C$95,"&gt;="&amp;(G16+1))&gt;0,SUMIFS(入力!$C$86:$C$95,入力!$B$86:$B$95,"&lt;="&amp;(G16+1),入力!$C$86:$C$95,"&gt;="&amp;(G16+1))+1,G16+1))</f>
        <v/>
      </c>
      <c r="S16" s="63">
        <f>IF(R16="","",IF(COUNTIFS(入力!$B$86:$B$95,"&lt;="&amp;(R16),入力!$C$86:$C$95,"&gt;="&amp;(R16))&gt;0,SUMIFS(入力!$C$86:$C$95,入力!$B$86:$B$95,"&lt;="&amp;(R16),入力!$C$86:$C$95,"&gt;="&amp;(R16))+1,R16))</f>
        <v/>
      </c>
      <c r="T16" s="63" t="n"/>
      <c r="U16" s="63">
        <f>IF(OR(X15="",X15&gt;入力!$J$4+3650),"",X15)</f>
        <v/>
      </c>
      <c r="V16" s="63">
        <f>IF(U16="","",MIN(EOMONTH(U16,0),IF(AND(入力!$B$13&lt;&gt;"",入力!$B$13&gt;U16),入力!$B$13-1,999999),IF(AND(入力!$B$14&lt;&gt;"",入力!$B$14&gt;U16),入力!$B$14-1,999999),IF(AND(入力!$B$15&lt;&gt;"",入力!$B$15&gt;U16),入力!$B$15-1,999999),IF(AND(入力!$B$16&lt;&gt;"",入力!$B$16&gt;U16),入力!$B$16-1,999999),IF(AND(入力!$B$17&lt;&gt;"",入力!$B$17&gt;U16),入力!$B$17-1,999999),IF(AND(入力!$B$18&lt;&gt;"",入力!$B$18&gt;U16),入力!$B$18-1,999999),IF(AND(入力!$B$19&lt;&gt;"",入力!$B$19&gt;U16),入力!$B$19-1,999999),IF(AND(入力!$B$20&lt;&gt;"",入力!$B$20&gt;U16),入力!$B$20-1,999999),IFERROR(SMALL(入力!$B$86:$B$95,COUNTIF(入力!$B$86:$B$95,"&lt;="&amp;U16)+1)-1,999999)))</f>
        <v/>
      </c>
      <c r="W16" s="63">
        <f>IF(V16="","",IF(COUNTIFS(入力!$B$86:$B$95,"&lt;="&amp;(V16+1),入力!$C$86:$C$95,"&gt;="&amp;(V16+1))&gt;0,SUMIFS(入力!$C$86:$C$95,入力!$B$86:$B$95,"&lt;="&amp;(V16+1),入力!$C$86:$C$95,"&gt;="&amp;(V16+1))+1,V16+1))</f>
        <v/>
      </c>
      <c r="X16" s="63">
        <f>IF(W16="","",IF(COUNTIFS(入力!$B$86:$B$95,"&lt;="&amp;(W16),入力!$C$86:$C$95,"&gt;="&amp;(W16))&gt;0,SUMIFS(入力!$C$86:$C$95,入力!$B$86:$B$95,"&lt;="&amp;(W16),入力!$C$86:$C$95,"&gt;="&amp;(W16))+1,W16))</f>
        <v/>
      </c>
      <c r="Y16" s="63">
        <f>IF(U16="","",IFERROR(VLOOKUP(DATE(YEAR(U16),MONTH(U16),1),カレンダーマスタ!$A$2:$B$301,2,0),NETWORKDAYS(DATE(YEAR(U16),MONTH(U16),1),EOMONTH(U16,0))))</f>
        <v/>
      </c>
      <c r="Z16" s="63">
        <f>IF(U16="","",IF(入力!$C$8&lt;&gt;"",入力!$C$8,IFERROR(INDEX(入力!$G$37:$G$78,MATCH(DATE(YEAR(U16),MONTH(U16),1),入力!$A$37:$A$78,0)),0)))</f>
        <v/>
      </c>
      <c r="AA16" s="63">
        <f>IF(U16="","",ROUNDDOWN(INDEX(入力!$H$13:$H$20,MATCH(U16,入力!$B$13:$B$20,1))/Y16+INDEX(入力!$I$13:$I$20,MATCH(U16,入力!$B$13:$B$20,1))/22,0))</f>
        <v/>
      </c>
      <c r="AB16" s="63">
        <f>IF(U16="",0,IF(AND(Z16&gt;AA16,NETWORKDAYS(U16,V16)&gt;0),1,0))</f>
        <v/>
      </c>
      <c r="AC16" s="63" t="n"/>
      <c r="AD16" s="63" t="n"/>
    </row>
    <row r="17">
      <c r="A17" s="91">
        <f>IF(F17="","",12)</f>
        <v/>
      </c>
      <c r="B17" s="92">
        <f>IF(F17="","",DATE(YEAR(F17),MONTH(F17),1))</f>
        <v/>
      </c>
      <c r="C17" s="91">
        <f>IF(F17="","",MONTH(F17))</f>
        <v/>
      </c>
      <c r="D17" s="91">
        <f>IF(F17="","",INDEX(入力!$A$13:$A$20,MATCH(F17,入力!$B$13:$B$20,1)))</f>
        <v/>
      </c>
      <c r="E17" s="91">
        <f>IF(F17="","",IF(G17&lt;=入力!$J$6,"法定","附加"))</f>
        <v/>
      </c>
      <c r="F17" s="93">
        <f>IF(G16="","",IF(G16&gt;=入力!$J$9,"",IF(S16&gt;入力!$J$9,"",S16)))</f>
        <v/>
      </c>
      <c r="G17" s="93">
        <f>IF(F17="","",MIN(EOMONTH(F17,0),入力!$J$9,IF(AND(入力!$B$13&lt;&gt;"",入力!$B$13&gt;F17),入力!$B$13-1,999999),IF(AND(入力!$B$14&lt;&gt;"",入力!$B$14&gt;F17),入力!$B$14-1,999999),IF(AND(入力!$B$15&lt;&gt;"",入力!$B$15&gt;F17),入力!$B$15-1,999999),IF(AND(入力!$B$16&lt;&gt;"",入力!$B$16&gt;F17),入力!$B$16-1,999999),IF(AND(入力!$B$17&lt;&gt;"",入力!$B$17&gt;F17),入力!$B$17-1,999999),IF(AND(入力!$B$18&lt;&gt;"",入力!$B$18&gt;F17),入力!$B$18-1,999999),IF(AND(入力!$B$19&lt;&gt;"",入力!$B$19&gt;F17),入力!$B$19-1,999999),IF(AND(入力!$B$20&lt;&gt;"",入力!$B$20&gt;F17),入力!$B$20-1,999999),IF(AND(入力!$J$7&lt;&gt;"",入力!$J$7&gt;F17),入力!$J$7-1,999999),IFERROR(SMALL(入力!$B$86:$B$95,COUNTIF(入力!$B$86:$B$95,"&lt;="&amp;F17)+1)-1,999999)))</f>
        <v/>
      </c>
      <c r="H17" s="95">
        <f>IF(F17="","",IFERROR(VLOOKUP(B17,カレンダーマスタ!$A$2:$B$301,2,0),NETWORKDAYS(B17,EOMONTH(F17,0))))</f>
        <v/>
      </c>
      <c r="I17" s="94">
        <f>IF(F17="","",NETWORKDAYS(F17,G17))</f>
        <v/>
      </c>
      <c r="J17" s="95">
        <f>IF(F17="","",IF(入力!$C$8&lt;&gt;"",入力!$C$8,IF(F17&lt;入力!$J$5,IFERROR(INDEX(入力!$G$37:$G$78,MATCH(B17,入力!$A$37:$A$78,0)),入力!$J$10),入力!$J$10)))</f>
        <v/>
      </c>
      <c r="K17" s="95">
        <f>IF(F17="","",ROUNDDOWN(INDEX(入力!$H$13:$H$20,MATCH(F17,入力!$B$13:$B$20,1))/H17+INDEX(入力!$I$13:$I$20,MATCH(F17,入力!$B$13:$B$20,1))/22,0))</f>
        <v/>
      </c>
      <c r="L17" s="106">
        <f>IF(F17="","",IF(J17&gt;K17,"〇","×"))</f>
        <v/>
      </c>
      <c r="M17" s="95">
        <f>IF(F17="","",J17*I17)</f>
        <v/>
      </c>
      <c r="N17" s="95">
        <f>IF(F17="","",MIN(J17,K17)*I17)</f>
        <v/>
      </c>
      <c r="O17" s="96">
        <f>IF(F17="","",M17-N17)</f>
        <v/>
      </c>
      <c r="P17" s="107">
        <f>IF(F17="","",IFERROR(INDEX(入力!$G$37:$G$78,MATCH(B17,入力!$A$37:$A$78,0)),""))</f>
        <v/>
      </c>
      <c r="Q17" s="63">
        <f>IF(F17="","",IF(COUNTIFS($B$6:B17,B17,$C$6:C17,C17,$E$6:E17,E17)=1,MAX($Q$5:Q16)+1,""))</f>
        <v/>
      </c>
      <c r="R17" s="63">
        <f>IF(G17="","",IF(COUNTIFS(入力!$B$86:$B$95,"&lt;="&amp;(G17+1),入力!$C$86:$C$95,"&gt;="&amp;(G17+1))&gt;0,SUMIFS(入力!$C$86:$C$95,入力!$B$86:$B$95,"&lt;="&amp;(G17+1),入力!$C$86:$C$95,"&gt;="&amp;(G17+1))+1,G17+1))</f>
        <v/>
      </c>
      <c r="S17" s="63">
        <f>IF(R17="","",IF(COUNTIFS(入力!$B$86:$B$95,"&lt;="&amp;(R17),入力!$C$86:$C$95,"&gt;="&amp;(R17))&gt;0,SUMIFS(入力!$C$86:$C$95,入力!$B$86:$B$95,"&lt;="&amp;(R17),入力!$C$86:$C$95,"&gt;="&amp;(R17))+1,R17))</f>
        <v/>
      </c>
      <c r="T17" s="63" t="n"/>
      <c r="U17" s="63">
        <f>IF(OR(X16="",X16&gt;入力!$J$4+3650),"",X16)</f>
        <v/>
      </c>
      <c r="V17" s="63">
        <f>IF(U17="","",MIN(EOMONTH(U17,0),IF(AND(入力!$B$13&lt;&gt;"",入力!$B$13&gt;U17),入力!$B$13-1,999999),IF(AND(入力!$B$14&lt;&gt;"",入力!$B$14&gt;U17),入力!$B$14-1,999999),IF(AND(入力!$B$15&lt;&gt;"",入力!$B$15&gt;U17),入力!$B$15-1,999999),IF(AND(入力!$B$16&lt;&gt;"",入力!$B$16&gt;U17),入力!$B$16-1,999999),IF(AND(入力!$B$17&lt;&gt;"",入力!$B$17&gt;U17),入力!$B$17-1,999999),IF(AND(入力!$B$18&lt;&gt;"",入力!$B$18&gt;U17),入力!$B$18-1,999999),IF(AND(入力!$B$19&lt;&gt;"",入力!$B$19&gt;U17),入力!$B$19-1,999999),IF(AND(入力!$B$20&lt;&gt;"",入力!$B$20&gt;U17),入力!$B$20-1,999999),IFERROR(SMALL(入力!$B$86:$B$95,COUNTIF(入力!$B$86:$B$95,"&lt;="&amp;U17)+1)-1,999999)))</f>
        <v/>
      </c>
      <c r="W17" s="63">
        <f>IF(V17="","",IF(COUNTIFS(入力!$B$86:$B$95,"&lt;="&amp;(V17+1),入力!$C$86:$C$95,"&gt;="&amp;(V17+1))&gt;0,SUMIFS(入力!$C$86:$C$95,入力!$B$86:$B$95,"&lt;="&amp;(V17+1),入力!$C$86:$C$95,"&gt;="&amp;(V17+1))+1,V17+1))</f>
        <v/>
      </c>
      <c r="X17" s="63">
        <f>IF(W17="","",IF(COUNTIFS(入力!$B$86:$B$95,"&lt;="&amp;(W17),入力!$C$86:$C$95,"&gt;="&amp;(W17))&gt;0,SUMIFS(入力!$C$86:$C$95,入力!$B$86:$B$95,"&lt;="&amp;(W17),入力!$C$86:$C$95,"&gt;="&amp;(W17))+1,W17))</f>
        <v/>
      </c>
      <c r="Y17" s="63">
        <f>IF(U17="","",IFERROR(VLOOKUP(DATE(YEAR(U17),MONTH(U17),1),カレンダーマスタ!$A$2:$B$301,2,0),NETWORKDAYS(DATE(YEAR(U17),MONTH(U17),1),EOMONTH(U17,0))))</f>
        <v/>
      </c>
      <c r="Z17" s="63">
        <f>IF(U17="","",IF(入力!$C$8&lt;&gt;"",入力!$C$8,IFERROR(INDEX(入力!$G$37:$G$78,MATCH(DATE(YEAR(U17),MONTH(U17),1),入力!$A$37:$A$78,0)),0)))</f>
        <v/>
      </c>
      <c r="AA17" s="63">
        <f>IF(U17="","",ROUNDDOWN(INDEX(入力!$H$13:$H$20,MATCH(U17,入力!$B$13:$B$20,1))/Y17+INDEX(入力!$I$13:$I$20,MATCH(U17,入力!$B$13:$B$20,1))/22,0))</f>
        <v/>
      </c>
      <c r="AB17" s="63">
        <f>IF(U17="",0,IF(AND(Z17&gt;AA17,NETWORKDAYS(U17,V17)&gt;0),1,0))</f>
        <v/>
      </c>
      <c r="AC17" s="63" t="n"/>
      <c r="AD17" s="63" t="n"/>
    </row>
    <row r="18">
      <c r="A18" s="91">
        <f>IF(F18="","",13)</f>
        <v/>
      </c>
      <c r="B18" s="92">
        <f>IF(F18="","",DATE(YEAR(F18),MONTH(F18),1))</f>
        <v/>
      </c>
      <c r="C18" s="91">
        <f>IF(F18="","",MONTH(F18))</f>
        <v/>
      </c>
      <c r="D18" s="91">
        <f>IF(F18="","",INDEX(入力!$A$13:$A$20,MATCH(F18,入力!$B$13:$B$20,1)))</f>
        <v/>
      </c>
      <c r="E18" s="91">
        <f>IF(F18="","",IF(G18&lt;=入力!$J$6,"法定","附加"))</f>
        <v/>
      </c>
      <c r="F18" s="93">
        <f>IF(G17="","",IF(G17&gt;=入力!$J$9,"",IF(S17&gt;入力!$J$9,"",S17)))</f>
        <v/>
      </c>
      <c r="G18" s="93">
        <f>IF(F18="","",MIN(EOMONTH(F18,0),入力!$J$9,IF(AND(入力!$B$13&lt;&gt;"",入力!$B$13&gt;F18),入力!$B$13-1,999999),IF(AND(入力!$B$14&lt;&gt;"",入力!$B$14&gt;F18),入力!$B$14-1,999999),IF(AND(入力!$B$15&lt;&gt;"",入力!$B$15&gt;F18),入力!$B$15-1,999999),IF(AND(入力!$B$16&lt;&gt;"",入力!$B$16&gt;F18),入力!$B$16-1,999999),IF(AND(入力!$B$17&lt;&gt;"",入力!$B$17&gt;F18),入力!$B$17-1,999999),IF(AND(入力!$B$18&lt;&gt;"",入力!$B$18&gt;F18),入力!$B$18-1,999999),IF(AND(入力!$B$19&lt;&gt;"",入力!$B$19&gt;F18),入力!$B$19-1,999999),IF(AND(入力!$B$20&lt;&gt;"",入力!$B$20&gt;F18),入力!$B$20-1,999999),IF(AND(入力!$J$7&lt;&gt;"",入力!$J$7&gt;F18),入力!$J$7-1,999999),IFERROR(SMALL(入力!$B$86:$B$95,COUNTIF(入力!$B$86:$B$95,"&lt;="&amp;F18)+1)-1,999999)))</f>
        <v/>
      </c>
      <c r="H18" s="95">
        <f>IF(F18="","",IFERROR(VLOOKUP(B18,カレンダーマスタ!$A$2:$B$301,2,0),NETWORKDAYS(B18,EOMONTH(F18,0))))</f>
        <v/>
      </c>
      <c r="I18" s="94">
        <f>IF(F18="","",NETWORKDAYS(F18,G18))</f>
        <v/>
      </c>
      <c r="J18" s="95">
        <f>IF(F18="","",IF(入力!$C$8&lt;&gt;"",入力!$C$8,IF(F18&lt;入力!$J$5,IFERROR(INDEX(入力!$G$37:$G$78,MATCH(B18,入力!$A$37:$A$78,0)),入力!$J$10),入力!$J$10)))</f>
        <v/>
      </c>
      <c r="K18" s="95">
        <f>IF(F18="","",ROUNDDOWN(INDEX(入力!$H$13:$H$20,MATCH(F18,入力!$B$13:$B$20,1))/H18+INDEX(入力!$I$13:$I$20,MATCH(F18,入力!$B$13:$B$20,1))/22,0))</f>
        <v/>
      </c>
      <c r="L18" s="106">
        <f>IF(F18="","",IF(J18&gt;K18,"〇","×"))</f>
        <v/>
      </c>
      <c r="M18" s="95">
        <f>IF(F18="","",J18*I18)</f>
        <v/>
      </c>
      <c r="N18" s="95">
        <f>IF(F18="","",MIN(J18,K18)*I18)</f>
        <v/>
      </c>
      <c r="O18" s="96">
        <f>IF(F18="","",M18-N18)</f>
        <v/>
      </c>
      <c r="P18" s="107">
        <f>IF(F18="","",IFERROR(INDEX(入力!$G$37:$G$78,MATCH(B18,入力!$A$37:$A$78,0)),""))</f>
        <v/>
      </c>
      <c r="Q18" s="63">
        <f>IF(F18="","",IF(COUNTIFS($B$6:B18,B18,$C$6:C18,C18,$E$6:E18,E18)=1,MAX($Q$5:Q17)+1,""))</f>
        <v/>
      </c>
      <c r="R18" s="63">
        <f>IF(G18="","",IF(COUNTIFS(入力!$B$86:$B$95,"&lt;="&amp;(G18+1),入力!$C$86:$C$95,"&gt;="&amp;(G18+1))&gt;0,SUMIFS(入力!$C$86:$C$95,入力!$B$86:$B$95,"&lt;="&amp;(G18+1),入力!$C$86:$C$95,"&gt;="&amp;(G18+1))+1,G18+1))</f>
        <v/>
      </c>
      <c r="S18" s="63">
        <f>IF(R18="","",IF(COUNTIFS(入力!$B$86:$B$95,"&lt;="&amp;(R18),入力!$C$86:$C$95,"&gt;="&amp;(R18))&gt;0,SUMIFS(入力!$C$86:$C$95,入力!$B$86:$B$95,"&lt;="&amp;(R18),入力!$C$86:$C$95,"&gt;="&amp;(R18))+1,R18))</f>
        <v/>
      </c>
      <c r="T18" s="63" t="n"/>
      <c r="U18" s="63">
        <f>IF(OR(X17="",X17&gt;入力!$J$4+3650),"",X17)</f>
        <v/>
      </c>
      <c r="V18" s="63">
        <f>IF(U18="","",MIN(EOMONTH(U18,0),IF(AND(入力!$B$13&lt;&gt;"",入力!$B$13&gt;U18),入力!$B$13-1,999999),IF(AND(入力!$B$14&lt;&gt;"",入力!$B$14&gt;U18),入力!$B$14-1,999999),IF(AND(入力!$B$15&lt;&gt;"",入力!$B$15&gt;U18),入力!$B$15-1,999999),IF(AND(入力!$B$16&lt;&gt;"",入力!$B$16&gt;U18),入力!$B$16-1,999999),IF(AND(入力!$B$17&lt;&gt;"",入力!$B$17&gt;U18),入力!$B$17-1,999999),IF(AND(入力!$B$18&lt;&gt;"",入力!$B$18&gt;U18),入力!$B$18-1,999999),IF(AND(入力!$B$19&lt;&gt;"",入力!$B$19&gt;U18),入力!$B$19-1,999999),IF(AND(入力!$B$20&lt;&gt;"",入力!$B$20&gt;U18),入力!$B$20-1,999999),IFERROR(SMALL(入力!$B$86:$B$95,COUNTIF(入力!$B$86:$B$95,"&lt;="&amp;U18)+1)-1,999999)))</f>
        <v/>
      </c>
      <c r="W18" s="63">
        <f>IF(V18="","",IF(COUNTIFS(入力!$B$86:$B$95,"&lt;="&amp;(V18+1),入力!$C$86:$C$95,"&gt;="&amp;(V18+1))&gt;0,SUMIFS(入力!$C$86:$C$95,入力!$B$86:$B$95,"&lt;="&amp;(V18+1),入力!$C$86:$C$95,"&gt;="&amp;(V18+1))+1,V18+1))</f>
        <v/>
      </c>
      <c r="X18" s="63">
        <f>IF(W18="","",IF(COUNTIFS(入力!$B$86:$B$95,"&lt;="&amp;(W18),入力!$C$86:$C$95,"&gt;="&amp;(W18))&gt;0,SUMIFS(入力!$C$86:$C$95,入力!$B$86:$B$95,"&lt;="&amp;(W18),入力!$C$86:$C$95,"&gt;="&amp;(W18))+1,W18))</f>
        <v/>
      </c>
      <c r="Y18" s="63">
        <f>IF(U18="","",IFERROR(VLOOKUP(DATE(YEAR(U18),MONTH(U18),1),カレンダーマスタ!$A$2:$B$301,2,0),NETWORKDAYS(DATE(YEAR(U18),MONTH(U18),1),EOMONTH(U18,0))))</f>
        <v/>
      </c>
      <c r="Z18" s="63">
        <f>IF(U18="","",IF(入力!$C$8&lt;&gt;"",入力!$C$8,IFERROR(INDEX(入力!$G$37:$G$78,MATCH(DATE(YEAR(U18),MONTH(U18),1),入力!$A$37:$A$78,0)),0)))</f>
        <v/>
      </c>
      <c r="AA18" s="63">
        <f>IF(U18="","",ROUNDDOWN(INDEX(入力!$H$13:$H$20,MATCH(U18,入力!$B$13:$B$20,1))/Y18+INDEX(入力!$I$13:$I$20,MATCH(U18,入力!$B$13:$B$20,1))/22,0))</f>
        <v/>
      </c>
      <c r="AB18" s="63">
        <f>IF(U18="",0,IF(AND(Z18&gt;AA18,NETWORKDAYS(U18,V18)&gt;0),1,0))</f>
        <v/>
      </c>
      <c r="AC18" s="63" t="n"/>
      <c r="AD18" s="63" t="n"/>
    </row>
    <row r="19">
      <c r="A19" s="91">
        <f>IF(F19="","",14)</f>
        <v/>
      </c>
      <c r="B19" s="92">
        <f>IF(F19="","",DATE(YEAR(F19),MONTH(F19),1))</f>
        <v/>
      </c>
      <c r="C19" s="91">
        <f>IF(F19="","",MONTH(F19))</f>
        <v/>
      </c>
      <c r="D19" s="91">
        <f>IF(F19="","",INDEX(入力!$A$13:$A$20,MATCH(F19,入力!$B$13:$B$20,1)))</f>
        <v/>
      </c>
      <c r="E19" s="91">
        <f>IF(F19="","",IF(G19&lt;=入力!$J$6,"法定","附加"))</f>
        <v/>
      </c>
      <c r="F19" s="93">
        <f>IF(G18="","",IF(G18&gt;=入力!$J$9,"",IF(S18&gt;入力!$J$9,"",S18)))</f>
        <v/>
      </c>
      <c r="G19" s="93">
        <f>IF(F19="","",MIN(EOMONTH(F19,0),入力!$J$9,IF(AND(入力!$B$13&lt;&gt;"",入力!$B$13&gt;F19),入力!$B$13-1,999999),IF(AND(入力!$B$14&lt;&gt;"",入力!$B$14&gt;F19),入力!$B$14-1,999999),IF(AND(入力!$B$15&lt;&gt;"",入力!$B$15&gt;F19),入力!$B$15-1,999999),IF(AND(入力!$B$16&lt;&gt;"",入力!$B$16&gt;F19),入力!$B$16-1,999999),IF(AND(入力!$B$17&lt;&gt;"",入力!$B$17&gt;F19),入力!$B$17-1,999999),IF(AND(入力!$B$18&lt;&gt;"",入力!$B$18&gt;F19),入力!$B$18-1,999999),IF(AND(入力!$B$19&lt;&gt;"",入力!$B$19&gt;F19),入力!$B$19-1,999999),IF(AND(入力!$B$20&lt;&gt;"",入力!$B$20&gt;F19),入力!$B$20-1,999999),IF(AND(入力!$J$7&lt;&gt;"",入力!$J$7&gt;F19),入力!$J$7-1,999999),IFERROR(SMALL(入力!$B$86:$B$95,COUNTIF(入力!$B$86:$B$95,"&lt;="&amp;F19)+1)-1,999999)))</f>
        <v/>
      </c>
      <c r="H19" s="95">
        <f>IF(F19="","",IFERROR(VLOOKUP(B19,カレンダーマスタ!$A$2:$B$301,2,0),NETWORKDAYS(B19,EOMONTH(F19,0))))</f>
        <v/>
      </c>
      <c r="I19" s="94">
        <f>IF(F19="","",NETWORKDAYS(F19,G19))</f>
        <v/>
      </c>
      <c r="J19" s="95">
        <f>IF(F19="","",IF(入力!$C$8&lt;&gt;"",入力!$C$8,IF(F19&lt;入力!$J$5,IFERROR(INDEX(入力!$G$37:$G$78,MATCH(B19,入力!$A$37:$A$78,0)),入力!$J$10),入力!$J$10)))</f>
        <v/>
      </c>
      <c r="K19" s="95">
        <f>IF(F19="","",ROUNDDOWN(INDEX(入力!$H$13:$H$20,MATCH(F19,入力!$B$13:$B$20,1))/H19+INDEX(入力!$I$13:$I$20,MATCH(F19,入力!$B$13:$B$20,1))/22,0))</f>
        <v/>
      </c>
      <c r="L19" s="106">
        <f>IF(F19="","",IF(J19&gt;K19,"〇","×"))</f>
        <v/>
      </c>
      <c r="M19" s="95">
        <f>IF(F19="","",J19*I19)</f>
        <v/>
      </c>
      <c r="N19" s="95">
        <f>IF(F19="","",MIN(J19,K19)*I19)</f>
        <v/>
      </c>
      <c r="O19" s="96">
        <f>IF(F19="","",M19-N19)</f>
        <v/>
      </c>
      <c r="P19" s="107">
        <f>IF(F19="","",IFERROR(INDEX(入力!$G$37:$G$78,MATCH(B19,入力!$A$37:$A$78,0)),""))</f>
        <v/>
      </c>
      <c r="Q19" s="63">
        <f>IF(F19="","",IF(COUNTIFS($B$6:B19,B19,$C$6:C19,C19,$E$6:E19,E19)=1,MAX($Q$5:Q18)+1,""))</f>
        <v/>
      </c>
      <c r="R19" s="63">
        <f>IF(G19="","",IF(COUNTIFS(入力!$B$86:$B$95,"&lt;="&amp;(G19+1),入力!$C$86:$C$95,"&gt;="&amp;(G19+1))&gt;0,SUMIFS(入力!$C$86:$C$95,入力!$B$86:$B$95,"&lt;="&amp;(G19+1),入力!$C$86:$C$95,"&gt;="&amp;(G19+1))+1,G19+1))</f>
        <v/>
      </c>
      <c r="S19" s="63">
        <f>IF(R19="","",IF(COUNTIFS(入力!$B$86:$B$95,"&lt;="&amp;(R19),入力!$C$86:$C$95,"&gt;="&amp;(R19))&gt;0,SUMIFS(入力!$C$86:$C$95,入力!$B$86:$B$95,"&lt;="&amp;(R19),入力!$C$86:$C$95,"&gt;="&amp;(R19))+1,R19))</f>
        <v/>
      </c>
      <c r="T19" s="63" t="n"/>
      <c r="U19" s="63">
        <f>IF(OR(X18="",X18&gt;入力!$J$4+3650),"",X18)</f>
        <v/>
      </c>
      <c r="V19" s="63">
        <f>IF(U19="","",MIN(EOMONTH(U19,0),IF(AND(入力!$B$13&lt;&gt;"",入力!$B$13&gt;U19),入力!$B$13-1,999999),IF(AND(入力!$B$14&lt;&gt;"",入力!$B$14&gt;U19),入力!$B$14-1,999999),IF(AND(入力!$B$15&lt;&gt;"",入力!$B$15&gt;U19),入力!$B$15-1,999999),IF(AND(入力!$B$16&lt;&gt;"",入力!$B$16&gt;U19),入力!$B$16-1,999999),IF(AND(入力!$B$17&lt;&gt;"",入力!$B$17&gt;U19),入力!$B$17-1,999999),IF(AND(入力!$B$18&lt;&gt;"",入力!$B$18&gt;U19),入力!$B$18-1,999999),IF(AND(入力!$B$19&lt;&gt;"",入力!$B$19&gt;U19),入力!$B$19-1,999999),IF(AND(入力!$B$20&lt;&gt;"",入力!$B$20&gt;U19),入力!$B$20-1,999999),IFERROR(SMALL(入力!$B$86:$B$95,COUNTIF(入力!$B$86:$B$95,"&lt;="&amp;U19)+1)-1,999999)))</f>
        <v/>
      </c>
      <c r="W19" s="63">
        <f>IF(V19="","",IF(COUNTIFS(入力!$B$86:$B$95,"&lt;="&amp;(V19+1),入力!$C$86:$C$95,"&gt;="&amp;(V19+1))&gt;0,SUMIFS(入力!$C$86:$C$95,入力!$B$86:$B$95,"&lt;="&amp;(V19+1),入力!$C$86:$C$95,"&gt;="&amp;(V19+1))+1,V19+1))</f>
        <v/>
      </c>
      <c r="X19" s="63">
        <f>IF(W19="","",IF(COUNTIFS(入力!$B$86:$B$95,"&lt;="&amp;(W19),入力!$C$86:$C$95,"&gt;="&amp;(W19))&gt;0,SUMIFS(入力!$C$86:$C$95,入力!$B$86:$B$95,"&lt;="&amp;(W19),入力!$C$86:$C$95,"&gt;="&amp;(W19))+1,W19))</f>
        <v/>
      </c>
      <c r="Y19" s="63">
        <f>IF(U19="","",IFERROR(VLOOKUP(DATE(YEAR(U19),MONTH(U19),1),カレンダーマスタ!$A$2:$B$301,2,0),NETWORKDAYS(DATE(YEAR(U19),MONTH(U19),1),EOMONTH(U19,0))))</f>
        <v/>
      </c>
      <c r="Z19" s="63">
        <f>IF(U19="","",IF(入力!$C$8&lt;&gt;"",入力!$C$8,IFERROR(INDEX(入力!$G$37:$G$78,MATCH(DATE(YEAR(U19),MONTH(U19),1),入力!$A$37:$A$78,0)),0)))</f>
        <v/>
      </c>
      <c r="AA19" s="63">
        <f>IF(U19="","",ROUNDDOWN(INDEX(入力!$H$13:$H$20,MATCH(U19,入力!$B$13:$B$20,1))/Y19+INDEX(入力!$I$13:$I$20,MATCH(U19,入力!$B$13:$B$20,1))/22,0))</f>
        <v/>
      </c>
      <c r="AB19" s="63">
        <f>IF(U19="",0,IF(AND(Z19&gt;AA19,NETWORKDAYS(U19,V19)&gt;0),1,0))</f>
        <v/>
      </c>
      <c r="AC19" s="63" t="n"/>
      <c r="AD19" s="63" t="n"/>
    </row>
    <row r="20">
      <c r="A20" s="91">
        <f>IF(F20="","",15)</f>
        <v/>
      </c>
      <c r="B20" s="92">
        <f>IF(F20="","",DATE(YEAR(F20),MONTH(F20),1))</f>
        <v/>
      </c>
      <c r="C20" s="91">
        <f>IF(F20="","",MONTH(F20))</f>
        <v/>
      </c>
      <c r="D20" s="91">
        <f>IF(F20="","",INDEX(入力!$A$13:$A$20,MATCH(F20,入力!$B$13:$B$20,1)))</f>
        <v/>
      </c>
      <c r="E20" s="91">
        <f>IF(F20="","",IF(G20&lt;=入力!$J$6,"法定","附加"))</f>
        <v/>
      </c>
      <c r="F20" s="93">
        <f>IF(G19="","",IF(G19&gt;=入力!$J$9,"",IF(S19&gt;入力!$J$9,"",S19)))</f>
        <v/>
      </c>
      <c r="G20" s="93">
        <f>IF(F20="","",MIN(EOMONTH(F20,0),入力!$J$9,IF(AND(入力!$B$13&lt;&gt;"",入力!$B$13&gt;F20),入力!$B$13-1,999999),IF(AND(入力!$B$14&lt;&gt;"",入力!$B$14&gt;F20),入力!$B$14-1,999999),IF(AND(入力!$B$15&lt;&gt;"",入力!$B$15&gt;F20),入力!$B$15-1,999999),IF(AND(入力!$B$16&lt;&gt;"",入力!$B$16&gt;F20),入力!$B$16-1,999999),IF(AND(入力!$B$17&lt;&gt;"",入力!$B$17&gt;F20),入力!$B$17-1,999999),IF(AND(入力!$B$18&lt;&gt;"",入力!$B$18&gt;F20),入力!$B$18-1,999999),IF(AND(入力!$B$19&lt;&gt;"",入力!$B$19&gt;F20),入力!$B$19-1,999999),IF(AND(入力!$B$20&lt;&gt;"",入力!$B$20&gt;F20),入力!$B$20-1,999999),IF(AND(入力!$J$7&lt;&gt;"",入力!$J$7&gt;F20),入力!$J$7-1,999999),IFERROR(SMALL(入力!$B$86:$B$95,COUNTIF(入力!$B$86:$B$95,"&lt;="&amp;F20)+1)-1,999999)))</f>
        <v/>
      </c>
      <c r="H20" s="95">
        <f>IF(F20="","",IFERROR(VLOOKUP(B20,カレンダーマスタ!$A$2:$B$301,2,0),NETWORKDAYS(B20,EOMONTH(F20,0))))</f>
        <v/>
      </c>
      <c r="I20" s="94">
        <f>IF(F20="","",NETWORKDAYS(F20,G20))</f>
        <v/>
      </c>
      <c r="J20" s="95">
        <f>IF(F20="","",IF(入力!$C$8&lt;&gt;"",入力!$C$8,IF(F20&lt;入力!$J$5,IFERROR(INDEX(入力!$G$37:$G$78,MATCH(B20,入力!$A$37:$A$78,0)),入力!$J$10),入力!$J$10)))</f>
        <v/>
      </c>
      <c r="K20" s="95">
        <f>IF(F20="","",ROUNDDOWN(INDEX(入力!$H$13:$H$20,MATCH(F20,入力!$B$13:$B$20,1))/H20+INDEX(入力!$I$13:$I$20,MATCH(F20,入力!$B$13:$B$20,1))/22,0))</f>
        <v/>
      </c>
      <c r="L20" s="106">
        <f>IF(F20="","",IF(J20&gt;K20,"〇","×"))</f>
        <v/>
      </c>
      <c r="M20" s="95">
        <f>IF(F20="","",J20*I20)</f>
        <v/>
      </c>
      <c r="N20" s="95">
        <f>IF(F20="","",MIN(J20,K20)*I20)</f>
        <v/>
      </c>
      <c r="O20" s="96">
        <f>IF(F20="","",M20-N20)</f>
        <v/>
      </c>
      <c r="P20" s="107">
        <f>IF(F20="","",IFERROR(INDEX(入力!$G$37:$G$78,MATCH(B20,入力!$A$37:$A$78,0)),""))</f>
        <v/>
      </c>
      <c r="Q20" s="63">
        <f>IF(F20="","",IF(COUNTIFS($B$6:B20,B20,$C$6:C20,C20,$E$6:E20,E20)=1,MAX($Q$5:Q19)+1,""))</f>
        <v/>
      </c>
      <c r="R20" s="63">
        <f>IF(G20="","",IF(COUNTIFS(入力!$B$86:$B$95,"&lt;="&amp;(G20+1),入力!$C$86:$C$95,"&gt;="&amp;(G20+1))&gt;0,SUMIFS(入力!$C$86:$C$95,入力!$B$86:$B$95,"&lt;="&amp;(G20+1),入力!$C$86:$C$95,"&gt;="&amp;(G20+1))+1,G20+1))</f>
        <v/>
      </c>
      <c r="S20" s="63">
        <f>IF(R20="","",IF(COUNTIFS(入力!$B$86:$B$95,"&lt;="&amp;(R20),入力!$C$86:$C$95,"&gt;="&amp;(R20))&gt;0,SUMIFS(入力!$C$86:$C$95,入力!$B$86:$B$95,"&lt;="&amp;(R20),入力!$C$86:$C$95,"&gt;="&amp;(R20))+1,R20))</f>
        <v/>
      </c>
      <c r="T20" s="63" t="n"/>
      <c r="U20" s="63">
        <f>IF(OR(X19="",X19&gt;入力!$J$4+3650),"",X19)</f>
        <v/>
      </c>
      <c r="V20" s="63">
        <f>IF(U20="","",MIN(EOMONTH(U20,0),IF(AND(入力!$B$13&lt;&gt;"",入力!$B$13&gt;U20),入力!$B$13-1,999999),IF(AND(入力!$B$14&lt;&gt;"",入力!$B$14&gt;U20),入力!$B$14-1,999999),IF(AND(入力!$B$15&lt;&gt;"",入力!$B$15&gt;U20),入力!$B$15-1,999999),IF(AND(入力!$B$16&lt;&gt;"",入力!$B$16&gt;U20),入力!$B$16-1,999999),IF(AND(入力!$B$17&lt;&gt;"",入力!$B$17&gt;U20),入力!$B$17-1,999999),IF(AND(入力!$B$18&lt;&gt;"",入力!$B$18&gt;U20),入力!$B$18-1,999999),IF(AND(入力!$B$19&lt;&gt;"",入力!$B$19&gt;U20),入力!$B$19-1,999999),IF(AND(入力!$B$20&lt;&gt;"",入力!$B$20&gt;U20),入力!$B$20-1,999999),IFERROR(SMALL(入力!$B$86:$B$95,COUNTIF(入力!$B$86:$B$95,"&lt;="&amp;U20)+1)-1,999999)))</f>
        <v/>
      </c>
      <c r="W20" s="63">
        <f>IF(V20="","",IF(COUNTIFS(入力!$B$86:$B$95,"&lt;="&amp;(V20+1),入力!$C$86:$C$95,"&gt;="&amp;(V20+1))&gt;0,SUMIFS(入力!$C$86:$C$95,入力!$B$86:$B$95,"&lt;="&amp;(V20+1),入力!$C$86:$C$95,"&gt;="&amp;(V20+1))+1,V20+1))</f>
        <v/>
      </c>
      <c r="X20" s="63">
        <f>IF(W20="","",IF(COUNTIFS(入力!$B$86:$B$95,"&lt;="&amp;(W20),入力!$C$86:$C$95,"&gt;="&amp;(W20))&gt;0,SUMIFS(入力!$C$86:$C$95,入力!$B$86:$B$95,"&lt;="&amp;(W20),入力!$C$86:$C$95,"&gt;="&amp;(W20))+1,W20))</f>
        <v/>
      </c>
      <c r="Y20" s="63">
        <f>IF(U20="","",IFERROR(VLOOKUP(DATE(YEAR(U20),MONTH(U20),1),カレンダーマスタ!$A$2:$B$301,2,0),NETWORKDAYS(DATE(YEAR(U20),MONTH(U20),1),EOMONTH(U20,0))))</f>
        <v/>
      </c>
      <c r="Z20" s="63">
        <f>IF(U20="","",IF(入力!$C$8&lt;&gt;"",入力!$C$8,IFERROR(INDEX(入力!$G$37:$G$78,MATCH(DATE(YEAR(U20),MONTH(U20),1),入力!$A$37:$A$78,0)),0)))</f>
        <v/>
      </c>
      <c r="AA20" s="63">
        <f>IF(U20="","",ROUNDDOWN(INDEX(入力!$H$13:$H$20,MATCH(U20,入力!$B$13:$B$20,1))/Y20+INDEX(入力!$I$13:$I$20,MATCH(U20,入力!$B$13:$B$20,1))/22,0))</f>
        <v/>
      </c>
      <c r="AB20" s="63">
        <f>IF(U20="",0,IF(AND(Z20&gt;AA20,NETWORKDAYS(U20,V20)&gt;0),1,0))</f>
        <v/>
      </c>
      <c r="AC20" s="63" t="n"/>
      <c r="AD20" s="63" t="n"/>
    </row>
    <row r="21">
      <c r="A21" s="91">
        <f>IF(F21="","",16)</f>
        <v/>
      </c>
      <c r="B21" s="92">
        <f>IF(F21="","",DATE(YEAR(F21),MONTH(F21),1))</f>
        <v/>
      </c>
      <c r="C21" s="91">
        <f>IF(F21="","",MONTH(F21))</f>
        <v/>
      </c>
      <c r="D21" s="91">
        <f>IF(F21="","",INDEX(入力!$A$13:$A$20,MATCH(F21,入力!$B$13:$B$20,1)))</f>
        <v/>
      </c>
      <c r="E21" s="91">
        <f>IF(F21="","",IF(G21&lt;=入力!$J$6,"法定","附加"))</f>
        <v/>
      </c>
      <c r="F21" s="93">
        <f>IF(G20="","",IF(G20&gt;=入力!$J$9,"",IF(S20&gt;入力!$J$9,"",S20)))</f>
        <v/>
      </c>
      <c r="G21" s="93">
        <f>IF(F21="","",MIN(EOMONTH(F21,0),入力!$J$9,IF(AND(入力!$B$13&lt;&gt;"",入力!$B$13&gt;F21),入力!$B$13-1,999999),IF(AND(入力!$B$14&lt;&gt;"",入力!$B$14&gt;F21),入力!$B$14-1,999999),IF(AND(入力!$B$15&lt;&gt;"",入力!$B$15&gt;F21),入力!$B$15-1,999999),IF(AND(入力!$B$16&lt;&gt;"",入力!$B$16&gt;F21),入力!$B$16-1,999999),IF(AND(入力!$B$17&lt;&gt;"",入力!$B$17&gt;F21),入力!$B$17-1,999999),IF(AND(入力!$B$18&lt;&gt;"",入力!$B$18&gt;F21),入力!$B$18-1,999999),IF(AND(入力!$B$19&lt;&gt;"",入力!$B$19&gt;F21),入力!$B$19-1,999999),IF(AND(入力!$B$20&lt;&gt;"",入力!$B$20&gt;F21),入力!$B$20-1,999999),IF(AND(入力!$J$7&lt;&gt;"",入力!$J$7&gt;F21),入力!$J$7-1,999999),IFERROR(SMALL(入力!$B$86:$B$95,COUNTIF(入力!$B$86:$B$95,"&lt;="&amp;F21)+1)-1,999999)))</f>
        <v/>
      </c>
      <c r="H21" s="95">
        <f>IF(F21="","",IFERROR(VLOOKUP(B21,カレンダーマスタ!$A$2:$B$301,2,0),NETWORKDAYS(B21,EOMONTH(F21,0))))</f>
        <v/>
      </c>
      <c r="I21" s="94">
        <f>IF(F21="","",NETWORKDAYS(F21,G21))</f>
        <v/>
      </c>
      <c r="J21" s="95">
        <f>IF(F21="","",IF(入力!$C$8&lt;&gt;"",入力!$C$8,IF(F21&lt;入力!$J$5,IFERROR(INDEX(入力!$G$37:$G$78,MATCH(B21,入力!$A$37:$A$78,0)),入力!$J$10),入力!$J$10)))</f>
        <v/>
      </c>
      <c r="K21" s="95">
        <f>IF(F21="","",ROUNDDOWN(INDEX(入力!$H$13:$H$20,MATCH(F21,入力!$B$13:$B$20,1))/H21+INDEX(入力!$I$13:$I$20,MATCH(F21,入力!$B$13:$B$20,1))/22,0))</f>
        <v/>
      </c>
      <c r="L21" s="106">
        <f>IF(F21="","",IF(J21&gt;K21,"〇","×"))</f>
        <v/>
      </c>
      <c r="M21" s="95">
        <f>IF(F21="","",J21*I21)</f>
        <v/>
      </c>
      <c r="N21" s="95">
        <f>IF(F21="","",MIN(J21,K21)*I21)</f>
        <v/>
      </c>
      <c r="O21" s="96">
        <f>IF(F21="","",M21-N21)</f>
        <v/>
      </c>
      <c r="P21" s="107">
        <f>IF(F21="","",IFERROR(INDEX(入力!$G$37:$G$78,MATCH(B21,入力!$A$37:$A$78,0)),""))</f>
        <v/>
      </c>
      <c r="Q21" s="63">
        <f>IF(F21="","",IF(COUNTIFS($B$6:B21,B21,$C$6:C21,C21,$E$6:E21,E21)=1,MAX($Q$5:Q20)+1,""))</f>
        <v/>
      </c>
      <c r="R21" s="63">
        <f>IF(G21="","",IF(COUNTIFS(入力!$B$86:$B$95,"&lt;="&amp;(G21+1),入力!$C$86:$C$95,"&gt;="&amp;(G21+1))&gt;0,SUMIFS(入力!$C$86:$C$95,入力!$B$86:$B$95,"&lt;="&amp;(G21+1),入力!$C$86:$C$95,"&gt;="&amp;(G21+1))+1,G21+1))</f>
        <v/>
      </c>
      <c r="S21" s="63">
        <f>IF(R21="","",IF(COUNTIFS(入力!$B$86:$B$95,"&lt;="&amp;(R21),入力!$C$86:$C$95,"&gt;="&amp;(R21))&gt;0,SUMIFS(入力!$C$86:$C$95,入力!$B$86:$B$95,"&lt;="&amp;(R21),入力!$C$86:$C$95,"&gt;="&amp;(R21))+1,R21))</f>
        <v/>
      </c>
      <c r="T21" s="63" t="n"/>
      <c r="U21" s="63">
        <f>IF(OR(X20="",X20&gt;入力!$J$4+3650),"",X20)</f>
        <v/>
      </c>
      <c r="V21" s="63">
        <f>IF(U21="","",MIN(EOMONTH(U21,0),IF(AND(入力!$B$13&lt;&gt;"",入力!$B$13&gt;U21),入力!$B$13-1,999999),IF(AND(入力!$B$14&lt;&gt;"",入力!$B$14&gt;U21),入力!$B$14-1,999999),IF(AND(入力!$B$15&lt;&gt;"",入力!$B$15&gt;U21),入力!$B$15-1,999999),IF(AND(入力!$B$16&lt;&gt;"",入力!$B$16&gt;U21),入力!$B$16-1,999999),IF(AND(入力!$B$17&lt;&gt;"",入力!$B$17&gt;U21),入力!$B$17-1,999999),IF(AND(入力!$B$18&lt;&gt;"",入力!$B$18&gt;U21),入力!$B$18-1,999999),IF(AND(入力!$B$19&lt;&gt;"",入力!$B$19&gt;U21),入力!$B$19-1,999999),IF(AND(入力!$B$20&lt;&gt;"",入力!$B$20&gt;U21),入力!$B$20-1,999999),IFERROR(SMALL(入力!$B$86:$B$95,COUNTIF(入力!$B$86:$B$95,"&lt;="&amp;U21)+1)-1,999999)))</f>
        <v/>
      </c>
      <c r="W21" s="63">
        <f>IF(V21="","",IF(COUNTIFS(入力!$B$86:$B$95,"&lt;="&amp;(V21+1),入力!$C$86:$C$95,"&gt;="&amp;(V21+1))&gt;0,SUMIFS(入力!$C$86:$C$95,入力!$B$86:$B$95,"&lt;="&amp;(V21+1),入力!$C$86:$C$95,"&gt;="&amp;(V21+1))+1,V21+1))</f>
        <v/>
      </c>
      <c r="X21" s="63">
        <f>IF(W21="","",IF(COUNTIFS(入力!$B$86:$B$95,"&lt;="&amp;(W21),入力!$C$86:$C$95,"&gt;="&amp;(W21))&gt;0,SUMIFS(入力!$C$86:$C$95,入力!$B$86:$B$95,"&lt;="&amp;(W21),入力!$C$86:$C$95,"&gt;="&amp;(W21))+1,W21))</f>
        <v/>
      </c>
      <c r="Y21" s="63">
        <f>IF(U21="","",IFERROR(VLOOKUP(DATE(YEAR(U21),MONTH(U21),1),カレンダーマスタ!$A$2:$B$301,2,0),NETWORKDAYS(DATE(YEAR(U21),MONTH(U21),1),EOMONTH(U21,0))))</f>
        <v/>
      </c>
      <c r="Z21" s="63">
        <f>IF(U21="","",IF(入力!$C$8&lt;&gt;"",入力!$C$8,IFERROR(INDEX(入力!$G$37:$G$78,MATCH(DATE(YEAR(U21),MONTH(U21),1),入力!$A$37:$A$78,0)),0)))</f>
        <v/>
      </c>
      <c r="AA21" s="63">
        <f>IF(U21="","",ROUNDDOWN(INDEX(入力!$H$13:$H$20,MATCH(U21,入力!$B$13:$B$20,1))/Y21+INDEX(入力!$I$13:$I$20,MATCH(U21,入力!$B$13:$B$20,1))/22,0))</f>
        <v/>
      </c>
      <c r="AB21" s="63">
        <f>IF(U21="",0,IF(AND(Z21&gt;AA21,NETWORKDAYS(U21,V21)&gt;0),1,0))</f>
        <v/>
      </c>
      <c r="AC21" s="63" t="n"/>
      <c r="AD21" s="63" t="n"/>
    </row>
    <row r="22">
      <c r="A22" s="91">
        <f>IF(F22="","",17)</f>
        <v/>
      </c>
      <c r="B22" s="92">
        <f>IF(F22="","",DATE(YEAR(F22),MONTH(F22),1))</f>
        <v/>
      </c>
      <c r="C22" s="91">
        <f>IF(F22="","",MONTH(F22))</f>
        <v/>
      </c>
      <c r="D22" s="91">
        <f>IF(F22="","",INDEX(入力!$A$13:$A$20,MATCH(F22,入力!$B$13:$B$20,1)))</f>
        <v/>
      </c>
      <c r="E22" s="91">
        <f>IF(F22="","",IF(G22&lt;=入力!$J$6,"法定","附加"))</f>
        <v/>
      </c>
      <c r="F22" s="93">
        <f>IF(G21="","",IF(G21&gt;=入力!$J$9,"",IF(S21&gt;入力!$J$9,"",S21)))</f>
        <v/>
      </c>
      <c r="G22" s="93">
        <f>IF(F22="","",MIN(EOMONTH(F22,0),入力!$J$9,IF(AND(入力!$B$13&lt;&gt;"",入力!$B$13&gt;F22),入力!$B$13-1,999999),IF(AND(入力!$B$14&lt;&gt;"",入力!$B$14&gt;F22),入力!$B$14-1,999999),IF(AND(入力!$B$15&lt;&gt;"",入力!$B$15&gt;F22),入力!$B$15-1,999999),IF(AND(入力!$B$16&lt;&gt;"",入力!$B$16&gt;F22),入力!$B$16-1,999999),IF(AND(入力!$B$17&lt;&gt;"",入力!$B$17&gt;F22),入力!$B$17-1,999999),IF(AND(入力!$B$18&lt;&gt;"",入力!$B$18&gt;F22),入力!$B$18-1,999999),IF(AND(入力!$B$19&lt;&gt;"",入力!$B$19&gt;F22),入力!$B$19-1,999999),IF(AND(入力!$B$20&lt;&gt;"",入力!$B$20&gt;F22),入力!$B$20-1,999999),IF(AND(入力!$J$7&lt;&gt;"",入力!$J$7&gt;F22),入力!$J$7-1,999999),IFERROR(SMALL(入力!$B$86:$B$95,COUNTIF(入力!$B$86:$B$95,"&lt;="&amp;F22)+1)-1,999999)))</f>
        <v/>
      </c>
      <c r="H22" s="95">
        <f>IF(F22="","",IFERROR(VLOOKUP(B22,カレンダーマスタ!$A$2:$B$301,2,0),NETWORKDAYS(B22,EOMONTH(F22,0))))</f>
        <v/>
      </c>
      <c r="I22" s="94">
        <f>IF(F22="","",NETWORKDAYS(F22,G22))</f>
        <v/>
      </c>
      <c r="J22" s="95">
        <f>IF(F22="","",IF(入力!$C$8&lt;&gt;"",入力!$C$8,IF(F22&lt;入力!$J$5,IFERROR(INDEX(入力!$G$37:$G$78,MATCH(B22,入力!$A$37:$A$78,0)),入力!$J$10),入力!$J$10)))</f>
        <v/>
      </c>
      <c r="K22" s="95">
        <f>IF(F22="","",ROUNDDOWN(INDEX(入力!$H$13:$H$20,MATCH(F22,入力!$B$13:$B$20,1))/H22+INDEX(入力!$I$13:$I$20,MATCH(F22,入力!$B$13:$B$20,1))/22,0))</f>
        <v/>
      </c>
      <c r="L22" s="106">
        <f>IF(F22="","",IF(J22&gt;K22,"〇","×"))</f>
        <v/>
      </c>
      <c r="M22" s="95">
        <f>IF(F22="","",J22*I22)</f>
        <v/>
      </c>
      <c r="N22" s="95">
        <f>IF(F22="","",MIN(J22,K22)*I22)</f>
        <v/>
      </c>
      <c r="O22" s="96">
        <f>IF(F22="","",M22-N22)</f>
        <v/>
      </c>
      <c r="P22" s="107">
        <f>IF(F22="","",IFERROR(INDEX(入力!$G$37:$G$78,MATCH(B22,入力!$A$37:$A$78,0)),""))</f>
        <v/>
      </c>
      <c r="Q22" s="63">
        <f>IF(F22="","",IF(COUNTIFS($B$6:B22,B22,$C$6:C22,C22,$E$6:E22,E22)=1,MAX($Q$5:Q21)+1,""))</f>
        <v/>
      </c>
      <c r="R22" s="63">
        <f>IF(G22="","",IF(COUNTIFS(入力!$B$86:$B$95,"&lt;="&amp;(G22+1),入力!$C$86:$C$95,"&gt;="&amp;(G22+1))&gt;0,SUMIFS(入力!$C$86:$C$95,入力!$B$86:$B$95,"&lt;="&amp;(G22+1),入力!$C$86:$C$95,"&gt;="&amp;(G22+1))+1,G22+1))</f>
        <v/>
      </c>
      <c r="S22" s="63">
        <f>IF(R22="","",IF(COUNTIFS(入力!$B$86:$B$95,"&lt;="&amp;(R22),入力!$C$86:$C$95,"&gt;="&amp;(R22))&gt;0,SUMIFS(入力!$C$86:$C$95,入力!$B$86:$B$95,"&lt;="&amp;(R22),入力!$C$86:$C$95,"&gt;="&amp;(R22))+1,R22))</f>
        <v/>
      </c>
      <c r="T22" s="63" t="n"/>
      <c r="U22" s="63">
        <f>IF(OR(X21="",X21&gt;入力!$J$4+3650),"",X21)</f>
        <v/>
      </c>
      <c r="V22" s="63">
        <f>IF(U22="","",MIN(EOMONTH(U22,0),IF(AND(入力!$B$13&lt;&gt;"",入力!$B$13&gt;U22),入力!$B$13-1,999999),IF(AND(入力!$B$14&lt;&gt;"",入力!$B$14&gt;U22),入力!$B$14-1,999999),IF(AND(入力!$B$15&lt;&gt;"",入力!$B$15&gt;U22),入力!$B$15-1,999999),IF(AND(入力!$B$16&lt;&gt;"",入力!$B$16&gt;U22),入力!$B$16-1,999999),IF(AND(入力!$B$17&lt;&gt;"",入力!$B$17&gt;U22),入力!$B$17-1,999999),IF(AND(入力!$B$18&lt;&gt;"",入力!$B$18&gt;U22),入力!$B$18-1,999999),IF(AND(入力!$B$19&lt;&gt;"",入力!$B$19&gt;U22),入力!$B$19-1,999999),IF(AND(入力!$B$20&lt;&gt;"",入力!$B$20&gt;U22),入力!$B$20-1,999999),IFERROR(SMALL(入力!$B$86:$B$95,COUNTIF(入力!$B$86:$B$95,"&lt;="&amp;U22)+1)-1,999999)))</f>
        <v/>
      </c>
      <c r="W22" s="63">
        <f>IF(V22="","",IF(COUNTIFS(入力!$B$86:$B$95,"&lt;="&amp;(V22+1),入力!$C$86:$C$95,"&gt;="&amp;(V22+1))&gt;0,SUMIFS(入力!$C$86:$C$95,入力!$B$86:$B$95,"&lt;="&amp;(V22+1),入力!$C$86:$C$95,"&gt;="&amp;(V22+1))+1,V22+1))</f>
        <v/>
      </c>
      <c r="X22" s="63">
        <f>IF(W22="","",IF(COUNTIFS(入力!$B$86:$B$95,"&lt;="&amp;(W22),入力!$C$86:$C$95,"&gt;="&amp;(W22))&gt;0,SUMIFS(入力!$C$86:$C$95,入力!$B$86:$B$95,"&lt;="&amp;(W22),入力!$C$86:$C$95,"&gt;="&amp;(W22))+1,W22))</f>
        <v/>
      </c>
      <c r="Y22" s="63">
        <f>IF(U22="","",IFERROR(VLOOKUP(DATE(YEAR(U22),MONTH(U22),1),カレンダーマスタ!$A$2:$B$301,2,0),NETWORKDAYS(DATE(YEAR(U22),MONTH(U22),1),EOMONTH(U22,0))))</f>
        <v/>
      </c>
      <c r="Z22" s="63">
        <f>IF(U22="","",IF(入力!$C$8&lt;&gt;"",入力!$C$8,IFERROR(INDEX(入力!$G$37:$G$78,MATCH(DATE(YEAR(U22),MONTH(U22),1),入力!$A$37:$A$78,0)),0)))</f>
        <v/>
      </c>
      <c r="AA22" s="63">
        <f>IF(U22="","",ROUNDDOWN(INDEX(入力!$H$13:$H$20,MATCH(U22,入力!$B$13:$B$20,1))/Y22+INDEX(入力!$I$13:$I$20,MATCH(U22,入力!$B$13:$B$20,1))/22,0))</f>
        <v/>
      </c>
      <c r="AB22" s="63">
        <f>IF(U22="",0,IF(AND(Z22&gt;AA22,NETWORKDAYS(U22,V22)&gt;0),1,0))</f>
        <v/>
      </c>
      <c r="AC22" s="63" t="n"/>
      <c r="AD22" s="63" t="n"/>
    </row>
    <row r="23">
      <c r="A23" s="91">
        <f>IF(F23="","",18)</f>
        <v/>
      </c>
      <c r="B23" s="92">
        <f>IF(F23="","",DATE(YEAR(F23),MONTH(F23),1))</f>
        <v/>
      </c>
      <c r="C23" s="91">
        <f>IF(F23="","",MONTH(F23))</f>
        <v/>
      </c>
      <c r="D23" s="91">
        <f>IF(F23="","",INDEX(入力!$A$13:$A$20,MATCH(F23,入力!$B$13:$B$20,1)))</f>
        <v/>
      </c>
      <c r="E23" s="91">
        <f>IF(F23="","",IF(G23&lt;=入力!$J$6,"法定","附加"))</f>
        <v/>
      </c>
      <c r="F23" s="93">
        <f>IF(G22="","",IF(G22&gt;=入力!$J$9,"",IF(S22&gt;入力!$J$9,"",S22)))</f>
        <v/>
      </c>
      <c r="G23" s="93">
        <f>IF(F23="","",MIN(EOMONTH(F23,0),入力!$J$9,IF(AND(入力!$B$13&lt;&gt;"",入力!$B$13&gt;F23),入力!$B$13-1,999999),IF(AND(入力!$B$14&lt;&gt;"",入力!$B$14&gt;F23),入力!$B$14-1,999999),IF(AND(入力!$B$15&lt;&gt;"",入力!$B$15&gt;F23),入力!$B$15-1,999999),IF(AND(入力!$B$16&lt;&gt;"",入力!$B$16&gt;F23),入力!$B$16-1,999999),IF(AND(入力!$B$17&lt;&gt;"",入力!$B$17&gt;F23),入力!$B$17-1,999999),IF(AND(入力!$B$18&lt;&gt;"",入力!$B$18&gt;F23),入力!$B$18-1,999999),IF(AND(入力!$B$19&lt;&gt;"",入力!$B$19&gt;F23),入力!$B$19-1,999999),IF(AND(入力!$B$20&lt;&gt;"",入力!$B$20&gt;F23),入力!$B$20-1,999999),IF(AND(入力!$J$7&lt;&gt;"",入力!$J$7&gt;F23),入力!$J$7-1,999999),IFERROR(SMALL(入力!$B$86:$B$95,COUNTIF(入力!$B$86:$B$95,"&lt;="&amp;F23)+1)-1,999999)))</f>
        <v/>
      </c>
      <c r="H23" s="95">
        <f>IF(F23="","",IFERROR(VLOOKUP(B23,カレンダーマスタ!$A$2:$B$301,2,0),NETWORKDAYS(B23,EOMONTH(F23,0))))</f>
        <v/>
      </c>
      <c r="I23" s="94">
        <f>IF(F23="","",NETWORKDAYS(F23,G23))</f>
        <v/>
      </c>
      <c r="J23" s="95">
        <f>IF(F23="","",IF(入力!$C$8&lt;&gt;"",入力!$C$8,IF(F23&lt;入力!$J$5,IFERROR(INDEX(入力!$G$37:$G$78,MATCH(B23,入力!$A$37:$A$78,0)),入力!$J$10),入力!$J$10)))</f>
        <v/>
      </c>
      <c r="K23" s="95">
        <f>IF(F23="","",ROUNDDOWN(INDEX(入力!$H$13:$H$20,MATCH(F23,入力!$B$13:$B$20,1))/H23+INDEX(入力!$I$13:$I$20,MATCH(F23,入力!$B$13:$B$20,1))/22,0))</f>
        <v/>
      </c>
      <c r="L23" s="106">
        <f>IF(F23="","",IF(J23&gt;K23,"〇","×"))</f>
        <v/>
      </c>
      <c r="M23" s="95">
        <f>IF(F23="","",J23*I23)</f>
        <v/>
      </c>
      <c r="N23" s="95">
        <f>IF(F23="","",MIN(J23,K23)*I23)</f>
        <v/>
      </c>
      <c r="O23" s="96">
        <f>IF(F23="","",M23-N23)</f>
        <v/>
      </c>
      <c r="P23" s="107">
        <f>IF(F23="","",IFERROR(INDEX(入力!$G$37:$G$78,MATCH(B23,入力!$A$37:$A$78,0)),""))</f>
        <v/>
      </c>
      <c r="Q23" s="63">
        <f>IF(F23="","",IF(COUNTIFS($B$6:B23,B23,$C$6:C23,C23,$E$6:E23,E23)=1,MAX($Q$5:Q22)+1,""))</f>
        <v/>
      </c>
      <c r="R23" s="63">
        <f>IF(G23="","",IF(COUNTIFS(入力!$B$86:$B$95,"&lt;="&amp;(G23+1),入力!$C$86:$C$95,"&gt;="&amp;(G23+1))&gt;0,SUMIFS(入力!$C$86:$C$95,入力!$B$86:$B$95,"&lt;="&amp;(G23+1),入力!$C$86:$C$95,"&gt;="&amp;(G23+1))+1,G23+1))</f>
        <v/>
      </c>
      <c r="S23" s="63">
        <f>IF(R23="","",IF(COUNTIFS(入力!$B$86:$B$95,"&lt;="&amp;(R23),入力!$C$86:$C$95,"&gt;="&amp;(R23))&gt;0,SUMIFS(入力!$C$86:$C$95,入力!$B$86:$B$95,"&lt;="&amp;(R23),入力!$C$86:$C$95,"&gt;="&amp;(R23))+1,R23))</f>
        <v/>
      </c>
      <c r="T23" s="63" t="n"/>
      <c r="U23" s="63">
        <f>IF(OR(X22="",X22&gt;入力!$J$4+3650),"",X22)</f>
        <v/>
      </c>
      <c r="V23" s="63">
        <f>IF(U23="","",MIN(EOMONTH(U23,0),IF(AND(入力!$B$13&lt;&gt;"",入力!$B$13&gt;U23),入力!$B$13-1,999999),IF(AND(入力!$B$14&lt;&gt;"",入力!$B$14&gt;U23),入力!$B$14-1,999999),IF(AND(入力!$B$15&lt;&gt;"",入力!$B$15&gt;U23),入力!$B$15-1,999999),IF(AND(入力!$B$16&lt;&gt;"",入力!$B$16&gt;U23),入力!$B$16-1,999999),IF(AND(入力!$B$17&lt;&gt;"",入力!$B$17&gt;U23),入力!$B$17-1,999999),IF(AND(入力!$B$18&lt;&gt;"",入力!$B$18&gt;U23),入力!$B$18-1,999999),IF(AND(入力!$B$19&lt;&gt;"",入力!$B$19&gt;U23),入力!$B$19-1,999999),IF(AND(入力!$B$20&lt;&gt;"",入力!$B$20&gt;U23),入力!$B$20-1,999999),IFERROR(SMALL(入力!$B$86:$B$95,COUNTIF(入力!$B$86:$B$95,"&lt;="&amp;U23)+1)-1,999999)))</f>
        <v/>
      </c>
      <c r="W23" s="63">
        <f>IF(V23="","",IF(COUNTIFS(入力!$B$86:$B$95,"&lt;="&amp;(V23+1),入力!$C$86:$C$95,"&gt;="&amp;(V23+1))&gt;0,SUMIFS(入力!$C$86:$C$95,入力!$B$86:$B$95,"&lt;="&amp;(V23+1),入力!$C$86:$C$95,"&gt;="&amp;(V23+1))+1,V23+1))</f>
        <v/>
      </c>
      <c r="X23" s="63">
        <f>IF(W23="","",IF(COUNTIFS(入力!$B$86:$B$95,"&lt;="&amp;(W23),入力!$C$86:$C$95,"&gt;="&amp;(W23))&gt;0,SUMIFS(入力!$C$86:$C$95,入力!$B$86:$B$95,"&lt;="&amp;(W23),入力!$C$86:$C$95,"&gt;="&amp;(W23))+1,W23))</f>
        <v/>
      </c>
      <c r="Y23" s="63">
        <f>IF(U23="","",IFERROR(VLOOKUP(DATE(YEAR(U23),MONTH(U23),1),カレンダーマスタ!$A$2:$B$301,2,0),NETWORKDAYS(DATE(YEAR(U23),MONTH(U23),1),EOMONTH(U23,0))))</f>
        <v/>
      </c>
      <c r="Z23" s="63">
        <f>IF(U23="","",IF(入力!$C$8&lt;&gt;"",入力!$C$8,IFERROR(INDEX(入力!$G$37:$G$78,MATCH(DATE(YEAR(U23),MONTH(U23),1),入力!$A$37:$A$78,0)),0)))</f>
        <v/>
      </c>
      <c r="AA23" s="63">
        <f>IF(U23="","",ROUNDDOWN(INDEX(入力!$H$13:$H$20,MATCH(U23,入力!$B$13:$B$20,1))/Y23+INDEX(入力!$I$13:$I$20,MATCH(U23,入力!$B$13:$B$20,1))/22,0))</f>
        <v/>
      </c>
      <c r="AB23" s="63">
        <f>IF(U23="",0,IF(AND(Z23&gt;AA23,NETWORKDAYS(U23,V23)&gt;0),1,0))</f>
        <v/>
      </c>
      <c r="AC23" s="63" t="n"/>
      <c r="AD23" s="63" t="n"/>
    </row>
    <row r="24">
      <c r="A24" s="91">
        <f>IF(F24="","",19)</f>
        <v/>
      </c>
      <c r="B24" s="92">
        <f>IF(F24="","",DATE(YEAR(F24),MONTH(F24),1))</f>
        <v/>
      </c>
      <c r="C24" s="91">
        <f>IF(F24="","",MONTH(F24))</f>
        <v/>
      </c>
      <c r="D24" s="91">
        <f>IF(F24="","",INDEX(入力!$A$13:$A$20,MATCH(F24,入力!$B$13:$B$20,1)))</f>
        <v/>
      </c>
      <c r="E24" s="91">
        <f>IF(F24="","",IF(G24&lt;=入力!$J$6,"法定","附加"))</f>
        <v/>
      </c>
      <c r="F24" s="93">
        <f>IF(G23="","",IF(G23&gt;=入力!$J$9,"",IF(S23&gt;入力!$J$9,"",S23)))</f>
        <v/>
      </c>
      <c r="G24" s="93">
        <f>IF(F24="","",MIN(EOMONTH(F24,0),入力!$J$9,IF(AND(入力!$B$13&lt;&gt;"",入力!$B$13&gt;F24),入力!$B$13-1,999999),IF(AND(入力!$B$14&lt;&gt;"",入力!$B$14&gt;F24),入力!$B$14-1,999999),IF(AND(入力!$B$15&lt;&gt;"",入力!$B$15&gt;F24),入力!$B$15-1,999999),IF(AND(入力!$B$16&lt;&gt;"",入力!$B$16&gt;F24),入力!$B$16-1,999999),IF(AND(入力!$B$17&lt;&gt;"",入力!$B$17&gt;F24),入力!$B$17-1,999999),IF(AND(入力!$B$18&lt;&gt;"",入力!$B$18&gt;F24),入力!$B$18-1,999999),IF(AND(入力!$B$19&lt;&gt;"",入力!$B$19&gt;F24),入力!$B$19-1,999999),IF(AND(入力!$B$20&lt;&gt;"",入力!$B$20&gt;F24),入力!$B$20-1,999999),IF(AND(入力!$J$7&lt;&gt;"",入力!$J$7&gt;F24),入力!$J$7-1,999999),IFERROR(SMALL(入力!$B$86:$B$95,COUNTIF(入力!$B$86:$B$95,"&lt;="&amp;F24)+1)-1,999999)))</f>
        <v/>
      </c>
      <c r="H24" s="95">
        <f>IF(F24="","",IFERROR(VLOOKUP(B24,カレンダーマスタ!$A$2:$B$301,2,0),NETWORKDAYS(B24,EOMONTH(F24,0))))</f>
        <v/>
      </c>
      <c r="I24" s="94">
        <f>IF(F24="","",NETWORKDAYS(F24,G24))</f>
        <v/>
      </c>
      <c r="J24" s="95">
        <f>IF(F24="","",IF(入力!$C$8&lt;&gt;"",入力!$C$8,IF(F24&lt;入力!$J$5,IFERROR(INDEX(入力!$G$37:$G$78,MATCH(B24,入力!$A$37:$A$78,0)),入力!$J$10),入力!$J$10)))</f>
        <v/>
      </c>
      <c r="K24" s="95">
        <f>IF(F24="","",ROUNDDOWN(INDEX(入力!$H$13:$H$20,MATCH(F24,入力!$B$13:$B$20,1))/H24+INDEX(入力!$I$13:$I$20,MATCH(F24,入力!$B$13:$B$20,1))/22,0))</f>
        <v/>
      </c>
      <c r="L24" s="106">
        <f>IF(F24="","",IF(J24&gt;K24,"〇","×"))</f>
        <v/>
      </c>
      <c r="M24" s="95">
        <f>IF(F24="","",J24*I24)</f>
        <v/>
      </c>
      <c r="N24" s="95">
        <f>IF(F24="","",MIN(J24,K24)*I24)</f>
        <v/>
      </c>
      <c r="O24" s="96">
        <f>IF(F24="","",M24-N24)</f>
        <v/>
      </c>
      <c r="P24" s="107">
        <f>IF(F24="","",IFERROR(INDEX(入力!$G$37:$G$78,MATCH(B24,入力!$A$37:$A$78,0)),""))</f>
        <v/>
      </c>
      <c r="Q24" s="63">
        <f>IF(F24="","",IF(COUNTIFS($B$6:B24,B24,$C$6:C24,C24,$E$6:E24,E24)=1,MAX($Q$5:Q23)+1,""))</f>
        <v/>
      </c>
      <c r="R24" s="63">
        <f>IF(G24="","",IF(COUNTIFS(入力!$B$86:$B$95,"&lt;="&amp;(G24+1),入力!$C$86:$C$95,"&gt;="&amp;(G24+1))&gt;0,SUMIFS(入力!$C$86:$C$95,入力!$B$86:$B$95,"&lt;="&amp;(G24+1),入力!$C$86:$C$95,"&gt;="&amp;(G24+1))+1,G24+1))</f>
        <v/>
      </c>
      <c r="S24" s="63">
        <f>IF(R24="","",IF(COUNTIFS(入力!$B$86:$B$95,"&lt;="&amp;(R24),入力!$C$86:$C$95,"&gt;="&amp;(R24))&gt;0,SUMIFS(入力!$C$86:$C$95,入力!$B$86:$B$95,"&lt;="&amp;(R24),入力!$C$86:$C$95,"&gt;="&amp;(R24))+1,R24))</f>
        <v/>
      </c>
      <c r="T24" s="63" t="n"/>
      <c r="U24" s="63">
        <f>IF(OR(X23="",X23&gt;入力!$J$4+3650),"",X23)</f>
        <v/>
      </c>
      <c r="V24" s="63">
        <f>IF(U24="","",MIN(EOMONTH(U24,0),IF(AND(入力!$B$13&lt;&gt;"",入力!$B$13&gt;U24),入力!$B$13-1,999999),IF(AND(入力!$B$14&lt;&gt;"",入力!$B$14&gt;U24),入力!$B$14-1,999999),IF(AND(入力!$B$15&lt;&gt;"",入力!$B$15&gt;U24),入力!$B$15-1,999999),IF(AND(入力!$B$16&lt;&gt;"",入力!$B$16&gt;U24),入力!$B$16-1,999999),IF(AND(入力!$B$17&lt;&gt;"",入力!$B$17&gt;U24),入力!$B$17-1,999999),IF(AND(入力!$B$18&lt;&gt;"",入力!$B$18&gt;U24),入力!$B$18-1,999999),IF(AND(入力!$B$19&lt;&gt;"",入力!$B$19&gt;U24),入力!$B$19-1,999999),IF(AND(入力!$B$20&lt;&gt;"",入力!$B$20&gt;U24),入力!$B$20-1,999999),IFERROR(SMALL(入力!$B$86:$B$95,COUNTIF(入力!$B$86:$B$95,"&lt;="&amp;U24)+1)-1,999999)))</f>
        <v/>
      </c>
      <c r="W24" s="63">
        <f>IF(V24="","",IF(COUNTIFS(入力!$B$86:$B$95,"&lt;="&amp;(V24+1),入力!$C$86:$C$95,"&gt;="&amp;(V24+1))&gt;0,SUMIFS(入力!$C$86:$C$95,入力!$B$86:$B$95,"&lt;="&amp;(V24+1),入力!$C$86:$C$95,"&gt;="&amp;(V24+1))+1,V24+1))</f>
        <v/>
      </c>
      <c r="X24" s="63">
        <f>IF(W24="","",IF(COUNTIFS(入力!$B$86:$B$95,"&lt;="&amp;(W24),入力!$C$86:$C$95,"&gt;="&amp;(W24))&gt;0,SUMIFS(入力!$C$86:$C$95,入力!$B$86:$B$95,"&lt;="&amp;(W24),入力!$C$86:$C$95,"&gt;="&amp;(W24))+1,W24))</f>
        <v/>
      </c>
      <c r="Y24" s="63">
        <f>IF(U24="","",IFERROR(VLOOKUP(DATE(YEAR(U24),MONTH(U24),1),カレンダーマスタ!$A$2:$B$301,2,0),NETWORKDAYS(DATE(YEAR(U24),MONTH(U24),1),EOMONTH(U24,0))))</f>
        <v/>
      </c>
      <c r="Z24" s="63">
        <f>IF(U24="","",IF(入力!$C$8&lt;&gt;"",入力!$C$8,IFERROR(INDEX(入力!$G$37:$G$78,MATCH(DATE(YEAR(U24),MONTH(U24),1),入力!$A$37:$A$78,0)),0)))</f>
        <v/>
      </c>
      <c r="AA24" s="63">
        <f>IF(U24="","",ROUNDDOWN(INDEX(入力!$H$13:$H$20,MATCH(U24,入力!$B$13:$B$20,1))/Y24+INDEX(入力!$I$13:$I$20,MATCH(U24,入力!$B$13:$B$20,1))/22,0))</f>
        <v/>
      </c>
      <c r="AB24" s="63">
        <f>IF(U24="",0,IF(AND(Z24&gt;AA24,NETWORKDAYS(U24,V24)&gt;0),1,0))</f>
        <v/>
      </c>
      <c r="AC24" s="63" t="n"/>
      <c r="AD24" s="63" t="n"/>
    </row>
    <row r="25">
      <c r="A25" s="91">
        <f>IF(F25="","",20)</f>
        <v/>
      </c>
      <c r="B25" s="92">
        <f>IF(F25="","",DATE(YEAR(F25),MONTH(F25),1))</f>
        <v/>
      </c>
      <c r="C25" s="91">
        <f>IF(F25="","",MONTH(F25))</f>
        <v/>
      </c>
      <c r="D25" s="91">
        <f>IF(F25="","",INDEX(入力!$A$13:$A$20,MATCH(F25,入力!$B$13:$B$20,1)))</f>
        <v/>
      </c>
      <c r="E25" s="91">
        <f>IF(F25="","",IF(G25&lt;=入力!$J$6,"法定","附加"))</f>
        <v/>
      </c>
      <c r="F25" s="93">
        <f>IF(G24="","",IF(G24&gt;=入力!$J$9,"",IF(S24&gt;入力!$J$9,"",S24)))</f>
        <v/>
      </c>
      <c r="G25" s="93">
        <f>IF(F25="","",MIN(EOMONTH(F25,0),入力!$J$9,IF(AND(入力!$B$13&lt;&gt;"",入力!$B$13&gt;F25),入力!$B$13-1,999999),IF(AND(入力!$B$14&lt;&gt;"",入力!$B$14&gt;F25),入力!$B$14-1,999999),IF(AND(入力!$B$15&lt;&gt;"",入力!$B$15&gt;F25),入力!$B$15-1,999999),IF(AND(入力!$B$16&lt;&gt;"",入力!$B$16&gt;F25),入力!$B$16-1,999999),IF(AND(入力!$B$17&lt;&gt;"",入力!$B$17&gt;F25),入力!$B$17-1,999999),IF(AND(入力!$B$18&lt;&gt;"",入力!$B$18&gt;F25),入力!$B$18-1,999999),IF(AND(入力!$B$19&lt;&gt;"",入力!$B$19&gt;F25),入力!$B$19-1,999999),IF(AND(入力!$B$20&lt;&gt;"",入力!$B$20&gt;F25),入力!$B$20-1,999999),IF(AND(入力!$J$7&lt;&gt;"",入力!$J$7&gt;F25),入力!$J$7-1,999999),IFERROR(SMALL(入力!$B$86:$B$95,COUNTIF(入力!$B$86:$B$95,"&lt;="&amp;F25)+1)-1,999999)))</f>
        <v/>
      </c>
      <c r="H25" s="95">
        <f>IF(F25="","",IFERROR(VLOOKUP(B25,カレンダーマスタ!$A$2:$B$301,2,0),NETWORKDAYS(B25,EOMONTH(F25,0))))</f>
        <v/>
      </c>
      <c r="I25" s="94">
        <f>IF(F25="","",NETWORKDAYS(F25,G25))</f>
        <v/>
      </c>
      <c r="J25" s="95">
        <f>IF(F25="","",IF(入力!$C$8&lt;&gt;"",入力!$C$8,IF(F25&lt;入力!$J$5,IFERROR(INDEX(入力!$G$37:$G$78,MATCH(B25,入力!$A$37:$A$78,0)),入力!$J$10),入力!$J$10)))</f>
        <v/>
      </c>
      <c r="K25" s="95">
        <f>IF(F25="","",ROUNDDOWN(INDEX(入力!$H$13:$H$20,MATCH(F25,入力!$B$13:$B$20,1))/H25+INDEX(入力!$I$13:$I$20,MATCH(F25,入力!$B$13:$B$20,1))/22,0))</f>
        <v/>
      </c>
      <c r="L25" s="106">
        <f>IF(F25="","",IF(J25&gt;K25,"〇","×"))</f>
        <v/>
      </c>
      <c r="M25" s="95">
        <f>IF(F25="","",J25*I25)</f>
        <v/>
      </c>
      <c r="N25" s="95">
        <f>IF(F25="","",MIN(J25,K25)*I25)</f>
        <v/>
      </c>
      <c r="O25" s="96">
        <f>IF(F25="","",M25-N25)</f>
        <v/>
      </c>
      <c r="P25" s="107">
        <f>IF(F25="","",IFERROR(INDEX(入力!$G$37:$G$78,MATCH(B25,入力!$A$37:$A$78,0)),""))</f>
        <v/>
      </c>
      <c r="Q25" s="63">
        <f>IF(F25="","",IF(COUNTIFS($B$6:B25,B25,$C$6:C25,C25,$E$6:E25,E25)=1,MAX($Q$5:Q24)+1,""))</f>
        <v/>
      </c>
      <c r="R25" s="63">
        <f>IF(G25="","",IF(COUNTIFS(入力!$B$86:$B$95,"&lt;="&amp;(G25+1),入力!$C$86:$C$95,"&gt;="&amp;(G25+1))&gt;0,SUMIFS(入力!$C$86:$C$95,入力!$B$86:$B$95,"&lt;="&amp;(G25+1),入力!$C$86:$C$95,"&gt;="&amp;(G25+1))+1,G25+1))</f>
        <v/>
      </c>
      <c r="S25" s="63">
        <f>IF(R25="","",IF(COUNTIFS(入力!$B$86:$B$95,"&lt;="&amp;(R25),入力!$C$86:$C$95,"&gt;="&amp;(R25))&gt;0,SUMIFS(入力!$C$86:$C$95,入力!$B$86:$B$95,"&lt;="&amp;(R25),入力!$C$86:$C$95,"&gt;="&amp;(R25))+1,R25))</f>
        <v/>
      </c>
      <c r="T25" s="63" t="n"/>
      <c r="U25" s="63">
        <f>IF(OR(X24="",X24&gt;入力!$J$4+3650),"",X24)</f>
        <v/>
      </c>
      <c r="V25" s="63">
        <f>IF(U25="","",MIN(EOMONTH(U25,0),IF(AND(入力!$B$13&lt;&gt;"",入力!$B$13&gt;U25),入力!$B$13-1,999999),IF(AND(入力!$B$14&lt;&gt;"",入力!$B$14&gt;U25),入力!$B$14-1,999999),IF(AND(入力!$B$15&lt;&gt;"",入力!$B$15&gt;U25),入力!$B$15-1,999999),IF(AND(入力!$B$16&lt;&gt;"",入力!$B$16&gt;U25),入力!$B$16-1,999999),IF(AND(入力!$B$17&lt;&gt;"",入力!$B$17&gt;U25),入力!$B$17-1,999999),IF(AND(入力!$B$18&lt;&gt;"",入力!$B$18&gt;U25),入力!$B$18-1,999999),IF(AND(入力!$B$19&lt;&gt;"",入力!$B$19&gt;U25),入力!$B$19-1,999999),IF(AND(入力!$B$20&lt;&gt;"",入力!$B$20&gt;U25),入力!$B$20-1,999999),IFERROR(SMALL(入力!$B$86:$B$95,COUNTIF(入力!$B$86:$B$95,"&lt;="&amp;U25)+1)-1,999999)))</f>
        <v/>
      </c>
      <c r="W25" s="63">
        <f>IF(V25="","",IF(COUNTIFS(入力!$B$86:$B$95,"&lt;="&amp;(V25+1),入力!$C$86:$C$95,"&gt;="&amp;(V25+1))&gt;0,SUMIFS(入力!$C$86:$C$95,入力!$B$86:$B$95,"&lt;="&amp;(V25+1),入力!$C$86:$C$95,"&gt;="&amp;(V25+1))+1,V25+1))</f>
        <v/>
      </c>
      <c r="X25" s="63">
        <f>IF(W25="","",IF(COUNTIFS(入力!$B$86:$B$95,"&lt;="&amp;(W25),入力!$C$86:$C$95,"&gt;="&amp;(W25))&gt;0,SUMIFS(入力!$C$86:$C$95,入力!$B$86:$B$95,"&lt;="&amp;(W25),入力!$C$86:$C$95,"&gt;="&amp;(W25))+1,W25))</f>
        <v/>
      </c>
      <c r="Y25" s="63">
        <f>IF(U25="","",IFERROR(VLOOKUP(DATE(YEAR(U25),MONTH(U25),1),カレンダーマスタ!$A$2:$B$301,2,0),NETWORKDAYS(DATE(YEAR(U25),MONTH(U25),1),EOMONTH(U25,0))))</f>
        <v/>
      </c>
      <c r="Z25" s="63">
        <f>IF(U25="","",IF(入力!$C$8&lt;&gt;"",入力!$C$8,IFERROR(INDEX(入力!$G$37:$G$78,MATCH(DATE(YEAR(U25),MONTH(U25),1),入力!$A$37:$A$78,0)),0)))</f>
        <v/>
      </c>
      <c r="AA25" s="63">
        <f>IF(U25="","",ROUNDDOWN(INDEX(入力!$H$13:$H$20,MATCH(U25,入力!$B$13:$B$20,1))/Y25+INDEX(入力!$I$13:$I$20,MATCH(U25,入力!$B$13:$B$20,1))/22,0))</f>
        <v/>
      </c>
      <c r="AB25" s="63">
        <f>IF(U25="",0,IF(AND(Z25&gt;AA25,NETWORKDAYS(U25,V25)&gt;0),1,0))</f>
        <v/>
      </c>
      <c r="AC25" s="63" t="n"/>
      <c r="AD25" s="63" t="n"/>
    </row>
    <row r="26">
      <c r="A26" s="91">
        <f>IF(F26="","",21)</f>
        <v/>
      </c>
      <c r="B26" s="92">
        <f>IF(F26="","",DATE(YEAR(F26),MONTH(F26),1))</f>
        <v/>
      </c>
      <c r="C26" s="91">
        <f>IF(F26="","",MONTH(F26))</f>
        <v/>
      </c>
      <c r="D26" s="91">
        <f>IF(F26="","",INDEX(入力!$A$13:$A$20,MATCH(F26,入力!$B$13:$B$20,1)))</f>
        <v/>
      </c>
      <c r="E26" s="91">
        <f>IF(F26="","",IF(G26&lt;=入力!$J$6,"法定","附加"))</f>
        <v/>
      </c>
      <c r="F26" s="93">
        <f>IF(G25="","",IF(G25&gt;=入力!$J$9,"",IF(S25&gt;入力!$J$9,"",S25)))</f>
        <v/>
      </c>
      <c r="G26" s="93">
        <f>IF(F26="","",MIN(EOMONTH(F26,0),入力!$J$9,IF(AND(入力!$B$13&lt;&gt;"",入力!$B$13&gt;F26),入力!$B$13-1,999999),IF(AND(入力!$B$14&lt;&gt;"",入力!$B$14&gt;F26),入力!$B$14-1,999999),IF(AND(入力!$B$15&lt;&gt;"",入力!$B$15&gt;F26),入力!$B$15-1,999999),IF(AND(入力!$B$16&lt;&gt;"",入力!$B$16&gt;F26),入力!$B$16-1,999999),IF(AND(入力!$B$17&lt;&gt;"",入力!$B$17&gt;F26),入力!$B$17-1,999999),IF(AND(入力!$B$18&lt;&gt;"",入力!$B$18&gt;F26),入力!$B$18-1,999999),IF(AND(入力!$B$19&lt;&gt;"",入力!$B$19&gt;F26),入力!$B$19-1,999999),IF(AND(入力!$B$20&lt;&gt;"",入力!$B$20&gt;F26),入力!$B$20-1,999999),IF(AND(入力!$J$7&lt;&gt;"",入力!$J$7&gt;F26),入力!$J$7-1,999999),IFERROR(SMALL(入力!$B$86:$B$95,COUNTIF(入力!$B$86:$B$95,"&lt;="&amp;F26)+1)-1,999999)))</f>
        <v/>
      </c>
      <c r="H26" s="95">
        <f>IF(F26="","",IFERROR(VLOOKUP(B26,カレンダーマスタ!$A$2:$B$301,2,0),NETWORKDAYS(B26,EOMONTH(F26,0))))</f>
        <v/>
      </c>
      <c r="I26" s="94">
        <f>IF(F26="","",NETWORKDAYS(F26,G26))</f>
        <v/>
      </c>
      <c r="J26" s="95">
        <f>IF(F26="","",IF(入力!$C$8&lt;&gt;"",入力!$C$8,IF(F26&lt;入力!$J$5,IFERROR(INDEX(入力!$G$37:$G$78,MATCH(B26,入力!$A$37:$A$78,0)),入力!$J$10),入力!$J$10)))</f>
        <v/>
      </c>
      <c r="K26" s="95">
        <f>IF(F26="","",ROUNDDOWN(INDEX(入力!$H$13:$H$20,MATCH(F26,入力!$B$13:$B$20,1))/H26+INDEX(入力!$I$13:$I$20,MATCH(F26,入力!$B$13:$B$20,1))/22,0))</f>
        <v/>
      </c>
      <c r="L26" s="106">
        <f>IF(F26="","",IF(J26&gt;K26,"〇","×"))</f>
        <v/>
      </c>
      <c r="M26" s="95">
        <f>IF(F26="","",J26*I26)</f>
        <v/>
      </c>
      <c r="N26" s="95">
        <f>IF(F26="","",MIN(J26,K26)*I26)</f>
        <v/>
      </c>
      <c r="O26" s="96">
        <f>IF(F26="","",M26-N26)</f>
        <v/>
      </c>
      <c r="P26" s="107">
        <f>IF(F26="","",IFERROR(INDEX(入力!$G$37:$G$78,MATCH(B26,入力!$A$37:$A$78,0)),""))</f>
        <v/>
      </c>
      <c r="Q26" s="63">
        <f>IF(F26="","",IF(COUNTIFS($B$6:B26,B26,$C$6:C26,C26,$E$6:E26,E26)=1,MAX($Q$5:Q25)+1,""))</f>
        <v/>
      </c>
      <c r="R26" s="63">
        <f>IF(G26="","",IF(COUNTIFS(入力!$B$86:$B$95,"&lt;="&amp;(G26+1),入力!$C$86:$C$95,"&gt;="&amp;(G26+1))&gt;0,SUMIFS(入力!$C$86:$C$95,入力!$B$86:$B$95,"&lt;="&amp;(G26+1),入力!$C$86:$C$95,"&gt;="&amp;(G26+1))+1,G26+1))</f>
        <v/>
      </c>
      <c r="S26" s="63">
        <f>IF(R26="","",IF(COUNTIFS(入力!$B$86:$B$95,"&lt;="&amp;(R26),入力!$C$86:$C$95,"&gt;="&amp;(R26))&gt;0,SUMIFS(入力!$C$86:$C$95,入力!$B$86:$B$95,"&lt;="&amp;(R26),入力!$C$86:$C$95,"&gt;="&amp;(R26))+1,R26))</f>
        <v/>
      </c>
      <c r="T26" s="63" t="n"/>
      <c r="U26" s="63">
        <f>IF(OR(X25="",X25&gt;入力!$J$4+3650),"",X25)</f>
        <v/>
      </c>
      <c r="V26" s="63">
        <f>IF(U26="","",MIN(EOMONTH(U26,0),IF(AND(入力!$B$13&lt;&gt;"",入力!$B$13&gt;U26),入力!$B$13-1,999999),IF(AND(入力!$B$14&lt;&gt;"",入力!$B$14&gt;U26),入力!$B$14-1,999999),IF(AND(入力!$B$15&lt;&gt;"",入力!$B$15&gt;U26),入力!$B$15-1,999999),IF(AND(入力!$B$16&lt;&gt;"",入力!$B$16&gt;U26),入力!$B$16-1,999999),IF(AND(入力!$B$17&lt;&gt;"",入力!$B$17&gt;U26),入力!$B$17-1,999999),IF(AND(入力!$B$18&lt;&gt;"",入力!$B$18&gt;U26),入力!$B$18-1,999999),IF(AND(入力!$B$19&lt;&gt;"",入力!$B$19&gt;U26),入力!$B$19-1,999999),IF(AND(入力!$B$20&lt;&gt;"",入力!$B$20&gt;U26),入力!$B$20-1,999999),IFERROR(SMALL(入力!$B$86:$B$95,COUNTIF(入力!$B$86:$B$95,"&lt;="&amp;U26)+1)-1,999999)))</f>
        <v/>
      </c>
      <c r="W26" s="63">
        <f>IF(V26="","",IF(COUNTIFS(入力!$B$86:$B$95,"&lt;="&amp;(V26+1),入力!$C$86:$C$95,"&gt;="&amp;(V26+1))&gt;0,SUMIFS(入力!$C$86:$C$95,入力!$B$86:$B$95,"&lt;="&amp;(V26+1),入力!$C$86:$C$95,"&gt;="&amp;(V26+1))+1,V26+1))</f>
        <v/>
      </c>
      <c r="X26" s="63">
        <f>IF(W26="","",IF(COUNTIFS(入力!$B$86:$B$95,"&lt;="&amp;(W26),入力!$C$86:$C$95,"&gt;="&amp;(W26))&gt;0,SUMIFS(入力!$C$86:$C$95,入力!$B$86:$B$95,"&lt;="&amp;(W26),入力!$C$86:$C$95,"&gt;="&amp;(W26))+1,W26))</f>
        <v/>
      </c>
      <c r="Y26" s="63">
        <f>IF(U26="","",IFERROR(VLOOKUP(DATE(YEAR(U26),MONTH(U26),1),カレンダーマスタ!$A$2:$B$301,2,0),NETWORKDAYS(DATE(YEAR(U26),MONTH(U26),1),EOMONTH(U26,0))))</f>
        <v/>
      </c>
      <c r="Z26" s="63">
        <f>IF(U26="","",IF(入力!$C$8&lt;&gt;"",入力!$C$8,IFERROR(INDEX(入力!$G$37:$G$78,MATCH(DATE(YEAR(U26),MONTH(U26),1),入力!$A$37:$A$78,0)),0)))</f>
        <v/>
      </c>
      <c r="AA26" s="63">
        <f>IF(U26="","",ROUNDDOWN(INDEX(入力!$H$13:$H$20,MATCH(U26,入力!$B$13:$B$20,1))/Y26+INDEX(入力!$I$13:$I$20,MATCH(U26,入力!$B$13:$B$20,1))/22,0))</f>
        <v/>
      </c>
      <c r="AB26" s="63">
        <f>IF(U26="",0,IF(AND(Z26&gt;AA26,NETWORKDAYS(U26,V26)&gt;0),1,0))</f>
        <v/>
      </c>
      <c r="AC26" s="63" t="n"/>
      <c r="AD26" s="63" t="n"/>
    </row>
    <row r="27">
      <c r="A27" s="91">
        <f>IF(F27="","",22)</f>
        <v/>
      </c>
      <c r="B27" s="92">
        <f>IF(F27="","",DATE(YEAR(F27),MONTH(F27),1))</f>
        <v/>
      </c>
      <c r="C27" s="91">
        <f>IF(F27="","",MONTH(F27))</f>
        <v/>
      </c>
      <c r="D27" s="91">
        <f>IF(F27="","",INDEX(入力!$A$13:$A$20,MATCH(F27,入力!$B$13:$B$20,1)))</f>
        <v/>
      </c>
      <c r="E27" s="91">
        <f>IF(F27="","",IF(G27&lt;=入力!$J$6,"法定","附加"))</f>
        <v/>
      </c>
      <c r="F27" s="93">
        <f>IF(G26="","",IF(G26&gt;=入力!$J$9,"",IF(S26&gt;入力!$J$9,"",S26)))</f>
        <v/>
      </c>
      <c r="G27" s="93">
        <f>IF(F27="","",MIN(EOMONTH(F27,0),入力!$J$9,IF(AND(入力!$B$13&lt;&gt;"",入力!$B$13&gt;F27),入力!$B$13-1,999999),IF(AND(入力!$B$14&lt;&gt;"",入力!$B$14&gt;F27),入力!$B$14-1,999999),IF(AND(入力!$B$15&lt;&gt;"",入力!$B$15&gt;F27),入力!$B$15-1,999999),IF(AND(入力!$B$16&lt;&gt;"",入力!$B$16&gt;F27),入力!$B$16-1,999999),IF(AND(入力!$B$17&lt;&gt;"",入力!$B$17&gt;F27),入力!$B$17-1,999999),IF(AND(入力!$B$18&lt;&gt;"",入力!$B$18&gt;F27),入力!$B$18-1,999999),IF(AND(入力!$B$19&lt;&gt;"",入力!$B$19&gt;F27),入力!$B$19-1,999999),IF(AND(入力!$B$20&lt;&gt;"",入力!$B$20&gt;F27),入力!$B$20-1,999999),IF(AND(入力!$J$7&lt;&gt;"",入力!$J$7&gt;F27),入力!$J$7-1,999999),IFERROR(SMALL(入力!$B$86:$B$95,COUNTIF(入力!$B$86:$B$95,"&lt;="&amp;F27)+1)-1,999999)))</f>
        <v/>
      </c>
      <c r="H27" s="95">
        <f>IF(F27="","",IFERROR(VLOOKUP(B27,カレンダーマスタ!$A$2:$B$301,2,0),NETWORKDAYS(B27,EOMONTH(F27,0))))</f>
        <v/>
      </c>
      <c r="I27" s="94">
        <f>IF(F27="","",NETWORKDAYS(F27,G27))</f>
        <v/>
      </c>
      <c r="J27" s="95">
        <f>IF(F27="","",IF(入力!$C$8&lt;&gt;"",入力!$C$8,IF(F27&lt;入力!$J$5,IFERROR(INDEX(入力!$G$37:$G$78,MATCH(B27,入力!$A$37:$A$78,0)),入力!$J$10),入力!$J$10)))</f>
        <v/>
      </c>
      <c r="K27" s="95">
        <f>IF(F27="","",ROUNDDOWN(INDEX(入力!$H$13:$H$20,MATCH(F27,入力!$B$13:$B$20,1))/H27+INDEX(入力!$I$13:$I$20,MATCH(F27,入力!$B$13:$B$20,1))/22,0))</f>
        <v/>
      </c>
      <c r="L27" s="106">
        <f>IF(F27="","",IF(J27&gt;K27,"〇","×"))</f>
        <v/>
      </c>
      <c r="M27" s="95">
        <f>IF(F27="","",J27*I27)</f>
        <v/>
      </c>
      <c r="N27" s="95">
        <f>IF(F27="","",MIN(J27,K27)*I27)</f>
        <v/>
      </c>
      <c r="O27" s="96">
        <f>IF(F27="","",M27-N27)</f>
        <v/>
      </c>
      <c r="P27" s="107">
        <f>IF(F27="","",IFERROR(INDEX(入力!$G$37:$G$78,MATCH(B27,入力!$A$37:$A$78,0)),""))</f>
        <v/>
      </c>
      <c r="Q27" s="63">
        <f>IF(F27="","",IF(COUNTIFS($B$6:B27,B27,$C$6:C27,C27,$E$6:E27,E27)=1,MAX($Q$5:Q26)+1,""))</f>
        <v/>
      </c>
      <c r="R27" s="63">
        <f>IF(G27="","",IF(COUNTIFS(入力!$B$86:$B$95,"&lt;="&amp;(G27+1),入力!$C$86:$C$95,"&gt;="&amp;(G27+1))&gt;0,SUMIFS(入力!$C$86:$C$95,入力!$B$86:$B$95,"&lt;="&amp;(G27+1),入力!$C$86:$C$95,"&gt;="&amp;(G27+1))+1,G27+1))</f>
        <v/>
      </c>
      <c r="S27" s="63">
        <f>IF(R27="","",IF(COUNTIFS(入力!$B$86:$B$95,"&lt;="&amp;(R27),入力!$C$86:$C$95,"&gt;="&amp;(R27))&gt;0,SUMIFS(入力!$C$86:$C$95,入力!$B$86:$B$95,"&lt;="&amp;(R27),入力!$C$86:$C$95,"&gt;="&amp;(R27))+1,R27))</f>
        <v/>
      </c>
      <c r="T27" s="63" t="n"/>
      <c r="U27" s="63">
        <f>IF(OR(X26="",X26&gt;入力!$J$4+3650),"",X26)</f>
        <v/>
      </c>
      <c r="V27" s="63">
        <f>IF(U27="","",MIN(EOMONTH(U27,0),IF(AND(入力!$B$13&lt;&gt;"",入力!$B$13&gt;U27),入力!$B$13-1,999999),IF(AND(入力!$B$14&lt;&gt;"",入力!$B$14&gt;U27),入力!$B$14-1,999999),IF(AND(入力!$B$15&lt;&gt;"",入力!$B$15&gt;U27),入力!$B$15-1,999999),IF(AND(入力!$B$16&lt;&gt;"",入力!$B$16&gt;U27),入力!$B$16-1,999999),IF(AND(入力!$B$17&lt;&gt;"",入力!$B$17&gt;U27),入力!$B$17-1,999999),IF(AND(入力!$B$18&lt;&gt;"",入力!$B$18&gt;U27),入力!$B$18-1,999999),IF(AND(入力!$B$19&lt;&gt;"",入力!$B$19&gt;U27),入力!$B$19-1,999999),IF(AND(入力!$B$20&lt;&gt;"",入力!$B$20&gt;U27),入力!$B$20-1,999999),IFERROR(SMALL(入力!$B$86:$B$95,COUNTIF(入力!$B$86:$B$95,"&lt;="&amp;U27)+1)-1,999999)))</f>
        <v/>
      </c>
      <c r="W27" s="63">
        <f>IF(V27="","",IF(COUNTIFS(入力!$B$86:$B$95,"&lt;="&amp;(V27+1),入力!$C$86:$C$95,"&gt;="&amp;(V27+1))&gt;0,SUMIFS(入力!$C$86:$C$95,入力!$B$86:$B$95,"&lt;="&amp;(V27+1),入力!$C$86:$C$95,"&gt;="&amp;(V27+1))+1,V27+1))</f>
        <v/>
      </c>
      <c r="X27" s="63">
        <f>IF(W27="","",IF(COUNTIFS(入力!$B$86:$B$95,"&lt;="&amp;(W27),入力!$C$86:$C$95,"&gt;="&amp;(W27))&gt;0,SUMIFS(入力!$C$86:$C$95,入力!$B$86:$B$95,"&lt;="&amp;(W27),入力!$C$86:$C$95,"&gt;="&amp;(W27))+1,W27))</f>
        <v/>
      </c>
      <c r="Y27" s="63">
        <f>IF(U27="","",IFERROR(VLOOKUP(DATE(YEAR(U27),MONTH(U27),1),カレンダーマスタ!$A$2:$B$301,2,0),NETWORKDAYS(DATE(YEAR(U27),MONTH(U27),1),EOMONTH(U27,0))))</f>
        <v/>
      </c>
      <c r="Z27" s="63">
        <f>IF(U27="","",IF(入力!$C$8&lt;&gt;"",入力!$C$8,IFERROR(INDEX(入力!$G$37:$G$78,MATCH(DATE(YEAR(U27),MONTH(U27),1),入力!$A$37:$A$78,0)),0)))</f>
        <v/>
      </c>
      <c r="AA27" s="63">
        <f>IF(U27="","",ROUNDDOWN(INDEX(入力!$H$13:$H$20,MATCH(U27,入力!$B$13:$B$20,1))/Y27+INDEX(入力!$I$13:$I$20,MATCH(U27,入力!$B$13:$B$20,1))/22,0))</f>
        <v/>
      </c>
      <c r="AB27" s="63">
        <f>IF(U27="",0,IF(AND(Z27&gt;AA27,NETWORKDAYS(U27,V27)&gt;0),1,0))</f>
        <v/>
      </c>
      <c r="AC27" s="63" t="n"/>
      <c r="AD27" s="63" t="n"/>
    </row>
    <row r="28">
      <c r="A28" s="91">
        <f>IF(F28="","",23)</f>
        <v/>
      </c>
      <c r="B28" s="92">
        <f>IF(F28="","",DATE(YEAR(F28),MONTH(F28),1))</f>
        <v/>
      </c>
      <c r="C28" s="91">
        <f>IF(F28="","",MONTH(F28))</f>
        <v/>
      </c>
      <c r="D28" s="91">
        <f>IF(F28="","",INDEX(入力!$A$13:$A$20,MATCH(F28,入力!$B$13:$B$20,1)))</f>
        <v/>
      </c>
      <c r="E28" s="91">
        <f>IF(F28="","",IF(G28&lt;=入力!$J$6,"法定","附加"))</f>
        <v/>
      </c>
      <c r="F28" s="93">
        <f>IF(G27="","",IF(G27&gt;=入力!$J$9,"",IF(S27&gt;入力!$J$9,"",S27)))</f>
        <v/>
      </c>
      <c r="G28" s="93">
        <f>IF(F28="","",MIN(EOMONTH(F28,0),入力!$J$9,IF(AND(入力!$B$13&lt;&gt;"",入力!$B$13&gt;F28),入力!$B$13-1,999999),IF(AND(入力!$B$14&lt;&gt;"",入力!$B$14&gt;F28),入力!$B$14-1,999999),IF(AND(入力!$B$15&lt;&gt;"",入力!$B$15&gt;F28),入力!$B$15-1,999999),IF(AND(入力!$B$16&lt;&gt;"",入力!$B$16&gt;F28),入力!$B$16-1,999999),IF(AND(入力!$B$17&lt;&gt;"",入力!$B$17&gt;F28),入力!$B$17-1,999999),IF(AND(入力!$B$18&lt;&gt;"",入力!$B$18&gt;F28),入力!$B$18-1,999999),IF(AND(入力!$B$19&lt;&gt;"",入力!$B$19&gt;F28),入力!$B$19-1,999999),IF(AND(入力!$B$20&lt;&gt;"",入力!$B$20&gt;F28),入力!$B$20-1,999999),IF(AND(入力!$J$7&lt;&gt;"",入力!$J$7&gt;F28),入力!$J$7-1,999999),IFERROR(SMALL(入力!$B$86:$B$95,COUNTIF(入力!$B$86:$B$95,"&lt;="&amp;F28)+1)-1,999999)))</f>
        <v/>
      </c>
      <c r="H28" s="95">
        <f>IF(F28="","",IFERROR(VLOOKUP(B28,カレンダーマスタ!$A$2:$B$301,2,0),NETWORKDAYS(B28,EOMONTH(F28,0))))</f>
        <v/>
      </c>
      <c r="I28" s="94">
        <f>IF(F28="","",NETWORKDAYS(F28,G28))</f>
        <v/>
      </c>
      <c r="J28" s="95">
        <f>IF(F28="","",IF(入力!$C$8&lt;&gt;"",入力!$C$8,IF(F28&lt;入力!$J$5,IFERROR(INDEX(入力!$G$37:$G$78,MATCH(B28,入力!$A$37:$A$78,0)),入力!$J$10),入力!$J$10)))</f>
        <v/>
      </c>
      <c r="K28" s="95">
        <f>IF(F28="","",ROUNDDOWN(INDEX(入力!$H$13:$H$20,MATCH(F28,入力!$B$13:$B$20,1))/H28+INDEX(入力!$I$13:$I$20,MATCH(F28,入力!$B$13:$B$20,1))/22,0))</f>
        <v/>
      </c>
      <c r="L28" s="106">
        <f>IF(F28="","",IF(J28&gt;K28,"〇","×"))</f>
        <v/>
      </c>
      <c r="M28" s="95">
        <f>IF(F28="","",J28*I28)</f>
        <v/>
      </c>
      <c r="N28" s="95">
        <f>IF(F28="","",MIN(J28,K28)*I28)</f>
        <v/>
      </c>
      <c r="O28" s="96">
        <f>IF(F28="","",M28-N28)</f>
        <v/>
      </c>
      <c r="P28" s="107">
        <f>IF(F28="","",IFERROR(INDEX(入力!$G$37:$G$78,MATCH(B28,入力!$A$37:$A$78,0)),""))</f>
        <v/>
      </c>
      <c r="Q28" s="63">
        <f>IF(F28="","",IF(COUNTIFS($B$6:B28,B28,$C$6:C28,C28,$E$6:E28,E28)=1,MAX($Q$5:Q27)+1,""))</f>
        <v/>
      </c>
      <c r="R28" s="63">
        <f>IF(G28="","",IF(COUNTIFS(入力!$B$86:$B$95,"&lt;="&amp;(G28+1),入力!$C$86:$C$95,"&gt;="&amp;(G28+1))&gt;0,SUMIFS(入力!$C$86:$C$95,入力!$B$86:$B$95,"&lt;="&amp;(G28+1),入力!$C$86:$C$95,"&gt;="&amp;(G28+1))+1,G28+1))</f>
        <v/>
      </c>
      <c r="S28" s="63">
        <f>IF(R28="","",IF(COUNTIFS(入力!$B$86:$B$95,"&lt;="&amp;(R28),入力!$C$86:$C$95,"&gt;="&amp;(R28))&gt;0,SUMIFS(入力!$C$86:$C$95,入力!$B$86:$B$95,"&lt;="&amp;(R28),入力!$C$86:$C$95,"&gt;="&amp;(R28))+1,R28))</f>
        <v/>
      </c>
      <c r="T28" s="63" t="n"/>
      <c r="U28" s="63">
        <f>IF(OR(X27="",X27&gt;入力!$J$4+3650),"",X27)</f>
        <v/>
      </c>
      <c r="V28" s="63">
        <f>IF(U28="","",MIN(EOMONTH(U28,0),IF(AND(入力!$B$13&lt;&gt;"",入力!$B$13&gt;U28),入力!$B$13-1,999999),IF(AND(入力!$B$14&lt;&gt;"",入力!$B$14&gt;U28),入力!$B$14-1,999999),IF(AND(入力!$B$15&lt;&gt;"",入力!$B$15&gt;U28),入力!$B$15-1,999999),IF(AND(入力!$B$16&lt;&gt;"",入力!$B$16&gt;U28),入力!$B$16-1,999999),IF(AND(入力!$B$17&lt;&gt;"",入力!$B$17&gt;U28),入力!$B$17-1,999999),IF(AND(入力!$B$18&lt;&gt;"",入力!$B$18&gt;U28),入力!$B$18-1,999999),IF(AND(入力!$B$19&lt;&gt;"",入力!$B$19&gt;U28),入力!$B$19-1,999999),IF(AND(入力!$B$20&lt;&gt;"",入力!$B$20&gt;U28),入力!$B$20-1,999999),IFERROR(SMALL(入力!$B$86:$B$95,COUNTIF(入力!$B$86:$B$95,"&lt;="&amp;U28)+1)-1,999999)))</f>
        <v/>
      </c>
      <c r="W28" s="63">
        <f>IF(V28="","",IF(COUNTIFS(入力!$B$86:$B$95,"&lt;="&amp;(V28+1),入力!$C$86:$C$95,"&gt;="&amp;(V28+1))&gt;0,SUMIFS(入力!$C$86:$C$95,入力!$B$86:$B$95,"&lt;="&amp;(V28+1),入力!$C$86:$C$95,"&gt;="&amp;(V28+1))+1,V28+1))</f>
        <v/>
      </c>
      <c r="X28" s="63">
        <f>IF(W28="","",IF(COUNTIFS(入力!$B$86:$B$95,"&lt;="&amp;(W28),入力!$C$86:$C$95,"&gt;="&amp;(W28))&gt;0,SUMIFS(入力!$C$86:$C$95,入力!$B$86:$B$95,"&lt;="&amp;(W28),入力!$C$86:$C$95,"&gt;="&amp;(W28))+1,W28))</f>
        <v/>
      </c>
      <c r="Y28" s="63">
        <f>IF(U28="","",IFERROR(VLOOKUP(DATE(YEAR(U28),MONTH(U28),1),カレンダーマスタ!$A$2:$B$301,2,0),NETWORKDAYS(DATE(YEAR(U28),MONTH(U28),1),EOMONTH(U28,0))))</f>
        <v/>
      </c>
      <c r="Z28" s="63">
        <f>IF(U28="","",IF(入力!$C$8&lt;&gt;"",入力!$C$8,IFERROR(INDEX(入力!$G$37:$G$78,MATCH(DATE(YEAR(U28),MONTH(U28),1),入力!$A$37:$A$78,0)),0)))</f>
        <v/>
      </c>
      <c r="AA28" s="63">
        <f>IF(U28="","",ROUNDDOWN(INDEX(入力!$H$13:$H$20,MATCH(U28,入力!$B$13:$B$20,1))/Y28+INDEX(入力!$I$13:$I$20,MATCH(U28,入力!$B$13:$B$20,1))/22,0))</f>
        <v/>
      </c>
      <c r="AB28" s="63">
        <f>IF(U28="",0,IF(AND(Z28&gt;AA28,NETWORKDAYS(U28,V28)&gt;0),1,0))</f>
        <v/>
      </c>
      <c r="AC28" s="63" t="n"/>
      <c r="AD28" s="63" t="n"/>
    </row>
    <row r="29">
      <c r="A29" s="91">
        <f>IF(F29="","",24)</f>
        <v/>
      </c>
      <c r="B29" s="92">
        <f>IF(F29="","",DATE(YEAR(F29),MONTH(F29),1))</f>
        <v/>
      </c>
      <c r="C29" s="91">
        <f>IF(F29="","",MONTH(F29))</f>
        <v/>
      </c>
      <c r="D29" s="91">
        <f>IF(F29="","",INDEX(入力!$A$13:$A$20,MATCH(F29,入力!$B$13:$B$20,1)))</f>
        <v/>
      </c>
      <c r="E29" s="91">
        <f>IF(F29="","",IF(G29&lt;=入力!$J$6,"法定","附加"))</f>
        <v/>
      </c>
      <c r="F29" s="93">
        <f>IF(G28="","",IF(G28&gt;=入力!$J$9,"",IF(S28&gt;入力!$J$9,"",S28)))</f>
        <v/>
      </c>
      <c r="G29" s="93">
        <f>IF(F29="","",MIN(EOMONTH(F29,0),入力!$J$9,IF(AND(入力!$B$13&lt;&gt;"",入力!$B$13&gt;F29),入力!$B$13-1,999999),IF(AND(入力!$B$14&lt;&gt;"",入力!$B$14&gt;F29),入力!$B$14-1,999999),IF(AND(入力!$B$15&lt;&gt;"",入力!$B$15&gt;F29),入力!$B$15-1,999999),IF(AND(入力!$B$16&lt;&gt;"",入力!$B$16&gt;F29),入力!$B$16-1,999999),IF(AND(入力!$B$17&lt;&gt;"",入力!$B$17&gt;F29),入力!$B$17-1,999999),IF(AND(入力!$B$18&lt;&gt;"",入力!$B$18&gt;F29),入力!$B$18-1,999999),IF(AND(入力!$B$19&lt;&gt;"",入力!$B$19&gt;F29),入力!$B$19-1,999999),IF(AND(入力!$B$20&lt;&gt;"",入力!$B$20&gt;F29),入力!$B$20-1,999999),IF(AND(入力!$J$7&lt;&gt;"",入力!$J$7&gt;F29),入力!$J$7-1,999999),IFERROR(SMALL(入力!$B$86:$B$95,COUNTIF(入力!$B$86:$B$95,"&lt;="&amp;F29)+1)-1,999999)))</f>
        <v/>
      </c>
      <c r="H29" s="95">
        <f>IF(F29="","",IFERROR(VLOOKUP(B29,カレンダーマスタ!$A$2:$B$301,2,0),NETWORKDAYS(B29,EOMONTH(F29,0))))</f>
        <v/>
      </c>
      <c r="I29" s="94">
        <f>IF(F29="","",NETWORKDAYS(F29,G29))</f>
        <v/>
      </c>
      <c r="J29" s="95">
        <f>IF(F29="","",IF(入力!$C$8&lt;&gt;"",入力!$C$8,IF(F29&lt;入力!$J$5,IFERROR(INDEX(入力!$G$37:$G$78,MATCH(B29,入力!$A$37:$A$78,0)),入力!$J$10),入力!$J$10)))</f>
        <v/>
      </c>
      <c r="K29" s="95">
        <f>IF(F29="","",ROUNDDOWN(INDEX(入力!$H$13:$H$20,MATCH(F29,入力!$B$13:$B$20,1))/H29+INDEX(入力!$I$13:$I$20,MATCH(F29,入力!$B$13:$B$20,1))/22,0))</f>
        <v/>
      </c>
      <c r="L29" s="106">
        <f>IF(F29="","",IF(J29&gt;K29,"〇","×"))</f>
        <v/>
      </c>
      <c r="M29" s="95">
        <f>IF(F29="","",J29*I29)</f>
        <v/>
      </c>
      <c r="N29" s="95">
        <f>IF(F29="","",MIN(J29,K29)*I29)</f>
        <v/>
      </c>
      <c r="O29" s="96">
        <f>IF(F29="","",M29-N29)</f>
        <v/>
      </c>
      <c r="P29" s="107">
        <f>IF(F29="","",IFERROR(INDEX(入力!$G$37:$G$78,MATCH(B29,入力!$A$37:$A$78,0)),""))</f>
        <v/>
      </c>
      <c r="Q29" s="63">
        <f>IF(F29="","",IF(COUNTIFS($B$6:B29,B29,$C$6:C29,C29,$E$6:E29,E29)=1,MAX($Q$5:Q28)+1,""))</f>
        <v/>
      </c>
      <c r="R29" s="63">
        <f>IF(G29="","",IF(COUNTIFS(入力!$B$86:$B$95,"&lt;="&amp;(G29+1),入力!$C$86:$C$95,"&gt;="&amp;(G29+1))&gt;0,SUMIFS(入力!$C$86:$C$95,入力!$B$86:$B$95,"&lt;="&amp;(G29+1),入力!$C$86:$C$95,"&gt;="&amp;(G29+1))+1,G29+1))</f>
        <v/>
      </c>
      <c r="S29" s="63">
        <f>IF(R29="","",IF(COUNTIFS(入力!$B$86:$B$95,"&lt;="&amp;(R29),入力!$C$86:$C$95,"&gt;="&amp;(R29))&gt;0,SUMIFS(入力!$C$86:$C$95,入力!$B$86:$B$95,"&lt;="&amp;(R29),入力!$C$86:$C$95,"&gt;="&amp;(R29))+1,R29))</f>
        <v/>
      </c>
      <c r="T29" s="63" t="n"/>
      <c r="U29" s="63">
        <f>IF(OR(X28="",X28&gt;入力!$J$4+3650),"",X28)</f>
        <v/>
      </c>
      <c r="V29" s="63">
        <f>IF(U29="","",MIN(EOMONTH(U29,0),IF(AND(入力!$B$13&lt;&gt;"",入力!$B$13&gt;U29),入力!$B$13-1,999999),IF(AND(入力!$B$14&lt;&gt;"",入力!$B$14&gt;U29),入力!$B$14-1,999999),IF(AND(入力!$B$15&lt;&gt;"",入力!$B$15&gt;U29),入力!$B$15-1,999999),IF(AND(入力!$B$16&lt;&gt;"",入力!$B$16&gt;U29),入力!$B$16-1,999999),IF(AND(入力!$B$17&lt;&gt;"",入力!$B$17&gt;U29),入力!$B$17-1,999999),IF(AND(入力!$B$18&lt;&gt;"",入力!$B$18&gt;U29),入力!$B$18-1,999999),IF(AND(入力!$B$19&lt;&gt;"",入力!$B$19&gt;U29),入力!$B$19-1,999999),IF(AND(入力!$B$20&lt;&gt;"",入力!$B$20&gt;U29),入力!$B$20-1,999999),IFERROR(SMALL(入力!$B$86:$B$95,COUNTIF(入力!$B$86:$B$95,"&lt;="&amp;U29)+1)-1,999999)))</f>
        <v/>
      </c>
      <c r="W29" s="63">
        <f>IF(V29="","",IF(COUNTIFS(入力!$B$86:$B$95,"&lt;="&amp;(V29+1),入力!$C$86:$C$95,"&gt;="&amp;(V29+1))&gt;0,SUMIFS(入力!$C$86:$C$95,入力!$B$86:$B$95,"&lt;="&amp;(V29+1),入力!$C$86:$C$95,"&gt;="&amp;(V29+1))+1,V29+1))</f>
        <v/>
      </c>
      <c r="X29" s="63">
        <f>IF(W29="","",IF(COUNTIFS(入力!$B$86:$B$95,"&lt;="&amp;(W29),入力!$C$86:$C$95,"&gt;="&amp;(W29))&gt;0,SUMIFS(入力!$C$86:$C$95,入力!$B$86:$B$95,"&lt;="&amp;(W29),入力!$C$86:$C$95,"&gt;="&amp;(W29))+1,W29))</f>
        <v/>
      </c>
      <c r="Y29" s="63">
        <f>IF(U29="","",IFERROR(VLOOKUP(DATE(YEAR(U29),MONTH(U29),1),カレンダーマスタ!$A$2:$B$301,2,0),NETWORKDAYS(DATE(YEAR(U29),MONTH(U29),1),EOMONTH(U29,0))))</f>
        <v/>
      </c>
      <c r="Z29" s="63">
        <f>IF(U29="","",IF(入力!$C$8&lt;&gt;"",入力!$C$8,IFERROR(INDEX(入力!$G$37:$G$78,MATCH(DATE(YEAR(U29),MONTH(U29),1),入力!$A$37:$A$78,0)),0)))</f>
        <v/>
      </c>
      <c r="AA29" s="63">
        <f>IF(U29="","",ROUNDDOWN(INDEX(入力!$H$13:$H$20,MATCH(U29,入力!$B$13:$B$20,1))/Y29+INDEX(入力!$I$13:$I$20,MATCH(U29,入力!$B$13:$B$20,1))/22,0))</f>
        <v/>
      </c>
      <c r="AB29" s="63">
        <f>IF(U29="",0,IF(AND(Z29&gt;AA29,NETWORKDAYS(U29,V29)&gt;0),1,0))</f>
        <v/>
      </c>
      <c r="AC29" s="63" t="n"/>
      <c r="AD29" s="63" t="n"/>
    </row>
    <row r="30">
      <c r="A30" s="91">
        <f>IF(F30="","",25)</f>
        <v/>
      </c>
      <c r="B30" s="92">
        <f>IF(F30="","",DATE(YEAR(F30),MONTH(F30),1))</f>
        <v/>
      </c>
      <c r="C30" s="91">
        <f>IF(F30="","",MONTH(F30))</f>
        <v/>
      </c>
      <c r="D30" s="91">
        <f>IF(F30="","",INDEX(入力!$A$13:$A$20,MATCH(F30,入力!$B$13:$B$20,1)))</f>
        <v/>
      </c>
      <c r="E30" s="91">
        <f>IF(F30="","",IF(G30&lt;=入力!$J$6,"法定","附加"))</f>
        <v/>
      </c>
      <c r="F30" s="93">
        <f>IF(G29="","",IF(G29&gt;=入力!$J$9,"",IF(S29&gt;入力!$J$9,"",S29)))</f>
        <v/>
      </c>
      <c r="G30" s="93">
        <f>IF(F30="","",MIN(EOMONTH(F30,0),入力!$J$9,IF(AND(入力!$B$13&lt;&gt;"",入力!$B$13&gt;F30),入力!$B$13-1,999999),IF(AND(入力!$B$14&lt;&gt;"",入力!$B$14&gt;F30),入力!$B$14-1,999999),IF(AND(入力!$B$15&lt;&gt;"",入力!$B$15&gt;F30),入力!$B$15-1,999999),IF(AND(入力!$B$16&lt;&gt;"",入力!$B$16&gt;F30),入力!$B$16-1,999999),IF(AND(入力!$B$17&lt;&gt;"",入力!$B$17&gt;F30),入力!$B$17-1,999999),IF(AND(入力!$B$18&lt;&gt;"",入力!$B$18&gt;F30),入力!$B$18-1,999999),IF(AND(入力!$B$19&lt;&gt;"",入力!$B$19&gt;F30),入力!$B$19-1,999999),IF(AND(入力!$B$20&lt;&gt;"",入力!$B$20&gt;F30),入力!$B$20-1,999999),IF(AND(入力!$J$7&lt;&gt;"",入力!$J$7&gt;F30),入力!$J$7-1,999999),IFERROR(SMALL(入力!$B$86:$B$95,COUNTIF(入力!$B$86:$B$95,"&lt;="&amp;F30)+1)-1,999999)))</f>
        <v/>
      </c>
      <c r="H30" s="95">
        <f>IF(F30="","",IFERROR(VLOOKUP(B30,カレンダーマスタ!$A$2:$B$301,2,0),NETWORKDAYS(B30,EOMONTH(F30,0))))</f>
        <v/>
      </c>
      <c r="I30" s="94">
        <f>IF(F30="","",NETWORKDAYS(F30,G30))</f>
        <v/>
      </c>
      <c r="J30" s="95">
        <f>IF(F30="","",IF(入力!$C$8&lt;&gt;"",入力!$C$8,IF(F30&lt;入力!$J$5,IFERROR(INDEX(入力!$G$37:$G$78,MATCH(B30,入力!$A$37:$A$78,0)),入力!$J$10),入力!$J$10)))</f>
        <v/>
      </c>
      <c r="K30" s="95">
        <f>IF(F30="","",ROUNDDOWN(INDEX(入力!$H$13:$H$20,MATCH(F30,入力!$B$13:$B$20,1))/H30+INDEX(入力!$I$13:$I$20,MATCH(F30,入力!$B$13:$B$20,1))/22,0))</f>
        <v/>
      </c>
      <c r="L30" s="106">
        <f>IF(F30="","",IF(J30&gt;K30,"〇","×"))</f>
        <v/>
      </c>
      <c r="M30" s="95">
        <f>IF(F30="","",J30*I30)</f>
        <v/>
      </c>
      <c r="N30" s="95">
        <f>IF(F30="","",MIN(J30,K30)*I30)</f>
        <v/>
      </c>
      <c r="O30" s="96">
        <f>IF(F30="","",M30-N30)</f>
        <v/>
      </c>
      <c r="P30" s="107">
        <f>IF(F30="","",IFERROR(INDEX(入力!$G$37:$G$78,MATCH(B30,入力!$A$37:$A$78,0)),""))</f>
        <v/>
      </c>
      <c r="Q30" s="63">
        <f>IF(F30="","",IF(COUNTIFS($B$6:B30,B30,$C$6:C30,C30,$E$6:E30,E30)=1,MAX($Q$5:Q29)+1,""))</f>
        <v/>
      </c>
      <c r="R30" s="63">
        <f>IF(G30="","",IF(COUNTIFS(入力!$B$86:$B$95,"&lt;="&amp;(G30+1),入力!$C$86:$C$95,"&gt;="&amp;(G30+1))&gt;0,SUMIFS(入力!$C$86:$C$95,入力!$B$86:$B$95,"&lt;="&amp;(G30+1),入力!$C$86:$C$95,"&gt;="&amp;(G30+1))+1,G30+1))</f>
        <v/>
      </c>
      <c r="S30" s="63">
        <f>IF(R30="","",IF(COUNTIFS(入力!$B$86:$B$95,"&lt;="&amp;(R30),入力!$C$86:$C$95,"&gt;="&amp;(R30))&gt;0,SUMIFS(入力!$C$86:$C$95,入力!$B$86:$B$95,"&lt;="&amp;(R30),入力!$C$86:$C$95,"&gt;="&amp;(R30))+1,R30))</f>
        <v/>
      </c>
      <c r="T30" s="63" t="n"/>
      <c r="U30" s="63">
        <f>IF(OR(X29="",X29&gt;入力!$J$4+3650),"",X29)</f>
        <v/>
      </c>
      <c r="V30" s="63">
        <f>IF(U30="","",MIN(EOMONTH(U30,0),IF(AND(入力!$B$13&lt;&gt;"",入力!$B$13&gt;U30),入力!$B$13-1,999999),IF(AND(入力!$B$14&lt;&gt;"",入力!$B$14&gt;U30),入力!$B$14-1,999999),IF(AND(入力!$B$15&lt;&gt;"",入力!$B$15&gt;U30),入力!$B$15-1,999999),IF(AND(入力!$B$16&lt;&gt;"",入力!$B$16&gt;U30),入力!$B$16-1,999999),IF(AND(入力!$B$17&lt;&gt;"",入力!$B$17&gt;U30),入力!$B$17-1,999999),IF(AND(入力!$B$18&lt;&gt;"",入力!$B$18&gt;U30),入力!$B$18-1,999999),IF(AND(入力!$B$19&lt;&gt;"",入力!$B$19&gt;U30),入力!$B$19-1,999999),IF(AND(入力!$B$20&lt;&gt;"",入力!$B$20&gt;U30),入力!$B$20-1,999999),IFERROR(SMALL(入力!$B$86:$B$95,COUNTIF(入力!$B$86:$B$95,"&lt;="&amp;U30)+1)-1,999999)))</f>
        <v/>
      </c>
      <c r="W30" s="63">
        <f>IF(V30="","",IF(COUNTIFS(入力!$B$86:$B$95,"&lt;="&amp;(V30+1),入力!$C$86:$C$95,"&gt;="&amp;(V30+1))&gt;0,SUMIFS(入力!$C$86:$C$95,入力!$B$86:$B$95,"&lt;="&amp;(V30+1),入力!$C$86:$C$95,"&gt;="&amp;(V30+1))+1,V30+1))</f>
        <v/>
      </c>
      <c r="X30" s="63">
        <f>IF(W30="","",IF(COUNTIFS(入力!$B$86:$B$95,"&lt;="&amp;(W30),入力!$C$86:$C$95,"&gt;="&amp;(W30))&gt;0,SUMIFS(入力!$C$86:$C$95,入力!$B$86:$B$95,"&lt;="&amp;(W30),入力!$C$86:$C$95,"&gt;="&amp;(W30))+1,W30))</f>
        <v/>
      </c>
      <c r="Y30" s="63">
        <f>IF(U30="","",IFERROR(VLOOKUP(DATE(YEAR(U30),MONTH(U30),1),カレンダーマスタ!$A$2:$B$301,2,0),NETWORKDAYS(DATE(YEAR(U30),MONTH(U30),1),EOMONTH(U30,0))))</f>
        <v/>
      </c>
      <c r="Z30" s="63">
        <f>IF(U30="","",IF(入力!$C$8&lt;&gt;"",入力!$C$8,IFERROR(INDEX(入力!$G$37:$G$78,MATCH(DATE(YEAR(U30),MONTH(U30),1),入力!$A$37:$A$78,0)),0)))</f>
        <v/>
      </c>
      <c r="AA30" s="63">
        <f>IF(U30="","",ROUNDDOWN(INDEX(入力!$H$13:$H$20,MATCH(U30,入力!$B$13:$B$20,1))/Y30+INDEX(入力!$I$13:$I$20,MATCH(U30,入力!$B$13:$B$20,1))/22,0))</f>
        <v/>
      </c>
      <c r="AB30" s="63">
        <f>IF(U30="",0,IF(AND(Z30&gt;AA30,NETWORKDAYS(U30,V30)&gt;0),1,0))</f>
        <v/>
      </c>
      <c r="AC30" s="63" t="n"/>
      <c r="AD30" s="63" t="n"/>
    </row>
    <row r="31">
      <c r="A31" s="91">
        <f>IF(F31="","",26)</f>
        <v/>
      </c>
      <c r="B31" s="92">
        <f>IF(F31="","",DATE(YEAR(F31),MONTH(F31),1))</f>
        <v/>
      </c>
      <c r="C31" s="91">
        <f>IF(F31="","",MONTH(F31))</f>
        <v/>
      </c>
      <c r="D31" s="91">
        <f>IF(F31="","",INDEX(入力!$A$13:$A$20,MATCH(F31,入力!$B$13:$B$20,1)))</f>
        <v/>
      </c>
      <c r="E31" s="91">
        <f>IF(F31="","",IF(G31&lt;=入力!$J$6,"法定","附加"))</f>
        <v/>
      </c>
      <c r="F31" s="93">
        <f>IF(G30="","",IF(G30&gt;=入力!$J$9,"",IF(S30&gt;入力!$J$9,"",S30)))</f>
        <v/>
      </c>
      <c r="G31" s="93">
        <f>IF(F31="","",MIN(EOMONTH(F31,0),入力!$J$9,IF(AND(入力!$B$13&lt;&gt;"",入力!$B$13&gt;F31),入力!$B$13-1,999999),IF(AND(入力!$B$14&lt;&gt;"",入力!$B$14&gt;F31),入力!$B$14-1,999999),IF(AND(入力!$B$15&lt;&gt;"",入力!$B$15&gt;F31),入力!$B$15-1,999999),IF(AND(入力!$B$16&lt;&gt;"",入力!$B$16&gt;F31),入力!$B$16-1,999999),IF(AND(入力!$B$17&lt;&gt;"",入力!$B$17&gt;F31),入力!$B$17-1,999999),IF(AND(入力!$B$18&lt;&gt;"",入力!$B$18&gt;F31),入力!$B$18-1,999999),IF(AND(入力!$B$19&lt;&gt;"",入力!$B$19&gt;F31),入力!$B$19-1,999999),IF(AND(入力!$B$20&lt;&gt;"",入力!$B$20&gt;F31),入力!$B$20-1,999999),IF(AND(入力!$J$7&lt;&gt;"",入力!$J$7&gt;F31),入力!$J$7-1,999999),IFERROR(SMALL(入力!$B$86:$B$95,COUNTIF(入力!$B$86:$B$95,"&lt;="&amp;F31)+1)-1,999999)))</f>
        <v/>
      </c>
      <c r="H31" s="95">
        <f>IF(F31="","",IFERROR(VLOOKUP(B31,カレンダーマスタ!$A$2:$B$301,2,0),NETWORKDAYS(B31,EOMONTH(F31,0))))</f>
        <v/>
      </c>
      <c r="I31" s="94">
        <f>IF(F31="","",NETWORKDAYS(F31,G31))</f>
        <v/>
      </c>
      <c r="J31" s="95">
        <f>IF(F31="","",IF(入力!$C$8&lt;&gt;"",入力!$C$8,IF(F31&lt;入力!$J$5,IFERROR(INDEX(入力!$G$37:$G$78,MATCH(B31,入力!$A$37:$A$78,0)),入力!$J$10),入力!$J$10)))</f>
        <v/>
      </c>
      <c r="K31" s="95">
        <f>IF(F31="","",ROUNDDOWN(INDEX(入力!$H$13:$H$20,MATCH(F31,入力!$B$13:$B$20,1))/H31+INDEX(入力!$I$13:$I$20,MATCH(F31,入力!$B$13:$B$20,1))/22,0))</f>
        <v/>
      </c>
      <c r="L31" s="106">
        <f>IF(F31="","",IF(J31&gt;K31,"〇","×"))</f>
        <v/>
      </c>
      <c r="M31" s="95">
        <f>IF(F31="","",J31*I31)</f>
        <v/>
      </c>
      <c r="N31" s="95">
        <f>IF(F31="","",MIN(J31,K31)*I31)</f>
        <v/>
      </c>
      <c r="O31" s="96">
        <f>IF(F31="","",M31-N31)</f>
        <v/>
      </c>
      <c r="P31" s="107">
        <f>IF(F31="","",IFERROR(INDEX(入力!$G$37:$G$78,MATCH(B31,入力!$A$37:$A$78,0)),""))</f>
        <v/>
      </c>
      <c r="Q31" s="63">
        <f>IF(F31="","",IF(COUNTIFS($B$6:B31,B31,$C$6:C31,C31,$E$6:E31,E31)=1,MAX($Q$5:Q30)+1,""))</f>
        <v/>
      </c>
      <c r="R31" s="63">
        <f>IF(G31="","",IF(COUNTIFS(入力!$B$86:$B$95,"&lt;="&amp;(G31+1),入力!$C$86:$C$95,"&gt;="&amp;(G31+1))&gt;0,SUMIFS(入力!$C$86:$C$95,入力!$B$86:$B$95,"&lt;="&amp;(G31+1),入力!$C$86:$C$95,"&gt;="&amp;(G31+1))+1,G31+1))</f>
        <v/>
      </c>
      <c r="S31" s="63">
        <f>IF(R31="","",IF(COUNTIFS(入力!$B$86:$B$95,"&lt;="&amp;(R31),入力!$C$86:$C$95,"&gt;="&amp;(R31))&gt;0,SUMIFS(入力!$C$86:$C$95,入力!$B$86:$B$95,"&lt;="&amp;(R31),入力!$C$86:$C$95,"&gt;="&amp;(R31))+1,R31))</f>
        <v/>
      </c>
      <c r="T31" s="63" t="n"/>
      <c r="U31" s="63">
        <f>IF(OR(X30="",X30&gt;入力!$J$4+3650),"",X30)</f>
        <v/>
      </c>
      <c r="V31" s="63">
        <f>IF(U31="","",MIN(EOMONTH(U31,0),IF(AND(入力!$B$13&lt;&gt;"",入力!$B$13&gt;U31),入力!$B$13-1,999999),IF(AND(入力!$B$14&lt;&gt;"",入力!$B$14&gt;U31),入力!$B$14-1,999999),IF(AND(入力!$B$15&lt;&gt;"",入力!$B$15&gt;U31),入力!$B$15-1,999999),IF(AND(入力!$B$16&lt;&gt;"",入力!$B$16&gt;U31),入力!$B$16-1,999999),IF(AND(入力!$B$17&lt;&gt;"",入力!$B$17&gt;U31),入力!$B$17-1,999999),IF(AND(入力!$B$18&lt;&gt;"",入力!$B$18&gt;U31),入力!$B$18-1,999999),IF(AND(入力!$B$19&lt;&gt;"",入力!$B$19&gt;U31),入力!$B$19-1,999999),IF(AND(入力!$B$20&lt;&gt;"",入力!$B$20&gt;U31),入力!$B$20-1,999999),IFERROR(SMALL(入力!$B$86:$B$95,COUNTIF(入力!$B$86:$B$95,"&lt;="&amp;U31)+1)-1,999999)))</f>
        <v/>
      </c>
      <c r="W31" s="63">
        <f>IF(V31="","",IF(COUNTIFS(入力!$B$86:$B$95,"&lt;="&amp;(V31+1),入力!$C$86:$C$95,"&gt;="&amp;(V31+1))&gt;0,SUMIFS(入力!$C$86:$C$95,入力!$B$86:$B$95,"&lt;="&amp;(V31+1),入力!$C$86:$C$95,"&gt;="&amp;(V31+1))+1,V31+1))</f>
        <v/>
      </c>
      <c r="X31" s="63">
        <f>IF(W31="","",IF(COUNTIFS(入力!$B$86:$B$95,"&lt;="&amp;(W31),入力!$C$86:$C$95,"&gt;="&amp;(W31))&gt;0,SUMIFS(入力!$C$86:$C$95,入力!$B$86:$B$95,"&lt;="&amp;(W31),入力!$C$86:$C$95,"&gt;="&amp;(W31))+1,W31))</f>
        <v/>
      </c>
      <c r="Y31" s="63">
        <f>IF(U31="","",IFERROR(VLOOKUP(DATE(YEAR(U31),MONTH(U31),1),カレンダーマスタ!$A$2:$B$301,2,0),NETWORKDAYS(DATE(YEAR(U31),MONTH(U31),1),EOMONTH(U31,0))))</f>
        <v/>
      </c>
      <c r="Z31" s="63">
        <f>IF(U31="","",IF(入力!$C$8&lt;&gt;"",入力!$C$8,IFERROR(INDEX(入力!$G$37:$G$78,MATCH(DATE(YEAR(U31),MONTH(U31),1),入力!$A$37:$A$78,0)),0)))</f>
        <v/>
      </c>
      <c r="AA31" s="63">
        <f>IF(U31="","",ROUNDDOWN(INDEX(入力!$H$13:$H$20,MATCH(U31,入力!$B$13:$B$20,1))/Y31+INDEX(入力!$I$13:$I$20,MATCH(U31,入力!$B$13:$B$20,1))/22,0))</f>
        <v/>
      </c>
      <c r="AB31" s="63">
        <f>IF(U31="",0,IF(AND(Z31&gt;AA31,NETWORKDAYS(U31,V31)&gt;0),1,0))</f>
        <v/>
      </c>
      <c r="AC31" s="63" t="n"/>
      <c r="AD31" s="63" t="n"/>
    </row>
    <row r="32">
      <c r="A32" s="91">
        <f>IF(F32="","",27)</f>
        <v/>
      </c>
      <c r="B32" s="92">
        <f>IF(F32="","",DATE(YEAR(F32),MONTH(F32),1))</f>
        <v/>
      </c>
      <c r="C32" s="91">
        <f>IF(F32="","",MONTH(F32))</f>
        <v/>
      </c>
      <c r="D32" s="91">
        <f>IF(F32="","",INDEX(入力!$A$13:$A$20,MATCH(F32,入力!$B$13:$B$20,1)))</f>
        <v/>
      </c>
      <c r="E32" s="91">
        <f>IF(F32="","",IF(G32&lt;=入力!$J$6,"法定","附加"))</f>
        <v/>
      </c>
      <c r="F32" s="93">
        <f>IF(G31="","",IF(G31&gt;=入力!$J$9,"",IF(S31&gt;入力!$J$9,"",S31)))</f>
        <v/>
      </c>
      <c r="G32" s="93">
        <f>IF(F32="","",MIN(EOMONTH(F32,0),入力!$J$9,IF(AND(入力!$B$13&lt;&gt;"",入力!$B$13&gt;F32),入力!$B$13-1,999999),IF(AND(入力!$B$14&lt;&gt;"",入力!$B$14&gt;F32),入力!$B$14-1,999999),IF(AND(入力!$B$15&lt;&gt;"",入力!$B$15&gt;F32),入力!$B$15-1,999999),IF(AND(入力!$B$16&lt;&gt;"",入力!$B$16&gt;F32),入力!$B$16-1,999999),IF(AND(入力!$B$17&lt;&gt;"",入力!$B$17&gt;F32),入力!$B$17-1,999999),IF(AND(入力!$B$18&lt;&gt;"",入力!$B$18&gt;F32),入力!$B$18-1,999999),IF(AND(入力!$B$19&lt;&gt;"",入力!$B$19&gt;F32),入力!$B$19-1,999999),IF(AND(入力!$B$20&lt;&gt;"",入力!$B$20&gt;F32),入力!$B$20-1,999999),IF(AND(入力!$J$7&lt;&gt;"",入力!$J$7&gt;F32),入力!$J$7-1,999999),IFERROR(SMALL(入力!$B$86:$B$95,COUNTIF(入力!$B$86:$B$95,"&lt;="&amp;F32)+1)-1,999999)))</f>
        <v/>
      </c>
      <c r="H32" s="95">
        <f>IF(F32="","",IFERROR(VLOOKUP(B32,カレンダーマスタ!$A$2:$B$301,2,0),NETWORKDAYS(B32,EOMONTH(F32,0))))</f>
        <v/>
      </c>
      <c r="I32" s="94">
        <f>IF(F32="","",NETWORKDAYS(F32,G32))</f>
        <v/>
      </c>
      <c r="J32" s="95">
        <f>IF(F32="","",IF(入力!$C$8&lt;&gt;"",入力!$C$8,IF(F32&lt;入力!$J$5,IFERROR(INDEX(入力!$G$37:$G$78,MATCH(B32,入力!$A$37:$A$78,0)),入力!$J$10),入力!$J$10)))</f>
        <v/>
      </c>
      <c r="K32" s="95">
        <f>IF(F32="","",ROUNDDOWN(INDEX(入力!$H$13:$H$20,MATCH(F32,入力!$B$13:$B$20,1))/H32+INDEX(入力!$I$13:$I$20,MATCH(F32,入力!$B$13:$B$20,1))/22,0))</f>
        <v/>
      </c>
      <c r="L32" s="106">
        <f>IF(F32="","",IF(J32&gt;K32,"〇","×"))</f>
        <v/>
      </c>
      <c r="M32" s="95">
        <f>IF(F32="","",J32*I32)</f>
        <v/>
      </c>
      <c r="N32" s="95">
        <f>IF(F32="","",MIN(J32,K32)*I32)</f>
        <v/>
      </c>
      <c r="O32" s="96">
        <f>IF(F32="","",M32-N32)</f>
        <v/>
      </c>
      <c r="P32" s="107">
        <f>IF(F32="","",IFERROR(INDEX(入力!$G$37:$G$78,MATCH(B32,入力!$A$37:$A$78,0)),""))</f>
        <v/>
      </c>
      <c r="Q32" s="63">
        <f>IF(F32="","",IF(COUNTIFS($B$6:B32,B32,$C$6:C32,C32,$E$6:E32,E32)=1,MAX($Q$5:Q31)+1,""))</f>
        <v/>
      </c>
      <c r="R32" s="63">
        <f>IF(G32="","",IF(COUNTIFS(入力!$B$86:$B$95,"&lt;="&amp;(G32+1),入力!$C$86:$C$95,"&gt;="&amp;(G32+1))&gt;0,SUMIFS(入力!$C$86:$C$95,入力!$B$86:$B$95,"&lt;="&amp;(G32+1),入力!$C$86:$C$95,"&gt;="&amp;(G32+1))+1,G32+1))</f>
        <v/>
      </c>
      <c r="S32" s="63">
        <f>IF(R32="","",IF(COUNTIFS(入力!$B$86:$B$95,"&lt;="&amp;(R32),入力!$C$86:$C$95,"&gt;="&amp;(R32))&gt;0,SUMIFS(入力!$C$86:$C$95,入力!$B$86:$B$95,"&lt;="&amp;(R32),入力!$C$86:$C$95,"&gt;="&amp;(R32))+1,R32))</f>
        <v/>
      </c>
      <c r="T32" s="63" t="n"/>
      <c r="U32" s="63">
        <f>IF(OR(X31="",X31&gt;入力!$J$4+3650),"",X31)</f>
        <v/>
      </c>
      <c r="V32" s="63">
        <f>IF(U32="","",MIN(EOMONTH(U32,0),IF(AND(入力!$B$13&lt;&gt;"",入力!$B$13&gt;U32),入力!$B$13-1,999999),IF(AND(入力!$B$14&lt;&gt;"",入力!$B$14&gt;U32),入力!$B$14-1,999999),IF(AND(入力!$B$15&lt;&gt;"",入力!$B$15&gt;U32),入力!$B$15-1,999999),IF(AND(入力!$B$16&lt;&gt;"",入力!$B$16&gt;U32),入力!$B$16-1,999999),IF(AND(入力!$B$17&lt;&gt;"",入力!$B$17&gt;U32),入力!$B$17-1,999999),IF(AND(入力!$B$18&lt;&gt;"",入力!$B$18&gt;U32),入力!$B$18-1,999999),IF(AND(入力!$B$19&lt;&gt;"",入力!$B$19&gt;U32),入力!$B$19-1,999999),IF(AND(入力!$B$20&lt;&gt;"",入力!$B$20&gt;U32),入力!$B$20-1,999999),IFERROR(SMALL(入力!$B$86:$B$95,COUNTIF(入力!$B$86:$B$95,"&lt;="&amp;U32)+1)-1,999999)))</f>
        <v/>
      </c>
      <c r="W32" s="63">
        <f>IF(V32="","",IF(COUNTIFS(入力!$B$86:$B$95,"&lt;="&amp;(V32+1),入力!$C$86:$C$95,"&gt;="&amp;(V32+1))&gt;0,SUMIFS(入力!$C$86:$C$95,入力!$B$86:$B$95,"&lt;="&amp;(V32+1),入力!$C$86:$C$95,"&gt;="&amp;(V32+1))+1,V32+1))</f>
        <v/>
      </c>
      <c r="X32" s="63">
        <f>IF(W32="","",IF(COUNTIFS(入力!$B$86:$B$95,"&lt;="&amp;(W32),入力!$C$86:$C$95,"&gt;="&amp;(W32))&gt;0,SUMIFS(入力!$C$86:$C$95,入力!$B$86:$B$95,"&lt;="&amp;(W32),入力!$C$86:$C$95,"&gt;="&amp;(W32))+1,W32))</f>
        <v/>
      </c>
      <c r="Y32" s="63">
        <f>IF(U32="","",IFERROR(VLOOKUP(DATE(YEAR(U32),MONTH(U32),1),カレンダーマスタ!$A$2:$B$301,2,0),NETWORKDAYS(DATE(YEAR(U32),MONTH(U32),1),EOMONTH(U32,0))))</f>
        <v/>
      </c>
      <c r="Z32" s="63">
        <f>IF(U32="","",IF(入力!$C$8&lt;&gt;"",入力!$C$8,IFERROR(INDEX(入力!$G$37:$G$78,MATCH(DATE(YEAR(U32),MONTH(U32),1),入力!$A$37:$A$78,0)),0)))</f>
        <v/>
      </c>
      <c r="AA32" s="63">
        <f>IF(U32="","",ROUNDDOWN(INDEX(入力!$H$13:$H$20,MATCH(U32,入力!$B$13:$B$20,1))/Y32+INDEX(入力!$I$13:$I$20,MATCH(U32,入力!$B$13:$B$20,1))/22,0))</f>
        <v/>
      </c>
      <c r="AB32" s="63">
        <f>IF(U32="",0,IF(AND(Z32&gt;AA32,NETWORKDAYS(U32,V32)&gt;0),1,0))</f>
        <v/>
      </c>
      <c r="AC32" s="63" t="n"/>
      <c r="AD32" s="63" t="n"/>
    </row>
    <row r="33">
      <c r="A33" s="91">
        <f>IF(F33="","",28)</f>
        <v/>
      </c>
      <c r="B33" s="92">
        <f>IF(F33="","",DATE(YEAR(F33),MONTH(F33),1))</f>
        <v/>
      </c>
      <c r="C33" s="91">
        <f>IF(F33="","",MONTH(F33))</f>
        <v/>
      </c>
      <c r="D33" s="91">
        <f>IF(F33="","",INDEX(入力!$A$13:$A$20,MATCH(F33,入力!$B$13:$B$20,1)))</f>
        <v/>
      </c>
      <c r="E33" s="91">
        <f>IF(F33="","",IF(G33&lt;=入力!$J$6,"法定","附加"))</f>
        <v/>
      </c>
      <c r="F33" s="93">
        <f>IF(G32="","",IF(G32&gt;=入力!$J$9,"",IF(S32&gt;入力!$J$9,"",S32)))</f>
        <v/>
      </c>
      <c r="G33" s="93">
        <f>IF(F33="","",MIN(EOMONTH(F33,0),入力!$J$9,IF(AND(入力!$B$13&lt;&gt;"",入力!$B$13&gt;F33),入力!$B$13-1,999999),IF(AND(入力!$B$14&lt;&gt;"",入力!$B$14&gt;F33),入力!$B$14-1,999999),IF(AND(入力!$B$15&lt;&gt;"",入力!$B$15&gt;F33),入力!$B$15-1,999999),IF(AND(入力!$B$16&lt;&gt;"",入力!$B$16&gt;F33),入力!$B$16-1,999999),IF(AND(入力!$B$17&lt;&gt;"",入力!$B$17&gt;F33),入力!$B$17-1,999999),IF(AND(入力!$B$18&lt;&gt;"",入力!$B$18&gt;F33),入力!$B$18-1,999999),IF(AND(入力!$B$19&lt;&gt;"",入力!$B$19&gt;F33),入力!$B$19-1,999999),IF(AND(入力!$B$20&lt;&gt;"",入力!$B$20&gt;F33),入力!$B$20-1,999999),IF(AND(入力!$J$7&lt;&gt;"",入力!$J$7&gt;F33),入力!$J$7-1,999999),IFERROR(SMALL(入力!$B$86:$B$95,COUNTIF(入力!$B$86:$B$95,"&lt;="&amp;F33)+1)-1,999999)))</f>
        <v/>
      </c>
      <c r="H33" s="95">
        <f>IF(F33="","",IFERROR(VLOOKUP(B33,カレンダーマスタ!$A$2:$B$301,2,0),NETWORKDAYS(B33,EOMONTH(F33,0))))</f>
        <v/>
      </c>
      <c r="I33" s="94">
        <f>IF(F33="","",NETWORKDAYS(F33,G33))</f>
        <v/>
      </c>
      <c r="J33" s="95">
        <f>IF(F33="","",IF(入力!$C$8&lt;&gt;"",入力!$C$8,IF(F33&lt;入力!$J$5,IFERROR(INDEX(入力!$G$37:$G$78,MATCH(B33,入力!$A$37:$A$78,0)),入力!$J$10),入力!$J$10)))</f>
        <v/>
      </c>
      <c r="K33" s="95">
        <f>IF(F33="","",ROUNDDOWN(INDEX(入力!$H$13:$H$20,MATCH(F33,入力!$B$13:$B$20,1))/H33+INDEX(入力!$I$13:$I$20,MATCH(F33,入力!$B$13:$B$20,1))/22,0))</f>
        <v/>
      </c>
      <c r="L33" s="106">
        <f>IF(F33="","",IF(J33&gt;K33,"〇","×"))</f>
        <v/>
      </c>
      <c r="M33" s="95">
        <f>IF(F33="","",J33*I33)</f>
        <v/>
      </c>
      <c r="N33" s="95">
        <f>IF(F33="","",MIN(J33,K33)*I33)</f>
        <v/>
      </c>
      <c r="O33" s="96">
        <f>IF(F33="","",M33-N33)</f>
        <v/>
      </c>
      <c r="P33" s="107">
        <f>IF(F33="","",IFERROR(INDEX(入力!$G$37:$G$78,MATCH(B33,入力!$A$37:$A$78,0)),""))</f>
        <v/>
      </c>
      <c r="Q33" s="63">
        <f>IF(F33="","",IF(COUNTIFS($B$6:B33,B33,$C$6:C33,C33,$E$6:E33,E33)=1,MAX($Q$5:Q32)+1,""))</f>
        <v/>
      </c>
      <c r="R33" s="63">
        <f>IF(G33="","",IF(COUNTIFS(入力!$B$86:$B$95,"&lt;="&amp;(G33+1),入力!$C$86:$C$95,"&gt;="&amp;(G33+1))&gt;0,SUMIFS(入力!$C$86:$C$95,入力!$B$86:$B$95,"&lt;="&amp;(G33+1),入力!$C$86:$C$95,"&gt;="&amp;(G33+1))+1,G33+1))</f>
        <v/>
      </c>
      <c r="S33" s="63">
        <f>IF(R33="","",IF(COUNTIFS(入力!$B$86:$B$95,"&lt;="&amp;(R33),入力!$C$86:$C$95,"&gt;="&amp;(R33))&gt;0,SUMIFS(入力!$C$86:$C$95,入力!$B$86:$B$95,"&lt;="&amp;(R33),入力!$C$86:$C$95,"&gt;="&amp;(R33))+1,R33))</f>
        <v/>
      </c>
      <c r="T33" s="63" t="n"/>
      <c r="U33" s="63">
        <f>IF(OR(X32="",X32&gt;入力!$J$4+3650),"",X32)</f>
        <v/>
      </c>
      <c r="V33" s="63">
        <f>IF(U33="","",MIN(EOMONTH(U33,0),IF(AND(入力!$B$13&lt;&gt;"",入力!$B$13&gt;U33),入力!$B$13-1,999999),IF(AND(入力!$B$14&lt;&gt;"",入力!$B$14&gt;U33),入力!$B$14-1,999999),IF(AND(入力!$B$15&lt;&gt;"",入力!$B$15&gt;U33),入力!$B$15-1,999999),IF(AND(入力!$B$16&lt;&gt;"",入力!$B$16&gt;U33),入力!$B$16-1,999999),IF(AND(入力!$B$17&lt;&gt;"",入力!$B$17&gt;U33),入力!$B$17-1,999999),IF(AND(入力!$B$18&lt;&gt;"",入力!$B$18&gt;U33),入力!$B$18-1,999999),IF(AND(入力!$B$19&lt;&gt;"",入力!$B$19&gt;U33),入力!$B$19-1,999999),IF(AND(入力!$B$20&lt;&gt;"",入力!$B$20&gt;U33),入力!$B$20-1,999999),IFERROR(SMALL(入力!$B$86:$B$95,COUNTIF(入力!$B$86:$B$95,"&lt;="&amp;U33)+1)-1,999999)))</f>
        <v/>
      </c>
      <c r="W33" s="63">
        <f>IF(V33="","",IF(COUNTIFS(入力!$B$86:$B$95,"&lt;="&amp;(V33+1),入力!$C$86:$C$95,"&gt;="&amp;(V33+1))&gt;0,SUMIFS(入力!$C$86:$C$95,入力!$B$86:$B$95,"&lt;="&amp;(V33+1),入力!$C$86:$C$95,"&gt;="&amp;(V33+1))+1,V33+1))</f>
        <v/>
      </c>
      <c r="X33" s="63">
        <f>IF(W33="","",IF(COUNTIFS(入力!$B$86:$B$95,"&lt;="&amp;(W33),入力!$C$86:$C$95,"&gt;="&amp;(W33))&gt;0,SUMIFS(入力!$C$86:$C$95,入力!$B$86:$B$95,"&lt;="&amp;(W33),入力!$C$86:$C$95,"&gt;="&amp;(W33))+1,W33))</f>
        <v/>
      </c>
      <c r="Y33" s="63">
        <f>IF(U33="","",IFERROR(VLOOKUP(DATE(YEAR(U33),MONTH(U33),1),カレンダーマスタ!$A$2:$B$301,2,0),NETWORKDAYS(DATE(YEAR(U33),MONTH(U33),1),EOMONTH(U33,0))))</f>
        <v/>
      </c>
      <c r="Z33" s="63">
        <f>IF(U33="","",IF(入力!$C$8&lt;&gt;"",入力!$C$8,IFERROR(INDEX(入力!$G$37:$G$78,MATCH(DATE(YEAR(U33),MONTH(U33),1),入力!$A$37:$A$78,0)),0)))</f>
        <v/>
      </c>
      <c r="AA33" s="63">
        <f>IF(U33="","",ROUNDDOWN(INDEX(入力!$H$13:$H$20,MATCH(U33,入力!$B$13:$B$20,1))/Y33+INDEX(入力!$I$13:$I$20,MATCH(U33,入力!$B$13:$B$20,1))/22,0))</f>
        <v/>
      </c>
      <c r="AB33" s="63">
        <f>IF(U33="",0,IF(AND(Z33&gt;AA33,NETWORKDAYS(U33,V33)&gt;0),1,0))</f>
        <v/>
      </c>
      <c r="AC33" s="63" t="n"/>
      <c r="AD33" s="63" t="n"/>
    </row>
    <row r="34">
      <c r="A34" s="91">
        <f>IF(F34="","",29)</f>
        <v/>
      </c>
      <c r="B34" s="92">
        <f>IF(F34="","",DATE(YEAR(F34),MONTH(F34),1))</f>
        <v/>
      </c>
      <c r="C34" s="91">
        <f>IF(F34="","",MONTH(F34))</f>
        <v/>
      </c>
      <c r="D34" s="91">
        <f>IF(F34="","",INDEX(入力!$A$13:$A$20,MATCH(F34,入力!$B$13:$B$20,1)))</f>
        <v/>
      </c>
      <c r="E34" s="91">
        <f>IF(F34="","",IF(G34&lt;=入力!$J$6,"法定","附加"))</f>
        <v/>
      </c>
      <c r="F34" s="93">
        <f>IF(G33="","",IF(G33&gt;=入力!$J$9,"",IF(S33&gt;入力!$J$9,"",S33)))</f>
        <v/>
      </c>
      <c r="G34" s="93">
        <f>IF(F34="","",MIN(EOMONTH(F34,0),入力!$J$9,IF(AND(入力!$B$13&lt;&gt;"",入力!$B$13&gt;F34),入力!$B$13-1,999999),IF(AND(入力!$B$14&lt;&gt;"",入力!$B$14&gt;F34),入力!$B$14-1,999999),IF(AND(入力!$B$15&lt;&gt;"",入力!$B$15&gt;F34),入力!$B$15-1,999999),IF(AND(入力!$B$16&lt;&gt;"",入力!$B$16&gt;F34),入力!$B$16-1,999999),IF(AND(入力!$B$17&lt;&gt;"",入力!$B$17&gt;F34),入力!$B$17-1,999999),IF(AND(入力!$B$18&lt;&gt;"",入力!$B$18&gt;F34),入力!$B$18-1,999999),IF(AND(入力!$B$19&lt;&gt;"",入力!$B$19&gt;F34),入力!$B$19-1,999999),IF(AND(入力!$B$20&lt;&gt;"",入力!$B$20&gt;F34),入力!$B$20-1,999999),IF(AND(入力!$J$7&lt;&gt;"",入力!$J$7&gt;F34),入力!$J$7-1,999999),IFERROR(SMALL(入力!$B$86:$B$95,COUNTIF(入力!$B$86:$B$95,"&lt;="&amp;F34)+1)-1,999999)))</f>
        <v/>
      </c>
      <c r="H34" s="95">
        <f>IF(F34="","",IFERROR(VLOOKUP(B34,カレンダーマスタ!$A$2:$B$301,2,0),NETWORKDAYS(B34,EOMONTH(F34,0))))</f>
        <v/>
      </c>
      <c r="I34" s="94">
        <f>IF(F34="","",NETWORKDAYS(F34,G34))</f>
        <v/>
      </c>
      <c r="J34" s="95">
        <f>IF(F34="","",IF(入力!$C$8&lt;&gt;"",入力!$C$8,IF(F34&lt;入力!$J$5,IFERROR(INDEX(入力!$G$37:$G$78,MATCH(B34,入力!$A$37:$A$78,0)),入力!$J$10),入力!$J$10)))</f>
        <v/>
      </c>
      <c r="K34" s="95">
        <f>IF(F34="","",ROUNDDOWN(INDEX(入力!$H$13:$H$20,MATCH(F34,入力!$B$13:$B$20,1))/H34+INDEX(入力!$I$13:$I$20,MATCH(F34,入力!$B$13:$B$20,1))/22,0))</f>
        <v/>
      </c>
      <c r="L34" s="106">
        <f>IF(F34="","",IF(J34&gt;K34,"〇","×"))</f>
        <v/>
      </c>
      <c r="M34" s="95">
        <f>IF(F34="","",J34*I34)</f>
        <v/>
      </c>
      <c r="N34" s="95">
        <f>IF(F34="","",MIN(J34,K34)*I34)</f>
        <v/>
      </c>
      <c r="O34" s="96">
        <f>IF(F34="","",M34-N34)</f>
        <v/>
      </c>
      <c r="P34" s="107">
        <f>IF(F34="","",IFERROR(INDEX(入力!$G$37:$G$78,MATCH(B34,入力!$A$37:$A$78,0)),""))</f>
        <v/>
      </c>
      <c r="Q34" s="63">
        <f>IF(F34="","",IF(COUNTIFS($B$6:B34,B34,$C$6:C34,C34,$E$6:E34,E34)=1,MAX($Q$5:Q33)+1,""))</f>
        <v/>
      </c>
      <c r="R34" s="63">
        <f>IF(G34="","",IF(COUNTIFS(入力!$B$86:$B$95,"&lt;="&amp;(G34+1),入力!$C$86:$C$95,"&gt;="&amp;(G34+1))&gt;0,SUMIFS(入力!$C$86:$C$95,入力!$B$86:$B$95,"&lt;="&amp;(G34+1),入力!$C$86:$C$95,"&gt;="&amp;(G34+1))+1,G34+1))</f>
        <v/>
      </c>
      <c r="S34" s="63">
        <f>IF(R34="","",IF(COUNTIFS(入力!$B$86:$B$95,"&lt;="&amp;(R34),入力!$C$86:$C$95,"&gt;="&amp;(R34))&gt;0,SUMIFS(入力!$C$86:$C$95,入力!$B$86:$B$95,"&lt;="&amp;(R34),入力!$C$86:$C$95,"&gt;="&amp;(R34))+1,R34))</f>
        <v/>
      </c>
      <c r="T34" s="63" t="n"/>
      <c r="U34" s="63">
        <f>IF(OR(X33="",X33&gt;入力!$J$4+3650),"",X33)</f>
        <v/>
      </c>
      <c r="V34" s="63">
        <f>IF(U34="","",MIN(EOMONTH(U34,0),IF(AND(入力!$B$13&lt;&gt;"",入力!$B$13&gt;U34),入力!$B$13-1,999999),IF(AND(入力!$B$14&lt;&gt;"",入力!$B$14&gt;U34),入力!$B$14-1,999999),IF(AND(入力!$B$15&lt;&gt;"",入力!$B$15&gt;U34),入力!$B$15-1,999999),IF(AND(入力!$B$16&lt;&gt;"",入力!$B$16&gt;U34),入力!$B$16-1,999999),IF(AND(入力!$B$17&lt;&gt;"",入力!$B$17&gt;U34),入力!$B$17-1,999999),IF(AND(入力!$B$18&lt;&gt;"",入力!$B$18&gt;U34),入力!$B$18-1,999999),IF(AND(入力!$B$19&lt;&gt;"",入力!$B$19&gt;U34),入力!$B$19-1,999999),IF(AND(入力!$B$20&lt;&gt;"",入力!$B$20&gt;U34),入力!$B$20-1,999999),IFERROR(SMALL(入力!$B$86:$B$95,COUNTIF(入力!$B$86:$B$95,"&lt;="&amp;U34)+1)-1,999999)))</f>
        <v/>
      </c>
      <c r="W34" s="63">
        <f>IF(V34="","",IF(COUNTIFS(入力!$B$86:$B$95,"&lt;="&amp;(V34+1),入力!$C$86:$C$95,"&gt;="&amp;(V34+1))&gt;0,SUMIFS(入力!$C$86:$C$95,入力!$B$86:$B$95,"&lt;="&amp;(V34+1),入力!$C$86:$C$95,"&gt;="&amp;(V34+1))+1,V34+1))</f>
        <v/>
      </c>
      <c r="X34" s="63">
        <f>IF(W34="","",IF(COUNTIFS(入力!$B$86:$B$95,"&lt;="&amp;(W34),入力!$C$86:$C$95,"&gt;="&amp;(W34))&gt;0,SUMIFS(入力!$C$86:$C$95,入力!$B$86:$B$95,"&lt;="&amp;(W34),入力!$C$86:$C$95,"&gt;="&amp;(W34))+1,W34))</f>
        <v/>
      </c>
      <c r="Y34" s="63">
        <f>IF(U34="","",IFERROR(VLOOKUP(DATE(YEAR(U34),MONTH(U34),1),カレンダーマスタ!$A$2:$B$301,2,0),NETWORKDAYS(DATE(YEAR(U34),MONTH(U34),1),EOMONTH(U34,0))))</f>
        <v/>
      </c>
      <c r="Z34" s="63">
        <f>IF(U34="","",IF(入力!$C$8&lt;&gt;"",入力!$C$8,IFERROR(INDEX(入力!$G$37:$G$78,MATCH(DATE(YEAR(U34),MONTH(U34),1),入力!$A$37:$A$78,0)),0)))</f>
        <v/>
      </c>
      <c r="AA34" s="63">
        <f>IF(U34="","",ROUNDDOWN(INDEX(入力!$H$13:$H$20,MATCH(U34,入力!$B$13:$B$20,1))/Y34+INDEX(入力!$I$13:$I$20,MATCH(U34,入力!$B$13:$B$20,1))/22,0))</f>
        <v/>
      </c>
      <c r="AB34" s="63">
        <f>IF(U34="",0,IF(AND(Z34&gt;AA34,NETWORKDAYS(U34,V34)&gt;0),1,0))</f>
        <v/>
      </c>
      <c r="AC34" s="63" t="n"/>
      <c r="AD34" s="63" t="n"/>
    </row>
    <row r="35">
      <c r="A35" s="91">
        <f>IF(F35="","",30)</f>
        <v/>
      </c>
      <c r="B35" s="92">
        <f>IF(F35="","",DATE(YEAR(F35),MONTH(F35),1))</f>
        <v/>
      </c>
      <c r="C35" s="91">
        <f>IF(F35="","",MONTH(F35))</f>
        <v/>
      </c>
      <c r="D35" s="91">
        <f>IF(F35="","",INDEX(入力!$A$13:$A$20,MATCH(F35,入力!$B$13:$B$20,1)))</f>
        <v/>
      </c>
      <c r="E35" s="91">
        <f>IF(F35="","",IF(G35&lt;=入力!$J$6,"法定","附加"))</f>
        <v/>
      </c>
      <c r="F35" s="93">
        <f>IF(G34="","",IF(G34&gt;=入力!$J$9,"",IF(S34&gt;入力!$J$9,"",S34)))</f>
        <v/>
      </c>
      <c r="G35" s="93">
        <f>IF(F35="","",MIN(EOMONTH(F35,0),入力!$J$9,IF(AND(入力!$B$13&lt;&gt;"",入力!$B$13&gt;F35),入力!$B$13-1,999999),IF(AND(入力!$B$14&lt;&gt;"",入力!$B$14&gt;F35),入力!$B$14-1,999999),IF(AND(入力!$B$15&lt;&gt;"",入力!$B$15&gt;F35),入力!$B$15-1,999999),IF(AND(入力!$B$16&lt;&gt;"",入力!$B$16&gt;F35),入力!$B$16-1,999999),IF(AND(入力!$B$17&lt;&gt;"",入力!$B$17&gt;F35),入力!$B$17-1,999999),IF(AND(入力!$B$18&lt;&gt;"",入力!$B$18&gt;F35),入力!$B$18-1,999999),IF(AND(入力!$B$19&lt;&gt;"",入力!$B$19&gt;F35),入力!$B$19-1,999999),IF(AND(入力!$B$20&lt;&gt;"",入力!$B$20&gt;F35),入力!$B$20-1,999999),IF(AND(入力!$J$7&lt;&gt;"",入力!$J$7&gt;F35),入力!$J$7-1,999999),IFERROR(SMALL(入力!$B$86:$B$95,COUNTIF(入力!$B$86:$B$95,"&lt;="&amp;F35)+1)-1,999999)))</f>
        <v/>
      </c>
      <c r="H35" s="95">
        <f>IF(F35="","",IFERROR(VLOOKUP(B35,カレンダーマスタ!$A$2:$B$301,2,0),NETWORKDAYS(B35,EOMONTH(F35,0))))</f>
        <v/>
      </c>
      <c r="I35" s="94">
        <f>IF(F35="","",NETWORKDAYS(F35,G35))</f>
        <v/>
      </c>
      <c r="J35" s="95">
        <f>IF(F35="","",IF(入力!$C$8&lt;&gt;"",入力!$C$8,IF(F35&lt;入力!$J$5,IFERROR(INDEX(入力!$G$37:$G$78,MATCH(B35,入力!$A$37:$A$78,0)),入力!$J$10),入力!$J$10)))</f>
        <v/>
      </c>
      <c r="K35" s="95">
        <f>IF(F35="","",ROUNDDOWN(INDEX(入力!$H$13:$H$20,MATCH(F35,入力!$B$13:$B$20,1))/H35+INDEX(入力!$I$13:$I$20,MATCH(F35,入力!$B$13:$B$20,1))/22,0))</f>
        <v/>
      </c>
      <c r="L35" s="106">
        <f>IF(F35="","",IF(J35&gt;K35,"〇","×"))</f>
        <v/>
      </c>
      <c r="M35" s="95">
        <f>IF(F35="","",J35*I35)</f>
        <v/>
      </c>
      <c r="N35" s="95">
        <f>IF(F35="","",MIN(J35,K35)*I35)</f>
        <v/>
      </c>
      <c r="O35" s="96">
        <f>IF(F35="","",M35-N35)</f>
        <v/>
      </c>
      <c r="P35" s="107">
        <f>IF(F35="","",IFERROR(INDEX(入力!$G$37:$G$78,MATCH(B35,入力!$A$37:$A$78,0)),""))</f>
        <v/>
      </c>
      <c r="Q35" s="63">
        <f>IF(F35="","",IF(COUNTIFS($B$6:B35,B35,$C$6:C35,C35,$E$6:E35,E35)=1,MAX($Q$5:Q34)+1,""))</f>
        <v/>
      </c>
      <c r="R35" s="63">
        <f>IF(G35="","",IF(COUNTIFS(入力!$B$86:$B$95,"&lt;="&amp;(G35+1),入力!$C$86:$C$95,"&gt;="&amp;(G35+1))&gt;0,SUMIFS(入力!$C$86:$C$95,入力!$B$86:$B$95,"&lt;="&amp;(G35+1),入力!$C$86:$C$95,"&gt;="&amp;(G35+1))+1,G35+1))</f>
        <v/>
      </c>
      <c r="S35" s="63">
        <f>IF(R35="","",IF(COUNTIFS(入力!$B$86:$B$95,"&lt;="&amp;(R35),入力!$C$86:$C$95,"&gt;="&amp;(R35))&gt;0,SUMIFS(入力!$C$86:$C$95,入力!$B$86:$B$95,"&lt;="&amp;(R35),入力!$C$86:$C$95,"&gt;="&amp;(R35))+1,R35))</f>
        <v/>
      </c>
      <c r="T35" s="63" t="n"/>
      <c r="U35" s="63">
        <f>IF(OR(X34="",X34&gt;入力!$J$4+3650),"",X34)</f>
        <v/>
      </c>
      <c r="V35" s="63">
        <f>IF(U35="","",MIN(EOMONTH(U35,0),IF(AND(入力!$B$13&lt;&gt;"",入力!$B$13&gt;U35),入力!$B$13-1,999999),IF(AND(入力!$B$14&lt;&gt;"",入力!$B$14&gt;U35),入力!$B$14-1,999999),IF(AND(入力!$B$15&lt;&gt;"",入力!$B$15&gt;U35),入力!$B$15-1,999999),IF(AND(入力!$B$16&lt;&gt;"",入力!$B$16&gt;U35),入力!$B$16-1,999999),IF(AND(入力!$B$17&lt;&gt;"",入力!$B$17&gt;U35),入力!$B$17-1,999999),IF(AND(入力!$B$18&lt;&gt;"",入力!$B$18&gt;U35),入力!$B$18-1,999999),IF(AND(入力!$B$19&lt;&gt;"",入力!$B$19&gt;U35),入力!$B$19-1,999999),IF(AND(入力!$B$20&lt;&gt;"",入力!$B$20&gt;U35),入力!$B$20-1,999999),IFERROR(SMALL(入力!$B$86:$B$95,COUNTIF(入力!$B$86:$B$95,"&lt;="&amp;U35)+1)-1,999999)))</f>
        <v/>
      </c>
      <c r="W35" s="63">
        <f>IF(V35="","",IF(COUNTIFS(入力!$B$86:$B$95,"&lt;="&amp;(V35+1),入力!$C$86:$C$95,"&gt;="&amp;(V35+1))&gt;0,SUMIFS(入力!$C$86:$C$95,入力!$B$86:$B$95,"&lt;="&amp;(V35+1),入力!$C$86:$C$95,"&gt;="&amp;(V35+1))+1,V35+1))</f>
        <v/>
      </c>
      <c r="X35" s="63">
        <f>IF(W35="","",IF(COUNTIFS(入力!$B$86:$B$95,"&lt;="&amp;(W35),入力!$C$86:$C$95,"&gt;="&amp;(W35))&gt;0,SUMIFS(入力!$C$86:$C$95,入力!$B$86:$B$95,"&lt;="&amp;(W35),入力!$C$86:$C$95,"&gt;="&amp;(W35))+1,W35))</f>
        <v/>
      </c>
      <c r="Y35" s="63">
        <f>IF(U35="","",IFERROR(VLOOKUP(DATE(YEAR(U35),MONTH(U35),1),カレンダーマスタ!$A$2:$B$301,2,0),NETWORKDAYS(DATE(YEAR(U35),MONTH(U35),1),EOMONTH(U35,0))))</f>
        <v/>
      </c>
      <c r="Z35" s="63">
        <f>IF(U35="","",IF(入力!$C$8&lt;&gt;"",入力!$C$8,IFERROR(INDEX(入力!$G$37:$G$78,MATCH(DATE(YEAR(U35),MONTH(U35),1),入力!$A$37:$A$78,0)),0)))</f>
        <v/>
      </c>
      <c r="AA35" s="63">
        <f>IF(U35="","",ROUNDDOWN(INDEX(入力!$H$13:$H$20,MATCH(U35,入力!$B$13:$B$20,1))/Y35+INDEX(入力!$I$13:$I$20,MATCH(U35,入力!$B$13:$B$20,1))/22,0))</f>
        <v/>
      </c>
      <c r="AB35" s="63">
        <f>IF(U35="",0,IF(AND(Z35&gt;AA35,NETWORKDAYS(U35,V35)&gt;0),1,0))</f>
        <v/>
      </c>
      <c r="AC35" s="63" t="n"/>
      <c r="AD35" s="63" t="n"/>
    </row>
    <row r="36">
      <c r="A36" s="91">
        <f>IF(F36="","",31)</f>
        <v/>
      </c>
      <c r="B36" s="92">
        <f>IF(F36="","",DATE(YEAR(F36),MONTH(F36),1))</f>
        <v/>
      </c>
      <c r="C36" s="91">
        <f>IF(F36="","",MONTH(F36))</f>
        <v/>
      </c>
      <c r="D36" s="91">
        <f>IF(F36="","",INDEX(入力!$A$13:$A$20,MATCH(F36,入力!$B$13:$B$20,1)))</f>
        <v/>
      </c>
      <c r="E36" s="91">
        <f>IF(F36="","",IF(G36&lt;=入力!$J$6,"法定","附加"))</f>
        <v/>
      </c>
      <c r="F36" s="93">
        <f>IF(G35="","",IF(G35&gt;=入力!$J$9,"",IF(S35&gt;入力!$J$9,"",S35)))</f>
        <v/>
      </c>
      <c r="G36" s="93">
        <f>IF(F36="","",MIN(EOMONTH(F36,0),入力!$J$9,IF(AND(入力!$B$13&lt;&gt;"",入力!$B$13&gt;F36),入力!$B$13-1,999999),IF(AND(入力!$B$14&lt;&gt;"",入力!$B$14&gt;F36),入力!$B$14-1,999999),IF(AND(入力!$B$15&lt;&gt;"",入力!$B$15&gt;F36),入力!$B$15-1,999999),IF(AND(入力!$B$16&lt;&gt;"",入力!$B$16&gt;F36),入力!$B$16-1,999999),IF(AND(入力!$B$17&lt;&gt;"",入力!$B$17&gt;F36),入力!$B$17-1,999999),IF(AND(入力!$B$18&lt;&gt;"",入力!$B$18&gt;F36),入力!$B$18-1,999999),IF(AND(入力!$B$19&lt;&gt;"",入力!$B$19&gt;F36),入力!$B$19-1,999999),IF(AND(入力!$B$20&lt;&gt;"",入力!$B$20&gt;F36),入力!$B$20-1,999999),IF(AND(入力!$J$7&lt;&gt;"",入力!$J$7&gt;F36),入力!$J$7-1,999999),IFERROR(SMALL(入力!$B$86:$B$95,COUNTIF(入力!$B$86:$B$95,"&lt;="&amp;F36)+1)-1,999999)))</f>
        <v/>
      </c>
      <c r="H36" s="95">
        <f>IF(F36="","",IFERROR(VLOOKUP(B36,カレンダーマスタ!$A$2:$B$301,2,0),NETWORKDAYS(B36,EOMONTH(F36,0))))</f>
        <v/>
      </c>
      <c r="I36" s="94">
        <f>IF(F36="","",NETWORKDAYS(F36,G36))</f>
        <v/>
      </c>
      <c r="J36" s="95">
        <f>IF(F36="","",IF(入力!$C$8&lt;&gt;"",入力!$C$8,IF(F36&lt;入力!$J$5,IFERROR(INDEX(入力!$G$37:$G$78,MATCH(B36,入力!$A$37:$A$78,0)),入力!$J$10),入力!$J$10)))</f>
        <v/>
      </c>
      <c r="K36" s="95">
        <f>IF(F36="","",ROUNDDOWN(INDEX(入力!$H$13:$H$20,MATCH(F36,入力!$B$13:$B$20,1))/H36+INDEX(入力!$I$13:$I$20,MATCH(F36,入力!$B$13:$B$20,1))/22,0))</f>
        <v/>
      </c>
      <c r="L36" s="106">
        <f>IF(F36="","",IF(J36&gt;K36,"〇","×"))</f>
        <v/>
      </c>
      <c r="M36" s="95">
        <f>IF(F36="","",J36*I36)</f>
        <v/>
      </c>
      <c r="N36" s="95">
        <f>IF(F36="","",MIN(J36,K36)*I36)</f>
        <v/>
      </c>
      <c r="O36" s="96">
        <f>IF(F36="","",M36-N36)</f>
        <v/>
      </c>
      <c r="P36" s="107">
        <f>IF(F36="","",IFERROR(INDEX(入力!$G$37:$G$78,MATCH(B36,入力!$A$37:$A$78,0)),""))</f>
        <v/>
      </c>
      <c r="Q36" s="63">
        <f>IF(F36="","",IF(COUNTIFS($B$6:B36,B36,$C$6:C36,C36,$E$6:E36,E36)=1,MAX($Q$5:Q35)+1,""))</f>
        <v/>
      </c>
      <c r="R36" s="63">
        <f>IF(G36="","",IF(COUNTIFS(入力!$B$86:$B$95,"&lt;="&amp;(G36+1),入力!$C$86:$C$95,"&gt;="&amp;(G36+1))&gt;0,SUMIFS(入力!$C$86:$C$95,入力!$B$86:$B$95,"&lt;="&amp;(G36+1),入力!$C$86:$C$95,"&gt;="&amp;(G36+1))+1,G36+1))</f>
        <v/>
      </c>
      <c r="S36" s="63">
        <f>IF(R36="","",IF(COUNTIFS(入力!$B$86:$B$95,"&lt;="&amp;(R36),入力!$C$86:$C$95,"&gt;="&amp;(R36))&gt;0,SUMIFS(入力!$C$86:$C$95,入力!$B$86:$B$95,"&lt;="&amp;(R36),入力!$C$86:$C$95,"&gt;="&amp;(R36))+1,R36))</f>
        <v/>
      </c>
      <c r="T36" s="63" t="n"/>
      <c r="U36" s="63">
        <f>IF(OR(X35="",X35&gt;入力!$J$4+3650),"",X35)</f>
        <v/>
      </c>
      <c r="V36" s="63">
        <f>IF(U36="","",MIN(EOMONTH(U36,0),IF(AND(入力!$B$13&lt;&gt;"",入力!$B$13&gt;U36),入力!$B$13-1,999999),IF(AND(入力!$B$14&lt;&gt;"",入力!$B$14&gt;U36),入力!$B$14-1,999999),IF(AND(入力!$B$15&lt;&gt;"",入力!$B$15&gt;U36),入力!$B$15-1,999999),IF(AND(入力!$B$16&lt;&gt;"",入力!$B$16&gt;U36),入力!$B$16-1,999999),IF(AND(入力!$B$17&lt;&gt;"",入力!$B$17&gt;U36),入力!$B$17-1,999999),IF(AND(入力!$B$18&lt;&gt;"",入力!$B$18&gt;U36),入力!$B$18-1,999999),IF(AND(入力!$B$19&lt;&gt;"",入力!$B$19&gt;U36),入力!$B$19-1,999999),IF(AND(入力!$B$20&lt;&gt;"",入力!$B$20&gt;U36),入力!$B$20-1,999999),IFERROR(SMALL(入力!$B$86:$B$95,COUNTIF(入力!$B$86:$B$95,"&lt;="&amp;U36)+1)-1,999999)))</f>
        <v/>
      </c>
      <c r="W36" s="63">
        <f>IF(V36="","",IF(COUNTIFS(入力!$B$86:$B$95,"&lt;="&amp;(V36+1),入力!$C$86:$C$95,"&gt;="&amp;(V36+1))&gt;0,SUMIFS(入力!$C$86:$C$95,入力!$B$86:$B$95,"&lt;="&amp;(V36+1),入力!$C$86:$C$95,"&gt;="&amp;(V36+1))+1,V36+1))</f>
        <v/>
      </c>
      <c r="X36" s="63">
        <f>IF(W36="","",IF(COUNTIFS(入力!$B$86:$B$95,"&lt;="&amp;(W36),入力!$C$86:$C$95,"&gt;="&amp;(W36))&gt;0,SUMIFS(入力!$C$86:$C$95,入力!$B$86:$B$95,"&lt;="&amp;(W36),入力!$C$86:$C$95,"&gt;="&amp;(W36))+1,W36))</f>
        <v/>
      </c>
      <c r="Y36" s="63">
        <f>IF(U36="","",IFERROR(VLOOKUP(DATE(YEAR(U36),MONTH(U36),1),カレンダーマスタ!$A$2:$B$301,2,0),NETWORKDAYS(DATE(YEAR(U36),MONTH(U36),1),EOMONTH(U36,0))))</f>
        <v/>
      </c>
      <c r="Z36" s="63">
        <f>IF(U36="","",IF(入力!$C$8&lt;&gt;"",入力!$C$8,IFERROR(INDEX(入力!$G$37:$G$78,MATCH(DATE(YEAR(U36),MONTH(U36),1),入力!$A$37:$A$78,0)),0)))</f>
        <v/>
      </c>
      <c r="AA36" s="63">
        <f>IF(U36="","",ROUNDDOWN(INDEX(入力!$H$13:$H$20,MATCH(U36,入力!$B$13:$B$20,1))/Y36+INDEX(入力!$I$13:$I$20,MATCH(U36,入力!$B$13:$B$20,1))/22,0))</f>
        <v/>
      </c>
      <c r="AB36" s="63">
        <f>IF(U36="",0,IF(AND(Z36&gt;AA36,NETWORKDAYS(U36,V36)&gt;0),1,0))</f>
        <v/>
      </c>
      <c r="AC36" s="63" t="n"/>
      <c r="AD36" s="63" t="n"/>
    </row>
    <row r="37">
      <c r="A37" s="91">
        <f>IF(F37="","",32)</f>
        <v/>
      </c>
      <c r="B37" s="92">
        <f>IF(F37="","",DATE(YEAR(F37),MONTH(F37),1))</f>
        <v/>
      </c>
      <c r="C37" s="91">
        <f>IF(F37="","",MONTH(F37))</f>
        <v/>
      </c>
      <c r="D37" s="91">
        <f>IF(F37="","",INDEX(入力!$A$13:$A$20,MATCH(F37,入力!$B$13:$B$20,1)))</f>
        <v/>
      </c>
      <c r="E37" s="91">
        <f>IF(F37="","",IF(G37&lt;=入力!$J$6,"法定","附加"))</f>
        <v/>
      </c>
      <c r="F37" s="93">
        <f>IF(G36="","",IF(G36&gt;=入力!$J$9,"",IF(S36&gt;入力!$J$9,"",S36)))</f>
        <v/>
      </c>
      <c r="G37" s="93">
        <f>IF(F37="","",MIN(EOMONTH(F37,0),入力!$J$9,IF(AND(入力!$B$13&lt;&gt;"",入力!$B$13&gt;F37),入力!$B$13-1,999999),IF(AND(入力!$B$14&lt;&gt;"",入力!$B$14&gt;F37),入力!$B$14-1,999999),IF(AND(入力!$B$15&lt;&gt;"",入力!$B$15&gt;F37),入力!$B$15-1,999999),IF(AND(入力!$B$16&lt;&gt;"",入力!$B$16&gt;F37),入力!$B$16-1,999999),IF(AND(入力!$B$17&lt;&gt;"",入力!$B$17&gt;F37),入力!$B$17-1,999999),IF(AND(入力!$B$18&lt;&gt;"",入力!$B$18&gt;F37),入力!$B$18-1,999999),IF(AND(入力!$B$19&lt;&gt;"",入力!$B$19&gt;F37),入力!$B$19-1,999999),IF(AND(入力!$B$20&lt;&gt;"",入力!$B$20&gt;F37),入力!$B$20-1,999999),IF(AND(入力!$J$7&lt;&gt;"",入力!$J$7&gt;F37),入力!$J$7-1,999999),IFERROR(SMALL(入力!$B$86:$B$95,COUNTIF(入力!$B$86:$B$95,"&lt;="&amp;F37)+1)-1,999999)))</f>
        <v/>
      </c>
      <c r="H37" s="95">
        <f>IF(F37="","",IFERROR(VLOOKUP(B37,カレンダーマスタ!$A$2:$B$301,2,0),NETWORKDAYS(B37,EOMONTH(F37,0))))</f>
        <v/>
      </c>
      <c r="I37" s="94">
        <f>IF(F37="","",NETWORKDAYS(F37,G37))</f>
        <v/>
      </c>
      <c r="J37" s="95">
        <f>IF(F37="","",IF(入力!$C$8&lt;&gt;"",入力!$C$8,IF(F37&lt;入力!$J$5,IFERROR(INDEX(入力!$G$37:$G$78,MATCH(B37,入力!$A$37:$A$78,0)),入力!$J$10),入力!$J$10)))</f>
        <v/>
      </c>
      <c r="K37" s="95">
        <f>IF(F37="","",ROUNDDOWN(INDEX(入力!$H$13:$H$20,MATCH(F37,入力!$B$13:$B$20,1))/H37+INDEX(入力!$I$13:$I$20,MATCH(F37,入力!$B$13:$B$20,1))/22,0))</f>
        <v/>
      </c>
      <c r="L37" s="106">
        <f>IF(F37="","",IF(J37&gt;K37,"〇","×"))</f>
        <v/>
      </c>
      <c r="M37" s="95">
        <f>IF(F37="","",J37*I37)</f>
        <v/>
      </c>
      <c r="N37" s="95">
        <f>IF(F37="","",MIN(J37,K37)*I37)</f>
        <v/>
      </c>
      <c r="O37" s="96">
        <f>IF(F37="","",M37-N37)</f>
        <v/>
      </c>
      <c r="P37" s="107">
        <f>IF(F37="","",IFERROR(INDEX(入力!$G$37:$G$78,MATCH(B37,入力!$A$37:$A$78,0)),""))</f>
        <v/>
      </c>
      <c r="Q37" s="63">
        <f>IF(F37="","",IF(COUNTIFS($B$6:B37,B37,$C$6:C37,C37,$E$6:E37,E37)=1,MAX($Q$5:Q36)+1,""))</f>
        <v/>
      </c>
      <c r="R37" s="63">
        <f>IF(G37="","",IF(COUNTIFS(入力!$B$86:$B$95,"&lt;="&amp;(G37+1),入力!$C$86:$C$95,"&gt;="&amp;(G37+1))&gt;0,SUMIFS(入力!$C$86:$C$95,入力!$B$86:$B$95,"&lt;="&amp;(G37+1),入力!$C$86:$C$95,"&gt;="&amp;(G37+1))+1,G37+1))</f>
        <v/>
      </c>
      <c r="S37" s="63">
        <f>IF(R37="","",IF(COUNTIFS(入力!$B$86:$B$95,"&lt;="&amp;(R37),入力!$C$86:$C$95,"&gt;="&amp;(R37))&gt;0,SUMIFS(入力!$C$86:$C$95,入力!$B$86:$B$95,"&lt;="&amp;(R37),入力!$C$86:$C$95,"&gt;="&amp;(R37))+1,R37))</f>
        <v/>
      </c>
      <c r="T37" s="63" t="n"/>
      <c r="U37" s="63">
        <f>IF(OR(X36="",X36&gt;入力!$J$4+3650),"",X36)</f>
        <v/>
      </c>
      <c r="V37" s="63">
        <f>IF(U37="","",MIN(EOMONTH(U37,0),IF(AND(入力!$B$13&lt;&gt;"",入力!$B$13&gt;U37),入力!$B$13-1,999999),IF(AND(入力!$B$14&lt;&gt;"",入力!$B$14&gt;U37),入力!$B$14-1,999999),IF(AND(入力!$B$15&lt;&gt;"",入力!$B$15&gt;U37),入力!$B$15-1,999999),IF(AND(入力!$B$16&lt;&gt;"",入力!$B$16&gt;U37),入力!$B$16-1,999999),IF(AND(入力!$B$17&lt;&gt;"",入力!$B$17&gt;U37),入力!$B$17-1,999999),IF(AND(入力!$B$18&lt;&gt;"",入力!$B$18&gt;U37),入力!$B$18-1,999999),IF(AND(入力!$B$19&lt;&gt;"",入力!$B$19&gt;U37),入力!$B$19-1,999999),IF(AND(入力!$B$20&lt;&gt;"",入力!$B$20&gt;U37),入力!$B$20-1,999999),IFERROR(SMALL(入力!$B$86:$B$95,COUNTIF(入力!$B$86:$B$95,"&lt;="&amp;U37)+1)-1,999999)))</f>
        <v/>
      </c>
      <c r="W37" s="63">
        <f>IF(V37="","",IF(COUNTIFS(入力!$B$86:$B$95,"&lt;="&amp;(V37+1),入力!$C$86:$C$95,"&gt;="&amp;(V37+1))&gt;0,SUMIFS(入力!$C$86:$C$95,入力!$B$86:$B$95,"&lt;="&amp;(V37+1),入力!$C$86:$C$95,"&gt;="&amp;(V37+1))+1,V37+1))</f>
        <v/>
      </c>
      <c r="X37" s="63">
        <f>IF(W37="","",IF(COUNTIFS(入力!$B$86:$B$95,"&lt;="&amp;(W37),入力!$C$86:$C$95,"&gt;="&amp;(W37))&gt;0,SUMIFS(入力!$C$86:$C$95,入力!$B$86:$B$95,"&lt;="&amp;(W37),入力!$C$86:$C$95,"&gt;="&amp;(W37))+1,W37))</f>
        <v/>
      </c>
      <c r="Y37" s="63">
        <f>IF(U37="","",IFERROR(VLOOKUP(DATE(YEAR(U37),MONTH(U37),1),カレンダーマスタ!$A$2:$B$301,2,0),NETWORKDAYS(DATE(YEAR(U37),MONTH(U37),1),EOMONTH(U37,0))))</f>
        <v/>
      </c>
      <c r="Z37" s="63">
        <f>IF(U37="","",IF(入力!$C$8&lt;&gt;"",入力!$C$8,IFERROR(INDEX(入力!$G$37:$G$78,MATCH(DATE(YEAR(U37),MONTH(U37),1),入力!$A$37:$A$78,0)),0)))</f>
        <v/>
      </c>
      <c r="AA37" s="63">
        <f>IF(U37="","",ROUNDDOWN(INDEX(入力!$H$13:$H$20,MATCH(U37,入力!$B$13:$B$20,1))/Y37+INDEX(入力!$I$13:$I$20,MATCH(U37,入力!$B$13:$B$20,1))/22,0))</f>
        <v/>
      </c>
      <c r="AB37" s="63">
        <f>IF(U37="",0,IF(AND(Z37&gt;AA37,NETWORKDAYS(U37,V37)&gt;0),1,0))</f>
        <v/>
      </c>
      <c r="AC37" s="63" t="n"/>
      <c r="AD37" s="63" t="n"/>
    </row>
    <row r="38">
      <c r="A38" s="91">
        <f>IF(F38="","",33)</f>
        <v/>
      </c>
      <c r="B38" s="92">
        <f>IF(F38="","",DATE(YEAR(F38),MONTH(F38),1))</f>
        <v/>
      </c>
      <c r="C38" s="91">
        <f>IF(F38="","",MONTH(F38))</f>
        <v/>
      </c>
      <c r="D38" s="91">
        <f>IF(F38="","",INDEX(入力!$A$13:$A$20,MATCH(F38,入力!$B$13:$B$20,1)))</f>
        <v/>
      </c>
      <c r="E38" s="91">
        <f>IF(F38="","",IF(G38&lt;=入力!$J$6,"法定","附加"))</f>
        <v/>
      </c>
      <c r="F38" s="93">
        <f>IF(G37="","",IF(G37&gt;=入力!$J$9,"",IF(S37&gt;入力!$J$9,"",S37)))</f>
        <v/>
      </c>
      <c r="G38" s="93">
        <f>IF(F38="","",MIN(EOMONTH(F38,0),入力!$J$9,IF(AND(入力!$B$13&lt;&gt;"",入力!$B$13&gt;F38),入力!$B$13-1,999999),IF(AND(入力!$B$14&lt;&gt;"",入力!$B$14&gt;F38),入力!$B$14-1,999999),IF(AND(入力!$B$15&lt;&gt;"",入力!$B$15&gt;F38),入力!$B$15-1,999999),IF(AND(入力!$B$16&lt;&gt;"",入力!$B$16&gt;F38),入力!$B$16-1,999999),IF(AND(入力!$B$17&lt;&gt;"",入力!$B$17&gt;F38),入力!$B$17-1,999999),IF(AND(入力!$B$18&lt;&gt;"",入力!$B$18&gt;F38),入力!$B$18-1,999999),IF(AND(入力!$B$19&lt;&gt;"",入力!$B$19&gt;F38),入力!$B$19-1,999999),IF(AND(入力!$B$20&lt;&gt;"",入力!$B$20&gt;F38),入力!$B$20-1,999999),IF(AND(入力!$J$7&lt;&gt;"",入力!$J$7&gt;F38),入力!$J$7-1,999999),IFERROR(SMALL(入力!$B$86:$B$95,COUNTIF(入力!$B$86:$B$95,"&lt;="&amp;F38)+1)-1,999999)))</f>
        <v/>
      </c>
      <c r="H38" s="95">
        <f>IF(F38="","",IFERROR(VLOOKUP(B38,カレンダーマスタ!$A$2:$B$301,2,0),NETWORKDAYS(B38,EOMONTH(F38,0))))</f>
        <v/>
      </c>
      <c r="I38" s="94">
        <f>IF(F38="","",NETWORKDAYS(F38,G38))</f>
        <v/>
      </c>
      <c r="J38" s="95">
        <f>IF(F38="","",IF(入力!$C$8&lt;&gt;"",入力!$C$8,IF(F38&lt;入力!$J$5,IFERROR(INDEX(入力!$G$37:$G$78,MATCH(B38,入力!$A$37:$A$78,0)),入力!$J$10),入力!$J$10)))</f>
        <v/>
      </c>
      <c r="K38" s="95">
        <f>IF(F38="","",ROUNDDOWN(INDEX(入力!$H$13:$H$20,MATCH(F38,入力!$B$13:$B$20,1))/H38+INDEX(入力!$I$13:$I$20,MATCH(F38,入力!$B$13:$B$20,1))/22,0))</f>
        <v/>
      </c>
      <c r="L38" s="106">
        <f>IF(F38="","",IF(J38&gt;K38,"〇","×"))</f>
        <v/>
      </c>
      <c r="M38" s="95">
        <f>IF(F38="","",J38*I38)</f>
        <v/>
      </c>
      <c r="N38" s="95">
        <f>IF(F38="","",MIN(J38,K38)*I38)</f>
        <v/>
      </c>
      <c r="O38" s="96">
        <f>IF(F38="","",M38-N38)</f>
        <v/>
      </c>
      <c r="P38" s="107">
        <f>IF(F38="","",IFERROR(INDEX(入力!$G$37:$G$78,MATCH(B38,入力!$A$37:$A$78,0)),""))</f>
        <v/>
      </c>
      <c r="Q38" s="63">
        <f>IF(F38="","",IF(COUNTIFS($B$6:B38,B38,$C$6:C38,C38,$E$6:E38,E38)=1,MAX($Q$5:Q37)+1,""))</f>
        <v/>
      </c>
      <c r="R38" s="63">
        <f>IF(G38="","",IF(COUNTIFS(入力!$B$86:$B$95,"&lt;="&amp;(G38+1),入力!$C$86:$C$95,"&gt;="&amp;(G38+1))&gt;0,SUMIFS(入力!$C$86:$C$95,入力!$B$86:$B$95,"&lt;="&amp;(G38+1),入力!$C$86:$C$95,"&gt;="&amp;(G38+1))+1,G38+1))</f>
        <v/>
      </c>
      <c r="S38" s="63">
        <f>IF(R38="","",IF(COUNTIFS(入力!$B$86:$B$95,"&lt;="&amp;(R38),入力!$C$86:$C$95,"&gt;="&amp;(R38))&gt;0,SUMIFS(入力!$C$86:$C$95,入力!$B$86:$B$95,"&lt;="&amp;(R38),入力!$C$86:$C$95,"&gt;="&amp;(R38))+1,R38))</f>
        <v/>
      </c>
      <c r="T38" s="63" t="n"/>
      <c r="U38" s="63">
        <f>IF(OR(X37="",X37&gt;入力!$J$4+3650),"",X37)</f>
        <v/>
      </c>
      <c r="V38" s="63">
        <f>IF(U38="","",MIN(EOMONTH(U38,0),IF(AND(入力!$B$13&lt;&gt;"",入力!$B$13&gt;U38),入力!$B$13-1,999999),IF(AND(入力!$B$14&lt;&gt;"",入力!$B$14&gt;U38),入力!$B$14-1,999999),IF(AND(入力!$B$15&lt;&gt;"",入力!$B$15&gt;U38),入力!$B$15-1,999999),IF(AND(入力!$B$16&lt;&gt;"",入力!$B$16&gt;U38),入力!$B$16-1,999999),IF(AND(入力!$B$17&lt;&gt;"",入力!$B$17&gt;U38),入力!$B$17-1,999999),IF(AND(入力!$B$18&lt;&gt;"",入力!$B$18&gt;U38),入力!$B$18-1,999999),IF(AND(入力!$B$19&lt;&gt;"",入力!$B$19&gt;U38),入力!$B$19-1,999999),IF(AND(入力!$B$20&lt;&gt;"",入力!$B$20&gt;U38),入力!$B$20-1,999999),IFERROR(SMALL(入力!$B$86:$B$95,COUNTIF(入力!$B$86:$B$95,"&lt;="&amp;U38)+1)-1,999999)))</f>
        <v/>
      </c>
      <c r="W38" s="63">
        <f>IF(V38="","",IF(COUNTIFS(入力!$B$86:$B$95,"&lt;="&amp;(V38+1),入力!$C$86:$C$95,"&gt;="&amp;(V38+1))&gt;0,SUMIFS(入力!$C$86:$C$95,入力!$B$86:$B$95,"&lt;="&amp;(V38+1),入力!$C$86:$C$95,"&gt;="&amp;(V38+1))+1,V38+1))</f>
        <v/>
      </c>
      <c r="X38" s="63">
        <f>IF(W38="","",IF(COUNTIFS(入力!$B$86:$B$95,"&lt;="&amp;(W38),入力!$C$86:$C$95,"&gt;="&amp;(W38))&gt;0,SUMIFS(入力!$C$86:$C$95,入力!$B$86:$B$95,"&lt;="&amp;(W38),入力!$C$86:$C$95,"&gt;="&amp;(W38))+1,W38))</f>
        <v/>
      </c>
      <c r="Y38" s="63">
        <f>IF(U38="","",IFERROR(VLOOKUP(DATE(YEAR(U38),MONTH(U38),1),カレンダーマスタ!$A$2:$B$301,2,0),NETWORKDAYS(DATE(YEAR(U38),MONTH(U38),1),EOMONTH(U38,0))))</f>
        <v/>
      </c>
      <c r="Z38" s="63">
        <f>IF(U38="","",IF(入力!$C$8&lt;&gt;"",入力!$C$8,IFERROR(INDEX(入力!$G$37:$G$78,MATCH(DATE(YEAR(U38),MONTH(U38),1),入力!$A$37:$A$78,0)),0)))</f>
        <v/>
      </c>
      <c r="AA38" s="63">
        <f>IF(U38="","",ROUNDDOWN(INDEX(入力!$H$13:$H$20,MATCH(U38,入力!$B$13:$B$20,1))/Y38+INDEX(入力!$I$13:$I$20,MATCH(U38,入力!$B$13:$B$20,1))/22,0))</f>
        <v/>
      </c>
      <c r="AB38" s="63">
        <f>IF(U38="",0,IF(AND(Z38&gt;AA38,NETWORKDAYS(U38,V38)&gt;0),1,0))</f>
        <v/>
      </c>
      <c r="AC38" s="63" t="n"/>
      <c r="AD38" s="63" t="n"/>
    </row>
    <row r="39">
      <c r="A39" s="91">
        <f>IF(F39="","",34)</f>
        <v/>
      </c>
      <c r="B39" s="92">
        <f>IF(F39="","",DATE(YEAR(F39),MONTH(F39),1))</f>
        <v/>
      </c>
      <c r="C39" s="91">
        <f>IF(F39="","",MONTH(F39))</f>
        <v/>
      </c>
      <c r="D39" s="91">
        <f>IF(F39="","",INDEX(入力!$A$13:$A$20,MATCH(F39,入力!$B$13:$B$20,1)))</f>
        <v/>
      </c>
      <c r="E39" s="91">
        <f>IF(F39="","",IF(G39&lt;=入力!$J$6,"法定","附加"))</f>
        <v/>
      </c>
      <c r="F39" s="93">
        <f>IF(G38="","",IF(G38&gt;=入力!$J$9,"",IF(S38&gt;入力!$J$9,"",S38)))</f>
        <v/>
      </c>
      <c r="G39" s="93">
        <f>IF(F39="","",MIN(EOMONTH(F39,0),入力!$J$9,IF(AND(入力!$B$13&lt;&gt;"",入力!$B$13&gt;F39),入力!$B$13-1,999999),IF(AND(入力!$B$14&lt;&gt;"",入力!$B$14&gt;F39),入力!$B$14-1,999999),IF(AND(入力!$B$15&lt;&gt;"",入力!$B$15&gt;F39),入力!$B$15-1,999999),IF(AND(入力!$B$16&lt;&gt;"",入力!$B$16&gt;F39),入力!$B$16-1,999999),IF(AND(入力!$B$17&lt;&gt;"",入力!$B$17&gt;F39),入力!$B$17-1,999999),IF(AND(入力!$B$18&lt;&gt;"",入力!$B$18&gt;F39),入力!$B$18-1,999999),IF(AND(入力!$B$19&lt;&gt;"",入力!$B$19&gt;F39),入力!$B$19-1,999999),IF(AND(入力!$B$20&lt;&gt;"",入力!$B$20&gt;F39),入力!$B$20-1,999999),IF(AND(入力!$J$7&lt;&gt;"",入力!$J$7&gt;F39),入力!$J$7-1,999999),IFERROR(SMALL(入力!$B$86:$B$95,COUNTIF(入力!$B$86:$B$95,"&lt;="&amp;F39)+1)-1,999999)))</f>
        <v/>
      </c>
      <c r="H39" s="95">
        <f>IF(F39="","",IFERROR(VLOOKUP(B39,カレンダーマスタ!$A$2:$B$301,2,0),NETWORKDAYS(B39,EOMONTH(F39,0))))</f>
        <v/>
      </c>
      <c r="I39" s="94">
        <f>IF(F39="","",NETWORKDAYS(F39,G39))</f>
        <v/>
      </c>
      <c r="J39" s="95">
        <f>IF(F39="","",IF(入力!$C$8&lt;&gt;"",入力!$C$8,IF(F39&lt;入力!$J$5,IFERROR(INDEX(入力!$G$37:$G$78,MATCH(B39,入力!$A$37:$A$78,0)),入力!$J$10),入力!$J$10)))</f>
        <v/>
      </c>
      <c r="K39" s="95">
        <f>IF(F39="","",ROUNDDOWN(INDEX(入力!$H$13:$H$20,MATCH(F39,入力!$B$13:$B$20,1))/H39+INDEX(入力!$I$13:$I$20,MATCH(F39,入力!$B$13:$B$20,1))/22,0))</f>
        <v/>
      </c>
      <c r="L39" s="106">
        <f>IF(F39="","",IF(J39&gt;K39,"〇","×"))</f>
        <v/>
      </c>
      <c r="M39" s="95">
        <f>IF(F39="","",J39*I39)</f>
        <v/>
      </c>
      <c r="N39" s="95">
        <f>IF(F39="","",MIN(J39,K39)*I39)</f>
        <v/>
      </c>
      <c r="O39" s="96">
        <f>IF(F39="","",M39-N39)</f>
        <v/>
      </c>
      <c r="P39" s="107">
        <f>IF(F39="","",IFERROR(INDEX(入力!$G$37:$G$78,MATCH(B39,入力!$A$37:$A$78,0)),""))</f>
        <v/>
      </c>
      <c r="Q39" s="63">
        <f>IF(F39="","",IF(COUNTIFS($B$6:B39,B39,$C$6:C39,C39,$E$6:E39,E39)=1,MAX($Q$5:Q38)+1,""))</f>
        <v/>
      </c>
      <c r="R39" s="63">
        <f>IF(G39="","",IF(COUNTIFS(入力!$B$86:$B$95,"&lt;="&amp;(G39+1),入力!$C$86:$C$95,"&gt;="&amp;(G39+1))&gt;0,SUMIFS(入力!$C$86:$C$95,入力!$B$86:$B$95,"&lt;="&amp;(G39+1),入力!$C$86:$C$95,"&gt;="&amp;(G39+1))+1,G39+1))</f>
        <v/>
      </c>
      <c r="S39" s="63">
        <f>IF(R39="","",IF(COUNTIFS(入力!$B$86:$B$95,"&lt;="&amp;(R39),入力!$C$86:$C$95,"&gt;="&amp;(R39))&gt;0,SUMIFS(入力!$C$86:$C$95,入力!$B$86:$B$95,"&lt;="&amp;(R39),入力!$C$86:$C$95,"&gt;="&amp;(R39))+1,R39))</f>
        <v/>
      </c>
      <c r="T39" s="63" t="n"/>
      <c r="U39" s="63">
        <f>IF(OR(X38="",X38&gt;入力!$J$4+3650),"",X38)</f>
        <v/>
      </c>
      <c r="V39" s="63">
        <f>IF(U39="","",MIN(EOMONTH(U39,0),IF(AND(入力!$B$13&lt;&gt;"",入力!$B$13&gt;U39),入力!$B$13-1,999999),IF(AND(入力!$B$14&lt;&gt;"",入力!$B$14&gt;U39),入力!$B$14-1,999999),IF(AND(入力!$B$15&lt;&gt;"",入力!$B$15&gt;U39),入力!$B$15-1,999999),IF(AND(入力!$B$16&lt;&gt;"",入力!$B$16&gt;U39),入力!$B$16-1,999999),IF(AND(入力!$B$17&lt;&gt;"",入力!$B$17&gt;U39),入力!$B$17-1,999999),IF(AND(入力!$B$18&lt;&gt;"",入力!$B$18&gt;U39),入力!$B$18-1,999999),IF(AND(入力!$B$19&lt;&gt;"",入力!$B$19&gt;U39),入力!$B$19-1,999999),IF(AND(入力!$B$20&lt;&gt;"",入力!$B$20&gt;U39),入力!$B$20-1,999999),IFERROR(SMALL(入力!$B$86:$B$95,COUNTIF(入力!$B$86:$B$95,"&lt;="&amp;U39)+1)-1,999999)))</f>
        <v/>
      </c>
      <c r="W39" s="63">
        <f>IF(V39="","",IF(COUNTIFS(入力!$B$86:$B$95,"&lt;="&amp;(V39+1),入力!$C$86:$C$95,"&gt;="&amp;(V39+1))&gt;0,SUMIFS(入力!$C$86:$C$95,入力!$B$86:$B$95,"&lt;="&amp;(V39+1),入力!$C$86:$C$95,"&gt;="&amp;(V39+1))+1,V39+1))</f>
        <v/>
      </c>
      <c r="X39" s="63">
        <f>IF(W39="","",IF(COUNTIFS(入力!$B$86:$B$95,"&lt;="&amp;(W39),入力!$C$86:$C$95,"&gt;="&amp;(W39))&gt;0,SUMIFS(入力!$C$86:$C$95,入力!$B$86:$B$95,"&lt;="&amp;(W39),入力!$C$86:$C$95,"&gt;="&amp;(W39))+1,W39))</f>
        <v/>
      </c>
      <c r="Y39" s="63">
        <f>IF(U39="","",IFERROR(VLOOKUP(DATE(YEAR(U39),MONTH(U39),1),カレンダーマスタ!$A$2:$B$301,2,0),NETWORKDAYS(DATE(YEAR(U39),MONTH(U39),1),EOMONTH(U39,0))))</f>
        <v/>
      </c>
      <c r="Z39" s="63">
        <f>IF(U39="","",IF(入力!$C$8&lt;&gt;"",入力!$C$8,IFERROR(INDEX(入力!$G$37:$G$78,MATCH(DATE(YEAR(U39),MONTH(U39),1),入力!$A$37:$A$78,0)),0)))</f>
        <v/>
      </c>
      <c r="AA39" s="63">
        <f>IF(U39="","",ROUNDDOWN(INDEX(入力!$H$13:$H$20,MATCH(U39,入力!$B$13:$B$20,1))/Y39+INDEX(入力!$I$13:$I$20,MATCH(U39,入力!$B$13:$B$20,1))/22,0))</f>
        <v/>
      </c>
      <c r="AB39" s="63">
        <f>IF(U39="",0,IF(AND(Z39&gt;AA39,NETWORKDAYS(U39,V39)&gt;0),1,0))</f>
        <v/>
      </c>
      <c r="AC39" s="63" t="n"/>
      <c r="AD39" s="63" t="n"/>
    </row>
    <row r="40">
      <c r="A40" s="91">
        <f>IF(F40="","",35)</f>
        <v/>
      </c>
      <c r="B40" s="92">
        <f>IF(F40="","",DATE(YEAR(F40),MONTH(F40),1))</f>
        <v/>
      </c>
      <c r="C40" s="91">
        <f>IF(F40="","",MONTH(F40))</f>
        <v/>
      </c>
      <c r="D40" s="91">
        <f>IF(F40="","",INDEX(入力!$A$13:$A$20,MATCH(F40,入力!$B$13:$B$20,1)))</f>
        <v/>
      </c>
      <c r="E40" s="91">
        <f>IF(F40="","",IF(G40&lt;=入力!$J$6,"法定","附加"))</f>
        <v/>
      </c>
      <c r="F40" s="93">
        <f>IF(G39="","",IF(G39&gt;=入力!$J$9,"",IF(S39&gt;入力!$J$9,"",S39)))</f>
        <v/>
      </c>
      <c r="G40" s="93">
        <f>IF(F40="","",MIN(EOMONTH(F40,0),入力!$J$9,IF(AND(入力!$B$13&lt;&gt;"",入力!$B$13&gt;F40),入力!$B$13-1,999999),IF(AND(入力!$B$14&lt;&gt;"",入力!$B$14&gt;F40),入力!$B$14-1,999999),IF(AND(入力!$B$15&lt;&gt;"",入力!$B$15&gt;F40),入力!$B$15-1,999999),IF(AND(入力!$B$16&lt;&gt;"",入力!$B$16&gt;F40),入力!$B$16-1,999999),IF(AND(入力!$B$17&lt;&gt;"",入力!$B$17&gt;F40),入力!$B$17-1,999999),IF(AND(入力!$B$18&lt;&gt;"",入力!$B$18&gt;F40),入力!$B$18-1,999999),IF(AND(入力!$B$19&lt;&gt;"",入力!$B$19&gt;F40),入力!$B$19-1,999999),IF(AND(入力!$B$20&lt;&gt;"",入力!$B$20&gt;F40),入力!$B$20-1,999999),IF(AND(入力!$J$7&lt;&gt;"",入力!$J$7&gt;F40),入力!$J$7-1,999999),IFERROR(SMALL(入力!$B$86:$B$95,COUNTIF(入力!$B$86:$B$95,"&lt;="&amp;F40)+1)-1,999999)))</f>
        <v/>
      </c>
      <c r="H40" s="95">
        <f>IF(F40="","",IFERROR(VLOOKUP(B40,カレンダーマスタ!$A$2:$B$301,2,0),NETWORKDAYS(B40,EOMONTH(F40,0))))</f>
        <v/>
      </c>
      <c r="I40" s="94">
        <f>IF(F40="","",NETWORKDAYS(F40,G40))</f>
        <v/>
      </c>
      <c r="J40" s="95">
        <f>IF(F40="","",IF(入力!$C$8&lt;&gt;"",入力!$C$8,IF(F40&lt;入力!$J$5,IFERROR(INDEX(入力!$G$37:$G$78,MATCH(B40,入力!$A$37:$A$78,0)),入力!$J$10),入力!$J$10)))</f>
        <v/>
      </c>
      <c r="K40" s="95">
        <f>IF(F40="","",ROUNDDOWN(INDEX(入力!$H$13:$H$20,MATCH(F40,入力!$B$13:$B$20,1))/H40+INDEX(入力!$I$13:$I$20,MATCH(F40,入力!$B$13:$B$20,1))/22,0))</f>
        <v/>
      </c>
      <c r="L40" s="106">
        <f>IF(F40="","",IF(J40&gt;K40,"〇","×"))</f>
        <v/>
      </c>
      <c r="M40" s="95">
        <f>IF(F40="","",J40*I40)</f>
        <v/>
      </c>
      <c r="N40" s="95">
        <f>IF(F40="","",MIN(J40,K40)*I40)</f>
        <v/>
      </c>
      <c r="O40" s="96">
        <f>IF(F40="","",M40-N40)</f>
        <v/>
      </c>
      <c r="P40" s="107">
        <f>IF(F40="","",IFERROR(INDEX(入力!$G$37:$G$78,MATCH(B40,入力!$A$37:$A$78,0)),""))</f>
        <v/>
      </c>
      <c r="Q40" s="63">
        <f>IF(F40="","",IF(COUNTIFS($B$6:B40,B40,$C$6:C40,C40,$E$6:E40,E40)=1,MAX($Q$5:Q39)+1,""))</f>
        <v/>
      </c>
      <c r="R40" s="63">
        <f>IF(G40="","",IF(COUNTIFS(入力!$B$86:$B$95,"&lt;="&amp;(G40+1),入力!$C$86:$C$95,"&gt;="&amp;(G40+1))&gt;0,SUMIFS(入力!$C$86:$C$95,入力!$B$86:$B$95,"&lt;="&amp;(G40+1),入力!$C$86:$C$95,"&gt;="&amp;(G40+1))+1,G40+1))</f>
        <v/>
      </c>
      <c r="S40" s="63">
        <f>IF(R40="","",IF(COUNTIFS(入力!$B$86:$B$95,"&lt;="&amp;(R40),入力!$C$86:$C$95,"&gt;="&amp;(R40))&gt;0,SUMIFS(入力!$C$86:$C$95,入力!$B$86:$B$95,"&lt;="&amp;(R40),入力!$C$86:$C$95,"&gt;="&amp;(R40))+1,R40))</f>
        <v/>
      </c>
      <c r="T40" s="63" t="n"/>
      <c r="U40" s="63">
        <f>IF(OR(X39="",X39&gt;入力!$J$4+3650),"",X39)</f>
        <v/>
      </c>
      <c r="V40" s="63">
        <f>IF(U40="","",MIN(EOMONTH(U40,0),IF(AND(入力!$B$13&lt;&gt;"",入力!$B$13&gt;U40),入力!$B$13-1,999999),IF(AND(入力!$B$14&lt;&gt;"",入力!$B$14&gt;U40),入力!$B$14-1,999999),IF(AND(入力!$B$15&lt;&gt;"",入力!$B$15&gt;U40),入力!$B$15-1,999999),IF(AND(入力!$B$16&lt;&gt;"",入力!$B$16&gt;U40),入力!$B$16-1,999999),IF(AND(入力!$B$17&lt;&gt;"",入力!$B$17&gt;U40),入力!$B$17-1,999999),IF(AND(入力!$B$18&lt;&gt;"",入力!$B$18&gt;U40),入力!$B$18-1,999999),IF(AND(入力!$B$19&lt;&gt;"",入力!$B$19&gt;U40),入力!$B$19-1,999999),IF(AND(入力!$B$20&lt;&gt;"",入力!$B$20&gt;U40),入力!$B$20-1,999999),IFERROR(SMALL(入力!$B$86:$B$95,COUNTIF(入力!$B$86:$B$95,"&lt;="&amp;U40)+1)-1,999999)))</f>
        <v/>
      </c>
      <c r="W40" s="63">
        <f>IF(V40="","",IF(COUNTIFS(入力!$B$86:$B$95,"&lt;="&amp;(V40+1),入力!$C$86:$C$95,"&gt;="&amp;(V40+1))&gt;0,SUMIFS(入力!$C$86:$C$95,入力!$B$86:$B$95,"&lt;="&amp;(V40+1),入力!$C$86:$C$95,"&gt;="&amp;(V40+1))+1,V40+1))</f>
        <v/>
      </c>
      <c r="X40" s="63">
        <f>IF(W40="","",IF(COUNTIFS(入力!$B$86:$B$95,"&lt;="&amp;(W40),入力!$C$86:$C$95,"&gt;="&amp;(W40))&gt;0,SUMIFS(入力!$C$86:$C$95,入力!$B$86:$B$95,"&lt;="&amp;(W40),入力!$C$86:$C$95,"&gt;="&amp;(W40))+1,W40))</f>
        <v/>
      </c>
      <c r="Y40" s="63">
        <f>IF(U40="","",IFERROR(VLOOKUP(DATE(YEAR(U40),MONTH(U40),1),カレンダーマスタ!$A$2:$B$301,2,0),NETWORKDAYS(DATE(YEAR(U40),MONTH(U40),1),EOMONTH(U40,0))))</f>
        <v/>
      </c>
      <c r="Z40" s="63">
        <f>IF(U40="","",IF(入力!$C$8&lt;&gt;"",入力!$C$8,IFERROR(INDEX(入力!$G$37:$G$78,MATCH(DATE(YEAR(U40),MONTH(U40),1),入力!$A$37:$A$78,0)),0)))</f>
        <v/>
      </c>
      <c r="AA40" s="63">
        <f>IF(U40="","",ROUNDDOWN(INDEX(入力!$H$13:$H$20,MATCH(U40,入力!$B$13:$B$20,1))/Y40+INDEX(入力!$I$13:$I$20,MATCH(U40,入力!$B$13:$B$20,1))/22,0))</f>
        <v/>
      </c>
      <c r="AB40" s="63">
        <f>IF(U40="",0,IF(AND(Z40&gt;AA40,NETWORKDAYS(U40,V40)&gt;0),1,0))</f>
        <v/>
      </c>
      <c r="AC40" s="63" t="n"/>
      <c r="AD40" s="63" t="n"/>
    </row>
    <row r="41">
      <c r="A41" s="91">
        <f>IF(F41="","",36)</f>
        <v/>
      </c>
      <c r="B41" s="92">
        <f>IF(F41="","",DATE(YEAR(F41),MONTH(F41),1))</f>
        <v/>
      </c>
      <c r="C41" s="91">
        <f>IF(F41="","",MONTH(F41))</f>
        <v/>
      </c>
      <c r="D41" s="91">
        <f>IF(F41="","",INDEX(入力!$A$13:$A$20,MATCH(F41,入力!$B$13:$B$20,1)))</f>
        <v/>
      </c>
      <c r="E41" s="91">
        <f>IF(F41="","",IF(G41&lt;=入力!$J$6,"法定","附加"))</f>
        <v/>
      </c>
      <c r="F41" s="93">
        <f>IF(G40="","",IF(G40&gt;=入力!$J$9,"",IF(S40&gt;入力!$J$9,"",S40)))</f>
        <v/>
      </c>
      <c r="G41" s="93">
        <f>IF(F41="","",MIN(EOMONTH(F41,0),入力!$J$9,IF(AND(入力!$B$13&lt;&gt;"",入力!$B$13&gt;F41),入力!$B$13-1,999999),IF(AND(入力!$B$14&lt;&gt;"",入力!$B$14&gt;F41),入力!$B$14-1,999999),IF(AND(入力!$B$15&lt;&gt;"",入力!$B$15&gt;F41),入力!$B$15-1,999999),IF(AND(入力!$B$16&lt;&gt;"",入力!$B$16&gt;F41),入力!$B$16-1,999999),IF(AND(入力!$B$17&lt;&gt;"",入力!$B$17&gt;F41),入力!$B$17-1,999999),IF(AND(入力!$B$18&lt;&gt;"",入力!$B$18&gt;F41),入力!$B$18-1,999999),IF(AND(入力!$B$19&lt;&gt;"",入力!$B$19&gt;F41),入力!$B$19-1,999999),IF(AND(入力!$B$20&lt;&gt;"",入力!$B$20&gt;F41),入力!$B$20-1,999999),IF(AND(入力!$J$7&lt;&gt;"",入力!$J$7&gt;F41),入力!$J$7-1,999999),IFERROR(SMALL(入力!$B$86:$B$95,COUNTIF(入力!$B$86:$B$95,"&lt;="&amp;F41)+1)-1,999999)))</f>
        <v/>
      </c>
      <c r="H41" s="95">
        <f>IF(F41="","",IFERROR(VLOOKUP(B41,カレンダーマスタ!$A$2:$B$301,2,0),NETWORKDAYS(B41,EOMONTH(F41,0))))</f>
        <v/>
      </c>
      <c r="I41" s="94">
        <f>IF(F41="","",NETWORKDAYS(F41,G41))</f>
        <v/>
      </c>
      <c r="J41" s="95">
        <f>IF(F41="","",IF(入力!$C$8&lt;&gt;"",入力!$C$8,IF(F41&lt;入力!$J$5,IFERROR(INDEX(入力!$G$37:$G$78,MATCH(B41,入力!$A$37:$A$78,0)),入力!$J$10),入力!$J$10)))</f>
        <v/>
      </c>
      <c r="K41" s="95">
        <f>IF(F41="","",ROUNDDOWN(INDEX(入力!$H$13:$H$20,MATCH(F41,入力!$B$13:$B$20,1))/H41+INDEX(入力!$I$13:$I$20,MATCH(F41,入力!$B$13:$B$20,1))/22,0))</f>
        <v/>
      </c>
      <c r="L41" s="106">
        <f>IF(F41="","",IF(J41&gt;K41,"〇","×"))</f>
        <v/>
      </c>
      <c r="M41" s="95">
        <f>IF(F41="","",J41*I41)</f>
        <v/>
      </c>
      <c r="N41" s="95">
        <f>IF(F41="","",MIN(J41,K41)*I41)</f>
        <v/>
      </c>
      <c r="O41" s="96">
        <f>IF(F41="","",M41-N41)</f>
        <v/>
      </c>
      <c r="P41" s="107">
        <f>IF(F41="","",IFERROR(INDEX(入力!$G$37:$G$78,MATCH(B41,入力!$A$37:$A$78,0)),""))</f>
        <v/>
      </c>
      <c r="Q41" s="63">
        <f>IF(F41="","",IF(COUNTIFS($B$6:B41,B41,$C$6:C41,C41,$E$6:E41,E41)=1,MAX($Q$5:Q40)+1,""))</f>
        <v/>
      </c>
      <c r="R41" s="63">
        <f>IF(G41="","",IF(COUNTIFS(入力!$B$86:$B$95,"&lt;="&amp;(G41+1),入力!$C$86:$C$95,"&gt;="&amp;(G41+1))&gt;0,SUMIFS(入力!$C$86:$C$95,入力!$B$86:$B$95,"&lt;="&amp;(G41+1),入力!$C$86:$C$95,"&gt;="&amp;(G41+1))+1,G41+1))</f>
        <v/>
      </c>
      <c r="S41" s="63">
        <f>IF(R41="","",IF(COUNTIFS(入力!$B$86:$B$95,"&lt;="&amp;(R41),入力!$C$86:$C$95,"&gt;="&amp;(R41))&gt;0,SUMIFS(入力!$C$86:$C$95,入力!$B$86:$B$95,"&lt;="&amp;(R41),入力!$C$86:$C$95,"&gt;="&amp;(R41))+1,R41))</f>
        <v/>
      </c>
      <c r="T41" s="63" t="n"/>
      <c r="U41" s="63">
        <f>IF(OR(X40="",X40&gt;入力!$J$4+3650),"",X40)</f>
        <v/>
      </c>
      <c r="V41" s="63">
        <f>IF(U41="","",MIN(EOMONTH(U41,0),IF(AND(入力!$B$13&lt;&gt;"",入力!$B$13&gt;U41),入力!$B$13-1,999999),IF(AND(入力!$B$14&lt;&gt;"",入力!$B$14&gt;U41),入力!$B$14-1,999999),IF(AND(入力!$B$15&lt;&gt;"",入力!$B$15&gt;U41),入力!$B$15-1,999999),IF(AND(入力!$B$16&lt;&gt;"",入力!$B$16&gt;U41),入力!$B$16-1,999999),IF(AND(入力!$B$17&lt;&gt;"",入力!$B$17&gt;U41),入力!$B$17-1,999999),IF(AND(入力!$B$18&lt;&gt;"",入力!$B$18&gt;U41),入力!$B$18-1,999999),IF(AND(入力!$B$19&lt;&gt;"",入力!$B$19&gt;U41),入力!$B$19-1,999999),IF(AND(入力!$B$20&lt;&gt;"",入力!$B$20&gt;U41),入力!$B$20-1,999999),IFERROR(SMALL(入力!$B$86:$B$95,COUNTIF(入力!$B$86:$B$95,"&lt;="&amp;U41)+1)-1,999999)))</f>
        <v/>
      </c>
      <c r="W41" s="63">
        <f>IF(V41="","",IF(COUNTIFS(入力!$B$86:$B$95,"&lt;="&amp;(V41+1),入力!$C$86:$C$95,"&gt;="&amp;(V41+1))&gt;0,SUMIFS(入力!$C$86:$C$95,入力!$B$86:$B$95,"&lt;="&amp;(V41+1),入力!$C$86:$C$95,"&gt;="&amp;(V41+1))+1,V41+1))</f>
        <v/>
      </c>
      <c r="X41" s="63">
        <f>IF(W41="","",IF(COUNTIFS(入力!$B$86:$B$95,"&lt;="&amp;(W41),入力!$C$86:$C$95,"&gt;="&amp;(W41))&gt;0,SUMIFS(入力!$C$86:$C$95,入力!$B$86:$B$95,"&lt;="&amp;(W41),入力!$C$86:$C$95,"&gt;="&amp;(W41))+1,W41))</f>
        <v/>
      </c>
      <c r="Y41" s="63">
        <f>IF(U41="","",IFERROR(VLOOKUP(DATE(YEAR(U41),MONTH(U41),1),カレンダーマスタ!$A$2:$B$301,2,0),NETWORKDAYS(DATE(YEAR(U41),MONTH(U41),1),EOMONTH(U41,0))))</f>
        <v/>
      </c>
      <c r="Z41" s="63">
        <f>IF(U41="","",IF(入力!$C$8&lt;&gt;"",入力!$C$8,IFERROR(INDEX(入力!$G$37:$G$78,MATCH(DATE(YEAR(U41),MONTH(U41),1),入力!$A$37:$A$78,0)),0)))</f>
        <v/>
      </c>
      <c r="AA41" s="63">
        <f>IF(U41="","",ROUNDDOWN(INDEX(入力!$H$13:$H$20,MATCH(U41,入力!$B$13:$B$20,1))/Y41+INDEX(入力!$I$13:$I$20,MATCH(U41,入力!$B$13:$B$20,1))/22,0))</f>
        <v/>
      </c>
      <c r="AB41" s="63">
        <f>IF(U41="",0,IF(AND(Z41&gt;AA41,NETWORKDAYS(U41,V41)&gt;0),1,0))</f>
        <v/>
      </c>
      <c r="AC41" s="63" t="n"/>
      <c r="AD41" s="63" t="n"/>
    </row>
    <row r="42">
      <c r="A42" s="91">
        <f>IF(F42="","",37)</f>
        <v/>
      </c>
      <c r="B42" s="92">
        <f>IF(F42="","",DATE(YEAR(F42),MONTH(F42),1))</f>
        <v/>
      </c>
      <c r="C42" s="91">
        <f>IF(F42="","",MONTH(F42))</f>
        <v/>
      </c>
      <c r="D42" s="91">
        <f>IF(F42="","",INDEX(入力!$A$13:$A$20,MATCH(F42,入力!$B$13:$B$20,1)))</f>
        <v/>
      </c>
      <c r="E42" s="91">
        <f>IF(F42="","",IF(G42&lt;=入力!$J$6,"法定","附加"))</f>
        <v/>
      </c>
      <c r="F42" s="93">
        <f>IF(G41="","",IF(G41&gt;=入力!$J$9,"",IF(S41&gt;入力!$J$9,"",S41)))</f>
        <v/>
      </c>
      <c r="G42" s="93">
        <f>IF(F42="","",MIN(EOMONTH(F42,0),入力!$J$9,IF(AND(入力!$B$13&lt;&gt;"",入力!$B$13&gt;F42),入力!$B$13-1,999999),IF(AND(入力!$B$14&lt;&gt;"",入力!$B$14&gt;F42),入力!$B$14-1,999999),IF(AND(入力!$B$15&lt;&gt;"",入力!$B$15&gt;F42),入力!$B$15-1,999999),IF(AND(入力!$B$16&lt;&gt;"",入力!$B$16&gt;F42),入力!$B$16-1,999999),IF(AND(入力!$B$17&lt;&gt;"",入力!$B$17&gt;F42),入力!$B$17-1,999999),IF(AND(入力!$B$18&lt;&gt;"",入力!$B$18&gt;F42),入力!$B$18-1,999999),IF(AND(入力!$B$19&lt;&gt;"",入力!$B$19&gt;F42),入力!$B$19-1,999999),IF(AND(入力!$B$20&lt;&gt;"",入力!$B$20&gt;F42),入力!$B$20-1,999999),IF(AND(入力!$J$7&lt;&gt;"",入力!$J$7&gt;F42),入力!$J$7-1,999999),IFERROR(SMALL(入力!$B$86:$B$95,COUNTIF(入力!$B$86:$B$95,"&lt;="&amp;F42)+1)-1,999999)))</f>
        <v/>
      </c>
      <c r="H42" s="95">
        <f>IF(F42="","",IFERROR(VLOOKUP(B42,カレンダーマスタ!$A$2:$B$301,2,0),NETWORKDAYS(B42,EOMONTH(F42,0))))</f>
        <v/>
      </c>
      <c r="I42" s="94">
        <f>IF(F42="","",NETWORKDAYS(F42,G42))</f>
        <v/>
      </c>
      <c r="J42" s="95">
        <f>IF(F42="","",IF(入力!$C$8&lt;&gt;"",入力!$C$8,IF(F42&lt;入力!$J$5,IFERROR(INDEX(入力!$G$37:$G$78,MATCH(B42,入力!$A$37:$A$78,0)),入力!$J$10),入力!$J$10)))</f>
        <v/>
      </c>
      <c r="K42" s="95">
        <f>IF(F42="","",ROUNDDOWN(INDEX(入力!$H$13:$H$20,MATCH(F42,入力!$B$13:$B$20,1))/H42+INDEX(入力!$I$13:$I$20,MATCH(F42,入力!$B$13:$B$20,1))/22,0))</f>
        <v/>
      </c>
      <c r="L42" s="106">
        <f>IF(F42="","",IF(J42&gt;K42,"〇","×"))</f>
        <v/>
      </c>
      <c r="M42" s="95">
        <f>IF(F42="","",J42*I42)</f>
        <v/>
      </c>
      <c r="N42" s="95">
        <f>IF(F42="","",MIN(J42,K42)*I42)</f>
        <v/>
      </c>
      <c r="O42" s="96">
        <f>IF(F42="","",M42-N42)</f>
        <v/>
      </c>
      <c r="P42" s="107">
        <f>IF(F42="","",IFERROR(INDEX(入力!$G$37:$G$78,MATCH(B42,入力!$A$37:$A$78,0)),""))</f>
        <v/>
      </c>
      <c r="Q42" s="63">
        <f>IF(F42="","",IF(COUNTIFS($B$6:B42,B42,$C$6:C42,C42,$E$6:E42,E42)=1,MAX($Q$5:Q41)+1,""))</f>
        <v/>
      </c>
      <c r="R42" s="63">
        <f>IF(G42="","",IF(COUNTIFS(入力!$B$86:$B$95,"&lt;="&amp;(G42+1),入力!$C$86:$C$95,"&gt;="&amp;(G42+1))&gt;0,SUMIFS(入力!$C$86:$C$95,入力!$B$86:$B$95,"&lt;="&amp;(G42+1),入力!$C$86:$C$95,"&gt;="&amp;(G42+1))+1,G42+1))</f>
        <v/>
      </c>
      <c r="S42" s="63">
        <f>IF(R42="","",IF(COUNTIFS(入力!$B$86:$B$95,"&lt;="&amp;(R42),入力!$C$86:$C$95,"&gt;="&amp;(R42))&gt;0,SUMIFS(入力!$C$86:$C$95,入力!$B$86:$B$95,"&lt;="&amp;(R42),入力!$C$86:$C$95,"&gt;="&amp;(R42))+1,R42))</f>
        <v/>
      </c>
      <c r="T42" s="63" t="n"/>
      <c r="U42" s="63">
        <f>IF(OR(X41="",X41&gt;入力!$J$4+3650),"",X41)</f>
        <v/>
      </c>
      <c r="V42" s="63">
        <f>IF(U42="","",MIN(EOMONTH(U42,0),IF(AND(入力!$B$13&lt;&gt;"",入力!$B$13&gt;U42),入力!$B$13-1,999999),IF(AND(入力!$B$14&lt;&gt;"",入力!$B$14&gt;U42),入力!$B$14-1,999999),IF(AND(入力!$B$15&lt;&gt;"",入力!$B$15&gt;U42),入力!$B$15-1,999999),IF(AND(入力!$B$16&lt;&gt;"",入力!$B$16&gt;U42),入力!$B$16-1,999999),IF(AND(入力!$B$17&lt;&gt;"",入力!$B$17&gt;U42),入力!$B$17-1,999999),IF(AND(入力!$B$18&lt;&gt;"",入力!$B$18&gt;U42),入力!$B$18-1,999999),IF(AND(入力!$B$19&lt;&gt;"",入力!$B$19&gt;U42),入力!$B$19-1,999999),IF(AND(入力!$B$20&lt;&gt;"",入力!$B$20&gt;U42),入力!$B$20-1,999999),IFERROR(SMALL(入力!$B$86:$B$95,COUNTIF(入力!$B$86:$B$95,"&lt;="&amp;U42)+1)-1,999999)))</f>
        <v/>
      </c>
      <c r="W42" s="63">
        <f>IF(V42="","",IF(COUNTIFS(入力!$B$86:$B$95,"&lt;="&amp;(V42+1),入力!$C$86:$C$95,"&gt;="&amp;(V42+1))&gt;0,SUMIFS(入力!$C$86:$C$95,入力!$B$86:$B$95,"&lt;="&amp;(V42+1),入力!$C$86:$C$95,"&gt;="&amp;(V42+1))+1,V42+1))</f>
        <v/>
      </c>
      <c r="X42" s="63">
        <f>IF(W42="","",IF(COUNTIFS(入力!$B$86:$B$95,"&lt;="&amp;(W42),入力!$C$86:$C$95,"&gt;="&amp;(W42))&gt;0,SUMIFS(入力!$C$86:$C$95,入力!$B$86:$B$95,"&lt;="&amp;(W42),入力!$C$86:$C$95,"&gt;="&amp;(W42))+1,W42))</f>
        <v/>
      </c>
      <c r="Y42" s="63">
        <f>IF(U42="","",IFERROR(VLOOKUP(DATE(YEAR(U42),MONTH(U42),1),カレンダーマスタ!$A$2:$B$301,2,0),NETWORKDAYS(DATE(YEAR(U42),MONTH(U42),1),EOMONTH(U42,0))))</f>
        <v/>
      </c>
      <c r="Z42" s="63">
        <f>IF(U42="","",IF(入力!$C$8&lt;&gt;"",入力!$C$8,IFERROR(INDEX(入力!$G$37:$G$78,MATCH(DATE(YEAR(U42),MONTH(U42),1),入力!$A$37:$A$78,0)),0)))</f>
        <v/>
      </c>
      <c r="AA42" s="63">
        <f>IF(U42="","",ROUNDDOWN(INDEX(入力!$H$13:$H$20,MATCH(U42,入力!$B$13:$B$20,1))/Y42+INDEX(入力!$I$13:$I$20,MATCH(U42,入力!$B$13:$B$20,1))/22,0))</f>
        <v/>
      </c>
      <c r="AB42" s="63">
        <f>IF(U42="",0,IF(AND(Z42&gt;AA42,NETWORKDAYS(U42,V42)&gt;0),1,0))</f>
        <v/>
      </c>
      <c r="AC42" s="63" t="n"/>
      <c r="AD42" s="63" t="n"/>
    </row>
    <row r="43">
      <c r="A43" s="91">
        <f>IF(F43="","",38)</f>
        <v/>
      </c>
      <c r="B43" s="92">
        <f>IF(F43="","",DATE(YEAR(F43),MONTH(F43),1))</f>
        <v/>
      </c>
      <c r="C43" s="91">
        <f>IF(F43="","",MONTH(F43))</f>
        <v/>
      </c>
      <c r="D43" s="91">
        <f>IF(F43="","",INDEX(入力!$A$13:$A$20,MATCH(F43,入力!$B$13:$B$20,1)))</f>
        <v/>
      </c>
      <c r="E43" s="91">
        <f>IF(F43="","",IF(G43&lt;=入力!$J$6,"法定","附加"))</f>
        <v/>
      </c>
      <c r="F43" s="93">
        <f>IF(G42="","",IF(G42&gt;=入力!$J$9,"",IF(S42&gt;入力!$J$9,"",S42)))</f>
        <v/>
      </c>
      <c r="G43" s="93">
        <f>IF(F43="","",MIN(EOMONTH(F43,0),入力!$J$9,IF(AND(入力!$B$13&lt;&gt;"",入力!$B$13&gt;F43),入力!$B$13-1,999999),IF(AND(入力!$B$14&lt;&gt;"",入力!$B$14&gt;F43),入力!$B$14-1,999999),IF(AND(入力!$B$15&lt;&gt;"",入力!$B$15&gt;F43),入力!$B$15-1,999999),IF(AND(入力!$B$16&lt;&gt;"",入力!$B$16&gt;F43),入力!$B$16-1,999999),IF(AND(入力!$B$17&lt;&gt;"",入力!$B$17&gt;F43),入力!$B$17-1,999999),IF(AND(入力!$B$18&lt;&gt;"",入力!$B$18&gt;F43),入力!$B$18-1,999999),IF(AND(入力!$B$19&lt;&gt;"",入力!$B$19&gt;F43),入力!$B$19-1,999999),IF(AND(入力!$B$20&lt;&gt;"",入力!$B$20&gt;F43),入力!$B$20-1,999999),IF(AND(入力!$J$7&lt;&gt;"",入力!$J$7&gt;F43),入力!$J$7-1,999999),IFERROR(SMALL(入力!$B$86:$B$95,COUNTIF(入力!$B$86:$B$95,"&lt;="&amp;F43)+1)-1,999999)))</f>
        <v/>
      </c>
      <c r="H43" s="95">
        <f>IF(F43="","",IFERROR(VLOOKUP(B43,カレンダーマスタ!$A$2:$B$301,2,0),NETWORKDAYS(B43,EOMONTH(F43,0))))</f>
        <v/>
      </c>
      <c r="I43" s="94">
        <f>IF(F43="","",NETWORKDAYS(F43,G43))</f>
        <v/>
      </c>
      <c r="J43" s="95">
        <f>IF(F43="","",IF(入力!$C$8&lt;&gt;"",入力!$C$8,IF(F43&lt;入力!$J$5,IFERROR(INDEX(入力!$G$37:$G$78,MATCH(B43,入力!$A$37:$A$78,0)),入力!$J$10),入力!$J$10)))</f>
        <v/>
      </c>
      <c r="K43" s="95">
        <f>IF(F43="","",ROUNDDOWN(INDEX(入力!$H$13:$H$20,MATCH(F43,入力!$B$13:$B$20,1))/H43+INDEX(入力!$I$13:$I$20,MATCH(F43,入力!$B$13:$B$20,1))/22,0))</f>
        <v/>
      </c>
      <c r="L43" s="106">
        <f>IF(F43="","",IF(J43&gt;K43,"〇","×"))</f>
        <v/>
      </c>
      <c r="M43" s="95">
        <f>IF(F43="","",J43*I43)</f>
        <v/>
      </c>
      <c r="N43" s="95">
        <f>IF(F43="","",MIN(J43,K43)*I43)</f>
        <v/>
      </c>
      <c r="O43" s="96">
        <f>IF(F43="","",M43-N43)</f>
        <v/>
      </c>
      <c r="P43" s="107">
        <f>IF(F43="","",IFERROR(INDEX(入力!$G$37:$G$78,MATCH(B43,入力!$A$37:$A$78,0)),""))</f>
        <v/>
      </c>
      <c r="Q43" s="63">
        <f>IF(F43="","",IF(COUNTIFS($B$6:B43,B43,$C$6:C43,C43,$E$6:E43,E43)=1,MAX($Q$5:Q42)+1,""))</f>
        <v/>
      </c>
      <c r="R43" s="63">
        <f>IF(G43="","",IF(COUNTIFS(入力!$B$86:$B$95,"&lt;="&amp;(G43+1),入力!$C$86:$C$95,"&gt;="&amp;(G43+1))&gt;0,SUMIFS(入力!$C$86:$C$95,入力!$B$86:$B$95,"&lt;="&amp;(G43+1),入力!$C$86:$C$95,"&gt;="&amp;(G43+1))+1,G43+1))</f>
        <v/>
      </c>
      <c r="S43" s="63">
        <f>IF(R43="","",IF(COUNTIFS(入力!$B$86:$B$95,"&lt;="&amp;(R43),入力!$C$86:$C$95,"&gt;="&amp;(R43))&gt;0,SUMIFS(入力!$C$86:$C$95,入力!$B$86:$B$95,"&lt;="&amp;(R43),入力!$C$86:$C$95,"&gt;="&amp;(R43))+1,R43))</f>
        <v/>
      </c>
      <c r="T43" s="63" t="n"/>
      <c r="U43" s="63">
        <f>IF(OR(X42="",X42&gt;入力!$J$4+3650),"",X42)</f>
        <v/>
      </c>
      <c r="V43" s="63">
        <f>IF(U43="","",MIN(EOMONTH(U43,0),IF(AND(入力!$B$13&lt;&gt;"",入力!$B$13&gt;U43),入力!$B$13-1,999999),IF(AND(入力!$B$14&lt;&gt;"",入力!$B$14&gt;U43),入力!$B$14-1,999999),IF(AND(入力!$B$15&lt;&gt;"",入力!$B$15&gt;U43),入力!$B$15-1,999999),IF(AND(入力!$B$16&lt;&gt;"",入力!$B$16&gt;U43),入力!$B$16-1,999999),IF(AND(入力!$B$17&lt;&gt;"",入力!$B$17&gt;U43),入力!$B$17-1,999999),IF(AND(入力!$B$18&lt;&gt;"",入力!$B$18&gt;U43),入力!$B$18-1,999999),IF(AND(入力!$B$19&lt;&gt;"",入力!$B$19&gt;U43),入力!$B$19-1,999999),IF(AND(入力!$B$20&lt;&gt;"",入力!$B$20&gt;U43),入力!$B$20-1,999999),IFERROR(SMALL(入力!$B$86:$B$95,COUNTIF(入力!$B$86:$B$95,"&lt;="&amp;U43)+1)-1,999999)))</f>
        <v/>
      </c>
      <c r="W43" s="63">
        <f>IF(V43="","",IF(COUNTIFS(入力!$B$86:$B$95,"&lt;="&amp;(V43+1),入力!$C$86:$C$95,"&gt;="&amp;(V43+1))&gt;0,SUMIFS(入力!$C$86:$C$95,入力!$B$86:$B$95,"&lt;="&amp;(V43+1),入力!$C$86:$C$95,"&gt;="&amp;(V43+1))+1,V43+1))</f>
        <v/>
      </c>
      <c r="X43" s="63">
        <f>IF(W43="","",IF(COUNTIFS(入力!$B$86:$B$95,"&lt;="&amp;(W43),入力!$C$86:$C$95,"&gt;="&amp;(W43))&gt;0,SUMIFS(入力!$C$86:$C$95,入力!$B$86:$B$95,"&lt;="&amp;(W43),入力!$C$86:$C$95,"&gt;="&amp;(W43))+1,W43))</f>
        <v/>
      </c>
      <c r="Y43" s="63">
        <f>IF(U43="","",IFERROR(VLOOKUP(DATE(YEAR(U43),MONTH(U43),1),カレンダーマスタ!$A$2:$B$301,2,0),NETWORKDAYS(DATE(YEAR(U43),MONTH(U43),1),EOMONTH(U43,0))))</f>
        <v/>
      </c>
      <c r="Z43" s="63">
        <f>IF(U43="","",IF(入力!$C$8&lt;&gt;"",入力!$C$8,IFERROR(INDEX(入力!$G$37:$G$78,MATCH(DATE(YEAR(U43),MONTH(U43),1),入力!$A$37:$A$78,0)),0)))</f>
        <v/>
      </c>
      <c r="AA43" s="63">
        <f>IF(U43="","",ROUNDDOWN(INDEX(入力!$H$13:$H$20,MATCH(U43,入力!$B$13:$B$20,1))/Y43+INDEX(入力!$I$13:$I$20,MATCH(U43,入力!$B$13:$B$20,1))/22,0))</f>
        <v/>
      </c>
      <c r="AB43" s="63">
        <f>IF(U43="",0,IF(AND(Z43&gt;AA43,NETWORKDAYS(U43,V43)&gt;0),1,0))</f>
        <v/>
      </c>
      <c r="AC43" s="63" t="n"/>
      <c r="AD43" s="63" t="n"/>
    </row>
    <row r="44">
      <c r="A44" s="91">
        <f>IF(F44="","",39)</f>
        <v/>
      </c>
      <c r="B44" s="92">
        <f>IF(F44="","",DATE(YEAR(F44),MONTH(F44),1))</f>
        <v/>
      </c>
      <c r="C44" s="91">
        <f>IF(F44="","",MONTH(F44))</f>
        <v/>
      </c>
      <c r="D44" s="91">
        <f>IF(F44="","",INDEX(入力!$A$13:$A$20,MATCH(F44,入力!$B$13:$B$20,1)))</f>
        <v/>
      </c>
      <c r="E44" s="91">
        <f>IF(F44="","",IF(G44&lt;=入力!$J$6,"法定","附加"))</f>
        <v/>
      </c>
      <c r="F44" s="93">
        <f>IF(G43="","",IF(G43&gt;=入力!$J$9,"",IF(S43&gt;入力!$J$9,"",S43)))</f>
        <v/>
      </c>
      <c r="G44" s="93">
        <f>IF(F44="","",MIN(EOMONTH(F44,0),入力!$J$9,IF(AND(入力!$B$13&lt;&gt;"",入力!$B$13&gt;F44),入力!$B$13-1,999999),IF(AND(入力!$B$14&lt;&gt;"",入力!$B$14&gt;F44),入力!$B$14-1,999999),IF(AND(入力!$B$15&lt;&gt;"",入力!$B$15&gt;F44),入力!$B$15-1,999999),IF(AND(入力!$B$16&lt;&gt;"",入力!$B$16&gt;F44),入力!$B$16-1,999999),IF(AND(入力!$B$17&lt;&gt;"",入力!$B$17&gt;F44),入力!$B$17-1,999999),IF(AND(入力!$B$18&lt;&gt;"",入力!$B$18&gt;F44),入力!$B$18-1,999999),IF(AND(入力!$B$19&lt;&gt;"",入力!$B$19&gt;F44),入力!$B$19-1,999999),IF(AND(入力!$B$20&lt;&gt;"",入力!$B$20&gt;F44),入力!$B$20-1,999999),IF(AND(入力!$J$7&lt;&gt;"",入力!$J$7&gt;F44),入力!$J$7-1,999999),IFERROR(SMALL(入力!$B$86:$B$95,COUNTIF(入力!$B$86:$B$95,"&lt;="&amp;F44)+1)-1,999999)))</f>
        <v/>
      </c>
      <c r="H44" s="95">
        <f>IF(F44="","",IFERROR(VLOOKUP(B44,カレンダーマスタ!$A$2:$B$301,2,0),NETWORKDAYS(B44,EOMONTH(F44,0))))</f>
        <v/>
      </c>
      <c r="I44" s="94">
        <f>IF(F44="","",NETWORKDAYS(F44,G44))</f>
        <v/>
      </c>
      <c r="J44" s="95">
        <f>IF(F44="","",IF(入力!$C$8&lt;&gt;"",入力!$C$8,IF(F44&lt;入力!$J$5,IFERROR(INDEX(入力!$G$37:$G$78,MATCH(B44,入力!$A$37:$A$78,0)),入力!$J$10),入力!$J$10)))</f>
        <v/>
      </c>
      <c r="K44" s="95">
        <f>IF(F44="","",ROUNDDOWN(INDEX(入力!$H$13:$H$20,MATCH(F44,入力!$B$13:$B$20,1))/H44+INDEX(入力!$I$13:$I$20,MATCH(F44,入力!$B$13:$B$20,1))/22,0))</f>
        <v/>
      </c>
      <c r="L44" s="106">
        <f>IF(F44="","",IF(J44&gt;K44,"〇","×"))</f>
        <v/>
      </c>
      <c r="M44" s="95">
        <f>IF(F44="","",J44*I44)</f>
        <v/>
      </c>
      <c r="N44" s="95">
        <f>IF(F44="","",MIN(J44,K44)*I44)</f>
        <v/>
      </c>
      <c r="O44" s="96">
        <f>IF(F44="","",M44-N44)</f>
        <v/>
      </c>
      <c r="P44" s="107">
        <f>IF(F44="","",IFERROR(INDEX(入力!$G$37:$G$78,MATCH(B44,入力!$A$37:$A$78,0)),""))</f>
        <v/>
      </c>
      <c r="Q44" s="63">
        <f>IF(F44="","",IF(COUNTIFS($B$6:B44,B44,$C$6:C44,C44,$E$6:E44,E44)=1,MAX($Q$5:Q43)+1,""))</f>
        <v/>
      </c>
      <c r="R44" s="63">
        <f>IF(G44="","",IF(COUNTIFS(入力!$B$86:$B$95,"&lt;="&amp;(G44+1),入力!$C$86:$C$95,"&gt;="&amp;(G44+1))&gt;0,SUMIFS(入力!$C$86:$C$95,入力!$B$86:$B$95,"&lt;="&amp;(G44+1),入力!$C$86:$C$95,"&gt;="&amp;(G44+1))+1,G44+1))</f>
        <v/>
      </c>
      <c r="S44" s="63">
        <f>IF(R44="","",IF(COUNTIFS(入力!$B$86:$B$95,"&lt;="&amp;(R44),入力!$C$86:$C$95,"&gt;="&amp;(R44))&gt;0,SUMIFS(入力!$C$86:$C$95,入力!$B$86:$B$95,"&lt;="&amp;(R44),入力!$C$86:$C$95,"&gt;="&amp;(R44))+1,R44))</f>
        <v/>
      </c>
      <c r="T44" s="63" t="n"/>
      <c r="U44" s="63">
        <f>IF(OR(X43="",X43&gt;入力!$J$4+3650),"",X43)</f>
        <v/>
      </c>
      <c r="V44" s="63">
        <f>IF(U44="","",MIN(EOMONTH(U44,0),IF(AND(入力!$B$13&lt;&gt;"",入力!$B$13&gt;U44),入力!$B$13-1,999999),IF(AND(入力!$B$14&lt;&gt;"",入力!$B$14&gt;U44),入力!$B$14-1,999999),IF(AND(入力!$B$15&lt;&gt;"",入力!$B$15&gt;U44),入力!$B$15-1,999999),IF(AND(入力!$B$16&lt;&gt;"",入力!$B$16&gt;U44),入力!$B$16-1,999999),IF(AND(入力!$B$17&lt;&gt;"",入力!$B$17&gt;U44),入力!$B$17-1,999999),IF(AND(入力!$B$18&lt;&gt;"",入力!$B$18&gt;U44),入力!$B$18-1,999999),IF(AND(入力!$B$19&lt;&gt;"",入力!$B$19&gt;U44),入力!$B$19-1,999999),IF(AND(入力!$B$20&lt;&gt;"",入力!$B$20&gt;U44),入力!$B$20-1,999999),IFERROR(SMALL(入力!$B$86:$B$95,COUNTIF(入力!$B$86:$B$95,"&lt;="&amp;U44)+1)-1,999999)))</f>
        <v/>
      </c>
      <c r="W44" s="63">
        <f>IF(V44="","",IF(COUNTIFS(入力!$B$86:$B$95,"&lt;="&amp;(V44+1),入力!$C$86:$C$95,"&gt;="&amp;(V44+1))&gt;0,SUMIFS(入力!$C$86:$C$95,入力!$B$86:$B$95,"&lt;="&amp;(V44+1),入力!$C$86:$C$95,"&gt;="&amp;(V44+1))+1,V44+1))</f>
        <v/>
      </c>
      <c r="X44" s="63">
        <f>IF(W44="","",IF(COUNTIFS(入力!$B$86:$B$95,"&lt;="&amp;(W44),入力!$C$86:$C$95,"&gt;="&amp;(W44))&gt;0,SUMIFS(入力!$C$86:$C$95,入力!$B$86:$B$95,"&lt;="&amp;(W44),入力!$C$86:$C$95,"&gt;="&amp;(W44))+1,W44))</f>
        <v/>
      </c>
      <c r="Y44" s="63">
        <f>IF(U44="","",IFERROR(VLOOKUP(DATE(YEAR(U44),MONTH(U44),1),カレンダーマスタ!$A$2:$B$301,2,0),NETWORKDAYS(DATE(YEAR(U44),MONTH(U44),1),EOMONTH(U44,0))))</f>
        <v/>
      </c>
      <c r="Z44" s="63">
        <f>IF(U44="","",IF(入力!$C$8&lt;&gt;"",入力!$C$8,IFERROR(INDEX(入力!$G$37:$G$78,MATCH(DATE(YEAR(U44),MONTH(U44),1),入力!$A$37:$A$78,0)),0)))</f>
        <v/>
      </c>
      <c r="AA44" s="63">
        <f>IF(U44="","",ROUNDDOWN(INDEX(入力!$H$13:$H$20,MATCH(U44,入力!$B$13:$B$20,1))/Y44+INDEX(入力!$I$13:$I$20,MATCH(U44,入力!$B$13:$B$20,1))/22,0))</f>
        <v/>
      </c>
      <c r="AB44" s="63">
        <f>IF(U44="",0,IF(AND(Z44&gt;AA44,NETWORKDAYS(U44,V44)&gt;0),1,0))</f>
        <v/>
      </c>
      <c r="AC44" s="63" t="n"/>
      <c r="AD44" s="63" t="n"/>
    </row>
    <row r="45">
      <c r="A45" s="91">
        <f>IF(F45="","",40)</f>
        <v/>
      </c>
      <c r="B45" s="92">
        <f>IF(F45="","",DATE(YEAR(F45),MONTH(F45),1))</f>
        <v/>
      </c>
      <c r="C45" s="91">
        <f>IF(F45="","",MONTH(F45))</f>
        <v/>
      </c>
      <c r="D45" s="91">
        <f>IF(F45="","",INDEX(入力!$A$13:$A$20,MATCH(F45,入力!$B$13:$B$20,1)))</f>
        <v/>
      </c>
      <c r="E45" s="91">
        <f>IF(F45="","",IF(G45&lt;=入力!$J$6,"法定","附加"))</f>
        <v/>
      </c>
      <c r="F45" s="93">
        <f>IF(G44="","",IF(G44&gt;=入力!$J$9,"",IF(S44&gt;入力!$J$9,"",S44)))</f>
        <v/>
      </c>
      <c r="G45" s="93">
        <f>IF(F45="","",MIN(EOMONTH(F45,0),入力!$J$9,IF(AND(入力!$B$13&lt;&gt;"",入力!$B$13&gt;F45),入力!$B$13-1,999999),IF(AND(入力!$B$14&lt;&gt;"",入力!$B$14&gt;F45),入力!$B$14-1,999999),IF(AND(入力!$B$15&lt;&gt;"",入力!$B$15&gt;F45),入力!$B$15-1,999999),IF(AND(入力!$B$16&lt;&gt;"",入力!$B$16&gt;F45),入力!$B$16-1,999999),IF(AND(入力!$B$17&lt;&gt;"",入力!$B$17&gt;F45),入力!$B$17-1,999999),IF(AND(入力!$B$18&lt;&gt;"",入力!$B$18&gt;F45),入力!$B$18-1,999999),IF(AND(入力!$B$19&lt;&gt;"",入力!$B$19&gt;F45),入力!$B$19-1,999999),IF(AND(入力!$B$20&lt;&gt;"",入力!$B$20&gt;F45),入力!$B$20-1,999999),IF(AND(入力!$J$7&lt;&gt;"",入力!$J$7&gt;F45),入力!$J$7-1,999999),IFERROR(SMALL(入力!$B$86:$B$95,COUNTIF(入力!$B$86:$B$95,"&lt;="&amp;F45)+1)-1,999999)))</f>
        <v/>
      </c>
      <c r="H45" s="95">
        <f>IF(F45="","",IFERROR(VLOOKUP(B45,カレンダーマスタ!$A$2:$B$301,2,0),NETWORKDAYS(B45,EOMONTH(F45,0))))</f>
        <v/>
      </c>
      <c r="I45" s="94">
        <f>IF(F45="","",NETWORKDAYS(F45,G45))</f>
        <v/>
      </c>
      <c r="J45" s="95">
        <f>IF(F45="","",IF(入力!$C$8&lt;&gt;"",入力!$C$8,IF(F45&lt;入力!$J$5,IFERROR(INDEX(入力!$G$37:$G$78,MATCH(B45,入力!$A$37:$A$78,0)),入力!$J$10),入力!$J$10)))</f>
        <v/>
      </c>
      <c r="K45" s="95">
        <f>IF(F45="","",ROUNDDOWN(INDEX(入力!$H$13:$H$20,MATCH(F45,入力!$B$13:$B$20,1))/H45+INDEX(入力!$I$13:$I$20,MATCH(F45,入力!$B$13:$B$20,1))/22,0))</f>
        <v/>
      </c>
      <c r="L45" s="106">
        <f>IF(F45="","",IF(J45&gt;K45,"〇","×"))</f>
        <v/>
      </c>
      <c r="M45" s="95">
        <f>IF(F45="","",J45*I45)</f>
        <v/>
      </c>
      <c r="N45" s="95">
        <f>IF(F45="","",MIN(J45,K45)*I45)</f>
        <v/>
      </c>
      <c r="O45" s="96">
        <f>IF(F45="","",M45-N45)</f>
        <v/>
      </c>
      <c r="P45" s="107">
        <f>IF(F45="","",IFERROR(INDEX(入力!$G$37:$G$78,MATCH(B45,入力!$A$37:$A$78,0)),""))</f>
        <v/>
      </c>
      <c r="Q45" s="63">
        <f>IF(F45="","",IF(COUNTIFS($B$6:B45,B45,$C$6:C45,C45,$E$6:E45,E45)=1,MAX($Q$5:Q44)+1,""))</f>
        <v/>
      </c>
      <c r="R45" s="63">
        <f>IF(G45="","",IF(COUNTIFS(入力!$B$86:$B$95,"&lt;="&amp;(G45+1),入力!$C$86:$C$95,"&gt;="&amp;(G45+1))&gt;0,SUMIFS(入力!$C$86:$C$95,入力!$B$86:$B$95,"&lt;="&amp;(G45+1),入力!$C$86:$C$95,"&gt;="&amp;(G45+1))+1,G45+1))</f>
        <v/>
      </c>
      <c r="S45" s="63">
        <f>IF(R45="","",IF(COUNTIFS(入力!$B$86:$B$95,"&lt;="&amp;(R45),入力!$C$86:$C$95,"&gt;="&amp;(R45))&gt;0,SUMIFS(入力!$C$86:$C$95,入力!$B$86:$B$95,"&lt;="&amp;(R45),入力!$C$86:$C$95,"&gt;="&amp;(R45))+1,R45))</f>
        <v/>
      </c>
      <c r="T45" s="63" t="n"/>
      <c r="U45" s="63">
        <f>IF(OR(X44="",X44&gt;入力!$J$4+3650),"",X44)</f>
        <v/>
      </c>
      <c r="V45" s="63">
        <f>IF(U45="","",MIN(EOMONTH(U45,0),IF(AND(入力!$B$13&lt;&gt;"",入力!$B$13&gt;U45),入力!$B$13-1,999999),IF(AND(入力!$B$14&lt;&gt;"",入力!$B$14&gt;U45),入力!$B$14-1,999999),IF(AND(入力!$B$15&lt;&gt;"",入力!$B$15&gt;U45),入力!$B$15-1,999999),IF(AND(入力!$B$16&lt;&gt;"",入力!$B$16&gt;U45),入力!$B$16-1,999999),IF(AND(入力!$B$17&lt;&gt;"",入力!$B$17&gt;U45),入力!$B$17-1,999999),IF(AND(入力!$B$18&lt;&gt;"",入力!$B$18&gt;U45),入力!$B$18-1,999999),IF(AND(入力!$B$19&lt;&gt;"",入力!$B$19&gt;U45),入力!$B$19-1,999999),IF(AND(入力!$B$20&lt;&gt;"",入力!$B$20&gt;U45),入力!$B$20-1,999999),IFERROR(SMALL(入力!$B$86:$B$95,COUNTIF(入力!$B$86:$B$95,"&lt;="&amp;U45)+1)-1,999999)))</f>
        <v/>
      </c>
      <c r="W45" s="63">
        <f>IF(V45="","",IF(COUNTIFS(入力!$B$86:$B$95,"&lt;="&amp;(V45+1),入力!$C$86:$C$95,"&gt;="&amp;(V45+1))&gt;0,SUMIFS(入力!$C$86:$C$95,入力!$B$86:$B$95,"&lt;="&amp;(V45+1),入力!$C$86:$C$95,"&gt;="&amp;(V45+1))+1,V45+1))</f>
        <v/>
      </c>
      <c r="X45" s="63">
        <f>IF(W45="","",IF(COUNTIFS(入力!$B$86:$B$95,"&lt;="&amp;(W45),入力!$C$86:$C$95,"&gt;="&amp;(W45))&gt;0,SUMIFS(入力!$C$86:$C$95,入力!$B$86:$B$95,"&lt;="&amp;(W45),入力!$C$86:$C$95,"&gt;="&amp;(W45))+1,W45))</f>
        <v/>
      </c>
      <c r="Y45" s="63">
        <f>IF(U45="","",IFERROR(VLOOKUP(DATE(YEAR(U45),MONTH(U45),1),カレンダーマスタ!$A$2:$B$301,2,0),NETWORKDAYS(DATE(YEAR(U45),MONTH(U45),1),EOMONTH(U45,0))))</f>
        <v/>
      </c>
      <c r="Z45" s="63">
        <f>IF(U45="","",IF(入力!$C$8&lt;&gt;"",入力!$C$8,IFERROR(INDEX(入力!$G$37:$G$78,MATCH(DATE(YEAR(U45),MONTH(U45),1),入力!$A$37:$A$78,0)),0)))</f>
        <v/>
      </c>
      <c r="AA45" s="63">
        <f>IF(U45="","",ROUNDDOWN(INDEX(入力!$H$13:$H$20,MATCH(U45,入力!$B$13:$B$20,1))/Y45+INDEX(入力!$I$13:$I$20,MATCH(U45,入力!$B$13:$B$20,1))/22,0))</f>
        <v/>
      </c>
      <c r="AB45" s="63">
        <f>IF(U45="",0,IF(AND(Z45&gt;AA45,NETWORKDAYS(U45,V45)&gt;0),1,0))</f>
        <v/>
      </c>
      <c r="AC45" s="63" t="n"/>
      <c r="AD45" s="63" t="n"/>
    </row>
    <row r="46">
      <c r="A46" s="91">
        <f>IF(F46="","",41)</f>
        <v/>
      </c>
      <c r="B46" s="92">
        <f>IF(F46="","",DATE(YEAR(F46),MONTH(F46),1))</f>
        <v/>
      </c>
      <c r="C46" s="91">
        <f>IF(F46="","",MONTH(F46))</f>
        <v/>
      </c>
      <c r="D46" s="91">
        <f>IF(F46="","",INDEX(入力!$A$13:$A$20,MATCH(F46,入力!$B$13:$B$20,1)))</f>
        <v/>
      </c>
      <c r="E46" s="91">
        <f>IF(F46="","",IF(G46&lt;=入力!$J$6,"法定","附加"))</f>
        <v/>
      </c>
      <c r="F46" s="93">
        <f>IF(G45="","",IF(G45&gt;=入力!$J$9,"",IF(S45&gt;入力!$J$9,"",S45)))</f>
        <v/>
      </c>
      <c r="G46" s="93">
        <f>IF(F46="","",MIN(EOMONTH(F46,0),入力!$J$9,IF(AND(入力!$B$13&lt;&gt;"",入力!$B$13&gt;F46),入力!$B$13-1,999999),IF(AND(入力!$B$14&lt;&gt;"",入力!$B$14&gt;F46),入力!$B$14-1,999999),IF(AND(入力!$B$15&lt;&gt;"",入力!$B$15&gt;F46),入力!$B$15-1,999999),IF(AND(入力!$B$16&lt;&gt;"",入力!$B$16&gt;F46),入力!$B$16-1,999999),IF(AND(入力!$B$17&lt;&gt;"",入力!$B$17&gt;F46),入力!$B$17-1,999999),IF(AND(入力!$B$18&lt;&gt;"",入力!$B$18&gt;F46),入力!$B$18-1,999999),IF(AND(入力!$B$19&lt;&gt;"",入力!$B$19&gt;F46),入力!$B$19-1,999999),IF(AND(入力!$B$20&lt;&gt;"",入力!$B$20&gt;F46),入力!$B$20-1,999999),IF(AND(入力!$J$7&lt;&gt;"",入力!$J$7&gt;F46),入力!$J$7-1,999999),IFERROR(SMALL(入力!$B$86:$B$95,COUNTIF(入力!$B$86:$B$95,"&lt;="&amp;F46)+1)-1,999999)))</f>
        <v/>
      </c>
      <c r="H46" s="95">
        <f>IF(F46="","",IFERROR(VLOOKUP(B46,カレンダーマスタ!$A$2:$B$301,2,0),NETWORKDAYS(B46,EOMONTH(F46,0))))</f>
        <v/>
      </c>
      <c r="I46" s="94">
        <f>IF(F46="","",NETWORKDAYS(F46,G46))</f>
        <v/>
      </c>
      <c r="J46" s="95">
        <f>IF(F46="","",IF(入力!$C$8&lt;&gt;"",入力!$C$8,IF(F46&lt;入力!$J$5,IFERROR(INDEX(入力!$G$37:$G$78,MATCH(B46,入力!$A$37:$A$78,0)),入力!$J$10),入力!$J$10)))</f>
        <v/>
      </c>
      <c r="K46" s="95">
        <f>IF(F46="","",ROUNDDOWN(INDEX(入力!$H$13:$H$20,MATCH(F46,入力!$B$13:$B$20,1))/H46+INDEX(入力!$I$13:$I$20,MATCH(F46,入力!$B$13:$B$20,1))/22,0))</f>
        <v/>
      </c>
      <c r="L46" s="106">
        <f>IF(F46="","",IF(J46&gt;K46,"〇","×"))</f>
        <v/>
      </c>
      <c r="M46" s="95">
        <f>IF(F46="","",J46*I46)</f>
        <v/>
      </c>
      <c r="N46" s="95">
        <f>IF(F46="","",MIN(J46,K46)*I46)</f>
        <v/>
      </c>
      <c r="O46" s="96">
        <f>IF(F46="","",M46-N46)</f>
        <v/>
      </c>
      <c r="P46" s="107">
        <f>IF(F46="","",IFERROR(INDEX(入力!$G$37:$G$78,MATCH(B46,入力!$A$37:$A$78,0)),""))</f>
        <v/>
      </c>
      <c r="Q46" s="63">
        <f>IF(F46="","",IF(COUNTIFS($B$6:B46,B46,$C$6:C46,C46,$E$6:E46,E46)=1,MAX($Q$5:Q45)+1,""))</f>
        <v/>
      </c>
      <c r="R46" s="63">
        <f>IF(G46="","",IF(COUNTIFS(入力!$B$86:$B$95,"&lt;="&amp;(G46+1),入力!$C$86:$C$95,"&gt;="&amp;(G46+1))&gt;0,SUMIFS(入力!$C$86:$C$95,入力!$B$86:$B$95,"&lt;="&amp;(G46+1),入力!$C$86:$C$95,"&gt;="&amp;(G46+1))+1,G46+1))</f>
        <v/>
      </c>
      <c r="S46" s="63">
        <f>IF(R46="","",IF(COUNTIFS(入力!$B$86:$B$95,"&lt;="&amp;(R46),入力!$C$86:$C$95,"&gt;="&amp;(R46))&gt;0,SUMIFS(入力!$C$86:$C$95,入力!$B$86:$B$95,"&lt;="&amp;(R46),入力!$C$86:$C$95,"&gt;="&amp;(R46))+1,R46))</f>
        <v/>
      </c>
      <c r="T46" s="63" t="n"/>
      <c r="U46" s="63">
        <f>IF(OR(X45="",X45&gt;入力!$J$4+3650),"",X45)</f>
        <v/>
      </c>
      <c r="V46" s="63">
        <f>IF(U46="","",MIN(EOMONTH(U46,0),IF(AND(入力!$B$13&lt;&gt;"",入力!$B$13&gt;U46),入力!$B$13-1,999999),IF(AND(入力!$B$14&lt;&gt;"",入力!$B$14&gt;U46),入力!$B$14-1,999999),IF(AND(入力!$B$15&lt;&gt;"",入力!$B$15&gt;U46),入力!$B$15-1,999999),IF(AND(入力!$B$16&lt;&gt;"",入力!$B$16&gt;U46),入力!$B$16-1,999999),IF(AND(入力!$B$17&lt;&gt;"",入力!$B$17&gt;U46),入力!$B$17-1,999999),IF(AND(入力!$B$18&lt;&gt;"",入力!$B$18&gt;U46),入力!$B$18-1,999999),IF(AND(入力!$B$19&lt;&gt;"",入力!$B$19&gt;U46),入力!$B$19-1,999999),IF(AND(入力!$B$20&lt;&gt;"",入力!$B$20&gt;U46),入力!$B$20-1,999999),IFERROR(SMALL(入力!$B$86:$B$95,COUNTIF(入力!$B$86:$B$95,"&lt;="&amp;U46)+1)-1,999999)))</f>
        <v/>
      </c>
      <c r="W46" s="63">
        <f>IF(V46="","",IF(COUNTIFS(入力!$B$86:$B$95,"&lt;="&amp;(V46+1),入力!$C$86:$C$95,"&gt;="&amp;(V46+1))&gt;0,SUMIFS(入力!$C$86:$C$95,入力!$B$86:$B$95,"&lt;="&amp;(V46+1),入力!$C$86:$C$95,"&gt;="&amp;(V46+1))+1,V46+1))</f>
        <v/>
      </c>
      <c r="X46" s="63">
        <f>IF(W46="","",IF(COUNTIFS(入力!$B$86:$B$95,"&lt;="&amp;(W46),入力!$C$86:$C$95,"&gt;="&amp;(W46))&gt;0,SUMIFS(入力!$C$86:$C$95,入力!$B$86:$B$95,"&lt;="&amp;(W46),入力!$C$86:$C$95,"&gt;="&amp;(W46))+1,W46))</f>
        <v/>
      </c>
      <c r="Y46" s="63">
        <f>IF(U46="","",IFERROR(VLOOKUP(DATE(YEAR(U46),MONTH(U46),1),カレンダーマスタ!$A$2:$B$301,2,0),NETWORKDAYS(DATE(YEAR(U46),MONTH(U46),1),EOMONTH(U46,0))))</f>
        <v/>
      </c>
      <c r="Z46" s="63">
        <f>IF(U46="","",IF(入力!$C$8&lt;&gt;"",入力!$C$8,IFERROR(INDEX(入力!$G$37:$G$78,MATCH(DATE(YEAR(U46),MONTH(U46),1),入力!$A$37:$A$78,0)),0)))</f>
        <v/>
      </c>
      <c r="AA46" s="63">
        <f>IF(U46="","",ROUNDDOWN(INDEX(入力!$H$13:$H$20,MATCH(U46,入力!$B$13:$B$20,1))/Y46+INDEX(入力!$I$13:$I$20,MATCH(U46,入力!$B$13:$B$20,1))/22,0))</f>
        <v/>
      </c>
      <c r="AB46" s="63">
        <f>IF(U46="",0,IF(AND(Z46&gt;AA46,NETWORKDAYS(U46,V46)&gt;0),1,0))</f>
        <v/>
      </c>
      <c r="AC46" s="63" t="n"/>
      <c r="AD46" s="63" t="n"/>
    </row>
    <row r="47">
      <c r="A47" s="91">
        <f>IF(F47="","",42)</f>
        <v/>
      </c>
      <c r="B47" s="92">
        <f>IF(F47="","",DATE(YEAR(F47),MONTH(F47),1))</f>
        <v/>
      </c>
      <c r="C47" s="91">
        <f>IF(F47="","",MONTH(F47))</f>
        <v/>
      </c>
      <c r="D47" s="91">
        <f>IF(F47="","",INDEX(入力!$A$13:$A$20,MATCH(F47,入力!$B$13:$B$20,1)))</f>
        <v/>
      </c>
      <c r="E47" s="91">
        <f>IF(F47="","",IF(G47&lt;=入力!$J$6,"法定","附加"))</f>
        <v/>
      </c>
      <c r="F47" s="93">
        <f>IF(G46="","",IF(G46&gt;=入力!$J$9,"",IF(S46&gt;入力!$J$9,"",S46)))</f>
        <v/>
      </c>
      <c r="G47" s="93">
        <f>IF(F47="","",MIN(EOMONTH(F47,0),入力!$J$9,IF(AND(入力!$B$13&lt;&gt;"",入力!$B$13&gt;F47),入力!$B$13-1,999999),IF(AND(入力!$B$14&lt;&gt;"",入力!$B$14&gt;F47),入力!$B$14-1,999999),IF(AND(入力!$B$15&lt;&gt;"",入力!$B$15&gt;F47),入力!$B$15-1,999999),IF(AND(入力!$B$16&lt;&gt;"",入力!$B$16&gt;F47),入力!$B$16-1,999999),IF(AND(入力!$B$17&lt;&gt;"",入力!$B$17&gt;F47),入力!$B$17-1,999999),IF(AND(入力!$B$18&lt;&gt;"",入力!$B$18&gt;F47),入力!$B$18-1,999999),IF(AND(入力!$B$19&lt;&gt;"",入力!$B$19&gt;F47),入力!$B$19-1,999999),IF(AND(入力!$B$20&lt;&gt;"",入力!$B$20&gt;F47),入力!$B$20-1,999999),IF(AND(入力!$J$7&lt;&gt;"",入力!$J$7&gt;F47),入力!$J$7-1,999999),IFERROR(SMALL(入力!$B$86:$B$95,COUNTIF(入力!$B$86:$B$95,"&lt;="&amp;F47)+1)-1,999999)))</f>
        <v/>
      </c>
      <c r="H47" s="95">
        <f>IF(F47="","",IFERROR(VLOOKUP(B47,カレンダーマスタ!$A$2:$B$301,2,0),NETWORKDAYS(B47,EOMONTH(F47,0))))</f>
        <v/>
      </c>
      <c r="I47" s="94">
        <f>IF(F47="","",NETWORKDAYS(F47,G47))</f>
        <v/>
      </c>
      <c r="J47" s="95">
        <f>IF(F47="","",IF(入力!$C$8&lt;&gt;"",入力!$C$8,IF(F47&lt;入力!$J$5,IFERROR(INDEX(入力!$G$37:$G$78,MATCH(B47,入力!$A$37:$A$78,0)),入力!$J$10),入力!$J$10)))</f>
        <v/>
      </c>
      <c r="K47" s="95">
        <f>IF(F47="","",ROUNDDOWN(INDEX(入力!$H$13:$H$20,MATCH(F47,入力!$B$13:$B$20,1))/H47+INDEX(入力!$I$13:$I$20,MATCH(F47,入力!$B$13:$B$20,1))/22,0))</f>
        <v/>
      </c>
      <c r="L47" s="106">
        <f>IF(F47="","",IF(J47&gt;K47,"〇","×"))</f>
        <v/>
      </c>
      <c r="M47" s="95">
        <f>IF(F47="","",J47*I47)</f>
        <v/>
      </c>
      <c r="N47" s="95">
        <f>IF(F47="","",MIN(J47,K47)*I47)</f>
        <v/>
      </c>
      <c r="O47" s="96">
        <f>IF(F47="","",M47-N47)</f>
        <v/>
      </c>
      <c r="P47" s="107">
        <f>IF(F47="","",IFERROR(INDEX(入力!$G$37:$G$78,MATCH(B47,入力!$A$37:$A$78,0)),""))</f>
        <v/>
      </c>
      <c r="Q47" s="63">
        <f>IF(F47="","",IF(COUNTIFS($B$6:B47,B47,$C$6:C47,C47,$E$6:E47,E47)=1,MAX($Q$5:Q46)+1,""))</f>
        <v/>
      </c>
      <c r="R47" s="63">
        <f>IF(G47="","",IF(COUNTIFS(入力!$B$86:$B$95,"&lt;="&amp;(G47+1),入力!$C$86:$C$95,"&gt;="&amp;(G47+1))&gt;0,SUMIFS(入力!$C$86:$C$95,入力!$B$86:$B$95,"&lt;="&amp;(G47+1),入力!$C$86:$C$95,"&gt;="&amp;(G47+1))+1,G47+1))</f>
        <v/>
      </c>
      <c r="S47" s="63">
        <f>IF(R47="","",IF(COUNTIFS(入力!$B$86:$B$95,"&lt;="&amp;(R47),入力!$C$86:$C$95,"&gt;="&amp;(R47))&gt;0,SUMIFS(入力!$C$86:$C$95,入力!$B$86:$B$95,"&lt;="&amp;(R47),入力!$C$86:$C$95,"&gt;="&amp;(R47))+1,R47))</f>
        <v/>
      </c>
      <c r="T47" s="63" t="n"/>
      <c r="U47" s="63">
        <f>IF(OR(X46="",X46&gt;入力!$J$4+3650),"",X46)</f>
        <v/>
      </c>
      <c r="V47" s="63">
        <f>IF(U47="","",MIN(EOMONTH(U47,0),IF(AND(入力!$B$13&lt;&gt;"",入力!$B$13&gt;U47),入力!$B$13-1,999999),IF(AND(入力!$B$14&lt;&gt;"",入力!$B$14&gt;U47),入力!$B$14-1,999999),IF(AND(入力!$B$15&lt;&gt;"",入力!$B$15&gt;U47),入力!$B$15-1,999999),IF(AND(入力!$B$16&lt;&gt;"",入力!$B$16&gt;U47),入力!$B$16-1,999999),IF(AND(入力!$B$17&lt;&gt;"",入力!$B$17&gt;U47),入力!$B$17-1,999999),IF(AND(入力!$B$18&lt;&gt;"",入力!$B$18&gt;U47),入力!$B$18-1,999999),IF(AND(入力!$B$19&lt;&gt;"",入力!$B$19&gt;U47),入力!$B$19-1,999999),IF(AND(入力!$B$20&lt;&gt;"",入力!$B$20&gt;U47),入力!$B$20-1,999999),IFERROR(SMALL(入力!$B$86:$B$95,COUNTIF(入力!$B$86:$B$95,"&lt;="&amp;U47)+1)-1,999999)))</f>
        <v/>
      </c>
      <c r="W47" s="63">
        <f>IF(V47="","",IF(COUNTIFS(入力!$B$86:$B$95,"&lt;="&amp;(V47+1),入力!$C$86:$C$95,"&gt;="&amp;(V47+1))&gt;0,SUMIFS(入力!$C$86:$C$95,入力!$B$86:$B$95,"&lt;="&amp;(V47+1),入力!$C$86:$C$95,"&gt;="&amp;(V47+1))+1,V47+1))</f>
        <v/>
      </c>
      <c r="X47" s="63">
        <f>IF(W47="","",IF(COUNTIFS(入力!$B$86:$B$95,"&lt;="&amp;(W47),入力!$C$86:$C$95,"&gt;="&amp;(W47))&gt;0,SUMIFS(入力!$C$86:$C$95,入力!$B$86:$B$95,"&lt;="&amp;(W47),入力!$C$86:$C$95,"&gt;="&amp;(W47))+1,W47))</f>
        <v/>
      </c>
      <c r="Y47" s="63">
        <f>IF(U47="","",IFERROR(VLOOKUP(DATE(YEAR(U47),MONTH(U47),1),カレンダーマスタ!$A$2:$B$301,2,0),NETWORKDAYS(DATE(YEAR(U47),MONTH(U47),1),EOMONTH(U47,0))))</f>
        <v/>
      </c>
      <c r="Z47" s="63">
        <f>IF(U47="","",IF(入力!$C$8&lt;&gt;"",入力!$C$8,IFERROR(INDEX(入力!$G$37:$G$78,MATCH(DATE(YEAR(U47),MONTH(U47),1),入力!$A$37:$A$78,0)),0)))</f>
        <v/>
      </c>
      <c r="AA47" s="63">
        <f>IF(U47="","",ROUNDDOWN(INDEX(入力!$H$13:$H$20,MATCH(U47,入力!$B$13:$B$20,1))/Y47+INDEX(入力!$I$13:$I$20,MATCH(U47,入力!$B$13:$B$20,1))/22,0))</f>
        <v/>
      </c>
      <c r="AB47" s="63">
        <f>IF(U47="",0,IF(AND(Z47&gt;AA47,NETWORKDAYS(U47,V47)&gt;0),1,0))</f>
        <v/>
      </c>
      <c r="AC47" s="63" t="n"/>
      <c r="AD47" s="63" t="n"/>
    </row>
    <row r="48">
      <c r="A48" s="91">
        <f>IF(F48="","",43)</f>
        <v/>
      </c>
      <c r="B48" s="92">
        <f>IF(F48="","",DATE(YEAR(F48),MONTH(F48),1))</f>
        <v/>
      </c>
      <c r="C48" s="91">
        <f>IF(F48="","",MONTH(F48))</f>
        <v/>
      </c>
      <c r="D48" s="91">
        <f>IF(F48="","",INDEX(入力!$A$13:$A$20,MATCH(F48,入力!$B$13:$B$20,1)))</f>
        <v/>
      </c>
      <c r="E48" s="91">
        <f>IF(F48="","",IF(G48&lt;=入力!$J$6,"法定","附加"))</f>
        <v/>
      </c>
      <c r="F48" s="93">
        <f>IF(G47="","",IF(G47&gt;=入力!$J$9,"",IF(S47&gt;入力!$J$9,"",S47)))</f>
        <v/>
      </c>
      <c r="G48" s="93">
        <f>IF(F48="","",MIN(EOMONTH(F48,0),入力!$J$9,IF(AND(入力!$B$13&lt;&gt;"",入力!$B$13&gt;F48),入力!$B$13-1,999999),IF(AND(入力!$B$14&lt;&gt;"",入力!$B$14&gt;F48),入力!$B$14-1,999999),IF(AND(入力!$B$15&lt;&gt;"",入力!$B$15&gt;F48),入力!$B$15-1,999999),IF(AND(入力!$B$16&lt;&gt;"",入力!$B$16&gt;F48),入力!$B$16-1,999999),IF(AND(入力!$B$17&lt;&gt;"",入力!$B$17&gt;F48),入力!$B$17-1,999999),IF(AND(入力!$B$18&lt;&gt;"",入力!$B$18&gt;F48),入力!$B$18-1,999999),IF(AND(入力!$B$19&lt;&gt;"",入力!$B$19&gt;F48),入力!$B$19-1,999999),IF(AND(入力!$B$20&lt;&gt;"",入力!$B$20&gt;F48),入力!$B$20-1,999999),IF(AND(入力!$J$7&lt;&gt;"",入力!$J$7&gt;F48),入力!$J$7-1,999999),IFERROR(SMALL(入力!$B$86:$B$95,COUNTIF(入力!$B$86:$B$95,"&lt;="&amp;F48)+1)-1,999999)))</f>
        <v/>
      </c>
      <c r="H48" s="95">
        <f>IF(F48="","",IFERROR(VLOOKUP(B48,カレンダーマスタ!$A$2:$B$301,2,0),NETWORKDAYS(B48,EOMONTH(F48,0))))</f>
        <v/>
      </c>
      <c r="I48" s="94">
        <f>IF(F48="","",NETWORKDAYS(F48,G48))</f>
        <v/>
      </c>
      <c r="J48" s="95">
        <f>IF(F48="","",IF(入力!$C$8&lt;&gt;"",入力!$C$8,IF(F48&lt;入力!$J$5,IFERROR(INDEX(入力!$G$37:$G$78,MATCH(B48,入力!$A$37:$A$78,0)),入力!$J$10),入力!$J$10)))</f>
        <v/>
      </c>
      <c r="K48" s="95">
        <f>IF(F48="","",ROUNDDOWN(INDEX(入力!$H$13:$H$20,MATCH(F48,入力!$B$13:$B$20,1))/H48+INDEX(入力!$I$13:$I$20,MATCH(F48,入力!$B$13:$B$20,1))/22,0))</f>
        <v/>
      </c>
      <c r="L48" s="106">
        <f>IF(F48="","",IF(J48&gt;K48,"〇","×"))</f>
        <v/>
      </c>
      <c r="M48" s="95">
        <f>IF(F48="","",J48*I48)</f>
        <v/>
      </c>
      <c r="N48" s="95">
        <f>IF(F48="","",MIN(J48,K48)*I48)</f>
        <v/>
      </c>
      <c r="O48" s="96">
        <f>IF(F48="","",M48-N48)</f>
        <v/>
      </c>
      <c r="P48" s="107">
        <f>IF(F48="","",IFERROR(INDEX(入力!$G$37:$G$78,MATCH(B48,入力!$A$37:$A$78,0)),""))</f>
        <v/>
      </c>
      <c r="Q48" s="63">
        <f>IF(F48="","",IF(COUNTIFS($B$6:B48,B48,$C$6:C48,C48,$E$6:E48,E48)=1,MAX($Q$5:Q47)+1,""))</f>
        <v/>
      </c>
      <c r="R48" s="63">
        <f>IF(G48="","",IF(COUNTIFS(入力!$B$86:$B$95,"&lt;="&amp;(G48+1),入力!$C$86:$C$95,"&gt;="&amp;(G48+1))&gt;0,SUMIFS(入力!$C$86:$C$95,入力!$B$86:$B$95,"&lt;="&amp;(G48+1),入力!$C$86:$C$95,"&gt;="&amp;(G48+1))+1,G48+1))</f>
        <v/>
      </c>
      <c r="S48" s="63">
        <f>IF(R48="","",IF(COUNTIFS(入力!$B$86:$B$95,"&lt;="&amp;(R48),入力!$C$86:$C$95,"&gt;="&amp;(R48))&gt;0,SUMIFS(入力!$C$86:$C$95,入力!$B$86:$B$95,"&lt;="&amp;(R48),入力!$C$86:$C$95,"&gt;="&amp;(R48))+1,R48))</f>
        <v/>
      </c>
      <c r="T48" s="63" t="n"/>
      <c r="U48" s="63">
        <f>IF(OR(X47="",X47&gt;入力!$J$4+3650),"",X47)</f>
        <v/>
      </c>
      <c r="V48" s="63">
        <f>IF(U48="","",MIN(EOMONTH(U48,0),IF(AND(入力!$B$13&lt;&gt;"",入力!$B$13&gt;U48),入力!$B$13-1,999999),IF(AND(入力!$B$14&lt;&gt;"",入力!$B$14&gt;U48),入力!$B$14-1,999999),IF(AND(入力!$B$15&lt;&gt;"",入力!$B$15&gt;U48),入力!$B$15-1,999999),IF(AND(入力!$B$16&lt;&gt;"",入力!$B$16&gt;U48),入力!$B$16-1,999999),IF(AND(入力!$B$17&lt;&gt;"",入力!$B$17&gt;U48),入力!$B$17-1,999999),IF(AND(入力!$B$18&lt;&gt;"",入力!$B$18&gt;U48),入力!$B$18-1,999999),IF(AND(入力!$B$19&lt;&gt;"",入力!$B$19&gt;U48),入力!$B$19-1,999999),IF(AND(入力!$B$20&lt;&gt;"",入力!$B$20&gt;U48),入力!$B$20-1,999999),IFERROR(SMALL(入力!$B$86:$B$95,COUNTIF(入力!$B$86:$B$95,"&lt;="&amp;U48)+1)-1,999999)))</f>
        <v/>
      </c>
      <c r="W48" s="63">
        <f>IF(V48="","",IF(COUNTIFS(入力!$B$86:$B$95,"&lt;="&amp;(V48+1),入力!$C$86:$C$95,"&gt;="&amp;(V48+1))&gt;0,SUMIFS(入力!$C$86:$C$95,入力!$B$86:$B$95,"&lt;="&amp;(V48+1),入力!$C$86:$C$95,"&gt;="&amp;(V48+1))+1,V48+1))</f>
        <v/>
      </c>
      <c r="X48" s="63">
        <f>IF(W48="","",IF(COUNTIFS(入力!$B$86:$B$95,"&lt;="&amp;(W48),入力!$C$86:$C$95,"&gt;="&amp;(W48))&gt;0,SUMIFS(入力!$C$86:$C$95,入力!$B$86:$B$95,"&lt;="&amp;(W48),入力!$C$86:$C$95,"&gt;="&amp;(W48))+1,W48))</f>
        <v/>
      </c>
      <c r="Y48" s="63">
        <f>IF(U48="","",IFERROR(VLOOKUP(DATE(YEAR(U48),MONTH(U48),1),カレンダーマスタ!$A$2:$B$301,2,0),NETWORKDAYS(DATE(YEAR(U48),MONTH(U48),1),EOMONTH(U48,0))))</f>
        <v/>
      </c>
      <c r="Z48" s="63">
        <f>IF(U48="","",IF(入力!$C$8&lt;&gt;"",入力!$C$8,IFERROR(INDEX(入力!$G$37:$G$78,MATCH(DATE(YEAR(U48),MONTH(U48),1),入力!$A$37:$A$78,0)),0)))</f>
        <v/>
      </c>
      <c r="AA48" s="63">
        <f>IF(U48="","",ROUNDDOWN(INDEX(入力!$H$13:$H$20,MATCH(U48,入力!$B$13:$B$20,1))/Y48+INDEX(入力!$I$13:$I$20,MATCH(U48,入力!$B$13:$B$20,1))/22,0))</f>
        <v/>
      </c>
      <c r="AB48" s="63">
        <f>IF(U48="",0,IF(AND(Z48&gt;AA48,NETWORKDAYS(U48,V48)&gt;0),1,0))</f>
        <v/>
      </c>
      <c r="AC48" s="63" t="n"/>
      <c r="AD48" s="63" t="n"/>
    </row>
    <row r="49">
      <c r="A49" s="91">
        <f>IF(F49="","",44)</f>
        <v/>
      </c>
      <c r="B49" s="92">
        <f>IF(F49="","",DATE(YEAR(F49),MONTH(F49),1))</f>
        <v/>
      </c>
      <c r="C49" s="91">
        <f>IF(F49="","",MONTH(F49))</f>
        <v/>
      </c>
      <c r="D49" s="91">
        <f>IF(F49="","",INDEX(入力!$A$13:$A$20,MATCH(F49,入力!$B$13:$B$20,1)))</f>
        <v/>
      </c>
      <c r="E49" s="91">
        <f>IF(F49="","",IF(G49&lt;=入力!$J$6,"法定","附加"))</f>
        <v/>
      </c>
      <c r="F49" s="93">
        <f>IF(G48="","",IF(G48&gt;=入力!$J$9,"",IF(S48&gt;入力!$J$9,"",S48)))</f>
        <v/>
      </c>
      <c r="G49" s="93">
        <f>IF(F49="","",MIN(EOMONTH(F49,0),入力!$J$9,IF(AND(入力!$B$13&lt;&gt;"",入力!$B$13&gt;F49),入力!$B$13-1,999999),IF(AND(入力!$B$14&lt;&gt;"",入力!$B$14&gt;F49),入力!$B$14-1,999999),IF(AND(入力!$B$15&lt;&gt;"",入力!$B$15&gt;F49),入力!$B$15-1,999999),IF(AND(入力!$B$16&lt;&gt;"",入力!$B$16&gt;F49),入力!$B$16-1,999999),IF(AND(入力!$B$17&lt;&gt;"",入力!$B$17&gt;F49),入力!$B$17-1,999999),IF(AND(入力!$B$18&lt;&gt;"",入力!$B$18&gt;F49),入力!$B$18-1,999999),IF(AND(入力!$B$19&lt;&gt;"",入力!$B$19&gt;F49),入力!$B$19-1,999999),IF(AND(入力!$B$20&lt;&gt;"",入力!$B$20&gt;F49),入力!$B$20-1,999999),IF(AND(入力!$J$7&lt;&gt;"",入力!$J$7&gt;F49),入力!$J$7-1,999999),IFERROR(SMALL(入力!$B$86:$B$95,COUNTIF(入力!$B$86:$B$95,"&lt;="&amp;F49)+1)-1,999999)))</f>
        <v/>
      </c>
      <c r="H49" s="95">
        <f>IF(F49="","",IFERROR(VLOOKUP(B49,カレンダーマスタ!$A$2:$B$301,2,0),NETWORKDAYS(B49,EOMONTH(F49,0))))</f>
        <v/>
      </c>
      <c r="I49" s="94">
        <f>IF(F49="","",NETWORKDAYS(F49,G49))</f>
        <v/>
      </c>
      <c r="J49" s="95">
        <f>IF(F49="","",IF(入力!$C$8&lt;&gt;"",入力!$C$8,IF(F49&lt;入力!$J$5,IFERROR(INDEX(入力!$G$37:$G$78,MATCH(B49,入力!$A$37:$A$78,0)),入力!$J$10),入力!$J$10)))</f>
        <v/>
      </c>
      <c r="K49" s="95">
        <f>IF(F49="","",ROUNDDOWN(INDEX(入力!$H$13:$H$20,MATCH(F49,入力!$B$13:$B$20,1))/H49+INDEX(入力!$I$13:$I$20,MATCH(F49,入力!$B$13:$B$20,1))/22,0))</f>
        <v/>
      </c>
      <c r="L49" s="106">
        <f>IF(F49="","",IF(J49&gt;K49,"〇","×"))</f>
        <v/>
      </c>
      <c r="M49" s="95">
        <f>IF(F49="","",J49*I49)</f>
        <v/>
      </c>
      <c r="N49" s="95">
        <f>IF(F49="","",MIN(J49,K49)*I49)</f>
        <v/>
      </c>
      <c r="O49" s="96">
        <f>IF(F49="","",M49-N49)</f>
        <v/>
      </c>
      <c r="P49" s="107">
        <f>IF(F49="","",IFERROR(INDEX(入力!$G$37:$G$78,MATCH(B49,入力!$A$37:$A$78,0)),""))</f>
        <v/>
      </c>
      <c r="Q49" s="63">
        <f>IF(F49="","",IF(COUNTIFS($B$6:B49,B49,$C$6:C49,C49,$E$6:E49,E49)=1,MAX($Q$5:Q48)+1,""))</f>
        <v/>
      </c>
      <c r="R49" s="63">
        <f>IF(G49="","",IF(COUNTIFS(入力!$B$86:$B$95,"&lt;="&amp;(G49+1),入力!$C$86:$C$95,"&gt;="&amp;(G49+1))&gt;0,SUMIFS(入力!$C$86:$C$95,入力!$B$86:$B$95,"&lt;="&amp;(G49+1),入力!$C$86:$C$95,"&gt;="&amp;(G49+1))+1,G49+1))</f>
        <v/>
      </c>
      <c r="S49" s="63">
        <f>IF(R49="","",IF(COUNTIFS(入力!$B$86:$B$95,"&lt;="&amp;(R49),入力!$C$86:$C$95,"&gt;="&amp;(R49))&gt;0,SUMIFS(入力!$C$86:$C$95,入力!$B$86:$B$95,"&lt;="&amp;(R49),入力!$C$86:$C$95,"&gt;="&amp;(R49))+1,R49))</f>
        <v/>
      </c>
      <c r="T49" s="63" t="n"/>
      <c r="U49" s="63">
        <f>IF(OR(X48="",X48&gt;入力!$J$4+3650),"",X48)</f>
        <v/>
      </c>
      <c r="V49" s="63">
        <f>IF(U49="","",MIN(EOMONTH(U49,0),IF(AND(入力!$B$13&lt;&gt;"",入力!$B$13&gt;U49),入力!$B$13-1,999999),IF(AND(入力!$B$14&lt;&gt;"",入力!$B$14&gt;U49),入力!$B$14-1,999999),IF(AND(入力!$B$15&lt;&gt;"",入力!$B$15&gt;U49),入力!$B$15-1,999999),IF(AND(入力!$B$16&lt;&gt;"",入力!$B$16&gt;U49),入力!$B$16-1,999999),IF(AND(入力!$B$17&lt;&gt;"",入力!$B$17&gt;U49),入力!$B$17-1,999999),IF(AND(入力!$B$18&lt;&gt;"",入力!$B$18&gt;U49),入力!$B$18-1,999999),IF(AND(入力!$B$19&lt;&gt;"",入力!$B$19&gt;U49),入力!$B$19-1,999999),IF(AND(入力!$B$20&lt;&gt;"",入力!$B$20&gt;U49),入力!$B$20-1,999999),IFERROR(SMALL(入力!$B$86:$B$95,COUNTIF(入力!$B$86:$B$95,"&lt;="&amp;U49)+1)-1,999999)))</f>
        <v/>
      </c>
      <c r="W49" s="63">
        <f>IF(V49="","",IF(COUNTIFS(入力!$B$86:$B$95,"&lt;="&amp;(V49+1),入力!$C$86:$C$95,"&gt;="&amp;(V49+1))&gt;0,SUMIFS(入力!$C$86:$C$95,入力!$B$86:$B$95,"&lt;="&amp;(V49+1),入力!$C$86:$C$95,"&gt;="&amp;(V49+1))+1,V49+1))</f>
        <v/>
      </c>
      <c r="X49" s="63">
        <f>IF(W49="","",IF(COUNTIFS(入力!$B$86:$B$95,"&lt;="&amp;(W49),入力!$C$86:$C$95,"&gt;="&amp;(W49))&gt;0,SUMIFS(入力!$C$86:$C$95,入力!$B$86:$B$95,"&lt;="&amp;(W49),入力!$C$86:$C$95,"&gt;="&amp;(W49))+1,W49))</f>
        <v/>
      </c>
      <c r="Y49" s="63">
        <f>IF(U49="","",IFERROR(VLOOKUP(DATE(YEAR(U49),MONTH(U49),1),カレンダーマスタ!$A$2:$B$301,2,0),NETWORKDAYS(DATE(YEAR(U49),MONTH(U49),1),EOMONTH(U49,0))))</f>
        <v/>
      </c>
      <c r="Z49" s="63">
        <f>IF(U49="","",IF(入力!$C$8&lt;&gt;"",入力!$C$8,IFERROR(INDEX(入力!$G$37:$G$78,MATCH(DATE(YEAR(U49),MONTH(U49),1),入力!$A$37:$A$78,0)),0)))</f>
        <v/>
      </c>
      <c r="AA49" s="63">
        <f>IF(U49="","",ROUNDDOWN(INDEX(入力!$H$13:$H$20,MATCH(U49,入力!$B$13:$B$20,1))/Y49+INDEX(入力!$I$13:$I$20,MATCH(U49,入力!$B$13:$B$20,1))/22,0))</f>
        <v/>
      </c>
      <c r="AB49" s="63">
        <f>IF(U49="",0,IF(AND(Z49&gt;AA49,NETWORKDAYS(U49,V49)&gt;0),1,0))</f>
        <v/>
      </c>
      <c r="AC49" s="63" t="n"/>
      <c r="AD49" s="63" t="n"/>
    </row>
    <row r="50">
      <c r="A50" s="91">
        <f>IF(F50="","",45)</f>
        <v/>
      </c>
      <c r="B50" s="92">
        <f>IF(F50="","",DATE(YEAR(F50),MONTH(F50),1))</f>
        <v/>
      </c>
      <c r="C50" s="91">
        <f>IF(F50="","",MONTH(F50))</f>
        <v/>
      </c>
      <c r="D50" s="91">
        <f>IF(F50="","",INDEX(入力!$A$13:$A$20,MATCH(F50,入力!$B$13:$B$20,1)))</f>
        <v/>
      </c>
      <c r="E50" s="91">
        <f>IF(F50="","",IF(G50&lt;=入力!$J$6,"法定","附加"))</f>
        <v/>
      </c>
      <c r="F50" s="93">
        <f>IF(G49="","",IF(G49&gt;=入力!$J$9,"",IF(S49&gt;入力!$J$9,"",S49)))</f>
        <v/>
      </c>
      <c r="G50" s="93">
        <f>IF(F50="","",MIN(EOMONTH(F50,0),入力!$J$9,IF(AND(入力!$B$13&lt;&gt;"",入力!$B$13&gt;F50),入力!$B$13-1,999999),IF(AND(入力!$B$14&lt;&gt;"",入力!$B$14&gt;F50),入力!$B$14-1,999999),IF(AND(入力!$B$15&lt;&gt;"",入力!$B$15&gt;F50),入力!$B$15-1,999999),IF(AND(入力!$B$16&lt;&gt;"",入力!$B$16&gt;F50),入力!$B$16-1,999999),IF(AND(入力!$B$17&lt;&gt;"",入力!$B$17&gt;F50),入力!$B$17-1,999999),IF(AND(入力!$B$18&lt;&gt;"",入力!$B$18&gt;F50),入力!$B$18-1,999999),IF(AND(入力!$B$19&lt;&gt;"",入力!$B$19&gt;F50),入力!$B$19-1,999999),IF(AND(入力!$B$20&lt;&gt;"",入力!$B$20&gt;F50),入力!$B$20-1,999999),IF(AND(入力!$J$7&lt;&gt;"",入力!$J$7&gt;F50),入力!$J$7-1,999999),IFERROR(SMALL(入力!$B$86:$B$95,COUNTIF(入力!$B$86:$B$95,"&lt;="&amp;F50)+1)-1,999999)))</f>
        <v/>
      </c>
      <c r="H50" s="95">
        <f>IF(F50="","",IFERROR(VLOOKUP(B50,カレンダーマスタ!$A$2:$B$301,2,0),NETWORKDAYS(B50,EOMONTH(F50,0))))</f>
        <v/>
      </c>
      <c r="I50" s="94">
        <f>IF(F50="","",NETWORKDAYS(F50,G50))</f>
        <v/>
      </c>
      <c r="J50" s="95">
        <f>IF(F50="","",IF(入力!$C$8&lt;&gt;"",入力!$C$8,IF(F50&lt;入力!$J$5,IFERROR(INDEX(入力!$G$37:$G$78,MATCH(B50,入力!$A$37:$A$78,0)),入力!$J$10),入力!$J$10)))</f>
        <v/>
      </c>
      <c r="K50" s="95">
        <f>IF(F50="","",ROUNDDOWN(INDEX(入力!$H$13:$H$20,MATCH(F50,入力!$B$13:$B$20,1))/H50+INDEX(入力!$I$13:$I$20,MATCH(F50,入力!$B$13:$B$20,1))/22,0))</f>
        <v/>
      </c>
      <c r="L50" s="106">
        <f>IF(F50="","",IF(J50&gt;K50,"〇","×"))</f>
        <v/>
      </c>
      <c r="M50" s="95">
        <f>IF(F50="","",J50*I50)</f>
        <v/>
      </c>
      <c r="N50" s="95">
        <f>IF(F50="","",MIN(J50,K50)*I50)</f>
        <v/>
      </c>
      <c r="O50" s="96">
        <f>IF(F50="","",M50-N50)</f>
        <v/>
      </c>
      <c r="P50" s="107">
        <f>IF(F50="","",IFERROR(INDEX(入力!$G$37:$G$78,MATCH(B50,入力!$A$37:$A$78,0)),""))</f>
        <v/>
      </c>
      <c r="Q50" s="63">
        <f>IF(F50="","",IF(COUNTIFS($B$6:B50,B50,$C$6:C50,C50,$E$6:E50,E50)=1,MAX($Q$5:Q49)+1,""))</f>
        <v/>
      </c>
      <c r="R50" s="63">
        <f>IF(G50="","",IF(COUNTIFS(入力!$B$86:$B$95,"&lt;="&amp;(G50+1),入力!$C$86:$C$95,"&gt;="&amp;(G50+1))&gt;0,SUMIFS(入力!$C$86:$C$95,入力!$B$86:$B$95,"&lt;="&amp;(G50+1),入力!$C$86:$C$95,"&gt;="&amp;(G50+1))+1,G50+1))</f>
        <v/>
      </c>
      <c r="S50" s="63">
        <f>IF(R50="","",IF(COUNTIFS(入力!$B$86:$B$95,"&lt;="&amp;(R50),入力!$C$86:$C$95,"&gt;="&amp;(R50))&gt;0,SUMIFS(入力!$C$86:$C$95,入力!$B$86:$B$95,"&lt;="&amp;(R50),入力!$C$86:$C$95,"&gt;="&amp;(R50))+1,R50))</f>
        <v/>
      </c>
      <c r="T50" s="63" t="n"/>
      <c r="U50" s="63">
        <f>IF(OR(X49="",X49&gt;入力!$J$4+3650),"",X49)</f>
        <v/>
      </c>
      <c r="V50" s="63">
        <f>IF(U50="","",MIN(EOMONTH(U50,0),IF(AND(入力!$B$13&lt;&gt;"",入力!$B$13&gt;U50),入力!$B$13-1,999999),IF(AND(入力!$B$14&lt;&gt;"",入力!$B$14&gt;U50),入力!$B$14-1,999999),IF(AND(入力!$B$15&lt;&gt;"",入力!$B$15&gt;U50),入力!$B$15-1,999999),IF(AND(入力!$B$16&lt;&gt;"",入力!$B$16&gt;U50),入力!$B$16-1,999999),IF(AND(入力!$B$17&lt;&gt;"",入力!$B$17&gt;U50),入力!$B$17-1,999999),IF(AND(入力!$B$18&lt;&gt;"",入力!$B$18&gt;U50),入力!$B$18-1,999999),IF(AND(入力!$B$19&lt;&gt;"",入力!$B$19&gt;U50),入力!$B$19-1,999999),IF(AND(入力!$B$20&lt;&gt;"",入力!$B$20&gt;U50),入力!$B$20-1,999999),IFERROR(SMALL(入力!$B$86:$B$95,COUNTIF(入力!$B$86:$B$95,"&lt;="&amp;U50)+1)-1,999999)))</f>
        <v/>
      </c>
      <c r="W50" s="63">
        <f>IF(V50="","",IF(COUNTIFS(入力!$B$86:$B$95,"&lt;="&amp;(V50+1),入力!$C$86:$C$95,"&gt;="&amp;(V50+1))&gt;0,SUMIFS(入力!$C$86:$C$95,入力!$B$86:$B$95,"&lt;="&amp;(V50+1),入力!$C$86:$C$95,"&gt;="&amp;(V50+1))+1,V50+1))</f>
        <v/>
      </c>
      <c r="X50" s="63">
        <f>IF(W50="","",IF(COUNTIFS(入力!$B$86:$B$95,"&lt;="&amp;(W50),入力!$C$86:$C$95,"&gt;="&amp;(W50))&gt;0,SUMIFS(入力!$C$86:$C$95,入力!$B$86:$B$95,"&lt;="&amp;(W50),入力!$C$86:$C$95,"&gt;="&amp;(W50))+1,W50))</f>
        <v/>
      </c>
      <c r="Y50" s="63">
        <f>IF(U50="","",IFERROR(VLOOKUP(DATE(YEAR(U50),MONTH(U50),1),カレンダーマスタ!$A$2:$B$301,2,0),NETWORKDAYS(DATE(YEAR(U50),MONTH(U50),1),EOMONTH(U50,0))))</f>
        <v/>
      </c>
      <c r="Z50" s="63">
        <f>IF(U50="","",IF(入力!$C$8&lt;&gt;"",入力!$C$8,IFERROR(INDEX(入力!$G$37:$G$78,MATCH(DATE(YEAR(U50),MONTH(U50),1),入力!$A$37:$A$78,0)),0)))</f>
        <v/>
      </c>
      <c r="AA50" s="63">
        <f>IF(U50="","",ROUNDDOWN(INDEX(入力!$H$13:$H$20,MATCH(U50,入力!$B$13:$B$20,1))/Y50+INDEX(入力!$I$13:$I$20,MATCH(U50,入力!$B$13:$B$20,1))/22,0))</f>
        <v/>
      </c>
      <c r="AB50" s="63">
        <f>IF(U50="",0,IF(AND(Z50&gt;AA50,NETWORKDAYS(U50,V50)&gt;0),1,0))</f>
        <v/>
      </c>
      <c r="AC50" s="63" t="n"/>
      <c r="AD50" s="63" t="n"/>
    </row>
    <row r="51">
      <c r="A51" s="91">
        <f>IF(F51="","",46)</f>
        <v/>
      </c>
      <c r="B51" s="92">
        <f>IF(F51="","",DATE(YEAR(F51),MONTH(F51),1))</f>
        <v/>
      </c>
      <c r="C51" s="91">
        <f>IF(F51="","",MONTH(F51))</f>
        <v/>
      </c>
      <c r="D51" s="91">
        <f>IF(F51="","",INDEX(入力!$A$13:$A$20,MATCH(F51,入力!$B$13:$B$20,1)))</f>
        <v/>
      </c>
      <c r="E51" s="91">
        <f>IF(F51="","",IF(G51&lt;=入力!$J$6,"法定","附加"))</f>
        <v/>
      </c>
      <c r="F51" s="93">
        <f>IF(G50="","",IF(G50&gt;=入力!$J$9,"",IF(S50&gt;入力!$J$9,"",S50)))</f>
        <v/>
      </c>
      <c r="G51" s="93">
        <f>IF(F51="","",MIN(EOMONTH(F51,0),入力!$J$9,IF(AND(入力!$B$13&lt;&gt;"",入力!$B$13&gt;F51),入力!$B$13-1,999999),IF(AND(入力!$B$14&lt;&gt;"",入力!$B$14&gt;F51),入力!$B$14-1,999999),IF(AND(入力!$B$15&lt;&gt;"",入力!$B$15&gt;F51),入力!$B$15-1,999999),IF(AND(入力!$B$16&lt;&gt;"",入力!$B$16&gt;F51),入力!$B$16-1,999999),IF(AND(入力!$B$17&lt;&gt;"",入力!$B$17&gt;F51),入力!$B$17-1,999999),IF(AND(入力!$B$18&lt;&gt;"",入力!$B$18&gt;F51),入力!$B$18-1,999999),IF(AND(入力!$B$19&lt;&gt;"",入力!$B$19&gt;F51),入力!$B$19-1,999999),IF(AND(入力!$B$20&lt;&gt;"",入力!$B$20&gt;F51),入力!$B$20-1,999999),IF(AND(入力!$J$7&lt;&gt;"",入力!$J$7&gt;F51),入力!$J$7-1,999999),IFERROR(SMALL(入力!$B$86:$B$95,COUNTIF(入力!$B$86:$B$95,"&lt;="&amp;F51)+1)-1,999999)))</f>
        <v/>
      </c>
      <c r="H51" s="95">
        <f>IF(F51="","",IFERROR(VLOOKUP(B51,カレンダーマスタ!$A$2:$B$301,2,0),NETWORKDAYS(B51,EOMONTH(F51,0))))</f>
        <v/>
      </c>
      <c r="I51" s="94">
        <f>IF(F51="","",NETWORKDAYS(F51,G51))</f>
        <v/>
      </c>
      <c r="J51" s="95">
        <f>IF(F51="","",IF(入力!$C$8&lt;&gt;"",入力!$C$8,IF(F51&lt;入力!$J$5,IFERROR(INDEX(入力!$G$37:$G$78,MATCH(B51,入力!$A$37:$A$78,0)),入力!$J$10),入力!$J$10)))</f>
        <v/>
      </c>
      <c r="K51" s="95">
        <f>IF(F51="","",ROUNDDOWN(INDEX(入力!$H$13:$H$20,MATCH(F51,入力!$B$13:$B$20,1))/H51+INDEX(入力!$I$13:$I$20,MATCH(F51,入力!$B$13:$B$20,1))/22,0))</f>
        <v/>
      </c>
      <c r="L51" s="106">
        <f>IF(F51="","",IF(J51&gt;K51,"〇","×"))</f>
        <v/>
      </c>
      <c r="M51" s="95">
        <f>IF(F51="","",J51*I51)</f>
        <v/>
      </c>
      <c r="N51" s="95">
        <f>IF(F51="","",MIN(J51,K51)*I51)</f>
        <v/>
      </c>
      <c r="O51" s="96">
        <f>IF(F51="","",M51-N51)</f>
        <v/>
      </c>
      <c r="P51" s="107">
        <f>IF(F51="","",IFERROR(INDEX(入力!$G$37:$G$78,MATCH(B51,入力!$A$37:$A$78,0)),""))</f>
        <v/>
      </c>
      <c r="Q51" s="63">
        <f>IF(F51="","",IF(COUNTIFS($B$6:B51,B51,$C$6:C51,C51,$E$6:E51,E51)=1,MAX($Q$5:Q50)+1,""))</f>
        <v/>
      </c>
      <c r="R51" s="63">
        <f>IF(G51="","",IF(COUNTIFS(入力!$B$86:$B$95,"&lt;="&amp;(G51+1),入力!$C$86:$C$95,"&gt;="&amp;(G51+1))&gt;0,SUMIFS(入力!$C$86:$C$95,入力!$B$86:$B$95,"&lt;="&amp;(G51+1),入力!$C$86:$C$95,"&gt;="&amp;(G51+1))+1,G51+1))</f>
        <v/>
      </c>
      <c r="S51" s="63">
        <f>IF(R51="","",IF(COUNTIFS(入力!$B$86:$B$95,"&lt;="&amp;(R51),入力!$C$86:$C$95,"&gt;="&amp;(R51))&gt;0,SUMIFS(入力!$C$86:$C$95,入力!$B$86:$B$95,"&lt;="&amp;(R51),入力!$C$86:$C$95,"&gt;="&amp;(R51))+1,R51))</f>
        <v/>
      </c>
      <c r="T51" s="63" t="n"/>
      <c r="U51" s="63">
        <f>IF(OR(X50="",X50&gt;入力!$J$4+3650),"",X50)</f>
        <v/>
      </c>
      <c r="V51" s="63">
        <f>IF(U51="","",MIN(EOMONTH(U51,0),IF(AND(入力!$B$13&lt;&gt;"",入力!$B$13&gt;U51),入力!$B$13-1,999999),IF(AND(入力!$B$14&lt;&gt;"",入力!$B$14&gt;U51),入力!$B$14-1,999999),IF(AND(入力!$B$15&lt;&gt;"",入力!$B$15&gt;U51),入力!$B$15-1,999999),IF(AND(入力!$B$16&lt;&gt;"",入力!$B$16&gt;U51),入力!$B$16-1,999999),IF(AND(入力!$B$17&lt;&gt;"",入力!$B$17&gt;U51),入力!$B$17-1,999999),IF(AND(入力!$B$18&lt;&gt;"",入力!$B$18&gt;U51),入力!$B$18-1,999999),IF(AND(入力!$B$19&lt;&gt;"",入力!$B$19&gt;U51),入力!$B$19-1,999999),IF(AND(入力!$B$20&lt;&gt;"",入力!$B$20&gt;U51),入力!$B$20-1,999999),IFERROR(SMALL(入力!$B$86:$B$95,COUNTIF(入力!$B$86:$B$95,"&lt;="&amp;U51)+1)-1,999999)))</f>
        <v/>
      </c>
      <c r="W51" s="63">
        <f>IF(V51="","",IF(COUNTIFS(入力!$B$86:$B$95,"&lt;="&amp;(V51+1),入力!$C$86:$C$95,"&gt;="&amp;(V51+1))&gt;0,SUMIFS(入力!$C$86:$C$95,入力!$B$86:$B$95,"&lt;="&amp;(V51+1),入力!$C$86:$C$95,"&gt;="&amp;(V51+1))+1,V51+1))</f>
        <v/>
      </c>
      <c r="X51" s="63">
        <f>IF(W51="","",IF(COUNTIFS(入力!$B$86:$B$95,"&lt;="&amp;(W51),入力!$C$86:$C$95,"&gt;="&amp;(W51))&gt;0,SUMIFS(入力!$C$86:$C$95,入力!$B$86:$B$95,"&lt;="&amp;(W51),入力!$C$86:$C$95,"&gt;="&amp;(W51))+1,W51))</f>
        <v/>
      </c>
      <c r="Y51" s="63">
        <f>IF(U51="","",IFERROR(VLOOKUP(DATE(YEAR(U51),MONTH(U51),1),カレンダーマスタ!$A$2:$B$301,2,0),NETWORKDAYS(DATE(YEAR(U51),MONTH(U51),1),EOMONTH(U51,0))))</f>
        <v/>
      </c>
      <c r="Z51" s="63">
        <f>IF(U51="","",IF(入力!$C$8&lt;&gt;"",入力!$C$8,IFERROR(INDEX(入力!$G$37:$G$78,MATCH(DATE(YEAR(U51),MONTH(U51),1),入力!$A$37:$A$78,0)),0)))</f>
        <v/>
      </c>
      <c r="AA51" s="63">
        <f>IF(U51="","",ROUNDDOWN(INDEX(入力!$H$13:$H$20,MATCH(U51,入力!$B$13:$B$20,1))/Y51+INDEX(入力!$I$13:$I$20,MATCH(U51,入力!$B$13:$B$20,1))/22,0))</f>
        <v/>
      </c>
      <c r="AB51" s="63">
        <f>IF(U51="",0,IF(AND(Z51&gt;AA51,NETWORKDAYS(U51,V51)&gt;0),1,0))</f>
        <v/>
      </c>
      <c r="AC51" s="63" t="n"/>
      <c r="AD51" s="63" t="n"/>
    </row>
    <row r="52">
      <c r="A52" s="91">
        <f>IF(F52="","",47)</f>
        <v/>
      </c>
      <c r="B52" s="92">
        <f>IF(F52="","",DATE(YEAR(F52),MONTH(F52),1))</f>
        <v/>
      </c>
      <c r="C52" s="91">
        <f>IF(F52="","",MONTH(F52))</f>
        <v/>
      </c>
      <c r="D52" s="91">
        <f>IF(F52="","",INDEX(入力!$A$13:$A$20,MATCH(F52,入力!$B$13:$B$20,1)))</f>
        <v/>
      </c>
      <c r="E52" s="91">
        <f>IF(F52="","",IF(G52&lt;=入力!$J$6,"法定","附加"))</f>
        <v/>
      </c>
      <c r="F52" s="93">
        <f>IF(G51="","",IF(G51&gt;=入力!$J$9,"",IF(S51&gt;入力!$J$9,"",S51)))</f>
        <v/>
      </c>
      <c r="G52" s="93">
        <f>IF(F52="","",MIN(EOMONTH(F52,0),入力!$J$9,IF(AND(入力!$B$13&lt;&gt;"",入力!$B$13&gt;F52),入力!$B$13-1,999999),IF(AND(入力!$B$14&lt;&gt;"",入力!$B$14&gt;F52),入力!$B$14-1,999999),IF(AND(入力!$B$15&lt;&gt;"",入力!$B$15&gt;F52),入力!$B$15-1,999999),IF(AND(入力!$B$16&lt;&gt;"",入力!$B$16&gt;F52),入力!$B$16-1,999999),IF(AND(入力!$B$17&lt;&gt;"",入力!$B$17&gt;F52),入力!$B$17-1,999999),IF(AND(入力!$B$18&lt;&gt;"",入力!$B$18&gt;F52),入力!$B$18-1,999999),IF(AND(入力!$B$19&lt;&gt;"",入力!$B$19&gt;F52),入力!$B$19-1,999999),IF(AND(入力!$B$20&lt;&gt;"",入力!$B$20&gt;F52),入力!$B$20-1,999999),IF(AND(入力!$J$7&lt;&gt;"",入力!$J$7&gt;F52),入力!$J$7-1,999999),IFERROR(SMALL(入力!$B$86:$B$95,COUNTIF(入力!$B$86:$B$95,"&lt;="&amp;F52)+1)-1,999999)))</f>
        <v/>
      </c>
      <c r="H52" s="95">
        <f>IF(F52="","",IFERROR(VLOOKUP(B52,カレンダーマスタ!$A$2:$B$301,2,0),NETWORKDAYS(B52,EOMONTH(F52,0))))</f>
        <v/>
      </c>
      <c r="I52" s="94">
        <f>IF(F52="","",NETWORKDAYS(F52,G52))</f>
        <v/>
      </c>
      <c r="J52" s="95">
        <f>IF(F52="","",IF(入力!$C$8&lt;&gt;"",入力!$C$8,IF(F52&lt;入力!$J$5,IFERROR(INDEX(入力!$G$37:$G$78,MATCH(B52,入力!$A$37:$A$78,0)),入力!$J$10),入力!$J$10)))</f>
        <v/>
      </c>
      <c r="K52" s="95">
        <f>IF(F52="","",ROUNDDOWN(INDEX(入力!$H$13:$H$20,MATCH(F52,入力!$B$13:$B$20,1))/H52+INDEX(入力!$I$13:$I$20,MATCH(F52,入力!$B$13:$B$20,1))/22,0))</f>
        <v/>
      </c>
      <c r="L52" s="106">
        <f>IF(F52="","",IF(J52&gt;K52,"〇","×"))</f>
        <v/>
      </c>
      <c r="M52" s="95">
        <f>IF(F52="","",J52*I52)</f>
        <v/>
      </c>
      <c r="N52" s="95">
        <f>IF(F52="","",MIN(J52,K52)*I52)</f>
        <v/>
      </c>
      <c r="O52" s="96">
        <f>IF(F52="","",M52-N52)</f>
        <v/>
      </c>
      <c r="P52" s="107">
        <f>IF(F52="","",IFERROR(INDEX(入力!$G$37:$G$78,MATCH(B52,入力!$A$37:$A$78,0)),""))</f>
        <v/>
      </c>
      <c r="Q52" s="63">
        <f>IF(F52="","",IF(COUNTIFS($B$6:B52,B52,$C$6:C52,C52,$E$6:E52,E52)=1,MAX($Q$5:Q51)+1,""))</f>
        <v/>
      </c>
      <c r="R52" s="63">
        <f>IF(G52="","",IF(COUNTIFS(入力!$B$86:$B$95,"&lt;="&amp;(G52+1),入力!$C$86:$C$95,"&gt;="&amp;(G52+1))&gt;0,SUMIFS(入力!$C$86:$C$95,入力!$B$86:$B$95,"&lt;="&amp;(G52+1),入力!$C$86:$C$95,"&gt;="&amp;(G52+1))+1,G52+1))</f>
        <v/>
      </c>
      <c r="S52" s="63">
        <f>IF(R52="","",IF(COUNTIFS(入力!$B$86:$B$95,"&lt;="&amp;(R52),入力!$C$86:$C$95,"&gt;="&amp;(R52))&gt;0,SUMIFS(入力!$C$86:$C$95,入力!$B$86:$B$95,"&lt;="&amp;(R52),入力!$C$86:$C$95,"&gt;="&amp;(R52))+1,R52))</f>
        <v/>
      </c>
      <c r="T52" s="63" t="n"/>
      <c r="U52" s="63">
        <f>IF(OR(X51="",X51&gt;入力!$J$4+3650),"",X51)</f>
        <v/>
      </c>
      <c r="V52" s="63">
        <f>IF(U52="","",MIN(EOMONTH(U52,0),IF(AND(入力!$B$13&lt;&gt;"",入力!$B$13&gt;U52),入力!$B$13-1,999999),IF(AND(入力!$B$14&lt;&gt;"",入力!$B$14&gt;U52),入力!$B$14-1,999999),IF(AND(入力!$B$15&lt;&gt;"",入力!$B$15&gt;U52),入力!$B$15-1,999999),IF(AND(入力!$B$16&lt;&gt;"",入力!$B$16&gt;U52),入力!$B$16-1,999999),IF(AND(入力!$B$17&lt;&gt;"",入力!$B$17&gt;U52),入力!$B$17-1,999999),IF(AND(入力!$B$18&lt;&gt;"",入力!$B$18&gt;U52),入力!$B$18-1,999999),IF(AND(入力!$B$19&lt;&gt;"",入力!$B$19&gt;U52),入力!$B$19-1,999999),IF(AND(入力!$B$20&lt;&gt;"",入力!$B$20&gt;U52),入力!$B$20-1,999999),IFERROR(SMALL(入力!$B$86:$B$95,COUNTIF(入力!$B$86:$B$95,"&lt;="&amp;U52)+1)-1,999999)))</f>
        <v/>
      </c>
      <c r="W52" s="63">
        <f>IF(V52="","",IF(COUNTIFS(入力!$B$86:$B$95,"&lt;="&amp;(V52+1),入力!$C$86:$C$95,"&gt;="&amp;(V52+1))&gt;0,SUMIFS(入力!$C$86:$C$95,入力!$B$86:$B$95,"&lt;="&amp;(V52+1),入力!$C$86:$C$95,"&gt;="&amp;(V52+1))+1,V52+1))</f>
        <v/>
      </c>
      <c r="X52" s="63">
        <f>IF(W52="","",IF(COUNTIFS(入力!$B$86:$B$95,"&lt;="&amp;(W52),入力!$C$86:$C$95,"&gt;="&amp;(W52))&gt;0,SUMIFS(入力!$C$86:$C$95,入力!$B$86:$B$95,"&lt;="&amp;(W52),入力!$C$86:$C$95,"&gt;="&amp;(W52))+1,W52))</f>
        <v/>
      </c>
      <c r="Y52" s="63">
        <f>IF(U52="","",IFERROR(VLOOKUP(DATE(YEAR(U52),MONTH(U52),1),カレンダーマスタ!$A$2:$B$301,2,0),NETWORKDAYS(DATE(YEAR(U52),MONTH(U52),1),EOMONTH(U52,0))))</f>
        <v/>
      </c>
      <c r="Z52" s="63">
        <f>IF(U52="","",IF(入力!$C$8&lt;&gt;"",入力!$C$8,IFERROR(INDEX(入力!$G$37:$G$78,MATCH(DATE(YEAR(U52),MONTH(U52),1),入力!$A$37:$A$78,0)),0)))</f>
        <v/>
      </c>
      <c r="AA52" s="63">
        <f>IF(U52="","",ROUNDDOWN(INDEX(入力!$H$13:$H$20,MATCH(U52,入力!$B$13:$B$20,1))/Y52+INDEX(入力!$I$13:$I$20,MATCH(U52,入力!$B$13:$B$20,1))/22,0))</f>
        <v/>
      </c>
      <c r="AB52" s="63">
        <f>IF(U52="",0,IF(AND(Z52&gt;AA52,NETWORKDAYS(U52,V52)&gt;0),1,0))</f>
        <v/>
      </c>
      <c r="AC52" s="63" t="n"/>
      <c r="AD52" s="63" t="n"/>
    </row>
    <row r="53">
      <c r="A53" s="91">
        <f>IF(F53="","",48)</f>
        <v/>
      </c>
      <c r="B53" s="92">
        <f>IF(F53="","",DATE(YEAR(F53),MONTH(F53),1))</f>
        <v/>
      </c>
      <c r="C53" s="91">
        <f>IF(F53="","",MONTH(F53))</f>
        <v/>
      </c>
      <c r="D53" s="91">
        <f>IF(F53="","",INDEX(入力!$A$13:$A$20,MATCH(F53,入力!$B$13:$B$20,1)))</f>
        <v/>
      </c>
      <c r="E53" s="91">
        <f>IF(F53="","",IF(G53&lt;=入力!$J$6,"法定","附加"))</f>
        <v/>
      </c>
      <c r="F53" s="93">
        <f>IF(G52="","",IF(G52&gt;=入力!$J$9,"",IF(S52&gt;入力!$J$9,"",S52)))</f>
        <v/>
      </c>
      <c r="G53" s="93">
        <f>IF(F53="","",MIN(EOMONTH(F53,0),入力!$J$9,IF(AND(入力!$B$13&lt;&gt;"",入力!$B$13&gt;F53),入力!$B$13-1,999999),IF(AND(入力!$B$14&lt;&gt;"",入力!$B$14&gt;F53),入力!$B$14-1,999999),IF(AND(入力!$B$15&lt;&gt;"",入力!$B$15&gt;F53),入力!$B$15-1,999999),IF(AND(入力!$B$16&lt;&gt;"",入力!$B$16&gt;F53),入力!$B$16-1,999999),IF(AND(入力!$B$17&lt;&gt;"",入力!$B$17&gt;F53),入力!$B$17-1,999999),IF(AND(入力!$B$18&lt;&gt;"",入力!$B$18&gt;F53),入力!$B$18-1,999999),IF(AND(入力!$B$19&lt;&gt;"",入力!$B$19&gt;F53),入力!$B$19-1,999999),IF(AND(入力!$B$20&lt;&gt;"",入力!$B$20&gt;F53),入力!$B$20-1,999999),IF(AND(入力!$J$7&lt;&gt;"",入力!$J$7&gt;F53),入力!$J$7-1,999999),IFERROR(SMALL(入力!$B$86:$B$95,COUNTIF(入力!$B$86:$B$95,"&lt;="&amp;F53)+1)-1,999999)))</f>
        <v/>
      </c>
      <c r="H53" s="95">
        <f>IF(F53="","",IFERROR(VLOOKUP(B53,カレンダーマスタ!$A$2:$B$301,2,0),NETWORKDAYS(B53,EOMONTH(F53,0))))</f>
        <v/>
      </c>
      <c r="I53" s="94">
        <f>IF(F53="","",NETWORKDAYS(F53,G53))</f>
        <v/>
      </c>
      <c r="J53" s="95">
        <f>IF(F53="","",IF(入力!$C$8&lt;&gt;"",入力!$C$8,IF(F53&lt;入力!$J$5,IFERROR(INDEX(入力!$G$37:$G$78,MATCH(B53,入力!$A$37:$A$78,0)),入力!$J$10),入力!$J$10)))</f>
        <v/>
      </c>
      <c r="K53" s="95">
        <f>IF(F53="","",ROUNDDOWN(INDEX(入力!$H$13:$H$20,MATCH(F53,入力!$B$13:$B$20,1))/H53+INDEX(入力!$I$13:$I$20,MATCH(F53,入力!$B$13:$B$20,1))/22,0))</f>
        <v/>
      </c>
      <c r="L53" s="106">
        <f>IF(F53="","",IF(J53&gt;K53,"〇","×"))</f>
        <v/>
      </c>
      <c r="M53" s="95">
        <f>IF(F53="","",J53*I53)</f>
        <v/>
      </c>
      <c r="N53" s="95">
        <f>IF(F53="","",MIN(J53,K53)*I53)</f>
        <v/>
      </c>
      <c r="O53" s="96">
        <f>IF(F53="","",M53-N53)</f>
        <v/>
      </c>
      <c r="P53" s="107">
        <f>IF(F53="","",IFERROR(INDEX(入力!$G$37:$G$78,MATCH(B53,入力!$A$37:$A$78,0)),""))</f>
        <v/>
      </c>
      <c r="Q53" s="63">
        <f>IF(F53="","",IF(COUNTIFS($B$6:B53,B53,$C$6:C53,C53,$E$6:E53,E53)=1,MAX($Q$5:Q52)+1,""))</f>
        <v/>
      </c>
      <c r="R53" s="63">
        <f>IF(G53="","",IF(COUNTIFS(入力!$B$86:$B$95,"&lt;="&amp;(G53+1),入力!$C$86:$C$95,"&gt;="&amp;(G53+1))&gt;0,SUMIFS(入力!$C$86:$C$95,入力!$B$86:$B$95,"&lt;="&amp;(G53+1),入力!$C$86:$C$95,"&gt;="&amp;(G53+1))+1,G53+1))</f>
        <v/>
      </c>
      <c r="S53" s="63">
        <f>IF(R53="","",IF(COUNTIFS(入力!$B$86:$B$95,"&lt;="&amp;(R53),入力!$C$86:$C$95,"&gt;="&amp;(R53))&gt;0,SUMIFS(入力!$C$86:$C$95,入力!$B$86:$B$95,"&lt;="&amp;(R53),入力!$C$86:$C$95,"&gt;="&amp;(R53))+1,R53))</f>
        <v/>
      </c>
      <c r="T53" s="63" t="n"/>
      <c r="U53" s="63">
        <f>IF(OR(X52="",X52&gt;入力!$J$4+3650),"",X52)</f>
        <v/>
      </c>
      <c r="V53" s="63">
        <f>IF(U53="","",MIN(EOMONTH(U53,0),IF(AND(入力!$B$13&lt;&gt;"",入力!$B$13&gt;U53),入力!$B$13-1,999999),IF(AND(入力!$B$14&lt;&gt;"",入力!$B$14&gt;U53),入力!$B$14-1,999999),IF(AND(入力!$B$15&lt;&gt;"",入力!$B$15&gt;U53),入力!$B$15-1,999999),IF(AND(入力!$B$16&lt;&gt;"",入力!$B$16&gt;U53),入力!$B$16-1,999999),IF(AND(入力!$B$17&lt;&gt;"",入力!$B$17&gt;U53),入力!$B$17-1,999999),IF(AND(入力!$B$18&lt;&gt;"",入力!$B$18&gt;U53),入力!$B$18-1,999999),IF(AND(入力!$B$19&lt;&gt;"",入力!$B$19&gt;U53),入力!$B$19-1,999999),IF(AND(入力!$B$20&lt;&gt;"",入力!$B$20&gt;U53),入力!$B$20-1,999999),IFERROR(SMALL(入力!$B$86:$B$95,COUNTIF(入力!$B$86:$B$95,"&lt;="&amp;U53)+1)-1,999999)))</f>
        <v/>
      </c>
      <c r="W53" s="63">
        <f>IF(V53="","",IF(COUNTIFS(入力!$B$86:$B$95,"&lt;="&amp;(V53+1),入力!$C$86:$C$95,"&gt;="&amp;(V53+1))&gt;0,SUMIFS(入力!$C$86:$C$95,入力!$B$86:$B$95,"&lt;="&amp;(V53+1),入力!$C$86:$C$95,"&gt;="&amp;(V53+1))+1,V53+1))</f>
        <v/>
      </c>
      <c r="X53" s="63">
        <f>IF(W53="","",IF(COUNTIFS(入力!$B$86:$B$95,"&lt;="&amp;(W53),入力!$C$86:$C$95,"&gt;="&amp;(W53))&gt;0,SUMIFS(入力!$C$86:$C$95,入力!$B$86:$B$95,"&lt;="&amp;(W53),入力!$C$86:$C$95,"&gt;="&amp;(W53))+1,W53))</f>
        <v/>
      </c>
      <c r="Y53" s="63">
        <f>IF(U53="","",IFERROR(VLOOKUP(DATE(YEAR(U53),MONTH(U53),1),カレンダーマスタ!$A$2:$B$301,2,0),NETWORKDAYS(DATE(YEAR(U53),MONTH(U53),1),EOMONTH(U53,0))))</f>
        <v/>
      </c>
      <c r="Z53" s="63">
        <f>IF(U53="","",IF(入力!$C$8&lt;&gt;"",入力!$C$8,IFERROR(INDEX(入力!$G$37:$G$78,MATCH(DATE(YEAR(U53),MONTH(U53),1),入力!$A$37:$A$78,0)),0)))</f>
        <v/>
      </c>
      <c r="AA53" s="63">
        <f>IF(U53="","",ROUNDDOWN(INDEX(入力!$H$13:$H$20,MATCH(U53,入力!$B$13:$B$20,1))/Y53+INDEX(入力!$I$13:$I$20,MATCH(U53,入力!$B$13:$B$20,1))/22,0))</f>
        <v/>
      </c>
      <c r="AB53" s="63">
        <f>IF(U53="",0,IF(AND(Z53&gt;AA53,NETWORKDAYS(U53,V53)&gt;0),1,0))</f>
        <v/>
      </c>
      <c r="AC53" s="63" t="n"/>
      <c r="AD53" s="63" t="n"/>
    </row>
    <row r="54">
      <c r="A54" s="63" t="n"/>
      <c r="B54" s="63" t="n"/>
      <c r="C54" s="63" t="n"/>
      <c r="D54" s="63" t="n"/>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AA54" s="63" t="n"/>
      <c r="AB54" s="63" t="n"/>
      <c r="AC54" s="63" t="n"/>
      <c r="AD54" s="63" t="n"/>
    </row>
    <row r="55">
      <c r="A55" s="98" t="inlineStr">
        <is>
          <t>法定給付 計</t>
        </is>
      </c>
      <c r="B55" s="100" t="n"/>
      <c r="C55" s="100" t="n"/>
      <c r="D55" s="100" t="n"/>
      <c r="E55" s="100" t="n"/>
      <c r="F55" s="100" t="n"/>
      <c r="G55" s="100" t="n"/>
      <c r="H55" s="70" t="n"/>
      <c r="I55" s="101">
        <f>SUMIFS(I6:I53,E6:E53,"法定")</f>
        <v/>
      </c>
      <c r="J55" s="101" t="n"/>
      <c r="K55" s="101" t="n"/>
      <c r="L55" s="101" t="n"/>
      <c r="M55" s="101">
        <f>SUMIFS(M6:M53,E6:E53,"法定")</f>
        <v/>
      </c>
      <c r="N55" s="101">
        <f>SUMIFS(N6:N53,E6:E53,"法定")</f>
        <v/>
      </c>
      <c r="O55" s="101">
        <f>SUMIFS(O6:O53,E6:E53,"法定")</f>
        <v/>
      </c>
      <c r="P55" s="63" t="n"/>
      <c r="Q55" s="63" t="n"/>
      <c r="R55" s="63" t="n"/>
      <c r="S55" s="63" t="n"/>
      <c r="T55" s="63" t="n"/>
      <c r="U55" s="63" t="n"/>
      <c r="V55" s="63" t="n"/>
      <c r="W55" s="63" t="n"/>
      <c r="X55" s="63" t="n"/>
      <c r="Y55" s="63" t="n"/>
      <c r="Z55" s="63" t="n"/>
      <c r="AA55" s="63" t="n"/>
      <c r="AB55" s="63" t="n"/>
      <c r="AC55" s="63" t="n"/>
      <c r="AD55" s="63" t="n"/>
    </row>
    <row r="56">
      <c r="A56" s="98" t="inlineStr">
        <is>
          <t>附加給付 計</t>
        </is>
      </c>
      <c r="B56" s="100" t="n"/>
      <c r="C56" s="100" t="n"/>
      <c r="D56" s="100" t="n"/>
      <c r="E56" s="100" t="n"/>
      <c r="F56" s="100" t="n"/>
      <c r="G56" s="100" t="n"/>
      <c r="H56" s="70" t="n"/>
      <c r="I56" s="101">
        <f>SUMIFS(I6:I53,E6:E53,"附加")</f>
        <v/>
      </c>
      <c r="J56" s="101" t="n"/>
      <c r="K56" s="101" t="n"/>
      <c r="L56" s="101" t="n"/>
      <c r="M56" s="101">
        <f>SUMIFS(M6:M53,E6:E53,"附加")</f>
        <v/>
      </c>
      <c r="N56" s="101">
        <f>SUMIFS(N6:N53,E6:E53,"附加")</f>
        <v/>
      </c>
      <c r="O56" s="101">
        <f>SUMIFS(O6:O53,E6:E53,"附加")</f>
        <v/>
      </c>
      <c r="P56" s="63" t="n"/>
      <c r="Q56" s="63" t="n"/>
      <c r="R56" s="63" t="n"/>
      <c r="S56" s="63" t="n"/>
      <c r="T56" s="63" t="n"/>
      <c r="U56" s="63" t="n"/>
      <c r="V56" s="63" t="n"/>
      <c r="W56" s="63" t="n"/>
      <c r="X56" s="63" t="n"/>
      <c r="Y56" s="63" t="n"/>
      <c r="Z56" s="63" t="n"/>
      <c r="AA56" s="63" t="n"/>
      <c r="AB56" s="63" t="n"/>
      <c r="AC56" s="63" t="n"/>
      <c r="AD56" s="63" t="n"/>
    </row>
    <row r="57">
      <c r="A57" s="102" t="inlineStr">
        <is>
          <t>合　計</t>
        </is>
      </c>
      <c r="B57" s="100" t="n"/>
      <c r="C57" s="100" t="n"/>
      <c r="D57" s="100" t="n"/>
      <c r="E57" s="100" t="n"/>
      <c r="F57" s="100" t="n"/>
      <c r="G57" s="100" t="n"/>
      <c r="H57" s="70" t="n"/>
      <c r="I57" s="103">
        <f>SUM(I55:I56)</f>
        <v/>
      </c>
      <c r="J57" s="103" t="n"/>
      <c r="K57" s="103" t="n"/>
      <c r="L57" s="103" t="n"/>
      <c r="M57" s="103">
        <f>SUM(M55:M56)</f>
        <v/>
      </c>
      <c r="N57" s="103">
        <f>SUM(N55:N56)</f>
        <v/>
      </c>
      <c r="O57" s="103">
        <f>SUM(O55:O56)</f>
        <v/>
      </c>
      <c r="P57" s="63" t="n"/>
      <c r="Q57" s="63" t="n"/>
      <c r="R57" s="63" t="n"/>
      <c r="S57" s="63" t="n"/>
      <c r="T57" s="63" t="n"/>
      <c r="U57" s="63" t="n"/>
      <c r="V57" s="63" t="n"/>
      <c r="W57" s="63" t="n"/>
      <c r="X57" s="63" t="n"/>
      <c r="Y57" s="63" t="n"/>
      <c r="Z57" s="63" t="n"/>
      <c r="AA57" s="63" t="n"/>
      <c r="AB57" s="63" t="n"/>
      <c r="AC57" s="63" t="n"/>
      <c r="AD57" s="63" t="n"/>
    </row>
    <row r="58">
      <c r="A58" s="63" t="n"/>
      <c r="B58" s="63" t="n"/>
      <c r="C58" s="63" t="n"/>
      <c r="D58" s="63" t="n"/>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row>
    <row r="59">
      <c r="A59" s="66" t="inlineStr">
        <is>
          <t>■ 検算</t>
        </is>
      </c>
      <c r="B59" s="63" t="n"/>
      <c r="C59" s="63"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row>
    <row r="60">
      <c r="A60" s="65" t="inlineStr">
        <is>
          <t>標準支給額 − 調整額 − 差引支給額（0なら整合）</t>
        </is>
      </c>
      <c r="B60" s="63" t="n"/>
      <c r="C60" s="63" t="n"/>
      <c r="D60" s="63" t="n"/>
      <c r="E60" s="63" t="n"/>
      <c r="F60" s="63" t="n"/>
      <c r="G60" s="63" t="n"/>
      <c r="H60" s="63" t="n"/>
      <c r="I60" s="63" t="n"/>
      <c r="J60" s="63" t="n"/>
      <c r="K60" s="63" t="n"/>
      <c r="L60" s="63" t="n"/>
      <c r="M60" s="63" t="n"/>
      <c r="N60" s="63" t="n"/>
      <c r="O60" s="104">
        <f>M57-N57-O57</f>
        <v/>
      </c>
      <c r="P60" s="63" t="n"/>
      <c r="Q60" s="63" t="n"/>
      <c r="R60" s="63" t="n"/>
      <c r="S60" s="63" t="n"/>
      <c r="T60" s="63" t="n"/>
      <c r="U60" s="63" t="n"/>
      <c r="V60" s="63" t="n"/>
      <c r="W60" s="63" t="n"/>
      <c r="X60" s="63" t="n"/>
      <c r="Y60" s="63" t="n"/>
      <c r="Z60" s="63" t="n"/>
      <c r="AA60" s="63" t="n"/>
      <c r="AB60" s="63" t="n"/>
      <c r="AC60" s="63" t="n"/>
      <c r="AD60" s="63" t="n"/>
    </row>
    <row r="61">
      <c r="A61" s="65" t="inlineStr">
        <is>
          <t>支給可否が×の月数（報酬日額 ≧ 傷病手当日額のため支給なし）</t>
        </is>
      </c>
      <c r="B61" s="63" t="n"/>
      <c r="C61" s="63" t="n"/>
      <c r="D61" s="63" t="n"/>
      <c r="E61" s="63" t="n"/>
      <c r="F61" s="63" t="n"/>
      <c r="G61" s="63" t="n"/>
      <c r="H61" s="63" t="n"/>
      <c r="I61" s="63" t="n"/>
      <c r="J61" s="63" t="n"/>
      <c r="K61" s="63" t="n"/>
      <c r="L61" s="63" t="n"/>
      <c r="M61" s="63" t="n"/>
      <c r="N61" s="63" t="n"/>
      <c r="O61" s="63">
        <f>COUNTIF(L6:L53,"×")</f>
        <v/>
      </c>
      <c r="P61" s="63" t="n"/>
      <c r="Q61" s="63" t="n"/>
      <c r="R61" s="63" t="n"/>
      <c r="S61" s="63" t="n"/>
      <c r="T61" s="63" t="n"/>
      <c r="U61" s="63" t="n"/>
      <c r="V61" s="63" t="n"/>
      <c r="W61" s="63" t="n"/>
      <c r="X61" s="63" t="n"/>
      <c r="Y61" s="63" t="n"/>
      <c r="Z61" s="63" t="n"/>
      <c r="AA61" s="63" t="n"/>
      <c r="AB61" s="63" t="n"/>
      <c r="AC61" s="63" t="n"/>
      <c r="AD61" s="63" t="n"/>
    </row>
    <row r="62">
      <c r="A62" s="63" t="n"/>
      <c r="B62" s="63" t="n"/>
      <c r="C62" s="63" t="n"/>
      <c r="D62" s="63" t="n"/>
      <c r="E62" s="63" t="n"/>
      <c r="F62" s="63" t="n"/>
      <c r="G62" s="63" t="n"/>
      <c r="H62" s="63" t="n"/>
      <c r="I62" s="63" t="n"/>
      <c r="J62" s="63" t="n"/>
      <c r="K62" s="63" t="n"/>
      <c r="L62" s="63" t="n"/>
      <c r="M62" s="63" t="n"/>
      <c r="N62" s="63" t="n"/>
      <c r="O62" s="63" t="n"/>
      <c r="P62" s="63" t="n"/>
      <c r="Q62" s="63" t="n"/>
      <c r="R62" s="63" t="n"/>
      <c r="S62" s="63" t="n"/>
      <c r="T62" s="63" t="n"/>
      <c r="U62" s="63" t="n"/>
      <c r="V62" s="63" t="n"/>
      <c r="W62" s="63" t="n"/>
      <c r="X62" s="63" t="n"/>
      <c r="Y62" s="63" t="n"/>
      <c r="Z62" s="63" t="n"/>
      <c r="AA62" s="63" t="n"/>
      <c r="AB62" s="63" t="n"/>
      <c r="AC62" s="63" t="n"/>
      <c r="AD62" s="63" t="n"/>
    </row>
    <row r="63">
      <c r="A63" s="66" t="inlineStr">
        <is>
          <t>【計算の考え方】</t>
        </is>
      </c>
      <c r="B63" s="63" t="n"/>
      <c r="C63" s="63" t="n"/>
      <c r="D63" s="63" t="n"/>
      <c r="E63" s="63" t="n"/>
      <c r="F63" s="63" t="n"/>
      <c r="G63" s="63" t="n"/>
      <c r="H63" s="63" t="n"/>
      <c r="I63" s="63" t="n"/>
      <c r="J63" s="63" t="n"/>
      <c r="K63" s="63" t="n"/>
      <c r="L63" s="63" t="n"/>
      <c r="M63" s="63" t="n"/>
      <c r="N63" s="63" t="n"/>
      <c r="O63" s="63" t="n"/>
      <c r="P63" s="63" t="n"/>
      <c r="Q63" s="63" t="n"/>
      <c r="R63" s="63" t="n"/>
      <c r="S63" s="63" t="n"/>
      <c r="T63" s="63" t="n"/>
      <c r="U63" s="63" t="n"/>
      <c r="V63" s="63" t="n"/>
      <c r="W63" s="63" t="n"/>
      <c r="X63" s="63" t="n"/>
      <c r="Y63" s="63" t="n"/>
      <c r="Z63" s="63" t="n"/>
      <c r="AA63" s="63" t="n"/>
      <c r="AB63" s="63" t="n"/>
      <c r="AC63" s="63" t="n"/>
      <c r="AD63" s="63" t="n"/>
    </row>
    <row r="64">
      <c r="A64" s="105" t="inlineStr">
        <is>
          <t>・傷病手当日額（B）＝算定表で初めて〇になった月の額（直近12か月の標準報酬月額の平均から試算）を全期間に使います。それより前の行は、その月の試算日額で〇×を判定します（確認値を入力した場合は全行その額）。標準支給額（F）＝B×支給日数（A）。</t>
        </is>
      </c>
      <c r="B64" s="63" t="n"/>
      <c r="C64" s="63" t="n"/>
      <c r="D64" s="63" t="n"/>
      <c r="E64" s="63" t="n"/>
      <c r="F64" s="63" t="n"/>
      <c r="G64" s="63" t="n"/>
      <c r="H64" s="63" t="n"/>
      <c r="I64" s="63" t="n"/>
      <c r="J64" s="63" t="n"/>
      <c r="K64" s="63" t="n"/>
      <c r="L64" s="63" t="n"/>
      <c r="M64" s="63" t="n"/>
      <c r="N64" s="63" t="n"/>
      <c r="O64" s="63" t="n"/>
      <c r="P64" s="63" t="n"/>
      <c r="Q64" s="63" t="n"/>
      <c r="R64" s="63" t="n"/>
      <c r="S64" s="63" t="n"/>
      <c r="T64" s="63" t="n"/>
      <c r="U64" s="63" t="n"/>
      <c r="V64" s="63" t="n"/>
      <c r="W64" s="63" t="n"/>
      <c r="X64" s="63" t="n"/>
      <c r="Y64" s="63" t="n"/>
      <c r="Z64" s="63" t="n"/>
      <c r="AA64" s="63" t="n"/>
      <c r="AB64" s="63" t="n"/>
      <c r="AC64" s="63" t="n"/>
      <c r="AD64" s="63" t="n"/>
    </row>
    <row r="65">
      <c r="A65" s="105" t="inlineStr">
        <is>
          <t>・報酬日額（C）＝(日額で支給されるもの÷勤務を要する日数＋月額で支給されるもの÷22)の円未満切捨。月の途中で給与区分や給付区分が変わる場合は自動で行を分割します。</t>
        </is>
      </c>
      <c r="B65" s="63" t="n"/>
      <c r="C65" s="63" t="n"/>
      <c r="D65" s="63" t="n"/>
      <c r="E65" s="63" t="n"/>
      <c r="F65" s="63" t="n"/>
      <c r="G65" s="63" t="n"/>
      <c r="H65" s="63" t="n"/>
      <c r="I65" s="63" t="n"/>
      <c r="J65" s="63" t="n"/>
      <c r="K65" s="63" t="n"/>
      <c r="L65" s="63" t="n"/>
      <c r="M65" s="63" t="n"/>
      <c r="N65" s="63" t="n"/>
      <c r="O65" s="63" t="n"/>
      <c r="P65" s="63" t="n"/>
      <c r="Q65" s="63" t="n"/>
      <c r="R65" s="63" t="n"/>
      <c r="S65" s="63" t="n"/>
      <c r="T65" s="63" t="n"/>
      <c r="U65" s="63" t="n"/>
      <c r="V65" s="63" t="n"/>
      <c r="W65" s="63" t="n"/>
      <c r="X65" s="63" t="n"/>
      <c r="Y65" s="63" t="n"/>
      <c r="Z65" s="63" t="n"/>
      <c r="AA65" s="63" t="n"/>
      <c r="AB65" s="63" t="n"/>
      <c r="AC65" s="63" t="n"/>
      <c r="AD65" s="63" t="n"/>
    </row>
    <row r="66">
      <c r="A66" s="105" t="inlineStr">
        <is>
          <t>・調整額（G）＝報酬日額と傷病手当日額の小さい方×支給日数。報酬日額が傷病手当日額以上（×）の行は、調整額＝標準支給額となり差引支給額は0円です。</t>
        </is>
      </c>
      <c r="B66" s="63" t="n"/>
      <c r="C66" s="63" t="n"/>
      <c r="D66" s="63" t="n"/>
      <c r="E66" s="63" t="n"/>
      <c r="F66" s="63" t="n"/>
      <c r="G66" s="63" t="n"/>
      <c r="H66" s="63" t="n"/>
      <c r="I66" s="63" t="n"/>
      <c r="J66" s="63" t="n"/>
      <c r="K66" s="63" t="n"/>
      <c r="L66" s="63" t="n"/>
      <c r="M66" s="63" t="n"/>
      <c r="N66" s="63" t="n"/>
      <c r="O66" s="63" t="n"/>
      <c r="P66" s="63" t="n"/>
      <c r="Q66" s="63" t="n"/>
      <c r="R66" s="63" t="n"/>
      <c r="S66" s="63" t="n"/>
      <c r="T66" s="63" t="n"/>
      <c r="U66" s="63" t="n"/>
      <c r="V66" s="63" t="n"/>
      <c r="W66" s="63" t="n"/>
      <c r="X66" s="63" t="n"/>
      <c r="Y66" s="63" t="n"/>
      <c r="Z66" s="63" t="n"/>
      <c r="AA66" s="63" t="n"/>
      <c r="AB66" s="63" t="n"/>
      <c r="AC66" s="63" t="n"/>
      <c r="AD66" s="63" t="n"/>
    </row>
    <row r="67">
      <c r="A67" s="105" t="inlineStr">
        <is>
          <t>・差引支給額（E）＝標準支給額（F）−調整額（G）。基幹システムには法定給付・附加給付別に、月ごとに入力してください。</t>
        </is>
      </c>
      <c r="B67" s="63" t="n"/>
      <c r="C67" s="63" t="n"/>
      <c r="D67" s="63" t="n"/>
      <c r="E67" s="63" t="n"/>
      <c r="F67" s="63" t="n"/>
      <c r="G67" s="63" t="n"/>
      <c r="H67" s="63" t="n"/>
      <c r="I67" s="63" t="n"/>
      <c r="J67" s="63" t="n"/>
      <c r="K67" s="63" t="n"/>
      <c r="L67" s="63" t="n"/>
      <c r="M67" s="63" t="n"/>
      <c r="N67" s="63" t="n"/>
      <c r="O67" s="63" t="n"/>
      <c r="P67" s="63" t="n"/>
      <c r="Q67" s="63" t="n"/>
      <c r="R67" s="63" t="n"/>
      <c r="S67" s="63" t="n"/>
      <c r="T67" s="63" t="n"/>
      <c r="U67" s="63" t="n"/>
      <c r="V67" s="63" t="n"/>
      <c r="W67" s="63" t="n"/>
      <c r="X67" s="63" t="n"/>
      <c r="Y67" s="63" t="n"/>
      <c r="Z67" s="63" t="n"/>
      <c r="AA67" s="63" t="n"/>
      <c r="AB67" s="63" t="n"/>
      <c r="AC67" s="63" t="n"/>
      <c r="AD67" s="63" t="n"/>
    </row>
    <row r="68">
      <c r="A68" s="105" t="inlineStr">
        <is>
          <t>・支給日数は土日を除く日数です（祝日・年末年始は考慮していません）。実際の勤務を要する日数と異なる場合は、カレンダーマスタ等で確認してください。</t>
        </is>
      </c>
      <c r="B68" s="63" t="n"/>
      <c r="C68" s="63" t="n"/>
      <c r="D68" s="63" t="n"/>
      <c r="E68" s="63" t="n"/>
      <c r="F68" s="63" t="n"/>
      <c r="G68" s="63" t="n"/>
      <c r="H68" s="63" t="n"/>
      <c r="I68" s="63" t="n"/>
      <c r="J68" s="63" t="n"/>
      <c r="K68" s="63" t="n"/>
      <c r="L68" s="63" t="n"/>
      <c r="M68" s="63" t="n"/>
      <c r="N68" s="63" t="n"/>
      <c r="O68" s="63" t="n"/>
      <c r="P68" s="63" t="n"/>
      <c r="Q68" s="63" t="n"/>
      <c r="R68" s="63" t="n"/>
      <c r="S68" s="63" t="n"/>
      <c r="T68" s="63" t="n"/>
      <c r="U68" s="63" t="n"/>
      <c r="V68" s="63" t="n"/>
      <c r="W68" s="63" t="n"/>
      <c r="X68" s="63" t="n"/>
      <c r="Y68" s="63" t="n"/>
      <c r="Z68" s="63" t="n"/>
      <c r="AA68" s="63" t="n"/>
      <c r="AB68" s="63" t="n"/>
      <c r="AC68" s="63" t="n"/>
      <c r="AD68" s="63" t="n"/>
    </row>
    <row r="69">
      <c r="A69" s="105" t="inlineStr">
        <is>
          <t>・障害年金等との調整は本表に含まれていません。調整がある場合は、基幹システムでマイナスの調整額を別途入力してください。</t>
        </is>
      </c>
      <c r="B69" s="63" t="n"/>
      <c r="C69" s="63" t="n"/>
      <c r="D69" s="63" t="n"/>
      <c r="E69" s="63" t="n"/>
      <c r="F69" s="63" t="n"/>
      <c r="G69" s="63" t="n"/>
      <c r="H69" s="63" t="n"/>
      <c r="I69" s="63" t="n"/>
      <c r="J69" s="63" t="n"/>
      <c r="K69" s="63" t="n"/>
      <c r="L69" s="63" t="n"/>
      <c r="M69" s="63" t="n"/>
      <c r="N69" s="63" t="n"/>
      <c r="O69" s="63" t="n"/>
      <c r="P69" s="63" t="n"/>
      <c r="Q69" s="63" t="n"/>
      <c r="R69" s="63" t="n"/>
      <c r="S69" s="63" t="n"/>
      <c r="T69" s="63" t="n"/>
      <c r="U69" s="63" t="n"/>
      <c r="V69" s="63" t="n"/>
      <c r="W69" s="63" t="n"/>
      <c r="X69" s="63" t="n"/>
      <c r="Y69" s="63" t="n"/>
      <c r="Z69" s="63" t="n"/>
      <c r="AA69" s="63" t="n"/>
      <c r="AB69" s="63" t="n"/>
      <c r="AC69" s="63" t="n"/>
      <c r="AD69" s="63" t="n"/>
    </row>
    <row r="70">
      <c r="A70" s="105" t="inlineStr">
        <is>
          <t>・退職者：法定給付は退職日に関係なく末日まで、附加給付は「退職時附加金の受給：有」の場合のみ退職日まで算定します（マニュアル2①）。</t>
        </is>
      </c>
      <c r="B70" s="63" t="n"/>
      <c r="C70" s="63" t="n"/>
      <c r="D70" s="63" t="n"/>
      <c r="E70" s="63" t="n"/>
      <c r="F70" s="63" t="n"/>
      <c r="G70" s="63" t="n"/>
      <c r="H70" s="63" t="n"/>
      <c r="I70" s="63" t="n"/>
      <c r="J70" s="63" t="n"/>
      <c r="K70" s="63" t="n"/>
      <c r="L70" s="63" t="n"/>
      <c r="M70" s="63" t="n"/>
      <c r="N70" s="63" t="n"/>
      <c r="O70" s="63" t="n"/>
      <c r="P70" s="63" t="n"/>
      <c r="Q70" s="63" t="n"/>
      <c r="R70" s="63" t="n"/>
      <c r="S70" s="63" t="n"/>
      <c r="T70" s="63" t="n"/>
      <c r="U70" s="63" t="n"/>
      <c r="V70" s="63" t="n"/>
      <c r="W70" s="63" t="n"/>
      <c r="X70" s="63" t="n"/>
      <c r="Y70" s="63" t="n"/>
      <c r="Z70" s="63" t="n"/>
      <c r="AA70" s="63" t="n"/>
      <c r="AB70" s="63" t="n"/>
      <c r="AC70" s="63" t="n"/>
      <c r="AD70" s="63" t="n"/>
    </row>
    <row r="71">
      <c r="A71" s="105" t="inlineStr">
        <is>
          <t>・出勤期間（入力シート）がある場合は、その期間を算定から除き、法定末日・附加開始日・附加末日・最終日を、出勤した分（開始日の応当日で数えた月数、残りは土日を除く日数）だけ後ろにずらします。</t>
        </is>
      </c>
      <c r="B71" s="63" t="n"/>
      <c r="C71" s="63" t="n"/>
      <c r="D71" s="63" t="n"/>
      <c r="E71" s="63" t="n"/>
      <c r="F71" s="63" t="n"/>
      <c r="G71" s="63" t="n"/>
      <c r="H71" s="63" t="n"/>
      <c r="I71" s="63" t="n"/>
      <c r="J71" s="63" t="n"/>
      <c r="K71" s="63" t="n"/>
      <c r="L71" s="63" t="n"/>
      <c r="M71" s="63" t="n"/>
      <c r="N71" s="63" t="n"/>
      <c r="O71" s="63" t="n"/>
      <c r="P71" s="63" t="n"/>
      <c r="Q71" s="63" t="n"/>
      <c r="R71" s="63" t="n"/>
      <c r="S71" s="63" t="n"/>
      <c r="T71" s="63" t="n"/>
      <c r="U71" s="63" t="n"/>
      <c r="V71" s="63" t="n"/>
      <c r="W71" s="63" t="n"/>
      <c r="X71" s="63" t="n"/>
      <c r="Y71" s="63" t="n"/>
      <c r="Z71" s="63" t="n"/>
      <c r="AA71" s="63" t="n"/>
      <c r="AB71" s="63" t="n"/>
      <c r="AC71" s="63" t="n"/>
      <c r="AD71" s="63" t="n"/>
    </row>
    <row r="72">
      <c r="A72" s="105" t="inlineStr">
        <is>
          <t>・P列「参考」は、その月の標準報酬月額から試算した日額です。月ごとの比較用で、算定（B列）には使いません。</t>
        </is>
      </c>
      <c r="B72" s="63" t="n"/>
      <c r="C72" s="63" t="n"/>
      <c r="D72" s="63" t="n"/>
      <c r="E72" s="63" t="n"/>
      <c r="F72" s="63" t="n"/>
      <c r="G72" s="63" t="n"/>
      <c r="H72" s="63" t="n"/>
      <c r="I72" s="63" t="n"/>
      <c r="J72" s="63" t="n"/>
      <c r="K72" s="63" t="n"/>
      <c r="L72" s="63" t="n"/>
      <c r="M72" s="63" t="n"/>
      <c r="N72" s="63" t="n"/>
      <c r="O72" s="63" t="n"/>
      <c r="P72" s="63" t="n"/>
      <c r="Q72" s="63" t="n"/>
      <c r="R72" s="63" t="n"/>
      <c r="S72" s="63" t="n"/>
      <c r="T72" s="63" t="n"/>
      <c r="U72" s="63" t="n"/>
      <c r="V72" s="63" t="n"/>
      <c r="W72" s="63" t="n"/>
      <c r="X72" s="63" t="n"/>
      <c r="Y72" s="63" t="n"/>
      <c r="Z72" s="63" t="n"/>
      <c r="AA72" s="63" t="n"/>
      <c r="AB72" s="63" t="n"/>
      <c r="AC72" s="63" t="n"/>
      <c r="AD72" s="63" t="n"/>
    </row>
    <row r="73">
      <c r="A73" s="105" t="inlineStr">
        <is>
          <t>・月の数え方は応当日の前日までです。法定給付の末日＝待機後の初日から1年6か月後の応当日の前日、附加給付の末日＝その翌日から6か月後の応当日の前日。傷病手当日額は、算定表で初めて〇になった月の額で固定します。</t>
        </is>
      </c>
      <c r="B73" s="63" t="n"/>
      <c r="C73" s="63" t="n"/>
      <c r="D73" s="63" t="n"/>
      <c r="E73" s="63" t="n"/>
      <c r="F73" s="63" t="n"/>
      <c r="G73" s="63" t="n"/>
      <c r="H73" s="63" t="n"/>
      <c r="I73" s="63" t="n"/>
      <c r="J73" s="63" t="n"/>
      <c r="K73" s="63" t="n"/>
      <c r="L73" s="63" t="n"/>
      <c r="M73" s="63" t="n"/>
      <c r="N73" s="63" t="n"/>
      <c r="O73" s="63" t="n"/>
      <c r="P73" s="63" t="n"/>
      <c r="Q73" s="63" t="n"/>
      <c r="R73" s="63" t="n"/>
      <c r="S73" s="63" t="n"/>
      <c r="T73" s="63" t="n"/>
      <c r="U73" s="63" t="n"/>
      <c r="V73" s="63" t="n"/>
      <c r="W73" s="63" t="n"/>
      <c r="X73" s="63" t="n"/>
      <c r="Y73" s="63" t="n"/>
      <c r="Z73" s="63" t="n"/>
      <c r="AA73" s="63" t="n"/>
      <c r="AB73" s="63" t="n"/>
      <c r="AC73" s="63" t="n"/>
      <c r="AD73" s="63" t="n"/>
    </row>
  </sheetData>
  <mergeCells count="3">
    <mergeCell ref="A56:H56"/>
    <mergeCell ref="A57:H57"/>
    <mergeCell ref="A55:H55"/>
  </mergeCells>
  <conditionalFormatting sqref="A6:O53">
    <cfRule type="expression" priority="2" dxfId="0">
      <formula>$L6="×"</formula>
    </cfRule>
  </conditionalFormatting>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sheetPr>
  <dimension ref="A1:H330"/>
  <sheetViews>
    <sheetView tabSelected="0" zoomScaleNormal="100" workbookViewId="0">
      <pane ySplit="1" topLeftCell="A2" activePane="bottomLeft" state="frozen"/>
      <selection pane="bottomLeft" activeCell="A2" sqref="A2"/>
    </sheetView>
  </sheetViews>
  <sheetFormatPr baseColWidth="8" defaultColWidth="8.6640625" defaultRowHeight="14.4"/>
  <cols>
    <col width="11" customWidth="1" style="39" min="1" max="1"/>
    <col width="16" customWidth="1" style="39" min="2" max="2"/>
    <col width="12" customWidth="1" style="39" min="3" max="3"/>
    <col width="16" customWidth="1" style="39" min="4" max="4"/>
    <col width="3" customWidth="1" style="39" min="5" max="5"/>
  </cols>
  <sheetData>
    <row r="1" ht="34" customHeight="1" s="39">
      <c r="A1" s="77" t="inlineStr">
        <is>
          <t>月
（月初日）</t>
        </is>
      </c>
      <c r="B1" s="77" t="inlineStr">
        <is>
          <t>勤務を要する日数
（算定表で使う値）</t>
        </is>
      </c>
      <c r="C1" s="77" t="inlineStr">
        <is>
          <t>個別修正
（任意）</t>
        </is>
      </c>
      <c r="D1" s="77" t="inlineStr">
        <is>
          <t>土日を除く日数
（自動）</t>
        </is>
      </c>
      <c r="E1" s="97" t="n"/>
      <c r="F1" s="66" t="inlineStr">
        <is>
          <t>■ カレンダーマスタの使い方（月ごとの「勤務を要する日数」）</t>
        </is>
      </c>
      <c r="G1" s="97" t="n"/>
      <c r="H1" s="97" t="n"/>
    </row>
    <row r="2">
      <c r="A2" s="108" t="n">
        <v>43831</v>
      </c>
      <c r="B2" s="81">
        <f>IF(A2="","",IF(C2&lt;&gt;"",C2,D2))</f>
        <v/>
      </c>
      <c r="C2" s="109" t="n"/>
      <c r="D2" s="81">
        <f>IF(A2="","",NETWORKDAYS(DATE(YEAR(A2),MONTH(A2),1),EOMONTH(A2,0)))</f>
        <v/>
      </c>
      <c r="E2" s="97" t="n"/>
      <c r="F2" s="65" t="inlineStr">
        <is>
          <t>※A列（黄色）に月を入れると、B列「勤務を要する日数」が自動で入ります（土日を除く日数）。</t>
        </is>
      </c>
      <c r="G2" s="97" t="n"/>
      <c r="H2" s="97" t="n"/>
    </row>
    <row r="3">
      <c r="A3" s="108" t="n">
        <v>43862</v>
      </c>
      <c r="B3" s="81">
        <f>IF(A3="","",IF(C3&lt;&gt;"",C3,D3))</f>
        <v/>
      </c>
      <c r="C3" s="109" t="n"/>
      <c r="D3" s="81">
        <f>IF(A3="","",NETWORKDAYS(DATE(YEAR(A3),MONTH(A3),1),EOMONTH(A3,0)))</f>
        <v/>
      </c>
      <c r="E3" s="97" t="n"/>
      <c r="F3" s="65" t="inlineStr">
        <is>
          <t>※月は R7.1 または 2025/1 のように入れます（その月の1日になります）。表の下の空いた行に、続けて入れられます（300行まで）。</t>
        </is>
      </c>
      <c r="G3" s="97" t="n"/>
      <c r="H3" s="97" t="n"/>
    </row>
    <row r="4">
      <c r="A4" s="108" t="n">
        <v>43891</v>
      </c>
      <c r="B4" s="81">
        <f>IF(A4="","",IF(C4&lt;&gt;"",C4,D4))</f>
        <v/>
      </c>
      <c r="C4" s="109" t="n"/>
      <c r="D4" s="81">
        <f>IF(A4="","",NETWORKDAYS(DATE(YEAR(A4),MONTH(A4),1),EOMONTH(A4,0)))</f>
        <v/>
      </c>
      <c r="E4" s="97" t="n"/>
      <c r="F4" s="65" t="inlineStr">
        <is>
          <t>※祝日などで日数を変えたい月は、C列（黄色）に日数を入れます。B列にその日数が入ります。</t>
        </is>
      </c>
      <c r="G4" s="97" t="n"/>
      <c r="H4" s="97" t="n"/>
    </row>
    <row r="5">
      <c r="A5" s="108" t="n">
        <v>43922</v>
      </c>
      <c r="B5" s="81">
        <f>IF(A5="","",IF(C5&lt;&gt;"",C5,D5))</f>
        <v/>
      </c>
      <c r="C5" s="109" t="n"/>
      <c r="D5" s="81">
        <f>IF(A5="","",NETWORKDAYS(DATE(YEAR(A5),MONTH(A5),1),EOMONTH(A5,0)))</f>
        <v/>
      </c>
      <c r="E5" s="97" t="n"/>
      <c r="F5" s="65" t="inlineStr">
        <is>
          <t>※表にない月は、算定表が土日を除く日数で自動計算します。</t>
        </is>
      </c>
      <c r="G5" s="97" t="n"/>
      <c r="H5" s="97" t="n"/>
    </row>
    <row r="6">
      <c r="A6" s="108" t="n">
        <v>43952</v>
      </c>
      <c r="B6" s="81">
        <f>IF(A6="","",IF(C6&lt;&gt;"",C6,D6))</f>
        <v/>
      </c>
      <c r="C6" s="109" t="n"/>
      <c r="D6" s="81">
        <f>IF(A6="","",NETWORKDAYS(DATE(YEAR(A6),MONTH(A6),1),EOMONTH(A6,0)))</f>
        <v/>
      </c>
      <c r="E6" s="97" t="n"/>
      <c r="F6" s="65" t="inlineStr">
        <is>
          <t>※令和3年12月は、以前のカレンダーに合わせて22日を入れてあります。</t>
        </is>
      </c>
      <c r="G6" s="97" t="n"/>
      <c r="H6" s="97" t="n"/>
    </row>
    <row r="7">
      <c r="A7" s="108" t="n">
        <v>43983</v>
      </c>
      <c r="B7" s="81">
        <f>IF(A7="","",IF(C7&lt;&gt;"",C7,D7))</f>
        <v/>
      </c>
      <c r="C7" s="109" t="n"/>
      <c r="D7" s="81">
        <f>IF(A7="","",NETWORKDAYS(DATE(YEAR(A7),MONTH(A7),1),EOMONTH(A7,0)))</f>
        <v/>
      </c>
      <c r="E7" s="97" t="n"/>
      <c r="F7" s="97" t="n"/>
      <c r="G7" s="97" t="n"/>
      <c r="H7" s="97" t="n"/>
    </row>
    <row r="8">
      <c r="A8" s="108" t="n">
        <v>44013</v>
      </c>
      <c r="B8" s="81">
        <f>IF(A8="","",IF(C8&lt;&gt;"",C8,D8))</f>
        <v/>
      </c>
      <c r="C8" s="109" t="n"/>
      <c r="D8" s="81">
        <f>IF(A8="","",NETWORKDAYS(DATE(YEAR(A8),MONTH(A8),1),EOMONTH(A8,0)))</f>
        <v/>
      </c>
      <c r="E8" s="97" t="n"/>
      <c r="F8" s="97" t="n"/>
      <c r="G8" s="97" t="n"/>
      <c r="H8" s="97" t="n"/>
    </row>
    <row r="9">
      <c r="A9" s="108" t="n">
        <v>44044</v>
      </c>
      <c r="B9" s="81">
        <f>IF(A9="","",IF(C9&lt;&gt;"",C9,D9))</f>
        <v/>
      </c>
      <c r="C9" s="109" t="n"/>
      <c r="D9" s="81">
        <f>IF(A9="","",NETWORKDAYS(DATE(YEAR(A9),MONTH(A9),1),EOMONTH(A9,0)))</f>
        <v/>
      </c>
      <c r="E9" s="97" t="n"/>
      <c r="F9" s="97" t="n"/>
      <c r="G9" s="97" t="n"/>
      <c r="H9" s="97" t="n"/>
    </row>
    <row r="10">
      <c r="A10" s="108" t="n">
        <v>44075</v>
      </c>
      <c r="B10" s="81">
        <f>IF(A10="","",IF(C10&lt;&gt;"",C10,D10))</f>
        <v/>
      </c>
      <c r="C10" s="109" t="n"/>
      <c r="D10" s="81">
        <f>IF(A10="","",NETWORKDAYS(DATE(YEAR(A10),MONTH(A10),1),EOMONTH(A10,0)))</f>
        <v/>
      </c>
      <c r="E10" s="97" t="n"/>
      <c r="F10" s="97" t="n"/>
      <c r="G10" s="97" t="n"/>
      <c r="H10" s="97" t="n"/>
    </row>
    <row r="11">
      <c r="A11" s="108" t="n">
        <v>44105</v>
      </c>
      <c r="B11" s="81">
        <f>IF(A11="","",IF(C11&lt;&gt;"",C11,D11))</f>
        <v/>
      </c>
      <c r="C11" s="109" t="n"/>
      <c r="D11" s="81">
        <f>IF(A11="","",NETWORKDAYS(DATE(YEAR(A11),MONTH(A11),1),EOMONTH(A11,0)))</f>
        <v/>
      </c>
      <c r="E11" s="97" t="n"/>
      <c r="F11" s="97" t="n"/>
      <c r="G11" s="97" t="n"/>
      <c r="H11" s="97" t="n"/>
    </row>
    <row r="12">
      <c r="A12" s="108" t="n">
        <v>44136</v>
      </c>
      <c r="B12" s="81">
        <f>IF(A12="","",IF(C12&lt;&gt;"",C12,D12))</f>
        <v/>
      </c>
      <c r="C12" s="109" t="n"/>
      <c r="D12" s="81">
        <f>IF(A12="","",NETWORKDAYS(DATE(YEAR(A12),MONTH(A12),1),EOMONTH(A12,0)))</f>
        <v/>
      </c>
      <c r="E12" s="97" t="n"/>
      <c r="F12" s="97" t="n"/>
      <c r="G12" s="97" t="n"/>
      <c r="H12" s="97" t="n"/>
    </row>
    <row r="13">
      <c r="A13" s="108" t="n">
        <v>44166</v>
      </c>
      <c r="B13" s="81">
        <f>IF(A13="","",IF(C13&lt;&gt;"",C13,D13))</f>
        <v/>
      </c>
      <c r="C13" s="109" t="n"/>
      <c r="D13" s="81">
        <f>IF(A13="","",NETWORKDAYS(DATE(YEAR(A13),MONTH(A13),1),EOMONTH(A13,0)))</f>
        <v/>
      </c>
      <c r="E13" s="97" t="n"/>
      <c r="F13" s="97" t="n"/>
      <c r="G13" s="97" t="n"/>
      <c r="H13" s="97" t="n"/>
    </row>
    <row r="14">
      <c r="A14" s="108" t="n">
        <v>44197</v>
      </c>
      <c r="B14" s="81">
        <f>IF(A14="","",IF(C14&lt;&gt;"",C14,D14))</f>
        <v/>
      </c>
      <c r="C14" s="109" t="n"/>
      <c r="D14" s="81">
        <f>IF(A14="","",NETWORKDAYS(DATE(YEAR(A14),MONTH(A14),1),EOMONTH(A14,0)))</f>
        <v/>
      </c>
      <c r="E14" s="97" t="n"/>
      <c r="F14" s="97" t="n"/>
      <c r="G14" s="97" t="n"/>
      <c r="H14" s="97" t="n"/>
    </row>
    <row r="15">
      <c r="A15" s="108" t="n">
        <v>44228</v>
      </c>
      <c r="B15" s="81">
        <f>IF(A15="","",IF(C15&lt;&gt;"",C15,D15))</f>
        <v/>
      </c>
      <c r="C15" s="109" t="n"/>
      <c r="D15" s="81">
        <f>IF(A15="","",NETWORKDAYS(DATE(YEAR(A15),MONTH(A15),1),EOMONTH(A15,0)))</f>
        <v/>
      </c>
      <c r="E15" s="97" t="n"/>
      <c r="F15" s="97" t="n"/>
      <c r="G15" s="97" t="n"/>
      <c r="H15" s="97" t="n"/>
    </row>
    <row r="16">
      <c r="A16" s="108" t="n">
        <v>44256</v>
      </c>
      <c r="B16" s="81">
        <f>IF(A16="","",IF(C16&lt;&gt;"",C16,D16))</f>
        <v/>
      </c>
      <c r="C16" s="109" t="n"/>
      <c r="D16" s="81">
        <f>IF(A16="","",NETWORKDAYS(DATE(YEAR(A16),MONTH(A16),1),EOMONTH(A16,0)))</f>
        <v/>
      </c>
      <c r="E16" s="97" t="n"/>
      <c r="F16" s="97" t="n"/>
      <c r="G16" s="97" t="n"/>
      <c r="H16" s="97" t="n"/>
    </row>
    <row r="17">
      <c r="A17" s="108" t="n">
        <v>44287</v>
      </c>
      <c r="B17" s="81">
        <f>IF(A17="","",IF(C17&lt;&gt;"",C17,D17))</f>
        <v/>
      </c>
      <c r="C17" s="109" t="n"/>
      <c r="D17" s="81">
        <f>IF(A17="","",NETWORKDAYS(DATE(YEAR(A17),MONTH(A17),1),EOMONTH(A17,0)))</f>
        <v/>
      </c>
      <c r="E17" s="97" t="n"/>
      <c r="F17" s="97" t="n"/>
      <c r="G17" s="97" t="n"/>
      <c r="H17" s="97" t="n"/>
    </row>
    <row r="18">
      <c r="A18" s="108" t="n">
        <v>44317</v>
      </c>
      <c r="B18" s="81">
        <f>IF(A18="","",IF(C18&lt;&gt;"",C18,D18))</f>
        <v/>
      </c>
      <c r="C18" s="109" t="n"/>
      <c r="D18" s="81">
        <f>IF(A18="","",NETWORKDAYS(DATE(YEAR(A18),MONTH(A18),1),EOMONTH(A18,0)))</f>
        <v/>
      </c>
      <c r="E18" s="97" t="n"/>
      <c r="F18" s="97" t="n"/>
      <c r="G18" s="97" t="n"/>
      <c r="H18" s="97" t="n"/>
    </row>
    <row r="19">
      <c r="A19" s="108" t="n">
        <v>44348</v>
      </c>
      <c r="B19" s="81">
        <f>IF(A19="","",IF(C19&lt;&gt;"",C19,D19))</f>
        <v/>
      </c>
      <c r="C19" s="109" t="n"/>
      <c r="D19" s="81">
        <f>IF(A19="","",NETWORKDAYS(DATE(YEAR(A19),MONTH(A19),1),EOMONTH(A19,0)))</f>
        <v/>
      </c>
      <c r="E19" s="97" t="n"/>
      <c r="F19" s="97" t="n"/>
      <c r="G19" s="97" t="n"/>
      <c r="H19" s="97" t="n"/>
    </row>
    <row r="20">
      <c r="A20" s="108" t="n">
        <v>44378</v>
      </c>
      <c r="B20" s="81">
        <f>IF(A20="","",IF(C20&lt;&gt;"",C20,D20))</f>
        <v/>
      </c>
      <c r="C20" s="109" t="n"/>
      <c r="D20" s="81">
        <f>IF(A20="","",NETWORKDAYS(DATE(YEAR(A20),MONTH(A20),1),EOMONTH(A20,0)))</f>
        <v/>
      </c>
      <c r="E20" s="97" t="n"/>
      <c r="F20" s="97" t="n"/>
      <c r="G20" s="97" t="n"/>
      <c r="H20" s="97" t="n"/>
    </row>
    <row r="21">
      <c r="A21" s="108" t="n">
        <v>44409</v>
      </c>
      <c r="B21" s="81">
        <f>IF(A21="","",IF(C21&lt;&gt;"",C21,D21))</f>
        <v/>
      </c>
      <c r="C21" s="109" t="n"/>
      <c r="D21" s="81">
        <f>IF(A21="","",NETWORKDAYS(DATE(YEAR(A21),MONTH(A21),1),EOMONTH(A21,0)))</f>
        <v/>
      </c>
      <c r="E21" s="97" t="n"/>
      <c r="F21" s="97" t="n"/>
      <c r="G21" s="97" t="n"/>
      <c r="H21" s="97" t="n"/>
    </row>
    <row r="22">
      <c r="A22" s="108" t="n">
        <v>44440</v>
      </c>
      <c r="B22" s="81">
        <f>IF(A22="","",IF(C22&lt;&gt;"",C22,D22))</f>
        <v/>
      </c>
      <c r="C22" s="109" t="n"/>
      <c r="D22" s="81">
        <f>IF(A22="","",NETWORKDAYS(DATE(YEAR(A22),MONTH(A22),1),EOMONTH(A22,0)))</f>
        <v/>
      </c>
      <c r="E22" s="97" t="n"/>
      <c r="F22" s="97" t="n"/>
      <c r="G22" s="97" t="n"/>
      <c r="H22" s="97" t="n"/>
    </row>
    <row r="23">
      <c r="A23" s="108" t="n">
        <v>44470</v>
      </c>
      <c r="B23" s="81">
        <f>IF(A23="","",IF(C23&lt;&gt;"",C23,D23))</f>
        <v/>
      </c>
      <c r="C23" s="109" t="n"/>
      <c r="D23" s="81">
        <f>IF(A23="","",NETWORKDAYS(DATE(YEAR(A23),MONTH(A23),1),EOMONTH(A23,0)))</f>
        <v/>
      </c>
      <c r="E23" s="97" t="n"/>
      <c r="F23" s="97" t="n"/>
      <c r="G23" s="97" t="n"/>
      <c r="H23" s="97" t="n"/>
    </row>
    <row r="24">
      <c r="A24" s="108" t="n">
        <v>44501</v>
      </c>
      <c r="B24" s="81">
        <f>IF(A24="","",IF(C24&lt;&gt;"",C24,D24))</f>
        <v/>
      </c>
      <c r="C24" s="109" t="n"/>
      <c r="D24" s="81">
        <f>IF(A24="","",NETWORKDAYS(DATE(YEAR(A24),MONTH(A24),1),EOMONTH(A24,0)))</f>
        <v/>
      </c>
      <c r="E24" s="97" t="n"/>
      <c r="F24" s="97" t="n"/>
      <c r="G24" s="97" t="n"/>
      <c r="H24" s="97" t="n"/>
    </row>
    <row r="25">
      <c r="A25" s="108" t="n">
        <v>44531</v>
      </c>
      <c r="B25" s="81">
        <f>IF(A25="","",IF(C25&lt;&gt;"",C25,D25))</f>
        <v/>
      </c>
      <c r="C25" s="109" t="n">
        <v>22</v>
      </c>
      <c r="D25" s="81">
        <f>IF(A25="","",NETWORKDAYS(DATE(YEAR(A25),MONTH(A25),1),EOMONTH(A25,0)))</f>
        <v/>
      </c>
      <c r="E25" s="97" t="n"/>
      <c r="F25" s="97" t="n"/>
      <c r="G25" s="97" t="n"/>
      <c r="H25" s="97" t="n"/>
    </row>
    <row r="26">
      <c r="A26" s="108" t="n">
        <v>44562</v>
      </c>
      <c r="B26" s="81">
        <f>IF(A26="","",IF(C26&lt;&gt;"",C26,D26))</f>
        <v/>
      </c>
      <c r="C26" s="109" t="n"/>
      <c r="D26" s="81">
        <f>IF(A26="","",NETWORKDAYS(DATE(YEAR(A26),MONTH(A26),1),EOMONTH(A26,0)))</f>
        <v/>
      </c>
      <c r="E26" s="97" t="n"/>
      <c r="F26" s="97" t="n"/>
      <c r="G26" s="97" t="n"/>
      <c r="H26" s="97" t="n"/>
    </row>
    <row r="27">
      <c r="A27" s="108" t="n">
        <v>44593</v>
      </c>
      <c r="B27" s="81">
        <f>IF(A27="","",IF(C27&lt;&gt;"",C27,D27))</f>
        <v/>
      </c>
      <c r="C27" s="109" t="n"/>
      <c r="D27" s="81">
        <f>IF(A27="","",NETWORKDAYS(DATE(YEAR(A27),MONTH(A27),1),EOMONTH(A27,0)))</f>
        <v/>
      </c>
      <c r="E27" s="97" t="n"/>
      <c r="F27" s="97" t="n"/>
      <c r="G27" s="97" t="n"/>
      <c r="H27" s="97" t="n"/>
    </row>
    <row r="28">
      <c r="A28" s="108" t="n">
        <v>44621</v>
      </c>
      <c r="B28" s="81">
        <f>IF(A28="","",IF(C28&lt;&gt;"",C28,D28))</f>
        <v/>
      </c>
      <c r="C28" s="109" t="n"/>
      <c r="D28" s="81">
        <f>IF(A28="","",NETWORKDAYS(DATE(YEAR(A28),MONTH(A28),1),EOMONTH(A28,0)))</f>
        <v/>
      </c>
      <c r="E28" s="97" t="n"/>
      <c r="F28" s="97" t="n"/>
      <c r="G28" s="97" t="n"/>
      <c r="H28" s="97" t="n"/>
    </row>
    <row r="29">
      <c r="A29" s="108" t="n">
        <v>44652</v>
      </c>
      <c r="B29" s="81">
        <f>IF(A29="","",IF(C29&lt;&gt;"",C29,D29))</f>
        <v/>
      </c>
      <c r="C29" s="109" t="n"/>
      <c r="D29" s="81">
        <f>IF(A29="","",NETWORKDAYS(DATE(YEAR(A29),MONTH(A29),1),EOMONTH(A29,0)))</f>
        <v/>
      </c>
      <c r="E29" s="97" t="n"/>
      <c r="F29" s="97" t="n"/>
      <c r="G29" s="97" t="n"/>
      <c r="H29" s="97" t="n"/>
    </row>
    <row r="30">
      <c r="A30" s="108" t="n">
        <v>44682</v>
      </c>
      <c r="B30" s="81">
        <f>IF(A30="","",IF(C30&lt;&gt;"",C30,D30))</f>
        <v/>
      </c>
      <c r="C30" s="109" t="n"/>
      <c r="D30" s="81">
        <f>IF(A30="","",NETWORKDAYS(DATE(YEAR(A30),MONTH(A30),1),EOMONTH(A30,0)))</f>
        <v/>
      </c>
      <c r="E30" s="97" t="n"/>
      <c r="F30" s="97" t="n"/>
      <c r="G30" s="97" t="n"/>
      <c r="H30" s="97" t="n"/>
    </row>
    <row r="31">
      <c r="A31" s="108" t="n">
        <v>44713</v>
      </c>
      <c r="B31" s="81">
        <f>IF(A31="","",IF(C31&lt;&gt;"",C31,D31))</f>
        <v/>
      </c>
      <c r="C31" s="109" t="n"/>
      <c r="D31" s="81">
        <f>IF(A31="","",NETWORKDAYS(DATE(YEAR(A31),MONTH(A31),1),EOMONTH(A31,0)))</f>
        <v/>
      </c>
      <c r="E31" s="97" t="n"/>
      <c r="F31" s="97" t="n"/>
      <c r="G31" s="97" t="n"/>
      <c r="H31" s="97" t="n"/>
    </row>
    <row r="32">
      <c r="A32" s="108" t="n">
        <v>44743</v>
      </c>
      <c r="B32" s="81">
        <f>IF(A32="","",IF(C32&lt;&gt;"",C32,D32))</f>
        <v/>
      </c>
      <c r="C32" s="109" t="n"/>
      <c r="D32" s="81">
        <f>IF(A32="","",NETWORKDAYS(DATE(YEAR(A32),MONTH(A32),1),EOMONTH(A32,0)))</f>
        <v/>
      </c>
      <c r="E32" s="97" t="n"/>
      <c r="F32" s="97" t="n"/>
      <c r="G32" s="97" t="n"/>
      <c r="H32" s="97" t="n"/>
    </row>
    <row r="33">
      <c r="A33" s="108" t="n">
        <v>44774</v>
      </c>
      <c r="B33" s="81">
        <f>IF(A33="","",IF(C33&lt;&gt;"",C33,D33))</f>
        <v/>
      </c>
      <c r="C33" s="109" t="n"/>
      <c r="D33" s="81">
        <f>IF(A33="","",NETWORKDAYS(DATE(YEAR(A33),MONTH(A33),1),EOMONTH(A33,0)))</f>
        <v/>
      </c>
      <c r="E33" s="97" t="n"/>
      <c r="F33" s="97" t="n"/>
      <c r="G33" s="97" t="n"/>
      <c r="H33" s="97" t="n"/>
    </row>
    <row r="34">
      <c r="A34" s="108" t="n">
        <v>44805</v>
      </c>
      <c r="B34" s="81">
        <f>IF(A34="","",IF(C34&lt;&gt;"",C34,D34))</f>
        <v/>
      </c>
      <c r="C34" s="109" t="n"/>
      <c r="D34" s="81">
        <f>IF(A34="","",NETWORKDAYS(DATE(YEAR(A34),MONTH(A34),1),EOMONTH(A34,0)))</f>
        <v/>
      </c>
      <c r="E34" s="97" t="n"/>
      <c r="F34" s="97" t="n"/>
      <c r="G34" s="97" t="n"/>
      <c r="H34" s="97" t="n"/>
    </row>
    <row r="35">
      <c r="A35" s="108" t="n">
        <v>44835</v>
      </c>
      <c r="B35" s="81">
        <f>IF(A35="","",IF(C35&lt;&gt;"",C35,D35))</f>
        <v/>
      </c>
      <c r="C35" s="109" t="n"/>
      <c r="D35" s="81">
        <f>IF(A35="","",NETWORKDAYS(DATE(YEAR(A35),MONTH(A35),1),EOMONTH(A35,0)))</f>
        <v/>
      </c>
      <c r="E35" s="97" t="n"/>
      <c r="F35" s="97" t="n"/>
      <c r="G35" s="97" t="n"/>
      <c r="H35" s="97" t="n"/>
    </row>
    <row r="36">
      <c r="A36" s="108" t="n">
        <v>44866</v>
      </c>
      <c r="B36" s="81">
        <f>IF(A36="","",IF(C36&lt;&gt;"",C36,D36))</f>
        <v/>
      </c>
      <c r="C36" s="109" t="n"/>
      <c r="D36" s="81">
        <f>IF(A36="","",NETWORKDAYS(DATE(YEAR(A36),MONTH(A36),1),EOMONTH(A36,0)))</f>
        <v/>
      </c>
      <c r="E36" s="97" t="n"/>
      <c r="F36" s="97" t="n"/>
      <c r="G36" s="97" t="n"/>
      <c r="H36" s="97" t="n"/>
    </row>
    <row r="37">
      <c r="A37" s="108" t="n">
        <v>44896</v>
      </c>
      <c r="B37" s="81">
        <f>IF(A37="","",IF(C37&lt;&gt;"",C37,D37))</f>
        <v/>
      </c>
      <c r="C37" s="109" t="n"/>
      <c r="D37" s="81">
        <f>IF(A37="","",NETWORKDAYS(DATE(YEAR(A37),MONTH(A37),1),EOMONTH(A37,0)))</f>
        <v/>
      </c>
      <c r="E37" s="97" t="n"/>
      <c r="F37" s="97" t="n"/>
      <c r="G37" s="97" t="n"/>
      <c r="H37" s="97" t="n"/>
    </row>
    <row r="38">
      <c r="A38" s="108" t="n">
        <v>44927</v>
      </c>
      <c r="B38" s="81">
        <f>IF(A38="","",IF(C38&lt;&gt;"",C38,D38))</f>
        <v/>
      </c>
      <c r="C38" s="109" t="n"/>
      <c r="D38" s="81">
        <f>IF(A38="","",NETWORKDAYS(DATE(YEAR(A38),MONTH(A38),1),EOMONTH(A38,0)))</f>
        <v/>
      </c>
      <c r="E38" s="97" t="n"/>
      <c r="F38" s="97" t="n"/>
      <c r="G38" s="97" t="n"/>
      <c r="H38" s="97" t="n"/>
    </row>
    <row r="39">
      <c r="A39" s="108" t="n">
        <v>44958</v>
      </c>
      <c r="B39" s="81">
        <f>IF(A39="","",IF(C39&lt;&gt;"",C39,D39))</f>
        <v/>
      </c>
      <c r="C39" s="109" t="n"/>
      <c r="D39" s="81">
        <f>IF(A39="","",NETWORKDAYS(DATE(YEAR(A39),MONTH(A39),1),EOMONTH(A39,0)))</f>
        <v/>
      </c>
      <c r="E39" s="97" t="n"/>
      <c r="F39" s="97" t="n"/>
      <c r="G39" s="97" t="n"/>
      <c r="H39" s="97" t="n"/>
    </row>
    <row r="40">
      <c r="A40" s="108" t="n">
        <v>44986</v>
      </c>
      <c r="B40" s="81">
        <f>IF(A40="","",IF(C40&lt;&gt;"",C40,D40))</f>
        <v/>
      </c>
      <c r="C40" s="109" t="n"/>
      <c r="D40" s="81">
        <f>IF(A40="","",NETWORKDAYS(DATE(YEAR(A40),MONTH(A40),1),EOMONTH(A40,0)))</f>
        <v/>
      </c>
      <c r="E40" s="97" t="n"/>
      <c r="F40" s="97" t="n"/>
      <c r="G40" s="97" t="n"/>
      <c r="H40" s="97" t="n"/>
    </row>
    <row r="41">
      <c r="A41" s="108" t="n">
        <v>45017</v>
      </c>
      <c r="B41" s="81">
        <f>IF(A41="","",IF(C41&lt;&gt;"",C41,D41))</f>
        <v/>
      </c>
      <c r="C41" s="109" t="n"/>
      <c r="D41" s="81">
        <f>IF(A41="","",NETWORKDAYS(DATE(YEAR(A41),MONTH(A41),1),EOMONTH(A41,0)))</f>
        <v/>
      </c>
      <c r="E41" s="97" t="n"/>
      <c r="F41" s="97" t="n"/>
      <c r="G41" s="97" t="n"/>
      <c r="H41" s="97" t="n"/>
    </row>
    <row r="42">
      <c r="A42" s="108" t="n">
        <v>45047</v>
      </c>
      <c r="B42" s="81">
        <f>IF(A42="","",IF(C42&lt;&gt;"",C42,D42))</f>
        <v/>
      </c>
      <c r="C42" s="109" t="n"/>
      <c r="D42" s="81">
        <f>IF(A42="","",NETWORKDAYS(DATE(YEAR(A42),MONTH(A42),1),EOMONTH(A42,0)))</f>
        <v/>
      </c>
      <c r="E42" s="97" t="n"/>
      <c r="F42" s="97" t="n"/>
      <c r="G42" s="97" t="n"/>
      <c r="H42" s="97" t="n"/>
    </row>
    <row r="43">
      <c r="A43" s="108" t="n">
        <v>45078</v>
      </c>
      <c r="B43" s="81">
        <f>IF(A43="","",IF(C43&lt;&gt;"",C43,D43))</f>
        <v/>
      </c>
      <c r="C43" s="109" t="n"/>
      <c r="D43" s="81">
        <f>IF(A43="","",NETWORKDAYS(DATE(YEAR(A43),MONTH(A43),1),EOMONTH(A43,0)))</f>
        <v/>
      </c>
      <c r="E43" s="97" t="n"/>
      <c r="F43" s="97" t="n"/>
      <c r="G43" s="97" t="n"/>
      <c r="H43" s="97" t="n"/>
    </row>
    <row r="44">
      <c r="A44" s="108" t="n">
        <v>45108</v>
      </c>
      <c r="B44" s="81">
        <f>IF(A44="","",IF(C44&lt;&gt;"",C44,D44))</f>
        <v/>
      </c>
      <c r="C44" s="109" t="n"/>
      <c r="D44" s="81">
        <f>IF(A44="","",NETWORKDAYS(DATE(YEAR(A44),MONTH(A44),1),EOMONTH(A44,0)))</f>
        <v/>
      </c>
      <c r="E44" s="97" t="n"/>
      <c r="F44" s="97" t="n"/>
      <c r="G44" s="97" t="n"/>
      <c r="H44" s="97" t="n"/>
    </row>
    <row r="45">
      <c r="A45" s="108" t="n">
        <v>45139</v>
      </c>
      <c r="B45" s="81">
        <f>IF(A45="","",IF(C45&lt;&gt;"",C45,D45))</f>
        <v/>
      </c>
      <c r="C45" s="109" t="n"/>
      <c r="D45" s="81">
        <f>IF(A45="","",NETWORKDAYS(DATE(YEAR(A45),MONTH(A45),1),EOMONTH(A45,0)))</f>
        <v/>
      </c>
      <c r="E45" s="97" t="n"/>
      <c r="F45" s="97" t="n"/>
      <c r="G45" s="97" t="n"/>
      <c r="H45" s="97" t="n"/>
    </row>
    <row r="46">
      <c r="A46" s="108" t="n">
        <v>45170</v>
      </c>
      <c r="B46" s="81">
        <f>IF(A46="","",IF(C46&lt;&gt;"",C46,D46))</f>
        <v/>
      </c>
      <c r="C46" s="109" t="n"/>
      <c r="D46" s="81">
        <f>IF(A46="","",NETWORKDAYS(DATE(YEAR(A46),MONTH(A46),1),EOMONTH(A46,0)))</f>
        <v/>
      </c>
      <c r="E46" s="97" t="n"/>
      <c r="F46" s="97" t="n"/>
      <c r="G46" s="97" t="n"/>
      <c r="H46" s="97" t="n"/>
    </row>
    <row r="47">
      <c r="A47" s="108" t="n">
        <v>45200</v>
      </c>
      <c r="B47" s="81">
        <f>IF(A47="","",IF(C47&lt;&gt;"",C47,D47))</f>
        <v/>
      </c>
      <c r="C47" s="109" t="n"/>
      <c r="D47" s="81">
        <f>IF(A47="","",NETWORKDAYS(DATE(YEAR(A47),MONTH(A47),1),EOMONTH(A47,0)))</f>
        <v/>
      </c>
      <c r="E47" s="97" t="n"/>
      <c r="F47" s="97" t="n"/>
      <c r="G47" s="97" t="n"/>
      <c r="H47" s="97" t="n"/>
    </row>
    <row r="48">
      <c r="A48" s="108" t="n">
        <v>45231</v>
      </c>
      <c r="B48" s="81">
        <f>IF(A48="","",IF(C48&lt;&gt;"",C48,D48))</f>
        <v/>
      </c>
      <c r="C48" s="109" t="n"/>
      <c r="D48" s="81">
        <f>IF(A48="","",NETWORKDAYS(DATE(YEAR(A48),MONTH(A48),1),EOMONTH(A48,0)))</f>
        <v/>
      </c>
      <c r="E48" s="97" t="n"/>
      <c r="F48" s="97" t="n"/>
      <c r="G48" s="97" t="n"/>
      <c r="H48" s="97" t="n"/>
    </row>
    <row r="49">
      <c r="A49" s="108" t="n">
        <v>45261</v>
      </c>
      <c r="B49" s="81">
        <f>IF(A49="","",IF(C49&lt;&gt;"",C49,D49))</f>
        <v/>
      </c>
      <c r="C49" s="109" t="n"/>
      <c r="D49" s="81">
        <f>IF(A49="","",NETWORKDAYS(DATE(YEAR(A49),MONTH(A49),1),EOMONTH(A49,0)))</f>
        <v/>
      </c>
      <c r="E49" s="97" t="n"/>
      <c r="F49" s="97" t="n"/>
      <c r="G49" s="97" t="n"/>
      <c r="H49" s="97" t="n"/>
    </row>
    <row r="50">
      <c r="A50" s="108" t="n">
        <v>45292</v>
      </c>
      <c r="B50" s="81">
        <f>IF(A50="","",IF(C50&lt;&gt;"",C50,D50))</f>
        <v/>
      </c>
      <c r="C50" s="109" t="n"/>
      <c r="D50" s="81">
        <f>IF(A50="","",NETWORKDAYS(DATE(YEAR(A50),MONTH(A50),1),EOMONTH(A50,0)))</f>
        <v/>
      </c>
      <c r="E50" s="97" t="n"/>
      <c r="F50" s="97" t="n"/>
      <c r="G50" s="97" t="n"/>
      <c r="H50" s="97" t="n"/>
    </row>
    <row r="51">
      <c r="A51" s="108" t="n">
        <v>45323</v>
      </c>
      <c r="B51" s="81">
        <f>IF(A51="","",IF(C51&lt;&gt;"",C51,D51))</f>
        <v/>
      </c>
      <c r="C51" s="109" t="n"/>
      <c r="D51" s="81">
        <f>IF(A51="","",NETWORKDAYS(DATE(YEAR(A51),MONTH(A51),1),EOMONTH(A51,0)))</f>
        <v/>
      </c>
      <c r="E51" s="97" t="n"/>
      <c r="F51" s="97" t="n"/>
      <c r="G51" s="97" t="n"/>
      <c r="H51" s="97" t="n"/>
    </row>
    <row r="52">
      <c r="A52" s="108" t="n">
        <v>45352</v>
      </c>
      <c r="B52" s="81">
        <f>IF(A52="","",IF(C52&lt;&gt;"",C52,D52))</f>
        <v/>
      </c>
      <c r="C52" s="109" t="n"/>
      <c r="D52" s="81">
        <f>IF(A52="","",NETWORKDAYS(DATE(YEAR(A52),MONTH(A52),1),EOMONTH(A52,0)))</f>
        <v/>
      </c>
      <c r="E52" s="97" t="n"/>
      <c r="F52" s="97" t="n"/>
      <c r="G52" s="97" t="n"/>
      <c r="H52" s="97" t="n"/>
    </row>
    <row r="53">
      <c r="A53" s="108" t="n">
        <v>45383</v>
      </c>
      <c r="B53" s="81">
        <f>IF(A53="","",IF(C53&lt;&gt;"",C53,D53))</f>
        <v/>
      </c>
      <c r="C53" s="109" t="n"/>
      <c r="D53" s="81">
        <f>IF(A53="","",NETWORKDAYS(DATE(YEAR(A53),MONTH(A53),1),EOMONTH(A53,0)))</f>
        <v/>
      </c>
      <c r="E53" s="97" t="n"/>
      <c r="F53" s="97" t="n"/>
      <c r="G53" s="97" t="n"/>
      <c r="H53" s="97" t="n"/>
    </row>
    <row r="54">
      <c r="A54" s="108" t="n">
        <v>45413</v>
      </c>
      <c r="B54" s="81">
        <f>IF(A54="","",IF(C54&lt;&gt;"",C54,D54))</f>
        <v/>
      </c>
      <c r="C54" s="109" t="n"/>
      <c r="D54" s="81">
        <f>IF(A54="","",NETWORKDAYS(DATE(YEAR(A54),MONTH(A54),1),EOMONTH(A54,0)))</f>
        <v/>
      </c>
      <c r="E54" s="97" t="n"/>
      <c r="F54" s="97" t="n"/>
      <c r="G54" s="97" t="n"/>
      <c r="H54" s="97" t="n"/>
    </row>
    <row r="55">
      <c r="A55" s="108" t="n">
        <v>45444</v>
      </c>
      <c r="B55" s="81">
        <f>IF(A55="","",IF(C55&lt;&gt;"",C55,D55))</f>
        <v/>
      </c>
      <c r="C55" s="109" t="n"/>
      <c r="D55" s="81">
        <f>IF(A55="","",NETWORKDAYS(DATE(YEAR(A55),MONTH(A55),1),EOMONTH(A55,0)))</f>
        <v/>
      </c>
      <c r="E55" s="97" t="n"/>
      <c r="F55" s="97" t="n"/>
      <c r="G55" s="97" t="n"/>
      <c r="H55" s="97" t="n"/>
    </row>
    <row r="56">
      <c r="A56" s="108" t="n">
        <v>45474</v>
      </c>
      <c r="B56" s="81">
        <f>IF(A56="","",IF(C56&lt;&gt;"",C56,D56))</f>
        <v/>
      </c>
      <c r="C56" s="109" t="n"/>
      <c r="D56" s="81">
        <f>IF(A56="","",NETWORKDAYS(DATE(YEAR(A56),MONTH(A56),1),EOMONTH(A56,0)))</f>
        <v/>
      </c>
      <c r="E56" s="97" t="n"/>
      <c r="F56" s="97" t="n"/>
      <c r="G56" s="97" t="n"/>
      <c r="H56" s="97" t="n"/>
    </row>
    <row r="57">
      <c r="A57" s="108" t="n">
        <v>45505</v>
      </c>
      <c r="B57" s="81">
        <f>IF(A57="","",IF(C57&lt;&gt;"",C57,D57))</f>
        <v/>
      </c>
      <c r="C57" s="109" t="n"/>
      <c r="D57" s="81">
        <f>IF(A57="","",NETWORKDAYS(DATE(YEAR(A57),MONTH(A57),1),EOMONTH(A57,0)))</f>
        <v/>
      </c>
      <c r="E57" s="97" t="n"/>
      <c r="F57" s="97" t="n"/>
      <c r="G57" s="97" t="n"/>
      <c r="H57" s="97" t="n"/>
    </row>
    <row r="58">
      <c r="A58" s="108" t="n">
        <v>45536</v>
      </c>
      <c r="B58" s="81">
        <f>IF(A58="","",IF(C58&lt;&gt;"",C58,D58))</f>
        <v/>
      </c>
      <c r="C58" s="109" t="n"/>
      <c r="D58" s="81">
        <f>IF(A58="","",NETWORKDAYS(DATE(YEAR(A58),MONTH(A58),1),EOMONTH(A58,0)))</f>
        <v/>
      </c>
      <c r="E58" s="97" t="n"/>
      <c r="F58" s="97" t="n"/>
      <c r="G58" s="97" t="n"/>
      <c r="H58" s="97" t="n"/>
    </row>
    <row r="59">
      <c r="A59" s="108" t="n">
        <v>45566</v>
      </c>
      <c r="B59" s="81">
        <f>IF(A59="","",IF(C59&lt;&gt;"",C59,D59))</f>
        <v/>
      </c>
      <c r="C59" s="109" t="n"/>
      <c r="D59" s="81">
        <f>IF(A59="","",NETWORKDAYS(DATE(YEAR(A59),MONTH(A59),1),EOMONTH(A59,0)))</f>
        <v/>
      </c>
      <c r="E59" s="97" t="n"/>
      <c r="F59" s="97" t="n"/>
      <c r="G59" s="97" t="n"/>
      <c r="H59" s="97" t="n"/>
    </row>
    <row r="60">
      <c r="A60" s="108" t="n">
        <v>45597</v>
      </c>
      <c r="B60" s="81">
        <f>IF(A60="","",IF(C60&lt;&gt;"",C60,D60))</f>
        <v/>
      </c>
      <c r="C60" s="109" t="n"/>
      <c r="D60" s="81">
        <f>IF(A60="","",NETWORKDAYS(DATE(YEAR(A60),MONTH(A60),1),EOMONTH(A60,0)))</f>
        <v/>
      </c>
      <c r="E60" s="97" t="n"/>
      <c r="F60" s="97" t="n"/>
      <c r="G60" s="97" t="n"/>
      <c r="H60" s="97" t="n"/>
    </row>
    <row r="61">
      <c r="A61" s="108" t="n">
        <v>45627</v>
      </c>
      <c r="B61" s="81">
        <f>IF(A61="","",IF(C61&lt;&gt;"",C61,D61))</f>
        <v/>
      </c>
      <c r="C61" s="109" t="n"/>
      <c r="D61" s="81">
        <f>IF(A61="","",NETWORKDAYS(DATE(YEAR(A61),MONTH(A61),1),EOMONTH(A61,0)))</f>
        <v/>
      </c>
      <c r="E61" s="97" t="n"/>
      <c r="F61" s="97" t="n"/>
      <c r="G61" s="97" t="n"/>
      <c r="H61" s="97" t="n"/>
    </row>
    <row r="62">
      <c r="A62" s="108" t="n">
        <v>45658</v>
      </c>
      <c r="B62" s="81">
        <f>IF(A62="","",IF(C62&lt;&gt;"",C62,D62))</f>
        <v/>
      </c>
      <c r="C62" s="109" t="n"/>
      <c r="D62" s="81">
        <f>IF(A62="","",NETWORKDAYS(DATE(YEAR(A62),MONTH(A62),1),EOMONTH(A62,0)))</f>
        <v/>
      </c>
      <c r="E62" s="97" t="n"/>
      <c r="F62" s="97" t="n"/>
      <c r="G62" s="97" t="n"/>
      <c r="H62" s="97" t="n"/>
    </row>
    <row r="63">
      <c r="A63" s="108" t="n">
        <v>45689</v>
      </c>
      <c r="B63" s="81">
        <f>IF(A63="","",IF(C63&lt;&gt;"",C63,D63))</f>
        <v/>
      </c>
      <c r="C63" s="109" t="n"/>
      <c r="D63" s="81">
        <f>IF(A63="","",NETWORKDAYS(DATE(YEAR(A63),MONTH(A63),1),EOMONTH(A63,0)))</f>
        <v/>
      </c>
      <c r="E63" s="97" t="n"/>
      <c r="F63" s="97" t="n"/>
      <c r="G63" s="97" t="n"/>
      <c r="H63" s="97" t="n"/>
    </row>
    <row r="64">
      <c r="A64" s="108" t="n">
        <v>45717</v>
      </c>
      <c r="B64" s="81">
        <f>IF(A64="","",IF(C64&lt;&gt;"",C64,D64))</f>
        <v/>
      </c>
      <c r="C64" s="109" t="n"/>
      <c r="D64" s="81">
        <f>IF(A64="","",NETWORKDAYS(DATE(YEAR(A64),MONTH(A64),1),EOMONTH(A64,0)))</f>
        <v/>
      </c>
      <c r="E64" s="97" t="n"/>
      <c r="F64" s="97" t="n"/>
      <c r="G64" s="97" t="n"/>
      <c r="H64" s="97" t="n"/>
    </row>
    <row r="65">
      <c r="A65" s="108" t="n">
        <v>45748</v>
      </c>
      <c r="B65" s="81">
        <f>IF(A65="","",IF(C65&lt;&gt;"",C65,D65))</f>
        <v/>
      </c>
      <c r="C65" s="109" t="n"/>
      <c r="D65" s="81">
        <f>IF(A65="","",NETWORKDAYS(DATE(YEAR(A65),MONTH(A65),1),EOMONTH(A65,0)))</f>
        <v/>
      </c>
      <c r="E65" s="97" t="n"/>
      <c r="F65" s="97" t="n"/>
      <c r="G65" s="97" t="n"/>
      <c r="H65" s="97" t="n"/>
    </row>
    <row r="66">
      <c r="A66" s="108" t="n">
        <v>45778</v>
      </c>
      <c r="B66" s="81">
        <f>IF(A66="","",IF(C66&lt;&gt;"",C66,D66))</f>
        <v/>
      </c>
      <c r="C66" s="109" t="n"/>
      <c r="D66" s="81">
        <f>IF(A66="","",NETWORKDAYS(DATE(YEAR(A66),MONTH(A66),1),EOMONTH(A66,0)))</f>
        <v/>
      </c>
      <c r="E66" s="97" t="n"/>
      <c r="F66" s="97" t="n"/>
      <c r="G66" s="97" t="n"/>
      <c r="H66" s="97" t="n"/>
    </row>
    <row r="67">
      <c r="A67" s="108" t="n">
        <v>45809</v>
      </c>
      <c r="B67" s="81">
        <f>IF(A67="","",IF(C67&lt;&gt;"",C67,D67))</f>
        <v/>
      </c>
      <c r="C67" s="109" t="n"/>
      <c r="D67" s="81">
        <f>IF(A67="","",NETWORKDAYS(DATE(YEAR(A67),MONTH(A67),1),EOMONTH(A67,0)))</f>
        <v/>
      </c>
      <c r="E67" s="97" t="n"/>
      <c r="F67" s="97" t="n"/>
      <c r="G67" s="97" t="n"/>
      <c r="H67" s="97" t="n"/>
    </row>
    <row r="68">
      <c r="A68" s="108" t="n">
        <v>45839</v>
      </c>
      <c r="B68" s="81">
        <f>IF(A68="","",IF(C68&lt;&gt;"",C68,D68))</f>
        <v/>
      </c>
      <c r="C68" s="109" t="n"/>
      <c r="D68" s="81">
        <f>IF(A68="","",NETWORKDAYS(DATE(YEAR(A68),MONTH(A68),1),EOMONTH(A68,0)))</f>
        <v/>
      </c>
      <c r="E68" s="97" t="n"/>
      <c r="F68" s="97" t="n"/>
      <c r="G68" s="97" t="n"/>
      <c r="H68" s="97" t="n"/>
    </row>
    <row r="69">
      <c r="A69" s="108" t="n">
        <v>45870</v>
      </c>
      <c r="B69" s="81">
        <f>IF(A69="","",IF(C69&lt;&gt;"",C69,D69))</f>
        <v/>
      </c>
      <c r="C69" s="109" t="n"/>
      <c r="D69" s="81">
        <f>IF(A69="","",NETWORKDAYS(DATE(YEAR(A69),MONTH(A69),1),EOMONTH(A69,0)))</f>
        <v/>
      </c>
      <c r="E69" s="97" t="n"/>
      <c r="F69" s="97" t="n"/>
      <c r="G69" s="97" t="n"/>
      <c r="H69" s="97" t="n"/>
    </row>
    <row r="70">
      <c r="A70" s="108" t="n">
        <v>45901</v>
      </c>
      <c r="B70" s="81">
        <f>IF(A70="","",IF(C70&lt;&gt;"",C70,D70))</f>
        <v/>
      </c>
      <c r="C70" s="109" t="n"/>
      <c r="D70" s="81">
        <f>IF(A70="","",NETWORKDAYS(DATE(YEAR(A70),MONTH(A70),1),EOMONTH(A70,0)))</f>
        <v/>
      </c>
      <c r="E70" s="97" t="n"/>
      <c r="F70" s="97" t="n"/>
      <c r="G70" s="97" t="n"/>
      <c r="H70" s="97" t="n"/>
    </row>
    <row r="71">
      <c r="A71" s="108" t="n">
        <v>45931</v>
      </c>
      <c r="B71" s="81">
        <f>IF(A71="","",IF(C71&lt;&gt;"",C71,D71))</f>
        <v/>
      </c>
      <c r="C71" s="109" t="n"/>
      <c r="D71" s="81">
        <f>IF(A71="","",NETWORKDAYS(DATE(YEAR(A71),MONTH(A71),1),EOMONTH(A71,0)))</f>
        <v/>
      </c>
      <c r="E71" s="97" t="n"/>
      <c r="F71" s="97" t="n"/>
      <c r="G71" s="97" t="n"/>
      <c r="H71" s="97" t="n"/>
    </row>
    <row r="72">
      <c r="A72" s="108" t="n">
        <v>45962</v>
      </c>
      <c r="B72" s="81">
        <f>IF(A72="","",IF(C72&lt;&gt;"",C72,D72))</f>
        <v/>
      </c>
      <c r="C72" s="109" t="n"/>
      <c r="D72" s="81">
        <f>IF(A72="","",NETWORKDAYS(DATE(YEAR(A72),MONTH(A72),1),EOMONTH(A72,0)))</f>
        <v/>
      </c>
      <c r="E72" s="97" t="n"/>
      <c r="F72" s="97" t="n"/>
      <c r="G72" s="97" t="n"/>
      <c r="H72" s="97" t="n"/>
    </row>
    <row r="73">
      <c r="A73" s="108" t="n">
        <v>45992</v>
      </c>
      <c r="B73" s="81">
        <f>IF(A73="","",IF(C73&lt;&gt;"",C73,D73))</f>
        <v/>
      </c>
      <c r="C73" s="109" t="n"/>
      <c r="D73" s="81">
        <f>IF(A73="","",NETWORKDAYS(DATE(YEAR(A73),MONTH(A73),1),EOMONTH(A73,0)))</f>
        <v/>
      </c>
      <c r="E73" s="97" t="n"/>
      <c r="F73" s="97" t="n"/>
      <c r="G73" s="97" t="n"/>
      <c r="H73" s="97" t="n"/>
    </row>
    <row r="74">
      <c r="A74" s="108" t="n">
        <v>46023</v>
      </c>
      <c r="B74" s="81">
        <f>IF(A74="","",IF(C74&lt;&gt;"",C74,D74))</f>
        <v/>
      </c>
      <c r="C74" s="109" t="n"/>
      <c r="D74" s="81">
        <f>IF(A74="","",NETWORKDAYS(DATE(YEAR(A74),MONTH(A74),1),EOMONTH(A74,0)))</f>
        <v/>
      </c>
      <c r="E74" s="97" t="n"/>
      <c r="F74" s="97" t="n"/>
      <c r="G74" s="97" t="n"/>
      <c r="H74" s="97" t="n"/>
    </row>
    <row r="75">
      <c r="A75" s="108" t="n">
        <v>46054</v>
      </c>
      <c r="B75" s="81">
        <f>IF(A75="","",IF(C75&lt;&gt;"",C75,D75))</f>
        <v/>
      </c>
      <c r="C75" s="109" t="n"/>
      <c r="D75" s="81">
        <f>IF(A75="","",NETWORKDAYS(DATE(YEAR(A75),MONTH(A75),1),EOMONTH(A75,0)))</f>
        <v/>
      </c>
      <c r="E75" s="97" t="n"/>
      <c r="F75" s="97" t="n"/>
      <c r="G75" s="97" t="n"/>
      <c r="H75" s="97" t="n"/>
    </row>
    <row r="76">
      <c r="A76" s="108" t="n">
        <v>46082</v>
      </c>
      <c r="B76" s="81">
        <f>IF(A76="","",IF(C76&lt;&gt;"",C76,D76))</f>
        <v/>
      </c>
      <c r="C76" s="109" t="n"/>
      <c r="D76" s="81">
        <f>IF(A76="","",NETWORKDAYS(DATE(YEAR(A76),MONTH(A76),1),EOMONTH(A76,0)))</f>
        <v/>
      </c>
      <c r="E76" s="97" t="n"/>
      <c r="F76" s="97" t="n"/>
      <c r="G76" s="97" t="n"/>
      <c r="H76" s="97" t="n"/>
    </row>
    <row r="77">
      <c r="A77" s="108" t="n">
        <v>46113</v>
      </c>
      <c r="B77" s="81">
        <f>IF(A77="","",IF(C77&lt;&gt;"",C77,D77))</f>
        <v/>
      </c>
      <c r="C77" s="109" t="n"/>
      <c r="D77" s="81">
        <f>IF(A77="","",NETWORKDAYS(DATE(YEAR(A77),MONTH(A77),1),EOMONTH(A77,0)))</f>
        <v/>
      </c>
      <c r="E77" s="97" t="n"/>
      <c r="F77" s="97" t="n"/>
      <c r="G77" s="97" t="n"/>
      <c r="H77" s="97" t="n"/>
    </row>
    <row r="78">
      <c r="A78" s="108" t="n">
        <v>46143</v>
      </c>
      <c r="B78" s="81">
        <f>IF(A78="","",IF(C78&lt;&gt;"",C78,D78))</f>
        <v/>
      </c>
      <c r="C78" s="109" t="n"/>
      <c r="D78" s="81">
        <f>IF(A78="","",NETWORKDAYS(DATE(YEAR(A78),MONTH(A78),1),EOMONTH(A78,0)))</f>
        <v/>
      </c>
      <c r="E78" s="97" t="n"/>
      <c r="F78" s="97" t="n"/>
      <c r="G78" s="97" t="n"/>
      <c r="H78" s="97" t="n"/>
    </row>
    <row r="79">
      <c r="A79" s="108" t="n">
        <v>46174</v>
      </c>
      <c r="B79" s="81">
        <f>IF(A79="","",IF(C79&lt;&gt;"",C79,D79))</f>
        <v/>
      </c>
      <c r="C79" s="109" t="n"/>
      <c r="D79" s="81">
        <f>IF(A79="","",NETWORKDAYS(DATE(YEAR(A79),MONTH(A79),1),EOMONTH(A79,0)))</f>
        <v/>
      </c>
      <c r="E79" s="97" t="n"/>
      <c r="F79" s="97" t="n"/>
      <c r="G79" s="97" t="n"/>
      <c r="H79" s="97" t="n"/>
    </row>
    <row r="80">
      <c r="A80" s="108" t="n">
        <v>46204</v>
      </c>
      <c r="B80" s="81">
        <f>IF(A80="","",IF(C80&lt;&gt;"",C80,D80))</f>
        <v/>
      </c>
      <c r="C80" s="109" t="n"/>
      <c r="D80" s="81">
        <f>IF(A80="","",NETWORKDAYS(DATE(YEAR(A80),MONTH(A80),1),EOMONTH(A80,0)))</f>
        <v/>
      </c>
      <c r="E80" s="97" t="n"/>
      <c r="F80" s="97" t="n"/>
      <c r="G80" s="97" t="n"/>
      <c r="H80" s="97" t="n"/>
    </row>
    <row r="81">
      <c r="A81" s="108" t="n">
        <v>46235</v>
      </c>
      <c r="B81" s="81">
        <f>IF(A81="","",IF(C81&lt;&gt;"",C81,D81))</f>
        <v/>
      </c>
      <c r="C81" s="109" t="n"/>
      <c r="D81" s="81">
        <f>IF(A81="","",NETWORKDAYS(DATE(YEAR(A81),MONTH(A81),1),EOMONTH(A81,0)))</f>
        <v/>
      </c>
      <c r="E81" s="97" t="n"/>
      <c r="F81" s="97" t="n"/>
      <c r="G81" s="97" t="n"/>
      <c r="H81" s="97" t="n"/>
    </row>
    <row r="82">
      <c r="A82" s="108" t="n">
        <v>46266</v>
      </c>
      <c r="B82" s="81">
        <f>IF(A82="","",IF(C82&lt;&gt;"",C82,D82))</f>
        <v/>
      </c>
      <c r="C82" s="109" t="n"/>
      <c r="D82" s="81">
        <f>IF(A82="","",NETWORKDAYS(DATE(YEAR(A82),MONTH(A82),1),EOMONTH(A82,0)))</f>
        <v/>
      </c>
      <c r="E82" s="97" t="n"/>
      <c r="F82" s="97" t="n"/>
      <c r="G82" s="97" t="n"/>
      <c r="H82" s="97" t="n"/>
    </row>
    <row r="83">
      <c r="A83" s="108" t="n">
        <v>46296</v>
      </c>
      <c r="B83" s="81">
        <f>IF(A83="","",IF(C83&lt;&gt;"",C83,D83))</f>
        <v/>
      </c>
      <c r="C83" s="109" t="n"/>
      <c r="D83" s="81">
        <f>IF(A83="","",NETWORKDAYS(DATE(YEAR(A83),MONTH(A83),1),EOMONTH(A83,0)))</f>
        <v/>
      </c>
      <c r="E83" s="97" t="n"/>
      <c r="F83" s="97" t="n"/>
      <c r="G83" s="97" t="n"/>
      <c r="H83" s="97" t="n"/>
    </row>
    <row r="84">
      <c r="A84" s="108" t="n">
        <v>46327</v>
      </c>
      <c r="B84" s="81">
        <f>IF(A84="","",IF(C84&lt;&gt;"",C84,D84))</f>
        <v/>
      </c>
      <c r="C84" s="109" t="n"/>
      <c r="D84" s="81">
        <f>IF(A84="","",NETWORKDAYS(DATE(YEAR(A84),MONTH(A84),1),EOMONTH(A84,0)))</f>
        <v/>
      </c>
      <c r="E84" s="97" t="n"/>
      <c r="F84" s="97" t="n"/>
      <c r="G84" s="97" t="n"/>
      <c r="H84" s="97" t="n"/>
    </row>
    <row r="85">
      <c r="A85" s="108" t="n">
        <v>46357</v>
      </c>
      <c r="B85" s="81">
        <f>IF(A85="","",IF(C85&lt;&gt;"",C85,D85))</f>
        <v/>
      </c>
      <c r="C85" s="109" t="n"/>
      <c r="D85" s="81">
        <f>IF(A85="","",NETWORKDAYS(DATE(YEAR(A85),MONTH(A85),1),EOMONTH(A85,0)))</f>
        <v/>
      </c>
      <c r="E85" s="97" t="n"/>
      <c r="F85" s="97" t="n"/>
      <c r="G85" s="97" t="n"/>
      <c r="H85" s="97" t="n"/>
    </row>
    <row r="86">
      <c r="A86" s="108" t="n">
        <v>46388</v>
      </c>
      <c r="B86" s="81">
        <f>IF(A86="","",IF(C86&lt;&gt;"",C86,D86))</f>
        <v/>
      </c>
      <c r="C86" s="109" t="n"/>
      <c r="D86" s="81">
        <f>IF(A86="","",NETWORKDAYS(DATE(YEAR(A86),MONTH(A86),1),EOMONTH(A86,0)))</f>
        <v/>
      </c>
      <c r="E86" s="97" t="n"/>
      <c r="F86" s="97" t="n"/>
      <c r="G86" s="97" t="n"/>
      <c r="H86" s="97" t="n"/>
    </row>
    <row r="87">
      <c r="A87" s="108" t="n">
        <v>46419</v>
      </c>
      <c r="B87" s="81">
        <f>IF(A87="","",IF(C87&lt;&gt;"",C87,D87))</f>
        <v/>
      </c>
      <c r="C87" s="109" t="n"/>
      <c r="D87" s="81">
        <f>IF(A87="","",NETWORKDAYS(DATE(YEAR(A87),MONTH(A87),1),EOMONTH(A87,0)))</f>
        <v/>
      </c>
      <c r="E87" s="97" t="n"/>
      <c r="F87" s="97" t="n"/>
      <c r="G87" s="97" t="n"/>
      <c r="H87" s="97" t="n"/>
    </row>
    <row r="88">
      <c r="A88" s="108" t="n">
        <v>46447</v>
      </c>
      <c r="B88" s="81">
        <f>IF(A88="","",IF(C88&lt;&gt;"",C88,D88))</f>
        <v/>
      </c>
      <c r="C88" s="109" t="n"/>
      <c r="D88" s="81">
        <f>IF(A88="","",NETWORKDAYS(DATE(YEAR(A88),MONTH(A88),1),EOMONTH(A88,0)))</f>
        <v/>
      </c>
      <c r="E88" s="97" t="n"/>
      <c r="F88" s="97" t="n"/>
      <c r="G88" s="97" t="n"/>
      <c r="H88" s="97" t="n"/>
    </row>
    <row r="89">
      <c r="A89" s="108" t="n">
        <v>46478</v>
      </c>
      <c r="B89" s="81">
        <f>IF(A89="","",IF(C89&lt;&gt;"",C89,D89))</f>
        <v/>
      </c>
      <c r="C89" s="109" t="n"/>
      <c r="D89" s="81">
        <f>IF(A89="","",NETWORKDAYS(DATE(YEAR(A89),MONTH(A89),1),EOMONTH(A89,0)))</f>
        <v/>
      </c>
      <c r="E89" s="97" t="n"/>
      <c r="F89" s="97" t="n"/>
      <c r="G89" s="97" t="n"/>
      <c r="H89" s="97" t="n"/>
    </row>
    <row r="90">
      <c r="A90" s="108" t="n">
        <v>46508</v>
      </c>
      <c r="B90" s="81">
        <f>IF(A90="","",IF(C90&lt;&gt;"",C90,D90))</f>
        <v/>
      </c>
      <c r="C90" s="109" t="n"/>
      <c r="D90" s="81">
        <f>IF(A90="","",NETWORKDAYS(DATE(YEAR(A90),MONTH(A90),1),EOMONTH(A90,0)))</f>
        <v/>
      </c>
      <c r="E90" s="97" t="n"/>
      <c r="F90" s="97" t="n"/>
      <c r="G90" s="97" t="n"/>
      <c r="H90" s="97" t="n"/>
    </row>
    <row r="91">
      <c r="A91" s="108" t="n">
        <v>46539</v>
      </c>
      <c r="B91" s="81">
        <f>IF(A91="","",IF(C91&lt;&gt;"",C91,D91))</f>
        <v/>
      </c>
      <c r="C91" s="109" t="n"/>
      <c r="D91" s="81">
        <f>IF(A91="","",NETWORKDAYS(DATE(YEAR(A91),MONTH(A91),1),EOMONTH(A91,0)))</f>
        <v/>
      </c>
      <c r="E91" s="97" t="n"/>
      <c r="F91" s="97" t="n"/>
      <c r="G91" s="97" t="n"/>
      <c r="H91" s="97" t="n"/>
    </row>
    <row r="92">
      <c r="A92" s="108" t="n">
        <v>46569</v>
      </c>
      <c r="B92" s="81">
        <f>IF(A92="","",IF(C92&lt;&gt;"",C92,D92))</f>
        <v/>
      </c>
      <c r="C92" s="109" t="n"/>
      <c r="D92" s="81">
        <f>IF(A92="","",NETWORKDAYS(DATE(YEAR(A92),MONTH(A92),1),EOMONTH(A92,0)))</f>
        <v/>
      </c>
      <c r="E92" s="97" t="n"/>
      <c r="F92" s="97" t="n"/>
      <c r="G92" s="97" t="n"/>
      <c r="H92" s="97" t="n"/>
    </row>
    <row r="93">
      <c r="A93" s="108" t="n">
        <v>46600</v>
      </c>
      <c r="B93" s="81">
        <f>IF(A93="","",IF(C93&lt;&gt;"",C93,D93))</f>
        <v/>
      </c>
      <c r="C93" s="109" t="n"/>
      <c r="D93" s="81">
        <f>IF(A93="","",NETWORKDAYS(DATE(YEAR(A93),MONTH(A93),1),EOMONTH(A93,0)))</f>
        <v/>
      </c>
      <c r="E93" s="97" t="n"/>
      <c r="F93" s="97" t="n"/>
      <c r="G93" s="97" t="n"/>
      <c r="H93" s="97" t="n"/>
    </row>
    <row r="94">
      <c r="A94" s="108" t="n">
        <v>46631</v>
      </c>
      <c r="B94" s="81">
        <f>IF(A94="","",IF(C94&lt;&gt;"",C94,D94))</f>
        <v/>
      </c>
      <c r="C94" s="109" t="n"/>
      <c r="D94" s="81">
        <f>IF(A94="","",NETWORKDAYS(DATE(YEAR(A94),MONTH(A94),1),EOMONTH(A94,0)))</f>
        <v/>
      </c>
      <c r="E94" s="97" t="n"/>
      <c r="F94" s="97" t="n"/>
      <c r="G94" s="97" t="n"/>
      <c r="H94" s="97" t="n"/>
    </row>
    <row r="95">
      <c r="A95" s="108" t="n">
        <v>46661</v>
      </c>
      <c r="B95" s="81">
        <f>IF(A95="","",IF(C95&lt;&gt;"",C95,D95))</f>
        <v/>
      </c>
      <c r="C95" s="109" t="n"/>
      <c r="D95" s="81">
        <f>IF(A95="","",NETWORKDAYS(DATE(YEAR(A95),MONTH(A95),1),EOMONTH(A95,0)))</f>
        <v/>
      </c>
      <c r="E95" s="97" t="n"/>
      <c r="F95" s="97" t="n"/>
      <c r="G95" s="97" t="n"/>
      <c r="H95" s="97" t="n"/>
    </row>
    <row r="96">
      <c r="A96" s="108" t="n">
        <v>46692</v>
      </c>
      <c r="B96" s="81">
        <f>IF(A96="","",IF(C96&lt;&gt;"",C96,D96))</f>
        <v/>
      </c>
      <c r="C96" s="109" t="n"/>
      <c r="D96" s="81">
        <f>IF(A96="","",NETWORKDAYS(DATE(YEAR(A96),MONTH(A96),1),EOMONTH(A96,0)))</f>
        <v/>
      </c>
      <c r="E96" s="97" t="n"/>
      <c r="F96" s="97" t="n"/>
      <c r="G96" s="97" t="n"/>
      <c r="H96" s="97" t="n"/>
    </row>
    <row r="97">
      <c r="A97" s="108" t="n">
        <v>46722</v>
      </c>
      <c r="B97" s="81">
        <f>IF(A97="","",IF(C97&lt;&gt;"",C97,D97))</f>
        <v/>
      </c>
      <c r="C97" s="109" t="n"/>
      <c r="D97" s="81">
        <f>IF(A97="","",NETWORKDAYS(DATE(YEAR(A97),MONTH(A97),1),EOMONTH(A97,0)))</f>
        <v/>
      </c>
      <c r="E97" s="97" t="n"/>
      <c r="F97" s="97" t="n"/>
      <c r="G97" s="97" t="n"/>
      <c r="H97" s="97" t="n"/>
    </row>
    <row r="98">
      <c r="A98" s="108" t="n">
        <v>46753</v>
      </c>
      <c r="B98" s="81">
        <f>IF(A98="","",IF(C98&lt;&gt;"",C98,D98))</f>
        <v/>
      </c>
      <c r="C98" s="109" t="n"/>
      <c r="D98" s="81">
        <f>IF(A98="","",NETWORKDAYS(DATE(YEAR(A98),MONTH(A98),1),EOMONTH(A98,0)))</f>
        <v/>
      </c>
      <c r="E98" s="97" t="n"/>
      <c r="F98" s="97" t="n"/>
      <c r="G98" s="97" t="n"/>
      <c r="H98" s="97" t="n"/>
    </row>
    <row r="99">
      <c r="A99" s="108" t="n">
        <v>46784</v>
      </c>
      <c r="B99" s="81">
        <f>IF(A99="","",IF(C99&lt;&gt;"",C99,D99))</f>
        <v/>
      </c>
      <c r="C99" s="109" t="n"/>
      <c r="D99" s="81">
        <f>IF(A99="","",NETWORKDAYS(DATE(YEAR(A99),MONTH(A99),1),EOMONTH(A99,0)))</f>
        <v/>
      </c>
      <c r="E99" s="97" t="n"/>
      <c r="F99" s="97" t="n"/>
      <c r="G99" s="97" t="n"/>
      <c r="H99" s="97" t="n"/>
    </row>
    <row r="100">
      <c r="A100" s="108" t="n">
        <v>46813</v>
      </c>
      <c r="B100" s="81">
        <f>IF(A100="","",IF(C100&lt;&gt;"",C100,D100))</f>
        <v/>
      </c>
      <c r="C100" s="109" t="n"/>
      <c r="D100" s="81">
        <f>IF(A100="","",NETWORKDAYS(DATE(YEAR(A100),MONTH(A100),1),EOMONTH(A100,0)))</f>
        <v/>
      </c>
      <c r="E100" s="97" t="n"/>
      <c r="F100" s="97" t="n"/>
      <c r="G100" s="97" t="n"/>
      <c r="H100" s="97" t="n"/>
    </row>
    <row r="101">
      <c r="A101" s="108" t="n">
        <v>46844</v>
      </c>
      <c r="B101" s="81">
        <f>IF(A101="","",IF(C101&lt;&gt;"",C101,D101))</f>
        <v/>
      </c>
      <c r="C101" s="109" t="n"/>
      <c r="D101" s="81">
        <f>IF(A101="","",NETWORKDAYS(DATE(YEAR(A101),MONTH(A101),1),EOMONTH(A101,0)))</f>
        <v/>
      </c>
      <c r="E101" s="97" t="n"/>
      <c r="F101" s="97" t="n"/>
      <c r="G101" s="97" t="n"/>
      <c r="H101" s="97" t="n"/>
    </row>
    <row r="102">
      <c r="A102" s="108" t="n">
        <v>46874</v>
      </c>
      <c r="B102" s="81">
        <f>IF(A102="","",IF(C102&lt;&gt;"",C102,D102))</f>
        <v/>
      </c>
      <c r="C102" s="109" t="n"/>
      <c r="D102" s="81">
        <f>IF(A102="","",NETWORKDAYS(DATE(YEAR(A102),MONTH(A102),1),EOMONTH(A102,0)))</f>
        <v/>
      </c>
      <c r="E102" s="97" t="n"/>
      <c r="F102" s="97" t="n"/>
      <c r="G102" s="97" t="n"/>
      <c r="H102" s="97" t="n"/>
    </row>
    <row r="103">
      <c r="A103" s="108" t="n">
        <v>46905</v>
      </c>
      <c r="B103" s="81">
        <f>IF(A103="","",IF(C103&lt;&gt;"",C103,D103))</f>
        <v/>
      </c>
      <c r="C103" s="109" t="n"/>
      <c r="D103" s="81">
        <f>IF(A103="","",NETWORKDAYS(DATE(YEAR(A103),MONTH(A103),1),EOMONTH(A103,0)))</f>
        <v/>
      </c>
      <c r="E103" s="97" t="n"/>
      <c r="F103" s="97" t="n"/>
      <c r="G103" s="97" t="n"/>
      <c r="H103" s="97" t="n"/>
    </row>
    <row r="104">
      <c r="A104" s="108" t="n">
        <v>46935</v>
      </c>
      <c r="B104" s="81">
        <f>IF(A104="","",IF(C104&lt;&gt;"",C104,D104))</f>
        <v/>
      </c>
      <c r="C104" s="109" t="n"/>
      <c r="D104" s="81">
        <f>IF(A104="","",NETWORKDAYS(DATE(YEAR(A104),MONTH(A104),1),EOMONTH(A104,0)))</f>
        <v/>
      </c>
      <c r="E104" s="97" t="n"/>
      <c r="F104" s="97" t="n"/>
      <c r="G104" s="97" t="n"/>
      <c r="H104" s="97" t="n"/>
    </row>
    <row r="105">
      <c r="A105" s="108" t="n">
        <v>46966</v>
      </c>
      <c r="B105" s="81">
        <f>IF(A105="","",IF(C105&lt;&gt;"",C105,D105))</f>
        <v/>
      </c>
      <c r="C105" s="109" t="n"/>
      <c r="D105" s="81">
        <f>IF(A105="","",NETWORKDAYS(DATE(YEAR(A105),MONTH(A105),1),EOMONTH(A105,0)))</f>
        <v/>
      </c>
      <c r="E105" s="97" t="n"/>
      <c r="F105" s="97" t="n"/>
      <c r="G105" s="97" t="n"/>
      <c r="H105" s="97" t="n"/>
    </row>
    <row r="106">
      <c r="A106" s="108" t="n">
        <v>46997</v>
      </c>
      <c r="B106" s="81">
        <f>IF(A106="","",IF(C106&lt;&gt;"",C106,D106))</f>
        <v/>
      </c>
      <c r="C106" s="109" t="n"/>
      <c r="D106" s="81">
        <f>IF(A106="","",NETWORKDAYS(DATE(YEAR(A106),MONTH(A106),1),EOMONTH(A106,0)))</f>
        <v/>
      </c>
      <c r="E106" s="97" t="n"/>
      <c r="F106" s="97" t="n"/>
      <c r="G106" s="97" t="n"/>
      <c r="H106" s="97" t="n"/>
    </row>
    <row r="107">
      <c r="A107" s="108" t="n">
        <v>47027</v>
      </c>
      <c r="B107" s="81">
        <f>IF(A107="","",IF(C107&lt;&gt;"",C107,D107))</f>
        <v/>
      </c>
      <c r="C107" s="109" t="n"/>
      <c r="D107" s="81">
        <f>IF(A107="","",NETWORKDAYS(DATE(YEAR(A107),MONTH(A107),1),EOMONTH(A107,0)))</f>
        <v/>
      </c>
      <c r="E107" s="97" t="n"/>
      <c r="F107" s="97" t="n"/>
      <c r="G107" s="97" t="n"/>
      <c r="H107" s="97" t="n"/>
    </row>
    <row r="108">
      <c r="A108" s="108" t="n">
        <v>47058</v>
      </c>
      <c r="B108" s="81">
        <f>IF(A108="","",IF(C108&lt;&gt;"",C108,D108))</f>
        <v/>
      </c>
      <c r="C108" s="109" t="n"/>
      <c r="D108" s="81">
        <f>IF(A108="","",NETWORKDAYS(DATE(YEAR(A108),MONTH(A108),1),EOMONTH(A108,0)))</f>
        <v/>
      </c>
      <c r="E108" s="97" t="n"/>
      <c r="F108" s="97" t="n"/>
      <c r="G108" s="97" t="n"/>
      <c r="H108" s="97" t="n"/>
    </row>
    <row r="109">
      <c r="A109" s="108" t="n">
        <v>47088</v>
      </c>
      <c r="B109" s="81">
        <f>IF(A109="","",IF(C109&lt;&gt;"",C109,D109))</f>
        <v/>
      </c>
      <c r="C109" s="109" t="n"/>
      <c r="D109" s="81">
        <f>IF(A109="","",NETWORKDAYS(DATE(YEAR(A109),MONTH(A109),1),EOMONTH(A109,0)))</f>
        <v/>
      </c>
      <c r="E109" s="97" t="n"/>
      <c r="F109" s="97" t="n"/>
      <c r="G109" s="97" t="n"/>
      <c r="H109" s="97" t="n"/>
    </row>
    <row r="110">
      <c r="A110" s="108" t="n">
        <v>47119</v>
      </c>
      <c r="B110" s="81">
        <f>IF(A110="","",IF(C110&lt;&gt;"",C110,D110))</f>
        <v/>
      </c>
      <c r="C110" s="109" t="n"/>
      <c r="D110" s="81">
        <f>IF(A110="","",NETWORKDAYS(DATE(YEAR(A110),MONTH(A110),1),EOMONTH(A110,0)))</f>
        <v/>
      </c>
      <c r="E110" s="97" t="n"/>
      <c r="F110" s="97" t="n"/>
      <c r="G110" s="97" t="n"/>
      <c r="H110" s="97" t="n"/>
    </row>
    <row r="111">
      <c r="A111" s="108" t="n">
        <v>47150</v>
      </c>
      <c r="B111" s="81">
        <f>IF(A111="","",IF(C111&lt;&gt;"",C111,D111))</f>
        <v/>
      </c>
      <c r="C111" s="109" t="n"/>
      <c r="D111" s="81">
        <f>IF(A111="","",NETWORKDAYS(DATE(YEAR(A111),MONTH(A111),1),EOMONTH(A111,0)))</f>
        <v/>
      </c>
      <c r="E111" s="97" t="n"/>
      <c r="F111" s="97" t="n"/>
      <c r="G111" s="97" t="n"/>
      <c r="H111" s="97" t="n"/>
    </row>
    <row r="112">
      <c r="A112" s="108" t="n">
        <v>47178</v>
      </c>
      <c r="B112" s="81">
        <f>IF(A112="","",IF(C112&lt;&gt;"",C112,D112))</f>
        <v/>
      </c>
      <c r="C112" s="109" t="n"/>
      <c r="D112" s="81">
        <f>IF(A112="","",NETWORKDAYS(DATE(YEAR(A112),MONTH(A112),1),EOMONTH(A112,0)))</f>
        <v/>
      </c>
      <c r="E112" s="97" t="n"/>
      <c r="F112" s="97" t="n"/>
      <c r="G112" s="97" t="n"/>
      <c r="H112" s="97" t="n"/>
    </row>
    <row r="113">
      <c r="A113" s="108" t="n">
        <v>47209</v>
      </c>
      <c r="B113" s="81">
        <f>IF(A113="","",IF(C113&lt;&gt;"",C113,D113))</f>
        <v/>
      </c>
      <c r="C113" s="109" t="n"/>
      <c r="D113" s="81">
        <f>IF(A113="","",NETWORKDAYS(DATE(YEAR(A113),MONTH(A113),1),EOMONTH(A113,0)))</f>
        <v/>
      </c>
      <c r="E113" s="97" t="n"/>
      <c r="F113" s="97" t="n"/>
      <c r="G113" s="97" t="n"/>
      <c r="H113" s="97" t="n"/>
    </row>
    <row r="114">
      <c r="A114" s="108" t="n">
        <v>47239</v>
      </c>
      <c r="B114" s="81">
        <f>IF(A114="","",IF(C114&lt;&gt;"",C114,D114))</f>
        <v/>
      </c>
      <c r="C114" s="109" t="n"/>
      <c r="D114" s="81">
        <f>IF(A114="","",NETWORKDAYS(DATE(YEAR(A114),MONTH(A114),1),EOMONTH(A114,0)))</f>
        <v/>
      </c>
      <c r="E114" s="97" t="n"/>
      <c r="F114" s="97" t="n"/>
      <c r="G114" s="97" t="n"/>
      <c r="H114" s="97" t="n"/>
    </row>
    <row r="115">
      <c r="A115" s="108" t="n">
        <v>47270</v>
      </c>
      <c r="B115" s="81">
        <f>IF(A115="","",IF(C115&lt;&gt;"",C115,D115))</f>
        <v/>
      </c>
      <c r="C115" s="109" t="n"/>
      <c r="D115" s="81">
        <f>IF(A115="","",NETWORKDAYS(DATE(YEAR(A115),MONTH(A115),1),EOMONTH(A115,0)))</f>
        <v/>
      </c>
      <c r="E115" s="97" t="n"/>
      <c r="F115" s="97" t="n"/>
      <c r="G115" s="97" t="n"/>
      <c r="H115" s="97" t="n"/>
    </row>
    <row r="116">
      <c r="A116" s="108" t="n">
        <v>47300</v>
      </c>
      <c r="B116" s="81">
        <f>IF(A116="","",IF(C116&lt;&gt;"",C116,D116))</f>
        <v/>
      </c>
      <c r="C116" s="109" t="n"/>
      <c r="D116" s="81">
        <f>IF(A116="","",NETWORKDAYS(DATE(YEAR(A116),MONTH(A116),1),EOMONTH(A116,0)))</f>
        <v/>
      </c>
      <c r="E116" s="97" t="n"/>
      <c r="F116" s="97" t="n"/>
      <c r="G116" s="97" t="n"/>
      <c r="H116" s="97" t="n"/>
    </row>
    <row r="117">
      <c r="A117" s="108" t="n">
        <v>47331</v>
      </c>
      <c r="B117" s="81">
        <f>IF(A117="","",IF(C117&lt;&gt;"",C117,D117))</f>
        <v/>
      </c>
      <c r="C117" s="109" t="n"/>
      <c r="D117" s="81">
        <f>IF(A117="","",NETWORKDAYS(DATE(YEAR(A117),MONTH(A117),1),EOMONTH(A117,0)))</f>
        <v/>
      </c>
      <c r="E117" s="97" t="n"/>
      <c r="F117" s="97" t="n"/>
      <c r="G117" s="97" t="n"/>
      <c r="H117" s="97" t="n"/>
    </row>
    <row r="118">
      <c r="A118" s="108" t="n">
        <v>47362</v>
      </c>
      <c r="B118" s="81">
        <f>IF(A118="","",IF(C118&lt;&gt;"",C118,D118))</f>
        <v/>
      </c>
      <c r="C118" s="109" t="n"/>
      <c r="D118" s="81">
        <f>IF(A118="","",NETWORKDAYS(DATE(YEAR(A118),MONTH(A118),1),EOMONTH(A118,0)))</f>
        <v/>
      </c>
      <c r="E118" s="97" t="n"/>
      <c r="F118" s="97" t="n"/>
      <c r="G118" s="97" t="n"/>
      <c r="H118" s="97" t="n"/>
    </row>
    <row r="119">
      <c r="A119" s="108" t="n">
        <v>47392</v>
      </c>
      <c r="B119" s="81">
        <f>IF(A119="","",IF(C119&lt;&gt;"",C119,D119))</f>
        <v/>
      </c>
      <c r="C119" s="109" t="n"/>
      <c r="D119" s="81">
        <f>IF(A119="","",NETWORKDAYS(DATE(YEAR(A119),MONTH(A119),1),EOMONTH(A119,0)))</f>
        <v/>
      </c>
      <c r="E119" s="97" t="n"/>
      <c r="F119" s="97" t="n"/>
      <c r="G119" s="97" t="n"/>
      <c r="H119" s="97" t="n"/>
    </row>
    <row r="120">
      <c r="A120" s="108" t="n">
        <v>47423</v>
      </c>
      <c r="B120" s="81">
        <f>IF(A120="","",IF(C120&lt;&gt;"",C120,D120))</f>
        <v/>
      </c>
      <c r="C120" s="109" t="n"/>
      <c r="D120" s="81">
        <f>IF(A120="","",NETWORKDAYS(DATE(YEAR(A120),MONTH(A120),1),EOMONTH(A120,0)))</f>
        <v/>
      </c>
      <c r="E120" s="97" t="n"/>
      <c r="F120" s="97" t="n"/>
      <c r="G120" s="97" t="n"/>
      <c r="H120" s="97" t="n"/>
    </row>
    <row r="121">
      <c r="A121" s="108" t="n">
        <v>47453</v>
      </c>
      <c r="B121" s="81">
        <f>IF(A121="","",IF(C121&lt;&gt;"",C121,D121))</f>
        <v/>
      </c>
      <c r="C121" s="109" t="n"/>
      <c r="D121" s="81">
        <f>IF(A121="","",NETWORKDAYS(DATE(YEAR(A121),MONTH(A121),1),EOMONTH(A121,0)))</f>
        <v/>
      </c>
      <c r="E121" s="97" t="n"/>
      <c r="F121" s="97" t="n"/>
      <c r="G121" s="97" t="n"/>
      <c r="H121" s="97" t="n"/>
    </row>
    <row r="122">
      <c r="A122" s="108" t="n"/>
      <c r="B122" s="81">
        <f>IF(A122="","",IF(C122&lt;&gt;"",C122,D122))</f>
        <v/>
      </c>
      <c r="C122" s="109" t="n"/>
      <c r="D122" s="81">
        <f>IF(A122="","",NETWORKDAYS(DATE(YEAR(A122),MONTH(A122),1),EOMONTH(A122,0)))</f>
        <v/>
      </c>
      <c r="E122" s="97" t="n"/>
      <c r="F122" s="97" t="n"/>
      <c r="G122" s="97" t="n"/>
      <c r="H122" s="97" t="n"/>
    </row>
    <row r="123">
      <c r="A123" s="108" t="n"/>
      <c r="B123" s="81">
        <f>IF(A123="","",IF(C123&lt;&gt;"",C123,D123))</f>
        <v/>
      </c>
      <c r="C123" s="109" t="n"/>
      <c r="D123" s="81">
        <f>IF(A123="","",NETWORKDAYS(DATE(YEAR(A123),MONTH(A123),1),EOMONTH(A123,0)))</f>
        <v/>
      </c>
      <c r="E123" s="97" t="n"/>
      <c r="F123" s="97" t="n"/>
      <c r="G123" s="97" t="n"/>
      <c r="H123" s="97" t="n"/>
    </row>
    <row r="124">
      <c r="A124" s="108" t="n"/>
      <c r="B124" s="81">
        <f>IF(A124="","",IF(C124&lt;&gt;"",C124,D124))</f>
        <v/>
      </c>
      <c r="C124" s="109" t="n"/>
      <c r="D124" s="81">
        <f>IF(A124="","",NETWORKDAYS(DATE(YEAR(A124),MONTH(A124),1),EOMONTH(A124,0)))</f>
        <v/>
      </c>
      <c r="E124" s="97" t="n"/>
      <c r="F124" s="97" t="n"/>
      <c r="G124" s="97" t="n"/>
      <c r="H124" s="97" t="n"/>
    </row>
    <row r="125">
      <c r="A125" s="108" t="n"/>
      <c r="B125" s="81">
        <f>IF(A125="","",IF(C125&lt;&gt;"",C125,D125))</f>
        <v/>
      </c>
      <c r="C125" s="109" t="n"/>
      <c r="D125" s="81">
        <f>IF(A125="","",NETWORKDAYS(DATE(YEAR(A125),MONTH(A125),1),EOMONTH(A125,0)))</f>
        <v/>
      </c>
      <c r="E125" s="97" t="n"/>
      <c r="F125" s="97" t="n"/>
      <c r="G125" s="97" t="n"/>
      <c r="H125" s="97" t="n"/>
    </row>
    <row r="126">
      <c r="A126" s="108" t="n"/>
      <c r="B126" s="81">
        <f>IF(A126="","",IF(C126&lt;&gt;"",C126,D126))</f>
        <v/>
      </c>
      <c r="C126" s="109" t="n"/>
      <c r="D126" s="81">
        <f>IF(A126="","",NETWORKDAYS(DATE(YEAR(A126),MONTH(A126),1),EOMONTH(A126,0)))</f>
        <v/>
      </c>
      <c r="E126" s="97" t="n"/>
      <c r="F126" s="97" t="n"/>
      <c r="G126" s="97" t="n"/>
      <c r="H126" s="97" t="n"/>
    </row>
    <row r="127">
      <c r="A127" s="108" t="n"/>
      <c r="B127" s="81">
        <f>IF(A127="","",IF(C127&lt;&gt;"",C127,D127))</f>
        <v/>
      </c>
      <c r="C127" s="109" t="n"/>
      <c r="D127" s="81">
        <f>IF(A127="","",NETWORKDAYS(DATE(YEAR(A127),MONTH(A127),1),EOMONTH(A127,0)))</f>
        <v/>
      </c>
      <c r="E127" s="97" t="n"/>
      <c r="F127" s="97" t="n"/>
      <c r="G127" s="97" t="n"/>
      <c r="H127" s="97" t="n"/>
    </row>
    <row r="128">
      <c r="A128" s="108" t="n"/>
      <c r="B128" s="81">
        <f>IF(A128="","",IF(C128&lt;&gt;"",C128,D128))</f>
        <v/>
      </c>
      <c r="C128" s="109" t="n"/>
      <c r="D128" s="81">
        <f>IF(A128="","",NETWORKDAYS(DATE(YEAR(A128),MONTH(A128),1),EOMONTH(A128,0)))</f>
        <v/>
      </c>
      <c r="E128" s="97" t="n"/>
      <c r="F128" s="97" t="n"/>
      <c r="G128" s="97" t="n"/>
      <c r="H128" s="97" t="n"/>
    </row>
    <row r="129">
      <c r="A129" s="108" t="n"/>
      <c r="B129" s="81">
        <f>IF(A129="","",IF(C129&lt;&gt;"",C129,D129))</f>
        <v/>
      </c>
      <c r="C129" s="109" t="n"/>
      <c r="D129" s="81">
        <f>IF(A129="","",NETWORKDAYS(DATE(YEAR(A129),MONTH(A129),1),EOMONTH(A129,0)))</f>
        <v/>
      </c>
      <c r="E129" s="97" t="n"/>
      <c r="F129" s="97" t="n"/>
      <c r="G129" s="97" t="n"/>
      <c r="H129" s="97" t="n"/>
    </row>
    <row r="130">
      <c r="A130" s="108" t="n"/>
      <c r="B130" s="81">
        <f>IF(A130="","",IF(C130&lt;&gt;"",C130,D130))</f>
        <v/>
      </c>
      <c r="C130" s="109" t="n"/>
      <c r="D130" s="81">
        <f>IF(A130="","",NETWORKDAYS(DATE(YEAR(A130),MONTH(A130),1),EOMONTH(A130,0)))</f>
        <v/>
      </c>
      <c r="E130" s="97" t="n"/>
      <c r="F130" s="97" t="n"/>
      <c r="G130" s="97" t="n"/>
      <c r="H130" s="97" t="n"/>
    </row>
    <row r="131">
      <c r="A131" s="108" t="n"/>
      <c r="B131" s="81">
        <f>IF(A131="","",IF(C131&lt;&gt;"",C131,D131))</f>
        <v/>
      </c>
      <c r="C131" s="109" t="n"/>
      <c r="D131" s="81">
        <f>IF(A131="","",NETWORKDAYS(DATE(YEAR(A131),MONTH(A131),1),EOMONTH(A131,0)))</f>
        <v/>
      </c>
      <c r="E131" s="97" t="n"/>
      <c r="F131" s="97" t="n"/>
      <c r="G131" s="97" t="n"/>
      <c r="H131" s="97" t="n"/>
    </row>
    <row r="132">
      <c r="A132" s="108" t="n"/>
      <c r="B132" s="81">
        <f>IF(A132="","",IF(C132&lt;&gt;"",C132,D132))</f>
        <v/>
      </c>
      <c r="C132" s="109" t="n"/>
      <c r="D132" s="81">
        <f>IF(A132="","",NETWORKDAYS(DATE(YEAR(A132),MONTH(A132),1),EOMONTH(A132,0)))</f>
        <v/>
      </c>
      <c r="E132" s="97" t="n"/>
      <c r="F132" s="97" t="n"/>
      <c r="G132" s="97" t="n"/>
      <c r="H132" s="97" t="n"/>
    </row>
    <row r="133">
      <c r="A133" s="108" t="n"/>
      <c r="B133" s="81">
        <f>IF(A133="","",IF(C133&lt;&gt;"",C133,D133))</f>
        <v/>
      </c>
      <c r="C133" s="109" t="n"/>
      <c r="D133" s="81">
        <f>IF(A133="","",NETWORKDAYS(DATE(YEAR(A133),MONTH(A133),1),EOMONTH(A133,0)))</f>
        <v/>
      </c>
      <c r="E133" s="97" t="n"/>
      <c r="F133" s="97" t="n"/>
      <c r="G133" s="97" t="n"/>
      <c r="H133" s="97" t="n"/>
    </row>
    <row r="134">
      <c r="A134" s="108" t="n"/>
      <c r="B134" s="81">
        <f>IF(A134="","",IF(C134&lt;&gt;"",C134,D134))</f>
        <v/>
      </c>
      <c r="C134" s="109" t="n"/>
      <c r="D134" s="81">
        <f>IF(A134="","",NETWORKDAYS(DATE(YEAR(A134),MONTH(A134),1),EOMONTH(A134,0)))</f>
        <v/>
      </c>
      <c r="E134" s="97" t="n"/>
      <c r="F134" s="97" t="n"/>
      <c r="G134" s="97" t="n"/>
      <c r="H134" s="97" t="n"/>
    </row>
    <row r="135">
      <c r="A135" s="108" t="n"/>
      <c r="B135" s="81">
        <f>IF(A135="","",IF(C135&lt;&gt;"",C135,D135))</f>
        <v/>
      </c>
      <c r="C135" s="109" t="n"/>
      <c r="D135" s="81">
        <f>IF(A135="","",NETWORKDAYS(DATE(YEAR(A135),MONTH(A135),1),EOMONTH(A135,0)))</f>
        <v/>
      </c>
      <c r="E135" s="97" t="n"/>
      <c r="F135" s="97" t="n"/>
      <c r="G135" s="97" t="n"/>
      <c r="H135" s="97" t="n"/>
    </row>
    <row r="136">
      <c r="A136" s="108" t="n"/>
      <c r="B136" s="81">
        <f>IF(A136="","",IF(C136&lt;&gt;"",C136,D136))</f>
        <v/>
      </c>
      <c r="C136" s="109" t="n"/>
      <c r="D136" s="81">
        <f>IF(A136="","",NETWORKDAYS(DATE(YEAR(A136),MONTH(A136),1),EOMONTH(A136,0)))</f>
        <v/>
      </c>
      <c r="E136" s="97" t="n"/>
      <c r="F136" s="97" t="n"/>
      <c r="G136" s="97" t="n"/>
      <c r="H136" s="97" t="n"/>
    </row>
    <row r="137">
      <c r="A137" s="108" t="n"/>
      <c r="B137" s="81">
        <f>IF(A137="","",IF(C137&lt;&gt;"",C137,D137))</f>
        <v/>
      </c>
      <c r="C137" s="109" t="n"/>
      <c r="D137" s="81">
        <f>IF(A137="","",NETWORKDAYS(DATE(YEAR(A137),MONTH(A137),1),EOMONTH(A137,0)))</f>
        <v/>
      </c>
      <c r="E137" s="97" t="n"/>
      <c r="F137" s="97" t="n"/>
      <c r="G137" s="97" t="n"/>
      <c r="H137" s="97" t="n"/>
    </row>
    <row r="138">
      <c r="A138" s="108" t="n"/>
      <c r="B138" s="81">
        <f>IF(A138="","",IF(C138&lt;&gt;"",C138,D138))</f>
        <v/>
      </c>
      <c r="C138" s="109" t="n"/>
      <c r="D138" s="81">
        <f>IF(A138="","",NETWORKDAYS(DATE(YEAR(A138),MONTH(A138),1),EOMONTH(A138,0)))</f>
        <v/>
      </c>
      <c r="E138" s="97" t="n"/>
      <c r="F138" s="97" t="n"/>
      <c r="G138" s="97" t="n"/>
      <c r="H138" s="97" t="n"/>
    </row>
    <row r="139">
      <c r="A139" s="108" t="n"/>
      <c r="B139" s="81">
        <f>IF(A139="","",IF(C139&lt;&gt;"",C139,D139))</f>
        <v/>
      </c>
      <c r="C139" s="109" t="n"/>
      <c r="D139" s="81">
        <f>IF(A139="","",NETWORKDAYS(DATE(YEAR(A139),MONTH(A139),1),EOMONTH(A139,0)))</f>
        <v/>
      </c>
      <c r="E139" s="97" t="n"/>
      <c r="F139" s="97" t="n"/>
      <c r="G139" s="97" t="n"/>
      <c r="H139" s="97" t="n"/>
    </row>
    <row r="140">
      <c r="A140" s="108" t="n"/>
      <c r="B140" s="81">
        <f>IF(A140="","",IF(C140&lt;&gt;"",C140,D140))</f>
        <v/>
      </c>
      <c r="C140" s="109" t="n"/>
      <c r="D140" s="81">
        <f>IF(A140="","",NETWORKDAYS(DATE(YEAR(A140),MONTH(A140),1),EOMONTH(A140,0)))</f>
        <v/>
      </c>
      <c r="E140" s="97" t="n"/>
      <c r="F140" s="97" t="n"/>
      <c r="G140" s="97" t="n"/>
      <c r="H140" s="97" t="n"/>
    </row>
    <row r="141">
      <c r="A141" s="108" t="n"/>
      <c r="B141" s="81">
        <f>IF(A141="","",IF(C141&lt;&gt;"",C141,D141))</f>
        <v/>
      </c>
      <c r="C141" s="109" t="n"/>
      <c r="D141" s="81">
        <f>IF(A141="","",NETWORKDAYS(DATE(YEAR(A141),MONTH(A141),1),EOMONTH(A141,0)))</f>
        <v/>
      </c>
      <c r="E141" s="97" t="n"/>
      <c r="F141" s="97" t="n"/>
      <c r="G141" s="97" t="n"/>
      <c r="H141" s="97" t="n"/>
    </row>
    <row r="142">
      <c r="A142" s="108" t="n"/>
      <c r="B142" s="81">
        <f>IF(A142="","",IF(C142&lt;&gt;"",C142,D142))</f>
        <v/>
      </c>
      <c r="C142" s="109" t="n"/>
      <c r="D142" s="81">
        <f>IF(A142="","",NETWORKDAYS(DATE(YEAR(A142),MONTH(A142),1),EOMONTH(A142,0)))</f>
        <v/>
      </c>
      <c r="E142" s="97" t="n"/>
      <c r="F142" s="97" t="n"/>
      <c r="G142" s="97" t="n"/>
      <c r="H142" s="97" t="n"/>
    </row>
    <row r="143">
      <c r="A143" s="108" t="n"/>
      <c r="B143" s="81">
        <f>IF(A143="","",IF(C143&lt;&gt;"",C143,D143))</f>
        <v/>
      </c>
      <c r="C143" s="109" t="n"/>
      <c r="D143" s="81">
        <f>IF(A143="","",NETWORKDAYS(DATE(YEAR(A143),MONTH(A143),1),EOMONTH(A143,0)))</f>
        <v/>
      </c>
      <c r="E143" s="97" t="n"/>
      <c r="F143" s="97" t="n"/>
      <c r="G143" s="97" t="n"/>
      <c r="H143" s="97" t="n"/>
    </row>
    <row r="144">
      <c r="A144" s="108" t="n"/>
      <c r="B144" s="81">
        <f>IF(A144="","",IF(C144&lt;&gt;"",C144,D144))</f>
        <v/>
      </c>
      <c r="C144" s="109" t="n"/>
      <c r="D144" s="81">
        <f>IF(A144="","",NETWORKDAYS(DATE(YEAR(A144),MONTH(A144),1),EOMONTH(A144,0)))</f>
        <v/>
      </c>
      <c r="E144" s="97" t="n"/>
      <c r="F144" s="97" t="n"/>
      <c r="G144" s="97" t="n"/>
      <c r="H144" s="97" t="n"/>
    </row>
    <row r="145">
      <c r="A145" s="108" t="n"/>
      <c r="B145" s="81">
        <f>IF(A145="","",IF(C145&lt;&gt;"",C145,D145))</f>
        <v/>
      </c>
      <c r="C145" s="109" t="n"/>
      <c r="D145" s="81">
        <f>IF(A145="","",NETWORKDAYS(DATE(YEAR(A145),MONTH(A145),1),EOMONTH(A145,0)))</f>
        <v/>
      </c>
      <c r="E145" s="97" t="n"/>
      <c r="F145" s="97" t="n"/>
      <c r="G145" s="97" t="n"/>
      <c r="H145" s="97" t="n"/>
    </row>
    <row r="146">
      <c r="A146" s="108" t="n"/>
      <c r="B146" s="81">
        <f>IF(A146="","",IF(C146&lt;&gt;"",C146,D146))</f>
        <v/>
      </c>
      <c r="C146" s="109" t="n"/>
      <c r="D146" s="81">
        <f>IF(A146="","",NETWORKDAYS(DATE(YEAR(A146),MONTH(A146),1),EOMONTH(A146,0)))</f>
        <v/>
      </c>
      <c r="E146" s="97" t="n"/>
      <c r="F146" s="97" t="n"/>
      <c r="G146" s="97" t="n"/>
      <c r="H146" s="97" t="n"/>
    </row>
    <row r="147">
      <c r="A147" s="108" t="n"/>
      <c r="B147" s="81">
        <f>IF(A147="","",IF(C147&lt;&gt;"",C147,D147))</f>
        <v/>
      </c>
      <c r="C147" s="109" t="n"/>
      <c r="D147" s="81">
        <f>IF(A147="","",NETWORKDAYS(DATE(YEAR(A147),MONTH(A147),1),EOMONTH(A147,0)))</f>
        <v/>
      </c>
      <c r="E147" s="97" t="n"/>
      <c r="F147" s="97" t="n"/>
      <c r="G147" s="97" t="n"/>
      <c r="H147" s="97" t="n"/>
    </row>
    <row r="148">
      <c r="A148" s="108" t="n"/>
      <c r="B148" s="81">
        <f>IF(A148="","",IF(C148&lt;&gt;"",C148,D148))</f>
        <v/>
      </c>
      <c r="C148" s="109" t="n"/>
      <c r="D148" s="81">
        <f>IF(A148="","",NETWORKDAYS(DATE(YEAR(A148),MONTH(A148),1),EOMONTH(A148,0)))</f>
        <v/>
      </c>
      <c r="E148" s="97" t="n"/>
      <c r="F148" s="97" t="n"/>
      <c r="G148" s="97" t="n"/>
      <c r="H148" s="97" t="n"/>
    </row>
    <row r="149">
      <c r="A149" s="108" t="n"/>
      <c r="B149" s="81">
        <f>IF(A149="","",IF(C149&lt;&gt;"",C149,D149))</f>
        <v/>
      </c>
      <c r="C149" s="109" t="n"/>
      <c r="D149" s="81">
        <f>IF(A149="","",NETWORKDAYS(DATE(YEAR(A149),MONTH(A149),1),EOMONTH(A149,0)))</f>
        <v/>
      </c>
      <c r="E149" s="97" t="n"/>
      <c r="F149" s="97" t="n"/>
      <c r="G149" s="97" t="n"/>
      <c r="H149" s="97" t="n"/>
    </row>
    <row r="150">
      <c r="A150" s="108" t="n"/>
      <c r="B150" s="81">
        <f>IF(A150="","",IF(C150&lt;&gt;"",C150,D150))</f>
        <v/>
      </c>
      <c r="C150" s="109" t="n"/>
      <c r="D150" s="81">
        <f>IF(A150="","",NETWORKDAYS(DATE(YEAR(A150),MONTH(A150),1),EOMONTH(A150,0)))</f>
        <v/>
      </c>
      <c r="E150" s="97" t="n"/>
      <c r="F150" s="97" t="n"/>
      <c r="G150" s="97" t="n"/>
      <c r="H150" s="97" t="n"/>
    </row>
    <row r="151">
      <c r="A151" s="108" t="n"/>
      <c r="B151" s="81">
        <f>IF(A151="","",IF(C151&lt;&gt;"",C151,D151))</f>
        <v/>
      </c>
      <c r="C151" s="109" t="n"/>
      <c r="D151" s="81">
        <f>IF(A151="","",NETWORKDAYS(DATE(YEAR(A151),MONTH(A151),1),EOMONTH(A151,0)))</f>
        <v/>
      </c>
      <c r="E151" s="97" t="n"/>
      <c r="F151" s="97" t="n"/>
      <c r="G151" s="97" t="n"/>
      <c r="H151" s="97" t="n"/>
    </row>
    <row r="152">
      <c r="A152" s="108" t="n"/>
      <c r="B152" s="81">
        <f>IF(A152="","",IF(C152&lt;&gt;"",C152,D152))</f>
        <v/>
      </c>
      <c r="C152" s="109" t="n"/>
      <c r="D152" s="81">
        <f>IF(A152="","",NETWORKDAYS(DATE(YEAR(A152),MONTH(A152),1),EOMONTH(A152,0)))</f>
        <v/>
      </c>
      <c r="E152" s="97" t="n"/>
      <c r="F152" s="97" t="n"/>
      <c r="G152" s="97" t="n"/>
      <c r="H152" s="97" t="n"/>
    </row>
    <row r="153">
      <c r="A153" s="108" t="n"/>
      <c r="B153" s="81">
        <f>IF(A153="","",IF(C153&lt;&gt;"",C153,D153))</f>
        <v/>
      </c>
      <c r="C153" s="109" t="n"/>
      <c r="D153" s="81">
        <f>IF(A153="","",NETWORKDAYS(DATE(YEAR(A153),MONTH(A153),1),EOMONTH(A153,0)))</f>
        <v/>
      </c>
      <c r="E153" s="97" t="n"/>
      <c r="F153" s="97" t="n"/>
      <c r="G153" s="97" t="n"/>
      <c r="H153" s="97" t="n"/>
    </row>
    <row r="154">
      <c r="A154" s="108" t="n"/>
      <c r="B154" s="81">
        <f>IF(A154="","",IF(C154&lt;&gt;"",C154,D154))</f>
        <v/>
      </c>
      <c r="C154" s="109" t="n"/>
      <c r="D154" s="81">
        <f>IF(A154="","",NETWORKDAYS(DATE(YEAR(A154),MONTH(A154),1),EOMONTH(A154,0)))</f>
        <v/>
      </c>
      <c r="E154" s="97" t="n"/>
      <c r="F154" s="97" t="n"/>
      <c r="G154" s="97" t="n"/>
      <c r="H154" s="97" t="n"/>
    </row>
    <row r="155">
      <c r="A155" s="108" t="n"/>
      <c r="B155" s="81">
        <f>IF(A155="","",IF(C155&lt;&gt;"",C155,D155))</f>
        <v/>
      </c>
      <c r="C155" s="109" t="n"/>
      <c r="D155" s="81">
        <f>IF(A155="","",NETWORKDAYS(DATE(YEAR(A155),MONTH(A155),1),EOMONTH(A155,0)))</f>
        <v/>
      </c>
      <c r="E155" s="97" t="n"/>
      <c r="F155" s="97" t="n"/>
      <c r="G155" s="97" t="n"/>
      <c r="H155" s="97" t="n"/>
    </row>
    <row r="156">
      <c r="A156" s="108" t="n"/>
      <c r="B156" s="81">
        <f>IF(A156="","",IF(C156&lt;&gt;"",C156,D156))</f>
        <v/>
      </c>
      <c r="C156" s="109" t="n"/>
      <c r="D156" s="81">
        <f>IF(A156="","",NETWORKDAYS(DATE(YEAR(A156),MONTH(A156),1),EOMONTH(A156,0)))</f>
        <v/>
      </c>
      <c r="E156" s="97" t="n"/>
      <c r="F156" s="97" t="n"/>
      <c r="G156" s="97" t="n"/>
      <c r="H156" s="97" t="n"/>
    </row>
    <row r="157">
      <c r="A157" s="108" t="n"/>
      <c r="B157" s="81">
        <f>IF(A157="","",IF(C157&lt;&gt;"",C157,D157))</f>
        <v/>
      </c>
      <c r="C157" s="109" t="n"/>
      <c r="D157" s="81">
        <f>IF(A157="","",NETWORKDAYS(DATE(YEAR(A157),MONTH(A157),1),EOMONTH(A157,0)))</f>
        <v/>
      </c>
      <c r="E157" s="97" t="n"/>
      <c r="F157" s="97" t="n"/>
      <c r="G157" s="97" t="n"/>
      <c r="H157" s="97" t="n"/>
    </row>
    <row r="158">
      <c r="A158" s="108" t="n"/>
      <c r="B158" s="81">
        <f>IF(A158="","",IF(C158&lt;&gt;"",C158,D158))</f>
        <v/>
      </c>
      <c r="C158" s="109" t="n"/>
      <c r="D158" s="81">
        <f>IF(A158="","",NETWORKDAYS(DATE(YEAR(A158),MONTH(A158),1),EOMONTH(A158,0)))</f>
        <v/>
      </c>
      <c r="E158" s="97" t="n"/>
      <c r="F158" s="97" t="n"/>
      <c r="G158" s="97" t="n"/>
      <c r="H158" s="97" t="n"/>
    </row>
    <row r="159">
      <c r="A159" s="108" t="n"/>
      <c r="B159" s="81">
        <f>IF(A159="","",IF(C159&lt;&gt;"",C159,D159))</f>
        <v/>
      </c>
      <c r="C159" s="109" t="n"/>
      <c r="D159" s="81">
        <f>IF(A159="","",NETWORKDAYS(DATE(YEAR(A159),MONTH(A159),1),EOMONTH(A159,0)))</f>
        <v/>
      </c>
      <c r="E159" s="97" t="n"/>
      <c r="F159" s="97" t="n"/>
      <c r="G159" s="97" t="n"/>
      <c r="H159" s="97" t="n"/>
    </row>
    <row r="160">
      <c r="A160" s="108" t="n"/>
      <c r="B160" s="81">
        <f>IF(A160="","",IF(C160&lt;&gt;"",C160,D160))</f>
        <v/>
      </c>
      <c r="C160" s="109" t="n"/>
      <c r="D160" s="81">
        <f>IF(A160="","",NETWORKDAYS(DATE(YEAR(A160),MONTH(A160),1),EOMONTH(A160,0)))</f>
        <v/>
      </c>
      <c r="E160" s="97" t="n"/>
      <c r="F160" s="97" t="n"/>
      <c r="G160" s="97" t="n"/>
      <c r="H160" s="97" t="n"/>
    </row>
    <row r="161">
      <c r="A161" s="108" t="n"/>
      <c r="B161" s="81">
        <f>IF(A161="","",IF(C161&lt;&gt;"",C161,D161))</f>
        <v/>
      </c>
      <c r="C161" s="109" t="n"/>
      <c r="D161" s="81">
        <f>IF(A161="","",NETWORKDAYS(DATE(YEAR(A161),MONTH(A161),1),EOMONTH(A161,0)))</f>
        <v/>
      </c>
      <c r="E161" s="97" t="n"/>
      <c r="F161" s="97" t="n"/>
      <c r="G161" s="97" t="n"/>
      <c r="H161" s="97" t="n"/>
    </row>
    <row r="162">
      <c r="A162" s="108" t="n"/>
      <c r="B162" s="81">
        <f>IF(A162="","",IF(C162&lt;&gt;"",C162,D162))</f>
        <v/>
      </c>
      <c r="C162" s="109" t="n"/>
      <c r="D162" s="81">
        <f>IF(A162="","",NETWORKDAYS(DATE(YEAR(A162),MONTH(A162),1),EOMONTH(A162,0)))</f>
        <v/>
      </c>
      <c r="E162" s="97" t="n"/>
      <c r="F162" s="97" t="n"/>
      <c r="G162" s="97" t="n"/>
      <c r="H162" s="97" t="n"/>
    </row>
    <row r="163">
      <c r="A163" s="108" t="n"/>
      <c r="B163" s="81">
        <f>IF(A163="","",IF(C163&lt;&gt;"",C163,D163))</f>
        <v/>
      </c>
      <c r="C163" s="109" t="n"/>
      <c r="D163" s="81">
        <f>IF(A163="","",NETWORKDAYS(DATE(YEAR(A163),MONTH(A163),1),EOMONTH(A163,0)))</f>
        <v/>
      </c>
      <c r="E163" s="97" t="n"/>
      <c r="F163" s="97" t="n"/>
      <c r="G163" s="97" t="n"/>
      <c r="H163" s="97" t="n"/>
    </row>
    <row r="164">
      <c r="A164" s="108" t="n"/>
      <c r="B164" s="81">
        <f>IF(A164="","",IF(C164&lt;&gt;"",C164,D164))</f>
        <v/>
      </c>
      <c r="C164" s="109" t="n"/>
      <c r="D164" s="81">
        <f>IF(A164="","",NETWORKDAYS(DATE(YEAR(A164),MONTH(A164),1),EOMONTH(A164,0)))</f>
        <v/>
      </c>
      <c r="E164" s="97" t="n"/>
      <c r="F164" s="97" t="n"/>
      <c r="G164" s="97" t="n"/>
      <c r="H164" s="97" t="n"/>
    </row>
    <row r="165">
      <c r="A165" s="108" t="n"/>
      <c r="B165" s="81">
        <f>IF(A165="","",IF(C165&lt;&gt;"",C165,D165))</f>
        <v/>
      </c>
      <c r="C165" s="109" t="n"/>
      <c r="D165" s="81">
        <f>IF(A165="","",NETWORKDAYS(DATE(YEAR(A165),MONTH(A165),1),EOMONTH(A165,0)))</f>
        <v/>
      </c>
      <c r="E165" s="97" t="n"/>
      <c r="F165" s="97" t="n"/>
      <c r="G165" s="97" t="n"/>
      <c r="H165" s="97" t="n"/>
    </row>
    <row r="166">
      <c r="A166" s="108" t="n"/>
      <c r="B166" s="81">
        <f>IF(A166="","",IF(C166&lt;&gt;"",C166,D166))</f>
        <v/>
      </c>
      <c r="C166" s="109" t="n"/>
      <c r="D166" s="81">
        <f>IF(A166="","",NETWORKDAYS(DATE(YEAR(A166),MONTH(A166),1),EOMONTH(A166,0)))</f>
        <v/>
      </c>
      <c r="E166" s="97" t="n"/>
      <c r="F166" s="97" t="n"/>
      <c r="G166" s="97" t="n"/>
      <c r="H166" s="97" t="n"/>
    </row>
    <row r="167">
      <c r="A167" s="108" t="n"/>
      <c r="B167" s="81">
        <f>IF(A167="","",IF(C167&lt;&gt;"",C167,D167))</f>
        <v/>
      </c>
      <c r="C167" s="109" t="n"/>
      <c r="D167" s="81">
        <f>IF(A167="","",NETWORKDAYS(DATE(YEAR(A167),MONTH(A167),1),EOMONTH(A167,0)))</f>
        <v/>
      </c>
      <c r="E167" s="97" t="n"/>
      <c r="F167" s="97" t="n"/>
      <c r="G167" s="97" t="n"/>
      <c r="H167" s="97" t="n"/>
    </row>
    <row r="168">
      <c r="A168" s="108" t="n"/>
      <c r="B168" s="81">
        <f>IF(A168="","",IF(C168&lt;&gt;"",C168,D168))</f>
        <v/>
      </c>
      <c r="C168" s="109" t="n"/>
      <c r="D168" s="81">
        <f>IF(A168="","",NETWORKDAYS(DATE(YEAR(A168),MONTH(A168),1),EOMONTH(A168,0)))</f>
        <v/>
      </c>
      <c r="E168" s="97" t="n"/>
      <c r="F168" s="97" t="n"/>
      <c r="G168" s="97" t="n"/>
      <c r="H168" s="97" t="n"/>
    </row>
    <row r="169">
      <c r="A169" s="108" t="n"/>
      <c r="B169" s="81">
        <f>IF(A169="","",IF(C169&lt;&gt;"",C169,D169))</f>
        <v/>
      </c>
      <c r="C169" s="109" t="n"/>
      <c r="D169" s="81">
        <f>IF(A169="","",NETWORKDAYS(DATE(YEAR(A169),MONTH(A169),1),EOMONTH(A169,0)))</f>
        <v/>
      </c>
      <c r="E169" s="97" t="n"/>
      <c r="F169" s="97" t="n"/>
      <c r="G169" s="97" t="n"/>
      <c r="H169" s="97" t="n"/>
    </row>
    <row r="170">
      <c r="A170" s="108" t="n"/>
      <c r="B170" s="81">
        <f>IF(A170="","",IF(C170&lt;&gt;"",C170,D170))</f>
        <v/>
      </c>
      <c r="C170" s="109" t="n"/>
      <c r="D170" s="81">
        <f>IF(A170="","",NETWORKDAYS(DATE(YEAR(A170),MONTH(A170),1),EOMONTH(A170,0)))</f>
        <v/>
      </c>
      <c r="E170" s="97" t="n"/>
      <c r="F170" s="97" t="n"/>
      <c r="G170" s="97" t="n"/>
      <c r="H170" s="97" t="n"/>
    </row>
    <row r="171">
      <c r="A171" s="108" t="n"/>
      <c r="B171" s="81">
        <f>IF(A171="","",IF(C171&lt;&gt;"",C171,D171))</f>
        <v/>
      </c>
      <c r="C171" s="109" t="n"/>
      <c r="D171" s="81">
        <f>IF(A171="","",NETWORKDAYS(DATE(YEAR(A171),MONTH(A171),1),EOMONTH(A171,0)))</f>
        <v/>
      </c>
      <c r="E171" s="97" t="n"/>
      <c r="F171" s="97" t="n"/>
      <c r="G171" s="97" t="n"/>
      <c r="H171" s="97" t="n"/>
    </row>
    <row r="172">
      <c r="A172" s="108" t="n"/>
      <c r="B172" s="81">
        <f>IF(A172="","",IF(C172&lt;&gt;"",C172,D172))</f>
        <v/>
      </c>
      <c r="C172" s="109" t="n"/>
      <c r="D172" s="81">
        <f>IF(A172="","",NETWORKDAYS(DATE(YEAR(A172),MONTH(A172),1),EOMONTH(A172,0)))</f>
        <v/>
      </c>
      <c r="E172" s="97" t="n"/>
      <c r="F172" s="97" t="n"/>
      <c r="G172" s="97" t="n"/>
      <c r="H172" s="97" t="n"/>
    </row>
    <row r="173">
      <c r="A173" s="108" t="n"/>
      <c r="B173" s="81">
        <f>IF(A173="","",IF(C173&lt;&gt;"",C173,D173))</f>
        <v/>
      </c>
      <c r="C173" s="109" t="n"/>
      <c r="D173" s="81">
        <f>IF(A173="","",NETWORKDAYS(DATE(YEAR(A173),MONTH(A173),1),EOMONTH(A173,0)))</f>
        <v/>
      </c>
      <c r="E173" s="97" t="n"/>
      <c r="F173" s="97" t="n"/>
      <c r="G173" s="97" t="n"/>
      <c r="H173" s="97" t="n"/>
    </row>
    <row r="174">
      <c r="A174" s="108" t="n"/>
      <c r="B174" s="81">
        <f>IF(A174="","",IF(C174&lt;&gt;"",C174,D174))</f>
        <v/>
      </c>
      <c r="C174" s="109" t="n"/>
      <c r="D174" s="81">
        <f>IF(A174="","",NETWORKDAYS(DATE(YEAR(A174),MONTH(A174),1),EOMONTH(A174,0)))</f>
        <v/>
      </c>
      <c r="E174" s="97" t="n"/>
      <c r="F174" s="97" t="n"/>
      <c r="G174" s="97" t="n"/>
      <c r="H174" s="97" t="n"/>
    </row>
    <row r="175">
      <c r="A175" s="108" t="n"/>
      <c r="B175" s="81">
        <f>IF(A175="","",IF(C175&lt;&gt;"",C175,D175))</f>
        <v/>
      </c>
      <c r="C175" s="109" t="n"/>
      <c r="D175" s="81">
        <f>IF(A175="","",NETWORKDAYS(DATE(YEAR(A175),MONTH(A175),1),EOMONTH(A175,0)))</f>
        <v/>
      </c>
      <c r="E175" s="97" t="n"/>
      <c r="F175" s="97" t="n"/>
      <c r="G175" s="97" t="n"/>
      <c r="H175" s="97" t="n"/>
    </row>
    <row r="176">
      <c r="A176" s="108" t="n"/>
      <c r="B176" s="81">
        <f>IF(A176="","",IF(C176&lt;&gt;"",C176,D176))</f>
        <v/>
      </c>
      <c r="C176" s="109" t="n"/>
      <c r="D176" s="81">
        <f>IF(A176="","",NETWORKDAYS(DATE(YEAR(A176),MONTH(A176),1),EOMONTH(A176,0)))</f>
        <v/>
      </c>
      <c r="E176" s="97" t="n"/>
      <c r="F176" s="97" t="n"/>
      <c r="G176" s="97" t="n"/>
      <c r="H176" s="97" t="n"/>
    </row>
    <row r="177">
      <c r="A177" s="108" t="n"/>
      <c r="B177" s="81">
        <f>IF(A177="","",IF(C177&lt;&gt;"",C177,D177))</f>
        <v/>
      </c>
      <c r="C177" s="109" t="n"/>
      <c r="D177" s="81">
        <f>IF(A177="","",NETWORKDAYS(DATE(YEAR(A177),MONTH(A177),1),EOMONTH(A177,0)))</f>
        <v/>
      </c>
      <c r="E177" s="97" t="n"/>
      <c r="F177" s="97" t="n"/>
      <c r="G177" s="97" t="n"/>
      <c r="H177" s="97" t="n"/>
    </row>
    <row r="178">
      <c r="A178" s="108" t="n"/>
      <c r="B178" s="81">
        <f>IF(A178="","",IF(C178&lt;&gt;"",C178,D178))</f>
        <v/>
      </c>
      <c r="C178" s="109" t="n"/>
      <c r="D178" s="81">
        <f>IF(A178="","",NETWORKDAYS(DATE(YEAR(A178),MONTH(A178),1),EOMONTH(A178,0)))</f>
        <v/>
      </c>
      <c r="E178" s="97" t="n"/>
      <c r="F178" s="97" t="n"/>
      <c r="G178" s="97" t="n"/>
      <c r="H178" s="97" t="n"/>
    </row>
    <row r="179">
      <c r="A179" s="108" t="n"/>
      <c r="B179" s="81">
        <f>IF(A179="","",IF(C179&lt;&gt;"",C179,D179))</f>
        <v/>
      </c>
      <c r="C179" s="109" t="n"/>
      <c r="D179" s="81">
        <f>IF(A179="","",NETWORKDAYS(DATE(YEAR(A179),MONTH(A179),1),EOMONTH(A179,0)))</f>
        <v/>
      </c>
      <c r="E179" s="97" t="n"/>
      <c r="F179" s="97" t="n"/>
      <c r="G179" s="97" t="n"/>
      <c r="H179" s="97" t="n"/>
    </row>
    <row r="180">
      <c r="A180" s="108" t="n"/>
      <c r="B180" s="81">
        <f>IF(A180="","",IF(C180&lt;&gt;"",C180,D180))</f>
        <v/>
      </c>
      <c r="C180" s="109" t="n"/>
      <c r="D180" s="81">
        <f>IF(A180="","",NETWORKDAYS(DATE(YEAR(A180),MONTH(A180),1),EOMONTH(A180,0)))</f>
        <v/>
      </c>
      <c r="E180" s="97" t="n"/>
      <c r="F180" s="97" t="n"/>
      <c r="G180" s="97" t="n"/>
      <c r="H180" s="97" t="n"/>
    </row>
    <row r="181">
      <c r="A181" s="108" t="n"/>
      <c r="B181" s="81">
        <f>IF(A181="","",IF(C181&lt;&gt;"",C181,D181))</f>
        <v/>
      </c>
      <c r="C181" s="109" t="n"/>
      <c r="D181" s="81">
        <f>IF(A181="","",NETWORKDAYS(DATE(YEAR(A181),MONTH(A181),1),EOMONTH(A181,0)))</f>
        <v/>
      </c>
      <c r="E181" s="97" t="n"/>
      <c r="F181" s="97" t="n"/>
      <c r="G181" s="97" t="n"/>
      <c r="H181" s="97" t="n"/>
    </row>
    <row r="182">
      <c r="A182" s="108" t="n"/>
      <c r="B182" s="81">
        <f>IF(A182="","",IF(C182&lt;&gt;"",C182,D182))</f>
        <v/>
      </c>
      <c r="C182" s="109" t="n"/>
      <c r="D182" s="81">
        <f>IF(A182="","",NETWORKDAYS(DATE(YEAR(A182),MONTH(A182),1),EOMONTH(A182,0)))</f>
        <v/>
      </c>
      <c r="E182" s="97" t="n"/>
      <c r="F182" s="97" t="n"/>
      <c r="G182" s="97" t="n"/>
      <c r="H182" s="97" t="n"/>
    </row>
    <row r="183">
      <c r="A183" s="108" t="n"/>
      <c r="B183" s="81">
        <f>IF(A183="","",IF(C183&lt;&gt;"",C183,D183))</f>
        <v/>
      </c>
      <c r="C183" s="109" t="n"/>
      <c r="D183" s="81">
        <f>IF(A183="","",NETWORKDAYS(DATE(YEAR(A183),MONTH(A183),1),EOMONTH(A183,0)))</f>
        <v/>
      </c>
      <c r="E183" s="97" t="n"/>
      <c r="F183" s="97" t="n"/>
      <c r="G183" s="97" t="n"/>
      <c r="H183" s="97" t="n"/>
    </row>
    <row r="184">
      <c r="A184" s="108" t="n"/>
      <c r="B184" s="81">
        <f>IF(A184="","",IF(C184&lt;&gt;"",C184,D184))</f>
        <v/>
      </c>
      <c r="C184" s="109" t="n"/>
      <c r="D184" s="81">
        <f>IF(A184="","",NETWORKDAYS(DATE(YEAR(A184),MONTH(A184),1),EOMONTH(A184,0)))</f>
        <v/>
      </c>
      <c r="E184" s="97" t="n"/>
      <c r="F184" s="97" t="n"/>
      <c r="G184" s="97" t="n"/>
      <c r="H184" s="97" t="n"/>
    </row>
    <row r="185">
      <c r="A185" s="108" t="n"/>
      <c r="B185" s="81">
        <f>IF(A185="","",IF(C185&lt;&gt;"",C185,D185))</f>
        <v/>
      </c>
      <c r="C185" s="109" t="n"/>
      <c r="D185" s="81">
        <f>IF(A185="","",NETWORKDAYS(DATE(YEAR(A185),MONTH(A185),1),EOMONTH(A185,0)))</f>
        <v/>
      </c>
      <c r="E185" s="97" t="n"/>
      <c r="F185" s="97" t="n"/>
      <c r="G185" s="97" t="n"/>
      <c r="H185" s="97" t="n"/>
    </row>
    <row r="186">
      <c r="A186" s="108" t="n"/>
      <c r="B186" s="81">
        <f>IF(A186="","",IF(C186&lt;&gt;"",C186,D186))</f>
        <v/>
      </c>
      <c r="C186" s="109" t="n"/>
      <c r="D186" s="81">
        <f>IF(A186="","",NETWORKDAYS(DATE(YEAR(A186),MONTH(A186),1),EOMONTH(A186,0)))</f>
        <v/>
      </c>
      <c r="E186" s="97" t="n"/>
      <c r="F186" s="97" t="n"/>
      <c r="G186" s="97" t="n"/>
      <c r="H186" s="97" t="n"/>
    </row>
    <row r="187">
      <c r="A187" s="108" t="n"/>
      <c r="B187" s="81">
        <f>IF(A187="","",IF(C187&lt;&gt;"",C187,D187))</f>
        <v/>
      </c>
      <c r="C187" s="109" t="n"/>
      <c r="D187" s="81">
        <f>IF(A187="","",NETWORKDAYS(DATE(YEAR(A187),MONTH(A187),1),EOMONTH(A187,0)))</f>
        <v/>
      </c>
      <c r="E187" s="97" t="n"/>
      <c r="F187" s="97" t="n"/>
      <c r="G187" s="97" t="n"/>
      <c r="H187" s="97" t="n"/>
    </row>
    <row r="188">
      <c r="A188" s="108" t="n"/>
      <c r="B188" s="81">
        <f>IF(A188="","",IF(C188&lt;&gt;"",C188,D188))</f>
        <v/>
      </c>
      <c r="C188" s="109" t="n"/>
      <c r="D188" s="81">
        <f>IF(A188="","",NETWORKDAYS(DATE(YEAR(A188),MONTH(A188),1),EOMONTH(A188,0)))</f>
        <v/>
      </c>
      <c r="E188" s="97" t="n"/>
      <c r="F188" s="97" t="n"/>
      <c r="G188" s="97" t="n"/>
      <c r="H188" s="97" t="n"/>
    </row>
    <row r="189">
      <c r="A189" s="108" t="n"/>
      <c r="B189" s="81">
        <f>IF(A189="","",IF(C189&lt;&gt;"",C189,D189))</f>
        <v/>
      </c>
      <c r="C189" s="109" t="n"/>
      <c r="D189" s="81">
        <f>IF(A189="","",NETWORKDAYS(DATE(YEAR(A189),MONTH(A189),1),EOMONTH(A189,0)))</f>
        <v/>
      </c>
      <c r="E189" s="97" t="n"/>
      <c r="F189" s="97" t="n"/>
      <c r="G189" s="97" t="n"/>
      <c r="H189" s="97" t="n"/>
    </row>
    <row r="190">
      <c r="A190" s="108" t="n"/>
      <c r="B190" s="81">
        <f>IF(A190="","",IF(C190&lt;&gt;"",C190,D190))</f>
        <v/>
      </c>
      <c r="C190" s="109" t="n"/>
      <c r="D190" s="81">
        <f>IF(A190="","",NETWORKDAYS(DATE(YEAR(A190),MONTH(A190),1),EOMONTH(A190,0)))</f>
        <v/>
      </c>
      <c r="E190" s="97" t="n"/>
      <c r="F190" s="97" t="n"/>
      <c r="G190" s="97" t="n"/>
      <c r="H190" s="97" t="n"/>
    </row>
    <row r="191">
      <c r="A191" s="108" t="n"/>
      <c r="B191" s="81">
        <f>IF(A191="","",IF(C191&lt;&gt;"",C191,D191))</f>
        <v/>
      </c>
      <c r="C191" s="109" t="n"/>
      <c r="D191" s="81">
        <f>IF(A191="","",NETWORKDAYS(DATE(YEAR(A191),MONTH(A191),1),EOMONTH(A191,0)))</f>
        <v/>
      </c>
      <c r="E191" s="97" t="n"/>
      <c r="F191" s="97" t="n"/>
      <c r="G191" s="97" t="n"/>
      <c r="H191" s="97" t="n"/>
    </row>
    <row r="192">
      <c r="A192" s="108" t="n"/>
      <c r="B192" s="81">
        <f>IF(A192="","",IF(C192&lt;&gt;"",C192,D192))</f>
        <v/>
      </c>
      <c r="C192" s="109" t="n"/>
      <c r="D192" s="81">
        <f>IF(A192="","",NETWORKDAYS(DATE(YEAR(A192),MONTH(A192),1),EOMONTH(A192,0)))</f>
        <v/>
      </c>
      <c r="E192" s="97" t="n"/>
      <c r="F192" s="97" t="n"/>
      <c r="G192" s="97" t="n"/>
      <c r="H192" s="97" t="n"/>
    </row>
    <row r="193">
      <c r="A193" s="108" t="n"/>
      <c r="B193" s="81">
        <f>IF(A193="","",IF(C193&lt;&gt;"",C193,D193))</f>
        <v/>
      </c>
      <c r="C193" s="109" t="n"/>
      <c r="D193" s="81">
        <f>IF(A193="","",NETWORKDAYS(DATE(YEAR(A193),MONTH(A193),1),EOMONTH(A193,0)))</f>
        <v/>
      </c>
      <c r="E193" s="97" t="n"/>
      <c r="F193" s="97" t="n"/>
      <c r="G193" s="97" t="n"/>
      <c r="H193" s="97" t="n"/>
    </row>
    <row r="194">
      <c r="A194" s="108" t="n"/>
      <c r="B194" s="81">
        <f>IF(A194="","",IF(C194&lt;&gt;"",C194,D194))</f>
        <v/>
      </c>
      <c r="C194" s="109" t="n"/>
      <c r="D194" s="81">
        <f>IF(A194="","",NETWORKDAYS(DATE(YEAR(A194),MONTH(A194),1),EOMONTH(A194,0)))</f>
        <v/>
      </c>
      <c r="E194" s="97" t="n"/>
      <c r="F194" s="97" t="n"/>
      <c r="G194" s="97" t="n"/>
      <c r="H194" s="97" t="n"/>
    </row>
    <row r="195">
      <c r="A195" s="108" t="n"/>
      <c r="B195" s="81">
        <f>IF(A195="","",IF(C195&lt;&gt;"",C195,D195))</f>
        <v/>
      </c>
      <c r="C195" s="109" t="n"/>
      <c r="D195" s="81">
        <f>IF(A195="","",NETWORKDAYS(DATE(YEAR(A195),MONTH(A195),1),EOMONTH(A195,0)))</f>
        <v/>
      </c>
      <c r="E195" s="97" t="n"/>
      <c r="F195" s="97" t="n"/>
      <c r="G195" s="97" t="n"/>
      <c r="H195" s="97" t="n"/>
    </row>
    <row r="196">
      <c r="A196" s="108" t="n"/>
      <c r="B196" s="81">
        <f>IF(A196="","",IF(C196&lt;&gt;"",C196,D196))</f>
        <v/>
      </c>
      <c r="C196" s="109" t="n"/>
      <c r="D196" s="81">
        <f>IF(A196="","",NETWORKDAYS(DATE(YEAR(A196),MONTH(A196),1),EOMONTH(A196,0)))</f>
        <v/>
      </c>
      <c r="E196" s="97" t="n"/>
      <c r="F196" s="97" t="n"/>
      <c r="G196" s="97" t="n"/>
      <c r="H196" s="97" t="n"/>
    </row>
    <row r="197">
      <c r="A197" s="108" t="n"/>
      <c r="B197" s="81">
        <f>IF(A197="","",IF(C197&lt;&gt;"",C197,D197))</f>
        <v/>
      </c>
      <c r="C197" s="109" t="n"/>
      <c r="D197" s="81">
        <f>IF(A197="","",NETWORKDAYS(DATE(YEAR(A197),MONTH(A197),1),EOMONTH(A197,0)))</f>
        <v/>
      </c>
      <c r="E197" s="97" t="n"/>
      <c r="F197" s="97" t="n"/>
      <c r="G197" s="97" t="n"/>
      <c r="H197" s="97" t="n"/>
    </row>
    <row r="198">
      <c r="A198" s="108" t="n"/>
      <c r="B198" s="81">
        <f>IF(A198="","",IF(C198&lt;&gt;"",C198,D198))</f>
        <v/>
      </c>
      <c r="C198" s="109" t="n"/>
      <c r="D198" s="81">
        <f>IF(A198="","",NETWORKDAYS(DATE(YEAR(A198),MONTH(A198),1),EOMONTH(A198,0)))</f>
        <v/>
      </c>
      <c r="E198" s="97" t="n"/>
      <c r="F198" s="97" t="n"/>
      <c r="G198" s="97" t="n"/>
      <c r="H198" s="97" t="n"/>
    </row>
    <row r="199">
      <c r="A199" s="108" t="n"/>
      <c r="B199" s="81">
        <f>IF(A199="","",IF(C199&lt;&gt;"",C199,D199))</f>
        <v/>
      </c>
      <c r="C199" s="109" t="n"/>
      <c r="D199" s="81">
        <f>IF(A199="","",NETWORKDAYS(DATE(YEAR(A199),MONTH(A199),1),EOMONTH(A199,0)))</f>
        <v/>
      </c>
      <c r="E199" s="97" t="n"/>
      <c r="F199" s="97" t="n"/>
      <c r="G199" s="97" t="n"/>
      <c r="H199" s="97" t="n"/>
    </row>
    <row r="200">
      <c r="A200" s="108" t="n"/>
      <c r="B200" s="81">
        <f>IF(A200="","",IF(C200&lt;&gt;"",C200,D200))</f>
        <v/>
      </c>
      <c r="C200" s="109" t="n"/>
      <c r="D200" s="81">
        <f>IF(A200="","",NETWORKDAYS(DATE(YEAR(A200),MONTH(A200),1),EOMONTH(A200,0)))</f>
        <v/>
      </c>
      <c r="E200" s="97" t="n"/>
      <c r="F200" s="97" t="n"/>
      <c r="G200" s="97" t="n"/>
      <c r="H200" s="97" t="n"/>
    </row>
    <row r="201">
      <c r="A201" s="108" t="n"/>
      <c r="B201" s="81">
        <f>IF(A201="","",IF(C201&lt;&gt;"",C201,D201))</f>
        <v/>
      </c>
      <c r="C201" s="109" t="n"/>
      <c r="D201" s="81">
        <f>IF(A201="","",NETWORKDAYS(DATE(YEAR(A201),MONTH(A201),1),EOMONTH(A201,0)))</f>
        <v/>
      </c>
      <c r="E201" s="97" t="n"/>
      <c r="F201" s="97" t="n"/>
      <c r="G201" s="97" t="n"/>
      <c r="H201" s="97" t="n"/>
    </row>
    <row r="202">
      <c r="A202" s="108" t="n"/>
      <c r="B202" s="81">
        <f>IF(A202="","",IF(C202&lt;&gt;"",C202,D202))</f>
        <v/>
      </c>
      <c r="C202" s="109" t="n"/>
      <c r="D202" s="81">
        <f>IF(A202="","",NETWORKDAYS(DATE(YEAR(A202),MONTH(A202),1),EOMONTH(A202,0)))</f>
        <v/>
      </c>
      <c r="E202" s="97" t="n"/>
      <c r="F202" s="97" t="n"/>
      <c r="G202" s="97" t="n"/>
      <c r="H202" s="97" t="n"/>
    </row>
    <row r="203">
      <c r="A203" s="108" t="n"/>
      <c r="B203" s="81">
        <f>IF(A203="","",IF(C203&lt;&gt;"",C203,D203))</f>
        <v/>
      </c>
      <c r="C203" s="109" t="n"/>
      <c r="D203" s="81">
        <f>IF(A203="","",NETWORKDAYS(DATE(YEAR(A203),MONTH(A203),1),EOMONTH(A203,0)))</f>
        <v/>
      </c>
      <c r="E203" s="97" t="n"/>
      <c r="F203" s="97" t="n"/>
      <c r="G203" s="97" t="n"/>
      <c r="H203" s="97" t="n"/>
    </row>
    <row r="204">
      <c r="A204" s="108" t="n"/>
      <c r="B204" s="81">
        <f>IF(A204="","",IF(C204&lt;&gt;"",C204,D204))</f>
        <v/>
      </c>
      <c r="C204" s="109" t="n"/>
      <c r="D204" s="81">
        <f>IF(A204="","",NETWORKDAYS(DATE(YEAR(A204),MONTH(A204),1),EOMONTH(A204,0)))</f>
        <v/>
      </c>
      <c r="E204" s="97" t="n"/>
      <c r="F204" s="97" t="n"/>
      <c r="G204" s="97" t="n"/>
      <c r="H204" s="97" t="n"/>
    </row>
    <row r="205">
      <c r="A205" s="108" t="n"/>
      <c r="B205" s="81">
        <f>IF(A205="","",IF(C205&lt;&gt;"",C205,D205))</f>
        <v/>
      </c>
      <c r="C205" s="109" t="n"/>
      <c r="D205" s="81">
        <f>IF(A205="","",NETWORKDAYS(DATE(YEAR(A205),MONTH(A205),1),EOMONTH(A205,0)))</f>
        <v/>
      </c>
      <c r="E205" s="97" t="n"/>
      <c r="F205" s="97" t="n"/>
      <c r="G205" s="97" t="n"/>
      <c r="H205" s="97" t="n"/>
    </row>
    <row r="206">
      <c r="A206" s="108" t="n"/>
      <c r="B206" s="81">
        <f>IF(A206="","",IF(C206&lt;&gt;"",C206,D206))</f>
        <v/>
      </c>
      <c r="C206" s="109" t="n"/>
      <c r="D206" s="81">
        <f>IF(A206="","",NETWORKDAYS(DATE(YEAR(A206),MONTH(A206),1),EOMONTH(A206,0)))</f>
        <v/>
      </c>
      <c r="E206" s="97" t="n"/>
      <c r="F206" s="97" t="n"/>
      <c r="G206" s="97" t="n"/>
      <c r="H206" s="97" t="n"/>
    </row>
    <row r="207">
      <c r="A207" s="108" t="n"/>
      <c r="B207" s="81">
        <f>IF(A207="","",IF(C207&lt;&gt;"",C207,D207))</f>
        <v/>
      </c>
      <c r="C207" s="109" t="n"/>
      <c r="D207" s="81">
        <f>IF(A207="","",NETWORKDAYS(DATE(YEAR(A207),MONTH(A207),1),EOMONTH(A207,0)))</f>
        <v/>
      </c>
      <c r="E207" s="97" t="n"/>
      <c r="F207" s="97" t="n"/>
      <c r="G207" s="97" t="n"/>
      <c r="H207" s="97" t="n"/>
    </row>
    <row r="208">
      <c r="A208" s="108" t="n"/>
      <c r="B208" s="81">
        <f>IF(A208="","",IF(C208&lt;&gt;"",C208,D208))</f>
        <v/>
      </c>
      <c r="C208" s="109" t="n"/>
      <c r="D208" s="81">
        <f>IF(A208="","",NETWORKDAYS(DATE(YEAR(A208),MONTH(A208),1),EOMONTH(A208,0)))</f>
        <v/>
      </c>
      <c r="E208" s="97" t="n"/>
      <c r="F208" s="97" t="n"/>
      <c r="G208" s="97" t="n"/>
      <c r="H208" s="97" t="n"/>
    </row>
    <row r="209">
      <c r="A209" s="108" t="n"/>
      <c r="B209" s="81">
        <f>IF(A209="","",IF(C209&lt;&gt;"",C209,D209))</f>
        <v/>
      </c>
      <c r="C209" s="109" t="n"/>
      <c r="D209" s="81">
        <f>IF(A209="","",NETWORKDAYS(DATE(YEAR(A209),MONTH(A209),1),EOMONTH(A209,0)))</f>
        <v/>
      </c>
      <c r="E209" s="97" t="n"/>
      <c r="F209" s="97" t="n"/>
      <c r="G209" s="97" t="n"/>
      <c r="H209" s="97" t="n"/>
    </row>
    <row r="210">
      <c r="A210" s="108" t="n"/>
      <c r="B210" s="81">
        <f>IF(A210="","",IF(C210&lt;&gt;"",C210,D210))</f>
        <v/>
      </c>
      <c r="C210" s="109" t="n"/>
      <c r="D210" s="81">
        <f>IF(A210="","",NETWORKDAYS(DATE(YEAR(A210),MONTH(A210),1),EOMONTH(A210,0)))</f>
        <v/>
      </c>
      <c r="E210" s="97" t="n"/>
      <c r="F210" s="97" t="n"/>
      <c r="G210" s="97" t="n"/>
      <c r="H210" s="97" t="n"/>
    </row>
    <row r="211">
      <c r="A211" s="108" t="n"/>
      <c r="B211" s="81">
        <f>IF(A211="","",IF(C211&lt;&gt;"",C211,D211))</f>
        <v/>
      </c>
      <c r="C211" s="109" t="n"/>
      <c r="D211" s="81">
        <f>IF(A211="","",NETWORKDAYS(DATE(YEAR(A211),MONTH(A211),1),EOMONTH(A211,0)))</f>
        <v/>
      </c>
      <c r="E211" s="97" t="n"/>
      <c r="F211" s="97" t="n"/>
      <c r="G211" s="97" t="n"/>
      <c r="H211" s="97" t="n"/>
    </row>
    <row r="212">
      <c r="A212" s="108" t="n"/>
      <c r="B212" s="81">
        <f>IF(A212="","",IF(C212&lt;&gt;"",C212,D212))</f>
        <v/>
      </c>
      <c r="C212" s="109" t="n"/>
      <c r="D212" s="81">
        <f>IF(A212="","",NETWORKDAYS(DATE(YEAR(A212),MONTH(A212),1),EOMONTH(A212,0)))</f>
        <v/>
      </c>
      <c r="E212" s="97" t="n"/>
      <c r="F212" s="97" t="n"/>
      <c r="G212" s="97" t="n"/>
      <c r="H212" s="97" t="n"/>
    </row>
    <row r="213">
      <c r="A213" s="108" t="n"/>
      <c r="B213" s="81">
        <f>IF(A213="","",IF(C213&lt;&gt;"",C213,D213))</f>
        <v/>
      </c>
      <c r="C213" s="109" t="n"/>
      <c r="D213" s="81">
        <f>IF(A213="","",NETWORKDAYS(DATE(YEAR(A213),MONTH(A213),1),EOMONTH(A213,0)))</f>
        <v/>
      </c>
      <c r="E213" s="97" t="n"/>
      <c r="F213" s="97" t="n"/>
      <c r="G213" s="97" t="n"/>
      <c r="H213" s="97" t="n"/>
    </row>
    <row r="214">
      <c r="A214" s="108" t="n"/>
      <c r="B214" s="81">
        <f>IF(A214="","",IF(C214&lt;&gt;"",C214,D214))</f>
        <v/>
      </c>
      <c r="C214" s="109" t="n"/>
      <c r="D214" s="81">
        <f>IF(A214="","",NETWORKDAYS(DATE(YEAR(A214),MONTH(A214),1),EOMONTH(A214,0)))</f>
        <v/>
      </c>
      <c r="E214" s="97" t="n"/>
      <c r="F214" s="97" t="n"/>
      <c r="G214" s="97" t="n"/>
      <c r="H214" s="97" t="n"/>
    </row>
    <row r="215">
      <c r="A215" s="108" t="n"/>
      <c r="B215" s="81">
        <f>IF(A215="","",IF(C215&lt;&gt;"",C215,D215))</f>
        <v/>
      </c>
      <c r="C215" s="109" t="n"/>
      <c r="D215" s="81">
        <f>IF(A215="","",NETWORKDAYS(DATE(YEAR(A215),MONTH(A215),1),EOMONTH(A215,0)))</f>
        <v/>
      </c>
      <c r="E215" s="97" t="n"/>
      <c r="F215" s="97" t="n"/>
      <c r="G215" s="97" t="n"/>
      <c r="H215" s="97" t="n"/>
    </row>
    <row r="216">
      <c r="A216" s="108" t="n"/>
      <c r="B216" s="81">
        <f>IF(A216="","",IF(C216&lt;&gt;"",C216,D216))</f>
        <v/>
      </c>
      <c r="C216" s="109" t="n"/>
      <c r="D216" s="81">
        <f>IF(A216="","",NETWORKDAYS(DATE(YEAR(A216),MONTH(A216),1),EOMONTH(A216,0)))</f>
        <v/>
      </c>
      <c r="E216" s="97" t="n"/>
      <c r="F216" s="97" t="n"/>
      <c r="G216" s="97" t="n"/>
      <c r="H216" s="97" t="n"/>
    </row>
    <row r="217">
      <c r="A217" s="108" t="n"/>
      <c r="B217" s="81">
        <f>IF(A217="","",IF(C217&lt;&gt;"",C217,D217))</f>
        <v/>
      </c>
      <c r="C217" s="109" t="n"/>
      <c r="D217" s="81">
        <f>IF(A217="","",NETWORKDAYS(DATE(YEAR(A217),MONTH(A217),1),EOMONTH(A217,0)))</f>
        <v/>
      </c>
      <c r="E217" s="97" t="n"/>
      <c r="F217" s="97" t="n"/>
      <c r="G217" s="97" t="n"/>
      <c r="H217" s="97" t="n"/>
    </row>
    <row r="218">
      <c r="A218" s="108" t="n"/>
      <c r="B218" s="81">
        <f>IF(A218="","",IF(C218&lt;&gt;"",C218,D218))</f>
        <v/>
      </c>
      <c r="C218" s="109" t="n"/>
      <c r="D218" s="81">
        <f>IF(A218="","",NETWORKDAYS(DATE(YEAR(A218),MONTH(A218),1),EOMONTH(A218,0)))</f>
        <v/>
      </c>
      <c r="E218" s="97" t="n"/>
      <c r="F218" s="97" t="n"/>
      <c r="G218" s="97" t="n"/>
      <c r="H218" s="97" t="n"/>
    </row>
    <row r="219">
      <c r="A219" s="108" t="n"/>
      <c r="B219" s="81">
        <f>IF(A219="","",IF(C219&lt;&gt;"",C219,D219))</f>
        <v/>
      </c>
      <c r="C219" s="109" t="n"/>
      <c r="D219" s="81">
        <f>IF(A219="","",NETWORKDAYS(DATE(YEAR(A219),MONTH(A219),1),EOMONTH(A219,0)))</f>
        <v/>
      </c>
      <c r="E219" s="97" t="n"/>
      <c r="F219" s="97" t="n"/>
      <c r="G219" s="97" t="n"/>
      <c r="H219" s="97" t="n"/>
    </row>
    <row r="220">
      <c r="A220" s="108" t="n"/>
      <c r="B220" s="81">
        <f>IF(A220="","",IF(C220&lt;&gt;"",C220,D220))</f>
        <v/>
      </c>
      <c r="C220" s="109" t="n"/>
      <c r="D220" s="81">
        <f>IF(A220="","",NETWORKDAYS(DATE(YEAR(A220),MONTH(A220),1),EOMONTH(A220,0)))</f>
        <v/>
      </c>
      <c r="E220" s="97" t="n"/>
      <c r="F220" s="97" t="n"/>
      <c r="G220" s="97" t="n"/>
      <c r="H220" s="97" t="n"/>
    </row>
    <row r="221">
      <c r="A221" s="108" t="n"/>
      <c r="B221" s="81">
        <f>IF(A221="","",IF(C221&lt;&gt;"",C221,D221))</f>
        <v/>
      </c>
      <c r="C221" s="109" t="n"/>
      <c r="D221" s="81">
        <f>IF(A221="","",NETWORKDAYS(DATE(YEAR(A221),MONTH(A221),1),EOMONTH(A221,0)))</f>
        <v/>
      </c>
      <c r="E221" s="97" t="n"/>
      <c r="F221" s="97" t="n"/>
      <c r="G221" s="97" t="n"/>
      <c r="H221" s="97" t="n"/>
    </row>
    <row r="222">
      <c r="A222" s="108" t="n"/>
      <c r="B222" s="81">
        <f>IF(A222="","",IF(C222&lt;&gt;"",C222,D222))</f>
        <v/>
      </c>
      <c r="C222" s="109" t="n"/>
      <c r="D222" s="81">
        <f>IF(A222="","",NETWORKDAYS(DATE(YEAR(A222),MONTH(A222),1),EOMONTH(A222,0)))</f>
        <v/>
      </c>
      <c r="E222" s="97" t="n"/>
      <c r="F222" s="97" t="n"/>
      <c r="G222" s="97" t="n"/>
      <c r="H222" s="97" t="n"/>
    </row>
    <row r="223">
      <c r="A223" s="108" t="n"/>
      <c r="B223" s="81">
        <f>IF(A223="","",IF(C223&lt;&gt;"",C223,D223))</f>
        <v/>
      </c>
      <c r="C223" s="109" t="n"/>
      <c r="D223" s="81">
        <f>IF(A223="","",NETWORKDAYS(DATE(YEAR(A223),MONTH(A223),1),EOMONTH(A223,0)))</f>
        <v/>
      </c>
      <c r="E223" s="97" t="n"/>
      <c r="F223" s="97" t="n"/>
      <c r="G223" s="97" t="n"/>
      <c r="H223" s="97" t="n"/>
    </row>
    <row r="224">
      <c r="A224" s="108" t="n"/>
      <c r="B224" s="81">
        <f>IF(A224="","",IF(C224&lt;&gt;"",C224,D224))</f>
        <v/>
      </c>
      <c r="C224" s="109" t="n"/>
      <c r="D224" s="81">
        <f>IF(A224="","",NETWORKDAYS(DATE(YEAR(A224),MONTH(A224),1),EOMONTH(A224,0)))</f>
        <v/>
      </c>
      <c r="E224" s="97" t="n"/>
      <c r="F224" s="97" t="n"/>
      <c r="G224" s="97" t="n"/>
      <c r="H224" s="97" t="n"/>
    </row>
    <row r="225">
      <c r="A225" s="108" t="n"/>
      <c r="B225" s="81">
        <f>IF(A225="","",IF(C225&lt;&gt;"",C225,D225))</f>
        <v/>
      </c>
      <c r="C225" s="109" t="n"/>
      <c r="D225" s="81">
        <f>IF(A225="","",NETWORKDAYS(DATE(YEAR(A225),MONTH(A225),1),EOMONTH(A225,0)))</f>
        <v/>
      </c>
      <c r="E225" s="97" t="n"/>
      <c r="F225" s="97" t="n"/>
      <c r="G225" s="97" t="n"/>
      <c r="H225" s="97" t="n"/>
    </row>
    <row r="226">
      <c r="A226" s="108" t="n"/>
      <c r="B226" s="81">
        <f>IF(A226="","",IF(C226&lt;&gt;"",C226,D226))</f>
        <v/>
      </c>
      <c r="C226" s="109" t="n"/>
      <c r="D226" s="81">
        <f>IF(A226="","",NETWORKDAYS(DATE(YEAR(A226),MONTH(A226),1),EOMONTH(A226,0)))</f>
        <v/>
      </c>
      <c r="E226" s="97" t="n"/>
      <c r="F226" s="97" t="n"/>
      <c r="G226" s="97" t="n"/>
      <c r="H226" s="97" t="n"/>
    </row>
    <row r="227">
      <c r="A227" s="108" t="n"/>
      <c r="B227" s="81">
        <f>IF(A227="","",IF(C227&lt;&gt;"",C227,D227))</f>
        <v/>
      </c>
      <c r="C227" s="109" t="n"/>
      <c r="D227" s="81">
        <f>IF(A227="","",NETWORKDAYS(DATE(YEAR(A227),MONTH(A227),1),EOMONTH(A227,0)))</f>
        <v/>
      </c>
      <c r="E227" s="97" t="n"/>
      <c r="F227" s="97" t="n"/>
      <c r="G227" s="97" t="n"/>
      <c r="H227" s="97" t="n"/>
    </row>
    <row r="228">
      <c r="A228" s="108" t="n"/>
      <c r="B228" s="81">
        <f>IF(A228="","",IF(C228&lt;&gt;"",C228,D228))</f>
        <v/>
      </c>
      <c r="C228" s="109" t="n"/>
      <c r="D228" s="81">
        <f>IF(A228="","",NETWORKDAYS(DATE(YEAR(A228),MONTH(A228),1),EOMONTH(A228,0)))</f>
        <v/>
      </c>
      <c r="E228" s="97" t="n"/>
      <c r="F228" s="97" t="n"/>
      <c r="G228" s="97" t="n"/>
      <c r="H228" s="97" t="n"/>
    </row>
    <row r="229">
      <c r="A229" s="108" t="n"/>
      <c r="B229" s="81">
        <f>IF(A229="","",IF(C229&lt;&gt;"",C229,D229))</f>
        <v/>
      </c>
      <c r="C229" s="109" t="n"/>
      <c r="D229" s="81">
        <f>IF(A229="","",NETWORKDAYS(DATE(YEAR(A229),MONTH(A229),1),EOMONTH(A229,0)))</f>
        <v/>
      </c>
      <c r="E229" s="97" t="n"/>
      <c r="F229" s="97" t="n"/>
      <c r="G229" s="97" t="n"/>
      <c r="H229" s="97" t="n"/>
    </row>
    <row r="230">
      <c r="A230" s="108" t="n"/>
      <c r="B230" s="81">
        <f>IF(A230="","",IF(C230&lt;&gt;"",C230,D230))</f>
        <v/>
      </c>
      <c r="C230" s="109" t="n"/>
      <c r="D230" s="81">
        <f>IF(A230="","",NETWORKDAYS(DATE(YEAR(A230),MONTH(A230),1),EOMONTH(A230,0)))</f>
        <v/>
      </c>
      <c r="E230" s="97" t="n"/>
      <c r="F230" s="97" t="n"/>
      <c r="G230" s="97" t="n"/>
      <c r="H230" s="97" t="n"/>
    </row>
    <row r="231">
      <c r="A231" s="108" t="n"/>
      <c r="B231" s="81">
        <f>IF(A231="","",IF(C231&lt;&gt;"",C231,D231))</f>
        <v/>
      </c>
      <c r="C231" s="109" t="n"/>
      <c r="D231" s="81">
        <f>IF(A231="","",NETWORKDAYS(DATE(YEAR(A231),MONTH(A231),1),EOMONTH(A231,0)))</f>
        <v/>
      </c>
      <c r="E231" s="97" t="n"/>
      <c r="F231" s="97" t="n"/>
      <c r="G231" s="97" t="n"/>
      <c r="H231" s="97" t="n"/>
    </row>
    <row r="232">
      <c r="A232" s="108" t="n"/>
      <c r="B232" s="81">
        <f>IF(A232="","",IF(C232&lt;&gt;"",C232,D232))</f>
        <v/>
      </c>
      <c r="C232" s="109" t="n"/>
      <c r="D232" s="81">
        <f>IF(A232="","",NETWORKDAYS(DATE(YEAR(A232),MONTH(A232),1),EOMONTH(A232,0)))</f>
        <v/>
      </c>
      <c r="E232" s="97" t="n"/>
      <c r="F232" s="97" t="n"/>
      <c r="G232" s="97" t="n"/>
      <c r="H232" s="97" t="n"/>
    </row>
    <row r="233">
      <c r="A233" s="108" t="n"/>
      <c r="B233" s="81">
        <f>IF(A233="","",IF(C233&lt;&gt;"",C233,D233))</f>
        <v/>
      </c>
      <c r="C233" s="109" t="n"/>
      <c r="D233" s="81">
        <f>IF(A233="","",NETWORKDAYS(DATE(YEAR(A233),MONTH(A233),1),EOMONTH(A233,0)))</f>
        <v/>
      </c>
      <c r="E233" s="97" t="n"/>
      <c r="F233" s="97" t="n"/>
      <c r="G233" s="97" t="n"/>
      <c r="H233" s="97" t="n"/>
    </row>
    <row r="234">
      <c r="A234" s="108" t="n"/>
      <c r="B234" s="81">
        <f>IF(A234="","",IF(C234&lt;&gt;"",C234,D234))</f>
        <v/>
      </c>
      <c r="C234" s="109" t="n"/>
      <c r="D234" s="81">
        <f>IF(A234="","",NETWORKDAYS(DATE(YEAR(A234),MONTH(A234),1),EOMONTH(A234,0)))</f>
        <v/>
      </c>
      <c r="E234" s="97" t="n"/>
      <c r="F234" s="97" t="n"/>
      <c r="G234" s="97" t="n"/>
      <c r="H234" s="97" t="n"/>
    </row>
    <row r="235">
      <c r="A235" s="108" t="n"/>
      <c r="B235" s="81">
        <f>IF(A235="","",IF(C235&lt;&gt;"",C235,D235))</f>
        <v/>
      </c>
      <c r="C235" s="109" t="n"/>
      <c r="D235" s="81">
        <f>IF(A235="","",NETWORKDAYS(DATE(YEAR(A235),MONTH(A235),1),EOMONTH(A235,0)))</f>
        <v/>
      </c>
      <c r="E235" s="97" t="n"/>
      <c r="F235" s="97" t="n"/>
      <c r="G235" s="97" t="n"/>
      <c r="H235" s="97" t="n"/>
    </row>
    <row r="236">
      <c r="A236" s="108" t="n"/>
      <c r="B236" s="81">
        <f>IF(A236="","",IF(C236&lt;&gt;"",C236,D236))</f>
        <v/>
      </c>
      <c r="C236" s="109" t="n"/>
      <c r="D236" s="81">
        <f>IF(A236="","",NETWORKDAYS(DATE(YEAR(A236),MONTH(A236),1),EOMONTH(A236,0)))</f>
        <v/>
      </c>
      <c r="E236" s="97" t="n"/>
      <c r="F236" s="97" t="n"/>
      <c r="G236" s="97" t="n"/>
      <c r="H236" s="97" t="n"/>
    </row>
    <row r="237">
      <c r="A237" s="108" t="n"/>
      <c r="B237" s="81">
        <f>IF(A237="","",IF(C237&lt;&gt;"",C237,D237))</f>
        <v/>
      </c>
      <c r="C237" s="109" t="n"/>
      <c r="D237" s="81">
        <f>IF(A237="","",NETWORKDAYS(DATE(YEAR(A237),MONTH(A237),1),EOMONTH(A237,0)))</f>
        <v/>
      </c>
      <c r="E237" s="97" t="n"/>
      <c r="F237" s="97" t="n"/>
      <c r="G237" s="97" t="n"/>
      <c r="H237" s="97" t="n"/>
    </row>
    <row r="238">
      <c r="A238" s="108" t="n"/>
      <c r="B238" s="81">
        <f>IF(A238="","",IF(C238&lt;&gt;"",C238,D238))</f>
        <v/>
      </c>
      <c r="C238" s="109" t="n"/>
      <c r="D238" s="81">
        <f>IF(A238="","",NETWORKDAYS(DATE(YEAR(A238),MONTH(A238),1),EOMONTH(A238,0)))</f>
        <v/>
      </c>
      <c r="E238" s="97" t="n"/>
      <c r="F238" s="97" t="n"/>
      <c r="G238" s="97" t="n"/>
      <c r="H238" s="97" t="n"/>
    </row>
    <row r="239">
      <c r="A239" s="108" t="n"/>
      <c r="B239" s="81">
        <f>IF(A239="","",IF(C239&lt;&gt;"",C239,D239))</f>
        <v/>
      </c>
      <c r="C239" s="109" t="n"/>
      <c r="D239" s="81">
        <f>IF(A239="","",NETWORKDAYS(DATE(YEAR(A239),MONTH(A239),1),EOMONTH(A239,0)))</f>
        <v/>
      </c>
      <c r="E239" s="97" t="n"/>
      <c r="F239" s="97" t="n"/>
      <c r="G239" s="97" t="n"/>
      <c r="H239" s="97" t="n"/>
    </row>
    <row r="240">
      <c r="A240" s="108" t="n"/>
      <c r="B240" s="81">
        <f>IF(A240="","",IF(C240&lt;&gt;"",C240,D240))</f>
        <v/>
      </c>
      <c r="C240" s="109" t="n"/>
      <c r="D240" s="81">
        <f>IF(A240="","",NETWORKDAYS(DATE(YEAR(A240),MONTH(A240),1),EOMONTH(A240,0)))</f>
        <v/>
      </c>
      <c r="E240" s="97" t="n"/>
      <c r="F240" s="97" t="n"/>
      <c r="G240" s="97" t="n"/>
      <c r="H240" s="97" t="n"/>
    </row>
    <row r="241">
      <c r="A241" s="108" t="n"/>
      <c r="B241" s="81">
        <f>IF(A241="","",IF(C241&lt;&gt;"",C241,D241))</f>
        <v/>
      </c>
      <c r="C241" s="109" t="n"/>
      <c r="D241" s="81">
        <f>IF(A241="","",NETWORKDAYS(DATE(YEAR(A241),MONTH(A241),1),EOMONTH(A241,0)))</f>
        <v/>
      </c>
      <c r="E241" s="97" t="n"/>
      <c r="F241" s="97" t="n"/>
      <c r="G241" s="97" t="n"/>
      <c r="H241" s="97" t="n"/>
    </row>
    <row r="242">
      <c r="A242" s="108" t="n"/>
      <c r="B242" s="81">
        <f>IF(A242="","",IF(C242&lt;&gt;"",C242,D242))</f>
        <v/>
      </c>
      <c r="C242" s="109" t="n"/>
      <c r="D242" s="81">
        <f>IF(A242="","",NETWORKDAYS(DATE(YEAR(A242),MONTH(A242),1),EOMONTH(A242,0)))</f>
        <v/>
      </c>
      <c r="E242" s="97" t="n"/>
      <c r="F242" s="97" t="n"/>
      <c r="G242" s="97" t="n"/>
      <c r="H242" s="97" t="n"/>
    </row>
    <row r="243">
      <c r="A243" s="108" t="n"/>
      <c r="B243" s="81">
        <f>IF(A243="","",IF(C243&lt;&gt;"",C243,D243))</f>
        <v/>
      </c>
      <c r="C243" s="109" t="n"/>
      <c r="D243" s="81">
        <f>IF(A243="","",NETWORKDAYS(DATE(YEAR(A243),MONTH(A243),1),EOMONTH(A243,0)))</f>
        <v/>
      </c>
      <c r="E243" s="97" t="n"/>
      <c r="F243" s="97" t="n"/>
      <c r="G243" s="97" t="n"/>
      <c r="H243" s="97" t="n"/>
    </row>
    <row r="244">
      <c r="A244" s="108" t="n"/>
      <c r="B244" s="81">
        <f>IF(A244="","",IF(C244&lt;&gt;"",C244,D244))</f>
        <v/>
      </c>
      <c r="C244" s="109" t="n"/>
      <c r="D244" s="81">
        <f>IF(A244="","",NETWORKDAYS(DATE(YEAR(A244),MONTH(A244),1),EOMONTH(A244,0)))</f>
        <v/>
      </c>
      <c r="E244" s="97" t="n"/>
      <c r="F244" s="97" t="n"/>
      <c r="G244" s="97" t="n"/>
      <c r="H244" s="97" t="n"/>
    </row>
    <row r="245">
      <c r="A245" s="108" t="n"/>
      <c r="B245" s="81">
        <f>IF(A245="","",IF(C245&lt;&gt;"",C245,D245))</f>
        <v/>
      </c>
      <c r="C245" s="109" t="n"/>
      <c r="D245" s="81">
        <f>IF(A245="","",NETWORKDAYS(DATE(YEAR(A245),MONTH(A245),1),EOMONTH(A245,0)))</f>
        <v/>
      </c>
      <c r="E245" s="97" t="n"/>
      <c r="F245" s="97" t="n"/>
      <c r="G245" s="97" t="n"/>
      <c r="H245" s="97" t="n"/>
    </row>
    <row r="246">
      <c r="A246" s="108" t="n"/>
      <c r="B246" s="81">
        <f>IF(A246="","",IF(C246&lt;&gt;"",C246,D246))</f>
        <v/>
      </c>
      <c r="C246" s="109" t="n"/>
      <c r="D246" s="81">
        <f>IF(A246="","",NETWORKDAYS(DATE(YEAR(A246),MONTH(A246),1),EOMONTH(A246,0)))</f>
        <v/>
      </c>
      <c r="E246" s="97" t="n"/>
      <c r="F246" s="97" t="n"/>
      <c r="G246" s="97" t="n"/>
      <c r="H246" s="97" t="n"/>
    </row>
    <row r="247">
      <c r="A247" s="108" t="n"/>
      <c r="B247" s="81">
        <f>IF(A247="","",IF(C247&lt;&gt;"",C247,D247))</f>
        <v/>
      </c>
      <c r="C247" s="109" t="n"/>
      <c r="D247" s="81">
        <f>IF(A247="","",NETWORKDAYS(DATE(YEAR(A247),MONTH(A247),1),EOMONTH(A247,0)))</f>
        <v/>
      </c>
      <c r="E247" s="97" t="n"/>
      <c r="F247" s="97" t="n"/>
      <c r="G247" s="97" t="n"/>
      <c r="H247" s="97" t="n"/>
    </row>
    <row r="248">
      <c r="A248" s="108" t="n"/>
      <c r="B248" s="81">
        <f>IF(A248="","",IF(C248&lt;&gt;"",C248,D248))</f>
        <v/>
      </c>
      <c r="C248" s="109" t="n"/>
      <c r="D248" s="81">
        <f>IF(A248="","",NETWORKDAYS(DATE(YEAR(A248),MONTH(A248),1),EOMONTH(A248,0)))</f>
        <v/>
      </c>
      <c r="E248" s="97" t="n"/>
      <c r="F248" s="97" t="n"/>
      <c r="G248" s="97" t="n"/>
      <c r="H248" s="97" t="n"/>
    </row>
    <row r="249">
      <c r="A249" s="108" t="n"/>
      <c r="B249" s="81">
        <f>IF(A249="","",IF(C249&lt;&gt;"",C249,D249))</f>
        <v/>
      </c>
      <c r="C249" s="109" t="n"/>
      <c r="D249" s="81">
        <f>IF(A249="","",NETWORKDAYS(DATE(YEAR(A249),MONTH(A249),1),EOMONTH(A249,0)))</f>
        <v/>
      </c>
      <c r="E249" s="97" t="n"/>
      <c r="F249" s="97" t="n"/>
      <c r="G249" s="97" t="n"/>
      <c r="H249" s="97" t="n"/>
    </row>
    <row r="250">
      <c r="A250" s="108" t="n"/>
      <c r="B250" s="81">
        <f>IF(A250="","",IF(C250&lt;&gt;"",C250,D250))</f>
        <v/>
      </c>
      <c r="C250" s="109" t="n"/>
      <c r="D250" s="81">
        <f>IF(A250="","",NETWORKDAYS(DATE(YEAR(A250),MONTH(A250),1),EOMONTH(A250,0)))</f>
        <v/>
      </c>
      <c r="E250" s="97" t="n"/>
      <c r="F250" s="97" t="n"/>
      <c r="G250" s="97" t="n"/>
      <c r="H250" s="97" t="n"/>
    </row>
    <row r="251">
      <c r="A251" s="108" t="n"/>
      <c r="B251" s="81">
        <f>IF(A251="","",IF(C251&lt;&gt;"",C251,D251))</f>
        <v/>
      </c>
      <c r="C251" s="109" t="n"/>
      <c r="D251" s="81">
        <f>IF(A251="","",NETWORKDAYS(DATE(YEAR(A251),MONTH(A251),1),EOMONTH(A251,0)))</f>
        <v/>
      </c>
      <c r="E251" s="97" t="n"/>
      <c r="F251" s="97" t="n"/>
      <c r="G251" s="97" t="n"/>
      <c r="H251" s="97" t="n"/>
    </row>
    <row r="252">
      <c r="A252" s="108" t="n"/>
      <c r="B252" s="81">
        <f>IF(A252="","",IF(C252&lt;&gt;"",C252,D252))</f>
        <v/>
      </c>
      <c r="C252" s="109" t="n"/>
      <c r="D252" s="81">
        <f>IF(A252="","",NETWORKDAYS(DATE(YEAR(A252),MONTH(A252),1),EOMONTH(A252,0)))</f>
        <v/>
      </c>
      <c r="E252" s="97" t="n"/>
      <c r="F252" s="97" t="n"/>
      <c r="G252" s="97" t="n"/>
      <c r="H252" s="97" t="n"/>
    </row>
    <row r="253">
      <c r="A253" s="108" t="n"/>
      <c r="B253" s="81">
        <f>IF(A253="","",IF(C253&lt;&gt;"",C253,D253))</f>
        <v/>
      </c>
      <c r="C253" s="109" t="n"/>
      <c r="D253" s="81">
        <f>IF(A253="","",NETWORKDAYS(DATE(YEAR(A253),MONTH(A253),1),EOMONTH(A253,0)))</f>
        <v/>
      </c>
      <c r="E253" s="97" t="n"/>
      <c r="F253" s="97" t="n"/>
      <c r="G253" s="97" t="n"/>
      <c r="H253" s="97" t="n"/>
    </row>
    <row r="254">
      <c r="A254" s="108" t="n"/>
      <c r="B254" s="81">
        <f>IF(A254="","",IF(C254&lt;&gt;"",C254,D254))</f>
        <v/>
      </c>
      <c r="C254" s="109" t="n"/>
      <c r="D254" s="81">
        <f>IF(A254="","",NETWORKDAYS(DATE(YEAR(A254),MONTH(A254),1),EOMONTH(A254,0)))</f>
        <v/>
      </c>
      <c r="E254" s="97" t="n"/>
      <c r="F254" s="97" t="n"/>
      <c r="G254" s="97" t="n"/>
      <c r="H254" s="97" t="n"/>
    </row>
    <row r="255">
      <c r="A255" s="108" t="n"/>
      <c r="B255" s="81">
        <f>IF(A255="","",IF(C255&lt;&gt;"",C255,D255))</f>
        <v/>
      </c>
      <c r="C255" s="109" t="n"/>
      <c r="D255" s="81">
        <f>IF(A255="","",NETWORKDAYS(DATE(YEAR(A255),MONTH(A255),1),EOMONTH(A255,0)))</f>
        <v/>
      </c>
      <c r="E255" s="97" t="n"/>
      <c r="F255" s="97" t="n"/>
      <c r="G255" s="97" t="n"/>
      <c r="H255" s="97" t="n"/>
    </row>
    <row r="256">
      <c r="A256" s="108" t="n"/>
      <c r="B256" s="81">
        <f>IF(A256="","",IF(C256&lt;&gt;"",C256,D256))</f>
        <v/>
      </c>
      <c r="C256" s="109" t="n"/>
      <c r="D256" s="81">
        <f>IF(A256="","",NETWORKDAYS(DATE(YEAR(A256),MONTH(A256),1),EOMONTH(A256,0)))</f>
        <v/>
      </c>
      <c r="E256" s="97" t="n"/>
      <c r="F256" s="97" t="n"/>
      <c r="G256" s="97" t="n"/>
      <c r="H256" s="97" t="n"/>
    </row>
    <row r="257">
      <c r="A257" s="108" t="n"/>
      <c r="B257" s="81">
        <f>IF(A257="","",IF(C257&lt;&gt;"",C257,D257))</f>
        <v/>
      </c>
      <c r="C257" s="109" t="n"/>
      <c r="D257" s="81">
        <f>IF(A257="","",NETWORKDAYS(DATE(YEAR(A257),MONTH(A257),1),EOMONTH(A257,0)))</f>
        <v/>
      </c>
      <c r="E257" s="97" t="n"/>
      <c r="F257" s="97" t="n"/>
      <c r="G257" s="97" t="n"/>
      <c r="H257" s="97" t="n"/>
    </row>
    <row r="258">
      <c r="A258" s="108" t="n"/>
      <c r="B258" s="81">
        <f>IF(A258="","",IF(C258&lt;&gt;"",C258,D258))</f>
        <v/>
      </c>
      <c r="C258" s="109" t="n"/>
      <c r="D258" s="81">
        <f>IF(A258="","",NETWORKDAYS(DATE(YEAR(A258),MONTH(A258),1),EOMONTH(A258,0)))</f>
        <v/>
      </c>
      <c r="E258" s="97" t="n"/>
      <c r="F258" s="97" t="n"/>
      <c r="G258" s="97" t="n"/>
      <c r="H258" s="97" t="n"/>
    </row>
    <row r="259">
      <c r="A259" s="108" t="n"/>
      <c r="B259" s="81">
        <f>IF(A259="","",IF(C259&lt;&gt;"",C259,D259))</f>
        <v/>
      </c>
      <c r="C259" s="109" t="n"/>
      <c r="D259" s="81">
        <f>IF(A259="","",NETWORKDAYS(DATE(YEAR(A259),MONTH(A259),1),EOMONTH(A259,0)))</f>
        <v/>
      </c>
      <c r="E259" s="97" t="n"/>
      <c r="F259" s="97" t="n"/>
      <c r="G259" s="97" t="n"/>
      <c r="H259" s="97" t="n"/>
    </row>
    <row r="260">
      <c r="A260" s="108" t="n"/>
      <c r="B260" s="81">
        <f>IF(A260="","",IF(C260&lt;&gt;"",C260,D260))</f>
        <v/>
      </c>
      <c r="C260" s="109" t="n"/>
      <c r="D260" s="81">
        <f>IF(A260="","",NETWORKDAYS(DATE(YEAR(A260),MONTH(A260),1),EOMONTH(A260,0)))</f>
        <v/>
      </c>
      <c r="E260" s="97" t="n"/>
      <c r="F260" s="97" t="n"/>
      <c r="G260" s="97" t="n"/>
      <c r="H260" s="97" t="n"/>
    </row>
    <row r="261">
      <c r="A261" s="108" t="n"/>
      <c r="B261" s="81">
        <f>IF(A261="","",IF(C261&lt;&gt;"",C261,D261))</f>
        <v/>
      </c>
      <c r="C261" s="109" t="n"/>
      <c r="D261" s="81">
        <f>IF(A261="","",NETWORKDAYS(DATE(YEAR(A261),MONTH(A261),1),EOMONTH(A261,0)))</f>
        <v/>
      </c>
      <c r="E261" s="97" t="n"/>
      <c r="F261" s="97" t="n"/>
      <c r="G261" s="97" t="n"/>
      <c r="H261" s="97" t="n"/>
    </row>
    <row r="262">
      <c r="A262" s="108" t="n"/>
      <c r="B262" s="81">
        <f>IF(A262="","",IF(C262&lt;&gt;"",C262,D262))</f>
        <v/>
      </c>
      <c r="C262" s="109" t="n"/>
      <c r="D262" s="81">
        <f>IF(A262="","",NETWORKDAYS(DATE(YEAR(A262),MONTH(A262),1),EOMONTH(A262,0)))</f>
        <v/>
      </c>
      <c r="E262" s="97" t="n"/>
      <c r="F262" s="97" t="n"/>
      <c r="G262" s="97" t="n"/>
      <c r="H262" s="97" t="n"/>
    </row>
    <row r="263">
      <c r="A263" s="108" t="n"/>
      <c r="B263" s="81">
        <f>IF(A263="","",IF(C263&lt;&gt;"",C263,D263))</f>
        <v/>
      </c>
      <c r="C263" s="109" t="n"/>
      <c r="D263" s="81">
        <f>IF(A263="","",NETWORKDAYS(DATE(YEAR(A263),MONTH(A263),1),EOMONTH(A263,0)))</f>
        <v/>
      </c>
      <c r="E263" s="97" t="n"/>
      <c r="F263" s="97" t="n"/>
      <c r="G263" s="97" t="n"/>
      <c r="H263" s="97" t="n"/>
    </row>
    <row r="264">
      <c r="A264" s="108" t="n"/>
      <c r="B264" s="81">
        <f>IF(A264="","",IF(C264&lt;&gt;"",C264,D264))</f>
        <v/>
      </c>
      <c r="C264" s="109" t="n"/>
      <c r="D264" s="81">
        <f>IF(A264="","",NETWORKDAYS(DATE(YEAR(A264),MONTH(A264),1),EOMONTH(A264,0)))</f>
        <v/>
      </c>
      <c r="E264" s="97" t="n"/>
      <c r="F264" s="97" t="n"/>
      <c r="G264" s="97" t="n"/>
      <c r="H264" s="97" t="n"/>
    </row>
    <row r="265">
      <c r="A265" s="108" t="n"/>
      <c r="B265" s="81">
        <f>IF(A265="","",IF(C265&lt;&gt;"",C265,D265))</f>
        <v/>
      </c>
      <c r="C265" s="109" t="n"/>
      <c r="D265" s="81">
        <f>IF(A265="","",NETWORKDAYS(DATE(YEAR(A265),MONTH(A265),1),EOMONTH(A265,0)))</f>
        <v/>
      </c>
      <c r="E265" s="97" t="n"/>
      <c r="F265" s="97" t="n"/>
      <c r="G265" s="97" t="n"/>
      <c r="H265" s="97" t="n"/>
    </row>
    <row r="266">
      <c r="A266" s="108" t="n"/>
      <c r="B266" s="81">
        <f>IF(A266="","",IF(C266&lt;&gt;"",C266,D266))</f>
        <v/>
      </c>
      <c r="C266" s="109" t="n"/>
      <c r="D266" s="81">
        <f>IF(A266="","",NETWORKDAYS(DATE(YEAR(A266),MONTH(A266),1),EOMONTH(A266,0)))</f>
        <v/>
      </c>
      <c r="E266" s="97" t="n"/>
      <c r="F266" s="97" t="n"/>
      <c r="G266" s="97" t="n"/>
      <c r="H266" s="97" t="n"/>
    </row>
    <row r="267">
      <c r="A267" s="108" t="n"/>
      <c r="B267" s="81">
        <f>IF(A267="","",IF(C267&lt;&gt;"",C267,D267))</f>
        <v/>
      </c>
      <c r="C267" s="109" t="n"/>
      <c r="D267" s="81">
        <f>IF(A267="","",NETWORKDAYS(DATE(YEAR(A267),MONTH(A267),1),EOMONTH(A267,0)))</f>
        <v/>
      </c>
      <c r="E267" s="97" t="n"/>
      <c r="F267" s="97" t="n"/>
      <c r="G267" s="97" t="n"/>
      <c r="H267" s="97" t="n"/>
    </row>
    <row r="268">
      <c r="A268" s="108" t="n"/>
      <c r="B268" s="81">
        <f>IF(A268="","",IF(C268&lt;&gt;"",C268,D268))</f>
        <v/>
      </c>
      <c r="C268" s="109" t="n"/>
      <c r="D268" s="81">
        <f>IF(A268="","",NETWORKDAYS(DATE(YEAR(A268),MONTH(A268),1),EOMONTH(A268,0)))</f>
        <v/>
      </c>
      <c r="E268" s="97" t="n"/>
      <c r="F268" s="97" t="n"/>
      <c r="G268" s="97" t="n"/>
      <c r="H268" s="97" t="n"/>
    </row>
    <row r="269">
      <c r="A269" s="108" t="n"/>
      <c r="B269" s="81">
        <f>IF(A269="","",IF(C269&lt;&gt;"",C269,D269))</f>
        <v/>
      </c>
      <c r="C269" s="109" t="n"/>
      <c r="D269" s="81">
        <f>IF(A269="","",NETWORKDAYS(DATE(YEAR(A269),MONTH(A269),1),EOMONTH(A269,0)))</f>
        <v/>
      </c>
      <c r="E269" s="97" t="n"/>
      <c r="F269" s="97" t="n"/>
      <c r="G269" s="97" t="n"/>
      <c r="H269" s="97" t="n"/>
    </row>
    <row r="270">
      <c r="A270" s="108" t="n"/>
      <c r="B270" s="81">
        <f>IF(A270="","",IF(C270&lt;&gt;"",C270,D270))</f>
        <v/>
      </c>
      <c r="C270" s="109" t="n"/>
      <c r="D270" s="81">
        <f>IF(A270="","",NETWORKDAYS(DATE(YEAR(A270),MONTH(A270),1),EOMONTH(A270,0)))</f>
        <v/>
      </c>
      <c r="E270" s="97" t="n"/>
      <c r="F270" s="97" t="n"/>
      <c r="G270" s="97" t="n"/>
      <c r="H270" s="97" t="n"/>
    </row>
    <row r="271">
      <c r="A271" s="108" t="n"/>
      <c r="B271" s="81">
        <f>IF(A271="","",IF(C271&lt;&gt;"",C271,D271))</f>
        <v/>
      </c>
      <c r="C271" s="109" t="n"/>
      <c r="D271" s="81">
        <f>IF(A271="","",NETWORKDAYS(DATE(YEAR(A271),MONTH(A271),1),EOMONTH(A271,0)))</f>
        <v/>
      </c>
      <c r="E271" s="97" t="n"/>
      <c r="F271" s="97" t="n"/>
      <c r="G271" s="97" t="n"/>
      <c r="H271" s="97" t="n"/>
    </row>
    <row r="272">
      <c r="A272" s="108" t="n"/>
      <c r="B272" s="81">
        <f>IF(A272="","",IF(C272&lt;&gt;"",C272,D272))</f>
        <v/>
      </c>
      <c r="C272" s="109" t="n"/>
      <c r="D272" s="81">
        <f>IF(A272="","",NETWORKDAYS(DATE(YEAR(A272),MONTH(A272),1),EOMONTH(A272,0)))</f>
        <v/>
      </c>
      <c r="E272" s="97" t="n"/>
      <c r="F272" s="97" t="n"/>
      <c r="G272" s="97" t="n"/>
      <c r="H272" s="97" t="n"/>
    </row>
    <row r="273">
      <c r="A273" s="108" t="n"/>
      <c r="B273" s="81">
        <f>IF(A273="","",IF(C273&lt;&gt;"",C273,D273))</f>
        <v/>
      </c>
      <c r="C273" s="109" t="n"/>
      <c r="D273" s="81">
        <f>IF(A273="","",NETWORKDAYS(DATE(YEAR(A273),MONTH(A273),1),EOMONTH(A273,0)))</f>
        <v/>
      </c>
      <c r="E273" s="97" t="n"/>
      <c r="F273" s="97" t="n"/>
      <c r="G273" s="97" t="n"/>
      <c r="H273" s="97" t="n"/>
    </row>
    <row r="274">
      <c r="A274" s="108" t="n"/>
      <c r="B274" s="81">
        <f>IF(A274="","",IF(C274&lt;&gt;"",C274,D274))</f>
        <v/>
      </c>
      <c r="C274" s="109" t="n"/>
      <c r="D274" s="81">
        <f>IF(A274="","",NETWORKDAYS(DATE(YEAR(A274),MONTH(A274),1),EOMONTH(A274,0)))</f>
        <v/>
      </c>
      <c r="E274" s="97" t="n"/>
      <c r="F274" s="97" t="n"/>
      <c r="G274" s="97" t="n"/>
      <c r="H274" s="97" t="n"/>
    </row>
    <row r="275">
      <c r="A275" s="108" t="n"/>
      <c r="B275" s="81">
        <f>IF(A275="","",IF(C275&lt;&gt;"",C275,D275))</f>
        <v/>
      </c>
      <c r="C275" s="109" t="n"/>
      <c r="D275" s="81">
        <f>IF(A275="","",NETWORKDAYS(DATE(YEAR(A275),MONTH(A275),1),EOMONTH(A275,0)))</f>
        <v/>
      </c>
      <c r="E275" s="97" t="n"/>
      <c r="F275" s="97" t="n"/>
      <c r="G275" s="97" t="n"/>
      <c r="H275" s="97" t="n"/>
    </row>
    <row r="276">
      <c r="A276" s="108" t="n"/>
      <c r="B276" s="81">
        <f>IF(A276="","",IF(C276&lt;&gt;"",C276,D276))</f>
        <v/>
      </c>
      <c r="C276" s="109" t="n"/>
      <c r="D276" s="81">
        <f>IF(A276="","",NETWORKDAYS(DATE(YEAR(A276),MONTH(A276),1),EOMONTH(A276,0)))</f>
        <v/>
      </c>
      <c r="E276" s="97" t="n"/>
      <c r="F276" s="97" t="n"/>
      <c r="G276" s="97" t="n"/>
      <c r="H276" s="97" t="n"/>
    </row>
    <row r="277">
      <c r="A277" s="108" t="n"/>
      <c r="B277" s="81">
        <f>IF(A277="","",IF(C277&lt;&gt;"",C277,D277))</f>
        <v/>
      </c>
      <c r="C277" s="109" t="n"/>
      <c r="D277" s="81">
        <f>IF(A277="","",NETWORKDAYS(DATE(YEAR(A277),MONTH(A277),1),EOMONTH(A277,0)))</f>
        <v/>
      </c>
      <c r="E277" s="97" t="n"/>
      <c r="F277" s="97" t="n"/>
      <c r="G277" s="97" t="n"/>
      <c r="H277" s="97" t="n"/>
    </row>
    <row r="278">
      <c r="A278" s="108" t="n"/>
      <c r="B278" s="81">
        <f>IF(A278="","",IF(C278&lt;&gt;"",C278,D278))</f>
        <v/>
      </c>
      <c r="C278" s="109" t="n"/>
      <c r="D278" s="81">
        <f>IF(A278="","",NETWORKDAYS(DATE(YEAR(A278),MONTH(A278),1),EOMONTH(A278,0)))</f>
        <v/>
      </c>
      <c r="E278" s="97" t="n"/>
      <c r="F278" s="97" t="n"/>
      <c r="G278" s="97" t="n"/>
      <c r="H278" s="97" t="n"/>
    </row>
    <row r="279">
      <c r="A279" s="108" t="n"/>
      <c r="B279" s="81">
        <f>IF(A279="","",IF(C279&lt;&gt;"",C279,D279))</f>
        <v/>
      </c>
      <c r="C279" s="109" t="n"/>
      <c r="D279" s="81">
        <f>IF(A279="","",NETWORKDAYS(DATE(YEAR(A279),MONTH(A279),1),EOMONTH(A279,0)))</f>
        <v/>
      </c>
      <c r="E279" s="97" t="n"/>
      <c r="F279" s="97" t="n"/>
      <c r="G279" s="97" t="n"/>
      <c r="H279" s="97" t="n"/>
    </row>
    <row r="280">
      <c r="A280" s="108" t="n"/>
      <c r="B280" s="81">
        <f>IF(A280="","",IF(C280&lt;&gt;"",C280,D280))</f>
        <v/>
      </c>
      <c r="C280" s="109" t="n"/>
      <c r="D280" s="81">
        <f>IF(A280="","",NETWORKDAYS(DATE(YEAR(A280),MONTH(A280),1),EOMONTH(A280,0)))</f>
        <v/>
      </c>
      <c r="E280" s="97" t="n"/>
      <c r="F280" s="97" t="n"/>
      <c r="G280" s="97" t="n"/>
      <c r="H280" s="97" t="n"/>
    </row>
    <row r="281">
      <c r="A281" s="108" t="n"/>
      <c r="B281" s="81">
        <f>IF(A281="","",IF(C281&lt;&gt;"",C281,D281))</f>
        <v/>
      </c>
      <c r="C281" s="109" t="n"/>
      <c r="D281" s="81">
        <f>IF(A281="","",NETWORKDAYS(DATE(YEAR(A281),MONTH(A281),1),EOMONTH(A281,0)))</f>
        <v/>
      </c>
      <c r="E281" s="97" t="n"/>
      <c r="F281" s="97" t="n"/>
      <c r="G281" s="97" t="n"/>
      <c r="H281" s="97" t="n"/>
    </row>
    <row r="282">
      <c r="A282" s="108" t="n"/>
      <c r="B282" s="81">
        <f>IF(A282="","",IF(C282&lt;&gt;"",C282,D282))</f>
        <v/>
      </c>
      <c r="C282" s="109" t="n"/>
      <c r="D282" s="81">
        <f>IF(A282="","",NETWORKDAYS(DATE(YEAR(A282),MONTH(A282),1),EOMONTH(A282,0)))</f>
        <v/>
      </c>
      <c r="E282" s="97" t="n"/>
      <c r="F282" s="97" t="n"/>
      <c r="G282" s="97" t="n"/>
      <c r="H282" s="97" t="n"/>
    </row>
    <row r="283">
      <c r="A283" s="108" t="n"/>
      <c r="B283" s="81">
        <f>IF(A283="","",IF(C283&lt;&gt;"",C283,D283))</f>
        <v/>
      </c>
      <c r="C283" s="109" t="n"/>
      <c r="D283" s="81">
        <f>IF(A283="","",NETWORKDAYS(DATE(YEAR(A283),MONTH(A283),1),EOMONTH(A283,0)))</f>
        <v/>
      </c>
      <c r="E283" s="97" t="n"/>
      <c r="F283" s="97" t="n"/>
      <c r="G283" s="97" t="n"/>
      <c r="H283" s="97" t="n"/>
    </row>
    <row r="284">
      <c r="A284" s="108" t="n"/>
      <c r="B284" s="81">
        <f>IF(A284="","",IF(C284&lt;&gt;"",C284,D284))</f>
        <v/>
      </c>
      <c r="C284" s="109" t="n"/>
      <c r="D284" s="81">
        <f>IF(A284="","",NETWORKDAYS(DATE(YEAR(A284),MONTH(A284),1),EOMONTH(A284,0)))</f>
        <v/>
      </c>
      <c r="E284" s="97" t="n"/>
      <c r="F284" s="97" t="n"/>
      <c r="G284" s="97" t="n"/>
      <c r="H284" s="97" t="n"/>
    </row>
    <row r="285">
      <c r="A285" s="108" t="n"/>
      <c r="B285" s="81">
        <f>IF(A285="","",IF(C285&lt;&gt;"",C285,D285))</f>
        <v/>
      </c>
      <c r="C285" s="109" t="n"/>
      <c r="D285" s="81">
        <f>IF(A285="","",NETWORKDAYS(DATE(YEAR(A285),MONTH(A285),1),EOMONTH(A285,0)))</f>
        <v/>
      </c>
      <c r="E285" s="97" t="n"/>
      <c r="F285" s="97" t="n"/>
      <c r="G285" s="97" t="n"/>
      <c r="H285" s="97" t="n"/>
    </row>
    <row r="286">
      <c r="A286" s="108" t="n"/>
      <c r="B286" s="81">
        <f>IF(A286="","",IF(C286&lt;&gt;"",C286,D286))</f>
        <v/>
      </c>
      <c r="C286" s="109" t="n"/>
      <c r="D286" s="81">
        <f>IF(A286="","",NETWORKDAYS(DATE(YEAR(A286),MONTH(A286),1),EOMONTH(A286,0)))</f>
        <v/>
      </c>
      <c r="E286" s="97" t="n"/>
      <c r="F286" s="97" t="n"/>
      <c r="G286" s="97" t="n"/>
      <c r="H286" s="97" t="n"/>
    </row>
    <row r="287">
      <c r="A287" s="108" t="n"/>
      <c r="B287" s="81">
        <f>IF(A287="","",IF(C287&lt;&gt;"",C287,D287))</f>
        <v/>
      </c>
      <c r="C287" s="109" t="n"/>
      <c r="D287" s="81">
        <f>IF(A287="","",NETWORKDAYS(DATE(YEAR(A287),MONTH(A287),1),EOMONTH(A287,0)))</f>
        <v/>
      </c>
      <c r="E287" s="97" t="n"/>
      <c r="F287" s="97" t="n"/>
      <c r="G287" s="97" t="n"/>
      <c r="H287" s="97" t="n"/>
    </row>
    <row r="288">
      <c r="A288" s="108" t="n"/>
      <c r="B288" s="81">
        <f>IF(A288="","",IF(C288&lt;&gt;"",C288,D288))</f>
        <v/>
      </c>
      <c r="C288" s="109" t="n"/>
      <c r="D288" s="81">
        <f>IF(A288="","",NETWORKDAYS(DATE(YEAR(A288),MONTH(A288),1),EOMONTH(A288,0)))</f>
        <v/>
      </c>
      <c r="E288" s="97" t="n"/>
      <c r="F288" s="97" t="n"/>
      <c r="G288" s="97" t="n"/>
      <c r="H288" s="97" t="n"/>
    </row>
    <row r="289">
      <c r="A289" s="108" t="n"/>
      <c r="B289" s="81">
        <f>IF(A289="","",IF(C289&lt;&gt;"",C289,D289))</f>
        <v/>
      </c>
      <c r="C289" s="109" t="n"/>
      <c r="D289" s="81">
        <f>IF(A289="","",NETWORKDAYS(DATE(YEAR(A289),MONTH(A289),1),EOMONTH(A289,0)))</f>
        <v/>
      </c>
      <c r="E289" s="97" t="n"/>
      <c r="F289" s="97" t="n"/>
      <c r="G289" s="97" t="n"/>
      <c r="H289" s="97" t="n"/>
    </row>
    <row r="290">
      <c r="A290" s="108" t="n"/>
      <c r="B290" s="81">
        <f>IF(A290="","",IF(C290&lt;&gt;"",C290,D290))</f>
        <v/>
      </c>
      <c r="C290" s="109" t="n"/>
      <c r="D290" s="81">
        <f>IF(A290="","",NETWORKDAYS(DATE(YEAR(A290),MONTH(A290),1),EOMONTH(A290,0)))</f>
        <v/>
      </c>
      <c r="E290" s="97" t="n"/>
      <c r="F290" s="97" t="n"/>
      <c r="G290" s="97" t="n"/>
      <c r="H290" s="97" t="n"/>
    </row>
    <row r="291">
      <c r="A291" s="108" t="n"/>
      <c r="B291" s="81">
        <f>IF(A291="","",IF(C291&lt;&gt;"",C291,D291))</f>
        <v/>
      </c>
      <c r="C291" s="109" t="n"/>
      <c r="D291" s="81">
        <f>IF(A291="","",NETWORKDAYS(DATE(YEAR(A291),MONTH(A291),1),EOMONTH(A291,0)))</f>
        <v/>
      </c>
      <c r="E291" s="97" t="n"/>
      <c r="F291" s="97" t="n"/>
      <c r="G291" s="97" t="n"/>
      <c r="H291" s="97" t="n"/>
    </row>
    <row r="292">
      <c r="A292" s="108" t="n"/>
      <c r="B292" s="81">
        <f>IF(A292="","",IF(C292&lt;&gt;"",C292,D292))</f>
        <v/>
      </c>
      <c r="C292" s="109" t="n"/>
      <c r="D292" s="81">
        <f>IF(A292="","",NETWORKDAYS(DATE(YEAR(A292),MONTH(A292),1),EOMONTH(A292,0)))</f>
        <v/>
      </c>
      <c r="E292" s="97" t="n"/>
      <c r="F292" s="97" t="n"/>
      <c r="G292" s="97" t="n"/>
      <c r="H292" s="97" t="n"/>
    </row>
    <row r="293">
      <c r="A293" s="108" t="n"/>
      <c r="B293" s="81">
        <f>IF(A293="","",IF(C293&lt;&gt;"",C293,D293))</f>
        <v/>
      </c>
      <c r="C293" s="109" t="n"/>
      <c r="D293" s="81">
        <f>IF(A293="","",NETWORKDAYS(DATE(YEAR(A293),MONTH(A293),1),EOMONTH(A293,0)))</f>
        <v/>
      </c>
      <c r="E293" s="97" t="n"/>
      <c r="F293" s="97" t="n"/>
      <c r="G293" s="97" t="n"/>
      <c r="H293" s="97" t="n"/>
    </row>
    <row r="294">
      <c r="A294" s="108" t="n"/>
      <c r="B294" s="81">
        <f>IF(A294="","",IF(C294&lt;&gt;"",C294,D294))</f>
        <v/>
      </c>
      <c r="C294" s="109" t="n"/>
      <c r="D294" s="81">
        <f>IF(A294="","",NETWORKDAYS(DATE(YEAR(A294),MONTH(A294),1),EOMONTH(A294,0)))</f>
        <v/>
      </c>
      <c r="E294" s="97" t="n"/>
      <c r="F294" s="97" t="n"/>
      <c r="G294" s="97" t="n"/>
      <c r="H294" s="97" t="n"/>
    </row>
    <row r="295">
      <c r="A295" s="108" t="n"/>
      <c r="B295" s="81">
        <f>IF(A295="","",IF(C295&lt;&gt;"",C295,D295))</f>
        <v/>
      </c>
      <c r="C295" s="109" t="n"/>
      <c r="D295" s="81">
        <f>IF(A295="","",NETWORKDAYS(DATE(YEAR(A295),MONTH(A295),1),EOMONTH(A295,0)))</f>
        <v/>
      </c>
      <c r="E295" s="97" t="n"/>
      <c r="F295" s="97" t="n"/>
      <c r="G295" s="97" t="n"/>
      <c r="H295" s="97" t="n"/>
    </row>
    <row r="296">
      <c r="A296" s="108" t="n"/>
      <c r="B296" s="81">
        <f>IF(A296="","",IF(C296&lt;&gt;"",C296,D296))</f>
        <v/>
      </c>
      <c r="C296" s="109" t="n"/>
      <c r="D296" s="81">
        <f>IF(A296="","",NETWORKDAYS(DATE(YEAR(A296),MONTH(A296),1),EOMONTH(A296,0)))</f>
        <v/>
      </c>
      <c r="E296" s="97" t="n"/>
      <c r="F296" s="97" t="n"/>
      <c r="G296" s="97" t="n"/>
      <c r="H296" s="97" t="n"/>
    </row>
    <row r="297">
      <c r="A297" s="108" t="n"/>
      <c r="B297" s="81">
        <f>IF(A297="","",IF(C297&lt;&gt;"",C297,D297))</f>
        <v/>
      </c>
      <c r="C297" s="109" t="n"/>
      <c r="D297" s="81">
        <f>IF(A297="","",NETWORKDAYS(DATE(YEAR(A297),MONTH(A297),1),EOMONTH(A297,0)))</f>
        <v/>
      </c>
      <c r="E297" s="97" t="n"/>
      <c r="F297" s="97" t="n"/>
      <c r="G297" s="97" t="n"/>
      <c r="H297" s="97" t="n"/>
    </row>
    <row r="298">
      <c r="A298" s="108" t="n"/>
      <c r="B298" s="81">
        <f>IF(A298="","",IF(C298&lt;&gt;"",C298,D298))</f>
        <v/>
      </c>
      <c r="C298" s="109" t="n"/>
      <c r="D298" s="81">
        <f>IF(A298="","",NETWORKDAYS(DATE(YEAR(A298),MONTH(A298),1),EOMONTH(A298,0)))</f>
        <v/>
      </c>
      <c r="E298" s="97" t="n"/>
      <c r="F298" s="97" t="n"/>
      <c r="G298" s="97" t="n"/>
      <c r="H298" s="97" t="n"/>
    </row>
    <row r="299">
      <c r="A299" s="108" t="n"/>
      <c r="B299" s="81">
        <f>IF(A299="","",IF(C299&lt;&gt;"",C299,D299))</f>
        <v/>
      </c>
      <c r="C299" s="109" t="n"/>
      <c r="D299" s="81">
        <f>IF(A299="","",NETWORKDAYS(DATE(YEAR(A299),MONTH(A299),1),EOMONTH(A299,0)))</f>
        <v/>
      </c>
      <c r="E299" s="97" t="n"/>
      <c r="F299" s="97" t="n"/>
      <c r="G299" s="97" t="n"/>
      <c r="H299" s="97" t="n"/>
    </row>
    <row r="300">
      <c r="A300" s="108" t="n"/>
      <c r="B300" s="81">
        <f>IF(A300="","",IF(C300&lt;&gt;"",C300,D300))</f>
        <v/>
      </c>
      <c r="C300" s="109" t="n"/>
      <c r="D300" s="81">
        <f>IF(A300="","",NETWORKDAYS(DATE(YEAR(A300),MONTH(A300),1),EOMONTH(A300,0)))</f>
        <v/>
      </c>
      <c r="E300" s="97" t="n"/>
      <c r="F300" s="97" t="n"/>
      <c r="G300" s="97" t="n"/>
      <c r="H300" s="97" t="n"/>
    </row>
    <row r="301">
      <c r="A301" s="108" t="n"/>
      <c r="B301" s="81">
        <f>IF(A301="","",IF(C301&lt;&gt;"",C301,D301))</f>
        <v/>
      </c>
      <c r="C301" s="109" t="n"/>
      <c r="D301" s="81">
        <f>IF(A301="","",NETWORKDAYS(DATE(YEAR(A301),MONTH(A301),1),EOMONTH(A301,0)))</f>
        <v/>
      </c>
      <c r="E301" s="97" t="n"/>
      <c r="F301" s="97" t="n"/>
      <c r="G301" s="97" t="n"/>
      <c r="H301" s="97" t="n"/>
    </row>
    <row r="302">
      <c r="A302" s="97" t="n"/>
      <c r="B302" s="97" t="n"/>
      <c r="C302" s="97" t="n"/>
      <c r="D302" s="97" t="n"/>
      <c r="E302" s="97" t="n"/>
      <c r="F302" s="97" t="n"/>
      <c r="G302" s="97" t="n"/>
      <c r="H302" s="97" t="n"/>
    </row>
    <row r="303">
      <c r="A303" s="97" t="n"/>
      <c r="B303" s="97" t="n"/>
      <c r="C303" s="97" t="n"/>
      <c r="D303" s="97" t="n"/>
      <c r="E303" s="97" t="n"/>
      <c r="F303" s="97" t="n"/>
      <c r="G303" s="97" t="n"/>
      <c r="H303" s="97" t="n"/>
    </row>
    <row r="304">
      <c r="A304" s="97" t="n"/>
      <c r="B304" s="97" t="n"/>
      <c r="C304" s="97" t="n"/>
      <c r="D304" s="97" t="n"/>
      <c r="E304" s="97" t="n"/>
      <c r="F304" s="97" t="n"/>
      <c r="G304" s="97" t="n"/>
      <c r="H304" s="97" t="n"/>
    </row>
    <row r="305">
      <c r="A305" s="97" t="n"/>
      <c r="B305" s="97" t="n"/>
      <c r="C305" s="97" t="n"/>
      <c r="D305" s="97" t="n"/>
      <c r="E305" s="97" t="n"/>
      <c r="F305" s="97" t="n"/>
      <c r="G305" s="97" t="n"/>
      <c r="H305" s="97" t="n"/>
    </row>
    <row r="306">
      <c r="A306" s="97" t="n"/>
      <c r="B306" s="97" t="n"/>
      <c r="C306" s="97" t="n"/>
      <c r="D306" s="97" t="n"/>
      <c r="E306" s="97" t="n"/>
      <c r="F306" s="97" t="n"/>
      <c r="G306" s="97" t="n"/>
      <c r="H306" s="97" t="n"/>
    </row>
    <row r="307">
      <c r="A307" s="97" t="n"/>
      <c r="B307" s="97" t="n"/>
      <c r="C307" s="97" t="n"/>
      <c r="D307" s="97" t="n"/>
      <c r="E307" s="97" t="n"/>
      <c r="F307" s="97" t="n"/>
      <c r="G307" s="97" t="n"/>
      <c r="H307" s="97" t="n"/>
    </row>
    <row r="308">
      <c r="A308" s="97" t="n"/>
      <c r="B308" s="97" t="n"/>
      <c r="C308" s="97" t="n"/>
      <c r="D308" s="97" t="n"/>
      <c r="E308" s="97" t="n"/>
      <c r="F308" s="97" t="n"/>
      <c r="G308" s="97" t="n"/>
      <c r="H308" s="97" t="n"/>
    </row>
    <row r="309">
      <c r="A309" s="97" t="n"/>
      <c r="B309" s="97" t="n"/>
      <c r="C309" s="97" t="n"/>
      <c r="D309" s="97" t="n"/>
      <c r="E309" s="97" t="n"/>
      <c r="F309" s="97" t="n"/>
      <c r="G309" s="97" t="n"/>
      <c r="H309" s="97" t="n"/>
    </row>
    <row r="310">
      <c r="A310" s="97" t="n"/>
      <c r="B310" s="97" t="n"/>
      <c r="C310" s="97" t="n"/>
      <c r="D310" s="97" t="n"/>
      <c r="E310" s="97" t="n"/>
      <c r="F310" s="97" t="n"/>
      <c r="G310" s="97" t="n"/>
      <c r="H310" s="97" t="n"/>
    </row>
    <row r="311">
      <c r="A311" s="97" t="n"/>
      <c r="B311" s="97" t="n"/>
      <c r="C311" s="97" t="n"/>
      <c r="D311" s="97" t="n"/>
      <c r="E311" s="97" t="n"/>
      <c r="F311" s="97" t="n"/>
      <c r="G311" s="97" t="n"/>
      <c r="H311" s="97" t="n"/>
    </row>
    <row r="312">
      <c r="A312" s="97" t="n"/>
      <c r="B312" s="97" t="n"/>
      <c r="C312" s="97" t="n"/>
      <c r="D312" s="97" t="n"/>
      <c r="E312" s="97" t="n"/>
      <c r="F312" s="97" t="n"/>
      <c r="G312" s="97" t="n"/>
      <c r="H312" s="97" t="n"/>
    </row>
    <row r="313">
      <c r="A313" s="97" t="n"/>
      <c r="B313" s="97" t="n"/>
      <c r="C313" s="97" t="n"/>
      <c r="D313" s="97" t="n"/>
      <c r="E313" s="97" t="n"/>
      <c r="F313" s="97" t="n"/>
      <c r="G313" s="97" t="n"/>
      <c r="H313" s="97" t="n"/>
    </row>
    <row r="314">
      <c r="A314" s="97" t="n"/>
      <c r="B314" s="97" t="n"/>
      <c r="C314" s="97" t="n"/>
      <c r="D314" s="97" t="n"/>
      <c r="E314" s="97" t="n"/>
      <c r="F314" s="97" t="n"/>
      <c r="G314" s="97" t="n"/>
      <c r="H314" s="97" t="n"/>
    </row>
    <row r="315">
      <c r="A315" s="97" t="n"/>
      <c r="B315" s="97" t="n"/>
      <c r="C315" s="97" t="n"/>
      <c r="D315" s="97" t="n"/>
      <c r="E315" s="97" t="n"/>
      <c r="F315" s="97" t="n"/>
      <c r="G315" s="97" t="n"/>
      <c r="H315" s="97" t="n"/>
    </row>
    <row r="316">
      <c r="A316" s="97" t="n"/>
      <c r="B316" s="97" t="n"/>
      <c r="C316" s="97" t="n"/>
      <c r="D316" s="97" t="n"/>
      <c r="E316" s="97" t="n"/>
      <c r="F316" s="97" t="n"/>
      <c r="G316" s="97" t="n"/>
      <c r="H316" s="97" t="n"/>
    </row>
    <row r="317">
      <c r="A317" s="97" t="n"/>
      <c r="B317" s="97" t="n"/>
      <c r="C317" s="97" t="n"/>
      <c r="D317" s="97" t="n"/>
      <c r="E317" s="97" t="n"/>
      <c r="F317" s="97" t="n"/>
      <c r="G317" s="97" t="n"/>
      <c r="H317" s="97" t="n"/>
    </row>
    <row r="318">
      <c r="A318" s="97" t="n"/>
      <c r="B318" s="97" t="n"/>
      <c r="C318" s="97" t="n"/>
      <c r="D318" s="97" t="n"/>
      <c r="E318" s="97" t="n"/>
      <c r="F318" s="97" t="n"/>
      <c r="G318" s="97" t="n"/>
      <c r="H318" s="97" t="n"/>
    </row>
    <row r="319">
      <c r="A319" s="97" t="n"/>
      <c r="B319" s="97" t="n"/>
      <c r="C319" s="97" t="n"/>
      <c r="D319" s="97" t="n"/>
      <c r="E319" s="97" t="n"/>
      <c r="F319" s="97" t="n"/>
      <c r="G319" s="97" t="n"/>
      <c r="H319" s="97" t="n"/>
    </row>
    <row r="320">
      <c r="A320" s="97" t="n"/>
      <c r="B320" s="97" t="n"/>
      <c r="C320" s="97" t="n"/>
      <c r="D320" s="97" t="n"/>
      <c r="E320" s="97" t="n"/>
      <c r="F320" s="97" t="n"/>
      <c r="G320" s="97" t="n"/>
      <c r="H320" s="97" t="n"/>
    </row>
    <row r="321">
      <c r="A321" s="97" t="n"/>
      <c r="B321" s="97" t="n"/>
      <c r="C321" s="97" t="n"/>
      <c r="D321" s="97" t="n"/>
      <c r="E321" s="97" t="n"/>
      <c r="F321" s="97" t="n"/>
      <c r="G321" s="97" t="n"/>
      <c r="H321" s="97" t="n"/>
    </row>
    <row r="322">
      <c r="A322" s="97" t="n"/>
      <c r="B322" s="97" t="n"/>
      <c r="C322" s="97" t="n"/>
      <c r="D322" s="97" t="n"/>
      <c r="E322" s="97" t="n"/>
      <c r="F322" s="97" t="n"/>
      <c r="G322" s="97" t="n"/>
      <c r="H322" s="97" t="n"/>
    </row>
    <row r="323">
      <c r="A323" s="97" t="n"/>
      <c r="B323" s="97" t="n"/>
      <c r="C323" s="97" t="n"/>
      <c r="D323" s="97" t="n"/>
      <c r="E323" s="97" t="n"/>
      <c r="F323" s="97" t="n"/>
      <c r="G323" s="97" t="n"/>
      <c r="H323" s="97" t="n"/>
    </row>
    <row r="324">
      <c r="A324" s="97" t="n"/>
      <c r="B324" s="97" t="n"/>
      <c r="C324" s="97" t="n"/>
      <c r="D324" s="97" t="n"/>
      <c r="E324" s="97" t="n"/>
      <c r="F324" s="97" t="n"/>
      <c r="G324" s="97" t="n"/>
      <c r="H324" s="97" t="n"/>
    </row>
    <row r="325">
      <c r="A325" s="97" t="n"/>
      <c r="B325" s="97" t="n"/>
      <c r="C325" s="97" t="n"/>
      <c r="D325" s="97" t="n"/>
      <c r="E325" s="97" t="n"/>
      <c r="F325" s="97" t="n"/>
      <c r="G325" s="97" t="n"/>
      <c r="H325" s="97" t="n"/>
    </row>
    <row r="326">
      <c r="A326" s="97" t="n"/>
      <c r="B326" s="97" t="n"/>
      <c r="C326" s="97" t="n"/>
      <c r="D326" s="97" t="n"/>
      <c r="E326" s="97" t="n"/>
      <c r="F326" s="97" t="n"/>
      <c r="G326" s="97" t="n"/>
      <c r="H326" s="97" t="n"/>
    </row>
    <row r="327">
      <c r="A327" s="97" t="n"/>
      <c r="B327" s="97" t="n"/>
      <c r="C327" s="97" t="n"/>
      <c r="D327" s="97" t="n"/>
      <c r="E327" s="97" t="n"/>
      <c r="F327" s="97" t="n"/>
      <c r="G327" s="97" t="n"/>
      <c r="H327" s="97" t="n"/>
    </row>
    <row r="328">
      <c r="A328" s="97" t="n"/>
      <c r="B328" s="97" t="n"/>
      <c r="C328" s="97" t="n"/>
      <c r="D328" s="97" t="n"/>
      <c r="E328" s="97" t="n"/>
      <c r="F328" s="97" t="n"/>
      <c r="G328" s="97" t="n"/>
      <c r="H328" s="97" t="n"/>
    </row>
    <row r="329">
      <c r="A329" s="97" t="n"/>
      <c r="B329" s="97" t="n"/>
      <c r="C329" s="97" t="n"/>
      <c r="D329" s="97" t="n"/>
      <c r="E329" s="97" t="n"/>
      <c r="F329" s="97" t="n"/>
      <c r="G329" s="97" t="n"/>
      <c r="H329" s="97" t="n"/>
    </row>
    <row r="330">
      <c r="A330" s="97" t="n"/>
      <c r="B330" s="97" t="n"/>
      <c r="C330" s="97" t="n"/>
      <c r="D330" s="97" t="n"/>
      <c r="E330" s="97" t="n"/>
      <c r="F330" s="97" t="n"/>
      <c r="G330" s="97" t="n"/>
      <c r="H330" s="97" t="n"/>
    </row>
  </sheetData>
  <dataValidations count="1">
    <dataValidation sqref="A2:A301" showDropDown="0" showInputMessage="0" showErrorMessage="1" allowBlank="1" errorTitle="月初日で入力" error="月初日で入力してください（例：R7.1 または 2025/1。その月の1日になります）。" type="custom">
      <formula1>DAY(A2)=1</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007F7F7F"/>
    <outlinePr summaryBelow="1" summaryRight="1"/>
    <pageSetUpPr fitToPage="1"/>
  </sheetPr>
  <dimension ref="A1:S57"/>
  <sheetViews>
    <sheetView tabSelected="0" workbookViewId="0">
      <selection activeCell="A1" sqref="A1"/>
    </sheetView>
  </sheetViews>
  <sheetFormatPr baseColWidth="8" defaultRowHeight="15"/>
  <cols>
    <col width="6" customWidth="1" style="39" min="1" max="1"/>
    <col width="7" customWidth="1" style="39" min="2" max="2"/>
    <col width="5" customWidth="1" style="39" min="3" max="3"/>
    <col width="7" customWidth="1" style="39" min="4" max="4"/>
    <col width="7" customWidth="1" style="39" min="5" max="5"/>
    <col width="13" customWidth="1" style="39" min="6" max="6"/>
    <col width="13" customWidth="1" style="39" min="7" max="7"/>
    <col width="13" customWidth="1" style="39" min="8" max="8"/>
    <col width="9" customWidth="1" style="39" min="9" max="9"/>
    <col width="11" customWidth="1" style="39" min="10" max="10"/>
    <col width="10" customWidth="1" style="39" min="11" max="11"/>
    <col width="8" customWidth="1" style="39" min="12" max="12"/>
    <col width="13" customWidth="1" style="39" min="13" max="13"/>
    <col width="12" customWidth="1" style="39" min="14" max="14"/>
    <col width="13" customWidth="1" style="39" min="15" max="15"/>
    <col hidden="1" width="13" customWidth="1" style="39" min="17" max="17"/>
    <col hidden="1" width="13" customWidth="1" style="39" min="18" max="18"/>
    <col hidden="1" width="13" customWidth="1" style="39" min="19" max="19"/>
  </cols>
  <sheetData>
    <row r="1">
      <c r="A1" s="64" t="inlineStr">
        <is>
          <t>傷病手当金 請求内訳</t>
        </is>
      </c>
      <c r="B1" s="63" t="n"/>
      <c r="C1" s="63" t="n"/>
      <c r="D1" s="63" t="n"/>
      <c r="E1" s="63" t="n"/>
      <c r="F1" s="63" t="n"/>
      <c r="G1" s="63" t="n"/>
      <c r="H1" s="63" t="n"/>
      <c r="I1" s="63" t="n"/>
      <c r="J1" s="63" t="n"/>
      <c r="K1" s="63" t="n"/>
      <c r="L1" s="63" t="n"/>
      <c r="M1" s="63" t="n"/>
      <c r="N1" s="63" t="n"/>
      <c r="O1" s="63" t="n"/>
      <c r="P1" s="63" t="n"/>
      <c r="Q1" s="63" t="n"/>
      <c r="R1" s="63" t="n"/>
      <c r="S1" s="63" t="n"/>
    </row>
    <row r="2">
      <c r="A2" s="63" t="n"/>
      <c r="B2" s="63" t="n"/>
      <c r="C2" s="63" t="n"/>
      <c r="D2" s="63" t="n"/>
      <c r="E2" s="63" t="n"/>
      <c r="F2" s="63" t="n"/>
      <c r="G2" s="63" t="n"/>
      <c r="H2" s="63" t="n"/>
      <c r="I2" s="63" t="n"/>
      <c r="J2" s="63" t="n"/>
      <c r="K2" s="63" t="n"/>
      <c r="L2" s="63" t="n"/>
      <c r="M2" s="63" t="n"/>
      <c r="N2" s="63" t="n"/>
      <c r="O2" s="63" t="n"/>
      <c r="P2" s="63" t="n"/>
      <c r="Q2" s="63" t="n"/>
      <c r="R2" s="63" t="n"/>
      <c r="S2" s="63" t="n"/>
    </row>
    <row r="3">
      <c r="A3" s="66" t="inlineStr">
        <is>
          <t>職員番号</t>
        </is>
      </c>
      <c r="B3" s="63" t="n"/>
      <c r="C3" s="63" t="n"/>
      <c r="D3" s="63" t="n"/>
      <c r="E3" s="63" t="n"/>
      <c r="F3" s="110">
        <f>EMP_ID</f>
        <v/>
      </c>
      <c r="G3" s="63" t="n"/>
      <c r="H3" s="63" t="n"/>
      <c r="I3" s="63" t="n"/>
      <c r="J3" s="66" t="inlineStr">
        <is>
          <t>支給開始日（待機3日後）</t>
        </is>
      </c>
      <c r="K3" s="63" t="n"/>
      <c r="L3" s="63" t="n"/>
      <c r="M3" s="63" t="n"/>
      <c r="N3" s="111">
        <f>P_START</f>
        <v/>
      </c>
      <c r="O3" s="63" t="n"/>
      <c r="P3" s="63" t="n"/>
      <c r="Q3" s="63" t="n"/>
      <c r="R3" s="63" t="n"/>
      <c r="S3" s="63" t="n"/>
    </row>
    <row r="4">
      <c r="A4" s="66" t="inlineStr">
        <is>
          <t>氏名</t>
        </is>
      </c>
      <c r="B4" s="63" t="n"/>
      <c r="C4" s="63" t="n"/>
      <c r="D4" s="63" t="n"/>
      <c r="E4" s="63" t="n"/>
      <c r="F4" s="112">
        <f>EMP_NAME</f>
        <v/>
      </c>
      <c r="G4" s="63" t="n"/>
      <c r="H4" s="63" t="n"/>
      <c r="I4" s="63" t="n"/>
      <c r="J4" s="66" t="inlineStr">
        <is>
          <t>法定給付の末日（1年6月＋出勤）</t>
        </is>
      </c>
      <c r="K4" s="63" t="n"/>
      <c r="L4" s="63" t="n"/>
      <c r="M4" s="63" t="n"/>
      <c r="N4" s="111">
        <f>P_LEGAL_END</f>
        <v/>
      </c>
      <c r="O4" s="63" t="n"/>
      <c r="P4" s="63" t="n"/>
      <c r="Q4" s="63" t="n"/>
      <c r="R4" s="63" t="n"/>
      <c r="S4" s="63" t="n"/>
    </row>
    <row r="5">
      <c r="A5" s="66" t="inlineStr">
        <is>
          <t>請求期間（黄色に入力）</t>
        </is>
      </c>
      <c r="B5" s="63" t="n"/>
      <c r="C5" s="63" t="n"/>
      <c r="D5" s="63" t="n"/>
      <c r="E5" s="63" t="n"/>
      <c r="F5" s="113" t="n"/>
      <c r="G5" s="114" t="inlineStr">
        <is>
          <t>～</t>
        </is>
      </c>
      <c r="H5" s="113" t="n"/>
      <c r="I5" s="63" t="n"/>
      <c r="J5" s="66" t="inlineStr">
        <is>
          <t>附加給付の開始日</t>
        </is>
      </c>
      <c r="K5" s="63" t="n"/>
      <c r="L5" s="63" t="n"/>
      <c r="M5" s="63" t="n"/>
      <c r="N5" s="111">
        <f>P_ADD_START</f>
        <v/>
      </c>
      <c r="O5" s="63" t="n"/>
      <c r="P5" s="63" t="n"/>
      <c r="Q5" s="63" t="n"/>
      <c r="R5" s="63" t="n"/>
      <c r="S5" s="63" t="n"/>
    </row>
    <row r="6">
      <c r="A6" s="66" t="inlineStr">
        <is>
          <t>傷病手当日額（固定）</t>
        </is>
      </c>
      <c r="B6" s="63" t="n"/>
      <c r="C6" s="63" t="n"/>
      <c r="D6" s="63" t="n"/>
      <c r="E6" s="63" t="n"/>
      <c r="F6" s="115">
        <f>DAILY_RATE</f>
        <v/>
      </c>
      <c r="G6" s="63" t="n"/>
      <c r="H6" s="63" t="n"/>
      <c r="I6" s="63" t="n"/>
      <c r="J6" s="66" t="inlineStr">
        <is>
          <t>附加給付の末日（+6月＋出勤）</t>
        </is>
      </c>
      <c r="K6" s="63" t="n"/>
      <c r="L6" s="63" t="n"/>
      <c r="M6" s="63" t="n"/>
      <c r="N6" s="111">
        <f>P_ADD_END</f>
        <v/>
      </c>
      <c r="O6" s="63" t="n"/>
      <c r="P6" s="63" t="n"/>
      <c r="Q6" s="63" t="n"/>
      <c r="R6" s="63" t="n"/>
      <c r="S6" s="63" t="n"/>
    </row>
    <row r="7">
      <c r="A7" s="66" t="inlineStr">
        <is>
          <t>出力日</t>
        </is>
      </c>
      <c r="B7" s="63" t="n"/>
      <c r="C7" s="63" t="n"/>
      <c r="D7" s="63" t="n"/>
      <c r="E7" s="63" t="n"/>
      <c r="F7" s="111">
        <f>TODAY()</f>
        <v/>
      </c>
      <c r="G7" s="63" t="n"/>
      <c r="H7" s="63" t="n"/>
      <c r="I7" s="63" t="n"/>
      <c r="J7" s="66" t="inlineStr">
        <is>
          <t>算定の最終日</t>
        </is>
      </c>
      <c r="K7" s="63" t="n"/>
      <c r="L7" s="63" t="n"/>
      <c r="M7" s="63" t="n"/>
      <c r="N7" s="111">
        <f>P_FINAL</f>
        <v/>
      </c>
      <c r="O7" s="63" t="n"/>
      <c r="P7" s="63" t="n"/>
      <c r="Q7" s="63" t="n"/>
      <c r="R7" s="63" t="n"/>
      <c r="S7" s="63" t="n"/>
    </row>
    <row r="8">
      <c r="A8" s="71">
        <f>IF(MAX(S10:S57)&gt;30,"※明細が30行を超えています。請求期間を短くしてください。","")</f>
        <v/>
      </c>
      <c r="B8" s="63" t="n"/>
      <c r="C8" s="63" t="n"/>
      <c r="D8" s="63" t="n"/>
      <c r="E8" s="63" t="n"/>
      <c r="F8" s="63" t="n"/>
      <c r="G8" s="63" t="n"/>
      <c r="H8" s="63" t="n"/>
      <c r="I8" s="63" t="n"/>
      <c r="J8" s="66" t="inlineStr">
        <is>
          <t>出勤による延長（月数／土日を除く日数）</t>
        </is>
      </c>
      <c r="K8" s="63" t="n"/>
      <c r="L8" s="63" t="n"/>
      <c r="M8" s="63" t="n"/>
      <c r="N8" s="116">
        <f>EXT_MONTHS</f>
        <v/>
      </c>
      <c r="O8" s="117">
        <f>EXT_DAYS</f>
        <v/>
      </c>
      <c r="P8" s="63" t="n"/>
      <c r="Q8" s="63" t="n"/>
      <c r="R8" s="63" t="n"/>
      <c r="S8" s="63" t="n"/>
    </row>
    <row r="9" ht="42" customHeight="1" s="39">
      <c r="A9" s="77" t="inlineStr">
        <is>
          <t>番号</t>
        </is>
      </c>
      <c r="B9" s="77" t="inlineStr">
        <is>
          <t>年</t>
        </is>
      </c>
      <c r="C9" s="77" t="inlineStr">
        <is>
          <t>月</t>
        </is>
      </c>
      <c r="D9" s="77" t="inlineStr">
        <is>
          <t>給与
区分</t>
        </is>
      </c>
      <c r="E9" s="77" t="inlineStr">
        <is>
          <t>給付
区分</t>
        </is>
      </c>
      <c r="F9" s="77" t="inlineStr">
        <is>
          <t>支給期間
（始）</t>
        </is>
      </c>
      <c r="G9" s="77" t="inlineStr">
        <is>
          <t>支給期間
（終）</t>
        </is>
      </c>
      <c r="H9" s="77" t="inlineStr">
        <is>
          <t>勤務を
要する日</t>
        </is>
      </c>
      <c r="I9" s="77" t="inlineStr">
        <is>
          <t>支給日数
（A）</t>
        </is>
      </c>
      <c r="J9" s="77" t="inlineStr">
        <is>
          <t>傷病手当
日額（B）</t>
        </is>
      </c>
      <c r="K9" s="77" t="inlineStr">
        <is>
          <t>報酬日額
（C）</t>
        </is>
      </c>
      <c r="L9" s="77" t="inlineStr">
        <is>
          <t>支給
可否</t>
        </is>
      </c>
      <c r="M9" s="77" t="inlineStr">
        <is>
          <t>標準支給額
（F=B×A）</t>
        </is>
      </c>
      <c r="N9" s="77" t="inlineStr">
        <is>
          <t>調整額
（G）</t>
        </is>
      </c>
      <c r="O9" s="77" t="inlineStr">
        <is>
          <t>差引支給額
（E=F−G）</t>
        </is>
      </c>
      <c r="P9" s="63" t="n"/>
      <c r="Q9" s="63" t="n"/>
      <c r="R9" s="63" t="n"/>
      <c r="S9" s="63" t="n"/>
    </row>
    <row r="10">
      <c r="A10" s="91">
        <f>IF(F10="","",1)</f>
        <v/>
      </c>
      <c r="B10" s="92">
        <f>IF(F10="","",DATE(YEAR(F10),MONTH(F10),1))</f>
        <v/>
      </c>
      <c r="C10" s="91">
        <f>IF(F10="","",MONTH(F10))</f>
        <v/>
      </c>
      <c r="D10" s="91">
        <f>IF(Q10="","",INDEX(算定表!$D$6:$D$53,Q10))</f>
        <v/>
      </c>
      <c r="E10" s="91">
        <f>IF(Q10="","",INDEX(算定表!$E$6:$E$53,Q10))</f>
        <v/>
      </c>
      <c r="F10" s="93">
        <f>IF(Q10="","",MAX(INDEX(算定表!$F$6:$F$53,Q10),$F$5))</f>
        <v/>
      </c>
      <c r="G10" s="93">
        <f>IF(Q10="","",MIN(INDEX(算定表!$G$6:$G$53,Q10),$H$5))</f>
        <v/>
      </c>
      <c r="H10" s="95">
        <f>IF(Q10="","",INDEX(算定表!$H$6:$H$53,Q10))</f>
        <v/>
      </c>
      <c r="I10" s="94">
        <f>IF(F10="","",NETWORKDAYS(F10,G10))</f>
        <v/>
      </c>
      <c r="J10" s="95">
        <f>IF(Q10="","",INDEX(算定表!$J$6:$J$53,Q10))</f>
        <v/>
      </c>
      <c r="K10" s="95">
        <f>IF(Q10="","",INDEX(算定表!$K$6:$K$53,Q10))</f>
        <v/>
      </c>
      <c r="L10" s="106">
        <f>IF(F10="","",IF(J10&gt;K10,"〇","×"))</f>
        <v/>
      </c>
      <c r="M10" s="95">
        <f>IF(F10="","",J10*I10)</f>
        <v/>
      </c>
      <c r="N10" s="95">
        <f>IF(F10="","",MIN(J10,K10)*I10)</f>
        <v/>
      </c>
      <c r="O10" s="96">
        <f>IF(F10="","",M10-N10)</f>
        <v/>
      </c>
      <c r="P10" s="63" t="n"/>
      <c r="Q10" s="63">
        <f>IFERROR(MATCH(1,$S$10:$S$57,0),"")</f>
        <v/>
      </c>
      <c r="R10" s="63">
        <f>IF(OR($F$5="",$H$5=""),0,IF(AND(ISNUMBER(算定表!$F6),算定表!$G6&gt;=$F$5,算定表!$F6&lt;=$H$5),1,0))</f>
        <v/>
      </c>
      <c r="S10" s="63">
        <f>R10</f>
        <v/>
      </c>
    </row>
    <row r="11">
      <c r="A11" s="91">
        <f>IF(F11="","",2)</f>
        <v/>
      </c>
      <c r="B11" s="92">
        <f>IF(F11="","",DATE(YEAR(F11),MONTH(F11),1))</f>
        <v/>
      </c>
      <c r="C11" s="91">
        <f>IF(F11="","",MONTH(F11))</f>
        <v/>
      </c>
      <c r="D11" s="91">
        <f>IF(Q11="","",INDEX(算定表!$D$6:$D$53,Q11))</f>
        <v/>
      </c>
      <c r="E11" s="91">
        <f>IF(Q11="","",INDEX(算定表!$E$6:$E$53,Q11))</f>
        <v/>
      </c>
      <c r="F11" s="93">
        <f>IF(Q11="","",MAX(INDEX(算定表!$F$6:$F$53,Q11),$F$5))</f>
        <v/>
      </c>
      <c r="G11" s="93">
        <f>IF(Q11="","",MIN(INDEX(算定表!$G$6:$G$53,Q11),$H$5))</f>
        <v/>
      </c>
      <c r="H11" s="95">
        <f>IF(Q11="","",INDEX(算定表!$H$6:$H$53,Q11))</f>
        <v/>
      </c>
      <c r="I11" s="94">
        <f>IF(F11="","",NETWORKDAYS(F11,G11))</f>
        <v/>
      </c>
      <c r="J11" s="95">
        <f>IF(Q11="","",INDEX(算定表!$J$6:$J$53,Q11))</f>
        <v/>
      </c>
      <c r="K11" s="95">
        <f>IF(Q11="","",INDEX(算定表!$K$6:$K$53,Q11))</f>
        <v/>
      </c>
      <c r="L11" s="106">
        <f>IF(F11="","",IF(J11&gt;K11,"〇","×"))</f>
        <v/>
      </c>
      <c r="M11" s="95">
        <f>IF(F11="","",J11*I11)</f>
        <v/>
      </c>
      <c r="N11" s="95">
        <f>IF(F11="","",MIN(J11,K11)*I11)</f>
        <v/>
      </c>
      <c r="O11" s="96">
        <f>IF(F11="","",M11-N11)</f>
        <v/>
      </c>
      <c r="P11" s="63" t="n"/>
      <c r="Q11" s="63">
        <f>IFERROR(MATCH(2,$S$10:$S$57,0),"")</f>
        <v/>
      </c>
      <c r="R11" s="63">
        <f>IF(OR($F$5="",$H$5=""),0,IF(AND(ISNUMBER(算定表!$F7),算定表!$G7&gt;=$F$5,算定表!$F7&lt;=$H$5),1,0))</f>
        <v/>
      </c>
      <c r="S11" s="63">
        <f>S10+R11</f>
        <v/>
      </c>
    </row>
    <row r="12">
      <c r="A12" s="91">
        <f>IF(F12="","",3)</f>
        <v/>
      </c>
      <c r="B12" s="92">
        <f>IF(F12="","",DATE(YEAR(F12),MONTH(F12),1))</f>
        <v/>
      </c>
      <c r="C12" s="91">
        <f>IF(F12="","",MONTH(F12))</f>
        <v/>
      </c>
      <c r="D12" s="91">
        <f>IF(Q12="","",INDEX(算定表!$D$6:$D$53,Q12))</f>
        <v/>
      </c>
      <c r="E12" s="91">
        <f>IF(Q12="","",INDEX(算定表!$E$6:$E$53,Q12))</f>
        <v/>
      </c>
      <c r="F12" s="93">
        <f>IF(Q12="","",MAX(INDEX(算定表!$F$6:$F$53,Q12),$F$5))</f>
        <v/>
      </c>
      <c r="G12" s="93">
        <f>IF(Q12="","",MIN(INDEX(算定表!$G$6:$G$53,Q12),$H$5))</f>
        <v/>
      </c>
      <c r="H12" s="95">
        <f>IF(Q12="","",INDEX(算定表!$H$6:$H$53,Q12))</f>
        <v/>
      </c>
      <c r="I12" s="94">
        <f>IF(F12="","",NETWORKDAYS(F12,G12))</f>
        <v/>
      </c>
      <c r="J12" s="95">
        <f>IF(Q12="","",INDEX(算定表!$J$6:$J$53,Q12))</f>
        <v/>
      </c>
      <c r="K12" s="95">
        <f>IF(Q12="","",INDEX(算定表!$K$6:$K$53,Q12))</f>
        <v/>
      </c>
      <c r="L12" s="106">
        <f>IF(F12="","",IF(J12&gt;K12,"〇","×"))</f>
        <v/>
      </c>
      <c r="M12" s="95">
        <f>IF(F12="","",J12*I12)</f>
        <v/>
      </c>
      <c r="N12" s="95">
        <f>IF(F12="","",MIN(J12,K12)*I12)</f>
        <v/>
      </c>
      <c r="O12" s="96">
        <f>IF(F12="","",M12-N12)</f>
        <v/>
      </c>
      <c r="P12" s="63" t="n"/>
      <c r="Q12" s="63">
        <f>IFERROR(MATCH(3,$S$10:$S$57,0),"")</f>
        <v/>
      </c>
      <c r="R12" s="63">
        <f>IF(OR($F$5="",$H$5=""),0,IF(AND(ISNUMBER(算定表!$F8),算定表!$G8&gt;=$F$5,算定表!$F8&lt;=$H$5),1,0))</f>
        <v/>
      </c>
      <c r="S12" s="63">
        <f>S11+R12</f>
        <v/>
      </c>
    </row>
    <row r="13">
      <c r="A13" s="91">
        <f>IF(F13="","",4)</f>
        <v/>
      </c>
      <c r="B13" s="92">
        <f>IF(F13="","",DATE(YEAR(F13),MONTH(F13),1))</f>
        <v/>
      </c>
      <c r="C13" s="91">
        <f>IF(F13="","",MONTH(F13))</f>
        <v/>
      </c>
      <c r="D13" s="91">
        <f>IF(Q13="","",INDEX(算定表!$D$6:$D$53,Q13))</f>
        <v/>
      </c>
      <c r="E13" s="91">
        <f>IF(Q13="","",INDEX(算定表!$E$6:$E$53,Q13))</f>
        <v/>
      </c>
      <c r="F13" s="93">
        <f>IF(Q13="","",MAX(INDEX(算定表!$F$6:$F$53,Q13),$F$5))</f>
        <v/>
      </c>
      <c r="G13" s="93">
        <f>IF(Q13="","",MIN(INDEX(算定表!$G$6:$G$53,Q13),$H$5))</f>
        <v/>
      </c>
      <c r="H13" s="95">
        <f>IF(Q13="","",INDEX(算定表!$H$6:$H$53,Q13))</f>
        <v/>
      </c>
      <c r="I13" s="94">
        <f>IF(F13="","",NETWORKDAYS(F13,G13))</f>
        <v/>
      </c>
      <c r="J13" s="95">
        <f>IF(Q13="","",INDEX(算定表!$J$6:$J$53,Q13))</f>
        <v/>
      </c>
      <c r="K13" s="95">
        <f>IF(Q13="","",INDEX(算定表!$K$6:$K$53,Q13))</f>
        <v/>
      </c>
      <c r="L13" s="106">
        <f>IF(F13="","",IF(J13&gt;K13,"〇","×"))</f>
        <v/>
      </c>
      <c r="M13" s="95">
        <f>IF(F13="","",J13*I13)</f>
        <v/>
      </c>
      <c r="N13" s="95">
        <f>IF(F13="","",MIN(J13,K13)*I13)</f>
        <v/>
      </c>
      <c r="O13" s="96">
        <f>IF(F13="","",M13-N13)</f>
        <v/>
      </c>
      <c r="P13" s="63" t="n"/>
      <c r="Q13" s="63">
        <f>IFERROR(MATCH(4,$S$10:$S$57,0),"")</f>
        <v/>
      </c>
      <c r="R13" s="63">
        <f>IF(OR($F$5="",$H$5=""),0,IF(AND(ISNUMBER(算定表!$F9),算定表!$G9&gt;=$F$5,算定表!$F9&lt;=$H$5),1,0))</f>
        <v/>
      </c>
      <c r="S13" s="63">
        <f>S12+R13</f>
        <v/>
      </c>
    </row>
    <row r="14">
      <c r="A14" s="91">
        <f>IF(F14="","",5)</f>
        <v/>
      </c>
      <c r="B14" s="92">
        <f>IF(F14="","",DATE(YEAR(F14),MONTH(F14),1))</f>
        <v/>
      </c>
      <c r="C14" s="91">
        <f>IF(F14="","",MONTH(F14))</f>
        <v/>
      </c>
      <c r="D14" s="91">
        <f>IF(Q14="","",INDEX(算定表!$D$6:$D$53,Q14))</f>
        <v/>
      </c>
      <c r="E14" s="91">
        <f>IF(Q14="","",INDEX(算定表!$E$6:$E$53,Q14))</f>
        <v/>
      </c>
      <c r="F14" s="93">
        <f>IF(Q14="","",MAX(INDEX(算定表!$F$6:$F$53,Q14),$F$5))</f>
        <v/>
      </c>
      <c r="G14" s="93">
        <f>IF(Q14="","",MIN(INDEX(算定表!$G$6:$G$53,Q14),$H$5))</f>
        <v/>
      </c>
      <c r="H14" s="95">
        <f>IF(Q14="","",INDEX(算定表!$H$6:$H$53,Q14))</f>
        <v/>
      </c>
      <c r="I14" s="94">
        <f>IF(F14="","",NETWORKDAYS(F14,G14))</f>
        <v/>
      </c>
      <c r="J14" s="95">
        <f>IF(Q14="","",INDEX(算定表!$J$6:$J$53,Q14))</f>
        <v/>
      </c>
      <c r="K14" s="95">
        <f>IF(Q14="","",INDEX(算定表!$K$6:$K$53,Q14))</f>
        <v/>
      </c>
      <c r="L14" s="106">
        <f>IF(F14="","",IF(J14&gt;K14,"〇","×"))</f>
        <v/>
      </c>
      <c r="M14" s="95">
        <f>IF(F14="","",J14*I14)</f>
        <v/>
      </c>
      <c r="N14" s="95">
        <f>IF(F14="","",MIN(J14,K14)*I14)</f>
        <v/>
      </c>
      <c r="O14" s="96">
        <f>IF(F14="","",M14-N14)</f>
        <v/>
      </c>
      <c r="P14" s="63" t="n"/>
      <c r="Q14" s="63">
        <f>IFERROR(MATCH(5,$S$10:$S$57,0),"")</f>
        <v/>
      </c>
      <c r="R14" s="63">
        <f>IF(OR($F$5="",$H$5=""),0,IF(AND(ISNUMBER(算定表!$F10),算定表!$G10&gt;=$F$5,算定表!$F10&lt;=$H$5),1,0))</f>
        <v/>
      </c>
      <c r="S14" s="63">
        <f>S13+R14</f>
        <v/>
      </c>
    </row>
    <row r="15">
      <c r="A15" s="91">
        <f>IF(F15="","",6)</f>
        <v/>
      </c>
      <c r="B15" s="92">
        <f>IF(F15="","",DATE(YEAR(F15),MONTH(F15),1))</f>
        <v/>
      </c>
      <c r="C15" s="91">
        <f>IF(F15="","",MONTH(F15))</f>
        <v/>
      </c>
      <c r="D15" s="91">
        <f>IF(Q15="","",INDEX(算定表!$D$6:$D$53,Q15))</f>
        <v/>
      </c>
      <c r="E15" s="91">
        <f>IF(Q15="","",INDEX(算定表!$E$6:$E$53,Q15))</f>
        <v/>
      </c>
      <c r="F15" s="93">
        <f>IF(Q15="","",MAX(INDEX(算定表!$F$6:$F$53,Q15),$F$5))</f>
        <v/>
      </c>
      <c r="G15" s="93">
        <f>IF(Q15="","",MIN(INDEX(算定表!$G$6:$G$53,Q15),$H$5))</f>
        <v/>
      </c>
      <c r="H15" s="95">
        <f>IF(Q15="","",INDEX(算定表!$H$6:$H$53,Q15))</f>
        <v/>
      </c>
      <c r="I15" s="94">
        <f>IF(F15="","",NETWORKDAYS(F15,G15))</f>
        <v/>
      </c>
      <c r="J15" s="95">
        <f>IF(Q15="","",INDEX(算定表!$J$6:$J$53,Q15))</f>
        <v/>
      </c>
      <c r="K15" s="95">
        <f>IF(Q15="","",INDEX(算定表!$K$6:$K$53,Q15))</f>
        <v/>
      </c>
      <c r="L15" s="106">
        <f>IF(F15="","",IF(J15&gt;K15,"〇","×"))</f>
        <v/>
      </c>
      <c r="M15" s="95">
        <f>IF(F15="","",J15*I15)</f>
        <v/>
      </c>
      <c r="N15" s="95">
        <f>IF(F15="","",MIN(J15,K15)*I15)</f>
        <v/>
      </c>
      <c r="O15" s="96">
        <f>IF(F15="","",M15-N15)</f>
        <v/>
      </c>
      <c r="P15" s="63" t="n"/>
      <c r="Q15" s="63">
        <f>IFERROR(MATCH(6,$S$10:$S$57,0),"")</f>
        <v/>
      </c>
      <c r="R15" s="63">
        <f>IF(OR($F$5="",$H$5=""),0,IF(AND(ISNUMBER(算定表!$F11),算定表!$G11&gt;=$F$5,算定表!$F11&lt;=$H$5),1,0))</f>
        <v/>
      </c>
      <c r="S15" s="63">
        <f>S14+R15</f>
        <v/>
      </c>
    </row>
    <row r="16">
      <c r="A16" s="91">
        <f>IF(F16="","",7)</f>
        <v/>
      </c>
      <c r="B16" s="92">
        <f>IF(F16="","",DATE(YEAR(F16),MONTH(F16),1))</f>
        <v/>
      </c>
      <c r="C16" s="91">
        <f>IF(F16="","",MONTH(F16))</f>
        <v/>
      </c>
      <c r="D16" s="91">
        <f>IF(Q16="","",INDEX(算定表!$D$6:$D$53,Q16))</f>
        <v/>
      </c>
      <c r="E16" s="91">
        <f>IF(Q16="","",INDEX(算定表!$E$6:$E$53,Q16))</f>
        <v/>
      </c>
      <c r="F16" s="93">
        <f>IF(Q16="","",MAX(INDEX(算定表!$F$6:$F$53,Q16),$F$5))</f>
        <v/>
      </c>
      <c r="G16" s="93">
        <f>IF(Q16="","",MIN(INDEX(算定表!$G$6:$G$53,Q16),$H$5))</f>
        <v/>
      </c>
      <c r="H16" s="95">
        <f>IF(Q16="","",INDEX(算定表!$H$6:$H$53,Q16))</f>
        <v/>
      </c>
      <c r="I16" s="94">
        <f>IF(F16="","",NETWORKDAYS(F16,G16))</f>
        <v/>
      </c>
      <c r="J16" s="95">
        <f>IF(Q16="","",INDEX(算定表!$J$6:$J$53,Q16))</f>
        <v/>
      </c>
      <c r="K16" s="95">
        <f>IF(Q16="","",INDEX(算定表!$K$6:$K$53,Q16))</f>
        <v/>
      </c>
      <c r="L16" s="106">
        <f>IF(F16="","",IF(J16&gt;K16,"〇","×"))</f>
        <v/>
      </c>
      <c r="M16" s="95">
        <f>IF(F16="","",J16*I16)</f>
        <v/>
      </c>
      <c r="N16" s="95">
        <f>IF(F16="","",MIN(J16,K16)*I16)</f>
        <v/>
      </c>
      <c r="O16" s="96">
        <f>IF(F16="","",M16-N16)</f>
        <v/>
      </c>
      <c r="P16" s="63" t="n"/>
      <c r="Q16" s="63">
        <f>IFERROR(MATCH(7,$S$10:$S$57,0),"")</f>
        <v/>
      </c>
      <c r="R16" s="63">
        <f>IF(OR($F$5="",$H$5=""),0,IF(AND(ISNUMBER(算定表!$F12),算定表!$G12&gt;=$F$5,算定表!$F12&lt;=$H$5),1,0))</f>
        <v/>
      </c>
      <c r="S16" s="63">
        <f>S15+R16</f>
        <v/>
      </c>
    </row>
    <row r="17">
      <c r="A17" s="91">
        <f>IF(F17="","",8)</f>
        <v/>
      </c>
      <c r="B17" s="92">
        <f>IF(F17="","",DATE(YEAR(F17),MONTH(F17),1))</f>
        <v/>
      </c>
      <c r="C17" s="91">
        <f>IF(F17="","",MONTH(F17))</f>
        <v/>
      </c>
      <c r="D17" s="91">
        <f>IF(Q17="","",INDEX(算定表!$D$6:$D$53,Q17))</f>
        <v/>
      </c>
      <c r="E17" s="91">
        <f>IF(Q17="","",INDEX(算定表!$E$6:$E$53,Q17))</f>
        <v/>
      </c>
      <c r="F17" s="93">
        <f>IF(Q17="","",MAX(INDEX(算定表!$F$6:$F$53,Q17),$F$5))</f>
        <v/>
      </c>
      <c r="G17" s="93">
        <f>IF(Q17="","",MIN(INDEX(算定表!$G$6:$G$53,Q17),$H$5))</f>
        <v/>
      </c>
      <c r="H17" s="95">
        <f>IF(Q17="","",INDEX(算定表!$H$6:$H$53,Q17))</f>
        <v/>
      </c>
      <c r="I17" s="94">
        <f>IF(F17="","",NETWORKDAYS(F17,G17))</f>
        <v/>
      </c>
      <c r="J17" s="95">
        <f>IF(Q17="","",INDEX(算定表!$J$6:$J$53,Q17))</f>
        <v/>
      </c>
      <c r="K17" s="95">
        <f>IF(Q17="","",INDEX(算定表!$K$6:$K$53,Q17))</f>
        <v/>
      </c>
      <c r="L17" s="106">
        <f>IF(F17="","",IF(J17&gt;K17,"〇","×"))</f>
        <v/>
      </c>
      <c r="M17" s="95">
        <f>IF(F17="","",J17*I17)</f>
        <v/>
      </c>
      <c r="N17" s="95">
        <f>IF(F17="","",MIN(J17,K17)*I17)</f>
        <v/>
      </c>
      <c r="O17" s="96">
        <f>IF(F17="","",M17-N17)</f>
        <v/>
      </c>
      <c r="P17" s="63" t="n"/>
      <c r="Q17" s="63">
        <f>IFERROR(MATCH(8,$S$10:$S$57,0),"")</f>
        <v/>
      </c>
      <c r="R17" s="63">
        <f>IF(OR($F$5="",$H$5=""),0,IF(AND(ISNUMBER(算定表!$F13),算定表!$G13&gt;=$F$5,算定表!$F13&lt;=$H$5),1,0))</f>
        <v/>
      </c>
      <c r="S17" s="63">
        <f>S16+R17</f>
        <v/>
      </c>
    </row>
    <row r="18">
      <c r="A18" s="91">
        <f>IF(F18="","",9)</f>
        <v/>
      </c>
      <c r="B18" s="92">
        <f>IF(F18="","",DATE(YEAR(F18),MONTH(F18),1))</f>
        <v/>
      </c>
      <c r="C18" s="91">
        <f>IF(F18="","",MONTH(F18))</f>
        <v/>
      </c>
      <c r="D18" s="91">
        <f>IF(Q18="","",INDEX(算定表!$D$6:$D$53,Q18))</f>
        <v/>
      </c>
      <c r="E18" s="91">
        <f>IF(Q18="","",INDEX(算定表!$E$6:$E$53,Q18))</f>
        <v/>
      </c>
      <c r="F18" s="93">
        <f>IF(Q18="","",MAX(INDEX(算定表!$F$6:$F$53,Q18),$F$5))</f>
        <v/>
      </c>
      <c r="G18" s="93">
        <f>IF(Q18="","",MIN(INDEX(算定表!$G$6:$G$53,Q18),$H$5))</f>
        <v/>
      </c>
      <c r="H18" s="95">
        <f>IF(Q18="","",INDEX(算定表!$H$6:$H$53,Q18))</f>
        <v/>
      </c>
      <c r="I18" s="94">
        <f>IF(F18="","",NETWORKDAYS(F18,G18))</f>
        <v/>
      </c>
      <c r="J18" s="95">
        <f>IF(Q18="","",INDEX(算定表!$J$6:$J$53,Q18))</f>
        <v/>
      </c>
      <c r="K18" s="95">
        <f>IF(Q18="","",INDEX(算定表!$K$6:$K$53,Q18))</f>
        <v/>
      </c>
      <c r="L18" s="106">
        <f>IF(F18="","",IF(J18&gt;K18,"〇","×"))</f>
        <v/>
      </c>
      <c r="M18" s="95">
        <f>IF(F18="","",J18*I18)</f>
        <v/>
      </c>
      <c r="N18" s="95">
        <f>IF(F18="","",MIN(J18,K18)*I18)</f>
        <v/>
      </c>
      <c r="O18" s="96">
        <f>IF(F18="","",M18-N18)</f>
        <v/>
      </c>
      <c r="P18" s="63" t="n"/>
      <c r="Q18" s="63">
        <f>IFERROR(MATCH(9,$S$10:$S$57,0),"")</f>
        <v/>
      </c>
      <c r="R18" s="63">
        <f>IF(OR($F$5="",$H$5=""),0,IF(AND(ISNUMBER(算定表!$F14),算定表!$G14&gt;=$F$5,算定表!$F14&lt;=$H$5),1,0))</f>
        <v/>
      </c>
      <c r="S18" s="63">
        <f>S17+R18</f>
        <v/>
      </c>
    </row>
    <row r="19">
      <c r="A19" s="91">
        <f>IF(F19="","",10)</f>
        <v/>
      </c>
      <c r="B19" s="92">
        <f>IF(F19="","",DATE(YEAR(F19),MONTH(F19),1))</f>
        <v/>
      </c>
      <c r="C19" s="91">
        <f>IF(F19="","",MONTH(F19))</f>
        <v/>
      </c>
      <c r="D19" s="91">
        <f>IF(Q19="","",INDEX(算定表!$D$6:$D$53,Q19))</f>
        <v/>
      </c>
      <c r="E19" s="91">
        <f>IF(Q19="","",INDEX(算定表!$E$6:$E$53,Q19))</f>
        <v/>
      </c>
      <c r="F19" s="93">
        <f>IF(Q19="","",MAX(INDEX(算定表!$F$6:$F$53,Q19),$F$5))</f>
        <v/>
      </c>
      <c r="G19" s="93">
        <f>IF(Q19="","",MIN(INDEX(算定表!$G$6:$G$53,Q19),$H$5))</f>
        <v/>
      </c>
      <c r="H19" s="95">
        <f>IF(Q19="","",INDEX(算定表!$H$6:$H$53,Q19))</f>
        <v/>
      </c>
      <c r="I19" s="94">
        <f>IF(F19="","",NETWORKDAYS(F19,G19))</f>
        <v/>
      </c>
      <c r="J19" s="95">
        <f>IF(Q19="","",INDEX(算定表!$J$6:$J$53,Q19))</f>
        <v/>
      </c>
      <c r="K19" s="95">
        <f>IF(Q19="","",INDEX(算定表!$K$6:$K$53,Q19))</f>
        <v/>
      </c>
      <c r="L19" s="106">
        <f>IF(F19="","",IF(J19&gt;K19,"〇","×"))</f>
        <v/>
      </c>
      <c r="M19" s="95">
        <f>IF(F19="","",J19*I19)</f>
        <v/>
      </c>
      <c r="N19" s="95">
        <f>IF(F19="","",MIN(J19,K19)*I19)</f>
        <v/>
      </c>
      <c r="O19" s="96">
        <f>IF(F19="","",M19-N19)</f>
        <v/>
      </c>
      <c r="P19" s="63" t="n"/>
      <c r="Q19" s="63">
        <f>IFERROR(MATCH(10,$S$10:$S$57,0),"")</f>
        <v/>
      </c>
      <c r="R19" s="63">
        <f>IF(OR($F$5="",$H$5=""),0,IF(AND(ISNUMBER(算定表!$F15),算定表!$G15&gt;=$F$5,算定表!$F15&lt;=$H$5),1,0))</f>
        <v/>
      </c>
      <c r="S19" s="63">
        <f>S18+R19</f>
        <v/>
      </c>
    </row>
    <row r="20">
      <c r="A20" s="91">
        <f>IF(F20="","",11)</f>
        <v/>
      </c>
      <c r="B20" s="92">
        <f>IF(F20="","",DATE(YEAR(F20),MONTH(F20),1))</f>
        <v/>
      </c>
      <c r="C20" s="91">
        <f>IF(F20="","",MONTH(F20))</f>
        <v/>
      </c>
      <c r="D20" s="91">
        <f>IF(Q20="","",INDEX(算定表!$D$6:$D$53,Q20))</f>
        <v/>
      </c>
      <c r="E20" s="91">
        <f>IF(Q20="","",INDEX(算定表!$E$6:$E$53,Q20))</f>
        <v/>
      </c>
      <c r="F20" s="93">
        <f>IF(Q20="","",MAX(INDEX(算定表!$F$6:$F$53,Q20),$F$5))</f>
        <v/>
      </c>
      <c r="G20" s="93">
        <f>IF(Q20="","",MIN(INDEX(算定表!$G$6:$G$53,Q20),$H$5))</f>
        <v/>
      </c>
      <c r="H20" s="95">
        <f>IF(Q20="","",INDEX(算定表!$H$6:$H$53,Q20))</f>
        <v/>
      </c>
      <c r="I20" s="94">
        <f>IF(F20="","",NETWORKDAYS(F20,G20))</f>
        <v/>
      </c>
      <c r="J20" s="95">
        <f>IF(Q20="","",INDEX(算定表!$J$6:$J$53,Q20))</f>
        <v/>
      </c>
      <c r="K20" s="95">
        <f>IF(Q20="","",INDEX(算定表!$K$6:$K$53,Q20))</f>
        <v/>
      </c>
      <c r="L20" s="106">
        <f>IF(F20="","",IF(J20&gt;K20,"〇","×"))</f>
        <v/>
      </c>
      <c r="M20" s="95">
        <f>IF(F20="","",J20*I20)</f>
        <v/>
      </c>
      <c r="N20" s="95">
        <f>IF(F20="","",MIN(J20,K20)*I20)</f>
        <v/>
      </c>
      <c r="O20" s="96">
        <f>IF(F20="","",M20-N20)</f>
        <v/>
      </c>
      <c r="P20" s="63" t="n"/>
      <c r="Q20" s="63">
        <f>IFERROR(MATCH(11,$S$10:$S$57,0),"")</f>
        <v/>
      </c>
      <c r="R20" s="63">
        <f>IF(OR($F$5="",$H$5=""),0,IF(AND(ISNUMBER(算定表!$F16),算定表!$G16&gt;=$F$5,算定表!$F16&lt;=$H$5),1,0))</f>
        <v/>
      </c>
      <c r="S20" s="63">
        <f>S19+R20</f>
        <v/>
      </c>
    </row>
    <row r="21">
      <c r="A21" s="91">
        <f>IF(F21="","",12)</f>
        <v/>
      </c>
      <c r="B21" s="92">
        <f>IF(F21="","",DATE(YEAR(F21),MONTH(F21),1))</f>
        <v/>
      </c>
      <c r="C21" s="91">
        <f>IF(F21="","",MONTH(F21))</f>
        <v/>
      </c>
      <c r="D21" s="91">
        <f>IF(Q21="","",INDEX(算定表!$D$6:$D$53,Q21))</f>
        <v/>
      </c>
      <c r="E21" s="91">
        <f>IF(Q21="","",INDEX(算定表!$E$6:$E$53,Q21))</f>
        <v/>
      </c>
      <c r="F21" s="93">
        <f>IF(Q21="","",MAX(INDEX(算定表!$F$6:$F$53,Q21),$F$5))</f>
        <v/>
      </c>
      <c r="G21" s="93">
        <f>IF(Q21="","",MIN(INDEX(算定表!$G$6:$G$53,Q21),$H$5))</f>
        <v/>
      </c>
      <c r="H21" s="95">
        <f>IF(Q21="","",INDEX(算定表!$H$6:$H$53,Q21))</f>
        <v/>
      </c>
      <c r="I21" s="94">
        <f>IF(F21="","",NETWORKDAYS(F21,G21))</f>
        <v/>
      </c>
      <c r="J21" s="95">
        <f>IF(Q21="","",INDEX(算定表!$J$6:$J$53,Q21))</f>
        <v/>
      </c>
      <c r="K21" s="95">
        <f>IF(Q21="","",INDEX(算定表!$K$6:$K$53,Q21))</f>
        <v/>
      </c>
      <c r="L21" s="106">
        <f>IF(F21="","",IF(J21&gt;K21,"〇","×"))</f>
        <v/>
      </c>
      <c r="M21" s="95">
        <f>IF(F21="","",J21*I21)</f>
        <v/>
      </c>
      <c r="N21" s="95">
        <f>IF(F21="","",MIN(J21,K21)*I21)</f>
        <v/>
      </c>
      <c r="O21" s="96">
        <f>IF(F21="","",M21-N21)</f>
        <v/>
      </c>
      <c r="P21" s="63" t="n"/>
      <c r="Q21" s="63">
        <f>IFERROR(MATCH(12,$S$10:$S$57,0),"")</f>
        <v/>
      </c>
      <c r="R21" s="63">
        <f>IF(OR($F$5="",$H$5=""),0,IF(AND(ISNUMBER(算定表!$F17),算定表!$G17&gt;=$F$5,算定表!$F17&lt;=$H$5),1,0))</f>
        <v/>
      </c>
      <c r="S21" s="63">
        <f>S20+R21</f>
        <v/>
      </c>
    </row>
    <row r="22">
      <c r="A22" s="91">
        <f>IF(F22="","",13)</f>
        <v/>
      </c>
      <c r="B22" s="92">
        <f>IF(F22="","",DATE(YEAR(F22),MONTH(F22),1))</f>
        <v/>
      </c>
      <c r="C22" s="91">
        <f>IF(F22="","",MONTH(F22))</f>
        <v/>
      </c>
      <c r="D22" s="91">
        <f>IF(Q22="","",INDEX(算定表!$D$6:$D$53,Q22))</f>
        <v/>
      </c>
      <c r="E22" s="91">
        <f>IF(Q22="","",INDEX(算定表!$E$6:$E$53,Q22))</f>
        <v/>
      </c>
      <c r="F22" s="93">
        <f>IF(Q22="","",MAX(INDEX(算定表!$F$6:$F$53,Q22),$F$5))</f>
        <v/>
      </c>
      <c r="G22" s="93">
        <f>IF(Q22="","",MIN(INDEX(算定表!$G$6:$G$53,Q22),$H$5))</f>
        <v/>
      </c>
      <c r="H22" s="95">
        <f>IF(Q22="","",INDEX(算定表!$H$6:$H$53,Q22))</f>
        <v/>
      </c>
      <c r="I22" s="94">
        <f>IF(F22="","",NETWORKDAYS(F22,G22))</f>
        <v/>
      </c>
      <c r="J22" s="95">
        <f>IF(Q22="","",INDEX(算定表!$J$6:$J$53,Q22))</f>
        <v/>
      </c>
      <c r="K22" s="95">
        <f>IF(Q22="","",INDEX(算定表!$K$6:$K$53,Q22))</f>
        <v/>
      </c>
      <c r="L22" s="106">
        <f>IF(F22="","",IF(J22&gt;K22,"〇","×"))</f>
        <v/>
      </c>
      <c r="M22" s="95">
        <f>IF(F22="","",J22*I22)</f>
        <v/>
      </c>
      <c r="N22" s="95">
        <f>IF(F22="","",MIN(J22,K22)*I22)</f>
        <v/>
      </c>
      <c r="O22" s="96">
        <f>IF(F22="","",M22-N22)</f>
        <v/>
      </c>
      <c r="P22" s="63" t="n"/>
      <c r="Q22" s="63">
        <f>IFERROR(MATCH(13,$S$10:$S$57,0),"")</f>
        <v/>
      </c>
      <c r="R22" s="63">
        <f>IF(OR($F$5="",$H$5=""),0,IF(AND(ISNUMBER(算定表!$F18),算定表!$G18&gt;=$F$5,算定表!$F18&lt;=$H$5),1,0))</f>
        <v/>
      </c>
      <c r="S22" s="63">
        <f>S21+R22</f>
        <v/>
      </c>
    </row>
    <row r="23">
      <c r="A23" s="91">
        <f>IF(F23="","",14)</f>
        <v/>
      </c>
      <c r="B23" s="92">
        <f>IF(F23="","",DATE(YEAR(F23),MONTH(F23),1))</f>
        <v/>
      </c>
      <c r="C23" s="91">
        <f>IF(F23="","",MONTH(F23))</f>
        <v/>
      </c>
      <c r="D23" s="91">
        <f>IF(Q23="","",INDEX(算定表!$D$6:$D$53,Q23))</f>
        <v/>
      </c>
      <c r="E23" s="91">
        <f>IF(Q23="","",INDEX(算定表!$E$6:$E$53,Q23))</f>
        <v/>
      </c>
      <c r="F23" s="93">
        <f>IF(Q23="","",MAX(INDEX(算定表!$F$6:$F$53,Q23),$F$5))</f>
        <v/>
      </c>
      <c r="G23" s="93">
        <f>IF(Q23="","",MIN(INDEX(算定表!$G$6:$G$53,Q23),$H$5))</f>
        <v/>
      </c>
      <c r="H23" s="95">
        <f>IF(Q23="","",INDEX(算定表!$H$6:$H$53,Q23))</f>
        <v/>
      </c>
      <c r="I23" s="94">
        <f>IF(F23="","",NETWORKDAYS(F23,G23))</f>
        <v/>
      </c>
      <c r="J23" s="95">
        <f>IF(Q23="","",INDEX(算定表!$J$6:$J$53,Q23))</f>
        <v/>
      </c>
      <c r="K23" s="95">
        <f>IF(Q23="","",INDEX(算定表!$K$6:$K$53,Q23))</f>
        <v/>
      </c>
      <c r="L23" s="106">
        <f>IF(F23="","",IF(J23&gt;K23,"〇","×"))</f>
        <v/>
      </c>
      <c r="M23" s="95">
        <f>IF(F23="","",J23*I23)</f>
        <v/>
      </c>
      <c r="N23" s="95">
        <f>IF(F23="","",MIN(J23,K23)*I23)</f>
        <v/>
      </c>
      <c r="O23" s="96">
        <f>IF(F23="","",M23-N23)</f>
        <v/>
      </c>
      <c r="P23" s="63" t="n"/>
      <c r="Q23" s="63">
        <f>IFERROR(MATCH(14,$S$10:$S$57,0),"")</f>
        <v/>
      </c>
      <c r="R23" s="63">
        <f>IF(OR($F$5="",$H$5=""),0,IF(AND(ISNUMBER(算定表!$F19),算定表!$G19&gt;=$F$5,算定表!$F19&lt;=$H$5),1,0))</f>
        <v/>
      </c>
      <c r="S23" s="63">
        <f>S22+R23</f>
        <v/>
      </c>
    </row>
    <row r="24">
      <c r="A24" s="91">
        <f>IF(F24="","",15)</f>
        <v/>
      </c>
      <c r="B24" s="92">
        <f>IF(F24="","",DATE(YEAR(F24),MONTH(F24),1))</f>
        <v/>
      </c>
      <c r="C24" s="91">
        <f>IF(F24="","",MONTH(F24))</f>
        <v/>
      </c>
      <c r="D24" s="91">
        <f>IF(Q24="","",INDEX(算定表!$D$6:$D$53,Q24))</f>
        <v/>
      </c>
      <c r="E24" s="91">
        <f>IF(Q24="","",INDEX(算定表!$E$6:$E$53,Q24))</f>
        <v/>
      </c>
      <c r="F24" s="93">
        <f>IF(Q24="","",MAX(INDEX(算定表!$F$6:$F$53,Q24),$F$5))</f>
        <v/>
      </c>
      <c r="G24" s="93">
        <f>IF(Q24="","",MIN(INDEX(算定表!$G$6:$G$53,Q24),$H$5))</f>
        <v/>
      </c>
      <c r="H24" s="95">
        <f>IF(Q24="","",INDEX(算定表!$H$6:$H$53,Q24))</f>
        <v/>
      </c>
      <c r="I24" s="94">
        <f>IF(F24="","",NETWORKDAYS(F24,G24))</f>
        <v/>
      </c>
      <c r="J24" s="95">
        <f>IF(Q24="","",INDEX(算定表!$J$6:$J$53,Q24))</f>
        <v/>
      </c>
      <c r="K24" s="95">
        <f>IF(Q24="","",INDEX(算定表!$K$6:$K$53,Q24))</f>
        <v/>
      </c>
      <c r="L24" s="106">
        <f>IF(F24="","",IF(J24&gt;K24,"〇","×"))</f>
        <v/>
      </c>
      <c r="M24" s="95">
        <f>IF(F24="","",J24*I24)</f>
        <v/>
      </c>
      <c r="N24" s="95">
        <f>IF(F24="","",MIN(J24,K24)*I24)</f>
        <v/>
      </c>
      <c r="O24" s="96">
        <f>IF(F24="","",M24-N24)</f>
        <v/>
      </c>
      <c r="P24" s="63" t="n"/>
      <c r="Q24" s="63">
        <f>IFERROR(MATCH(15,$S$10:$S$57,0),"")</f>
        <v/>
      </c>
      <c r="R24" s="63">
        <f>IF(OR($F$5="",$H$5=""),0,IF(AND(ISNUMBER(算定表!$F20),算定表!$G20&gt;=$F$5,算定表!$F20&lt;=$H$5),1,0))</f>
        <v/>
      </c>
      <c r="S24" s="63">
        <f>S23+R24</f>
        <v/>
      </c>
    </row>
    <row r="25">
      <c r="A25" s="91">
        <f>IF(F25="","",16)</f>
        <v/>
      </c>
      <c r="B25" s="92">
        <f>IF(F25="","",DATE(YEAR(F25),MONTH(F25),1))</f>
        <v/>
      </c>
      <c r="C25" s="91">
        <f>IF(F25="","",MONTH(F25))</f>
        <v/>
      </c>
      <c r="D25" s="91">
        <f>IF(Q25="","",INDEX(算定表!$D$6:$D$53,Q25))</f>
        <v/>
      </c>
      <c r="E25" s="91">
        <f>IF(Q25="","",INDEX(算定表!$E$6:$E$53,Q25))</f>
        <v/>
      </c>
      <c r="F25" s="93">
        <f>IF(Q25="","",MAX(INDEX(算定表!$F$6:$F$53,Q25),$F$5))</f>
        <v/>
      </c>
      <c r="G25" s="93">
        <f>IF(Q25="","",MIN(INDEX(算定表!$G$6:$G$53,Q25),$H$5))</f>
        <v/>
      </c>
      <c r="H25" s="95">
        <f>IF(Q25="","",INDEX(算定表!$H$6:$H$53,Q25))</f>
        <v/>
      </c>
      <c r="I25" s="94">
        <f>IF(F25="","",NETWORKDAYS(F25,G25))</f>
        <v/>
      </c>
      <c r="J25" s="95">
        <f>IF(Q25="","",INDEX(算定表!$J$6:$J$53,Q25))</f>
        <v/>
      </c>
      <c r="K25" s="95">
        <f>IF(Q25="","",INDEX(算定表!$K$6:$K$53,Q25))</f>
        <v/>
      </c>
      <c r="L25" s="106">
        <f>IF(F25="","",IF(J25&gt;K25,"〇","×"))</f>
        <v/>
      </c>
      <c r="M25" s="95">
        <f>IF(F25="","",J25*I25)</f>
        <v/>
      </c>
      <c r="N25" s="95">
        <f>IF(F25="","",MIN(J25,K25)*I25)</f>
        <v/>
      </c>
      <c r="O25" s="96">
        <f>IF(F25="","",M25-N25)</f>
        <v/>
      </c>
      <c r="P25" s="63" t="n"/>
      <c r="Q25" s="63">
        <f>IFERROR(MATCH(16,$S$10:$S$57,0),"")</f>
        <v/>
      </c>
      <c r="R25" s="63">
        <f>IF(OR($F$5="",$H$5=""),0,IF(AND(ISNUMBER(算定表!$F21),算定表!$G21&gt;=$F$5,算定表!$F21&lt;=$H$5),1,0))</f>
        <v/>
      </c>
      <c r="S25" s="63">
        <f>S24+R25</f>
        <v/>
      </c>
    </row>
    <row r="26">
      <c r="A26" s="91">
        <f>IF(F26="","",17)</f>
        <v/>
      </c>
      <c r="B26" s="92">
        <f>IF(F26="","",DATE(YEAR(F26),MONTH(F26),1))</f>
        <v/>
      </c>
      <c r="C26" s="91">
        <f>IF(F26="","",MONTH(F26))</f>
        <v/>
      </c>
      <c r="D26" s="91">
        <f>IF(Q26="","",INDEX(算定表!$D$6:$D$53,Q26))</f>
        <v/>
      </c>
      <c r="E26" s="91">
        <f>IF(Q26="","",INDEX(算定表!$E$6:$E$53,Q26))</f>
        <v/>
      </c>
      <c r="F26" s="93">
        <f>IF(Q26="","",MAX(INDEX(算定表!$F$6:$F$53,Q26),$F$5))</f>
        <v/>
      </c>
      <c r="G26" s="93">
        <f>IF(Q26="","",MIN(INDEX(算定表!$G$6:$G$53,Q26),$H$5))</f>
        <v/>
      </c>
      <c r="H26" s="95">
        <f>IF(Q26="","",INDEX(算定表!$H$6:$H$53,Q26))</f>
        <v/>
      </c>
      <c r="I26" s="94">
        <f>IF(F26="","",NETWORKDAYS(F26,G26))</f>
        <v/>
      </c>
      <c r="J26" s="95">
        <f>IF(Q26="","",INDEX(算定表!$J$6:$J$53,Q26))</f>
        <v/>
      </c>
      <c r="K26" s="95">
        <f>IF(Q26="","",INDEX(算定表!$K$6:$K$53,Q26))</f>
        <v/>
      </c>
      <c r="L26" s="106">
        <f>IF(F26="","",IF(J26&gt;K26,"〇","×"))</f>
        <v/>
      </c>
      <c r="M26" s="95">
        <f>IF(F26="","",J26*I26)</f>
        <v/>
      </c>
      <c r="N26" s="95">
        <f>IF(F26="","",MIN(J26,K26)*I26)</f>
        <v/>
      </c>
      <c r="O26" s="96">
        <f>IF(F26="","",M26-N26)</f>
        <v/>
      </c>
      <c r="P26" s="63" t="n"/>
      <c r="Q26" s="63">
        <f>IFERROR(MATCH(17,$S$10:$S$57,0),"")</f>
        <v/>
      </c>
      <c r="R26" s="63">
        <f>IF(OR($F$5="",$H$5=""),0,IF(AND(ISNUMBER(算定表!$F22),算定表!$G22&gt;=$F$5,算定表!$F22&lt;=$H$5),1,0))</f>
        <v/>
      </c>
      <c r="S26" s="63">
        <f>S25+R26</f>
        <v/>
      </c>
    </row>
    <row r="27">
      <c r="A27" s="91">
        <f>IF(F27="","",18)</f>
        <v/>
      </c>
      <c r="B27" s="92">
        <f>IF(F27="","",DATE(YEAR(F27),MONTH(F27),1))</f>
        <v/>
      </c>
      <c r="C27" s="91">
        <f>IF(F27="","",MONTH(F27))</f>
        <v/>
      </c>
      <c r="D27" s="91">
        <f>IF(Q27="","",INDEX(算定表!$D$6:$D$53,Q27))</f>
        <v/>
      </c>
      <c r="E27" s="91">
        <f>IF(Q27="","",INDEX(算定表!$E$6:$E$53,Q27))</f>
        <v/>
      </c>
      <c r="F27" s="93">
        <f>IF(Q27="","",MAX(INDEX(算定表!$F$6:$F$53,Q27),$F$5))</f>
        <v/>
      </c>
      <c r="G27" s="93">
        <f>IF(Q27="","",MIN(INDEX(算定表!$G$6:$G$53,Q27),$H$5))</f>
        <v/>
      </c>
      <c r="H27" s="95">
        <f>IF(Q27="","",INDEX(算定表!$H$6:$H$53,Q27))</f>
        <v/>
      </c>
      <c r="I27" s="94">
        <f>IF(F27="","",NETWORKDAYS(F27,G27))</f>
        <v/>
      </c>
      <c r="J27" s="95">
        <f>IF(Q27="","",INDEX(算定表!$J$6:$J$53,Q27))</f>
        <v/>
      </c>
      <c r="K27" s="95">
        <f>IF(Q27="","",INDEX(算定表!$K$6:$K$53,Q27))</f>
        <v/>
      </c>
      <c r="L27" s="106">
        <f>IF(F27="","",IF(J27&gt;K27,"〇","×"))</f>
        <v/>
      </c>
      <c r="M27" s="95">
        <f>IF(F27="","",J27*I27)</f>
        <v/>
      </c>
      <c r="N27" s="95">
        <f>IF(F27="","",MIN(J27,K27)*I27)</f>
        <v/>
      </c>
      <c r="O27" s="96">
        <f>IF(F27="","",M27-N27)</f>
        <v/>
      </c>
      <c r="P27" s="63" t="n"/>
      <c r="Q27" s="63">
        <f>IFERROR(MATCH(18,$S$10:$S$57,0),"")</f>
        <v/>
      </c>
      <c r="R27" s="63">
        <f>IF(OR($F$5="",$H$5=""),0,IF(AND(ISNUMBER(算定表!$F23),算定表!$G23&gt;=$F$5,算定表!$F23&lt;=$H$5),1,0))</f>
        <v/>
      </c>
      <c r="S27" s="63">
        <f>S26+R27</f>
        <v/>
      </c>
    </row>
    <row r="28">
      <c r="A28" s="91">
        <f>IF(F28="","",19)</f>
        <v/>
      </c>
      <c r="B28" s="92">
        <f>IF(F28="","",DATE(YEAR(F28),MONTH(F28),1))</f>
        <v/>
      </c>
      <c r="C28" s="91">
        <f>IF(F28="","",MONTH(F28))</f>
        <v/>
      </c>
      <c r="D28" s="91">
        <f>IF(Q28="","",INDEX(算定表!$D$6:$D$53,Q28))</f>
        <v/>
      </c>
      <c r="E28" s="91">
        <f>IF(Q28="","",INDEX(算定表!$E$6:$E$53,Q28))</f>
        <v/>
      </c>
      <c r="F28" s="93">
        <f>IF(Q28="","",MAX(INDEX(算定表!$F$6:$F$53,Q28),$F$5))</f>
        <v/>
      </c>
      <c r="G28" s="93">
        <f>IF(Q28="","",MIN(INDEX(算定表!$G$6:$G$53,Q28),$H$5))</f>
        <v/>
      </c>
      <c r="H28" s="95">
        <f>IF(Q28="","",INDEX(算定表!$H$6:$H$53,Q28))</f>
        <v/>
      </c>
      <c r="I28" s="94">
        <f>IF(F28="","",NETWORKDAYS(F28,G28))</f>
        <v/>
      </c>
      <c r="J28" s="95">
        <f>IF(Q28="","",INDEX(算定表!$J$6:$J$53,Q28))</f>
        <v/>
      </c>
      <c r="K28" s="95">
        <f>IF(Q28="","",INDEX(算定表!$K$6:$K$53,Q28))</f>
        <v/>
      </c>
      <c r="L28" s="106">
        <f>IF(F28="","",IF(J28&gt;K28,"〇","×"))</f>
        <v/>
      </c>
      <c r="M28" s="95">
        <f>IF(F28="","",J28*I28)</f>
        <v/>
      </c>
      <c r="N28" s="95">
        <f>IF(F28="","",MIN(J28,K28)*I28)</f>
        <v/>
      </c>
      <c r="O28" s="96">
        <f>IF(F28="","",M28-N28)</f>
        <v/>
      </c>
      <c r="P28" s="63" t="n"/>
      <c r="Q28" s="63">
        <f>IFERROR(MATCH(19,$S$10:$S$57,0),"")</f>
        <v/>
      </c>
      <c r="R28" s="63">
        <f>IF(OR($F$5="",$H$5=""),0,IF(AND(ISNUMBER(算定表!$F24),算定表!$G24&gt;=$F$5,算定表!$F24&lt;=$H$5),1,0))</f>
        <v/>
      </c>
      <c r="S28" s="63">
        <f>S27+R28</f>
        <v/>
      </c>
    </row>
    <row r="29">
      <c r="A29" s="91">
        <f>IF(F29="","",20)</f>
        <v/>
      </c>
      <c r="B29" s="92">
        <f>IF(F29="","",DATE(YEAR(F29),MONTH(F29),1))</f>
        <v/>
      </c>
      <c r="C29" s="91">
        <f>IF(F29="","",MONTH(F29))</f>
        <v/>
      </c>
      <c r="D29" s="91">
        <f>IF(Q29="","",INDEX(算定表!$D$6:$D$53,Q29))</f>
        <v/>
      </c>
      <c r="E29" s="91">
        <f>IF(Q29="","",INDEX(算定表!$E$6:$E$53,Q29))</f>
        <v/>
      </c>
      <c r="F29" s="93">
        <f>IF(Q29="","",MAX(INDEX(算定表!$F$6:$F$53,Q29),$F$5))</f>
        <v/>
      </c>
      <c r="G29" s="93">
        <f>IF(Q29="","",MIN(INDEX(算定表!$G$6:$G$53,Q29),$H$5))</f>
        <v/>
      </c>
      <c r="H29" s="95">
        <f>IF(Q29="","",INDEX(算定表!$H$6:$H$53,Q29))</f>
        <v/>
      </c>
      <c r="I29" s="94">
        <f>IF(F29="","",NETWORKDAYS(F29,G29))</f>
        <v/>
      </c>
      <c r="J29" s="95">
        <f>IF(Q29="","",INDEX(算定表!$J$6:$J$53,Q29))</f>
        <v/>
      </c>
      <c r="K29" s="95">
        <f>IF(Q29="","",INDEX(算定表!$K$6:$K$53,Q29))</f>
        <v/>
      </c>
      <c r="L29" s="106">
        <f>IF(F29="","",IF(J29&gt;K29,"〇","×"))</f>
        <v/>
      </c>
      <c r="M29" s="95">
        <f>IF(F29="","",J29*I29)</f>
        <v/>
      </c>
      <c r="N29" s="95">
        <f>IF(F29="","",MIN(J29,K29)*I29)</f>
        <v/>
      </c>
      <c r="O29" s="96">
        <f>IF(F29="","",M29-N29)</f>
        <v/>
      </c>
      <c r="P29" s="63" t="n"/>
      <c r="Q29" s="63">
        <f>IFERROR(MATCH(20,$S$10:$S$57,0),"")</f>
        <v/>
      </c>
      <c r="R29" s="63">
        <f>IF(OR($F$5="",$H$5=""),0,IF(AND(ISNUMBER(算定表!$F25),算定表!$G25&gt;=$F$5,算定表!$F25&lt;=$H$5),1,0))</f>
        <v/>
      </c>
      <c r="S29" s="63">
        <f>S28+R29</f>
        <v/>
      </c>
    </row>
    <row r="30">
      <c r="A30" s="91">
        <f>IF(F30="","",21)</f>
        <v/>
      </c>
      <c r="B30" s="92">
        <f>IF(F30="","",DATE(YEAR(F30),MONTH(F30),1))</f>
        <v/>
      </c>
      <c r="C30" s="91">
        <f>IF(F30="","",MONTH(F30))</f>
        <v/>
      </c>
      <c r="D30" s="91">
        <f>IF(Q30="","",INDEX(算定表!$D$6:$D$53,Q30))</f>
        <v/>
      </c>
      <c r="E30" s="91">
        <f>IF(Q30="","",INDEX(算定表!$E$6:$E$53,Q30))</f>
        <v/>
      </c>
      <c r="F30" s="93">
        <f>IF(Q30="","",MAX(INDEX(算定表!$F$6:$F$53,Q30),$F$5))</f>
        <v/>
      </c>
      <c r="G30" s="93">
        <f>IF(Q30="","",MIN(INDEX(算定表!$G$6:$G$53,Q30),$H$5))</f>
        <v/>
      </c>
      <c r="H30" s="95">
        <f>IF(Q30="","",INDEX(算定表!$H$6:$H$53,Q30))</f>
        <v/>
      </c>
      <c r="I30" s="94">
        <f>IF(F30="","",NETWORKDAYS(F30,G30))</f>
        <v/>
      </c>
      <c r="J30" s="95">
        <f>IF(Q30="","",INDEX(算定表!$J$6:$J$53,Q30))</f>
        <v/>
      </c>
      <c r="K30" s="95">
        <f>IF(Q30="","",INDEX(算定表!$K$6:$K$53,Q30))</f>
        <v/>
      </c>
      <c r="L30" s="106">
        <f>IF(F30="","",IF(J30&gt;K30,"〇","×"))</f>
        <v/>
      </c>
      <c r="M30" s="95">
        <f>IF(F30="","",J30*I30)</f>
        <v/>
      </c>
      <c r="N30" s="95">
        <f>IF(F30="","",MIN(J30,K30)*I30)</f>
        <v/>
      </c>
      <c r="O30" s="96">
        <f>IF(F30="","",M30-N30)</f>
        <v/>
      </c>
      <c r="P30" s="63" t="n"/>
      <c r="Q30" s="63">
        <f>IFERROR(MATCH(21,$S$10:$S$57,0),"")</f>
        <v/>
      </c>
      <c r="R30" s="63">
        <f>IF(OR($F$5="",$H$5=""),0,IF(AND(ISNUMBER(算定表!$F26),算定表!$G26&gt;=$F$5,算定表!$F26&lt;=$H$5),1,0))</f>
        <v/>
      </c>
      <c r="S30" s="63">
        <f>S29+R30</f>
        <v/>
      </c>
    </row>
    <row r="31">
      <c r="A31" s="91">
        <f>IF(F31="","",22)</f>
        <v/>
      </c>
      <c r="B31" s="92">
        <f>IF(F31="","",DATE(YEAR(F31),MONTH(F31),1))</f>
        <v/>
      </c>
      <c r="C31" s="91">
        <f>IF(F31="","",MONTH(F31))</f>
        <v/>
      </c>
      <c r="D31" s="91">
        <f>IF(Q31="","",INDEX(算定表!$D$6:$D$53,Q31))</f>
        <v/>
      </c>
      <c r="E31" s="91">
        <f>IF(Q31="","",INDEX(算定表!$E$6:$E$53,Q31))</f>
        <v/>
      </c>
      <c r="F31" s="93">
        <f>IF(Q31="","",MAX(INDEX(算定表!$F$6:$F$53,Q31),$F$5))</f>
        <v/>
      </c>
      <c r="G31" s="93">
        <f>IF(Q31="","",MIN(INDEX(算定表!$G$6:$G$53,Q31),$H$5))</f>
        <v/>
      </c>
      <c r="H31" s="95">
        <f>IF(Q31="","",INDEX(算定表!$H$6:$H$53,Q31))</f>
        <v/>
      </c>
      <c r="I31" s="94">
        <f>IF(F31="","",NETWORKDAYS(F31,G31))</f>
        <v/>
      </c>
      <c r="J31" s="95">
        <f>IF(Q31="","",INDEX(算定表!$J$6:$J$53,Q31))</f>
        <v/>
      </c>
      <c r="K31" s="95">
        <f>IF(Q31="","",INDEX(算定表!$K$6:$K$53,Q31))</f>
        <v/>
      </c>
      <c r="L31" s="106">
        <f>IF(F31="","",IF(J31&gt;K31,"〇","×"))</f>
        <v/>
      </c>
      <c r="M31" s="95">
        <f>IF(F31="","",J31*I31)</f>
        <v/>
      </c>
      <c r="N31" s="95">
        <f>IF(F31="","",MIN(J31,K31)*I31)</f>
        <v/>
      </c>
      <c r="O31" s="96">
        <f>IF(F31="","",M31-N31)</f>
        <v/>
      </c>
      <c r="P31" s="63" t="n"/>
      <c r="Q31" s="63">
        <f>IFERROR(MATCH(22,$S$10:$S$57,0),"")</f>
        <v/>
      </c>
      <c r="R31" s="63">
        <f>IF(OR($F$5="",$H$5=""),0,IF(AND(ISNUMBER(算定表!$F27),算定表!$G27&gt;=$F$5,算定表!$F27&lt;=$H$5),1,0))</f>
        <v/>
      </c>
      <c r="S31" s="63">
        <f>S30+R31</f>
        <v/>
      </c>
    </row>
    <row r="32">
      <c r="A32" s="91">
        <f>IF(F32="","",23)</f>
        <v/>
      </c>
      <c r="B32" s="92">
        <f>IF(F32="","",DATE(YEAR(F32),MONTH(F32),1))</f>
        <v/>
      </c>
      <c r="C32" s="91">
        <f>IF(F32="","",MONTH(F32))</f>
        <v/>
      </c>
      <c r="D32" s="91">
        <f>IF(Q32="","",INDEX(算定表!$D$6:$D$53,Q32))</f>
        <v/>
      </c>
      <c r="E32" s="91">
        <f>IF(Q32="","",INDEX(算定表!$E$6:$E$53,Q32))</f>
        <v/>
      </c>
      <c r="F32" s="93">
        <f>IF(Q32="","",MAX(INDEX(算定表!$F$6:$F$53,Q32),$F$5))</f>
        <v/>
      </c>
      <c r="G32" s="93">
        <f>IF(Q32="","",MIN(INDEX(算定表!$G$6:$G$53,Q32),$H$5))</f>
        <v/>
      </c>
      <c r="H32" s="95">
        <f>IF(Q32="","",INDEX(算定表!$H$6:$H$53,Q32))</f>
        <v/>
      </c>
      <c r="I32" s="94">
        <f>IF(F32="","",NETWORKDAYS(F32,G32))</f>
        <v/>
      </c>
      <c r="J32" s="95">
        <f>IF(Q32="","",INDEX(算定表!$J$6:$J$53,Q32))</f>
        <v/>
      </c>
      <c r="K32" s="95">
        <f>IF(Q32="","",INDEX(算定表!$K$6:$K$53,Q32))</f>
        <v/>
      </c>
      <c r="L32" s="106">
        <f>IF(F32="","",IF(J32&gt;K32,"〇","×"))</f>
        <v/>
      </c>
      <c r="M32" s="95">
        <f>IF(F32="","",J32*I32)</f>
        <v/>
      </c>
      <c r="N32" s="95">
        <f>IF(F32="","",MIN(J32,K32)*I32)</f>
        <v/>
      </c>
      <c r="O32" s="96">
        <f>IF(F32="","",M32-N32)</f>
        <v/>
      </c>
      <c r="P32" s="63" t="n"/>
      <c r="Q32" s="63">
        <f>IFERROR(MATCH(23,$S$10:$S$57,0),"")</f>
        <v/>
      </c>
      <c r="R32" s="63">
        <f>IF(OR($F$5="",$H$5=""),0,IF(AND(ISNUMBER(算定表!$F28),算定表!$G28&gt;=$F$5,算定表!$F28&lt;=$H$5),1,0))</f>
        <v/>
      </c>
      <c r="S32" s="63">
        <f>S31+R32</f>
        <v/>
      </c>
    </row>
    <row r="33">
      <c r="A33" s="91">
        <f>IF(F33="","",24)</f>
        <v/>
      </c>
      <c r="B33" s="92">
        <f>IF(F33="","",DATE(YEAR(F33),MONTH(F33),1))</f>
        <v/>
      </c>
      <c r="C33" s="91">
        <f>IF(F33="","",MONTH(F33))</f>
        <v/>
      </c>
      <c r="D33" s="91">
        <f>IF(Q33="","",INDEX(算定表!$D$6:$D$53,Q33))</f>
        <v/>
      </c>
      <c r="E33" s="91">
        <f>IF(Q33="","",INDEX(算定表!$E$6:$E$53,Q33))</f>
        <v/>
      </c>
      <c r="F33" s="93">
        <f>IF(Q33="","",MAX(INDEX(算定表!$F$6:$F$53,Q33),$F$5))</f>
        <v/>
      </c>
      <c r="G33" s="93">
        <f>IF(Q33="","",MIN(INDEX(算定表!$G$6:$G$53,Q33),$H$5))</f>
        <v/>
      </c>
      <c r="H33" s="95">
        <f>IF(Q33="","",INDEX(算定表!$H$6:$H$53,Q33))</f>
        <v/>
      </c>
      <c r="I33" s="94">
        <f>IF(F33="","",NETWORKDAYS(F33,G33))</f>
        <v/>
      </c>
      <c r="J33" s="95">
        <f>IF(Q33="","",INDEX(算定表!$J$6:$J$53,Q33))</f>
        <v/>
      </c>
      <c r="K33" s="95">
        <f>IF(Q33="","",INDEX(算定表!$K$6:$K$53,Q33))</f>
        <v/>
      </c>
      <c r="L33" s="106">
        <f>IF(F33="","",IF(J33&gt;K33,"〇","×"))</f>
        <v/>
      </c>
      <c r="M33" s="95">
        <f>IF(F33="","",J33*I33)</f>
        <v/>
      </c>
      <c r="N33" s="95">
        <f>IF(F33="","",MIN(J33,K33)*I33)</f>
        <v/>
      </c>
      <c r="O33" s="96">
        <f>IF(F33="","",M33-N33)</f>
        <v/>
      </c>
      <c r="P33" s="63" t="n"/>
      <c r="Q33" s="63">
        <f>IFERROR(MATCH(24,$S$10:$S$57,0),"")</f>
        <v/>
      </c>
      <c r="R33" s="63">
        <f>IF(OR($F$5="",$H$5=""),0,IF(AND(ISNUMBER(算定表!$F29),算定表!$G29&gt;=$F$5,算定表!$F29&lt;=$H$5),1,0))</f>
        <v/>
      </c>
      <c r="S33" s="63">
        <f>S32+R33</f>
        <v/>
      </c>
    </row>
    <row r="34">
      <c r="A34" s="91">
        <f>IF(F34="","",25)</f>
        <v/>
      </c>
      <c r="B34" s="92">
        <f>IF(F34="","",DATE(YEAR(F34),MONTH(F34),1))</f>
        <v/>
      </c>
      <c r="C34" s="91">
        <f>IF(F34="","",MONTH(F34))</f>
        <v/>
      </c>
      <c r="D34" s="91">
        <f>IF(Q34="","",INDEX(算定表!$D$6:$D$53,Q34))</f>
        <v/>
      </c>
      <c r="E34" s="91">
        <f>IF(Q34="","",INDEX(算定表!$E$6:$E$53,Q34))</f>
        <v/>
      </c>
      <c r="F34" s="93">
        <f>IF(Q34="","",MAX(INDEX(算定表!$F$6:$F$53,Q34),$F$5))</f>
        <v/>
      </c>
      <c r="G34" s="93">
        <f>IF(Q34="","",MIN(INDEX(算定表!$G$6:$G$53,Q34),$H$5))</f>
        <v/>
      </c>
      <c r="H34" s="95">
        <f>IF(Q34="","",INDEX(算定表!$H$6:$H$53,Q34))</f>
        <v/>
      </c>
      <c r="I34" s="94">
        <f>IF(F34="","",NETWORKDAYS(F34,G34))</f>
        <v/>
      </c>
      <c r="J34" s="95">
        <f>IF(Q34="","",INDEX(算定表!$J$6:$J$53,Q34))</f>
        <v/>
      </c>
      <c r="K34" s="95">
        <f>IF(Q34="","",INDEX(算定表!$K$6:$K$53,Q34))</f>
        <v/>
      </c>
      <c r="L34" s="106">
        <f>IF(F34="","",IF(J34&gt;K34,"〇","×"))</f>
        <v/>
      </c>
      <c r="M34" s="95">
        <f>IF(F34="","",J34*I34)</f>
        <v/>
      </c>
      <c r="N34" s="95">
        <f>IF(F34="","",MIN(J34,K34)*I34)</f>
        <v/>
      </c>
      <c r="O34" s="96">
        <f>IF(F34="","",M34-N34)</f>
        <v/>
      </c>
      <c r="P34" s="63" t="n"/>
      <c r="Q34" s="63">
        <f>IFERROR(MATCH(25,$S$10:$S$57,0),"")</f>
        <v/>
      </c>
      <c r="R34" s="63">
        <f>IF(OR($F$5="",$H$5=""),0,IF(AND(ISNUMBER(算定表!$F30),算定表!$G30&gt;=$F$5,算定表!$F30&lt;=$H$5),1,0))</f>
        <v/>
      </c>
      <c r="S34" s="63">
        <f>S33+R34</f>
        <v/>
      </c>
    </row>
    <row r="35">
      <c r="A35" s="91">
        <f>IF(F35="","",26)</f>
        <v/>
      </c>
      <c r="B35" s="92">
        <f>IF(F35="","",DATE(YEAR(F35),MONTH(F35),1))</f>
        <v/>
      </c>
      <c r="C35" s="91">
        <f>IF(F35="","",MONTH(F35))</f>
        <v/>
      </c>
      <c r="D35" s="91">
        <f>IF(Q35="","",INDEX(算定表!$D$6:$D$53,Q35))</f>
        <v/>
      </c>
      <c r="E35" s="91">
        <f>IF(Q35="","",INDEX(算定表!$E$6:$E$53,Q35))</f>
        <v/>
      </c>
      <c r="F35" s="93">
        <f>IF(Q35="","",MAX(INDEX(算定表!$F$6:$F$53,Q35),$F$5))</f>
        <v/>
      </c>
      <c r="G35" s="93">
        <f>IF(Q35="","",MIN(INDEX(算定表!$G$6:$G$53,Q35),$H$5))</f>
        <v/>
      </c>
      <c r="H35" s="95">
        <f>IF(Q35="","",INDEX(算定表!$H$6:$H$53,Q35))</f>
        <v/>
      </c>
      <c r="I35" s="94">
        <f>IF(F35="","",NETWORKDAYS(F35,G35))</f>
        <v/>
      </c>
      <c r="J35" s="95">
        <f>IF(Q35="","",INDEX(算定表!$J$6:$J$53,Q35))</f>
        <v/>
      </c>
      <c r="K35" s="95">
        <f>IF(Q35="","",INDEX(算定表!$K$6:$K$53,Q35))</f>
        <v/>
      </c>
      <c r="L35" s="106">
        <f>IF(F35="","",IF(J35&gt;K35,"〇","×"))</f>
        <v/>
      </c>
      <c r="M35" s="95">
        <f>IF(F35="","",J35*I35)</f>
        <v/>
      </c>
      <c r="N35" s="95">
        <f>IF(F35="","",MIN(J35,K35)*I35)</f>
        <v/>
      </c>
      <c r="O35" s="96">
        <f>IF(F35="","",M35-N35)</f>
        <v/>
      </c>
      <c r="P35" s="63" t="n"/>
      <c r="Q35" s="63">
        <f>IFERROR(MATCH(26,$S$10:$S$57,0),"")</f>
        <v/>
      </c>
      <c r="R35" s="63">
        <f>IF(OR($F$5="",$H$5=""),0,IF(AND(ISNUMBER(算定表!$F31),算定表!$G31&gt;=$F$5,算定表!$F31&lt;=$H$5),1,0))</f>
        <v/>
      </c>
      <c r="S35" s="63">
        <f>S34+R35</f>
        <v/>
      </c>
    </row>
    <row r="36">
      <c r="A36" s="91">
        <f>IF(F36="","",27)</f>
        <v/>
      </c>
      <c r="B36" s="92">
        <f>IF(F36="","",DATE(YEAR(F36),MONTH(F36),1))</f>
        <v/>
      </c>
      <c r="C36" s="91">
        <f>IF(F36="","",MONTH(F36))</f>
        <v/>
      </c>
      <c r="D36" s="91">
        <f>IF(Q36="","",INDEX(算定表!$D$6:$D$53,Q36))</f>
        <v/>
      </c>
      <c r="E36" s="91">
        <f>IF(Q36="","",INDEX(算定表!$E$6:$E$53,Q36))</f>
        <v/>
      </c>
      <c r="F36" s="93">
        <f>IF(Q36="","",MAX(INDEX(算定表!$F$6:$F$53,Q36),$F$5))</f>
        <v/>
      </c>
      <c r="G36" s="93">
        <f>IF(Q36="","",MIN(INDEX(算定表!$G$6:$G$53,Q36),$H$5))</f>
        <v/>
      </c>
      <c r="H36" s="95">
        <f>IF(Q36="","",INDEX(算定表!$H$6:$H$53,Q36))</f>
        <v/>
      </c>
      <c r="I36" s="94">
        <f>IF(F36="","",NETWORKDAYS(F36,G36))</f>
        <v/>
      </c>
      <c r="J36" s="95">
        <f>IF(Q36="","",INDEX(算定表!$J$6:$J$53,Q36))</f>
        <v/>
      </c>
      <c r="K36" s="95">
        <f>IF(Q36="","",INDEX(算定表!$K$6:$K$53,Q36))</f>
        <v/>
      </c>
      <c r="L36" s="106">
        <f>IF(F36="","",IF(J36&gt;K36,"〇","×"))</f>
        <v/>
      </c>
      <c r="M36" s="95">
        <f>IF(F36="","",J36*I36)</f>
        <v/>
      </c>
      <c r="N36" s="95">
        <f>IF(F36="","",MIN(J36,K36)*I36)</f>
        <v/>
      </c>
      <c r="O36" s="96">
        <f>IF(F36="","",M36-N36)</f>
        <v/>
      </c>
      <c r="P36" s="63" t="n"/>
      <c r="Q36" s="63">
        <f>IFERROR(MATCH(27,$S$10:$S$57,0),"")</f>
        <v/>
      </c>
      <c r="R36" s="63">
        <f>IF(OR($F$5="",$H$5=""),0,IF(AND(ISNUMBER(算定表!$F32),算定表!$G32&gt;=$F$5,算定表!$F32&lt;=$H$5),1,0))</f>
        <v/>
      </c>
      <c r="S36" s="63">
        <f>S35+R36</f>
        <v/>
      </c>
    </row>
    <row r="37">
      <c r="A37" s="91">
        <f>IF(F37="","",28)</f>
        <v/>
      </c>
      <c r="B37" s="92">
        <f>IF(F37="","",DATE(YEAR(F37),MONTH(F37),1))</f>
        <v/>
      </c>
      <c r="C37" s="91">
        <f>IF(F37="","",MONTH(F37))</f>
        <v/>
      </c>
      <c r="D37" s="91">
        <f>IF(Q37="","",INDEX(算定表!$D$6:$D$53,Q37))</f>
        <v/>
      </c>
      <c r="E37" s="91">
        <f>IF(Q37="","",INDEX(算定表!$E$6:$E$53,Q37))</f>
        <v/>
      </c>
      <c r="F37" s="93">
        <f>IF(Q37="","",MAX(INDEX(算定表!$F$6:$F$53,Q37),$F$5))</f>
        <v/>
      </c>
      <c r="G37" s="93">
        <f>IF(Q37="","",MIN(INDEX(算定表!$G$6:$G$53,Q37),$H$5))</f>
        <v/>
      </c>
      <c r="H37" s="95">
        <f>IF(Q37="","",INDEX(算定表!$H$6:$H$53,Q37))</f>
        <v/>
      </c>
      <c r="I37" s="94">
        <f>IF(F37="","",NETWORKDAYS(F37,G37))</f>
        <v/>
      </c>
      <c r="J37" s="95">
        <f>IF(Q37="","",INDEX(算定表!$J$6:$J$53,Q37))</f>
        <v/>
      </c>
      <c r="K37" s="95">
        <f>IF(Q37="","",INDEX(算定表!$K$6:$K$53,Q37))</f>
        <v/>
      </c>
      <c r="L37" s="106">
        <f>IF(F37="","",IF(J37&gt;K37,"〇","×"))</f>
        <v/>
      </c>
      <c r="M37" s="95">
        <f>IF(F37="","",J37*I37)</f>
        <v/>
      </c>
      <c r="N37" s="95">
        <f>IF(F37="","",MIN(J37,K37)*I37)</f>
        <v/>
      </c>
      <c r="O37" s="96">
        <f>IF(F37="","",M37-N37)</f>
        <v/>
      </c>
      <c r="P37" s="63" t="n"/>
      <c r="Q37" s="63">
        <f>IFERROR(MATCH(28,$S$10:$S$57,0),"")</f>
        <v/>
      </c>
      <c r="R37" s="63">
        <f>IF(OR($F$5="",$H$5=""),0,IF(AND(ISNUMBER(算定表!$F33),算定表!$G33&gt;=$F$5,算定表!$F33&lt;=$H$5),1,0))</f>
        <v/>
      </c>
      <c r="S37" s="63">
        <f>S36+R37</f>
        <v/>
      </c>
    </row>
    <row r="38">
      <c r="A38" s="91">
        <f>IF(F38="","",29)</f>
        <v/>
      </c>
      <c r="B38" s="92">
        <f>IF(F38="","",DATE(YEAR(F38),MONTH(F38),1))</f>
        <v/>
      </c>
      <c r="C38" s="91">
        <f>IF(F38="","",MONTH(F38))</f>
        <v/>
      </c>
      <c r="D38" s="91">
        <f>IF(Q38="","",INDEX(算定表!$D$6:$D$53,Q38))</f>
        <v/>
      </c>
      <c r="E38" s="91">
        <f>IF(Q38="","",INDEX(算定表!$E$6:$E$53,Q38))</f>
        <v/>
      </c>
      <c r="F38" s="93">
        <f>IF(Q38="","",MAX(INDEX(算定表!$F$6:$F$53,Q38),$F$5))</f>
        <v/>
      </c>
      <c r="G38" s="93">
        <f>IF(Q38="","",MIN(INDEX(算定表!$G$6:$G$53,Q38),$H$5))</f>
        <v/>
      </c>
      <c r="H38" s="95">
        <f>IF(Q38="","",INDEX(算定表!$H$6:$H$53,Q38))</f>
        <v/>
      </c>
      <c r="I38" s="94">
        <f>IF(F38="","",NETWORKDAYS(F38,G38))</f>
        <v/>
      </c>
      <c r="J38" s="95">
        <f>IF(Q38="","",INDEX(算定表!$J$6:$J$53,Q38))</f>
        <v/>
      </c>
      <c r="K38" s="95">
        <f>IF(Q38="","",INDEX(算定表!$K$6:$K$53,Q38))</f>
        <v/>
      </c>
      <c r="L38" s="106">
        <f>IF(F38="","",IF(J38&gt;K38,"〇","×"))</f>
        <v/>
      </c>
      <c r="M38" s="95">
        <f>IF(F38="","",J38*I38)</f>
        <v/>
      </c>
      <c r="N38" s="95">
        <f>IF(F38="","",MIN(J38,K38)*I38)</f>
        <v/>
      </c>
      <c r="O38" s="96">
        <f>IF(F38="","",M38-N38)</f>
        <v/>
      </c>
      <c r="P38" s="63" t="n"/>
      <c r="Q38" s="63">
        <f>IFERROR(MATCH(29,$S$10:$S$57,0),"")</f>
        <v/>
      </c>
      <c r="R38" s="63">
        <f>IF(OR($F$5="",$H$5=""),0,IF(AND(ISNUMBER(算定表!$F34),算定表!$G34&gt;=$F$5,算定表!$F34&lt;=$H$5),1,0))</f>
        <v/>
      </c>
      <c r="S38" s="63">
        <f>S37+R38</f>
        <v/>
      </c>
    </row>
    <row r="39">
      <c r="A39" s="91">
        <f>IF(F39="","",30)</f>
        <v/>
      </c>
      <c r="B39" s="92">
        <f>IF(F39="","",DATE(YEAR(F39),MONTH(F39),1))</f>
        <v/>
      </c>
      <c r="C39" s="91">
        <f>IF(F39="","",MONTH(F39))</f>
        <v/>
      </c>
      <c r="D39" s="91">
        <f>IF(Q39="","",INDEX(算定表!$D$6:$D$53,Q39))</f>
        <v/>
      </c>
      <c r="E39" s="91">
        <f>IF(Q39="","",INDEX(算定表!$E$6:$E$53,Q39))</f>
        <v/>
      </c>
      <c r="F39" s="93">
        <f>IF(Q39="","",MAX(INDEX(算定表!$F$6:$F$53,Q39),$F$5))</f>
        <v/>
      </c>
      <c r="G39" s="93">
        <f>IF(Q39="","",MIN(INDEX(算定表!$G$6:$G$53,Q39),$H$5))</f>
        <v/>
      </c>
      <c r="H39" s="95">
        <f>IF(Q39="","",INDEX(算定表!$H$6:$H$53,Q39))</f>
        <v/>
      </c>
      <c r="I39" s="94">
        <f>IF(F39="","",NETWORKDAYS(F39,G39))</f>
        <v/>
      </c>
      <c r="J39" s="95">
        <f>IF(Q39="","",INDEX(算定表!$J$6:$J$53,Q39))</f>
        <v/>
      </c>
      <c r="K39" s="95">
        <f>IF(Q39="","",INDEX(算定表!$K$6:$K$53,Q39))</f>
        <v/>
      </c>
      <c r="L39" s="106">
        <f>IF(F39="","",IF(J39&gt;K39,"〇","×"))</f>
        <v/>
      </c>
      <c r="M39" s="95">
        <f>IF(F39="","",J39*I39)</f>
        <v/>
      </c>
      <c r="N39" s="95">
        <f>IF(F39="","",MIN(J39,K39)*I39)</f>
        <v/>
      </c>
      <c r="O39" s="96">
        <f>IF(F39="","",M39-N39)</f>
        <v/>
      </c>
      <c r="P39" s="63" t="n"/>
      <c r="Q39" s="63">
        <f>IFERROR(MATCH(30,$S$10:$S$57,0),"")</f>
        <v/>
      </c>
      <c r="R39" s="63">
        <f>IF(OR($F$5="",$H$5=""),0,IF(AND(ISNUMBER(算定表!$F35),算定表!$G35&gt;=$F$5,算定表!$F35&lt;=$H$5),1,0))</f>
        <v/>
      </c>
      <c r="S39" s="63">
        <f>S38+R39</f>
        <v/>
      </c>
    </row>
    <row r="40">
      <c r="A40" s="63" t="n"/>
      <c r="B40" s="63" t="n"/>
      <c r="C40" s="63" t="n"/>
      <c r="D40" s="63" t="n"/>
      <c r="E40" s="63" t="n"/>
      <c r="F40" s="63" t="n"/>
      <c r="G40" s="63" t="n"/>
      <c r="H40" s="63" t="n"/>
      <c r="I40" s="63" t="n"/>
      <c r="J40" s="63" t="n"/>
      <c r="K40" s="63" t="n"/>
      <c r="L40" s="63" t="n"/>
      <c r="M40" s="63" t="n"/>
      <c r="N40" s="63" t="n"/>
      <c r="O40" s="63" t="n"/>
      <c r="P40" s="63" t="n"/>
      <c r="Q40" s="63" t="n"/>
      <c r="R40" s="63">
        <f>IF(OR($F$5="",$H$5=""),0,IF(AND(ISNUMBER(算定表!$F36),算定表!$G36&gt;=$F$5,算定表!$F36&lt;=$H$5),1,0))</f>
        <v/>
      </c>
      <c r="S40" s="63">
        <f>S39+R40</f>
        <v/>
      </c>
    </row>
    <row r="41">
      <c r="A41" s="98" t="inlineStr">
        <is>
          <t>法定給付 計</t>
        </is>
      </c>
      <c r="B41" s="98" t="n"/>
      <c r="C41" s="98" t="n"/>
      <c r="D41" s="98" t="n"/>
      <c r="E41" s="98" t="n"/>
      <c r="F41" s="98" t="n"/>
      <c r="G41" s="98" t="n"/>
      <c r="H41" s="98" t="n"/>
      <c r="I41" s="101">
        <f>SUMIFS(I10:I39,$E$10:$E$39,"法定")</f>
        <v/>
      </c>
      <c r="J41" s="101" t="n"/>
      <c r="K41" s="101" t="n"/>
      <c r="L41" s="101" t="n"/>
      <c r="M41" s="101">
        <f>SUMIFS(M10:M39,$E$10:$E$39,"法定")</f>
        <v/>
      </c>
      <c r="N41" s="101">
        <f>SUMIFS(N10:N39,$E$10:$E$39,"法定")</f>
        <v/>
      </c>
      <c r="O41" s="101">
        <f>SUMIFS(O10:O39,$E$10:$E$39,"法定")</f>
        <v/>
      </c>
      <c r="P41" s="63" t="n"/>
      <c r="Q41" s="63" t="n"/>
      <c r="R41" s="63">
        <f>IF(OR($F$5="",$H$5=""),0,IF(AND(ISNUMBER(算定表!$F37),算定表!$G37&gt;=$F$5,算定表!$F37&lt;=$H$5),1,0))</f>
        <v/>
      </c>
      <c r="S41" s="63">
        <f>S40+R41</f>
        <v/>
      </c>
    </row>
    <row r="42">
      <c r="A42" s="98" t="inlineStr">
        <is>
          <t>附加給付 計</t>
        </is>
      </c>
      <c r="B42" s="98" t="n"/>
      <c r="C42" s="98" t="n"/>
      <c r="D42" s="98" t="n"/>
      <c r="E42" s="98" t="n"/>
      <c r="F42" s="98" t="n"/>
      <c r="G42" s="98" t="n"/>
      <c r="H42" s="98" t="n"/>
      <c r="I42" s="101">
        <f>SUMIFS(I10:I39,$E$10:$E$39,"附加")</f>
        <v/>
      </c>
      <c r="J42" s="101" t="n"/>
      <c r="K42" s="101" t="n"/>
      <c r="L42" s="101" t="n"/>
      <c r="M42" s="101">
        <f>SUMIFS(M10:M39,$E$10:$E$39,"附加")</f>
        <v/>
      </c>
      <c r="N42" s="101">
        <f>SUMIFS(N10:N39,$E$10:$E$39,"附加")</f>
        <v/>
      </c>
      <c r="O42" s="101">
        <f>SUMIFS(O10:O39,$E$10:$E$39,"附加")</f>
        <v/>
      </c>
      <c r="P42" s="63" t="n"/>
      <c r="Q42" s="63" t="n"/>
      <c r="R42" s="63">
        <f>IF(OR($F$5="",$H$5=""),0,IF(AND(ISNUMBER(算定表!$F38),算定表!$G38&gt;=$F$5,算定表!$F38&lt;=$H$5),1,0))</f>
        <v/>
      </c>
      <c r="S42" s="63">
        <f>S41+R42</f>
        <v/>
      </c>
    </row>
    <row r="43">
      <c r="A43" s="102" t="inlineStr">
        <is>
          <t>合　計</t>
        </is>
      </c>
      <c r="B43" s="102" t="n"/>
      <c r="C43" s="102" t="n"/>
      <c r="D43" s="102" t="n"/>
      <c r="E43" s="102" t="n"/>
      <c r="F43" s="102" t="n"/>
      <c r="G43" s="102" t="n"/>
      <c r="H43" s="102" t="n"/>
      <c r="I43" s="103">
        <f>SUM(I41:I42)</f>
        <v/>
      </c>
      <c r="J43" s="103" t="n"/>
      <c r="K43" s="103" t="n"/>
      <c r="L43" s="103" t="n"/>
      <c r="M43" s="103">
        <f>SUM(M41:M42)</f>
        <v/>
      </c>
      <c r="N43" s="103">
        <f>SUM(N41:N42)</f>
        <v/>
      </c>
      <c r="O43" s="103">
        <f>SUM(O41:O42)</f>
        <v/>
      </c>
      <c r="P43" s="63" t="n"/>
      <c r="Q43" s="63" t="n"/>
      <c r="R43" s="63">
        <f>IF(OR($F$5="",$H$5=""),0,IF(AND(ISNUMBER(算定表!$F39),算定表!$G39&gt;=$F$5,算定表!$F39&lt;=$H$5),1,0))</f>
        <v/>
      </c>
      <c r="S43" s="63">
        <f>S42+R43</f>
        <v/>
      </c>
    </row>
    <row r="44">
      <c r="A44" s="63" t="n"/>
      <c r="B44" s="63" t="n"/>
      <c r="C44" s="63" t="n"/>
      <c r="D44" s="63" t="n"/>
      <c r="E44" s="63" t="n"/>
      <c r="F44" s="63" t="n"/>
      <c r="G44" s="63" t="n"/>
      <c r="H44" s="63" t="n"/>
      <c r="I44" s="63" t="n"/>
      <c r="J44" s="63" t="n"/>
      <c r="K44" s="63" t="n"/>
      <c r="L44" s="63" t="n"/>
      <c r="M44" s="63" t="n"/>
      <c r="N44" s="63" t="n"/>
      <c r="O44" s="63" t="n"/>
      <c r="P44" s="63" t="n"/>
      <c r="Q44" s="63" t="n"/>
      <c r="R44" s="63">
        <f>IF(OR($F$5="",$H$5=""),0,IF(AND(ISNUMBER(算定表!$F40),算定表!$G40&gt;=$F$5,算定表!$F40&lt;=$H$5),1,0))</f>
        <v/>
      </c>
      <c r="S44" s="63">
        <f>S43+R44</f>
        <v/>
      </c>
    </row>
    <row r="45">
      <c r="A45" s="66" t="inlineStr">
        <is>
          <t>■ 検算</t>
        </is>
      </c>
      <c r="B45" s="63" t="n"/>
      <c r="C45" s="63" t="n"/>
      <c r="D45" s="63" t="n"/>
      <c r="E45" s="63" t="n"/>
      <c r="F45" s="63" t="n"/>
      <c r="G45" s="63" t="n"/>
      <c r="H45" s="63" t="n"/>
      <c r="I45" s="63" t="n"/>
      <c r="J45" s="63" t="n"/>
      <c r="K45" s="63" t="n"/>
      <c r="L45" s="63" t="n"/>
      <c r="M45" s="63" t="n"/>
      <c r="N45" s="63" t="n"/>
      <c r="O45" s="63" t="n"/>
      <c r="P45" s="63" t="n"/>
      <c r="Q45" s="63" t="n"/>
      <c r="R45" s="63">
        <f>IF(OR($F$5="",$H$5=""),0,IF(AND(ISNUMBER(算定表!$F41),算定表!$G41&gt;=$F$5,算定表!$F41&lt;=$H$5),1,0))</f>
        <v/>
      </c>
      <c r="S45" s="63">
        <f>S44+R45</f>
        <v/>
      </c>
    </row>
    <row r="46">
      <c r="A46" s="65" t="inlineStr">
        <is>
          <t>標準支給額 − 調整額 − 差引支給額（0なら整合）</t>
        </is>
      </c>
      <c r="B46" s="63" t="n"/>
      <c r="C46" s="63" t="n"/>
      <c r="D46" s="63" t="n"/>
      <c r="E46" s="63" t="n"/>
      <c r="F46" s="63" t="n"/>
      <c r="G46" s="63" t="n"/>
      <c r="H46" s="63" t="n"/>
      <c r="I46" s="63" t="n"/>
      <c r="J46" s="63" t="n"/>
      <c r="K46" s="63" t="n"/>
      <c r="L46" s="63" t="n"/>
      <c r="M46" s="63" t="n"/>
      <c r="N46" s="63" t="n"/>
      <c r="O46" s="104">
        <f>M43-N43-O43</f>
        <v/>
      </c>
      <c r="P46" s="63" t="n"/>
      <c r="Q46" s="63" t="n"/>
      <c r="R46" s="63">
        <f>IF(OR($F$5="",$H$5=""),0,IF(AND(ISNUMBER(算定表!$F42),算定表!$G42&gt;=$F$5,算定表!$F42&lt;=$H$5),1,0))</f>
        <v/>
      </c>
      <c r="S46" s="63">
        <f>S45+R46</f>
        <v/>
      </c>
    </row>
    <row r="47">
      <c r="A47" s="63" t="n"/>
      <c r="B47" s="63" t="n"/>
      <c r="C47" s="63" t="n"/>
      <c r="D47" s="63" t="n"/>
      <c r="E47" s="63" t="n"/>
      <c r="F47" s="63" t="n"/>
      <c r="G47" s="63" t="n"/>
      <c r="H47" s="63" t="n"/>
      <c r="I47" s="63" t="n"/>
      <c r="J47" s="63" t="n"/>
      <c r="K47" s="63" t="n"/>
      <c r="L47" s="63" t="n"/>
      <c r="M47" s="63" t="n"/>
      <c r="N47" s="63" t="n"/>
      <c r="O47" s="63" t="n"/>
      <c r="P47" s="63" t="n"/>
      <c r="Q47" s="63" t="n"/>
      <c r="R47" s="63">
        <f>IF(OR($F$5="",$H$5=""),0,IF(AND(ISNUMBER(算定表!$F43),算定表!$G43&gt;=$F$5,算定表!$F43&lt;=$H$5),1,0))</f>
        <v/>
      </c>
      <c r="S47" s="63">
        <f>S46+R47</f>
        <v/>
      </c>
    </row>
    <row r="48">
      <c r="A48" s="105" t="inlineStr">
        <is>
          <t>・黄色の請求期間（始・終）を入れると、その期間に当たる算定表の行が自動で出ます。期間の途中で区分が変わる行は、期間の範囲に切り取られます。</t>
        </is>
      </c>
      <c r="B48" s="63" t="n"/>
      <c r="C48" s="63" t="n"/>
      <c r="D48" s="63" t="n"/>
      <c r="E48" s="63" t="n"/>
      <c r="F48" s="63" t="n"/>
      <c r="G48" s="63" t="n"/>
      <c r="H48" s="63" t="n"/>
      <c r="I48" s="63" t="n"/>
      <c r="J48" s="63" t="n"/>
      <c r="K48" s="63" t="n"/>
      <c r="L48" s="63" t="n"/>
      <c r="M48" s="63" t="n"/>
      <c r="N48" s="63" t="n"/>
      <c r="O48" s="63" t="n"/>
      <c r="P48" s="63" t="n"/>
      <c r="Q48" s="63" t="n"/>
      <c r="R48" s="63">
        <f>IF(OR($F$5="",$H$5=""),0,IF(AND(ISNUMBER(算定表!$F44),算定表!$G44&gt;=$F$5,算定表!$F44&lt;=$H$5),1,0))</f>
        <v/>
      </c>
      <c r="S48" s="63">
        <f>S47+R48</f>
        <v/>
      </c>
    </row>
    <row r="49">
      <c r="A49" s="105" t="inlineStr">
        <is>
          <t>・マクロを取り込んだ .xlsm では、黄色に請求期間（始・終）を入れると、自動で新しい請求シートが追加されます（この雛形は空に戻る）。マクロがないときは、このシートを複写（右クリック →「移動またはコピー」）して、複写したシートに期間を入れます。</t>
        </is>
      </c>
      <c r="B49" s="63" t="n"/>
      <c r="C49" s="63" t="n"/>
      <c r="D49" s="63" t="n"/>
      <c r="E49" s="63" t="n"/>
      <c r="F49" s="63" t="n"/>
      <c r="G49" s="63" t="n"/>
      <c r="H49" s="63" t="n"/>
      <c r="I49" s="63" t="n"/>
      <c r="J49" s="63" t="n"/>
      <c r="K49" s="63" t="n"/>
      <c r="L49" s="63" t="n"/>
      <c r="M49" s="63" t="n"/>
      <c r="N49" s="63" t="n"/>
      <c r="O49" s="63" t="n"/>
      <c r="P49" s="63" t="n"/>
      <c r="Q49" s="63" t="n"/>
      <c r="R49" s="63">
        <f>IF(OR($F$5="",$H$5=""),0,IF(AND(ISNUMBER(算定表!$F45),算定表!$G45&gt;=$F$5,算定表!$F45&lt;=$H$5),1,0))</f>
        <v/>
      </c>
      <c r="S49" s="63">
        <f>S48+R49</f>
        <v/>
      </c>
    </row>
    <row r="50">
      <c r="A50" s="105" t="inlineStr">
        <is>
          <t>・入力シートや算定表を変えると、この表も変わります。請求の記録として固定するときは、マクロ FreezeActiveSheet で値に変えます。</t>
        </is>
      </c>
      <c r="B50" s="63" t="n"/>
      <c r="C50" s="63" t="n"/>
      <c r="D50" s="63" t="n"/>
      <c r="E50" s="63" t="n"/>
      <c r="F50" s="63" t="n"/>
      <c r="G50" s="63" t="n"/>
      <c r="H50" s="63" t="n"/>
      <c r="I50" s="63" t="n"/>
      <c r="J50" s="63" t="n"/>
      <c r="K50" s="63" t="n"/>
      <c r="L50" s="63" t="n"/>
      <c r="M50" s="63" t="n"/>
      <c r="N50" s="63" t="n"/>
      <c r="O50" s="63" t="n"/>
      <c r="P50" s="63" t="n"/>
      <c r="Q50" s="63" t="n"/>
      <c r="R50" s="63">
        <f>IF(OR($F$5="",$H$5=""),0,IF(AND(ISNUMBER(算定表!$F46),算定表!$G46&gt;=$F$5,算定表!$F46&lt;=$H$5),1,0))</f>
        <v/>
      </c>
      <c r="S50" s="63">
        <f>S49+R50</f>
        <v/>
      </c>
    </row>
    <row r="51">
      <c r="A51" s="105" t="inlineStr">
        <is>
          <t>・基幹システムには、法定給付・附加給付別に、月ごとに入力します（「月別集計」シートと同じ）。差引支給額が0円の行（×）は支給なしです。</t>
        </is>
      </c>
      <c r="B51" s="63" t="n"/>
      <c r="C51" s="63" t="n"/>
      <c r="D51" s="63" t="n"/>
      <c r="E51" s="63" t="n"/>
      <c r="F51" s="63" t="n"/>
      <c r="G51" s="63" t="n"/>
      <c r="H51" s="63" t="n"/>
      <c r="I51" s="63" t="n"/>
      <c r="J51" s="63" t="n"/>
      <c r="K51" s="63" t="n"/>
      <c r="L51" s="63" t="n"/>
      <c r="M51" s="63" t="n"/>
      <c r="N51" s="63" t="n"/>
      <c r="O51" s="63" t="n"/>
      <c r="P51" s="63" t="n"/>
      <c r="Q51" s="63" t="n"/>
      <c r="R51" s="63">
        <f>IF(OR($F$5="",$H$5=""),0,IF(AND(ISNUMBER(算定表!$F47),算定表!$G47&gt;=$F$5,算定表!$F47&lt;=$H$5),1,0))</f>
        <v/>
      </c>
      <c r="S51" s="63">
        <f>S50+R51</f>
        <v/>
      </c>
    </row>
    <row r="52">
      <c r="A52" s="63" t="n"/>
      <c r="B52" s="63" t="n"/>
      <c r="C52" s="63" t="n"/>
      <c r="D52" s="63" t="n"/>
      <c r="E52" s="63" t="n"/>
      <c r="F52" s="63" t="n"/>
      <c r="G52" s="63" t="n"/>
      <c r="H52" s="63" t="n"/>
      <c r="I52" s="63" t="n"/>
      <c r="J52" s="63" t="n"/>
      <c r="K52" s="63" t="n"/>
      <c r="L52" s="63" t="n"/>
      <c r="M52" s="63" t="n"/>
      <c r="N52" s="63" t="n"/>
      <c r="O52" s="63" t="n"/>
      <c r="P52" s="63" t="n"/>
      <c r="Q52" s="63" t="n"/>
      <c r="R52" s="63">
        <f>IF(OR($F$5="",$H$5=""),0,IF(AND(ISNUMBER(算定表!$F48),算定表!$G48&gt;=$F$5,算定表!$F48&lt;=$H$5),1,0))</f>
        <v/>
      </c>
      <c r="S52" s="63">
        <f>S51+R52</f>
        <v/>
      </c>
    </row>
    <row r="53">
      <c r="A53" s="63" t="n"/>
      <c r="B53" s="63" t="n"/>
      <c r="C53" s="63" t="n"/>
      <c r="D53" s="63" t="n"/>
      <c r="E53" s="63" t="n"/>
      <c r="F53" s="63" t="n"/>
      <c r="G53" s="63" t="n"/>
      <c r="H53" s="63" t="n"/>
      <c r="I53" s="63" t="n"/>
      <c r="J53" s="63" t="n"/>
      <c r="K53" s="63" t="n"/>
      <c r="L53" s="63" t="n"/>
      <c r="M53" s="63" t="n"/>
      <c r="N53" s="63" t="n"/>
      <c r="O53" s="63" t="n"/>
      <c r="P53" s="63" t="n"/>
      <c r="Q53" s="63" t="n"/>
      <c r="R53" s="63">
        <f>IF(OR($F$5="",$H$5=""),0,IF(AND(ISNUMBER(算定表!$F49),算定表!$G49&gt;=$F$5,算定表!$F49&lt;=$H$5),1,0))</f>
        <v/>
      </c>
      <c r="S53" s="63">
        <f>S52+R53</f>
        <v/>
      </c>
    </row>
    <row r="54">
      <c r="A54" s="63" t="n"/>
      <c r="B54" s="63" t="n"/>
      <c r="C54" s="63" t="n"/>
      <c r="D54" s="63" t="n"/>
      <c r="E54" s="63" t="n"/>
      <c r="F54" s="63" t="n"/>
      <c r="G54" s="63" t="n"/>
      <c r="H54" s="63" t="n"/>
      <c r="I54" s="63" t="n"/>
      <c r="J54" s="63" t="n"/>
      <c r="K54" s="63" t="n"/>
      <c r="L54" s="63" t="n"/>
      <c r="M54" s="63" t="n"/>
      <c r="N54" s="63" t="n"/>
      <c r="O54" s="63" t="n"/>
      <c r="P54" s="63" t="n"/>
      <c r="Q54" s="63" t="n"/>
      <c r="R54" s="63">
        <f>IF(OR($F$5="",$H$5=""),0,IF(AND(ISNUMBER(算定表!$F50),算定表!$G50&gt;=$F$5,算定表!$F50&lt;=$H$5),1,0))</f>
        <v/>
      </c>
      <c r="S54" s="63">
        <f>S53+R54</f>
        <v/>
      </c>
    </row>
    <row r="55">
      <c r="A55" s="63" t="n"/>
      <c r="B55" s="63" t="n"/>
      <c r="C55" s="63" t="n"/>
      <c r="D55" s="63" t="n"/>
      <c r="E55" s="63" t="n"/>
      <c r="F55" s="63" t="n"/>
      <c r="G55" s="63" t="n"/>
      <c r="H55" s="63" t="n"/>
      <c r="I55" s="63" t="n"/>
      <c r="J55" s="63" t="n"/>
      <c r="K55" s="63" t="n"/>
      <c r="L55" s="63" t="n"/>
      <c r="M55" s="63" t="n"/>
      <c r="N55" s="63" t="n"/>
      <c r="O55" s="63" t="n"/>
      <c r="P55" s="63" t="n"/>
      <c r="Q55" s="63" t="n"/>
      <c r="R55" s="63">
        <f>IF(OR($F$5="",$H$5=""),0,IF(AND(ISNUMBER(算定表!$F51),算定表!$G51&gt;=$F$5,算定表!$F51&lt;=$H$5),1,0))</f>
        <v/>
      </c>
      <c r="S55" s="63">
        <f>S54+R55</f>
        <v/>
      </c>
    </row>
    <row r="56">
      <c r="A56" s="63" t="n"/>
      <c r="B56" s="63" t="n"/>
      <c r="C56" s="63" t="n"/>
      <c r="D56" s="63" t="n"/>
      <c r="E56" s="63" t="n"/>
      <c r="F56" s="63" t="n"/>
      <c r="G56" s="63" t="n"/>
      <c r="H56" s="63" t="n"/>
      <c r="I56" s="63" t="n"/>
      <c r="J56" s="63" t="n"/>
      <c r="K56" s="63" t="n"/>
      <c r="L56" s="63" t="n"/>
      <c r="M56" s="63" t="n"/>
      <c r="N56" s="63" t="n"/>
      <c r="O56" s="63" t="n"/>
      <c r="P56" s="63" t="n"/>
      <c r="Q56" s="63" t="n"/>
      <c r="R56" s="63">
        <f>IF(OR($F$5="",$H$5=""),0,IF(AND(ISNUMBER(算定表!$F52),算定表!$G52&gt;=$F$5,算定表!$F52&lt;=$H$5),1,0))</f>
        <v/>
      </c>
      <c r="S56" s="63">
        <f>S55+R56</f>
        <v/>
      </c>
    </row>
    <row r="57">
      <c r="A57" s="63" t="n"/>
      <c r="B57" s="63" t="n"/>
      <c r="C57" s="63" t="n"/>
      <c r="D57" s="63" t="n"/>
      <c r="E57" s="63" t="n"/>
      <c r="F57" s="63" t="n"/>
      <c r="G57" s="63" t="n"/>
      <c r="H57" s="63" t="n"/>
      <c r="I57" s="63" t="n"/>
      <c r="J57" s="63" t="n"/>
      <c r="K57" s="63" t="n"/>
      <c r="L57" s="63" t="n"/>
      <c r="M57" s="63" t="n"/>
      <c r="N57" s="63" t="n"/>
      <c r="O57" s="63" t="n"/>
      <c r="P57" s="63" t="n"/>
      <c r="Q57" s="63" t="n"/>
      <c r="R57" s="63">
        <f>IF(OR($F$5="",$H$5=""),0,IF(AND(ISNUMBER(算定表!$F53),算定表!$G53&gt;=$F$5,算定表!$F53&lt;=$H$5),1,0))</f>
        <v/>
      </c>
      <c r="S57" s="63">
        <f>S56+R57</f>
        <v/>
      </c>
    </row>
  </sheetData>
  <mergeCells count="14">
    <mergeCell ref="A4:E4"/>
    <mergeCell ref="A43:H43"/>
    <mergeCell ref="A7:E7"/>
    <mergeCell ref="J8:M8"/>
    <mergeCell ref="J3:M3"/>
    <mergeCell ref="J4:M4"/>
    <mergeCell ref="A42:H42"/>
    <mergeCell ref="A41:H41"/>
    <mergeCell ref="A5:E5"/>
    <mergeCell ref="J6:M6"/>
    <mergeCell ref="A6:E6"/>
    <mergeCell ref="J5:M5"/>
    <mergeCell ref="J7:M7"/>
    <mergeCell ref="A3:E3"/>
  </mergeCells>
  <conditionalFormatting sqref="A10:O39">
    <cfRule type="expression" priority="1" dxfId="3">
      <formula>$L10="×"</formula>
    </cfRule>
  </conditionalFormatting>
  <dataValidations count="1">
    <dataValidation sqref="F5 H5" showDropDown="0" showInputMessage="0" showErrorMessage="1" allowBlank="1" errorTitle="日付を入力" error="日付（例：R7.4.1）を入力してください。" type="date" operator="greaterThan">
      <formula1>36526</formula1>
    </dataValidation>
  </dataValidation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2026-10-16T02:20:10Z</dcterms:created>
  <dcterms:modified xmlns:dcterms="http://purl.org/dc/terms/" xmlns:xsi="http://www.w3.org/2001/XMLSchema-instance" xsi:type="dcterms:W3CDTF">2026-10-30T07:27:47Z</dcterms:modified>
  <cp:lastModifiedBy>木本 拓志</cp:lastModifiedBy>
  <cp:revision>0</cp:revision>
</cp:coreProperties>
</file>