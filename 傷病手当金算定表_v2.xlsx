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 xmlns:r="http://schemas.openxmlformats.org/officeDocument/2006/relationships" name="設定" sheetId="7" state="visible" r:id="rId7"/>
  </sheets>
  <definedNames>
    <definedName name="CLAIM_FROM">'入力'!$C$100</definedName>
    <definedName name="CLAIM_TO">'入力'!$C$101</definedName>
    <definedName name="EMP_ID">'入力'!$C$4</definedName>
    <definedName name="EMP_NAME">'入力'!$C$5</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DAILY_RATE">'入力'!$J$10</definedName>
    <definedName name="CALC_TABLE">'算定表'!$A$6:$O$53</definedName>
    <definedName name="SET_PREFIX">'設定'!$B$3</definedName>
    <definedName name="SET_DUP">'設定'!$B$4</definedName>
    <definedName name="MSG_NO_PERIOD">'設定'!$B$5</definedName>
    <definedName name="MSG_ORDER">'設定'!$B$6</definedName>
    <definedName name="MSG_NO_ROWS">'設定'!$B$7</definedName>
    <definedName name="MSG_TOO_MANY">'設定'!$B$8</definedName>
    <definedName name="MSG_DONE">'設定'!$B$9</definedName>
    <definedName name="SET_SEP">'設定'!$B$10</definedName>
    <definedName name="TPL_NAME">'設定'!$B$11</definedName>
    <definedName name="TPL_FIRST_ROW">'設定'!$B$12</definedName>
    <definedName name="TPL_ROWS">'設定'!$B$13</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quot;"/>
  </numFmts>
  <fonts count="20">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sz val="12"/>
    </font>
    <font>
      <name val="Calibri"/>
      <family val="2"/>
      <color theme="1"/>
      <sz val="12"/>
      <scheme val="minor"/>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9" fillId="0" borderId="0"/>
  </cellStyleXfs>
  <cellXfs count="80">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6"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7" fillId="7" borderId="1" applyAlignment="1" pivotButton="0" quotePrefix="0" xfId="0">
      <alignment horizontal="right" vertical="center"/>
    </xf>
    <xf numFmtId="165" fontId="3" fillId="3" borderId="1" applyAlignment="1" pivotButton="0" quotePrefix="0" xfId="0">
      <alignment horizontal="center"/>
    </xf>
    <xf numFmtId="0" fontId="3" fillId="3" borderId="1" applyAlignment="1" pivotButton="0" quotePrefix="0" xfId="0">
      <alignment horizontal="center"/>
    </xf>
    <xf numFmtId="165" fontId="7" fillId="2" borderId="1" applyAlignment="1" pivotButton="0" quotePrefix="0" xfId="0">
      <alignment horizontal="right"/>
    </xf>
    <xf numFmtId="1" fontId="7" fillId="2" borderId="1" pivotButton="0" quotePrefix="0" xfId="0"/>
    <xf numFmtId="0" fontId="19" fillId="0" borderId="0" pivotButton="0" quotePrefix="0" xfId="1"/>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center"/>
    </xf>
    <xf numFmtId="3" fontId="0" fillId="0" borderId="0" applyAlignment="1" pivotButton="0" quotePrefix="0" xfId="0">
      <alignment horizontal="left"/>
    </xf>
    <xf numFmtId="169" fontId="0" fillId="0" borderId="0" applyAlignment="1" pivotButton="0" quotePrefix="0" xfId="0">
      <alignment horizontal="left"/>
    </xf>
    <xf numFmtId="170" fontId="0" fillId="0" borderId="0" applyAlignment="1" pivotButton="0" quotePrefix="0" xfId="0">
      <alignment horizontal="left"/>
    </xf>
    <xf numFmtId="0" fontId="18" fillId="0" borderId="0" pivotButton="0" quotePrefix="0" xfId="0"/>
    <xf numFmtId="49" fontId="7" fillId="2" borderId="1" applyAlignment="1" pivotButton="0" quotePrefix="0" xfId="0">
      <alignment horizontal="left"/>
    </xf>
    <xf numFmtId="0" fontId="7" fillId="2" borderId="1"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7．請求期間ごとの内訳が必要なとき：「入力」シートの請求期間（始・終）を入れ、マクロ AddClaimSheet を実行（Alt+F8）すると、請求シートが追加されます（マクロを取り込んだ .xlsm のみ）。</t>
        </is>
      </c>
    </row>
    <row r="15">
      <c r="A15" s="9" t="n"/>
    </row>
    <row r="16">
      <c r="A16" s="8" t="inlineStr">
        <is>
          <t>【シート構成】</t>
        </is>
      </c>
    </row>
    <row r="17">
      <c r="A17" s="9" t="inlineStr">
        <is>
          <t>使い方 ／ 入力（黄色セルのみ入力） ／ 月別集計（基幹入力用） ／ 算定表（結果。印刷用） ／ カレンダーマスタ（開始月を入れると自動作成） ／ 請求シート雛形（マクロが複写。書式・文言を直せる） ／ 設定（マクロのメッセージ・シート名）</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月の数え方は民法第140条（初日不算入）で、末日は応当日です。出勤期間があれば、民法第140条で数えた月数（例：1/3〜3/3は2か月）と、残りの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102"/>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黄色のセル（青字）だけ入力してください。試算・調整額・差額は「算定表」シートに自動表示されます。（出勤期間・請求期間は82行目以降）</t>
        </is>
      </c>
    </row>
    <row r="3">
      <c r="A3" s="11" t="inlineStr">
        <is>
          <t>※期間の数え方は民法第140条（初日不算入）。法定給付の末日は、支給開始日から1年6か月後の応当日（例：7/25 → 翌々年1/25）。</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WORKDAY(EDATE(J6,6+MAX($I$85:$I$95)),MAX($J$85:$J$95))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c r="H37" s="60">
        <f>IF($A37=DATE(YEAR($J$5),MONTH($J$5),1),IF($C$8&lt;&gt;"","← 確認値（C8）の額を、全期間の傷病手当日額として固定して使います","← 支給開始月の額を、全期間の傷病手当日額として固定して使います"),IF($A37&gt;DATE(YEAR($J$5),MONTH($J$5),1),"参考（算定には使いません）",""))</f>
        <v/>
      </c>
    </row>
    <row r="38">
      <c r="A38" s="49">
        <f>DATE(YEAR($J$5),MONTH($J$5)-12+1,1)</f>
        <v/>
      </c>
      <c r="B38" s="47" t="n">
        <v>440000</v>
      </c>
      <c r="C38" s="28" t="n"/>
      <c r="D38" s="28" t="n"/>
      <c r="E38" s="28" t="n"/>
      <c r="F38" s="28" t="n"/>
      <c r="G38" s="28" t="n"/>
      <c r="H38" s="60">
        <f>IF($A38=DATE(YEAR($J$5),MONTH($J$5),1),IF($C$8&lt;&gt;"","← 確認値（C8）の額を、全期間の傷病手当日額として固定して使います","← 支給開始月の額を、全期間の傷病手当日額として固定して使います"),IF($A38&gt;DATE(YEAR($J$5),MONTH($J$5),1),"参考（算定には使いません）",""))</f>
        <v/>
      </c>
    </row>
    <row r="39">
      <c r="A39" s="49">
        <f>DATE(YEAR($J$5),MONTH($J$5)-12+2,1)</f>
        <v/>
      </c>
      <c r="B39" s="47" t="n">
        <v>410000</v>
      </c>
      <c r="C39" s="28" t="n"/>
      <c r="D39" s="28" t="n"/>
      <c r="E39" s="28" t="n"/>
      <c r="F39" s="28" t="n"/>
      <c r="G39" s="28" t="n"/>
      <c r="H39" s="60">
        <f>IF($A39=DATE(YEAR($J$5),MONTH($J$5),1),IF($C$8&lt;&gt;"","← 確認値（C8）の額を、全期間の傷病手当日額として固定して使います","← 支給開始月の額を、全期間の傷病手当日額として固定して使います"),IF($A39&gt;DATE(YEAR($J$5),MONTH($J$5),1),"参考（算定には使いません）",""))</f>
        <v/>
      </c>
    </row>
    <row r="40">
      <c r="A40" s="49">
        <f>DATE(YEAR($J$5),MONTH($J$5)-12+3,1)</f>
        <v/>
      </c>
      <c r="B40" s="47" t="n">
        <v>410000</v>
      </c>
      <c r="C40" s="28" t="n"/>
      <c r="D40" s="28" t="n"/>
      <c r="E40" s="28" t="n"/>
      <c r="F40" s="28" t="n"/>
      <c r="G40" s="28" t="n"/>
      <c r="H40" s="60">
        <f>IF($A40=DATE(YEAR($J$5),MONTH($J$5),1),IF($C$8&lt;&gt;"","← 確認値（C8）の額を、全期間の傷病手当日額として固定して使います","← 支給開始月の額を、全期間の傷病手当日額として固定して使います"),IF($A40&gt;DATE(YEAR($J$5),MONTH($J$5),1),"参考（算定には使いません）",""))</f>
        <v/>
      </c>
    </row>
    <row r="41">
      <c r="A41" s="49">
        <f>DATE(YEAR($J$5),MONTH($J$5)-12+4,1)</f>
        <v/>
      </c>
      <c r="B41" s="47" t="n">
        <v>410000</v>
      </c>
      <c r="C41" s="28" t="n"/>
      <c r="D41" s="28" t="n"/>
      <c r="E41" s="28" t="n"/>
      <c r="F41" s="28" t="n"/>
      <c r="G41" s="28" t="n"/>
      <c r="H41" s="60">
        <f>IF($A41=DATE(YEAR($J$5),MONTH($J$5),1),IF($C$8&lt;&gt;"","← 確認値（C8）の額を、全期間の傷病手当日額として固定して使います","← 支給開始月の額を、全期間の傷病手当日額として固定して使います"),IF($A41&gt;DATE(YEAR($J$5),MONTH($J$5),1),"参考（算定には使いません）",""))</f>
        <v/>
      </c>
    </row>
    <row r="42">
      <c r="A42" s="49">
        <f>DATE(YEAR($J$5),MONTH($J$5)-12+5,1)</f>
        <v/>
      </c>
      <c r="B42" s="47" t="n">
        <v>410000</v>
      </c>
      <c r="C42" s="28" t="n"/>
      <c r="D42" s="28" t="n"/>
      <c r="E42" s="28" t="n"/>
      <c r="F42" s="28" t="n"/>
      <c r="G42" s="28" t="n"/>
      <c r="H42" s="60">
        <f>IF($A42=DATE(YEAR($J$5),MONTH($J$5),1),IF($C$8&lt;&gt;"","← 確認値（C8）の額を、全期間の傷病手当日額として固定して使います","← 支給開始月の額を、全期間の傷病手当日額として固定して使います"),IF($A42&gt;DATE(YEAR($J$5),MONTH($J$5),1),"参考（算定には使いません）",""))</f>
        <v/>
      </c>
    </row>
    <row r="43">
      <c r="A43" s="49">
        <f>DATE(YEAR($J$5),MONTH($J$5)-12+6,1)</f>
        <v/>
      </c>
      <c r="B43" s="47" t="n">
        <v>410000</v>
      </c>
      <c r="C43" s="28" t="n"/>
      <c r="D43" s="28" t="n"/>
      <c r="E43" s="28" t="n"/>
      <c r="F43" s="28" t="n"/>
      <c r="G43" s="28" t="n"/>
      <c r="H43" s="60">
        <f>IF($A43=DATE(YEAR($J$5),MONTH($J$5),1),IF($C$8&lt;&gt;"","← 確認値（C8）の額を、全期間の傷病手当日額として固定して使います","← 支給開始月の額を、全期間の傷病手当日額として固定して使います"),IF($A43&gt;DATE(YEAR($J$5),MONTH($J$5),1),"参考（算定には使いません）",""))</f>
        <v/>
      </c>
    </row>
    <row r="44">
      <c r="A44" s="49">
        <f>DATE(YEAR($J$5),MONTH($J$5)-12+7,1)</f>
        <v/>
      </c>
      <c r="B44" s="47" t="n">
        <v>410000</v>
      </c>
      <c r="C44" s="28" t="n"/>
      <c r="D44" s="28" t="n"/>
      <c r="E44" s="28" t="n"/>
      <c r="F44" s="28" t="n"/>
      <c r="G44" s="28" t="n"/>
      <c r="H44" s="60">
        <f>IF($A44=DATE(YEAR($J$5),MONTH($J$5),1),IF($C$8&lt;&gt;"","← 確認値（C8）の額を、全期間の傷病手当日額として固定して使います","← 支給開始月の額を、全期間の傷病手当日額として固定して使います"),IF($A44&gt;DATE(YEAR($J$5),MONTH($J$5),1),"参考（算定には使いません）",""))</f>
        <v/>
      </c>
    </row>
    <row r="45">
      <c r="A45" s="49">
        <f>DATE(YEAR($J$5),MONTH($J$5)-12+8,1)</f>
        <v/>
      </c>
      <c r="B45" s="47" t="n">
        <v>410000</v>
      </c>
      <c r="C45" s="28" t="n"/>
      <c r="D45" s="28" t="n"/>
      <c r="E45" s="28" t="n"/>
      <c r="F45" s="28" t="n"/>
      <c r="G45" s="28" t="n"/>
      <c r="H45" s="60">
        <f>IF($A45=DATE(YEAR($J$5),MONTH($J$5),1),IF($C$8&lt;&gt;"","← 確認値（C8）の額を、全期間の傷病手当日額として固定して使います","← 支給開始月の額を、全期間の傷病手当日額として固定して使います"),IF($A45&gt;DATE(YEAR($J$5),MONTH($J$5),1),"参考（算定には使いません）",""))</f>
        <v/>
      </c>
    </row>
    <row r="46">
      <c r="A46" s="49">
        <f>DATE(YEAR($J$5),MONTH($J$5)-12+9,1)</f>
        <v/>
      </c>
      <c r="B46" s="47" t="n">
        <v>410000</v>
      </c>
      <c r="C46" s="28" t="n"/>
      <c r="D46" s="28" t="n"/>
      <c r="E46" s="28" t="n"/>
      <c r="F46" s="28" t="n"/>
      <c r="G46" s="28" t="n"/>
      <c r="H46" s="60">
        <f>IF($A46=DATE(YEAR($J$5),MONTH($J$5),1),IF($C$8&lt;&gt;"","← 確認値（C8）の額を、全期間の傷病手当日額として固定して使います","← 支給開始月の額を、全期間の傷病手当日額として固定して使います"),IF($A46&gt;DATE(YEAR($J$5),MONTH($J$5),1),"参考（算定には使いません）",""))</f>
        <v/>
      </c>
    </row>
    <row r="47">
      <c r="A47" s="49">
        <f>DATE(YEAR($J$5),MONTH($J$5)-12+10,1)</f>
        <v/>
      </c>
      <c r="B47" s="47" t="n">
        <v>280000</v>
      </c>
      <c r="C47" s="28" t="n"/>
      <c r="D47" s="28" t="n"/>
      <c r="E47" s="28" t="n"/>
      <c r="F47" s="28" t="n"/>
      <c r="G47" s="28" t="n"/>
      <c r="H47" s="60">
        <f>IF($A47=DATE(YEAR($J$5),MONTH($J$5),1),IF($C$8&lt;&gt;"","← 確認値（C8）の額を、全期間の傷病手当日額として固定して使います","← 支給開始月の額を、全期間の傷病手当日額として固定して使います"),IF($A47&gt;DATE(YEAR($J$5),MONTH($J$5),1),"参考（算定には使いません）",""))</f>
        <v/>
      </c>
    </row>
    <row r="48">
      <c r="A48" s="49">
        <f>DATE(YEAR($J$5),MONTH($J$5)-12+11,1)</f>
        <v/>
      </c>
      <c r="B48" s="47" t="n">
        <v>320000</v>
      </c>
      <c r="C48" s="48">
        <f>AVERAGE(B37:B48)</f>
        <v/>
      </c>
      <c r="D48" s="50">
        <f>C48/22</f>
        <v/>
      </c>
      <c r="E48" s="48">
        <f>ROUND(D48,-1)</f>
        <v/>
      </c>
      <c r="F48" s="50">
        <f>E48/3*2</f>
        <v/>
      </c>
      <c r="G48" s="48">
        <f>ROUND(F48,0)</f>
        <v/>
      </c>
      <c r="H48" s="60">
        <f>IF($A48=DATE(YEAR($J$5),MONTH($J$5),1),IF($C$8&lt;&gt;"","← 確認値（C8）の額を、全期間の傷病手当日額として固定して使います","← 支給開始月の額を、全期間の傷病手当日額として固定して使います"),IF($A48&gt;DATE(YEAR($J$5),MONTH($J$5),1),"参考（算定には使いません）",""))</f>
        <v/>
      </c>
    </row>
    <row r="49">
      <c r="A49" s="49">
        <f>DATE(YEAR($J$5),MONTH($J$5)-12+12,1)</f>
        <v/>
      </c>
      <c r="B49" s="47" t="n">
        <v>320000</v>
      </c>
      <c r="C49" s="48">
        <f>AVERAGE(B38:B49)</f>
        <v/>
      </c>
      <c r="D49" s="50">
        <f>C49/22</f>
        <v/>
      </c>
      <c r="E49" s="48">
        <f>ROUND(D49,-1)</f>
        <v/>
      </c>
      <c r="F49" s="50">
        <f>E49/3*2</f>
        <v/>
      </c>
      <c r="G49" s="48">
        <f>ROUND(F49,0)</f>
        <v/>
      </c>
      <c r="H49" s="60">
        <f>IF($A49=DATE(YEAR($J$5),MONTH($J$5),1),IF($C$8&lt;&gt;"","← 確認値（C8）の額を、全期間の傷病手当日額として固定して使います","← 支給開始月の額を、全期間の傷病手当日額として固定して使います"),IF($A49&gt;DATE(YEAR($J$5),MONTH($J$5),1),"参考（算定には使いません）",""))</f>
        <v/>
      </c>
    </row>
    <row r="50">
      <c r="A50" s="49">
        <f>DATE(YEAR($J$5),MONTH($J$5)-12+13,1)</f>
        <v/>
      </c>
      <c r="B50" s="47" t="n">
        <v>320000</v>
      </c>
      <c r="C50" s="48">
        <f>AVERAGE(B39:B50)</f>
        <v/>
      </c>
      <c r="D50" s="50">
        <f>C50/22</f>
        <v/>
      </c>
      <c r="E50" s="48">
        <f>ROUND(D50,-1)</f>
        <v/>
      </c>
      <c r="F50" s="50">
        <f>E50/3*2</f>
        <v/>
      </c>
      <c r="G50" s="48">
        <f>ROUND(F50,0)</f>
        <v/>
      </c>
      <c r="H50" s="60">
        <f>IF($A50=DATE(YEAR($J$5),MONTH($J$5),1),IF($C$8&lt;&gt;"","← 確認値（C8）の額を、全期間の傷病手当日額として固定して使います","← 支給開始月の額を、全期間の傷病手当日額として固定して使います"),IF($A50&gt;DATE(YEAR($J$5),MONTH($J$5),1),"参考（算定には使いません）",""))</f>
        <v/>
      </c>
    </row>
    <row r="51">
      <c r="A51" s="49">
        <f>DATE(YEAR($J$5),MONTH($J$5)-12+14,1)</f>
        <v/>
      </c>
      <c r="B51" s="47" t="n">
        <v>320000</v>
      </c>
      <c r="C51" s="48">
        <f>AVERAGE(B40:B51)</f>
        <v/>
      </c>
      <c r="D51" s="50">
        <f>C51/22</f>
        <v/>
      </c>
      <c r="E51" s="48">
        <f>ROUND(D51,-1)</f>
        <v/>
      </c>
      <c r="F51" s="50">
        <f>E51/3*2</f>
        <v/>
      </c>
      <c r="G51" s="48">
        <f>ROUND(F51,0)</f>
        <v/>
      </c>
      <c r="H51" s="60">
        <f>IF($A51=DATE(YEAR($J$5),MONTH($J$5),1),IF($C$8&lt;&gt;"","← 確認値（C8）の額を、全期間の傷病手当日額として固定して使います","← 支給開始月の額を、全期間の傷病手当日額として固定して使います"),IF($A51&gt;DATE(YEAR($J$5),MONTH($J$5),1),"参考（算定には使いません）",""))</f>
        <v/>
      </c>
    </row>
    <row r="52">
      <c r="A52" s="49">
        <f>DATE(YEAR($J$5),MONTH($J$5)-12+15,1)</f>
        <v/>
      </c>
      <c r="B52" s="47" t="n">
        <v>340000</v>
      </c>
      <c r="C52" s="48">
        <f>AVERAGE(B41:B52)</f>
        <v/>
      </c>
      <c r="D52" s="50">
        <f>C52/22</f>
        <v/>
      </c>
      <c r="E52" s="48">
        <f>ROUND(D52,-1)</f>
        <v/>
      </c>
      <c r="F52" s="50">
        <f>E52/3*2</f>
        <v/>
      </c>
      <c r="G52" s="48">
        <f>ROUND(F52,0)</f>
        <v/>
      </c>
      <c r="H52" s="60">
        <f>IF($A52=DATE(YEAR($J$5),MONTH($J$5),1),IF($C$8&lt;&gt;"","← 確認値（C8）の額を、全期間の傷病手当日額として固定して使います","← 支給開始月の額を、全期間の傷病手当日額として固定して使います"),IF($A52&gt;DATE(YEAR($J$5),MONTH($J$5),1),"参考（算定には使いません）",""))</f>
        <v/>
      </c>
    </row>
    <row r="53">
      <c r="A53" s="49">
        <f>DATE(YEAR($J$5),MONTH($J$5)-12+16,1)</f>
        <v/>
      </c>
      <c r="B53" s="47" t="n">
        <v>340000</v>
      </c>
      <c r="C53" s="48">
        <f>AVERAGE(B42:B53)</f>
        <v/>
      </c>
      <c r="D53" s="50">
        <f>C53/22</f>
        <v/>
      </c>
      <c r="E53" s="48">
        <f>ROUND(D53,-1)</f>
        <v/>
      </c>
      <c r="F53" s="50">
        <f>E53/3*2</f>
        <v/>
      </c>
      <c r="G53" s="48">
        <f>ROUND(F53,0)</f>
        <v/>
      </c>
      <c r="H53" s="60">
        <f>IF($A53=DATE(YEAR($J$5),MONTH($J$5),1),IF($C$8&lt;&gt;"","← 確認値（C8）の額を、全期間の傷病手当日額として固定して使います","← 支給開始月の額を、全期間の傷病手当日額として固定して使います"),IF($A53&gt;DATE(YEAR($J$5),MONTH($J$5),1),"参考（算定には使いません）",""))</f>
        <v/>
      </c>
    </row>
    <row r="54">
      <c r="A54" s="49">
        <f>DATE(YEAR($J$5),MONTH($J$5)-12+17,1)</f>
        <v/>
      </c>
      <c r="B54" s="47" t="n">
        <v>340000</v>
      </c>
      <c r="C54" s="48">
        <f>AVERAGE(B43:B54)</f>
        <v/>
      </c>
      <c r="D54" s="50">
        <f>C54/22</f>
        <v/>
      </c>
      <c r="E54" s="48">
        <f>ROUND(D54,-1)</f>
        <v/>
      </c>
      <c r="F54" s="50">
        <f>E54/3*2</f>
        <v/>
      </c>
      <c r="G54" s="48">
        <f>ROUND(F54,0)</f>
        <v/>
      </c>
      <c r="H54" s="60">
        <f>IF($A54=DATE(YEAR($J$5),MONTH($J$5),1),IF($C$8&lt;&gt;"","← 確認値（C8）の額を、全期間の傷病手当日額として固定して使います","← 支給開始月の額を、全期間の傷病手当日額として固定して使います"),IF($A54&gt;DATE(YEAR($J$5),MONTH($J$5),1),"参考（算定には使いません）",""))</f>
        <v/>
      </c>
    </row>
    <row r="55">
      <c r="A55" s="49">
        <f>DATE(YEAR($J$5),MONTH($J$5)-12+18,1)</f>
        <v/>
      </c>
      <c r="B55" s="47" t="n">
        <v>340000</v>
      </c>
      <c r="C55" s="48">
        <f>AVERAGE(B44:B55)</f>
        <v/>
      </c>
      <c r="D55" s="50">
        <f>C55/22</f>
        <v/>
      </c>
      <c r="E55" s="48">
        <f>ROUND(D55,-1)</f>
        <v/>
      </c>
      <c r="F55" s="50">
        <f>E55/3*2</f>
        <v/>
      </c>
      <c r="G55" s="48">
        <f>ROUND(F55,0)</f>
        <v/>
      </c>
      <c r="H55" s="60">
        <f>IF($A55=DATE(YEAR($J$5),MONTH($J$5),1),IF($C$8&lt;&gt;"","← 確認値（C8）の額を、全期間の傷病手当日額として固定して使います","← 支給開始月の額を、全期間の傷病手当日額として固定して使います"),IF($A55&gt;DATE(YEAR($J$5),MONTH($J$5),1),"参考（算定には使いません）",""))</f>
        <v/>
      </c>
    </row>
    <row r="56">
      <c r="A56" s="49">
        <f>DATE(YEAR($J$5),MONTH($J$5)-12+19,1)</f>
        <v/>
      </c>
      <c r="B56" s="47" t="n">
        <v>340000</v>
      </c>
      <c r="C56" s="48">
        <f>AVERAGE(B45:B56)</f>
        <v/>
      </c>
      <c r="D56" s="50">
        <f>C56/22</f>
        <v/>
      </c>
      <c r="E56" s="48">
        <f>ROUND(D56,-1)</f>
        <v/>
      </c>
      <c r="F56" s="50">
        <f>E56/3*2</f>
        <v/>
      </c>
      <c r="G56" s="48">
        <f>ROUND(F56,0)</f>
        <v/>
      </c>
      <c r="H56" s="60">
        <f>IF($A56=DATE(YEAR($J$5),MONTH($J$5),1),IF($C$8&lt;&gt;"","← 確認値（C8）の額を、全期間の傷病手当日額として固定して使います","← 支給開始月の額を、全期間の傷病手当日額として固定して使います"),IF($A56&gt;DATE(YEAR($J$5),MONTH($J$5),1),"参考（算定には使いません）",""))</f>
        <v/>
      </c>
    </row>
    <row r="57">
      <c r="A57" s="49">
        <f>DATE(YEAR($J$5),MONTH($J$5)-12+20,1)</f>
        <v/>
      </c>
      <c r="B57" s="47" t="n">
        <v>340000</v>
      </c>
      <c r="C57" s="48">
        <f>AVERAGE(B46:B57)</f>
        <v/>
      </c>
      <c r="D57" s="50">
        <f>C57/22</f>
        <v/>
      </c>
      <c r="E57" s="48">
        <f>ROUND(D57,-1)</f>
        <v/>
      </c>
      <c r="F57" s="50">
        <f>E57/3*2</f>
        <v/>
      </c>
      <c r="G57" s="48">
        <f>ROUND(F57,0)</f>
        <v/>
      </c>
      <c r="H57" s="60">
        <f>IF($A57=DATE(YEAR($J$5),MONTH($J$5),1),IF($C$8&lt;&gt;"","← 確認値（C8）の額を、全期間の傷病手当日額として固定して使います","← 支給開始月の額を、全期間の傷病手当日額として固定して使います"),IF($A57&gt;DATE(YEAR($J$5),MONTH($J$5),1),"参考（算定には使いません）",""))</f>
        <v/>
      </c>
    </row>
    <row r="58">
      <c r="A58" s="49">
        <f>DATE(YEAR($J$5),MONTH($J$5)-12+21,1)</f>
        <v/>
      </c>
      <c r="B58" s="47" t="n">
        <v>340000</v>
      </c>
      <c r="C58" s="48">
        <f>AVERAGE(B47:B58)</f>
        <v/>
      </c>
      <c r="D58" s="50">
        <f>C58/22</f>
        <v/>
      </c>
      <c r="E58" s="48">
        <f>ROUND(D58,-1)</f>
        <v/>
      </c>
      <c r="F58" s="50">
        <f>E58/3*2</f>
        <v/>
      </c>
      <c r="G58" s="48">
        <f>ROUND(F58,0)</f>
        <v/>
      </c>
      <c r="H58" s="60">
        <f>IF($A58=DATE(YEAR($J$5),MONTH($J$5),1),IF($C$8&lt;&gt;"","← 確認値（C8）の額を、全期間の傷病手当日額として固定して使います","← 支給開始月の額を、全期間の傷病手当日額として固定して使います"),IF($A58&gt;DATE(YEAR($J$5),MONTH($J$5),1),"参考（算定には使いません）",""))</f>
        <v/>
      </c>
    </row>
    <row r="59">
      <c r="A59" s="49">
        <f>DATE(YEAR($J$5),MONTH($J$5)-12+22,1)</f>
        <v/>
      </c>
      <c r="B59" s="47" t="n">
        <v>340000</v>
      </c>
      <c r="C59" s="48">
        <f>AVERAGE(B48:B59)</f>
        <v/>
      </c>
      <c r="D59" s="50">
        <f>C59/22</f>
        <v/>
      </c>
      <c r="E59" s="48">
        <f>ROUND(D59,-1)</f>
        <v/>
      </c>
      <c r="F59" s="50">
        <f>E59/3*2</f>
        <v/>
      </c>
      <c r="G59" s="48">
        <f>ROUND(F59,0)</f>
        <v/>
      </c>
      <c r="H59" s="60">
        <f>IF($A59=DATE(YEAR($J$5),MONTH($J$5),1),IF($C$8&lt;&gt;"","← 確認値（C8）の額を、全期間の傷病手当日額として固定して使います","← 支給開始月の額を、全期間の傷病手当日額として固定して使います"),IF($A59&gt;DATE(YEAR($J$5),MONTH($J$5),1),"参考（算定には使いません）",""))</f>
        <v/>
      </c>
    </row>
    <row r="60">
      <c r="A60" s="49">
        <f>DATE(YEAR($J$5),MONTH($J$5)-12+23,1)</f>
        <v/>
      </c>
      <c r="B60" s="47" t="n">
        <v>340000</v>
      </c>
      <c r="C60" s="48">
        <f>AVERAGE(B49:B60)</f>
        <v/>
      </c>
      <c r="D60" s="50">
        <f>C60/22</f>
        <v/>
      </c>
      <c r="E60" s="48">
        <f>ROUND(D60,-1)</f>
        <v/>
      </c>
      <c r="F60" s="50">
        <f>E60/3*2</f>
        <v/>
      </c>
      <c r="G60" s="48">
        <f>ROUND(F60,0)</f>
        <v/>
      </c>
      <c r="H60" s="60">
        <f>IF($A60=DATE(YEAR($J$5),MONTH($J$5),1),IF($C$8&lt;&gt;"","← 確認値（C8）の額を、全期間の傷病手当日額として固定して使います","← 支給開始月の額を、全期間の傷病手当日額として固定して使います"),IF($A60&gt;DATE(YEAR($J$5),MONTH($J$5),1),"参考（算定には使いません）",""))</f>
        <v/>
      </c>
    </row>
    <row r="61">
      <c r="A61" s="49">
        <f>DATE(YEAR($J$5),MONTH($J$5)-12+24,1)</f>
        <v/>
      </c>
      <c r="B61" s="47" t="n">
        <v>340000</v>
      </c>
      <c r="C61" s="48">
        <f>AVERAGE(B50:B61)</f>
        <v/>
      </c>
      <c r="D61" s="50">
        <f>C61/22</f>
        <v/>
      </c>
      <c r="E61" s="48">
        <f>ROUND(D61,-1)</f>
        <v/>
      </c>
      <c r="F61" s="50">
        <f>E61/3*2</f>
        <v/>
      </c>
      <c r="G61" s="48">
        <f>ROUND(F61,0)</f>
        <v/>
      </c>
      <c r="H61" s="60">
        <f>IF($A61=DATE(YEAR($J$5),MONTH($J$5),1),IF($C$8&lt;&gt;"","← 確認値（C8）の額を、全期間の傷病手当日額として固定して使います","← 支給開始月の額を、全期間の傷病手当日額として固定して使います"),IF($A61&gt;DATE(YEAR($J$5),MONTH($J$5),1),"参考（算定には使いません）",""))</f>
        <v/>
      </c>
    </row>
    <row r="62">
      <c r="A62" s="49">
        <f>DATE(YEAR($J$5),MONTH($J$5)-12+25,1)</f>
        <v/>
      </c>
      <c r="B62" s="47" t="n">
        <v>340000</v>
      </c>
      <c r="C62" s="48">
        <f>AVERAGE(B51:B62)</f>
        <v/>
      </c>
      <c r="D62" s="50">
        <f>C62/22</f>
        <v/>
      </c>
      <c r="E62" s="48">
        <f>ROUND(D62,-1)</f>
        <v/>
      </c>
      <c r="F62" s="50">
        <f>E62/3*2</f>
        <v/>
      </c>
      <c r="G62" s="48">
        <f>ROUND(F62,0)</f>
        <v/>
      </c>
      <c r="H62" s="60">
        <f>IF($A62=DATE(YEAR($J$5),MONTH($J$5),1),IF($C$8&lt;&gt;"","← 確認値（C8）の額を、全期間の傷病手当日額として固定して使います","← 支給開始月の額を、全期間の傷病手当日額として固定して使います"),IF($A62&gt;DATE(YEAR($J$5),MONTH($J$5),1),"参考（算定には使いません）",""))</f>
        <v/>
      </c>
    </row>
    <row r="63">
      <c r="A63" s="49">
        <f>DATE(YEAR($J$5),MONTH($J$5)-12+26,1)</f>
        <v/>
      </c>
      <c r="B63" s="47" t="n">
        <v>340000</v>
      </c>
      <c r="C63" s="48">
        <f>AVERAGE(B52:B63)</f>
        <v/>
      </c>
      <c r="D63" s="50">
        <f>C63/22</f>
        <v/>
      </c>
      <c r="E63" s="48">
        <f>ROUND(D63,-1)</f>
        <v/>
      </c>
      <c r="F63" s="50">
        <f>E63/3*2</f>
        <v/>
      </c>
      <c r="G63" s="48">
        <f>ROUND(F63,0)</f>
        <v/>
      </c>
      <c r="H63" s="60">
        <f>IF($A63=DATE(YEAR($J$5),MONTH($J$5),1),IF($C$8&lt;&gt;"","← 確認値（C8）の額を、全期間の傷病手当日額として固定して使います","← 支給開始月の額を、全期間の傷病手当日額として固定して使います"),IF($A63&gt;DATE(YEAR($J$5),MONTH($J$5),1),"参考（算定には使いません）",""))</f>
        <v/>
      </c>
    </row>
    <row r="64">
      <c r="A64" s="49">
        <f>DATE(YEAR($J$5),MONTH($J$5)-12+27,1)</f>
        <v/>
      </c>
      <c r="B64" s="47" t="n">
        <v>340000</v>
      </c>
      <c r="C64" s="48">
        <f>AVERAGE(B53:B64)</f>
        <v/>
      </c>
      <c r="D64" s="50">
        <f>C64/22</f>
        <v/>
      </c>
      <c r="E64" s="48">
        <f>ROUND(D64,-1)</f>
        <v/>
      </c>
      <c r="F64" s="50">
        <f>E64/3*2</f>
        <v/>
      </c>
      <c r="G64" s="48">
        <f>ROUND(F64,0)</f>
        <v/>
      </c>
      <c r="H64" s="60">
        <f>IF($A64=DATE(YEAR($J$5),MONTH($J$5),1),IF($C$8&lt;&gt;"","← 確認値（C8）の額を、全期間の傷病手当日額として固定して使います","← 支給開始月の額を、全期間の傷病手当日額として固定して使います"),IF($A64&gt;DATE(YEAR($J$5),MONTH($J$5),1),"参考（算定には使いません）",""))</f>
        <v/>
      </c>
    </row>
    <row r="65">
      <c r="A65" s="49">
        <f>DATE(YEAR($J$5),MONTH($J$5)-12+28,1)</f>
        <v/>
      </c>
      <c r="B65" s="47" t="n">
        <v>340000</v>
      </c>
      <c r="C65" s="48">
        <f>AVERAGE(B54:B65)</f>
        <v/>
      </c>
      <c r="D65" s="50">
        <f>C65/22</f>
        <v/>
      </c>
      <c r="E65" s="48">
        <f>ROUND(D65,-1)</f>
        <v/>
      </c>
      <c r="F65" s="50">
        <f>E65/3*2</f>
        <v/>
      </c>
      <c r="G65" s="48">
        <f>ROUND(F65,0)</f>
        <v/>
      </c>
      <c r="H65" s="60">
        <f>IF($A65=DATE(YEAR($J$5),MONTH($J$5),1),IF($C$8&lt;&gt;"","← 確認値（C8）の額を、全期間の傷病手当日額として固定して使います","← 支給開始月の額を、全期間の傷病手当日額として固定して使います"),IF($A65&gt;DATE(YEAR($J$5),MONTH($J$5),1),"参考（算定には使いません）",""))</f>
        <v/>
      </c>
    </row>
    <row r="66">
      <c r="A66" s="49">
        <f>DATE(YEAR($J$5),MONTH($J$5)-12+29,1)</f>
        <v/>
      </c>
      <c r="B66" s="47" t="n">
        <v>340000</v>
      </c>
      <c r="C66" s="48">
        <f>AVERAGE(B55:B66)</f>
        <v/>
      </c>
      <c r="D66" s="50">
        <f>C66/22</f>
        <v/>
      </c>
      <c r="E66" s="48">
        <f>ROUND(D66,-1)</f>
        <v/>
      </c>
      <c r="F66" s="50">
        <f>E66/3*2</f>
        <v/>
      </c>
      <c r="G66" s="48">
        <f>ROUND(F66,0)</f>
        <v/>
      </c>
      <c r="H66" s="60">
        <f>IF($A66=DATE(YEAR($J$5),MONTH($J$5),1),IF($C$8&lt;&gt;"","← 確認値（C8）の額を、全期間の傷病手当日額として固定して使います","← 支給開始月の額を、全期間の傷病手当日額として固定して使います"),IF($A66&gt;DATE(YEAR($J$5),MONTH($J$5),1),"参考（算定には使いません）",""))</f>
        <v/>
      </c>
    </row>
    <row r="67">
      <c r="A67" s="49">
        <f>DATE(YEAR($J$5),MONTH($J$5)-12+30,1)</f>
        <v/>
      </c>
      <c r="B67" s="47" t="n">
        <v>340000</v>
      </c>
      <c r="C67" s="48">
        <f>AVERAGE(B56:B67)</f>
        <v/>
      </c>
      <c r="D67" s="50">
        <f>C67/22</f>
        <v/>
      </c>
      <c r="E67" s="48">
        <f>ROUND(D67,-1)</f>
        <v/>
      </c>
      <c r="F67" s="50">
        <f>E67/3*2</f>
        <v/>
      </c>
      <c r="G67" s="48">
        <f>ROUND(F67,0)</f>
        <v/>
      </c>
      <c r="H67" s="60">
        <f>IF($A67=DATE(YEAR($J$5),MONTH($J$5),1),IF($C$8&lt;&gt;"","← 確認値（C8）の額を、全期間の傷病手当日額として固定して使います","← 支給開始月の額を、全期間の傷病手当日額として固定して使います"),IF($A67&gt;DATE(YEAR($J$5),MONTH($J$5),1),"参考（算定には使いません）",""))</f>
        <v/>
      </c>
    </row>
    <row r="68">
      <c r="A68" s="49">
        <f>DATE(YEAR($J$5),MONTH($J$5)-12+31,1)</f>
        <v/>
      </c>
      <c r="B68" s="47" t="n">
        <v>340000</v>
      </c>
      <c r="C68" s="48">
        <f>AVERAGE(B57:B68)</f>
        <v/>
      </c>
      <c r="D68" s="50">
        <f>C68/22</f>
        <v/>
      </c>
      <c r="E68" s="48">
        <f>ROUND(D68,-1)</f>
        <v/>
      </c>
      <c r="F68" s="50">
        <f>E68/3*2</f>
        <v/>
      </c>
      <c r="G68" s="48">
        <f>ROUND(F68,0)</f>
        <v/>
      </c>
      <c r="H68" s="60">
        <f>IF($A68=DATE(YEAR($J$5),MONTH($J$5),1),IF($C$8&lt;&gt;"","← 確認値（C8）の額を、全期間の傷病手当日額として固定して使います","← 支給開始月の額を、全期間の傷病手当日額として固定して使います"),IF($A68&gt;DATE(YEAR($J$5),MONTH($J$5),1),"参考（算定には使いません）",""))</f>
        <v/>
      </c>
    </row>
    <row r="69">
      <c r="A69" s="49">
        <f>DATE(YEAR($J$5),MONTH($J$5)-12+32,1)</f>
        <v/>
      </c>
      <c r="B69" s="47" t="n">
        <v>340000</v>
      </c>
      <c r="C69" s="48">
        <f>AVERAGE(B58:B69)</f>
        <v/>
      </c>
      <c r="D69" s="50">
        <f>C69/22</f>
        <v/>
      </c>
      <c r="E69" s="48">
        <f>ROUND(D69,-1)</f>
        <v/>
      </c>
      <c r="F69" s="50">
        <f>E69/3*2</f>
        <v/>
      </c>
      <c r="G69" s="48">
        <f>ROUND(F69,0)</f>
        <v/>
      </c>
      <c r="H69" s="60">
        <f>IF($A69=DATE(YEAR($J$5),MONTH($J$5),1),IF($C$8&lt;&gt;"","← 確認値（C8）の額を、全期間の傷病手当日額として固定して使います","← 支給開始月の額を、全期間の傷病手当日額として固定して使います"),IF($A69&gt;DATE(YEAR($J$5),MONTH($J$5),1),"参考（算定には使いません）",""))</f>
        <v/>
      </c>
    </row>
    <row r="70">
      <c r="A70" s="49">
        <f>DATE(YEAR($J$5),MONTH($J$5)-12+33,1)</f>
        <v/>
      </c>
      <c r="B70" s="47" t="n">
        <v>340000</v>
      </c>
      <c r="C70" s="48">
        <f>AVERAGE(B59:B70)</f>
        <v/>
      </c>
      <c r="D70" s="50">
        <f>C70/22</f>
        <v/>
      </c>
      <c r="E70" s="48">
        <f>ROUND(D70,-1)</f>
        <v/>
      </c>
      <c r="F70" s="50">
        <f>E70/3*2</f>
        <v/>
      </c>
      <c r="G70" s="48">
        <f>ROUND(F70,0)</f>
        <v/>
      </c>
      <c r="H70" s="60">
        <f>IF($A70=DATE(YEAR($J$5),MONTH($J$5),1),IF($C$8&lt;&gt;"","← 確認値（C8）の額を、全期間の傷病手当日額として固定して使います","← 支給開始月の額を、全期間の傷病手当日額として固定して使います"),IF($A70&gt;DATE(YEAR($J$5),MONTH($J$5),1),"参考（算定には使いません）",""))</f>
        <v/>
      </c>
    </row>
    <row r="71">
      <c r="A71" s="49">
        <f>DATE(YEAR($J$5),MONTH($J$5)-12+34,1)</f>
        <v/>
      </c>
      <c r="B71" s="47" t="n">
        <v>340000</v>
      </c>
      <c r="C71" s="48">
        <f>AVERAGE(B60:B71)</f>
        <v/>
      </c>
      <c r="D71" s="50">
        <f>C71/22</f>
        <v/>
      </c>
      <c r="E71" s="48">
        <f>ROUND(D71,-1)</f>
        <v/>
      </c>
      <c r="F71" s="50">
        <f>E71/3*2</f>
        <v/>
      </c>
      <c r="G71" s="48">
        <f>ROUND(F71,0)</f>
        <v/>
      </c>
      <c r="H71" s="60">
        <f>IF($A71=DATE(YEAR($J$5),MONTH($J$5),1),IF($C$8&lt;&gt;"","← 確認値（C8）の額を、全期間の傷病手当日額として固定して使います","← 支給開始月の額を、全期間の傷病手当日額として固定して使います"),IF($A71&gt;DATE(YEAR($J$5),MONTH($J$5),1),"参考（算定には使いません）",""))</f>
        <v/>
      </c>
    </row>
    <row r="72">
      <c r="A72" s="49">
        <f>DATE(YEAR($J$5),MONTH($J$5)-12+35,1)</f>
        <v/>
      </c>
      <c r="B72" s="47" t="n">
        <v>340000</v>
      </c>
      <c r="C72" s="48">
        <f>AVERAGE(B61:B72)</f>
        <v/>
      </c>
      <c r="D72" s="50">
        <f>C72/22</f>
        <v/>
      </c>
      <c r="E72" s="48">
        <f>ROUND(D72,-1)</f>
        <v/>
      </c>
      <c r="F72" s="50">
        <f>E72/3*2</f>
        <v/>
      </c>
      <c r="G72" s="48">
        <f>ROUND(F72,0)</f>
        <v/>
      </c>
      <c r="H72" s="60">
        <f>IF($A72=DATE(YEAR($J$5),MONTH($J$5),1),IF($C$8&lt;&gt;"","← 確認値（C8）の額を、全期間の傷病手当日額として固定して使います","← 支給開始月の額を、全期間の傷病手当日額として固定して使います"),IF($A72&gt;DATE(YEAR($J$5),MONTH($J$5),1),"参考（算定には使いません）",""))</f>
        <v/>
      </c>
    </row>
    <row r="73">
      <c r="A73" s="49">
        <f>DATE(YEAR($J$5),MONTH($J$5)-12+36,1)</f>
        <v/>
      </c>
      <c r="B73" s="47" t="n">
        <v>340000</v>
      </c>
      <c r="C73" s="48">
        <f>AVERAGE(B62:B73)</f>
        <v/>
      </c>
      <c r="D73" s="50">
        <f>C73/22</f>
        <v/>
      </c>
      <c r="E73" s="48">
        <f>ROUND(D73,-1)</f>
        <v/>
      </c>
      <c r="F73" s="50">
        <f>E73/3*2</f>
        <v/>
      </c>
      <c r="G73" s="48">
        <f>ROUND(F73,0)</f>
        <v/>
      </c>
      <c r="H73" s="60">
        <f>IF($A73=DATE(YEAR($J$5),MONTH($J$5),1),IF($C$8&lt;&gt;"","← 確認値（C8）の額を、全期間の傷病手当日額として固定して使います","← 支給開始月の額を、全期間の傷病手当日額として固定して使います"),IF($A73&gt;DATE(YEAR($J$5),MONTH($J$5),1),"参考（算定には使いません）",""))</f>
        <v/>
      </c>
    </row>
    <row r="74">
      <c r="A74" s="49">
        <f>DATE(YEAR($J$5),MONTH($J$5)-12+37,1)</f>
        <v/>
      </c>
      <c r="B74" s="47" t="n">
        <v>340000</v>
      </c>
      <c r="C74" s="48">
        <f>AVERAGE(B63:B74)</f>
        <v/>
      </c>
      <c r="D74" s="50">
        <f>C74/22</f>
        <v/>
      </c>
      <c r="E74" s="48">
        <f>ROUND(D74,-1)</f>
        <v/>
      </c>
      <c r="F74" s="50">
        <f>E74/3*2</f>
        <v/>
      </c>
      <c r="G74" s="48">
        <f>ROUND(F74,0)</f>
        <v/>
      </c>
      <c r="H74" s="60">
        <f>IF($A74=DATE(YEAR($J$5),MONTH($J$5),1),IF($C$8&lt;&gt;"","← 確認値（C8）の額を、全期間の傷病手当日額として固定して使います","← 支給開始月の額を、全期間の傷病手当日額として固定して使います"),IF($A74&gt;DATE(YEAR($J$5),MONTH($J$5),1),"参考（算定には使いません）",""))</f>
        <v/>
      </c>
    </row>
    <row r="75">
      <c r="A75" s="49">
        <f>DATE(YEAR($J$5),MONTH($J$5)-12+38,1)</f>
        <v/>
      </c>
      <c r="B75" s="47" t="n">
        <v>340000</v>
      </c>
      <c r="C75" s="48">
        <f>AVERAGE(B64:B75)</f>
        <v/>
      </c>
      <c r="D75" s="50">
        <f>C75/22</f>
        <v/>
      </c>
      <c r="E75" s="48">
        <f>ROUND(D75,-1)</f>
        <v/>
      </c>
      <c r="F75" s="50">
        <f>E75/3*2</f>
        <v/>
      </c>
      <c r="G75" s="48">
        <f>ROUND(F75,0)</f>
        <v/>
      </c>
      <c r="H75" s="60">
        <f>IF($A75=DATE(YEAR($J$5),MONTH($J$5),1),IF($C$8&lt;&gt;"","← 確認値（C8）の額を、全期間の傷病手当日額として固定して使います","← 支給開始月の額を、全期間の傷病手当日額として固定して使います"),IF($A75&gt;DATE(YEAR($J$5),MONTH($J$5),1),"参考（算定には使いません）",""))</f>
        <v/>
      </c>
    </row>
    <row r="76">
      <c r="A76" s="49">
        <f>DATE(YEAR($J$5),MONTH($J$5)-12+39,1)</f>
        <v/>
      </c>
      <c r="B76" s="47" t="n">
        <v>340000</v>
      </c>
      <c r="C76" s="48">
        <f>AVERAGE(B65:B76)</f>
        <v/>
      </c>
      <c r="D76" s="50">
        <f>C76/22</f>
        <v/>
      </c>
      <c r="E76" s="48">
        <f>ROUND(D76,-1)</f>
        <v/>
      </c>
      <c r="F76" s="50">
        <f>E76/3*2</f>
        <v/>
      </c>
      <c r="G76" s="48">
        <f>ROUND(F76,0)</f>
        <v/>
      </c>
      <c r="H76" s="60">
        <f>IF($A76=DATE(YEAR($J$5),MONTH($J$5),1),IF($C$8&lt;&gt;"","← 確認値（C8）の額を、全期間の傷病手当日額として固定して使います","← 支給開始月の額を、全期間の傷病手当日額として固定して使います"),IF($A76&gt;DATE(YEAR($J$5),MONTH($J$5),1),"参考（算定には使いません）",""))</f>
        <v/>
      </c>
    </row>
    <row r="77">
      <c r="A77" s="49">
        <f>DATE(YEAR($J$5),MONTH($J$5)-12+40,1)</f>
        <v/>
      </c>
      <c r="B77" s="47" t="n">
        <v>340000</v>
      </c>
      <c r="C77" s="48">
        <f>AVERAGE(B66:B77)</f>
        <v/>
      </c>
      <c r="D77" s="50">
        <f>C77/22</f>
        <v/>
      </c>
      <c r="E77" s="48">
        <f>ROUND(D77,-1)</f>
        <v/>
      </c>
      <c r="F77" s="50">
        <f>E77/3*2</f>
        <v/>
      </c>
      <c r="G77" s="48">
        <f>ROUND(F77,0)</f>
        <v/>
      </c>
      <c r="H77" s="60">
        <f>IF($A77=DATE(YEAR($J$5),MONTH($J$5),1),IF($C$8&lt;&gt;"","← 確認値（C8）の額を、全期間の傷病手当日額として固定して使います","← 支給開始月の額を、全期間の傷病手当日額として固定して使います"),IF($A77&gt;DATE(YEAR($J$5),MONTH($J$5),1),"参考（算定には使いません）",""))</f>
        <v/>
      </c>
    </row>
    <row r="78">
      <c r="A78" s="49">
        <f>DATE(YEAR($J$5),MONTH($J$5)-12+41,1)</f>
        <v/>
      </c>
      <c r="B78" s="47" t="n">
        <v>340000</v>
      </c>
      <c r="C78" s="48">
        <f>AVERAGE(B67:B78)</f>
        <v/>
      </c>
      <c r="D78" s="50">
        <f>C78/22</f>
        <v/>
      </c>
      <c r="E78" s="48">
        <f>ROUND(D78,-1)</f>
        <v/>
      </c>
      <c r="F78" s="50">
        <f>E78/3*2</f>
        <v/>
      </c>
      <c r="G78" s="48">
        <f>ROUND(F78,0)</f>
        <v/>
      </c>
      <c r="H78" s="60">
        <f>IF($A78=DATE(YEAR($J$5),MONTH($J$5),1),IF($C$8&lt;&gt;"","← 確認値（C8）の額を、全期間の傷病手当日額として固定して使います","← 支給開始月の額を、全期間の傷病手当日額として固定して使います"),IF($A78&gt;DATE(YEAR($J$5),MONTH($J$5),1),"参考（算定には使いません）",""))</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※出勤した期間の開始日・終了日を、古い順に入力（10件まで）。月は民法第140条（初日不算入）で数え、開始日の応当日までを「月数」、残りは「土日を除く日数」だけ後ろにずれます。例：1/3〜3/3 → 2か月。2/1〜3/15 → 1か月＋3/2〜3/15の土日を除く日数。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月で数えた終わり
（途中経過）</t>
        </is>
      </c>
      <c r="M84" s="18" t="inlineStr">
        <is>
          <t>残りの始め
（途中経過）</t>
        </is>
      </c>
    </row>
    <row r="85">
      <c r="A85" s="61" t="inlineStr">
        <is>
          <t>基準・合計</t>
        </is>
      </c>
      <c r="B85" s="28" t="n"/>
      <c r="C85" s="28" t="n"/>
      <c r="D85" s="48">
        <f>MAX(G85:G95)+MAX(I85:I95)</f>
        <v/>
      </c>
      <c r="E85" s="48">
        <f>MAX(H85:H95)+MAX(J85:J95)</f>
        <v/>
      </c>
      <c r="F85" s="28" t="n"/>
      <c r="G85" s="48" t="n">
        <v>0</v>
      </c>
      <c r="H85" s="48" t="n">
        <v>0</v>
      </c>
      <c r="I85" s="48" t="n">
        <v>0</v>
      </c>
      <c r="J85" s="48" t="n">
        <v>0</v>
      </c>
      <c r="K85" s="62">
        <f>EDATE($J$5,18)</f>
        <v/>
      </c>
      <c r="L85" s="28" t="n"/>
      <c r="M85" s="28" t="n"/>
    </row>
    <row r="86">
      <c r="A86" s="61" t="n">
        <v>1</v>
      </c>
      <c r="B86" s="63" t="n"/>
      <c r="C86" s="63" t="n"/>
      <c r="D86" s="48">
        <f>IF(OR(B86="",C86="",C86&lt;B86),0,MAX(0,(YEAR(C86)-YEAR(B86))*12+MONTH(C86)-MONTH(B86)-IF(EDATE(B86,(YEAR(C86)-YEAR(B86))*12+MONTH(C86)-MONTH(B86))&gt;C86,1,0)))</f>
        <v/>
      </c>
      <c r="E86" s="48">
        <f>IF(OR(OR(B86="",C86="",C86&lt;B86),M86=""),0,NETWORKDAYS(M86,C86))</f>
        <v/>
      </c>
      <c r="F86" s="61">
        <f>IF(OR(B86="",C86=""),"",IF(C86&lt;B86,"日付エラー",IF(B86&lt;$J$5,"対象外",IF(B86&lt;=K85,"法定",IF(B86&lt;=WORKDAY(EDATE(K85,6+I85),J85),"附加","対象外")))))</f>
        <v/>
      </c>
      <c r="G86" s="48">
        <f>G85+IF(F86="法定",D86,0)</f>
        <v/>
      </c>
      <c r="H86" s="48">
        <f>H85+IF(F86="法定",E86,0)</f>
        <v/>
      </c>
      <c r="I86" s="48">
        <f>I85+IF(F86="附加",D86,0)</f>
        <v/>
      </c>
      <c r="J86" s="48">
        <f>J85+IF(F86="附加",E86,0)</f>
        <v/>
      </c>
      <c r="K86" s="62">
        <f>WORKDAY(EDATE($K$85,G86),H86)</f>
        <v/>
      </c>
      <c r="L86" s="62">
        <f>IF(OR(B86="",C86="",C86&lt;B86),"",EDATE(B86,D86))</f>
        <v/>
      </c>
      <c r="M86" s="62">
        <f>IF(L86="","",IF(L86&gt;=C86,"",L86+1))</f>
        <v/>
      </c>
    </row>
    <row r="87">
      <c r="A87" s="61" t="n">
        <v>2</v>
      </c>
      <c r="B87" s="63" t="n"/>
      <c r="C87" s="63" t="n"/>
      <c r="D87" s="48">
        <f>IF(OR(B87="",C87="",C87&lt;B87),0,MAX(0,(YEAR(C87)-YEAR(B87))*12+MONTH(C87)-MONTH(B87)-IF(EDATE(B87,(YEAR(C87)-YEAR(B87))*12+MONTH(C87)-MONTH(B87))&gt;C87,1,0)))</f>
        <v/>
      </c>
      <c r="E87" s="48">
        <f>IF(OR(OR(B87="",C87="",C87&lt;B87),M87=""),0,NETWORKDAYS(M87,C87))</f>
        <v/>
      </c>
      <c r="F87" s="61">
        <f>IF(OR(B87="",C87=""),"",IF(C87&lt;B87,"日付エラー",IF(B87&lt;$J$5,"対象外",IF(B87&lt;=K86,"法定",IF(B87&lt;=WORKDAY(EDATE(K86,6+I86),J86),"附加","対象外")))))</f>
        <v/>
      </c>
      <c r="G87" s="48">
        <f>G86+IF(F87="法定",D87,0)</f>
        <v/>
      </c>
      <c r="H87" s="48">
        <f>H86+IF(F87="法定",E87,0)</f>
        <v/>
      </c>
      <c r="I87" s="48">
        <f>I86+IF(F87="附加",D87,0)</f>
        <v/>
      </c>
      <c r="J87" s="48">
        <f>J86+IF(F87="附加",E87,0)</f>
        <v/>
      </c>
      <c r="K87" s="62">
        <f>WORKDAY(EDATE($K$85,G87),H87)</f>
        <v/>
      </c>
      <c r="L87" s="62">
        <f>IF(OR(B87="",C87="",C87&lt;B87),"",EDATE(B87,D87))</f>
        <v/>
      </c>
      <c r="M87" s="62">
        <f>IF(L87="","",IF(L87&gt;=C87,"",L87+1))</f>
        <v/>
      </c>
    </row>
    <row r="88">
      <c r="A88" s="61" t="n">
        <v>3</v>
      </c>
      <c r="B88" s="63" t="n"/>
      <c r="C88" s="63" t="n"/>
      <c r="D88" s="48">
        <f>IF(OR(B88="",C88="",C88&lt;B88),0,MAX(0,(YEAR(C88)-YEAR(B88))*12+MONTH(C88)-MONTH(B88)-IF(EDATE(B88,(YEAR(C88)-YEAR(B88))*12+MONTH(C88)-MONTH(B88))&gt;C88,1,0)))</f>
        <v/>
      </c>
      <c r="E88" s="48">
        <f>IF(OR(OR(B88="",C88="",C88&lt;B88),M88=""),0,NETWORKDAYS(M88,C88))</f>
        <v/>
      </c>
      <c r="F88" s="61">
        <f>IF(OR(B88="",C88=""),"",IF(C88&lt;B88,"日付エラー",IF(B88&lt;$J$5,"対象外",IF(B88&lt;=K87,"法定",IF(B88&lt;=WORKDAY(EDATE(K87,6+I87),J87),"附加","対象外")))))</f>
        <v/>
      </c>
      <c r="G88" s="48">
        <f>G87+IF(F88="法定",D88,0)</f>
        <v/>
      </c>
      <c r="H88" s="48">
        <f>H87+IF(F88="法定",E88,0)</f>
        <v/>
      </c>
      <c r="I88" s="48">
        <f>I87+IF(F88="附加",D88,0)</f>
        <v/>
      </c>
      <c r="J88" s="48">
        <f>J87+IF(F88="附加",E88,0)</f>
        <v/>
      </c>
      <c r="K88" s="62">
        <f>WORKDAY(EDATE($K$85,G88),H88)</f>
        <v/>
      </c>
      <c r="L88" s="62">
        <f>IF(OR(B88="",C88="",C88&lt;B88),"",EDATE(B88,D88))</f>
        <v/>
      </c>
      <c r="M88" s="62">
        <f>IF(L88="","",IF(L88&gt;=C88,"",L88+1))</f>
        <v/>
      </c>
    </row>
    <row r="89">
      <c r="A89" s="61" t="n">
        <v>4</v>
      </c>
      <c r="B89" s="63" t="n"/>
      <c r="C89" s="63" t="n"/>
      <c r="D89" s="48">
        <f>IF(OR(B89="",C89="",C89&lt;B89),0,MAX(0,(YEAR(C89)-YEAR(B89))*12+MONTH(C89)-MONTH(B89)-IF(EDATE(B89,(YEAR(C89)-YEAR(B89))*12+MONTH(C89)-MONTH(B89))&gt;C89,1,0)))</f>
        <v/>
      </c>
      <c r="E89" s="48">
        <f>IF(OR(OR(B89="",C89="",C89&lt;B89),M89=""),0,NETWORKDAYS(M89,C89))</f>
        <v/>
      </c>
      <c r="F89" s="61">
        <f>IF(OR(B89="",C89=""),"",IF(C89&lt;B89,"日付エラー",IF(B89&lt;$J$5,"対象外",IF(B89&lt;=K88,"法定",IF(B89&lt;=WORKDAY(EDATE(K88,6+I88),J88),"附加","対象外")))))</f>
        <v/>
      </c>
      <c r="G89" s="48">
        <f>G88+IF(F89="法定",D89,0)</f>
        <v/>
      </c>
      <c r="H89" s="48">
        <f>H88+IF(F89="法定",E89,0)</f>
        <v/>
      </c>
      <c r="I89" s="48">
        <f>I88+IF(F89="附加",D89,0)</f>
        <v/>
      </c>
      <c r="J89" s="48">
        <f>J88+IF(F89="附加",E89,0)</f>
        <v/>
      </c>
      <c r="K89" s="62">
        <f>WORKDAY(EDATE($K$85,G89),H89)</f>
        <v/>
      </c>
      <c r="L89" s="62">
        <f>IF(OR(B89="",C89="",C89&lt;B89),"",EDATE(B89,D89))</f>
        <v/>
      </c>
      <c r="M89" s="62">
        <f>IF(L89="","",IF(L89&gt;=C89,"",L89+1))</f>
        <v/>
      </c>
    </row>
    <row r="90">
      <c r="A90" s="61" t="n">
        <v>5</v>
      </c>
      <c r="B90" s="63" t="n"/>
      <c r="C90" s="63" t="n"/>
      <c r="D90" s="48">
        <f>IF(OR(B90="",C90="",C90&lt;B90),0,MAX(0,(YEAR(C90)-YEAR(B90))*12+MONTH(C90)-MONTH(B90)-IF(EDATE(B90,(YEAR(C90)-YEAR(B90))*12+MONTH(C90)-MONTH(B90))&gt;C90,1,0)))</f>
        <v/>
      </c>
      <c r="E90" s="48">
        <f>IF(OR(OR(B90="",C90="",C90&lt;B90),M90=""),0,NETWORKDAYS(M90,C90))</f>
        <v/>
      </c>
      <c r="F90" s="61">
        <f>IF(OR(B90="",C90=""),"",IF(C90&lt;B90,"日付エラー",IF(B90&lt;$J$5,"対象外",IF(B90&lt;=K89,"法定",IF(B90&lt;=WORKDAY(EDATE(K89,6+I89),J89),"附加","対象外")))))</f>
        <v/>
      </c>
      <c r="G90" s="48">
        <f>G89+IF(F90="法定",D90,0)</f>
        <v/>
      </c>
      <c r="H90" s="48">
        <f>H89+IF(F90="法定",E90,0)</f>
        <v/>
      </c>
      <c r="I90" s="48">
        <f>I89+IF(F90="附加",D90,0)</f>
        <v/>
      </c>
      <c r="J90" s="48">
        <f>J89+IF(F90="附加",E90,0)</f>
        <v/>
      </c>
      <c r="K90" s="62">
        <f>WORKDAY(EDATE($K$85,G90),H90)</f>
        <v/>
      </c>
      <c r="L90" s="62">
        <f>IF(OR(B90="",C90="",C90&lt;B90),"",EDATE(B90,D90))</f>
        <v/>
      </c>
      <c r="M90" s="62">
        <f>IF(L90="","",IF(L90&gt;=C90,"",L90+1))</f>
        <v/>
      </c>
    </row>
    <row r="91">
      <c r="A91" s="61" t="n">
        <v>6</v>
      </c>
      <c r="B91" s="63" t="n"/>
      <c r="C91" s="63" t="n"/>
      <c r="D91" s="48">
        <f>IF(OR(B91="",C91="",C91&lt;B91),0,MAX(0,(YEAR(C91)-YEAR(B91))*12+MONTH(C91)-MONTH(B91)-IF(EDATE(B91,(YEAR(C91)-YEAR(B91))*12+MONTH(C91)-MONTH(B91))&gt;C91,1,0)))</f>
        <v/>
      </c>
      <c r="E91" s="48">
        <f>IF(OR(OR(B91="",C91="",C91&lt;B91),M91=""),0,NETWORKDAYS(M91,C91))</f>
        <v/>
      </c>
      <c r="F91" s="61">
        <f>IF(OR(B91="",C91=""),"",IF(C91&lt;B91,"日付エラー",IF(B91&lt;$J$5,"対象外",IF(B91&lt;=K90,"法定",IF(B91&lt;=WORKDAY(EDATE(K90,6+I90),J90),"附加","対象外")))))</f>
        <v/>
      </c>
      <c r="G91" s="48">
        <f>G90+IF(F91="法定",D91,0)</f>
        <v/>
      </c>
      <c r="H91" s="48">
        <f>H90+IF(F91="法定",E91,0)</f>
        <v/>
      </c>
      <c r="I91" s="48">
        <f>I90+IF(F91="附加",D91,0)</f>
        <v/>
      </c>
      <c r="J91" s="48">
        <f>J90+IF(F91="附加",E91,0)</f>
        <v/>
      </c>
      <c r="K91" s="62">
        <f>WORKDAY(EDATE($K$85,G91),H91)</f>
        <v/>
      </c>
      <c r="L91" s="62">
        <f>IF(OR(B91="",C91="",C91&lt;B91),"",EDATE(B91,D91))</f>
        <v/>
      </c>
      <c r="M91" s="62">
        <f>IF(L91="","",IF(L91&gt;=C91,"",L91+1))</f>
        <v/>
      </c>
    </row>
    <row r="92">
      <c r="A92" s="61" t="n">
        <v>7</v>
      </c>
      <c r="B92" s="63" t="n"/>
      <c r="C92" s="63" t="n"/>
      <c r="D92" s="48">
        <f>IF(OR(B92="",C92="",C92&lt;B92),0,MAX(0,(YEAR(C92)-YEAR(B92))*12+MONTH(C92)-MONTH(B92)-IF(EDATE(B92,(YEAR(C92)-YEAR(B92))*12+MONTH(C92)-MONTH(B92))&gt;C92,1,0)))</f>
        <v/>
      </c>
      <c r="E92" s="48">
        <f>IF(OR(OR(B92="",C92="",C92&lt;B92),M92=""),0,NETWORKDAYS(M92,C92))</f>
        <v/>
      </c>
      <c r="F92" s="61">
        <f>IF(OR(B92="",C92=""),"",IF(C92&lt;B92,"日付エラー",IF(B92&lt;$J$5,"対象外",IF(B92&lt;=K91,"法定",IF(B92&lt;=WORKDAY(EDATE(K91,6+I91),J91),"附加","対象外")))))</f>
        <v/>
      </c>
      <c r="G92" s="48">
        <f>G91+IF(F92="法定",D92,0)</f>
        <v/>
      </c>
      <c r="H92" s="48">
        <f>H91+IF(F92="法定",E92,0)</f>
        <v/>
      </c>
      <c r="I92" s="48">
        <f>I91+IF(F92="附加",D92,0)</f>
        <v/>
      </c>
      <c r="J92" s="48">
        <f>J91+IF(F92="附加",E92,0)</f>
        <v/>
      </c>
      <c r="K92" s="62">
        <f>WORKDAY(EDATE($K$85,G92),H92)</f>
        <v/>
      </c>
      <c r="L92" s="62">
        <f>IF(OR(B92="",C92="",C92&lt;B92),"",EDATE(B92,D92))</f>
        <v/>
      </c>
      <c r="M92" s="62">
        <f>IF(L92="","",IF(L92&gt;=C92,"",L92+1))</f>
        <v/>
      </c>
    </row>
    <row r="93">
      <c r="A93" s="61" t="n">
        <v>8</v>
      </c>
      <c r="B93" s="63" t="n"/>
      <c r="C93" s="63" t="n"/>
      <c r="D93" s="48">
        <f>IF(OR(B93="",C93="",C93&lt;B93),0,MAX(0,(YEAR(C93)-YEAR(B93))*12+MONTH(C93)-MONTH(B93)-IF(EDATE(B93,(YEAR(C93)-YEAR(B93))*12+MONTH(C93)-MONTH(B93))&gt;C93,1,0)))</f>
        <v/>
      </c>
      <c r="E93" s="48">
        <f>IF(OR(OR(B93="",C93="",C93&lt;B93),M93=""),0,NETWORKDAYS(M93,C93))</f>
        <v/>
      </c>
      <c r="F93" s="61">
        <f>IF(OR(B93="",C93=""),"",IF(C93&lt;B93,"日付エラー",IF(B93&lt;$J$5,"対象外",IF(B93&lt;=K92,"法定",IF(B93&lt;=WORKDAY(EDATE(K92,6+I92),J92),"附加","対象外")))))</f>
        <v/>
      </c>
      <c r="G93" s="48">
        <f>G92+IF(F93="法定",D93,0)</f>
        <v/>
      </c>
      <c r="H93" s="48">
        <f>H92+IF(F93="法定",E93,0)</f>
        <v/>
      </c>
      <c r="I93" s="48">
        <f>I92+IF(F93="附加",D93,0)</f>
        <v/>
      </c>
      <c r="J93" s="48">
        <f>J92+IF(F93="附加",E93,0)</f>
        <v/>
      </c>
      <c r="K93" s="62">
        <f>WORKDAY(EDATE($K$85,G93),H93)</f>
        <v/>
      </c>
      <c r="L93" s="62">
        <f>IF(OR(B93="",C93="",C93&lt;B93),"",EDATE(B93,D93))</f>
        <v/>
      </c>
      <c r="M93" s="62">
        <f>IF(L93="","",IF(L93&gt;=C93,"",L93+1))</f>
        <v/>
      </c>
    </row>
    <row r="94">
      <c r="A94" s="61" t="n">
        <v>9</v>
      </c>
      <c r="B94" s="63" t="n"/>
      <c r="C94" s="63" t="n"/>
      <c r="D94" s="48">
        <f>IF(OR(B94="",C94="",C94&lt;B94),0,MAX(0,(YEAR(C94)-YEAR(B94))*12+MONTH(C94)-MONTH(B94)-IF(EDATE(B94,(YEAR(C94)-YEAR(B94))*12+MONTH(C94)-MONTH(B94))&gt;C94,1,0)))</f>
        <v/>
      </c>
      <c r="E94" s="48">
        <f>IF(OR(OR(B94="",C94="",C94&lt;B94),M94=""),0,NETWORKDAYS(M94,C94))</f>
        <v/>
      </c>
      <c r="F94" s="61">
        <f>IF(OR(B94="",C94=""),"",IF(C94&lt;B94,"日付エラー",IF(B94&lt;$J$5,"対象外",IF(B94&lt;=K93,"法定",IF(B94&lt;=WORKDAY(EDATE(K93,6+I93),J93),"附加","対象外")))))</f>
        <v/>
      </c>
      <c r="G94" s="48">
        <f>G93+IF(F94="法定",D94,0)</f>
        <v/>
      </c>
      <c r="H94" s="48">
        <f>H93+IF(F94="法定",E94,0)</f>
        <v/>
      </c>
      <c r="I94" s="48">
        <f>I93+IF(F94="附加",D94,0)</f>
        <v/>
      </c>
      <c r="J94" s="48">
        <f>J93+IF(F94="附加",E94,0)</f>
        <v/>
      </c>
      <c r="K94" s="62">
        <f>WORKDAY(EDATE($K$85,G94),H94)</f>
        <v/>
      </c>
      <c r="L94" s="62">
        <f>IF(OR(B94="",C94="",C94&lt;B94),"",EDATE(B94,D94))</f>
        <v/>
      </c>
      <c r="M94" s="62">
        <f>IF(L94="","",IF(L94&gt;=C94,"",L94+1))</f>
        <v/>
      </c>
    </row>
    <row r="95">
      <c r="A95" s="61" t="n">
        <v>10</v>
      </c>
      <c r="B95" s="63" t="n"/>
      <c r="C95" s="63" t="n"/>
      <c r="D95" s="48">
        <f>IF(OR(B95="",C95="",C95&lt;B95),0,MAX(0,(YEAR(C95)-YEAR(B95))*12+MONTH(C95)-MONTH(B95)-IF(EDATE(B95,(YEAR(C95)-YEAR(B95))*12+MONTH(C95)-MONTH(B95))&gt;C95,1,0)))</f>
        <v/>
      </c>
      <c r="E95" s="48">
        <f>IF(OR(OR(B95="",C95="",C95&lt;B95),M95=""),0,NETWORKDAYS(M95,C95))</f>
        <v/>
      </c>
      <c r="F95" s="61">
        <f>IF(OR(B95="",C95=""),"",IF(C95&lt;B95,"日付エラー",IF(B95&lt;$J$5,"対象外",IF(B95&lt;=K94,"法定",IF(B95&lt;=WORKDAY(EDATE(K94,6+I94),J94),"附加","対象外")))))</f>
        <v/>
      </c>
      <c r="G95" s="48">
        <f>G94+IF(F95="法定",D95,0)</f>
        <v/>
      </c>
      <c r="H95" s="48">
        <f>H94+IF(F95="法定",E95,0)</f>
        <v/>
      </c>
      <c r="I95" s="48">
        <f>I94+IF(F95="附加",D95,0)</f>
        <v/>
      </c>
      <c r="J95" s="48">
        <f>J94+IF(F95="附加",E95,0)</f>
        <v/>
      </c>
      <c r="K95" s="62">
        <f>WORKDAY(EDATE($K$85,G95),H95)</f>
        <v/>
      </c>
      <c r="L95" s="62">
        <f>IF(OR(B95="",C95="",C95&lt;B95),"",EDATE(B95,D95))</f>
        <v/>
      </c>
      <c r="M95" s="62">
        <f>IF(L95="","",IF(L95&gt;=C95,"",L95+1))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row r="99">
      <c r="A99" s="12" t="inlineStr">
        <is>
          <t>■ 請求期間（マクロ AddClaimSheet で、この期間の請求シートを追加します）</t>
        </is>
      </c>
    </row>
    <row r="100">
      <c r="A100" s="12" t="inlineStr">
        <is>
          <t>請求期間（始）</t>
        </is>
      </c>
      <c r="C100" s="63" t="n"/>
    </row>
    <row r="101">
      <c r="A101" s="12" t="inlineStr">
        <is>
          <t>請求期間（終）</t>
        </is>
      </c>
      <c r="C101" s="63" t="n"/>
    </row>
    <row r="102">
      <c r="A102" s="11" t="inlineStr">
        <is>
          <t>※入力したら Alt+F8 →「AddClaimSheet」→実行。マクロ（AddClaimSheet.bas）を取り込んだ .xlsm でのみ使えます。例：4月分の請求なら 2025/4/1 〜 2025/4/30。</t>
        </is>
      </c>
    </row>
  </sheetData>
  <mergeCells count="11">
    <mergeCell ref="A100:B100"/>
    <mergeCell ref="A101:B101"/>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4">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 sqref="C100:C101" showDropDown="0" showInputMessage="0" showErrorMessage="1" allowBlank="1" errorTitle="日付を入力" error="日付（例：2025/4/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IF(F6="","",IFERROR(VLOOKUP(DATE(B6,C6,1),カレンダーマスタ!$A$2:$B$121,2,0),NETWORKDAYS(DATE(B6,C6,1),EOMONTH(F6,0))))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4">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IF(F7="","",IFERROR(VLOOKUP(DATE(B7,C7,1),カレンダーマスタ!$A$2:$B$121,2,0),NETWORKDAYS(DATE(B7,C7,1),EOMONTH(F7,0))))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4">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IF(F8="","",IFERROR(VLOOKUP(DATE(B8,C8,1),カレンダーマスタ!$A$2:$B$121,2,0),NETWORKDAYS(DATE(B8,C8,1),EOMONTH(F8,0))))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4">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IF(F9="","",IFERROR(VLOOKUP(DATE(B9,C9,1),カレンダーマスタ!$A$2:$B$121,2,0),NETWORKDAYS(DATE(B9,C9,1),EOMONTH(F9,0))))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4">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IF(F10="","",IFERROR(VLOOKUP(DATE(B10,C10,1),カレンダーマスタ!$A$2:$B$121,2,0),NETWORKDAYS(DATE(B10,C10,1),EOMONTH(F10,0))))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4">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IF(F11="","",IFERROR(VLOOKUP(DATE(B11,C11,1),カレンダーマスタ!$A$2:$B$121,2,0),NETWORKDAYS(DATE(B11,C11,1),EOMONTH(F11,0))))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4">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IF(F12="","",IFERROR(VLOOKUP(DATE(B12,C12,1),カレンダーマスタ!$A$2:$B$121,2,0),NETWORKDAYS(DATE(B12,C12,1),EOMONTH(F12,0))))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4">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IF(F13="","",IFERROR(VLOOKUP(DATE(B13,C13,1),カレンダーマスタ!$A$2:$B$121,2,0),NETWORKDAYS(DATE(B13,C13,1),EOMONTH(F13,0))))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4">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IF(F14="","",IFERROR(VLOOKUP(DATE(B14,C14,1),カレンダーマスタ!$A$2:$B$121,2,0),NETWORKDAYS(DATE(B14,C14,1),EOMONTH(F14,0))))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4">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IF(F15="","",IFERROR(VLOOKUP(DATE(B15,C15,1),カレンダーマスタ!$A$2:$B$121,2,0),NETWORKDAYS(DATE(B15,C15,1),EOMONTH(F15,0))))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4">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IF(F16="","",IFERROR(VLOOKUP(DATE(B16,C16,1),カレンダーマスタ!$A$2:$B$121,2,0),NETWORKDAYS(DATE(B16,C16,1),EOMONTH(F16,0))))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4">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IF(F17="","",IFERROR(VLOOKUP(DATE(B17,C17,1),カレンダーマスタ!$A$2:$B$121,2,0),NETWORKDAYS(DATE(B17,C17,1),EOMONTH(F17,0))))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4">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IF(F18="","",IFERROR(VLOOKUP(DATE(B18,C18,1),カレンダーマスタ!$A$2:$B$121,2,0),NETWORKDAYS(DATE(B18,C18,1),EOMONTH(F18,0))))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4">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IF(F19="","",IFERROR(VLOOKUP(DATE(B19,C19,1),カレンダーマスタ!$A$2:$B$121,2,0),NETWORKDAYS(DATE(B19,C19,1),EOMONTH(F19,0))))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4">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IF(F20="","",IFERROR(VLOOKUP(DATE(B20,C20,1),カレンダーマスタ!$A$2:$B$121,2,0),NETWORKDAYS(DATE(B20,C20,1),EOMONTH(F20,0))))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4">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IF(F21="","",IFERROR(VLOOKUP(DATE(B21,C21,1),カレンダーマスタ!$A$2:$B$121,2,0),NETWORKDAYS(DATE(B21,C21,1),EOMONTH(F21,0))))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4">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IF(F22="","",IFERROR(VLOOKUP(DATE(B22,C22,1),カレンダーマスタ!$A$2:$B$121,2,0),NETWORKDAYS(DATE(B22,C22,1),EOMONTH(F22,0))))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4">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IF(F23="","",IFERROR(VLOOKUP(DATE(B23,C23,1),カレンダーマスタ!$A$2:$B$121,2,0),NETWORKDAYS(DATE(B23,C23,1),EOMONTH(F23,0))))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4">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IF(F24="","",IFERROR(VLOOKUP(DATE(B24,C24,1),カレンダーマスタ!$A$2:$B$121,2,0),NETWORKDAYS(DATE(B24,C24,1),EOMONTH(F24,0))))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4">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IF(F25="","",IFERROR(VLOOKUP(DATE(B25,C25,1),カレンダーマスタ!$A$2:$B$121,2,0),NETWORKDAYS(DATE(B25,C25,1),EOMONTH(F25,0))))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4">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IF(F26="","",IFERROR(VLOOKUP(DATE(B26,C26,1),カレンダーマスタ!$A$2:$B$121,2,0),NETWORKDAYS(DATE(B26,C26,1),EOMONTH(F26,0))))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4">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IF(F27="","",IFERROR(VLOOKUP(DATE(B27,C27,1),カレンダーマスタ!$A$2:$B$121,2,0),NETWORKDAYS(DATE(B27,C27,1),EOMONTH(F27,0))))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4">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IF(F28="","",IFERROR(VLOOKUP(DATE(B28,C28,1),カレンダーマスタ!$A$2:$B$121,2,0),NETWORKDAYS(DATE(B28,C28,1),EOMONTH(F28,0))))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4">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IF(F29="","",IFERROR(VLOOKUP(DATE(B29,C29,1),カレンダーマスタ!$A$2:$B$121,2,0),NETWORKDAYS(DATE(B29,C29,1),EOMONTH(F29,0))))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4">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IF(F30="","",IFERROR(VLOOKUP(DATE(B30,C30,1),カレンダーマスタ!$A$2:$B$121,2,0),NETWORKDAYS(DATE(B30,C30,1),EOMONTH(F30,0))))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4">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IF(F31="","",IFERROR(VLOOKUP(DATE(B31,C31,1),カレンダーマスタ!$A$2:$B$121,2,0),NETWORKDAYS(DATE(B31,C31,1),EOMONTH(F31,0))))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4">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IF(F32="","",IFERROR(VLOOKUP(DATE(B32,C32,1),カレンダーマスタ!$A$2:$B$121,2,0),NETWORKDAYS(DATE(B32,C32,1),EOMONTH(F32,0))))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4">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IF(F33="","",IFERROR(VLOOKUP(DATE(B33,C33,1),カレンダーマスタ!$A$2:$B$121,2,0),NETWORKDAYS(DATE(B33,C33,1),EOMONTH(F33,0))))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4">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IF(F34="","",IFERROR(VLOOKUP(DATE(B34,C34,1),カレンダーマスタ!$A$2:$B$121,2,0),NETWORKDAYS(DATE(B34,C34,1),EOMONTH(F34,0))))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4">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IF(F35="","",IFERROR(VLOOKUP(DATE(B35,C35,1),カレンダーマスタ!$A$2:$B$121,2,0),NETWORKDAYS(DATE(B35,C35,1),EOMONTH(F35,0))))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4">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IF(F36="","",IFERROR(VLOOKUP(DATE(B36,C36,1),カレンダーマスタ!$A$2:$B$121,2,0),NETWORKDAYS(DATE(B36,C36,1),EOMONTH(F36,0))))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4">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IF(F37="","",IFERROR(VLOOKUP(DATE(B37,C37,1),カレンダーマスタ!$A$2:$B$121,2,0),NETWORKDAYS(DATE(B37,C37,1),EOMONTH(F37,0))))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4">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IF(F38="","",IFERROR(VLOOKUP(DATE(B38,C38,1),カレンダーマスタ!$A$2:$B$121,2,0),NETWORKDAYS(DATE(B38,C38,1),EOMONTH(F38,0))))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4">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IF(F39="","",IFERROR(VLOOKUP(DATE(B39,C39,1),カレンダーマスタ!$A$2:$B$121,2,0),NETWORKDAYS(DATE(B39,C39,1),EOMONTH(F39,0))))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4">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IF(F40="","",IFERROR(VLOOKUP(DATE(B40,C40,1),カレンダーマスタ!$A$2:$B$121,2,0),NETWORKDAYS(DATE(B40,C40,1),EOMONTH(F40,0))))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4">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IF(F41="","",IFERROR(VLOOKUP(DATE(B41,C41,1),カレンダーマスタ!$A$2:$B$121,2,0),NETWORKDAYS(DATE(B41,C41,1),EOMONTH(F41,0))))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4">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IF(F42="","",IFERROR(VLOOKUP(DATE(B42,C42,1),カレンダーマスタ!$A$2:$B$121,2,0),NETWORKDAYS(DATE(B42,C42,1),EOMONTH(F42,0))))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4">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IF(F43="","",IFERROR(VLOOKUP(DATE(B43,C43,1),カレンダーマスタ!$A$2:$B$121,2,0),NETWORKDAYS(DATE(B43,C43,1),EOMONTH(F43,0))))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4">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IF(F44="","",IFERROR(VLOOKUP(DATE(B44,C44,1),カレンダーマスタ!$A$2:$B$121,2,0),NETWORKDAYS(DATE(B44,C44,1),EOMONTH(F44,0))))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4">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IF(F45="","",IFERROR(VLOOKUP(DATE(B45,C45,1),カレンダーマスタ!$A$2:$B$121,2,0),NETWORKDAYS(DATE(B45,C45,1),EOMONTH(F45,0))))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4">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IF(F46="","",IFERROR(VLOOKUP(DATE(B46,C46,1),カレンダーマスタ!$A$2:$B$121,2,0),NETWORKDAYS(DATE(B46,C46,1),EOMONTH(F46,0))))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4">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IF(F47="","",IFERROR(VLOOKUP(DATE(B47,C47,1),カレンダーマスタ!$A$2:$B$121,2,0),NETWORKDAYS(DATE(B47,C47,1),EOMONTH(F47,0))))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4">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IF(F48="","",IFERROR(VLOOKUP(DATE(B48,C48,1),カレンダーマスタ!$A$2:$B$121,2,0),NETWORKDAYS(DATE(B48,C48,1),EOMONTH(F48,0))))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4">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IF(F49="","",IFERROR(VLOOKUP(DATE(B49,C49,1),カレンダーマスタ!$A$2:$B$121,2,0),NETWORKDAYS(DATE(B49,C49,1),EOMONTH(F49,0))))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4">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IF(F50="","",IFERROR(VLOOKUP(DATE(B50,C50,1),カレンダーマスタ!$A$2:$B$121,2,0),NETWORKDAYS(DATE(B50,C50,1),EOMONTH(F50,0))))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4">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IF(F51="","",IFERROR(VLOOKUP(DATE(B51,C51,1),カレンダーマスタ!$A$2:$B$121,2,0),NETWORKDAYS(DATE(B51,C51,1),EOMONTH(F51,0))))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4">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IF(F52="","",IFERROR(VLOOKUP(DATE(B52,C52,1),カレンダーマスタ!$A$2:$B$121,2,0),NETWORKDAYS(DATE(B52,C52,1),EOMONTH(F52,0))))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4">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IF(F53="","",IFERROR(VLOOKUP(DATE(B53,C53,1),カレンダーマスタ!$A$2:$B$121,2,0),NETWORKDAYS(DATE(B53,C53,1),EOMONTH(F53,0))))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4">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開始日の応当日で数えた月数、残りは土日を除く日数）だけ後ろにずらします。</t>
        </is>
      </c>
    </row>
    <row r="72">
      <c r="A72" s="40" t="inlineStr">
        <is>
          <t>・P列「参考」は、その月の標準報酬月額から試算した日額です。月ごとの比較用で、算定（B列）には使いません。</t>
        </is>
      </c>
    </row>
    <row r="73">
      <c r="A73" s="40" t="inlineStr">
        <is>
          <t>・期間の数え方は民法第140条（初日不算入）。法定給付の末日＝支給開始日から1年6か月後の応当日、附加給付の末日＝そこからさらに6か月後の応当日です。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H130"/>
  <sheetViews>
    <sheetView topLeftCell="A70" zoomScaleNormal="100" workbookViewId="0">
      <pane ySplit="1" topLeftCell="A2" activePane="bottomLeft" state="frozen"/>
      <selection pane="bottomLeft" activeCell="A1" sqref="A1"/>
    </sheetView>
  </sheetViews>
  <sheetFormatPr baseColWidth="8" defaultColWidth="8.6640625" defaultRowHeight="14.4"/>
  <cols>
    <col width="11" customWidth="1" style="39" min="1" max="1"/>
    <col width="16" customWidth="1" style="39" min="2" max="2"/>
    <col width="14" customWidth="1" style="39" min="3" max="3"/>
    <col width="11" customWidth="1" style="39" min="4" max="4"/>
    <col width="3" customWidth="1" style="39" min="5" max="5"/>
    <col width="16" customWidth="1" style="39" min="6" max="6"/>
    <col width="10" customWidth="1" style="39" min="7" max="7"/>
  </cols>
  <sheetData>
    <row r="1" ht="32" customHeight="1" s="39">
      <c r="A1" s="18" t="inlineStr">
        <is>
          <t>月</t>
        </is>
      </c>
      <c r="B1" s="18" t="inlineStr">
        <is>
          <t>勤務を要する日数
（算定表で使う値）</t>
        </is>
      </c>
      <c r="C1" s="18" t="inlineStr">
        <is>
          <t>土日を除く日数
（自動）</t>
        </is>
      </c>
      <c r="D1" s="18" t="inlineStr">
        <is>
          <t>個別修正</t>
        </is>
      </c>
      <c r="F1" s="12" t="inlineStr">
        <is>
          <t>■ カレンダーマスタの使い方（月ごとの「勤務を要する日数」）</t>
        </is>
      </c>
    </row>
    <row r="2">
      <c r="A2" s="65">
        <f>DATE(YEAR($G$4),MONTH($G$4),1)</f>
        <v/>
      </c>
      <c r="B2" s="48">
        <f>IFERROR(IF(VLOOKUP(A2,$F$8:$G$37,2,0)="",C2,VLOOKUP(A2,$F$8:$G$37,2,0)),C2)</f>
        <v/>
      </c>
      <c r="C2" s="48">
        <f>NETWORKDAYS(A2,EOMONTH(A2,0))</f>
        <v/>
      </c>
      <c r="D2" s="66">
        <f>IF(ISNUMBER(MATCH(A2,$F$8:$F$37,0)),"修正あり","")</f>
        <v/>
      </c>
      <c r="F2" s="11" t="inlineStr">
        <is>
          <t>※左の表は、下の「作成の開始月」から120か月分（10年）が自動で作られます。土日を除く日数が入ります。</t>
        </is>
      </c>
    </row>
    <row r="3">
      <c r="A3" s="65">
        <f>EDATE(A2,1)</f>
        <v/>
      </c>
      <c r="B3" s="48">
        <f>IFERROR(IF(VLOOKUP(A3,$F$8:$G$37,2,0)="",C3,VLOOKUP(A3,$F$8:$G$37,2,0)),C3)</f>
        <v/>
      </c>
      <c r="C3" s="48">
        <f>NETWORKDAYS(A3,EOMONTH(A3,0))</f>
        <v/>
      </c>
      <c r="D3" s="66">
        <f>IF(ISNUMBER(MATCH(A3,$F$8:$F$37,0)),"修正あり","")</f>
        <v/>
      </c>
      <c r="F3" s="11" t="inlineStr">
        <is>
          <t>※祝日などで日数を変える月だけ、下の「個別に変える月」に入力します（左の表の B 列は自動で入れ替わります）。</t>
        </is>
      </c>
    </row>
    <row r="4">
      <c r="A4" s="65">
        <f>EDATE(A3,1)</f>
        <v/>
      </c>
      <c r="B4" s="48">
        <f>IFERROR(IF(VLOOKUP(A4,$F$8:$G$37,2,0)="",C4,VLOOKUP(A4,$F$8:$G$37,2,0)),C4)</f>
        <v/>
      </c>
      <c r="C4" s="48">
        <f>NETWORKDAYS(A4,EOMONTH(A4,0))</f>
        <v/>
      </c>
      <c r="D4" s="66">
        <f>IF(ISNUMBER(MATCH(A4,$F$8:$F$37,0)),"修正あり","")</f>
        <v/>
      </c>
      <c r="F4" s="14" t="inlineStr">
        <is>
          <t>作成の開始月</t>
        </is>
      </c>
      <c r="G4" s="67" t="n">
        <v>43831</v>
      </c>
      <c r="H4" s="11" t="inlineStr">
        <is>
          <t>← 月を入れると、その月から120か月分が作られます（例：2020/1）</t>
        </is>
      </c>
    </row>
    <row r="5">
      <c r="A5" s="65">
        <f>EDATE(A4,1)</f>
        <v/>
      </c>
      <c r="B5" s="48">
        <f>IFERROR(IF(VLOOKUP(A5,$F$8:$G$37,2,0)="",C5,VLOOKUP(A5,$F$8:$G$37,2,0)),C5)</f>
        <v/>
      </c>
      <c r="C5" s="48">
        <f>NETWORKDAYS(A5,EOMONTH(A5,0))</f>
        <v/>
      </c>
      <c r="D5" s="66">
        <f>IF(ISNUMBER(MATCH(A5,$F$8:$F$37,0)),"修正あり","")</f>
        <v/>
      </c>
    </row>
    <row r="6">
      <c r="A6" s="65">
        <f>EDATE(A5,1)</f>
        <v/>
      </c>
      <c r="B6" s="48">
        <f>IFERROR(IF(VLOOKUP(A6,$F$8:$G$37,2,0)="",C6,VLOOKUP(A6,$F$8:$G$37,2,0)),C6)</f>
        <v/>
      </c>
      <c r="C6" s="48">
        <f>NETWORKDAYS(A6,EOMONTH(A6,0))</f>
        <v/>
      </c>
      <c r="D6" s="66">
        <f>IF(ISNUMBER(MATCH(A6,$F$8:$F$37,0)),"修正あり","")</f>
        <v/>
      </c>
      <c r="F6" s="12" t="inlineStr">
        <is>
          <t>■ 個別に変える月（30件まで）</t>
        </is>
      </c>
    </row>
    <row r="7">
      <c r="A7" s="65">
        <f>EDATE(A6,1)</f>
        <v/>
      </c>
      <c r="B7" s="48">
        <f>IFERROR(IF(VLOOKUP(A7,$F$8:$G$37,2,0)="",C7,VLOOKUP(A7,$F$8:$G$37,2,0)),C7)</f>
        <v/>
      </c>
      <c r="C7" s="48">
        <f>NETWORKDAYS(A7,EOMONTH(A7,0))</f>
        <v/>
      </c>
      <c r="D7" s="66">
        <f>IF(ISNUMBER(MATCH(A7,$F$8:$F$37,0)),"修正あり","")</f>
        <v/>
      </c>
      <c r="F7" s="18" t="inlineStr">
        <is>
          <t>月（例：2025/1）</t>
        </is>
      </c>
      <c r="G7" s="18" t="inlineStr">
        <is>
          <t>日数</t>
        </is>
      </c>
    </row>
    <row r="8">
      <c r="A8" s="65">
        <f>EDATE(A7,1)</f>
        <v/>
      </c>
      <c r="B8" s="48">
        <f>IFERROR(IF(VLOOKUP(A8,$F$8:$G$37,2,0)="",C8,VLOOKUP(A8,$F$8:$G$37,2,0)),C8)</f>
        <v/>
      </c>
      <c r="C8" s="48">
        <f>NETWORKDAYS(A8,EOMONTH(A8,0))</f>
        <v/>
      </c>
      <c r="D8" s="66">
        <f>IF(ISNUMBER(MATCH(A8,$F$8:$F$37,0)),"修正あり","")</f>
        <v/>
      </c>
      <c r="F8" s="67" t="n">
        <v>44531</v>
      </c>
      <c r="G8" s="68" t="n">
        <v>22</v>
      </c>
    </row>
    <row r="9">
      <c r="A9" s="65">
        <f>EDATE(A8,1)</f>
        <v/>
      </c>
      <c r="B9" s="48">
        <f>IFERROR(IF(VLOOKUP(A9,$F$8:$G$37,2,0)="",C9,VLOOKUP(A9,$F$8:$G$37,2,0)),C9)</f>
        <v/>
      </c>
      <c r="C9" s="48">
        <f>NETWORKDAYS(A9,EOMONTH(A9,0))</f>
        <v/>
      </c>
      <c r="D9" s="66">
        <f>IF(ISNUMBER(MATCH(A9,$F$8:$F$37,0)),"修正あり","")</f>
        <v/>
      </c>
      <c r="F9" s="67" t="n"/>
      <c r="G9" s="68" t="n"/>
    </row>
    <row r="10">
      <c r="A10" s="65">
        <f>EDATE(A9,1)</f>
        <v/>
      </c>
      <c r="B10" s="48">
        <f>IFERROR(IF(VLOOKUP(A10,$F$8:$G$37,2,0)="",C10,VLOOKUP(A10,$F$8:$G$37,2,0)),C10)</f>
        <v/>
      </c>
      <c r="C10" s="48">
        <f>NETWORKDAYS(A10,EOMONTH(A10,0))</f>
        <v/>
      </c>
      <c r="D10" s="66">
        <f>IF(ISNUMBER(MATCH(A10,$F$8:$F$37,0)),"修正あり","")</f>
        <v/>
      </c>
      <c r="F10" s="67" t="n"/>
      <c r="G10" s="68" t="n"/>
    </row>
    <row r="11">
      <c r="A11" s="65">
        <f>EDATE(A10,1)</f>
        <v/>
      </c>
      <c r="B11" s="48">
        <f>IFERROR(IF(VLOOKUP(A11,$F$8:$G$37,2,0)="",C11,VLOOKUP(A11,$F$8:$G$37,2,0)),C11)</f>
        <v/>
      </c>
      <c r="C11" s="48">
        <f>NETWORKDAYS(A11,EOMONTH(A11,0))</f>
        <v/>
      </c>
      <c r="D11" s="66">
        <f>IF(ISNUMBER(MATCH(A11,$F$8:$F$37,0)),"修正あり","")</f>
        <v/>
      </c>
      <c r="F11" s="67" t="n"/>
      <c r="G11" s="68" t="n"/>
    </row>
    <row r="12">
      <c r="A12" s="65">
        <f>EDATE(A11,1)</f>
        <v/>
      </c>
      <c r="B12" s="48">
        <f>IFERROR(IF(VLOOKUP(A12,$F$8:$G$37,2,0)="",C12,VLOOKUP(A12,$F$8:$G$37,2,0)),C12)</f>
        <v/>
      </c>
      <c r="C12" s="48">
        <f>NETWORKDAYS(A12,EOMONTH(A12,0))</f>
        <v/>
      </c>
      <c r="D12" s="66">
        <f>IF(ISNUMBER(MATCH(A12,$F$8:$F$37,0)),"修正あり","")</f>
        <v/>
      </c>
      <c r="F12" s="67" t="n"/>
      <c r="G12" s="68" t="n"/>
    </row>
    <row r="13">
      <c r="A13" s="65">
        <f>EDATE(A12,1)</f>
        <v/>
      </c>
      <c r="B13" s="48">
        <f>IFERROR(IF(VLOOKUP(A13,$F$8:$G$37,2,0)="",C13,VLOOKUP(A13,$F$8:$G$37,2,0)),C13)</f>
        <v/>
      </c>
      <c r="C13" s="48">
        <f>NETWORKDAYS(A13,EOMONTH(A13,0))</f>
        <v/>
      </c>
      <c r="D13" s="66">
        <f>IF(ISNUMBER(MATCH(A13,$F$8:$F$37,0)),"修正あり","")</f>
        <v/>
      </c>
      <c r="F13" s="67" t="n"/>
      <c r="G13" s="68" t="n"/>
    </row>
    <row r="14">
      <c r="A14" s="65">
        <f>EDATE(A13,1)</f>
        <v/>
      </c>
      <c r="B14" s="48">
        <f>IFERROR(IF(VLOOKUP(A14,$F$8:$G$37,2,0)="",C14,VLOOKUP(A14,$F$8:$G$37,2,0)),C14)</f>
        <v/>
      </c>
      <c r="C14" s="48">
        <f>NETWORKDAYS(A14,EOMONTH(A14,0))</f>
        <v/>
      </c>
      <c r="D14" s="66">
        <f>IF(ISNUMBER(MATCH(A14,$F$8:$F$37,0)),"修正あり","")</f>
        <v/>
      </c>
      <c r="F14" s="67" t="n"/>
      <c r="G14" s="68" t="n"/>
    </row>
    <row r="15">
      <c r="A15" s="65">
        <f>EDATE(A14,1)</f>
        <v/>
      </c>
      <c r="B15" s="48">
        <f>IFERROR(IF(VLOOKUP(A15,$F$8:$G$37,2,0)="",C15,VLOOKUP(A15,$F$8:$G$37,2,0)),C15)</f>
        <v/>
      </c>
      <c r="C15" s="48">
        <f>NETWORKDAYS(A15,EOMONTH(A15,0))</f>
        <v/>
      </c>
      <c r="D15" s="66">
        <f>IF(ISNUMBER(MATCH(A15,$F$8:$F$37,0)),"修正あり","")</f>
        <v/>
      </c>
      <c r="F15" s="67" t="n"/>
      <c r="G15" s="68" t="n"/>
    </row>
    <row r="16">
      <c r="A16" s="65">
        <f>EDATE(A15,1)</f>
        <v/>
      </c>
      <c r="B16" s="48">
        <f>IFERROR(IF(VLOOKUP(A16,$F$8:$G$37,2,0)="",C16,VLOOKUP(A16,$F$8:$G$37,2,0)),C16)</f>
        <v/>
      </c>
      <c r="C16" s="48">
        <f>NETWORKDAYS(A16,EOMONTH(A16,0))</f>
        <v/>
      </c>
      <c r="D16" s="66">
        <f>IF(ISNUMBER(MATCH(A16,$F$8:$F$37,0)),"修正あり","")</f>
        <v/>
      </c>
      <c r="F16" s="67" t="n"/>
      <c r="G16" s="68" t="n"/>
    </row>
    <row r="17">
      <c r="A17" s="65">
        <f>EDATE(A16,1)</f>
        <v/>
      </c>
      <c r="B17" s="48">
        <f>IFERROR(IF(VLOOKUP(A17,$F$8:$G$37,2,0)="",C17,VLOOKUP(A17,$F$8:$G$37,2,0)),C17)</f>
        <v/>
      </c>
      <c r="C17" s="48">
        <f>NETWORKDAYS(A17,EOMONTH(A17,0))</f>
        <v/>
      </c>
      <c r="D17" s="66">
        <f>IF(ISNUMBER(MATCH(A17,$F$8:$F$37,0)),"修正あり","")</f>
        <v/>
      </c>
      <c r="F17" s="67" t="n"/>
      <c r="G17" s="68" t="n"/>
    </row>
    <row r="18">
      <c r="A18" s="65">
        <f>EDATE(A17,1)</f>
        <v/>
      </c>
      <c r="B18" s="48">
        <f>IFERROR(IF(VLOOKUP(A18,$F$8:$G$37,2,0)="",C18,VLOOKUP(A18,$F$8:$G$37,2,0)),C18)</f>
        <v/>
      </c>
      <c r="C18" s="48">
        <f>NETWORKDAYS(A18,EOMONTH(A18,0))</f>
        <v/>
      </c>
      <c r="D18" s="66">
        <f>IF(ISNUMBER(MATCH(A18,$F$8:$F$37,0)),"修正あり","")</f>
        <v/>
      </c>
      <c r="F18" s="67" t="n"/>
      <c r="G18" s="68" t="n"/>
    </row>
    <row r="19">
      <c r="A19" s="65">
        <f>EDATE(A18,1)</f>
        <v/>
      </c>
      <c r="B19" s="48">
        <f>IFERROR(IF(VLOOKUP(A19,$F$8:$G$37,2,0)="",C19,VLOOKUP(A19,$F$8:$G$37,2,0)),C19)</f>
        <v/>
      </c>
      <c r="C19" s="48">
        <f>NETWORKDAYS(A19,EOMONTH(A19,0))</f>
        <v/>
      </c>
      <c r="D19" s="66">
        <f>IF(ISNUMBER(MATCH(A19,$F$8:$F$37,0)),"修正あり","")</f>
        <v/>
      </c>
      <c r="F19" s="67" t="n"/>
      <c r="G19" s="68" t="n"/>
    </row>
    <row r="20">
      <c r="A20" s="65">
        <f>EDATE(A19,1)</f>
        <v/>
      </c>
      <c r="B20" s="48">
        <f>IFERROR(IF(VLOOKUP(A20,$F$8:$G$37,2,0)="",C20,VLOOKUP(A20,$F$8:$G$37,2,0)),C20)</f>
        <v/>
      </c>
      <c r="C20" s="48">
        <f>NETWORKDAYS(A20,EOMONTH(A20,0))</f>
        <v/>
      </c>
      <c r="D20" s="66">
        <f>IF(ISNUMBER(MATCH(A20,$F$8:$F$37,0)),"修正あり","")</f>
        <v/>
      </c>
      <c r="F20" s="67" t="n"/>
      <c r="G20" s="68" t="n"/>
    </row>
    <row r="21">
      <c r="A21" s="65">
        <f>EDATE(A20,1)</f>
        <v/>
      </c>
      <c r="B21" s="48">
        <f>IFERROR(IF(VLOOKUP(A21,$F$8:$G$37,2,0)="",C21,VLOOKUP(A21,$F$8:$G$37,2,0)),C21)</f>
        <v/>
      </c>
      <c r="C21" s="48">
        <f>NETWORKDAYS(A21,EOMONTH(A21,0))</f>
        <v/>
      </c>
      <c r="D21" s="66">
        <f>IF(ISNUMBER(MATCH(A21,$F$8:$F$37,0)),"修正あり","")</f>
        <v/>
      </c>
      <c r="F21" s="67" t="n"/>
      <c r="G21" s="68" t="n"/>
    </row>
    <row r="22">
      <c r="A22" s="65">
        <f>EDATE(A21,1)</f>
        <v/>
      </c>
      <c r="B22" s="48">
        <f>IFERROR(IF(VLOOKUP(A22,$F$8:$G$37,2,0)="",C22,VLOOKUP(A22,$F$8:$G$37,2,0)),C22)</f>
        <v/>
      </c>
      <c r="C22" s="48">
        <f>NETWORKDAYS(A22,EOMONTH(A22,0))</f>
        <v/>
      </c>
      <c r="D22" s="66">
        <f>IF(ISNUMBER(MATCH(A22,$F$8:$F$37,0)),"修正あり","")</f>
        <v/>
      </c>
      <c r="F22" s="67" t="n"/>
      <c r="G22" s="68" t="n"/>
    </row>
    <row r="23">
      <c r="A23" s="65">
        <f>EDATE(A22,1)</f>
        <v/>
      </c>
      <c r="B23" s="48">
        <f>IFERROR(IF(VLOOKUP(A23,$F$8:$G$37,2,0)="",C23,VLOOKUP(A23,$F$8:$G$37,2,0)),C23)</f>
        <v/>
      </c>
      <c r="C23" s="48">
        <f>NETWORKDAYS(A23,EOMONTH(A23,0))</f>
        <v/>
      </c>
      <c r="D23" s="66">
        <f>IF(ISNUMBER(MATCH(A23,$F$8:$F$37,0)),"修正あり","")</f>
        <v/>
      </c>
      <c r="F23" s="67" t="n"/>
      <c r="G23" s="68" t="n"/>
    </row>
    <row r="24">
      <c r="A24" s="65">
        <f>EDATE(A23,1)</f>
        <v/>
      </c>
      <c r="B24" s="48">
        <f>IFERROR(IF(VLOOKUP(A24,$F$8:$G$37,2,0)="",C24,VLOOKUP(A24,$F$8:$G$37,2,0)),C24)</f>
        <v/>
      </c>
      <c r="C24" s="48">
        <f>NETWORKDAYS(A24,EOMONTH(A24,0))</f>
        <v/>
      </c>
      <c r="D24" s="66">
        <f>IF(ISNUMBER(MATCH(A24,$F$8:$F$37,0)),"修正あり","")</f>
        <v/>
      </c>
      <c r="F24" s="67" t="n"/>
      <c r="G24" s="68" t="n"/>
    </row>
    <row r="25">
      <c r="A25" s="65">
        <f>EDATE(A24,1)</f>
        <v/>
      </c>
      <c r="B25" s="48">
        <f>IFERROR(IF(VLOOKUP(A25,$F$8:$G$37,2,0)="",C25,VLOOKUP(A25,$F$8:$G$37,2,0)),C25)</f>
        <v/>
      </c>
      <c r="C25" s="48">
        <f>NETWORKDAYS(A25,EOMONTH(A25,0))</f>
        <v/>
      </c>
      <c r="D25" s="66">
        <f>IF(ISNUMBER(MATCH(A25,$F$8:$F$37,0)),"修正あり","")</f>
        <v/>
      </c>
      <c r="F25" s="67" t="n"/>
      <c r="G25" s="68" t="n"/>
    </row>
    <row r="26">
      <c r="A26" s="65">
        <f>EDATE(A25,1)</f>
        <v/>
      </c>
      <c r="B26" s="48">
        <f>IFERROR(IF(VLOOKUP(A26,$F$8:$G$37,2,0)="",C26,VLOOKUP(A26,$F$8:$G$37,2,0)),C26)</f>
        <v/>
      </c>
      <c r="C26" s="48">
        <f>NETWORKDAYS(A26,EOMONTH(A26,0))</f>
        <v/>
      </c>
      <c r="D26" s="66">
        <f>IF(ISNUMBER(MATCH(A26,$F$8:$F$37,0)),"修正あり","")</f>
        <v/>
      </c>
      <c r="F26" s="67" t="n"/>
      <c r="G26" s="68" t="n"/>
    </row>
    <row r="27">
      <c r="A27" s="65">
        <f>EDATE(A26,1)</f>
        <v/>
      </c>
      <c r="B27" s="48">
        <f>IFERROR(IF(VLOOKUP(A27,$F$8:$G$37,2,0)="",C27,VLOOKUP(A27,$F$8:$G$37,2,0)),C27)</f>
        <v/>
      </c>
      <c r="C27" s="48">
        <f>NETWORKDAYS(A27,EOMONTH(A27,0))</f>
        <v/>
      </c>
      <c r="D27" s="66">
        <f>IF(ISNUMBER(MATCH(A27,$F$8:$F$37,0)),"修正あり","")</f>
        <v/>
      </c>
      <c r="F27" s="67" t="n"/>
      <c r="G27" s="68" t="n"/>
    </row>
    <row r="28">
      <c r="A28" s="65">
        <f>EDATE(A27,1)</f>
        <v/>
      </c>
      <c r="B28" s="48">
        <f>IFERROR(IF(VLOOKUP(A28,$F$8:$G$37,2,0)="",C28,VLOOKUP(A28,$F$8:$G$37,2,0)),C28)</f>
        <v/>
      </c>
      <c r="C28" s="48">
        <f>NETWORKDAYS(A28,EOMONTH(A28,0))</f>
        <v/>
      </c>
      <c r="D28" s="66">
        <f>IF(ISNUMBER(MATCH(A28,$F$8:$F$37,0)),"修正あり","")</f>
        <v/>
      </c>
      <c r="F28" s="67" t="n"/>
      <c r="G28" s="68" t="n"/>
    </row>
    <row r="29">
      <c r="A29" s="65">
        <f>EDATE(A28,1)</f>
        <v/>
      </c>
      <c r="B29" s="48">
        <f>IFERROR(IF(VLOOKUP(A29,$F$8:$G$37,2,0)="",C29,VLOOKUP(A29,$F$8:$G$37,2,0)),C29)</f>
        <v/>
      </c>
      <c r="C29" s="48">
        <f>NETWORKDAYS(A29,EOMONTH(A29,0))</f>
        <v/>
      </c>
      <c r="D29" s="66">
        <f>IF(ISNUMBER(MATCH(A29,$F$8:$F$37,0)),"修正あり","")</f>
        <v/>
      </c>
      <c r="F29" s="67" t="n"/>
      <c r="G29" s="68" t="n"/>
    </row>
    <row r="30">
      <c r="A30" s="65">
        <f>EDATE(A29,1)</f>
        <v/>
      </c>
      <c r="B30" s="48">
        <f>IFERROR(IF(VLOOKUP(A30,$F$8:$G$37,2,0)="",C30,VLOOKUP(A30,$F$8:$G$37,2,0)),C30)</f>
        <v/>
      </c>
      <c r="C30" s="48">
        <f>NETWORKDAYS(A30,EOMONTH(A30,0))</f>
        <v/>
      </c>
      <c r="D30" s="66">
        <f>IF(ISNUMBER(MATCH(A30,$F$8:$F$37,0)),"修正あり","")</f>
        <v/>
      </c>
      <c r="F30" s="67" t="n"/>
      <c r="G30" s="68" t="n"/>
    </row>
    <row r="31">
      <c r="A31" s="65">
        <f>EDATE(A30,1)</f>
        <v/>
      </c>
      <c r="B31" s="48">
        <f>IFERROR(IF(VLOOKUP(A31,$F$8:$G$37,2,0)="",C31,VLOOKUP(A31,$F$8:$G$37,2,0)),C31)</f>
        <v/>
      </c>
      <c r="C31" s="48">
        <f>NETWORKDAYS(A31,EOMONTH(A31,0))</f>
        <v/>
      </c>
      <c r="D31" s="66">
        <f>IF(ISNUMBER(MATCH(A31,$F$8:$F$37,0)),"修正あり","")</f>
        <v/>
      </c>
      <c r="F31" s="67" t="n"/>
      <c r="G31" s="68" t="n"/>
    </row>
    <row r="32">
      <c r="A32" s="65">
        <f>EDATE(A31,1)</f>
        <v/>
      </c>
      <c r="B32" s="48">
        <f>IFERROR(IF(VLOOKUP(A32,$F$8:$G$37,2,0)="",C32,VLOOKUP(A32,$F$8:$G$37,2,0)),C32)</f>
        <v/>
      </c>
      <c r="C32" s="48">
        <f>NETWORKDAYS(A32,EOMONTH(A32,0))</f>
        <v/>
      </c>
      <c r="D32" s="66">
        <f>IF(ISNUMBER(MATCH(A32,$F$8:$F$37,0)),"修正あり","")</f>
        <v/>
      </c>
      <c r="F32" s="67" t="n"/>
      <c r="G32" s="68" t="n"/>
    </row>
    <row r="33">
      <c r="A33" s="65">
        <f>EDATE(A32,1)</f>
        <v/>
      </c>
      <c r="B33" s="48">
        <f>IFERROR(IF(VLOOKUP(A33,$F$8:$G$37,2,0)="",C33,VLOOKUP(A33,$F$8:$G$37,2,0)),C33)</f>
        <v/>
      </c>
      <c r="C33" s="48">
        <f>NETWORKDAYS(A33,EOMONTH(A33,0))</f>
        <v/>
      </c>
      <c r="D33" s="66">
        <f>IF(ISNUMBER(MATCH(A33,$F$8:$F$37,0)),"修正あり","")</f>
        <v/>
      </c>
      <c r="F33" s="67" t="n"/>
      <c r="G33" s="68" t="n"/>
    </row>
    <row r="34">
      <c r="A34" s="65">
        <f>EDATE(A33,1)</f>
        <v/>
      </c>
      <c r="B34" s="48">
        <f>IFERROR(IF(VLOOKUP(A34,$F$8:$G$37,2,0)="",C34,VLOOKUP(A34,$F$8:$G$37,2,0)),C34)</f>
        <v/>
      </c>
      <c r="C34" s="48">
        <f>NETWORKDAYS(A34,EOMONTH(A34,0))</f>
        <v/>
      </c>
      <c r="D34" s="66">
        <f>IF(ISNUMBER(MATCH(A34,$F$8:$F$37,0)),"修正あり","")</f>
        <v/>
      </c>
      <c r="F34" s="67" t="n"/>
      <c r="G34" s="68" t="n"/>
    </row>
    <row r="35">
      <c r="A35" s="65">
        <f>EDATE(A34,1)</f>
        <v/>
      </c>
      <c r="B35" s="48">
        <f>IFERROR(IF(VLOOKUP(A35,$F$8:$G$37,2,0)="",C35,VLOOKUP(A35,$F$8:$G$37,2,0)),C35)</f>
        <v/>
      </c>
      <c r="C35" s="48">
        <f>NETWORKDAYS(A35,EOMONTH(A35,0))</f>
        <v/>
      </c>
      <c r="D35" s="66">
        <f>IF(ISNUMBER(MATCH(A35,$F$8:$F$37,0)),"修正あり","")</f>
        <v/>
      </c>
      <c r="F35" s="67" t="n"/>
      <c r="G35" s="68" t="n"/>
    </row>
    <row r="36">
      <c r="A36" s="65">
        <f>EDATE(A35,1)</f>
        <v/>
      </c>
      <c r="B36" s="48">
        <f>IFERROR(IF(VLOOKUP(A36,$F$8:$G$37,2,0)="",C36,VLOOKUP(A36,$F$8:$G$37,2,0)),C36)</f>
        <v/>
      </c>
      <c r="C36" s="48">
        <f>NETWORKDAYS(A36,EOMONTH(A36,0))</f>
        <v/>
      </c>
      <c r="D36" s="66">
        <f>IF(ISNUMBER(MATCH(A36,$F$8:$F$37,0)),"修正あり","")</f>
        <v/>
      </c>
      <c r="F36" s="67" t="n"/>
      <c r="G36" s="68" t="n"/>
    </row>
    <row r="37">
      <c r="A37" s="65">
        <f>EDATE(A36,1)</f>
        <v/>
      </c>
      <c r="B37" s="48">
        <f>IFERROR(IF(VLOOKUP(A37,$F$8:$G$37,2,0)="",C37,VLOOKUP(A37,$F$8:$G$37,2,0)),C37)</f>
        <v/>
      </c>
      <c r="C37" s="48">
        <f>NETWORKDAYS(A37,EOMONTH(A37,0))</f>
        <v/>
      </c>
      <c r="D37" s="66">
        <f>IF(ISNUMBER(MATCH(A37,$F$8:$F$37,0)),"修正あり","")</f>
        <v/>
      </c>
      <c r="F37" s="67" t="n"/>
      <c r="G37" s="68" t="n"/>
    </row>
    <row r="38">
      <c r="A38" s="65">
        <f>EDATE(A37,1)</f>
        <v/>
      </c>
      <c r="B38" s="48">
        <f>IFERROR(IF(VLOOKUP(A38,$F$8:$G$37,2,0)="",C38,VLOOKUP(A38,$F$8:$G$37,2,0)),C38)</f>
        <v/>
      </c>
      <c r="C38" s="48">
        <f>NETWORKDAYS(A38,EOMONTH(A38,0))</f>
        <v/>
      </c>
      <c r="D38" s="66">
        <f>IF(ISNUMBER(MATCH(A38,$F$8:$F$37,0)),"修正あり","")</f>
        <v/>
      </c>
    </row>
    <row r="39">
      <c r="A39" s="65">
        <f>EDATE(A38,1)</f>
        <v/>
      </c>
      <c r="B39" s="48">
        <f>IFERROR(IF(VLOOKUP(A39,$F$8:$G$37,2,0)="",C39,VLOOKUP(A39,$F$8:$G$37,2,0)),C39)</f>
        <v/>
      </c>
      <c r="C39" s="48">
        <f>NETWORKDAYS(A39,EOMONTH(A39,0))</f>
        <v/>
      </c>
      <c r="D39" s="66">
        <f>IF(ISNUMBER(MATCH(A39,$F$8:$F$37,0)),"修正あり","")</f>
        <v/>
      </c>
    </row>
    <row r="40">
      <c r="A40" s="65">
        <f>EDATE(A39,1)</f>
        <v/>
      </c>
      <c r="B40" s="48">
        <f>IFERROR(IF(VLOOKUP(A40,$F$8:$G$37,2,0)="",C40,VLOOKUP(A40,$F$8:$G$37,2,0)),C40)</f>
        <v/>
      </c>
      <c r="C40" s="48">
        <f>NETWORKDAYS(A40,EOMONTH(A40,0))</f>
        <v/>
      </c>
      <c r="D40" s="66">
        <f>IF(ISNUMBER(MATCH(A40,$F$8:$F$37,0)),"修正あり","")</f>
        <v/>
      </c>
    </row>
    <row r="41">
      <c r="A41" s="65">
        <f>EDATE(A40,1)</f>
        <v/>
      </c>
      <c r="B41" s="48">
        <f>IFERROR(IF(VLOOKUP(A41,$F$8:$G$37,2,0)="",C41,VLOOKUP(A41,$F$8:$G$37,2,0)),C41)</f>
        <v/>
      </c>
      <c r="C41" s="48">
        <f>NETWORKDAYS(A41,EOMONTH(A41,0))</f>
        <v/>
      </c>
      <c r="D41" s="66">
        <f>IF(ISNUMBER(MATCH(A41,$F$8:$F$37,0)),"修正あり","")</f>
        <v/>
      </c>
    </row>
    <row r="42">
      <c r="A42" s="65">
        <f>EDATE(A41,1)</f>
        <v/>
      </c>
      <c r="B42" s="48">
        <f>IFERROR(IF(VLOOKUP(A42,$F$8:$G$37,2,0)="",C42,VLOOKUP(A42,$F$8:$G$37,2,0)),C42)</f>
        <v/>
      </c>
      <c r="C42" s="48">
        <f>NETWORKDAYS(A42,EOMONTH(A42,0))</f>
        <v/>
      </c>
      <c r="D42" s="66">
        <f>IF(ISNUMBER(MATCH(A42,$F$8:$F$37,0)),"修正あり","")</f>
        <v/>
      </c>
    </row>
    <row r="43">
      <c r="A43" s="65">
        <f>EDATE(A42,1)</f>
        <v/>
      </c>
      <c r="B43" s="48">
        <f>IFERROR(IF(VLOOKUP(A43,$F$8:$G$37,2,0)="",C43,VLOOKUP(A43,$F$8:$G$37,2,0)),C43)</f>
        <v/>
      </c>
      <c r="C43" s="48">
        <f>NETWORKDAYS(A43,EOMONTH(A43,0))</f>
        <v/>
      </c>
      <c r="D43" s="66">
        <f>IF(ISNUMBER(MATCH(A43,$F$8:$F$37,0)),"修正あり","")</f>
        <v/>
      </c>
    </row>
    <row r="44">
      <c r="A44" s="65">
        <f>EDATE(A43,1)</f>
        <v/>
      </c>
      <c r="B44" s="48">
        <f>IFERROR(IF(VLOOKUP(A44,$F$8:$G$37,2,0)="",C44,VLOOKUP(A44,$F$8:$G$37,2,0)),C44)</f>
        <v/>
      </c>
      <c r="C44" s="48">
        <f>NETWORKDAYS(A44,EOMONTH(A44,0))</f>
        <v/>
      </c>
      <c r="D44" s="66">
        <f>IF(ISNUMBER(MATCH(A44,$F$8:$F$37,0)),"修正あり","")</f>
        <v/>
      </c>
    </row>
    <row r="45">
      <c r="A45" s="65">
        <f>EDATE(A44,1)</f>
        <v/>
      </c>
      <c r="B45" s="48">
        <f>IFERROR(IF(VLOOKUP(A45,$F$8:$G$37,2,0)="",C45,VLOOKUP(A45,$F$8:$G$37,2,0)),C45)</f>
        <v/>
      </c>
      <c r="C45" s="48">
        <f>NETWORKDAYS(A45,EOMONTH(A45,0))</f>
        <v/>
      </c>
      <c r="D45" s="66">
        <f>IF(ISNUMBER(MATCH(A45,$F$8:$F$37,0)),"修正あり","")</f>
        <v/>
      </c>
    </row>
    <row r="46">
      <c r="A46" s="65">
        <f>EDATE(A45,1)</f>
        <v/>
      </c>
      <c r="B46" s="48">
        <f>IFERROR(IF(VLOOKUP(A46,$F$8:$G$37,2,0)="",C46,VLOOKUP(A46,$F$8:$G$37,2,0)),C46)</f>
        <v/>
      </c>
      <c r="C46" s="48">
        <f>NETWORKDAYS(A46,EOMONTH(A46,0))</f>
        <v/>
      </c>
      <c r="D46" s="66">
        <f>IF(ISNUMBER(MATCH(A46,$F$8:$F$37,0)),"修正あり","")</f>
        <v/>
      </c>
    </row>
    <row r="47">
      <c r="A47" s="65">
        <f>EDATE(A46,1)</f>
        <v/>
      </c>
      <c r="B47" s="48">
        <f>IFERROR(IF(VLOOKUP(A47,$F$8:$G$37,2,0)="",C47,VLOOKUP(A47,$F$8:$G$37,2,0)),C47)</f>
        <v/>
      </c>
      <c r="C47" s="48">
        <f>NETWORKDAYS(A47,EOMONTH(A47,0))</f>
        <v/>
      </c>
      <c r="D47" s="66">
        <f>IF(ISNUMBER(MATCH(A47,$F$8:$F$37,0)),"修正あり","")</f>
        <v/>
      </c>
    </row>
    <row r="48">
      <c r="A48" s="65">
        <f>EDATE(A47,1)</f>
        <v/>
      </c>
      <c r="B48" s="48">
        <f>IFERROR(IF(VLOOKUP(A48,$F$8:$G$37,2,0)="",C48,VLOOKUP(A48,$F$8:$G$37,2,0)),C48)</f>
        <v/>
      </c>
      <c r="C48" s="48">
        <f>NETWORKDAYS(A48,EOMONTH(A48,0))</f>
        <v/>
      </c>
      <c r="D48" s="66">
        <f>IF(ISNUMBER(MATCH(A48,$F$8:$F$37,0)),"修正あり","")</f>
        <v/>
      </c>
    </row>
    <row r="49">
      <c r="A49" s="65">
        <f>EDATE(A48,1)</f>
        <v/>
      </c>
      <c r="B49" s="48">
        <f>IFERROR(IF(VLOOKUP(A49,$F$8:$G$37,2,0)="",C49,VLOOKUP(A49,$F$8:$G$37,2,0)),C49)</f>
        <v/>
      </c>
      <c r="C49" s="48">
        <f>NETWORKDAYS(A49,EOMONTH(A49,0))</f>
        <v/>
      </c>
      <c r="D49" s="66">
        <f>IF(ISNUMBER(MATCH(A49,$F$8:$F$37,0)),"修正あり","")</f>
        <v/>
      </c>
    </row>
    <row r="50">
      <c r="A50" s="65">
        <f>EDATE(A49,1)</f>
        <v/>
      </c>
      <c r="B50" s="48">
        <f>IFERROR(IF(VLOOKUP(A50,$F$8:$G$37,2,0)="",C50,VLOOKUP(A50,$F$8:$G$37,2,0)),C50)</f>
        <v/>
      </c>
      <c r="C50" s="48">
        <f>NETWORKDAYS(A50,EOMONTH(A50,0))</f>
        <v/>
      </c>
      <c r="D50" s="66">
        <f>IF(ISNUMBER(MATCH(A50,$F$8:$F$37,0)),"修正あり","")</f>
        <v/>
      </c>
    </row>
    <row r="51">
      <c r="A51" s="65">
        <f>EDATE(A50,1)</f>
        <v/>
      </c>
      <c r="B51" s="48">
        <f>IFERROR(IF(VLOOKUP(A51,$F$8:$G$37,2,0)="",C51,VLOOKUP(A51,$F$8:$G$37,2,0)),C51)</f>
        <v/>
      </c>
      <c r="C51" s="48">
        <f>NETWORKDAYS(A51,EOMONTH(A51,0))</f>
        <v/>
      </c>
      <c r="D51" s="66">
        <f>IF(ISNUMBER(MATCH(A51,$F$8:$F$37,0)),"修正あり","")</f>
        <v/>
      </c>
    </row>
    <row r="52">
      <c r="A52" s="65">
        <f>EDATE(A51,1)</f>
        <v/>
      </c>
      <c r="B52" s="48">
        <f>IFERROR(IF(VLOOKUP(A52,$F$8:$G$37,2,0)="",C52,VLOOKUP(A52,$F$8:$G$37,2,0)),C52)</f>
        <v/>
      </c>
      <c r="C52" s="48">
        <f>NETWORKDAYS(A52,EOMONTH(A52,0))</f>
        <v/>
      </c>
      <c r="D52" s="66">
        <f>IF(ISNUMBER(MATCH(A52,$F$8:$F$37,0)),"修正あり","")</f>
        <v/>
      </c>
    </row>
    <row r="53">
      <c r="A53" s="65">
        <f>EDATE(A52,1)</f>
        <v/>
      </c>
      <c r="B53" s="48">
        <f>IFERROR(IF(VLOOKUP(A53,$F$8:$G$37,2,0)="",C53,VLOOKUP(A53,$F$8:$G$37,2,0)),C53)</f>
        <v/>
      </c>
      <c r="C53" s="48">
        <f>NETWORKDAYS(A53,EOMONTH(A53,0))</f>
        <v/>
      </c>
      <c r="D53" s="66">
        <f>IF(ISNUMBER(MATCH(A53,$F$8:$F$37,0)),"修正あり","")</f>
        <v/>
      </c>
    </row>
    <row r="54">
      <c r="A54" s="65">
        <f>EDATE(A53,1)</f>
        <v/>
      </c>
      <c r="B54" s="48">
        <f>IFERROR(IF(VLOOKUP(A54,$F$8:$G$37,2,0)="",C54,VLOOKUP(A54,$F$8:$G$37,2,0)),C54)</f>
        <v/>
      </c>
      <c r="C54" s="48">
        <f>NETWORKDAYS(A54,EOMONTH(A54,0))</f>
        <v/>
      </c>
      <c r="D54" s="66">
        <f>IF(ISNUMBER(MATCH(A54,$F$8:$F$37,0)),"修正あり","")</f>
        <v/>
      </c>
    </row>
    <row r="55">
      <c r="A55" s="65">
        <f>EDATE(A54,1)</f>
        <v/>
      </c>
      <c r="B55" s="48">
        <f>IFERROR(IF(VLOOKUP(A55,$F$8:$G$37,2,0)="",C55,VLOOKUP(A55,$F$8:$G$37,2,0)),C55)</f>
        <v/>
      </c>
      <c r="C55" s="48">
        <f>NETWORKDAYS(A55,EOMONTH(A55,0))</f>
        <v/>
      </c>
      <c r="D55" s="66">
        <f>IF(ISNUMBER(MATCH(A55,$F$8:$F$37,0)),"修正あり","")</f>
        <v/>
      </c>
    </row>
    <row r="56">
      <c r="A56" s="65">
        <f>EDATE(A55,1)</f>
        <v/>
      </c>
      <c r="B56" s="48">
        <f>IFERROR(IF(VLOOKUP(A56,$F$8:$G$37,2,0)="",C56,VLOOKUP(A56,$F$8:$G$37,2,0)),C56)</f>
        <v/>
      </c>
      <c r="C56" s="48">
        <f>NETWORKDAYS(A56,EOMONTH(A56,0))</f>
        <v/>
      </c>
      <c r="D56" s="66">
        <f>IF(ISNUMBER(MATCH(A56,$F$8:$F$37,0)),"修正あり","")</f>
        <v/>
      </c>
    </row>
    <row r="57">
      <c r="A57" s="65">
        <f>EDATE(A56,1)</f>
        <v/>
      </c>
      <c r="B57" s="48">
        <f>IFERROR(IF(VLOOKUP(A57,$F$8:$G$37,2,0)="",C57,VLOOKUP(A57,$F$8:$G$37,2,0)),C57)</f>
        <v/>
      </c>
      <c r="C57" s="48">
        <f>NETWORKDAYS(A57,EOMONTH(A57,0))</f>
        <v/>
      </c>
      <c r="D57" s="66">
        <f>IF(ISNUMBER(MATCH(A57,$F$8:$F$37,0)),"修正あり","")</f>
        <v/>
      </c>
    </row>
    <row r="58">
      <c r="A58" s="65">
        <f>EDATE(A57,1)</f>
        <v/>
      </c>
      <c r="B58" s="48">
        <f>IFERROR(IF(VLOOKUP(A58,$F$8:$G$37,2,0)="",C58,VLOOKUP(A58,$F$8:$G$37,2,0)),C58)</f>
        <v/>
      </c>
      <c r="C58" s="48">
        <f>NETWORKDAYS(A58,EOMONTH(A58,0))</f>
        <v/>
      </c>
      <c r="D58" s="66">
        <f>IF(ISNUMBER(MATCH(A58,$F$8:$F$37,0)),"修正あり","")</f>
        <v/>
      </c>
    </row>
    <row r="59">
      <c r="A59" s="65">
        <f>EDATE(A58,1)</f>
        <v/>
      </c>
      <c r="B59" s="48">
        <f>IFERROR(IF(VLOOKUP(A59,$F$8:$G$37,2,0)="",C59,VLOOKUP(A59,$F$8:$G$37,2,0)),C59)</f>
        <v/>
      </c>
      <c r="C59" s="48">
        <f>NETWORKDAYS(A59,EOMONTH(A59,0))</f>
        <v/>
      </c>
      <c r="D59" s="66">
        <f>IF(ISNUMBER(MATCH(A59,$F$8:$F$37,0)),"修正あり","")</f>
        <v/>
      </c>
    </row>
    <row r="60">
      <c r="A60" s="65">
        <f>EDATE(A59,1)</f>
        <v/>
      </c>
      <c r="B60" s="48">
        <f>IFERROR(IF(VLOOKUP(A60,$F$8:$G$37,2,0)="",C60,VLOOKUP(A60,$F$8:$G$37,2,0)),C60)</f>
        <v/>
      </c>
      <c r="C60" s="48">
        <f>NETWORKDAYS(A60,EOMONTH(A60,0))</f>
        <v/>
      </c>
      <c r="D60" s="66">
        <f>IF(ISNUMBER(MATCH(A60,$F$8:$F$37,0)),"修正あり","")</f>
        <v/>
      </c>
    </row>
    <row r="61">
      <c r="A61" s="65">
        <f>EDATE(A60,1)</f>
        <v/>
      </c>
      <c r="B61" s="48">
        <f>IFERROR(IF(VLOOKUP(A61,$F$8:$G$37,2,0)="",C61,VLOOKUP(A61,$F$8:$G$37,2,0)),C61)</f>
        <v/>
      </c>
      <c r="C61" s="48">
        <f>NETWORKDAYS(A61,EOMONTH(A61,0))</f>
        <v/>
      </c>
      <c r="D61" s="66">
        <f>IF(ISNUMBER(MATCH(A61,$F$8:$F$37,0)),"修正あり","")</f>
        <v/>
      </c>
    </row>
    <row r="62">
      <c r="A62" s="65">
        <f>EDATE(A61,1)</f>
        <v/>
      </c>
      <c r="B62" s="48">
        <f>IFERROR(IF(VLOOKUP(A62,$F$8:$G$37,2,0)="",C62,VLOOKUP(A62,$F$8:$G$37,2,0)),C62)</f>
        <v/>
      </c>
      <c r="C62" s="48">
        <f>NETWORKDAYS(A62,EOMONTH(A62,0))</f>
        <v/>
      </c>
      <c r="D62" s="66">
        <f>IF(ISNUMBER(MATCH(A62,$F$8:$F$37,0)),"修正あり","")</f>
        <v/>
      </c>
    </row>
    <row r="63">
      <c r="A63" s="65">
        <f>EDATE(A62,1)</f>
        <v/>
      </c>
      <c r="B63" s="48">
        <f>IFERROR(IF(VLOOKUP(A63,$F$8:$G$37,2,0)="",C63,VLOOKUP(A63,$F$8:$G$37,2,0)),C63)</f>
        <v/>
      </c>
      <c r="C63" s="48">
        <f>NETWORKDAYS(A63,EOMONTH(A63,0))</f>
        <v/>
      </c>
      <c r="D63" s="66">
        <f>IF(ISNUMBER(MATCH(A63,$F$8:$F$37,0)),"修正あり","")</f>
        <v/>
      </c>
    </row>
    <row r="64">
      <c r="A64" s="65">
        <f>EDATE(A63,1)</f>
        <v/>
      </c>
      <c r="B64" s="48">
        <f>IFERROR(IF(VLOOKUP(A64,$F$8:$G$37,2,0)="",C64,VLOOKUP(A64,$F$8:$G$37,2,0)),C64)</f>
        <v/>
      </c>
      <c r="C64" s="48">
        <f>NETWORKDAYS(A64,EOMONTH(A64,0))</f>
        <v/>
      </c>
      <c r="D64" s="66">
        <f>IF(ISNUMBER(MATCH(A64,$F$8:$F$37,0)),"修正あり","")</f>
        <v/>
      </c>
    </row>
    <row r="65">
      <c r="A65" s="65">
        <f>EDATE(A64,1)</f>
        <v/>
      </c>
      <c r="B65" s="48">
        <f>IFERROR(IF(VLOOKUP(A65,$F$8:$G$37,2,0)="",C65,VLOOKUP(A65,$F$8:$G$37,2,0)),C65)</f>
        <v/>
      </c>
      <c r="C65" s="48">
        <f>NETWORKDAYS(A65,EOMONTH(A65,0))</f>
        <v/>
      </c>
      <c r="D65" s="66">
        <f>IF(ISNUMBER(MATCH(A65,$F$8:$F$37,0)),"修正あり","")</f>
        <v/>
      </c>
    </row>
    <row r="66">
      <c r="A66" s="65">
        <f>EDATE(A65,1)</f>
        <v/>
      </c>
      <c r="B66" s="48">
        <f>IFERROR(IF(VLOOKUP(A66,$F$8:$G$37,2,0)="",C66,VLOOKUP(A66,$F$8:$G$37,2,0)),C66)</f>
        <v/>
      </c>
      <c r="C66" s="48">
        <f>NETWORKDAYS(A66,EOMONTH(A66,0))</f>
        <v/>
      </c>
      <c r="D66" s="66">
        <f>IF(ISNUMBER(MATCH(A66,$F$8:$F$37,0)),"修正あり","")</f>
        <v/>
      </c>
    </row>
    <row r="67">
      <c r="A67" s="65">
        <f>EDATE(A66,1)</f>
        <v/>
      </c>
      <c r="B67" s="48">
        <f>IFERROR(IF(VLOOKUP(A67,$F$8:$G$37,2,0)="",C67,VLOOKUP(A67,$F$8:$G$37,2,0)),C67)</f>
        <v/>
      </c>
      <c r="C67" s="48">
        <f>NETWORKDAYS(A67,EOMONTH(A67,0))</f>
        <v/>
      </c>
      <c r="D67" s="66">
        <f>IF(ISNUMBER(MATCH(A67,$F$8:$F$37,0)),"修正あり","")</f>
        <v/>
      </c>
    </row>
    <row r="68">
      <c r="A68" s="65">
        <f>EDATE(A67,1)</f>
        <v/>
      </c>
      <c r="B68" s="48">
        <f>IFERROR(IF(VLOOKUP(A68,$F$8:$G$37,2,0)="",C68,VLOOKUP(A68,$F$8:$G$37,2,0)),C68)</f>
        <v/>
      </c>
      <c r="C68" s="48">
        <f>NETWORKDAYS(A68,EOMONTH(A68,0))</f>
        <v/>
      </c>
      <c r="D68" s="66">
        <f>IF(ISNUMBER(MATCH(A68,$F$8:$F$37,0)),"修正あり","")</f>
        <v/>
      </c>
    </row>
    <row r="69">
      <c r="A69" s="65">
        <f>EDATE(A68,1)</f>
        <v/>
      </c>
      <c r="B69" s="48">
        <f>IFERROR(IF(VLOOKUP(A69,$F$8:$G$37,2,0)="",C69,VLOOKUP(A69,$F$8:$G$37,2,0)),C69)</f>
        <v/>
      </c>
      <c r="C69" s="48">
        <f>NETWORKDAYS(A69,EOMONTH(A69,0))</f>
        <v/>
      </c>
      <c r="D69" s="66">
        <f>IF(ISNUMBER(MATCH(A69,$F$8:$F$37,0)),"修正あり","")</f>
        <v/>
      </c>
    </row>
    <row r="70">
      <c r="A70" s="65">
        <f>EDATE(A69,1)</f>
        <v/>
      </c>
      <c r="B70" s="48">
        <f>IFERROR(IF(VLOOKUP(A70,$F$8:$G$37,2,0)="",C70,VLOOKUP(A70,$F$8:$G$37,2,0)),C70)</f>
        <v/>
      </c>
      <c r="C70" s="48">
        <f>NETWORKDAYS(A70,EOMONTH(A70,0))</f>
        <v/>
      </c>
      <c r="D70" s="66">
        <f>IF(ISNUMBER(MATCH(A70,$F$8:$F$37,0)),"修正あり","")</f>
        <v/>
      </c>
    </row>
    <row r="71">
      <c r="A71" s="65">
        <f>EDATE(A70,1)</f>
        <v/>
      </c>
      <c r="B71" s="48">
        <f>IFERROR(IF(VLOOKUP(A71,$F$8:$G$37,2,0)="",C71,VLOOKUP(A71,$F$8:$G$37,2,0)),C71)</f>
        <v/>
      </c>
      <c r="C71" s="48">
        <f>NETWORKDAYS(A71,EOMONTH(A71,0))</f>
        <v/>
      </c>
      <c r="D71" s="66">
        <f>IF(ISNUMBER(MATCH(A71,$F$8:$F$37,0)),"修正あり","")</f>
        <v/>
      </c>
    </row>
    <row r="72">
      <c r="A72" s="65">
        <f>EDATE(A71,1)</f>
        <v/>
      </c>
      <c r="B72" s="48">
        <f>IFERROR(IF(VLOOKUP(A72,$F$8:$G$37,2,0)="",C72,VLOOKUP(A72,$F$8:$G$37,2,0)),C72)</f>
        <v/>
      </c>
      <c r="C72" s="48">
        <f>NETWORKDAYS(A72,EOMONTH(A72,0))</f>
        <v/>
      </c>
      <c r="D72" s="66">
        <f>IF(ISNUMBER(MATCH(A72,$F$8:$F$37,0)),"修正あり","")</f>
        <v/>
      </c>
    </row>
    <row r="73">
      <c r="A73" s="65">
        <f>EDATE(A72,1)</f>
        <v/>
      </c>
      <c r="B73" s="48">
        <f>IFERROR(IF(VLOOKUP(A73,$F$8:$G$37,2,0)="",C73,VLOOKUP(A73,$F$8:$G$37,2,0)),C73)</f>
        <v/>
      </c>
      <c r="C73" s="48">
        <f>NETWORKDAYS(A73,EOMONTH(A73,0))</f>
        <v/>
      </c>
      <c r="D73" s="66">
        <f>IF(ISNUMBER(MATCH(A73,$F$8:$F$37,0)),"修正あり","")</f>
        <v/>
      </c>
    </row>
    <row r="74">
      <c r="A74" s="65">
        <f>EDATE(A73,1)</f>
        <v/>
      </c>
      <c r="B74" s="48">
        <f>IFERROR(IF(VLOOKUP(A74,$F$8:$G$37,2,0)="",C74,VLOOKUP(A74,$F$8:$G$37,2,0)),C74)</f>
        <v/>
      </c>
      <c r="C74" s="48">
        <f>NETWORKDAYS(A74,EOMONTH(A74,0))</f>
        <v/>
      </c>
      <c r="D74" s="66">
        <f>IF(ISNUMBER(MATCH(A74,$F$8:$F$37,0)),"修正あり","")</f>
        <v/>
      </c>
    </row>
    <row r="75">
      <c r="A75" s="65">
        <f>EDATE(A74,1)</f>
        <v/>
      </c>
      <c r="B75" s="48">
        <f>IFERROR(IF(VLOOKUP(A75,$F$8:$G$37,2,0)="",C75,VLOOKUP(A75,$F$8:$G$37,2,0)),C75)</f>
        <v/>
      </c>
      <c r="C75" s="48">
        <f>NETWORKDAYS(A75,EOMONTH(A75,0))</f>
        <v/>
      </c>
      <c r="D75" s="66">
        <f>IF(ISNUMBER(MATCH(A75,$F$8:$F$37,0)),"修正あり","")</f>
        <v/>
      </c>
    </row>
    <row r="76">
      <c r="A76" s="65">
        <f>EDATE(A75,1)</f>
        <v/>
      </c>
      <c r="B76" s="48">
        <f>IFERROR(IF(VLOOKUP(A76,$F$8:$G$37,2,0)="",C76,VLOOKUP(A76,$F$8:$G$37,2,0)),C76)</f>
        <v/>
      </c>
      <c r="C76" s="48">
        <f>NETWORKDAYS(A76,EOMONTH(A76,0))</f>
        <v/>
      </c>
      <c r="D76" s="66">
        <f>IF(ISNUMBER(MATCH(A76,$F$8:$F$37,0)),"修正あり","")</f>
        <v/>
      </c>
    </row>
    <row r="77">
      <c r="A77" s="65">
        <f>EDATE(A76,1)</f>
        <v/>
      </c>
      <c r="B77" s="48">
        <f>IFERROR(IF(VLOOKUP(A77,$F$8:$G$37,2,0)="",C77,VLOOKUP(A77,$F$8:$G$37,2,0)),C77)</f>
        <v/>
      </c>
      <c r="C77" s="48">
        <f>NETWORKDAYS(A77,EOMONTH(A77,0))</f>
        <v/>
      </c>
      <c r="D77" s="66">
        <f>IF(ISNUMBER(MATCH(A77,$F$8:$F$37,0)),"修正あり","")</f>
        <v/>
      </c>
    </row>
    <row r="78">
      <c r="A78" s="65">
        <f>EDATE(A77,1)</f>
        <v/>
      </c>
      <c r="B78" s="48">
        <f>IFERROR(IF(VLOOKUP(A78,$F$8:$G$37,2,0)="",C78,VLOOKUP(A78,$F$8:$G$37,2,0)),C78)</f>
        <v/>
      </c>
      <c r="C78" s="48">
        <f>NETWORKDAYS(A78,EOMONTH(A78,0))</f>
        <v/>
      </c>
      <c r="D78" s="66">
        <f>IF(ISNUMBER(MATCH(A78,$F$8:$F$37,0)),"修正あり","")</f>
        <v/>
      </c>
    </row>
    <row r="79">
      <c r="A79" s="65">
        <f>EDATE(A78,1)</f>
        <v/>
      </c>
      <c r="B79" s="48">
        <f>IFERROR(IF(VLOOKUP(A79,$F$8:$G$37,2,0)="",C79,VLOOKUP(A79,$F$8:$G$37,2,0)),C79)</f>
        <v/>
      </c>
      <c r="C79" s="48">
        <f>NETWORKDAYS(A79,EOMONTH(A79,0))</f>
        <v/>
      </c>
      <c r="D79" s="66">
        <f>IF(ISNUMBER(MATCH(A79,$F$8:$F$37,0)),"修正あり","")</f>
        <v/>
      </c>
    </row>
    <row r="80">
      <c r="A80" s="65">
        <f>EDATE(A79,1)</f>
        <v/>
      </c>
      <c r="B80" s="48">
        <f>IFERROR(IF(VLOOKUP(A80,$F$8:$G$37,2,0)="",C80,VLOOKUP(A80,$F$8:$G$37,2,0)),C80)</f>
        <v/>
      </c>
      <c r="C80" s="48">
        <f>NETWORKDAYS(A80,EOMONTH(A80,0))</f>
        <v/>
      </c>
      <c r="D80" s="66">
        <f>IF(ISNUMBER(MATCH(A80,$F$8:$F$37,0)),"修正あり","")</f>
        <v/>
      </c>
    </row>
    <row r="81">
      <c r="A81" s="65">
        <f>EDATE(A80,1)</f>
        <v/>
      </c>
      <c r="B81" s="48">
        <f>IFERROR(IF(VLOOKUP(A81,$F$8:$G$37,2,0)="",C81,VLOOKUP(A81,$F$8:$G$37,2,0)),C81)</f>
        <v/>
      </c>
      <c r="C81" s="48">
        <f>NETWORKDAYS(A81,EOMONTH(A81,0))</f>
        <v/>
      </c>
      <c r="D81" s="66">
        <f>IF(ISNUMBER(MATCH(A81,$F$8:$F$37,0)),"修正あり","")</f>
        <v/>
      </c>
    </row>
    <row r="82">
      <c r="A82" s="65">
        <f>EDATE(A81,1)</f>
        <v/>
      </c>
      <c r="B82" s="48">
        <f>IFERROR(IF(VLOOKUP(A82,$F$8:$G$37,2,0)="",C82,VLOOKUP(A82,$F$8:$G$37,2,0)),C82)</f>
        <v/>
      </c>
      <c r="C82" s="48">
        <f>NETWORKDAYS(A82,EOMONTH(A82,0))</f>
        <v/>
      </c>
      <c r="D82" s="66">
        <f>IF(ISNUMBER(MATCH(A82,$F$8:$F$37,0)),"修正あり","")</f>
        <v/>
      </c>
    </row>
    <row r="83">
      <c r="A83" s="65">
        <f>EDATE(A82,1)</f>
        <v/>
      </c>
      <c r="B83" s="48">
        <f>IFERROR(IF(VLOOKUP(A83,$F$8:$G$37,2,0)="",C83,VLOOKUP(A83,$F$8:$G$37,2,0)),C83)</f>
        <v/>
      </c>
      <c r="C83" s="48">
        <f>NETWORKDAYS(A83,EOMONTH(A83,0))</f>
        <v/>
      </c>
      <c r="D83" s="66">
        <f>IF(ISNUMBER(MATCH(A83,$F$8:$F$37,0)),"修正あり","")</f>
        <v/>
      </c>
    </row>
    <row r="84">
      <c r="A84" s="65">
        <f>EDATE(A83,1)</f>
        <v/>
      </c>
      <c r="B84" s="48">
        <f>IFERROR(IF(VLOOKUP(A84,$F$8:$G$37,2,0)="",C84,VLOOKUP(A84,$F$8:$G$37,2,0)),C84)</f>
        <v/>
      </c>
      <c r="C84" s="48">
        <f>NETWORKDAYS(A84,EOMONTH(A84,0))</f>
        <v/>
      </c>
      <c r="D84" s="66">
        <f>IF(ISNUMBER(MATCH(A84,$F$8:$F$37,0)),"修正あり","")</f>
        <v/>
      </c>
    </row>
    <row r="85">
      <c r="A85" s="65">
        <f>EDATE(A84,1)</f>
        <v/>
      </c>
      <c r="B85" s="48">
        <f>IFERROR(IF(VLOOKUP(A85,$F$8:$G$37,2,0)="",C85,VLOOKUP(A85,$F$8:$G$37,2,0)),C85)</f>
        <v/>
      </c>
      <c r="C85" s="48">
        <f>NETWORKDAYS(A85,EOMONTH(A85,0))</f>
        <v/>
      </c>
      <c r="D85" s="66">
        <f>IF(ISNUMBER(MATCH(A85,$F$8:$F$37,0)),"修正あり","")</f>
        <v/>
      </c>
    </row>
    <row r="86">
      <c r="A86" s="65">
        <f>EDATE(A85,1)</f>
        <v/>
      </c>
      <c r="B86" s="48">
        <f>IFERROR(IF(VLOOKUP(A86,$F$8:$G$37,2,0)="",C86,VLOOKUP(A86,$F$8:$G$37,2,0)),C86)</f>
        <v/>
      </c>
      <c r="C86" s="48">
        <f>NETWORKDAYS(A86,EOMONTH(A86,0))</f>
        <v/>
      </c>
      <c r="D86" s="66">
        <f>IF(ISNUMBER(MATCH(A86,$F$8:$F$37,0)),"修正あり","")</f>
        <v/>
      </c>
    </row>
    <row r="87">
      <c r="A87" s="65">
        <f>EDATE(A86,1)</f>
        <v/>
      </c>
      <c r="B87" s="48">
        <f>IFERROR(IF(VLOOKUP(A87,$F$8:$G$37,2,0)="",C87,VLOOKUP(A87,$F$8:$G$37,2,0)),C87)</f>
        <v/>
      </c>
      <c r="C87" s="48">
        <f>NETWORKDAYS(A87,EOMONTH(A87,0))</f>
        <v/>
      </c>
      <c r="D87" s="66">
        <f>IF(ISNUMBER(MATCH(A87,$F$8:$F$37,0)),"修正あり","")</f>
        <v/>
      </c>
    </row>
    <row r="88">
      <c r="A88" s="65">
        <f>EDATE(A87,1)</f>
        <v/>
      </c>
      <c r="B88" s="48">
        <f>IFERROR(IF(VLOOKUP(A88,$F$8:$G$37,2,0)="",C88,VLOOKUP(A88,$F$8:$G$37,2,0)),C88)</f>
        <v/>
      </c>
      <c r="C88" s="48">
        <f>NETWORKDAYS(A88,EOMONTH(A88,0))</f>
        <v/>
      </c>
      <c r="D88" s="66">
        <f>IF(ISNUMBER(MATCH(A88,$F$8:$F$37,0)),"修正あり","")</f>
        <v/>
      </c>
    </row>
    <row r="89">
      <c r="A89" s="65">
        <f>EDATE(A88,1)</f>
        <v/>
      </c>
      <c r="B89" s="48">
        <f>IFERROR(IF(VLOOKUP(A89,$F$8:$G$37,2,0)="",C89,VLOOKUP(A89,$F$8:$G$37,2,0)),C89)</f>
        <v/>
      </c>
      <c r="C89" s="48">
        <f>NETWORKDAYS(A89,EOMONTH(A89,0))</f>
        <v/>
      </c>
      <c r="D89" s="66">
        <f>IF(ISNUMBER(MATCH(A89,$F$8:$F$37,0)),"修正あり","")</f>
        <v/>
      </c>
    </row>
    <row r="90">
      <c r="A90" s="65">
        <f>EDATE(A89,1)</f>
        <v/>
      </c>
      <c r="B90" s="48">
        <f>IFERROR(IF(VLOOKUP(A90,$F$8:$G$37,2,0)="",C90,VLOOKUP(A90,$F$8:$G$37,2,0)),C90)</f>
        <v/>
      </c>
      <c r="C90" s="48">
        <f>NETWORKDAYS(A90,EOMONTH(A90,0))</f>
        <v/>
      </c>
      <c r="D90" s="66">
        <f>IF(ISNUMBER(MATCH(A90,$F$8:$F$37,0)),"修正あり","")</f>
        <v/>
      </c>
    </row>
    <row r="91">
      <c r="A91" s="65">
        <f>EDATE(A90,1)</f>
        <v/>
      </c>
      <c r="B91" s="48">
        <f>IFERROR(IF(VLOOKUP(A91,$F$8:$G$37,2,0)="",C91,VLOOKUP(A91,$F$8:$G$37,2,0)),C91)</f>
        <v/>
      </c>
      <c r="C91" s="48">
        <f>NETWORKDAYS(A91,EOMONTH(A91,0))</f>
        <v/>
      </c>
      <c r="D91" s="66">
        <f>IF(ISNUMBER(MATCH(A91,$F$8:$F$37,0)),"修正あり","")</f>
        <v/>
      </c>
    </row>
    <row r="92">
      <c r="A92" s="65">
        <f>EDATE(A91,1)</f>
        <v/>
      </c>
      <c r="B92" s="48">
        <f>IFERROR(IF(VLOOKUP(A92,$F$8:$G$37,2,0)="",C92,VLOOKUP(A92,$F$8:$G$37,2,0)),C92)</f>
        <v/>
      </c>
      <c r="C92" s="48">
        <f>NETWORKDAYS(A92,EOMONTH(A92,0))</f>
        <v/>
      </c>
      <c r="D92" s="66">
        <f>IF(ISNUMBER(MATCH(A92,$F$8:$F$37,0)),"修正あり","")</f>
        <v/>
      </c>
    </row>
    <row r="93">
      <c r="A93" s="65">
        <f>EDATE(A92,1)</f>
        <v/>
      </c>
      <c r="B93" s="48">
        <f>IFERROR(IF(VLOOKUP(A93,$F$8:$G$37,2,0)="",C93,VLOOKUP(A93,$F$8:$G$37,2,0)),C93)</f>
        <v/>
      </c>
      <c r="C93" s="48">
        <f>NETWORKDAYS(A93,EOMONTH(A93,0))</f>
        <v/>
      </c>
      <c r="D93" s="66">
        <f>IF(ISNUMBER(MATCH(A93,$F$8:$F$37,0)),"修正あり","")</f>
        <v/>
      </c>
    </row>
    <row r="94">
      <c r="A94" s="65">
        <f>EDATE(A93,1)</f>
        <v/>
      </c>
      <c r="B94" s="48">
        <f>IFERROR(IF(VLOOKUP(A94,$F$8:$G$37,2,0)="",C94,VLOOKUP(A94,$F$8:$G$37,2,0)),C94)</f>
        <v/>
      </c>
      <c r="C94" s="48">
        <f>NETWORKDAYS(A94,EOMONTH(A94,0))</f>
        <v/>
      </c>
      <c r="D94" s="66">
        <f>IF(ISNUMBER(MATCH(A94,$F$8:$F$37,0)),"修正あり","")</f>
        <v/>
      </c>
    </row>
    <row r="95">
      <c r="A95" s="65">
        <f>EDATE(A94,1)</f>
        <v/>
      </c>
      <c r="B95" s="48">
        <f>IFERROR(IF(VLOOKUP(A95,$F$8:$G$37,2,0)="",C95,VLOOKUP(A95,$F$8:$G$37,2,0)),C95)</f>
        <v/>
      </c>
      <c r="C95" s="48">
        <f>NETWORKDAYS(A95,EOMONTH(A95,0))</f>
        <v/>
      </c>
      <c r="D95" s="66">
        <f>IF(ISNUMBER(MATCH(A95,$F$8:$F$37,0)),"修正あり","")</f>
        <v/>
      </c>
    </row>
    <row r="96">
      <c r="A96" s="65">
        <f>EDATE(A95,1)</f>
        <v/>
      </c>
      <c r="B96" s="48">
        <f>IFERROR(IF(VLOOKUP(A96,$F$8:$G$37,2,0)="",C96,VLOOKUP(A96,$F$8:$G$37,2,0)),C96)</f>
        <v/>
      </c>
      <c r="C96" s="48">
        <f>NETWORKDAYS(A96,EOMONTH(A96,0))</f>
        <v/>
      </c>
      <c r="D96" s="66">
        <f>IF(ISNUMBER(MATCH(A96,$F$8:$F$37,0)),"修正あり","")</f>
        <v/>
      </c>
    </row>
    <row r="97">
      <c r="A97" s="65">
        <f>EDATE(A96,1)</f>
        <v/>
      </c>
      <c r="B97" s="48">
        <f>IFERROR(IF(VLOOKUP(A97,$F$8:$G$37,2,0)="",C97,VLOOKUP(A97,$F$8:$G$37,2,0)),C97)</f>
        <v/>
      </c>
      <c r="C97" s="48">
        <f>NETWORKDAYS(A97,EOMONTH(A97,0))</f>
        <v/>
      </c>
      <c r="D97" s="66">
        <f>IF(ISNUMBER(MATCH(A97,$F$8:$F$37,0)),"修正あり","")</f>
        <v/>
      </c>
    </row>
    <row r="98">
      <c r="A98" s="65">
        <f>EDATE(A97,1)</f>
        <v/>
      </c>
      <c r="B98" s="48">
        <f>IFERROR(IF(VLOOKUP(A98,$F$8:$G$37,2,0)="",C98,VLOOKUP(A98,$F$8:$G$37,2,0)),C98)</f>
        <v/>
      </c>
      <c r="C98" s="48">
        <f>NETWORKDAYS(A98,EOMONTH(A98,0))</f>
        <v/>
      </c>
      <c r="D98" s="66">
        <f>IF(ISNUMBER(MATCH(A98,$F$8:$F$37,0)),"修正あり","")</f>
        <v/>
      </c>
    </row>
    <row r="99">
      <c r="A99" s="65">
        <f>EDATE(A98,1)</f>
        <v/>
      </c>
      <c r="B99" s="48">
        <f>IFERROR(IF(VLOOKUP(A99,$F$8:$G$37,2,0)="",C99,VLOOKUP(A99,$F$8:$G$37,2,0)),C99)</f>
        <v/>
      </c>
      <c r="C99" s="48">
        <f>NETWORKDAYS(A99,EOMONTH(A99,0))</f>
        <v/>
      </c>
      <c r="D99" s="66">
        <f>IF(ISNUMBER(MATCH(A99,$F$8:$F$37,0)),"修正あり","")</f>
        <v/>
      </c>
    </row>
    <row r="100">
      <c r="A100" s="65">
        <f>EDATE(A99,1)</f>
        <v/>
      </c>
      <c r="B100" s="48">
        <f>IFERROR(IF(VLOOKUP(A100,$F$8:$G$37,2,0)="",C100,VLOOKUP(A100,$F$8:$G$37,2,0)),C100)</f>
        <v/>
      </c>
      <c r="C100" s="48">
        <f>NETWORKDAYS(A100,EOMONTH(A100,0))</f>
        <v/>
      </c>
      <c r="D100" s="66">
        <f>IF(ISNUMBER(MATCH(A100,$F$8:$F$37,0)),"修正あり","")</f>
        <v/>
      </c>
    </row>
    <row r="101">
      <c r="A101" s="65">
        <f>EDATE(A100,1)</f>
        <v/>
      </c>
      <c r="B101" s="48">
        <f>IFERROR(IF(VLOOKUP(A101,$F$8:$G$37,2,0)="",C101,VLOOKUP(A101,$F$8:$G$37,2,0)),C101)</f>
        <v/>
      </c>
      <c r="C101" s="48">
        <f>NETWORKDAYS(A101,EOMONTH(A101,0))</f>
        <v/>
      </c>
      <c r="D101" s="66">
        <f>IF(ISNUMBER(MATCH(A101,$F$8:$F$37,0)),"修正あり","")</f>
        <v/>
      </c>
    </row>
    <row r="102">
      <c r="A102" s="65">
        <f>EDATE(A101,1)</f>
        <v/>
      </c>
      <c r="B102" s="48">
        <f>IFERROR(IF(VLOOKUP(A102,$F$8:$G$37,2,0)="",C102,VLOOKUP(A102,$F$8:$G$37,2,0)),C102)</f>
        <v/>
      </c>
      <c r="C102" s="48">
        <f>NETWORKDAYS(A102,EOMONTH(A102,0))</f>
        <v/>
      </c>
      <c r="D102" s="66">
        <f>IF(ISNUMBER(MATCH(A102,$F$8:$F$37,0)),"修正あり","")</f>
        <v/>
      </c>
    </row>
    <row r="103">
      <c r="A103" s="65">
        <f>EDATE(A102,1)</f>
        <v/>
      </c>
      <c r="B103" s="48">
        <f>IFERROR(IF(VLOOKUP(A103,$F$8:$G$37,2,0)="",C103,VLOOKUP(A103,$F$8:$G$37,2,0)),C103)</f>
        <v/>
      </c>
      <c r="C103" s="48">
        <f>NETWORKDAYS(A103,EOMONTH(A103,0))</f>
        <v/>
      </c>
      <c r="D103" s="66">
        <f>IF(ISNUMBER(MATCH(A103,$F$8:$F$37,0)),"修正あり","")</f>
        <v/>
      </c>
    </row>
    <row r="104">
      <c r="A104" s="65">
        <f>EDATE(A103,1)</f>
        <v/>
      </c>
      <c r="B104" s="48">
        <f>IFERROR(IF(VLOOKUP(A104,$F$8:$G$37,2,0)="",C104,VLOOKUP(A104,$F$8:$G$37,2,0)),C104)</f>
        <v/>
      </c>
      <c r="C104" s="48">
        <f>NETWORKDAYS(A104,EOMONTH(A104,0))</f>
        <v/>
      </c>
      <c r="D104" s="66">
        <f>IF(ISNUMBER(MATCH(A104,$F$8:$F$37,0)),"修正あり","")</f>
        <v/>
      </c>
    </row>
    <row r="105">
      <c r="A105" s="65">
        <f>EDATE(A104,1)</f>
        <v/>
      </c>
      <c r="B105" s="48">
        <f>IFERROR(IF(VLOOKUP(A105,$F$8:$G$37,2,0)="",C105,VLOOKUP(A105,$F$8:$G$37,2,0)),C105)</f>
        <v/>
      </c>
      <c r="C105" s="48">
        <f>NETWORKDAYS(A105,EOMONTH(A105,0))</f>
        <v/>
      </c>
      <c r="D105" s="66">
        <f>IF(ISNUMBER(MATCH(A105,$F$8:$F$37,0)),"修正あり","")</f>
        <v/>
      </c>
    </row>
    <row r="106">
      <c r="A106" s="65">
        <f>EDATE(A105,1)</f>
        <v/>
      </c>
      <c r="B106" s="48">
        <f>IFERROR(IF(VLOOKUP(A106,$F$8:$G$37,2,0)="",C106,VLOOKUP(A106,$F$8:$G$37,2,0)),C106)</f>
        <v/>
      </c>
      <c r="C106" s="48">
        <f>NETWORKDAYS(A106,EOMONTH(A106,0))</f>
        <v/>
      </c>
      <c r="D106" s="66">
        <f>IF(ISNUMBER(MATCH(A106,$F$8:$F$37,0)),"修正あり","")</f>
        <v/>
      </c>
    </row>
    <row r="107">
      <c r="A107" s="65">
        <f>EDATE(A106,1)</f>
        <v/>
      </c>
      <c r="B107" s="48">
        <f>IFERROR(IF(VLOOKUP(A107,$F$8:$G$37,2,0)="",C107,VLOOKUP(A107,$F$8:$G$37,2,0)),C107)</f>
        <v/>
      </c>
      <c r="C107" s="48">
        <f>NETWORKDAYS(A107,EOMONTH(A107,0))</f>
        <v/>
      </c>
      <c r="D107" s="66">
        <f>IF(ISNUMBER(MATCH(A107,$F$8:$F$37,0)),"修正あり","")</f>
        <v/>
      </c>
    </row>
    <row r="108">
      <c r="A108" s="65">
        <f>EDATE(A107,1)</f>
        <v/>
      </c>
      <c r="B108" s="48">
        <f>IFERROR(IF(VLOOKUP(A108,$F$8:$G$37,2,0)="",C108,VLOOKUP(A108,$F$8:$G$37,2,0)),C108)</f>
        <v/>
      </c>
      <c r="C108" s="48">
        <f>NETWORKDAYS(A108,EOMONTH(A108,0))</f>
        <v/>
      </c>
      <c r="D108" s="66">
        <f>IF(ISNUMBER(MATCH(A108,$F$8:$F$37,0)),"修正あり","")</f>
        <v/>
      </c>
    </row>
    <row r="109">
      <c r="A109" s="65">
        <f>EDATE(A108,1)</f>
        <v/>
      </c>
      <c r="B109" s="48">
        <f>IFERROR(IF(VLOOKUP(A109,$F$8:$G$37,2,0)="",C109,VLOOKUP(A109,$F$8:$G$37,2,0)),C109)</f>
        <v/>
      </c>
      <c r="C109" s="48">
        <f>NETWORKDAYS(A109,EOMONTH(A109,0))</f>
        <v/>
      </c>
      <c r="D109" s="66">
        <f>IF(ISNUMBER(MATCH(A109,$F$8:$F$37,0)),"修正あり","")</f>
        <v/>
      </c>
    </row>
    <row r="110">
      <c r="A110" s="65">
        <f>EDATE(A109,1)</f>
        <v/>
      </c>
      <c r="B110" s="48">
        <f>IFERROR(IF(VLOOKUP(A110,$F$8:$G$37,2,0)="",C110,VLOOKUP(A110,$F$8:$G$37,2,0)),C110)</f>
        <v/>
      </c>
      <c r="C110" s="48">
        <f>NETWORKDAYS(A110,EOMONTH(A110,0))</f>
        <v/>
      </c>
      <c r="D110" s="66">
        <f>IF(ISNUMBER(MATCH(A110,$F$8:$F$37,0)),"修正あり","")</f>
        <v/>
      </c>
    </row>
    <row r="111">
      <c r="A111" s="65">
        <f>EDATE(A110,1)</f>
        <v/>
      </c>
      <c r="B111" s="48">
        <f>IFERROR(IF(VLOOKUP(A111,$F$8:$G$37,2,0)="",C111,VLOOKUP(A111,$F$8:$G$37,2,0)),C111)</f>
        <v/>
      </c>
      <c r="C111" s="48">
        <f>NETWORKDAYS(A111,EOMONTH(A111,0))</f>
        <v/>
      </c>
      <c r="D111" s="66">
        <f>IF(ISNUMBER(MATCH(A111,$F$8:$F$37,0)),"修正あり","")</f>
        <v/>
      </c>
    </row>
    <row r="112">
      <c r="A112" s="65">
        <f>EDATE(A111,1)</f>
        <v/>
      </c>
      <c r="B112" s="48">
        <f>IFERROR(IF(VLOOKUP(A112,$F$8:$G$37,2,0)="",C112,VLOOKUP(A112,$F$8:$G$37,2,0)),C112)</f>
        <v/>
      </c>
      <c r="C112" s="48">
        <f>NETWORKDAYS(A112,EOMONTH(A112,0))</f>
        <v/>
      </c>
      <c r="D112" s="66">
        <f>IF(ISNUMBER(MATCH(A112,$F$8:$F$37,0)),"修正あり","")</f>
        <v/>
      </c>
    </row>
    <row r="113">
      <c r="A113" s="65">
        <f>EDATE(A112,1)</f>
        <v/>
      </c>
      <c r="B113" s="48">
        <f>IFERROR(IF(VLOOKUP(A113,$F$8:$G$37,2,0)="",C113,VLOOKUP(A113,$F$8:$G$37,2,0)),C113)</f>
        <v/>
      </c>
      <c r="C113" s="48">
        <f>NETWORKDAYS(A113,EOMONTH(A113,0))</f>
        <v/>
      </c>
      <c r="D113" s="66">
        <f>IF(ISNUMBER(MATCH(A113,$F$8:$F$37,0)),"修正あり","")</f>
        <v/>
      </c>
    </row>
    <row r="114">
      <c r="A114" s="65">
        <f>EDATE(A113,1)</f>
        <v/>
      </c>
      <c r="B114" s="48">
        <f>IFERROR(IF(VLOOKUP(A114,$F$8:$G$37,2,0)="",C114,VLOOKUP(A114,$F$8:$G$37,2,0)),C114)</f>
        <v/>
      </c>
      <c r="C114" s="48">
        <f>NETWORKDAYS(A114,EOMONTH(A114,0))</f>
        <v/>
      </c>
      <c r="D114" s="66">
        <f>IF(ISNUMBER(MATCH(A114,$F$8:$F$37,0)),"修正あり","")</f>
        <v/>
      </c>
    </row>
    <row r="115">
      <c r="A115" s="65">
        <f>EDATE(A114,1)</f>
        <v/>
      </c>
      <c r="B115" s="48">
        <f>IFERROR(IF(VLOOKUP(A115,$F$8:$G$37,2,0)="",C115,VLOOKUP(A115,$F$8:$G$37,2,0)),C115)</f>
        <v/>
      </c>
      <c r="C115" s="48">
        <f>NETWORKDAYS(A115,EOMONTH(A115,0))</f>
        <v/>
      </c>
      <c r="D115" s="66">
        <f>IF(ISNUMBER(MATCH(A115,$F$8:$F$37,0)),"修正あり","")</f>
        <v/>
      </c>
    </row>
    <row r="116">
      <c r="A116" s="65">
        <f>EDATE(A115,1)</f>
        <v/>
      </c>
      <c r="B116" s="48">
        <f>IFERROR(IF(VLOOKUP(A116,$F$8:$G$37,2,0)="",C116,VLOOKUP(A116,$F$8:$G$37,2,0)),C116)</f>
        <v/>
      </c>
      <c r="C116" s="48">
        <f>NETWORKDAYS(A116,EOMONTH(A116,0))</f>
        <v/>
      </c>
      <c r="D116" s="66">
        <f>IF(ISNUMBER(MATCH(A116,$F$8:$F$37,0)),"修正あり","")</f>
        <v/>
      </c>
    </row>
    <row r="117">
      <c r="A117" s="65">
        <f>EDATE(A116,1)</f>
        <v/>
      </c>
      <c r="B117" s="48">
        <f>IFERROR(IF(VLOOKUP(A117,$F$8:$G$37,2,0)="",C117,VLOOKUP(A117,$F$8:$G$37,2,0)),C117)</f>
        <v/>
      </c>
      <c r="C117" s="48">
        <f>NETWORKDAYS(A117,EOMONTH(A117,0))</f>
        <v/>
      </c>
      <c r="D117" s="66">
        <f>IF(ISNUMBER(MATCH(A117,$F$8:$F$37,0)),"修正あり","")</f>
        <v/>
      </c>
    </row>
    <row r="118">
      <c r="A118" s="65">
        <f>EDATE(A117,1)</f>
        <v/>
      </c>
      <c r="B118" s="48">
        <f>IFERROR(IF(VLOOKUP(A118,$F$8:$G$37,2,0)="",C118,VLOOKUP(A118,$F$8:$G$37,2,0)),C118)</f>
        <v/>
      </c>
      <c r="C118" s="48">
        <f>NETWORKDAYS(A118,EOMONTH(A118,0))</f>
        <v/>
      </c>
      <c r="D118" s="66">
        <f>IF(ISNUMBER(MATCH(A118,$F$8:$F$37,0)),"修正あり","")</f>
        <v/>
      </c>
    </row>
    <row r="119">
      <c r="A119" s="65">
        <f>EDATE(A118,1)</f>
        <v/>
      </c>
      <c r="B119" s="48">
        <f>IFERROR(IF(VLOOKUP(A119,$F$8:$G$37,2,0)="",C119,VLOOKUP(A119,$F$8:$G$37,2,0)),C119)</f>
        <v/>
      </c>
      <c r="C119" s="48">
        <f>NETWORKDAYS(A119,EOMONTH(A119,0))</f>
        <v/>
      </c>
      <c r="D119" s="66">
        <f>IF(ISNUMBER(MATCH(A119,$F$8:$F$37,0)),"修正あり","")</f>
        <v/>
      </c>
    </row>
    <row r="120">
      <c r="A120" s="65">
        <f>EDATE(A119,1)</f>
        <v/>
      </c>
      <c r="B120" s="48">
        <f>IFERROR(IF(VLOOKUP(A120,$F$8:$G$37,2,0)="",C120,VLOOKUP(A120,$F$8:$G$37,2,0)),C120)</f>
        <v/>
      </c>
      <c r="C120" s="48">
        <f>NETWORKDAYS(A120,EOMONTH(A120,0))</f>
        <v/>
      </c>
      <c r="D120" s="66">
        <f>IF(ISNUMBER(MATCH(A120,$F$8:$F$37,0)),"修正あり","")</f>
        <v/>
      </c>
    </row>
    <row r="121">
      <c r="A121" s="65">
        <f>EDATE(A120,1)</f>
        <v/>
      </c>
      <c r="B121" s="48">
        <f>IFERROR(IF(VLOOKUP(A121,$F$8:$G$37,2,0)="",C121,VLOOKUP(A121,$F$8:$G$37,2,0)),C121)</f>
        <v/>
      </c>
      <c r="C121" s="48">
        <f>NETWORKDAYS(A121,EOMONTH(A121,0))</f>
        <v/>
      </c>
      <c r="D121" s="66">
        <f>IF(ISNUMBER(MATCH(A121,$F$8:$F$37,0)),"修正あり","")</f>
        <v/>
      </c>
    </row>
    <row r="122">
      <c r="A122" s="69" t="n"/>
      <c r="B122" s="69" t="n"/>
      <c r="C122" s="69" t="n"/>
      <c r="D122" s="69" t="n"/>
    </row>
    <row r="123">
      <c r="A123" s="69" t="n"/>
      <c r="B123" s="69" t="n"/>
      <c r="C123" s="69" t="n"/>
      <c r="D123" s="69" t="n"/>
    </row>
    <row r="124">
      <c r="A124" s="69" t="n"/>
      <c r="B124" s="69" t="n"/>
      <c r="C124" s="69" t="n"/>
      <c r="D124" s="69" t="n"/>
    </row>
    <row r="125">
      <c r="A125" s="69" t="n"/>
      <c r="B125" s="69" t="n"/>
      <c r="C125" s="69" t="n"/>
      <c r="D125" s="69" t="n"/>
    </row>
    <row r="126">
      <c r="A126" s="69" t="n"/>
      <c r="B126" s="69" t="n"/>
      <c r="C126" s="69" t="n"/>
      <c r="D126" s="69" t="n"/>
    </row>
    <row r="127">
      <c r="A127" s="69" t="n"/>
      <c r="B127" s="69" t="n"/>
      <c r="C127" s="69" t="n"/>
      <c r="D127" s="69" t="n"/>
    </row>
    <row r="128">
      <c r="A128" s="69" t="n"/>
      <c r="B128" s="69" t="n"/>
      <c r="C128" s="69" t="n"/>
      <c r="D128" s="69" t="n"/>
    </row>
    <row r="129">
      <c r="A129" s="69" t="n"/>
      <c r="B129" s="69" t="n"/>
      <c r="C129" s="69" t="n"/>
      <c r="D129" s="69" t="n"/>
    </row>
    <row r="130">
      <c r="A130" s="69" t="n"/>
      <c r="B130" s="69" t="n"/>
      <c r="C130" s="69" t="n"/>
      <c r="D130" s="69" t="n"/>
    </row>
  </sheetData>
  <pageMargins left="0.75" right="0.75" top="1" bottom="1" header="0.511811023622047" footer="0.511811023622047"/>
  <pageSetup orientation="landscape" paperSize="9" fitToHeight="0" fitToWidth="1"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O50"/>
  <sheetViews>
    <sheetView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width="14" customWidth="1" style="39" min="16" max="16"/>
  </cols>
  <sheetData>
    <row r="1">
      <c r="A1" s="10" t="inlineStr">
        <is>
          <t>傷病手当金 請求内訳</t>
        </is>
      </c>
    </row>
    <row r="3">
      <c r="A3" s="12" t="inlineStr">
        <is>
          <t>職員番号</t>
        </is>
      </c>
      <c r="F3" s="70">
        <f>EMP_ID</f>
        <v/>
      </c>
      <c r="J3" s="12" t="inlineStr">
        <is>
          <t>支給開始日（待機3日後）</t>
        </is>
      </c>
      <c r="N3" s="71">
        <f>P_START</f>
        <v/>
      </c>
    </row>
    <row r="4">
      <c r="A4" s="12" t="inlineStr">
        <is>
          <t>氏名</t>
        </is>
      </c>
      <c r="F4" s="72">
        <f>EMP_NAME</f>
        <v/>
      </c>
      <c r="J4" s="12" t="inlineStr">
        <is>
          <t>法定給付の末日（1年6月＋出勤）</t>
        </is>
      </c>
      <c r="N4" s="71">
        <f>P_LEGAL_END</f>
        <v/>
      </c>
    </row>
    <row r="5">
      <c r="A5" s="12" t="inlineStr">
        <is>
          <t>請求期間</t>
        </is>
      </c>
      <c r="F5" s="71">
        <f>IF(CLAIM_FROM="","",CLAIM_FROM)</f>
        <v/>
      </c>
      <c r="G5" s="73" t="inlineStr">
        <is>
          <t>～</t>
        </is>
      </c>
      <c r="H5" s="71">
        <f>IF(CLAIM_TO="","",CLAIM_TO)</f>
        <v/>
      </c>
      <c r="J5" s="12" t="inlineStr">
        <is>
          <t>附加給付の開始日</t>
        </is>
      </c>
      <c r="N5" s="71">
        <f>P_ADD_START</f>
        <v/>
      </c>
    </row>
    <row r="6">
      <c r="A6" s="12" t="inlineStr">
        <is>
          <t>傷病手当日額（支給開始月で固定）</t>
        </is>
      </c>
      <c r="F6" s="74">
        <f>DAILY_RATE</f>
        <v/>
      </c>
      <c r="J6" s="12" t="inlineStr">
        <is>
          <t>附加給付の末日（+6月＋出勤）</t>
        </is>
      </c>
      <c r="N6" s="71">
        <f>P_ADD_END</f>
        <v/>
      </c>
    </row>
    <row r="7">
      <c r="A7" s="12" t="inlineStr">
        <is>
          <t>作成日</t>
        </is>
      </c>
      <c r="F7" s="71">
        <f>TODAY()</f>
        <v/>
      </c>
      <c r="J7" s="12" t="inlineStr">
        <is>
          <t>算定の最終日</t>
        </is>
      </c>
      <c r="N7" s="71">
        <f>P_FINAL</f>
        <v/>
      </c>
    </row>
    <row r="8">
      <c r="J8" s="12" t="inlineStr">
        <is>
          <t>出勤による延長（月数／土日を除く日数）</t>
        </is>
      </c>
      <c r="N8" s="75">
        <f>EXT_MONTHS</f>
        <v/>
      </c>
      <c r="O8" s="76">
        <f>EXT_DAYS</f>
        <v/>
      </c>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t="n"/>
      <c r="E10" s="30" t="n"/>
      <c r="F10" s="51" t="n"/>
      <c r="G10" s="51" t="n"/>
      <c r="H10" s="52" t="n"/>
      <c r="I10" s="33">
        <f>IF(F10="","",NETWORKDAYS(F10,G10))</f>
        <v/>
      </c>
      <c r="J10" s="52" t="n"/>
      <c r="K10" s="52" t="n"/>
      <c r="L10" s="34">
        <f>IF(F10="","",IF(J10&gt;K10,"〇","×"))</f>
        <v/>
      </c>
      <c r="M10" s="52">
        <f>IF(F10="","",J10*I10)</f>
        <v/>
      </c>
      <c r="N10" s="52">
        <f>IF(F10="","",MIN(J10,K10)*I10)</f>
        <v/>
      </c>
      <c r="O10" s="53">
        <f>IF(F10="","",M10-N10)</f>
        <v/>
      </c>
    </row>
    <row r="11">
      <c r="A11" s="30">
        <f>IF(F11="","",2)</f>
        <v/>
      </c>
      <c r="B11" s="30">
        <f>IF(F11="","",YEAR(F11))</f>
        <v/>
      </c>
      <c r="C11" s="30">
        <f>IF(F11="","",MONTH(F11))</f>
        <v/>
      </c>
      <c r="D11" s="30" t="n"/>
      <c r="E11" s="30" t="n"/>
      <c r="F11" s="51" t="n"/>
      <c r="G11" s="51" t="n"/>
      <c r="H11" s="52" t="n"/>
      <c r="I11" s="33">
        <f>IF(F11="","",NETWORKDAYS(F11,G11))</f>
        <v/>
      </c>
      <c r="J11" s="52" t="n"/>
      <c r="K11" s="52" t="n"/>
      <c r="L11" s="34">
        <f>IF(F11="","",IF(J11&gt;K11,"〇","×"))</f>
        <v/>
      </c>
      <c r="M11" s="52">
        <f>IF(F11="","",J11*I11)</f>
        <v/>
      </c>
      <c r="N11" s="52">
        <f>IF(F11="","",MIN(J11,K11)*I11)</f>
        <v/>
      </c>
      <c r="O11" s="53">
        <f>IF(F11="","",M11-N11)</f>
        <v/>
      </c>
    </row>
    <row r="12">
      <c r="A12" s="30">
        <f>IF(F12="","",3)</f>
        <v/>
      </c>
      <c r="B12" s="30">
        <f>IF(F12="","",YEAR(F12))</f>
        <v/>
      </c>
      <c r="C12" s="30">
        <f>IF(F12="","",MONTH(F12))</f>
        <v/>
      </c>
      <c r="D12" s="30" t="n"/>
      <c r="E12" s="30" t="n"/>
      <c r="F12" s="51" t="n"/>
      <c r="G12" s="51" t="n"/>
      <c r="H12" s="52" t="n"/>
      <c r="I12" s="33">
        <f>IF(F12="","",NETWORKDAYS(F12,G12))</f>
        <v/>
      </c>
      <c r="J12" s="52" t="n"/>
      <c r="K12" s="52" t="n"/>
      <c r="L12" s="34">
        <f>IF(F12="","",IF(J12&gt;K12,"〇","×"))</f>
        <v/>
      </c>
      <c r="M12" s="52">
        <f>IF(F12="","",J12*I12)</f>
        <v/>
      </c>
      <c r="N12" s="52">
        <f>IF(F12="","",MIN(J12,K12)*I12)</f>
        <v/>
      </c>
      <c r="O12" s="53">
        <f>IF(F12="","",M12-N12)</f>
        <v/>
      </c>
    </row>
    <row r="13">
      <c r="A13" s="30">
        <f>IF(F13="","",4)</f>
        <v/>
      </c>
      <c r="B13" s="30">
        <f>IF(F13="","",YEAR(F13))</f>
        <v/>
      </c>
      <c r="C13" s="30">
        <f>IF(F13="","",MONTH(F13))</f>
        <v/>
      </c>
      <c r="D13" s="30" t="n"/>
      <c r="E13" s="30" t="n"/>
      <c r="F13" s="51" t="n"/>
      <c r="G13" s="51" t="n"/>
      <c r="H13" s="52" t="n"/>
      <c r="I13" s="33">
        <f>IF(F13="","",NETWORKDAYS(F13,G13))</f>
        <v/>
      </c>
      <c r="J13" s="52" t="n"/>
      <c r="K13" s="52" t="n"/>
      <c r="L13" s="34">
        <f>IF(F13="","",IF(J13&gt;K13,"〇","×"))</f>
        <v/>
      </c>
      <c r="M13" s="52">
        <f>IF(F13="","",J13*I13)</f>
        <v/>
      </c>
      <c r="N13" s="52">
        <f>IF(F13="","",MIN(J13,K13)*I13)</f>
        <v/>
      </c>
      <c r="O13" s="53">
        <f>IF(F13="","",M13-N13)</f>
        <v/>
      </c>
    </row>
    <row r="14">
      <c r="A14" s="30">
        <f>IF(F14="","",5)</f>
        <v/>
      </c>
      <c r="B14" s="30">
        <f>IF(F14="","",YEAR(F14))</f>
        <v/>
      </c>
      <c r="C14" s="30">
        <f>IF(F14="","",MONTH(F14))</f>
        <v/>
      </c>
      <c r="D14" s="30" t="n"/>
      <c r="E14" s="30" t="n"/>
      <c r="F14" s="51" t="n"/>
      <c r="G14" s="51" t="n"/>
      <c r="H14" s="52" t="n"/>
      <c r="I14" s="33">
        <f>IF(F14="","",NETWORKDAYS(F14,G14))</f>
        <v/>
      </c>
      <c r="J14" s="52" t="n"/>
      <c r="K14" s="52" t="n"/>
      <c r="L14" s="34">
        <f>IF(F14="","",IF(J14&gt;K14,"〇","×"))</f>
        <v/>
      </c>
      <c r="M14" s="52">
        <f>IF(F14="","",J14*I14)</f>
        <v/>
      </c>
      <c r="N14" s="52">
        <f>IF(F14="","",MIN(J14,K14)*I14)</f>
        <v/>
      </c>
      <c r="O14" s="53">
        <f>IF(F14="","",M14-N14)</f>
        <v/>
      </c>
    </row>
    <row r="15">
      <c r="A15" s="30">
        <f>IF(F15="","",6)</f>
        <v/>
      </c>
      <c r="B15" s="30">
        <f>IF(F15="","",YEAR(F15))</f>
        <v/>
      </c>
      <c r="C15" s="30">
        <f>IF(F15="","",MONTH(F15))</f>
        <v/>
      </c>
      <c r="D15" s="30" t="n"/>
      <c r="E15" s="30" t="n"/>
      <c r="F15" s="51" t="n"/>
      <c r="G15" s="51" t="n"/>
      <c r="H15" s="52" t="n"/>
      <c r="I15" s="33">
        <f>IF(F15="","",NETWORKDAYS(F15,G15))</f>
        <v/>
      </c>
      <c r="J15" s="52" t="n"/>
      <c r="K15" s="52" t="n"/>
      <c r="L15" s="34">
        <f>IF(F15="","",IF(J15&gt;K15,"〇","×"))</f>
        <v/>
      </c>
      <c r="M15" s="52">
        <f>IF(F15="","",J15*I15)</f>
        <v/>
      </c>
      <c r="N15" s="52">
        <f>IF(F15="","",MIN(J15,K15)*I15)</f>
        <v/>
      </c>
      <c r="O15" s="53">
        <f>IF(F15="","",M15-N15)</f>
        <v/>
      </c>
    </row>
    <row r="16">
      <c r="A16" s="30">
        <f>IF(F16="","",7)</f>
        <v/>
      </c>
      <c r="B16" s="30">
        <f>IF(F16="","",YEAR(F16))</f>
        <v/>
      </c>
      <c r="C16" s="30">
        <f>IF(F16="","",MONTH(F16))</f>
        <v/>
      </c>
      <c r="D16" s="30" t="n"/>
      <c r="E16" s="30" t="n"/>
      <c r="F16" s="51" t="n"/>
      <c r="G16" s="51" t="n"/>
      <c r="H16" s="52" t="n"/>
      <c r="I16" s="33">
        <f>IF(F16="","",NETWORKDAYS(F16,G16))</f>
        <v/>
      </c>
      <c r="J16" s="52" t="n"/>
      <c r="K16" s="52" t="n"/>
      <c r="L16" s="34">
        <f>IF(F16="","",IF(J16&gt;K16,"〇","×"))</f>
        <v/>
      </c>
      <c r="M16" s="52">
        <f>IF(F16="","",J16*I16)</f>
        <v/>
      </c>
      <c r="N16" s="52">
        <f>IF(F16="","",MIN(J16,K16)*I16)</f>
        <v/>
      </c>
      <c r="O16" s="53">
        <f>IF(F16="","",M16-N16)</f>
        <v/>
      </c>
    </row>
    <row r="17">
      <c r="A17" s="30">
        <f>IF(F17="","",8)</f>
        <v/>
      </c>
      <c r="B17" s="30">
        <f>IF(F17="","",YEAR(F17))</f>
        <v/>
      </c>
      <c r="C17" s="30">
        <f>IF(F17="","",MONTH(F17))</f>
        <v/>
      </c>
      <c r="D17" s="30" t="n"/>
      <c r="E17" s="30" t="n"/>
      <c r="F17" s="51" t="n"/>
      <c r="G17" s="51" t="n"/>
      <c r="H17" s="52" t="n"/>
      <c r="I17" s="33">
        <f>IF(F17="","",NETWORKDAYS(F17,G17))</f>
        <v/>
      </c>
      <c r="J17" s="52" t="n"/>
      <c r="K17" s="52" t="n"/>
      <c r="L17" s="34">
        <f>IF(F17="","",IF(J17&gt;K17,"〇","×"))</f>
        <v/>
      </c>
      <c r="M17" s="52">
        <f>IF(F17="","",J17*I17)</f>
        <v/>
      </c>
      <c r="N17" s="52">
        <f>IF(F17="","",MIN(J17,K17)*I17)</f>
        <v/>
      </c>
      <c r="O17" s="53">
        <f>IF(F17="","",M17-N17)</f>
        <v/>
      </c>
    </row>
    <row r="18">
      <c r="A18" s="30">
        <f>IF(F18="","",9)</f>
        <v/>
      </c>
      <c r="B18" s="30">
        <f>IF(F18="","",YEAR(F18))</f>
        <v/>
      </c>
      <c r="C18" s="30">
        <f>IF(F18="","",MONTH(F18))</f>
        <v/>
      </c>
      <c r="D18" s="30" t="n"/>
      <c r="E18" s="30" t="n"/>
      <c r="F18" s="51" t="n"/>
      <c r="G18" s="51" t="n"/>
      <c r="H18" s="52" t="n"/>
      <c r="I18" s="33">
        <f>IF(F18="","",NETWORKDAYS(F18,G18))</f>
        <v/>
      </c>
      <c r="J18" s="52" t="n"/>
      <c r="K18" s="52" t="n"/>
      <c r="L18" s="34">
        <f>IF(F18="","",IF(J18&gt;K18,"〇","×"))</f>
        <v/>
      </c>
      <c r="M18" s="52">
        <f>IF(F18="","",J18*I18)</f>
        <v/>
      </c>
      <c r="N18" s="52">
        <f>IF(F18="","",MIN(J18,K18)*I18)</f>
        <v/>
      </c>
      <c r="O18" s="53">
        <f>IF(F18="","",M18-N18)</f>
        <v/>
      </c>
    </row>
    <row r="19">
      <c r="A19" s="30">
        <f>IF(F19="","",10)</f>
        <v/>
      </c>
      <c r="B19" s="30">
        <f>IF(F19="","",YEAR(F19))</f>
        <v/>
      </c>
      <c r="C19" s="30">
        <f>IF(F19="","",MONTH(F19))</f>
        <v/>
      </c>
      <c r="D19" s="30" t="n"/>
      <c r="E19" s="30" t="n"/>
      <c r="F19" s="51" t="n"/>
      <c r="G19" s="51" t="n"/>
      <c r="H19" s="52" t="n"/>
      <c r="I19" s="33">
        <f>IF(F19="","",NETWORKDAYS(F19,G19))</f>
        <v/>
      </c>
      <c r="J19" s="52" t="n"/>
      <c r="K19" s="52" t="n"/>
      <c r="L19" s="34">
        <f>IF(F19="","",IF(J19&gt;K19,"〇","×"))</f>
        <v/>
      </c>
      <c r="M19" s="52">
        <f>IF(F19="","",J19*I19)</f>
        <v/>
      </c>
      <c r="N19" s="52">
        <f>IF(F19="","",MIN(J19,K19)*I19)</f>
        <v/>
      </c>
      <c r="O19" s="53">
        <f>IF(F19="","",M19-N19)</f>
        <v/>
      </c>
    </row>
    <row r="20">
      <c r="A20" s="30">
        <f>IF(F20="","",11)</f>
        <v/>
      </c>
      <c r="B20" s="30">
        <f>IF(F20="","",YEAR(F20))</f>
        <v/>
      </c>
      <c r="C20" s="30">
        <f>IF(F20="","",MONTH(F20))</f>
        <v/>
      </c>
      <c r="D20" s="30" t="n"/>
      <c r="E20" s="30" t="n"/>
      <c r="F20" s="51" t="n"/>
      <c r="G20" s="51" t="n"/>
      <c r="H20" s="52" t="n"/>
      <c r="I20" s="33">
        <f>IF(F20="","",NETWORKDAYS(F20,G20))</f>
        <v/>
      </c>
      <c r="J20" s="52" t="n"/>
      <c r="K20" s="52" t="n"/>
      <c r="L20" s="34">
        <f>IF(F20="","",IF(J20&gt;K20,"〇","×"))</f>
        <v/>
      </c>
      <c r="M20" s="52">
        <f>IF(F20="","",J20*I20)</f>
        <v/>
      </c>
      <c r="N20" s="52">
        <f>IF(F20="","",MIN(J20,K20)*I20)</f>
        <v/>
      </c>
      <c r="O20" s="53">
        <f>IF(F20="","",M20-N20)</f>
        <v/>
      </c>
    </row>
    <row r="21">
      <c r="A21" s="30">
        <f>IF(F21="","",12)</f>
        <v/>
      </c>
      <c r="B21" s="30">
        <f>IF(F21="","",YEAR(F21))</f>
        <v/>
      </c>
      <c r="C21" s="30">
        <f>IF(F21="","",MONTH(F21))</f>
        <v/>
      </c>
      <c r="D21" s="30" t="n"/>
      <c r="E21" s="30" t="n"/>
      <c r="F21" s="51" t="n"/>
      <c r="G21" s="51" t="n"/>
      <c r="H21" s="52" t="n"/>
      <c r="I21" s="33">
        <f>IF(F21="","",NETWORKDAYS(F21,G21))</f>
        <v/>
      </c>
      <c r="J21" s="52" t="n"/>
      <c r="K21" s="52" t="n"/>
      <c r="L21" s="34">
        <f>IF(F21="","",IF(J21&gt;K21,"〇","×"))</f>
        <v/>
      </c>
      <c r="M21" s="52">
        <f>IF(F21="","",J21*I21)</f>
        <v/>
      </c>
      <c r="N21" s="52">
        <f>IF(F21="","",MIN(J21,K21)*I21)</f>
        <v/>
      </c>
      <c r="O21" s="53">
        <f>IF(F21="","",M21-N21)</f>
        <v/>
      </c>
    </row>
    <row r="22">
      <c r="A22" s="30">
        <f>IF(F22="","",13)</f>
        <v/>
      </c>
      <c r="B22" s="30">
        <f>IF(F22="","",YEAR(F22))</f>
        <v/>
      </c>
      <c r="C22" s="30">
        <f>IF(F22="","",MONTH(F22))</f>
        <v/>
      </c>
      <c r="D22" s="30" t="n"/>
      <c r="E22" s="30" t="n"/>
      <c r="F22" s="51" t="n"/>
      <c r="G22" s="51" t="n"/>
      <c r="H22" s="52" t="n"/>
      <c r="I22" s="33">
        <f>IF(F22="","",NETWORKDAYS(F22,G22))</f>
        <v/>
      </c>
      <c r="J22" s="52" t="n"/>
      <c r="K22" s="52" t="n"/>
      <c r="L22" s="34">
        <f>IF(F22="","",IF(J22&gt;K22,"〇","×"))</f>
        <v/>
      </c>
      <c r="M22" s="52">
        <f>IF(F22="","",J22*I22)</f>
        <v/>
      </c>
      <c r="N22" s="52">
        <f>IF(F22="","",MIN(J22,K22)*I22)</f>
        <v/>
      </c>
      <c r="O22" s="53">
        <f>IF(F22="","",M22-N22)</f>
        <v/>
      </c>
    </row>
    <row r="23">
      <c r="A23" s="30">
        <f>IF(F23="","",14)</f>
        <v/>
      </c>
      <c r="B23" s="30">
        <f>IF(F23="","",YEAR(F23))</f>
        <v/>
      </c>
      <c r="C23" s="30">
        <f>IF(F23="","",MONTH(F23))</f>
        <v/>
      </c>
      <c r="D23" s="30" t="n"/>
      <c r="E23" s="30" t="n"/>
      <c r="F23" s="51" t="n"/>
      <c r="G23" s="51" t="n"/>
      <c r="H23" s="52" t="n"/>
      <c r="I23" s="33">
        <f>IF(F23="","",NETWORKDAYS(F23,G23))</f>
        <v/>
      </c>
      <c r="J23" s="52" t="n"/>
      <c r="K23" s="52" t="n"/>
      <c r="L23" s="34">
        <f>IF(F23="","",IF(J23&gt;K23,"〇","×"))</f>
        <v/>
      </c>
      <c r="M23" s="52">
        <f>IF(F23="","",J23*I23)</f>
        <v/>
      </c>
      <c r="N23" s="52">
        <f>IF(F23="","",MIN(J23,K23)*I23)</f>
        <v/>
      </c>
      <c r="O23" s="53">
        <f>IF(F23="","",M23-N23)</f>
        <v/>
      </c>
    </row>
    <row r="24">
      <c r="A24" s="30">
        <f>IF(F24="","",15)</f>
        <v/>
      </c>
      <c r="B24" s="30">
        <f>IF(F24="","",YEAR(F24))</f>
        <v/>
      </c>
      <c r="C24" s="30">
        <f>IF(F24="","",MONTH(F24))</f>
        <v/>
      </c>
      <c r="D24" s="30" t="n"/>
      <c r="E24" s="30" t="n"/>
      <c r="F24" s="51" t="n"/>
      <c r="G24" s="51" t="n"/>
      <c r="H24" s="52" t="n"/>
      <c r="I24" s="33">
        <f>IF(F24="","",NETWORKDAYS(F24,G24))</f>
        <v/>
      </c>
      <c r="J24" s="52" t="n"/>
      <c r="K24" s="52" t="n"/>
      <c r="L24" s="34">
        <f>IF(F24="","",IF(J24&gt;K24,"〇","×"))</f>
        <v/>
      </c>
      <c r="M24" s="52">
        <f>IF(F24="","",J24*I24)</f>
        <v/>
      </c>
      <c r="N24" s="52">
        <f>IF(F24="","",MIN(J24,K24)*I24)</f>
        <v/>
      </c>
      <c r="O24" s="53">
        <f>IF(F24="","",M24-N24)</f>
        <v/>
      </c>
    </row>
    <row r="25">
      <c r="A25" s="30">
        <f>IF(F25="","",16)</f>
        <v/>
      </c>
      <c r="B25" s="30">
        <f>IF(F25="","",YEAR(F25))</f>
        <v/>
      </c>
      <c r="C25" s="30">
        <f>IF(F25="","",MONTH(F25))</f>
        <v/>
      </c>
      <c r="D25" s="30" t="n"/>
      <c r="E25" s="30" t="n"/>
      <c r="F25" s="51" t="n"/>
      <c r="G25" s="51" t="n"/>
      <c r="H25" s="52" t="n"/>
      <c r="I25" s="33">
        <f>IF(F25="","",NETWORKDAYS(F25,G25))</f>
        <v/>
      </c>
      <c r="J25" s="52" t="n"/>
      <c r="K25" s="52" t="n"/>
      <c r="L25" s="34">
        <f>IF(F25="","",IF(J25&gt;K25,"〇","×"))</f>
        <v/>
      </c>
      <c r="M25" s="52">
        <f>IF(F25="","",J25*I25)</f>
        <v/>
      </c>
      <c r="N25" s="52">
        <f>IF(F25="","",MIN(J25,K25)*I25)</f>
        <v/>
      </c>
      <c r="O25" s="53">
        <f>IF(F25="","",M25-N25)</f>
        <v/>
      </c>
    </row>
    <row r="26">
      <c r="A26" s="30">
        <f>IF(F26="","",17)</f>
        <v/>
      </c>
      <c r="B26" s="30">
        <f>IF(F26="","",YEAR(F26))</f>
        <v/>
      </c>
      <c r="C26" s="30">
        <f>IF(F26="","",MONTH(F26))</f>
        <v/>
      </c>
      <c r="D26" s="30" t="n"/>
      <c r="E26" s="30" t="n"/>
      <c r="F26" s="51" t="n"/>
      <c r="G26" s="51" t="n"/>
      <c r="H26" s="52" t="n"/>
      <c r="I26" s="33">
        <f>IF(F26="","",NETWORKDAYS(F26,G26))</f>
        <v/>
      </c>
      <c r="J26" s="52" t="n"/>
      <c r="K26" s="52" t="n"/>
      <c r="L26" s="34">
        <f>IF(F26="","",IF(J26&gt;K26,"〇","×"))</f>
        <v/>
      </c>
      <c r="M26" s="52">
        <f>IF(F26="","",J26*I26)</f>
        <v/>
      </c>
      <c r="N26" s="52">
        <f>IF(F26="","",MIN(J26,K26)*I26)</f>
        <v/>
      </c>
      <c r="O26" s="53">
        <f>IF(F26="","",M26-N26)</f>
        <v/>
      </c>
    </row>
    <row r="27">
      <c r="A27" s="30">
        <f>IF(F27="","",18)</f>
        <v/>
      </c>
      <c r="B27" s="30">
        <f>IF(F27="","",YEAR(F27))</f>
        <v/>
      </c>
      <c r="C27" s="30">
        <f>IF(F27="","",MONTH(F27))</f>
        <v/>
      </c>
      <c r="D27" s="30" t="n"/>
      <c r="E27" s="30" t="n"/>
      <c r="F27" s="51" t="n"/>
      <c r="G27" s="51" t="n"/>
      <c r="H27" s="52" t="n"/>
      <c r="I27" s="33">
        <f>IF(F27="","",NETWORKDAYS(F27,G27))</f>
        <v/>
      </c>
      <c r="J27" s="52" t="n"/>
      <c r="K27" s="52" t="n"/>
      <c r="L27" s="34">
        <f>IF(F27="","",IF(J27&gt;K27,"〇","×"))</f>
        <v/>
      </c>
      <c r="M27" s="52">
        <f>IF(F27="","",J27*I27)</f>
        <v/>
      </c>
      <c r="N27" s="52">
        <f>IF(F27="","",MIN(J27,K27)*I27)</f>
        <v/>
      </c>
      <c r="O27" s="53">
        <f>IF(F27="","",M27-N27)</f>
        <v/>
      </c>
    </row>
    <row r="28">
      <c r="A28" s="30">
        <f>IF(F28="","",19)</f>
        <v/>
      </c>
      <c r="B28" s="30">
        <f>IF(F28="","",YEAR(F28))</f>
        <v/>
      </c>
      <c r="C28" s="30">
        <f>IF(F28="","",MONTH(F28))</f>
        <v/>
      </c>
      <c r="D28" s="30" t="n"/>
      <c r="E28" s="30" t="n"/>
      <c r="F28" s="51" t="n"/>
      <c r="G28" s="51" t="n"/>
      <c r="H28" s="52" t="n"/>
      <c r="I28" s="33">
        <f>IF(F28="","",NETWORKDAYS(F28,G28))</f>
        <v/>
      </c>
      <c r="J28" s="52" t="n"/>
      <c r="K28" s="52" t="n"/>
      <c r="L28" s="34">
        <f>IF(F28="","",IF(J28&gt;K28,"〇","×"))</f>
        <v/>
      </c>
      <c r="M28" s="52">
        <f>IF(F28="","",J28*I28)</f>
        <v/>
      </c>
      <c r="N28" s="52">
        <f>IF(F28="","",MIN(J28,K28)*I28)</f>
        <v/>
      </c>
      <c r="O28" s="53">
        <f>IF(F28="","",M28-N28)</f>
        <v/>
      </c>
    </row>
    <row r="29">
      <c r="A29" s="30">
        <f>IF(F29="","",20)</f>
        <v/>
      </c>
      <c r="B29" s="30">
        <f>IF(F29="","",YEAR(F29))</f>
        <v/>
      </c>
      <c r="C29" s="30">
        <f>IF(F29="","",MONTH(F29))</f>
        <v/>
      </c>
      <c r="D29" s="30" t="n"/>
      <c r="E29" s="30" t="n"/>
      <c r="F29" s="51" t="n"/>
      <c r="G29" s="51" t="n"/>
      <c r="H29" s="52" t="n"/>
      <c r="I29" s="33">
        <f>IF(F29="","",NETWORKDAYS(F29,G29))</f>
        <v/>
      </c>
      <c r="J29" s="52" t="n"/>
      <c r="K29" s="52" t="n"/>
      <c r="L29" s="34">
        <f>IF(F29="","",IF(J29&gt;K29,"〇","×"))</f>
        <v/>
      </c>
      <c r="M29" s="52">
        <f>IF(F29="","",J29*I29)</f>
        <v/>
      </c>
      <c r="N29" s="52">
        <f>IF(F29="","",MIN(J29,K29)*I29)</f>
        <v/>
      </c>
      <c r="O29" s="53">
        <f>IF(F29="","",M29-N29)</f>
        <v/>
      </c>
    </row>
    <row r="30">
      <c r="A30" s="30">
        <f>IF(F30="","",21)</f>
        <v/>
      </c>
      <c r="B30" s="30">
        <f>IF(F30="","",YEAR(F30))</f>
        <v/>
      </c>
      <c r="C30" s="30">
        <f>IF(F30="","",MONTH(F30))</f>
        <v/>
      </c>
      <c r="D30" s="30" t="n"/>
      <c r="E30" s="30" t="n"/>
      <c r="F30" s="51" t="n"/>
      <c r="G30" s="51" t="n"/>
      <c r="H30" s="52" t="n"/>
      <c r="I30" s="33">
        <f>IF(F30="","",NETWORKDAYS(F30,G30))</f>
        <v/>
      </c>
      <c r="J30" s="52" t="n"/>
      <c r="K30" s="52" t="n"/>
      <c r="L30" s="34">
        <f>IF(F30="","",IF(J30&gt;K30,"〇","×"))</f>
        <v/>
      </c>
      <c r="M30" s="52">
        <f>IF(F30="","",J30*I30)</f>
        <v/>
      </c>
      <c r="N30" s="52">
        <f>IF(F30="","",MIN(J30,K30)*I30)</f>
        <v/>
      </c>
      <c r="O30" s="53">
        <f>IF(F30="","",M30-N30)</f>
        <v/>
      </c>
    </row>
    <row r="31">
      <c r="A31" s="30">
        <f>IF(F31="","",22)</f>
        <v/>
      </c>
      <c r="B31" s="30">
        <f>IF(F31="","",YEAR(F31))</f>
        <v/>
      </c>
      <c r="C31" s="30">
        <f>IF(F31="","",MONTH(F31))</f>
        <v/>
      </c>
      <c r="D31" s="30" t="n"/>
      <c r="E31" s="30" t="n"/>
      <c r="F31" s="51" t="n"/>
      <c r="G31" s="51" t="n"/>
      <c r="H31" s="52" t="n"/>
      <c r="I31" s="33">
        <f>IF(F31="","",NETWORKDAYS(F31,G31))</f>
        <v/>
      </c>
      <c r="J31" s="52" t="n"/>
      <c r="K31" s="52" t="n"/>
      <c r="L31" s="34">
        <f>IF(F31="","",IF(J31&gt;K31,"〇","×"))</f>
        <v/>
      </c>
      <c r="M31" s="52">
        <f>IF(F31="","",J31*I31)</f>
        <v/>
      </c>
      <c r="N31" s="52">
        <f>IF(F31="","",MIN(J31,K31)*I31)</f>
        <v/>
      </c>
      <c r="O31" s="53">
        <f>IF(F31="","",M31-N31)</f>
        <v/>
      </c>
    </row>
    <row r="32">
      <c r="A32" s="30">
        <f>IF(F32="","",23)</f>
        <v/>
      </c>
      <c r="B32" s="30">
        <f>IF(F32="","",YEAR(F32))</f>
        <v/>
      </c>
      <c r="C32" s="30">
        <f>IF(F32="","",MONTH(F32))</f>
        <v/>
      </c>
      <c r="D32" s="30" t="n"/>
      <c r="E32" s="30" t="n"/>
      <c r="F32" s="51" t="n"/>
      <c r="G32" s="51" t="n"/>
      <c r="H32" s="52" t="n"/>
      <c r="I32" s="33">
        <f>IF(F32="","",NETWORKDAYS(F32,G32))</f>
        <v/>
      </c>
      <c r="J32" s="52" t="n"/>
      <c r="K32" s="52" t="n"/>
      <c r="L32" s="34">
        <f>IF(F32="","",IF(J32&gt;K32,"〇","×"))</f>
        <v/>
      </c>
      <c r="M32" s="52">
        <f>IF(F32="","",J32*I32)</f>
        <v/>
      </c>
      <c r="N32" s="52">
        <f>IF(F32="","",MIN(J32,K32)*I32)</f>
        <v/>
      </c>
      <c r="O32" s="53">
        <f>IF(F32="","",M32-N32)</f>
        <v/>
      </c>
    </row>
    <row r="33">
      <c r="A33" s="30">
        <f>IF(F33="","",24)</f>
        <v/>
      </c>
      <c r="B33" s="30">
        <f>IF(F33="","",YEAR(F33))</f>
        <v/>
      </c>
      <c r="C33" s="30">
        <f>IF(F33="","",MONTH(F33))</f>
        <v/>
      </c>
      <c r="D33" s="30" t="n"/>
      <c r="E33" s="30" t="n"/>
      <c r="F33" s="51" t="n"/>
      <c r="G33" s="51" t="n"/>
      <c r="H33" s="52" t="n"/>
      <c r="I33" s="33">
        <f>IF(F33="","",NETWORKDAYS(F33,G33))</f>
        <v/>
      </c>
      <c r="J33" s="52" t="n"/>
      <c r="K33" s="52" t="n"/>
      <c r="L33" s="34">
        <f>IF(F33="","",IF(J33&gt;K33,"〇","×"))</f>
        <v/>
      </c>
      <c r="M33" s="52">
        <f>IF(F33="","",J33*I33)</f>
        <v/>
      </c>
      <c r="N33" s="52">
        <f>IF(F33="","",MIN(J33,K33)*I33)</f>
        <v/>
      </c>
      <c r="O33" s="53">
        <f>IF(F33="","",M33-N33)</f>
        <v/>
      </c>
    </row>
    <row r="34">
      <c r="A34" s="30">
        <f>IF(F34="","",25)</f>
        <v/>
      </c>
      <c r="B34" s="30">
        <f>IF(F34="","",YEAR(F34))</f>
        <v/>
      </c>
      <c r="C34" s="30">
        <f>IF(F34="","",MONTH(F34))</f>
        <v/>
      </c>
      <c r="D34" s="30" t="n"/>
      <c r="E34" s="30" t="n"/>
      <c r="F34" s="51" t="n"/>
      <c r="G34" s="51" t="n"/>
      <c r="H34" s="52" t="n"/>
      <c r="I34" s="33">
        <f>IF(F34="","",NETWORKDAYS(F34,G34))</f>
        <v/>
      </c>
      <c r="J34" s="52" t="n"/>
      <c r="K34" s="52" t="n"/>
      <c r="L34" s="34">
        <f>IF(F34="","",IF(J34&gt;K34,"〇","×"))</f>
        <v/>
      </c>
      <c r="M34" s="52">
        <f>IF(F34="","",J34*I34)</f>
        <v/>
      </c>
      <c r="N34" s="52">
        <f>IF(F34="","",MIN(J34,K34)*I34)</f>
        <v/>
      </c>
      <c r="O34" s="53">
        <f>IF(F34="","",M34-N34)</f>
        <v/>
      </c>
    </row>
    <row r="35">
      <c r="A35" s="30">
        <f>IF(F35="","",26)</f>
        <v/>
      </c>
      <c r="B35" s="30">
        <f>IF(F35="","",YEAR(F35))</f>
        <v/>
      </c>
      <c r="C35" s="30">
        <f>IF(F35="","",MONTH(F35))</f>
        <v/>
      </c>
      <c r="D35" s="30" t="n"/>
      <c r="E35" s="30" t="n"/>
      <c r="F35" s="51" t="n"/>
      <c r="G35" s="51" t="n"/>
      <c r="H35" s="52" t="n"/>
      <c r="I35" s="33">
        <f>IF(F35="","",NETWORKDAYS(F35,G35))</f>
        <v/>
      </c>
      <c r="J35" s="52" t="n"/>
      <c r="K35" s="52" t="n"/>
      <c r="L35" s="34">
        <f>IF(F35="","",IF(J35&gt;K35,"〇","×"))</f>
        <v/>
      </c>
      <c r="M35" s="52">
        <f>IF(F35="","",J35*I35)</f>
        <v/>
      </c>
      <c r="N35" s="52">
        <f>IF(F35="","",MIN(J35,K35)*I35)</f>
        <v/>
      </c>
      <c r="O35" s="53">
        <f>IF(F35="","",M35-N35)</f>
        <v/>
      </c>
    </row>
    <row r="36">
      <c r="A36" s="30">
        <f>IF(F36="","",27)</f>
        <v/>
      </c>
      <c r="B36" s="30">
        <f>IF(F36="","",YEAR(F36))</f>
        <v/>
      </c>
      <c r="C36" s="30">
        <f>IF(F36="","",MONTH(F36))</f>
        <v/>
      </c>
      <c r="D36" s="30" t="n"/>
      <c r="E36" s="30" t="n"/>
      <c r="F36" s="51" t="n"/>
      <c r="G36" s="51" t="n"/>
      <c r="H36" s="52" t="n"/>
      <c r="I36" s="33">
        <f>IF(F36="","",NETWORKDAYS(F36,G36))</f>
        <v/>
      </c>
      <c r="J36" s="52" t="n"/>
      <c r="K36" s="52" t="n"/>
      <c r="L36" s="34">
        <f>IF(F36="","",IF(J36&gt;K36,"〇","×"))</f>
        <v/>
      </c>
      <c r="M36" s="52">
        <f>IF(F36="","",J36*I36)</f>
        <v/>
      </c>
      <c r="N36" s="52">
        <f>IF(F36="","",MIN(J36,K36)*I36)</f>
        <v/>
      </c>
      <c r="O36" s="53">
        <f>IF(F36="","",M36-N36)</f>
        <v/>
      </c>
    </row>
    <row r="37">
      <c r="A37" s="30">
        <f>IF(F37="","",28)</f>
        <v/>
      </c>
      <c r="B37" s="30">
        <f>IF(F37="","",YEAR(F37))</f>
        <v/>
      </c>
      <c r="C37" s="30">
        <f>IF(F37="","",MONTH(F37))</f>
        <v/>
      </c>
      <c r="D37" s="30" t="n"/>
      <c r="E37" s="30" t="n"/>
      <c r="F37" s="51" t="n"/>
      <c r="G37" s="51" t="n"/>
      <c r="H37" s="52" t="n"/>
      <c r="I37" s="33">
        <f>IF(F37="","",NETWORKDAYS(F37,G37))</f>
        <v/>
      </c>
      <c r="J37" s="52" t="n"/>
      <c r="K37" s="52" t="n"/>
      <c r="L37" s="34">
        <f>IF(F37="","",IF(J37&gt;K37,"〇","×"))</f>
        <v/>
      </c>
      <c r="M37" s="52">
        <f>IF(F37="","",J37*I37)</f>
        <v/>
      </c>
      <c r="N37" s="52">
        <f>IF(F37="","",MIN(J37,K37)*I37)</f>
        <v/>
      </c>
      <c r="O37" s="53">
        <f>IF(F37="","",M37-N37)</f>
        <v/>
      </c>
    </row>
    <row r="38">
      <c r="A38" s="30">
        <f>IF(F38="","",29)</f>
        <v/>
      </c>
      <c r="B38" s="30">
        <f>IF(F38="","",YEAR(F38))</f>
        <v/>
      </c>
      <c r="C38" s="30">
        <f>IF(F38="","",MONTH(F38))</f>
        <v/>
      </c>
      <c r="D38" s="30" t="n"/>
      <c r="E38" s="30" t="n"/>
      <c r="F38" s="51" t="n"/>
      <c r="G38" s="51" t="n"/>
      <c r="H38" s="52" t="n"/>
      <c r="I38" s="33">
        <f>IF(F38="","",NETWORKDAYS(F38,G38))</f>
        <v/>
      </c>
      <c r="J38" s="52" t="n"/>
      <c r="K38" s="52" t="n"/>
      <c r="L38" s="34">
        <f>IF(F38="","",IF(J38&gt;K38,"〇","×"))</f>
        <v/>
      </c>
      <c r="M38" s="52">
        <f>IF(F38="","",J38*I38)</f>
        <v/>
      </c>
      <c r="N38" s="52">
        <f>IF(F38="","",MIN(J38,K38)*I38)</f>
        <v/>
      </c>
      <c r="O38" s="53">
        <f>IF(F38="","",M38-N38)</f>
        <v/>
      </c>
    </row>
    <row r="39">
      <c r="A39" s="30">
        <f>IF(F39="","",30)</f>
        <v/>
      </c>
      <c r="B39" s="30">
        <f>IF(F39="","",YEAR(F39))</f>
        <v/>
      </c>
      <c r="C39" s="30">
        <f>IF(F39="","",MONTH(F39))</f>
        <v/>
      </c>
      <c r="D39" s="30" t="n"/>
      <c r="E39" s="30" t="n"/>
      <c r="F39" s="51" t="n"/>
      <c r="G39" s="51" t="n"/>
      <c r="H39" s="52" t="n"/>
      <c r="I39" s="33">
        <f>IF(F39="","",NETWORKDAYS(F39,G39))</f>
        <v/>
      </c>
      <c r="J39" s="52" t="n"/>
      <c r="K39" s="52" t="n"/>
      <c r="L39" s="34">
        <f>IF(F39="","",IF(J39&gt;K39,"〇","×"))</f>
        <v/>
      </c>
      <c r="M39" s="52">
        <f>IF(F39="","",J39*I39)</f>
        <v/>
      </c>
      <c r="N39" s="52">
        <f>IF(F39="","",MIN(J39,K39)*I39)</f>
        <v/>
      </c>
      <c r="O39" s="53">
        <f>IF(F39="","",M39-N39)</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row>
    <row r="45">
      <c r="A45" s="12" t="inlineStr">
        <is>
          <t>■ 検算</t>
        </is>
      </c>
    </row>
    <row r="46">
      <c r="A46" s="14" t="inlineStr">
        <is>
          <t>標準支給額 − 調整額 − 差引支給額（0なら整合）</t>
        </is>
      </c>
      <c r="O46" s="56">
        <f>M43-N43-O43</f>
        <v/>
      </c>
    </row>
    <row r="48">
      <c r="A48" s="40" t="inlineStr">
        <is>
          <t>・この表は、請求期間に該当する算定表の内容を保存したものです。日付・勤務を要する日・日額・報酬日額は値で保存されるため、入力シートや算定表を後から変更しても変わりません。</t>
        </is>
      </c>
    </row>
    <row r="49">
      <c r="A49" s="40" t="inlineStr">
        <is>
          <t>・基幹システムには、法定給付・附加給付別に、月ごとに入力します（「月別集計」シートと同じ）。差引支給額が0円の行（×）は支給なしです。</t>
        </is>
      </c>
    </row>
    <row r="50">
      <c r="A50" s="40" t="inlineStr">
        <is>
          <t>・このシートは「AddClaimSheet」マクロの複写元です。書式や文言を直すときは、このシートを直してください（行の位置を変えるときは、マクロ冒頭の定数も直します）。</t>
        </is>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007F7F7F"/>
    <outlinePr summaryBelow="1" summaryRight="1"/>
    <pageSetUpPr fitToPage="1"/>
  </sheetPr>
  <dimension ref="A1:B15"/>
  <sheetViews>
    <sheetView workbookViewId="0">
      <selection activeCell="A1" sqref="A1"/>
    </sheetView>
  </sheetViews>
  <sheetFormatPr baseColWidth="8" defaultRowHeight="15"/>
  <cols>
    <col width="34" customWidth="1" style="39" min="1" max="1"/>
    <col width="100" customWidth="1" style="39" min="2" max="2"/>
  </cols>
  <sheetData>
    <row r="1">
      <c r="A1" s="77" t="inlineStr">
        <is>
          <t>マクロ用の設定（シート名の文字と、メッセージの文言です。必要なときだけ直してください）</t>
        </is>
      </c>
    </row>
    <row r="3">
      <c r="A3" s="12" t="inlineStr">
        <is>
          <t>請求シート名の先頭</t>
        </is>
      </c>
      <c r="B3" s="78" t="inlineStr">
        <is>
          <t>請求_</t>
        </is>
      </c>
    </row>
    <row r="4">
      <c r="A4" s="12" t="inlineStr">
        <is>
          <t>同名があるときに付ける文字</t>
        </is>
      </c>
      <c r="B4" s="78" t="inlineStr">
        <is>
          <t>_</t>
        </is>
      </c>
    </row>
    <row r="5">
      <c r="A5" s="12" t="inlineStr">
        <is>
          <t>メッセージ：請求期間が未入力</t>
        </is>
      </c>
      <c r="B5" s="78" t="inlineStr">
        <is>
          <t>請求期間の開始日と終了日を、入力シートの「請求期間（始）」「請求期間（終）」に入力してください。</t>
        </is>
      </c>
    </row>
    <row r="6">
      <c r="A6" s="12" t="inlineStr">
        <is>
          <t>メッセージ：開始日が終了日より後</t>
        </is>
      </c>
      <c r="B6" s="78" t="inlineStr">
        <is>
          <t>請求期間の開始日が終了日より後になっています。</t>
        </is>
      </c>
    </row>
    <row r="7">
      <c r="A7" s="12" t="inlineStr">
        <is>
          <t>メッセージ：該当する行がない</t>
        </is>
      </c>
      <c r="B7" s="78" t="inlineStr">
        <is>
          <t>この請求期間に該当する算定表の行がありません。入力シートと算定表を確認してください。</t>
        </is>
      </c>
    </row>
    <row r="8">
      <c r="A8" s="12" t="inlineStr">
        <is>
          <t>メッセージ：行が多すぎる</t>
        </is>
      </c>
      <c r="B8" s="78" t="inlineStr">
        <is>
          <t>行数が雛形に入りきりません。請求期間を短くしてください。</t>
        </is>
      </c>
    </row>
    <row r="9">
      <c r="A9" s="12" t="inlineStr">
        <is>
          <t>メッセージ：完了</t>
        </is>
      </c>
      <c r="B9" s="78" t="inlineStr">
        <is>
          <t>請求シートを追加しました。</t>
        </is>
      </c>
    </row>
    <row r="10">
      <c r="A10" s="12" t="inlineStr">
        <is>
          <t>シート名の期間の区切り</t>
        </is>
      </c>
      <c r="B10" s="78" t="inlineStr">
        <is>
          <t>-</t>
        </is>
      </c>
    </row>
    <row r="11">
      <c r="A11" s="12" t="inlineStr">
        <is>
          <t>雛形のシート名（コピー元）</t>
        </is>
      </c>
      <c r="B11" s="78" t="inlineStr">
        <is>
          <t>請求シート雛形</t>
        </is>
      </c>
    </row>
    <row r="12">
      <c r="A12" s="12" t="inlineStr">
        <is>
          <t>雛形：明細の先頭行</t>
        </is>
      </c>
      <c r="B12" s="79" t="n">
        <v>10</v>
      </c>
    </row>
    <row r="13">
      <c r="A13" s="12" t="inlineStr">
        <is>
          <t>雛形：明細の行数</t>
        </is>
      </c>
      <c r="B13" s="79" t="n">
        <v>30</v>
      </c>
    </row>
    <row r="15">
      <c r="A15" s="40" t="inlineStr">
        <is>
          <t>※シート名の例：請求_202504（1か月）、請求_202504-202506（複数月）。雛形の明細の行位置を変えたときは、B12・B13 を直してください。</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2026-10-27T23:33:10Z</dcterms:modified>
  <cp:lastModifiedBy>木本 拓志</cp:lastModifiedBy>
  <cp:revision>0</cp:revision>
</cp:coreProperties>
</file>