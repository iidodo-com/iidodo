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福利課用" sheetId="7" state="visible" r:id="rId9"/>
    <sheet name="保守メモ" sheetId="8" state="visible" r:id="rId10"/>
    <sheet name="マスタ" sheetId="9" state="visible" r:id="rId11"/>
    <sheet name="計算過程" sheetId="10" state="visible" r:id="rId12"/>
    <sheet name="Word差込データ" sheetId="11" state="visible" r:id="rId13"/>
  </sheets>
  <definedNames>
    <definedName function="false" hidden="false" localSheetId="3" name="_xlnm.Print_Area" vbProcedure="false">借入状況等申告書!$A$1:$AO$71</definedName>
    <definedName function="false" hidden="false" name="chk_missing" vbProcedure="false">判定_不足項目</definedName>
    <definedName function="false" hidden="false" name="判定_不足項目" vbProcedure="false">計算過程!$B$155</definedName>
    <definedName function="false" hidden="false" name="chk_ng" vbProcedure="false">判定_NG件数</definedName>
    <definedName function="false" hidden="false" name="判定_NG件数" vbProcedure="false">計算過程!$B$152</definedName>
    <definedName function="false" hidden="false" name="chk_warn" vbProcedure="false">判定_要確認件数</definedName>
    <definedName function="false" hidden="false" name="判定_要確認件数" vbProcedure="false">計算過程!$B$153</definedName>
    <definedName function="false" hidden="false" name="dat_amt" vbProcedure="false">計算_借用証書金額万円</definedName>
    <definedName function="false" hidden="false" name="計算_借用証書金額万円" vbProcedure="false">計算過程!$B$161</definedName>
    <definedName function="false" hidden="false" name="dat_group" vbProcedure="false">計算_区分群</definedName>
    <definedName function="false" hidden="false" name="計算_区分群" vbProcedure="false">計算過程!$B$12</definedName>
    <definedName function="false" hidden="false" name="dat_last" vbProcedure="false">Word差込データ!$A$87</definedName>
    <definedName function="false" hidden="false" name="dat_name" vbProcedure="false">入力_氏名</definedName>
    <definedName function="false" hidden="false" name="入力_氏名" vbProcedure="false">申込シミュレーション!$C$8</definedName>
    <definedName function="false" hidden="false" name="入力_ボーナス併用" vbProcedure="false">申込シミュレーション!$C$20</definedName>
    <definedName function="false" hidden="false" name="入力_ボーナス元金万円" vbProcedure="false">申込シミュレーション!$C$21</definedName>
    <definedName function="false" hidden="false" name="入力_ボーナス回数" vbProcedure="false">申込シミュレーション!$C$22</definedName>
    <definedName function="false" hidden="false" name="入力_事由発生日" vbProcedure="false">申込シミュレーション!$C$13</definedName>
    <definedName function="false" hidden="false" name="入力_他借入有無" vbProcedure="false">申込シミュレーション!$C$27</definedName>
    <definedName function="false" hidden="false" name="入力_住宅書類区分" vbProcedure="false">申込シミュレーション!$C$24</definedName>
    <definedName function="false" hidden="false" name="入力_住所" vbProcedure="false">申込シミュレーション!$C$25</definedName>
    <definedName function="false" hidden="false" name="入力_修学月数" vbProcedure="false">申込シミュレーション!$C$16</definedName>
    <definedName function="false" hidden="false" name="入力_償還回数" vbProcedure="false">申込シミュレーション!$C$18</definedName>
    <definedName function="false" hidden="false" name="入力_共済既貸付有無" vbProcedure="false">申込シミュレーション!$C$28</definedName>
    <definedName function="false" hidden="false" name="入力_在宅介護加算万円" vbProcedure="false">申込シミュレーション!$C$23</definedName>
    <definedName function="false" hidden="false" name="入力_差押さえ等" vbProcedure="false">申込シミュレーション!$C$14</definedName>
    <definedName function="false" hidden="false" name="入力_希望月額" vbProcedure="false">申込シミュレーション!$C$19</definedName>
    <definedName function="false" hidden="false" name="入力_所属区分" vbProcedure="false">申込シミュレーション!$C$6</definedName>
    <definedName function="false" hidden="false" name="入力_所属名" vbProcedure="false">申込シミュレーション!$C$7</definedName>
    <definedName function="false" hidden="false" name="入力_無給休職" vbProcedure="false">申込シミュレーション!$C$15</definedName>
    <definedName function="false" hidden="false" name="入力_申込予定日" vbProcedure="false">申込シミュレーション!$C$10</definedName>
    <definedName function="false" hidden="false" name="入力_申込希望額万円" vbProcedure="false">申込シミュレーション!$C$17</definedName>
    <definedName function="false" hidden="false" name="入力_給料月額" vbProcedure="false">申込シミュレーション!$C$12</definedName>
    <definedName function="false" hidden="false" name="入力_貸付区分" vbProcedure="false">申込シミュレーション!$C$9</definedName>
    <definedName function="false" hidden="false" name="入力_資格取得日" vbProcedure="false">申込シミュレーション!$C$11</definedName>
    <definedName function="false" hidden="false" name="判定_ボーナス併用" vbProcedure="false">計算過程!$B$145</definedName>
    <definedName function="false" hidden="false" name="判定_ボーナス併用_説明" vbProcedure="false">計算過程!$B$146</definedName>
    <definedName function="false" hidden="false" name="判定_ボーナス条件1" vbProcedure="false">計算過程!$B$136</definedName>
    <definedName function="false" hidden="false" name="判定_ボーナス条件2" vbProcedure="false">計算過程!$B$137</definedName>
    <definedName function="false" hidden="false" name="判定_ボーナス条件3" vbProcedure="false">計算過程!$B$138</definedName>
    <definedName function="false" hidden="false" name="判定_ボーナス条件4" vbProcedure="false">計算過程!$B$139</definedName>
    <definedName function="false" hidden="false" name="判定_ボーナス条件5" vbProcedure="false">計算過程!$B$140</definedName>
    <definedName function="false" hidden="false" name="判定_ボーナス条件6" vbProcedure="false">計算過程!$B$141</definedName>
    <definedName function="false" hidden="false" name="判定_ボーナス条件7" vbProcedure="false">計算過程!$B$142</definedName>
    <definedName function="false" hidden="false" name="判定_ボーナス条件8" vbProcedure="false">計算過程!$B$143</definedName>
    <definedName function="false" hidden="false" name="判定_ボーナス条件9" vbProcedure="false">計算過程!$B$144</definedName>
    <definedName function="false" hidden="false" name="判定_不足項目_素" vbProcedure="false">計算過程!$B$154</definedName>
    <definedName function="false" hidden="false" name="判定_住宅書類区分" vbProcedure="false">計算過程!$B$147</definedName>
    <definedName function="false" hidden="false" name="判定_住宅書類区分_説明" vbProcedure="false">計算過程!$B$148</definedName>
    <definedName function="false" hidden="false" name="判定_修学月数" vbProcedure="false">計算過程!$B$124</definedName>
    <definedName function="false" hidden="false" name="判定_修学月数_説明" vbProcedure="false">計算過程!$B$125</definedName>
    <definedName function="false" hidden="false" name="判定_借入状況" vbProcedure="false">計算過程!$B$120</definedName>
    <definedName function="false" hidden="false" name="判定_借入状況_説明" vbProcedure="false">計算過程!$B$121</definedName>
    <definedName function="false" hidden="false" name="判定_償還回数" vbProcedure="false">計算過程!$B$130</definedName>
    <definedName function="false" hidden="false" name="判定_償還回数_説明" vbProcedure="false">計算過程!$B$131</definedName>
    <definedName function="false" hidden="false" name="判定_在宅介護" vbProcedure="false">計算過程!$B$149</definedName>
    <definedName function="false" hidden="false" name="判定_在宅介護_説明" vbProcedure="false">計算過程!$B$150</definedName>
    <definedName function="false" hidden="false" name="判定_差押さえ" vbProcedure="false">計算過程!$B$116</definedName>
    <definedName function="false" hidden="false" name="判定_差押さえ_説明" vbProcedure="false">計算過程!$B$117</definedName>
    <definedName function="false" hidden="false" name="判定_年額割合" vbProcedure="false">計算過程!$B$134</definedName>
    <definedName function="false" hidden="false" name="判定_年額割合_説明" vbProcedure="false">計算過程!$B$135</definedName>
    <definedName function="false" hidden="false" name="判定_月額割合" vbProcedure="false">計算過程!$B$132</definedName>
    <definedName function="false" hidden="false" name="判定_月額割合_説明" vbProcedure="false">計算過程!$B$133</definedName>
    <definedName function="false" hidden="false" name="判定_無給休職" vbProcedure="false">計算過程!$B$118</definedName>
    <definedName function="false" hidden="false" name="判定_無給休職_説明" vbProcedure="false">計算過程!$B$119</definedName>
    <definedName function="false" hidden="false" name="判定_申込時期" vbProcedure="false">計算過程!$B$122</definedName>
    <definedName function="false" hidden="false" name="判定_申込時期_説明" vbProcedure="false">計算過程!$B$123</definedName>
    <definedName function="false" hidden="false" name="判定_申込額下限単位" vbProcedure="false">計算過程!$B$126</definedName>
    <definedName function="false" hidden="false" name="判定_申込額下限単位_説明" vbProcedure="false">計算過程!$B$127</definedName>
    <definedName function="false" hidden="false" name="判定_組合員期間" vbProcedure="false">計算過程!$B$114</definedName>
    <definedName function="false" hidden="false" name="判定_組合員期間_説明" vbProcedure="false">計算過程!$B$115</definedName>
    <definedName function="false" hidden="false" name="判定_給料月額" vbProcedure="false">計算過程!$B$112</definedName>
    <definedName function="false" hidden="false" name="判定_給料月額_説明" vbProcedure="false">計算過程!$B$113</definedName>
    <definedName function="false" hidden="false" name="判定_総合" vbProcedure="false">計算過程!$B$156</definedName>
    <definedName function="false" hidden="false" name="判定_貸付区分" vbProcedure="false">計算過程!$B$110</definedName>
    <definedName function="false" hidden="false" name="判定_貸付区分_説明" vbProcedure="false">計算過程!$B$111</definedName>
    <definedName function="false" hidden="false" name="判定_限度額" vbProcedure="false">計算過程!$B$128</definedName>
    <definedName function="false" hidden="false" name="判定_限度額_説明" vbProcedure="false">計算過程!$B$129</definedName>
    <definedName function="false" hidden="false" name="区分表_上限万円" vbProcedure="false">マスタ!$E$22:$E$39</definedName>
    <definedName function="false" hidden="false" name="区分表_事由書類" vbProcedure="false">マスタ!$K$22:$K$39</definedName>
    <definedName function="false" hidden="false" name="区分表_交付後書類" vbProcedure="false">マスタ!$P$22:$P$39</definedName>
    <definedName function="false" hidden="false" name="区分表_交付後期限月" vbProcedure="false">マスタ!$Q$22:$Q$39</definedName>
    <definedName function="false" hidden="false" name="区分表_住宅書類列" vbProcedure="false">マスタ!$J$22:$J$39</definedName>
    <definedName function="false" hidden="false" name="区分表_利率種別" vbProcedure="false">マスタ!$H$22:$H$39</definedName>
    <definedName function="false" hidden="false" name="区分表_前月数" vbProcedure="false">マスタ!$N$22:$N$39</definedName>
    <definedName function="false" hidden="false" name="区分表_区分群" vbProcedure="false">マスタ!$B$22:$B$39</definedName>
    <definedName function="false" hidden="false" name="区分表_単位万円" vbProcedure="false">マスタ!$F$22:$F$39</definedName>
    <definedName function="false" hidden="false" name="区分表_名称" vbProcedure="false">マスタ!$A$22:$A$39</definedName>
    <definedName function="false" hidden="false" name="区分表_回数上限" vbProcedure="false">マスタ!$G$22:$G$39</definedName>
    <definedName function="false" hidden="false" name="区分表_基準日名" vbProcedure="false">マスタ!$M$22:$M$39</definedName>
    <definedName function="false" hidden="false" name="区分表_後月数" vbProcedure="false">マスタ!$O$22:$O$39</definedName>
    <definedName function="false" hidden="false" name="区分表_期限起算" vbProcedure="false">マスタ!$R$22:$R$39</definedName>
    <definedName function="false" hidden="false" name="区分表_決定目安" vbProcedure="false">マスタ!$S$22:$S$39</definedName>
    <definedName function="false" hidden="false" name="区分表_申込時期" vbProcedure="false">マスタ!$L$22:$L$39</definedName>
    <definedName function="false" hidden="false" name="区分表_給料月数" vbProcedure="false">マスタ!$D$22:$D$39</definedName>
    <definedName function="false" hidden="false" name="区分表_締切日" vbProcedure="false">マスタ!$I$22:$I$39</definedName>
    <definedName function="false" hidden="false" name="区分表_限度額方式" vbProcedure="false">マスタ!$C$22:$C$39</definedName>
    <definedName function="false" hidden="false" name="定数_万円" vbProcedure="false">計算過程!$B$5</definedName>
    <definedName function="false" hidden="false" name="定数_半年月数" vbProcedure="false">計算過程!$B$7</definedName>
    <definedName function="false" hidden="false" name="定数_年月数" vbProcedure="false">計算過程!$B$6</definedName>
    <definedName function="false" hidden="false" name="定数_年賞与回数" vbProcedure="false">計算過程!$B$8</definedName>
    <definedName function="false" hidden="false" name="定数_誤差" vbProcedure="false">計算過程!$B$9</definedName>
    <definedName function="false" hidden="false" name="申告_A他機関既借入_月額" vbProcedure="false">借入状況等申告書!$P$33</definedName>
    <definedName function="false" hidden="false" name="申告_B他機関新規_月額" vbProcedure="false">借入状況等申告書!$AG$33</definedName>
    <definedName function="false" hidden="false" name="申告_C共済既貸付_月額" vbProcedure="false">借入状況等申告書!$A$53</definedName>
    <definedName function="false" hidden="false" name="申告_F他機関既借入_賞与" vbProcedure="false">借入状況等申告書!$U$33</definedName>
    <definedName function="false" hidden="false" name="申告_G他機関新規_賞与" vbProcedure="false">借入状況等申告書!$AL$33</definedName>
    <definedName function="false" hidden="false" name="申告_H共済既貸付_賞与" vbProcedure="false">借入状況等申告書!$H$53</definedName>
    <definedName function="false" hidden="false" name="表_住宅書類_見出し" vbProcedure="false">マスタ!$B$53:$H$53</definedName>
    <definedName function="false" hidden="false" name="表_所属区分" vbProcedure="false">マスタ!$A$85:$A$87</definedName>
    <definedName function="false" hidden="false" name="表_提出先" vbProcedure="false">マスタ!$B$85:$B$87</definedName>
    <definedName function="false" hidden="false" name="表_最低保障_下限" vbProcedure="false">マスタ!$E$43:$E$47</definedName>
    <definedName function="false" hidden="false" name="表_最低保障_住宅万円" vbProcedure="false">マスタ!$G$43:$G$47</definedName>
    <definedName function="false" hidden="false" name="表_最低保障_災害万円" vbProcedure="false">マスタ!$H$43:$H$47</definedName>
    <definedName function="false" hidden="false" name="表_月数_下限" vbProcedure="false">マスタ!$A$43:$A$49</definedName>
    <definedName function="false" hidden="false" name="表_月数_月数" vbProcedure="false">マスタ!$C$43:$C$49</definedName>
    <definedName function="false" hidden="false" name="表_祝日" vbProcedure="false">マスタ!$A$92:$A$152</definedName>
    <definedName function="false" hidden="false" name="計算_D上限" vbProcedure="false">計算過程!$B$57</definedName>
    <definedName function="false" hidden="false" name="計算_E上限" vbProcedure="false">計算過程!$B$56</definedName>
    <definedName function="false" hidden="false" name="計算_E毎月償還計" vbProcedure="false">計算過程!$B$82</definedName>
    <definedName function="false" hidden="false" name="計算_J賞与償還計" vbProcedure="false">計算過程!$B$83</definedName>
    <definedName function="false" hidden="false" name="計算_K給料月額" vbProcedure="false">計算過程!$B$84</definedName>
    <definedName function="false" hidden="false" name="計算_L年間償還額" vbProcedure="false">計算過程!$B$86</definedName>
    <definedName function="false" hidden="false" name="計算_M年収額" vbProcedure="false">計算過程!$B$87</definedName>
    <definedName function="false" hidden="false" name="計算_上限万円" vbProcedure="false">計算過程!$B$15</definedName>
    <definedName function="false" hidden="false" name="計算_上限額万円_現回数" vbProcedure="false">計算過程!$B$108</definedName>
    <definedName function="false" hidden="false" name="計算_下限円" vbProcedure="false">計算過程!$B$53</definedName>
    <definedName function="false" hidden="false" name="計算_事由書類" vbProcedure="false">計算過程!$B$21</definedName>
    <definedName function="false" hidden="false" name="計算_交付後書類" vbProcedure="false">計算過程!$B$26</definedName>
    <definedName function="false" hidden="false" name="計算_交付後期限" vbProcedure="false">計算過程!$B$100</definedName>
    <definedName function="false" hidden="false" name="計算_交付後期限_事由日起算" vbProcedure="false">計算過程!$B$98</definedName>
    <definedName function="false" hidden="false" name="計算_交付後期限_交付日起算" vbProcedure="false">計算過程!$B$97</definedName>
    <definedName function="false" hidden="false" name="計算_交付後期限_入学" vbProcedure="false">計算過程!$B$99</definedName>
    <definedName function="false" hidden="false" name="計算_交付後期限月" vbProcedure="false">計算過程!$B$27</definedName>
    <definedName function="false" hidden="false" name="計算_交付日" vbProcedure="false">計算過程!$B$93</definedName>
    <definedName function="false" hidden="false" name="計算_今月締切" vbProcedure="false">計算過程!$B$90</definedName>
    <definedName function="false" hidden="false" name="計算_他借入月額" vbProcedure="false">計算過程!$B$54</definedName>
    <definedName function="false" hidden="false" name="計算_他借入賞与" vbProcedure="false">計算過程!$B$55</definedName>
    <definedName function="false" hidden="false" name="計算_他機関償還計" vbProcedure="false">計算過程!$B$103</definedName>
    <definedName function="false" hidden="false" name="計算_住宅書類列" vbProcedure="false">計算過程!$B$20</definedName>
    <definedName function="false" hidden="false" name="計算_住宅書類列適用" vbProcedure="false">計算過程!$B$101</definedName>
    <definedName function="false" hidden="false" name="計算_住宅月数" vbProcedure="false">計算過程!$B$38</definedName>
    <definedName function="false" hidden="false" name="計算_住宅系" vbProcedure="false">計算過程!$B$31</definedName>
    <definedName function="false" hidden="false" name="計算_償還回数" vbProcedure="false">計算過程!$B$71</definedName>
    <definedName function="false" hidden="false" name="計算_償還期間表示" vbProcedure="false">計算過程!$B$96</definedName>
    <definedName function="false" hidden="false" name="計算_償還終了" vbProcedure="false">計算過程!$B$95</definedName>
    <definedName function="false" hidden="false" name="計算_償還開始" vbProcedure="false">計算過程!$B$94</definedName>
    <definedName function="false" hidden="false" name="計算_全角利率_在宅介護" vbProcedure="false">計算過程!$B$160</definedName>
    <definedName function="false" hidden="false" name="計算_全角利率_普通特別" vbProcedure="false">計算過程!$B$158</definedName>
    <definedName function="false" hidden="false" name="計算_全角利率_災害" vbProcedure="false">計算過程!$B$159</definedName>
    <definedName function="false" hidden="false" name="計算_共済既貸付償還計" vbProcedure="false">計算過程!$B$104</definedName>
    <definedName function="false" hidden="false" name="計算_利息総額" vbProcedure="false">計算過程!$B$80</definedName>
    <definedName function="false" hidden="false" name="計算_利率" vbProcedure="false">計算過程!$B$32</definedName>
    <definedName function="false" hidden="false" name="計算_利率_在宅介護" vbProcedure="false">計算過程!$B$33</definedName>
    <definedName function="false" hidden="false" name="計算_利率種別" vbProcedure="false">計算過程!$B$18</definedName>
    <definedName function="false" hidden="false" name="計算_前月数" vbProcedure="false">計算過程!$B$24</definedName>
    <definedName function="false" hidden="false" name="計算_区分行" vbProcedure="false">計算過程!$B$11</definedName>
    <definedName function="false" hidden="false" name="計算_単位万円" vbProcedure="false">計算過程!$B$16</definedName>
    <definedName function="false" hidden="false" name="計算_単位円" vbProcedure="false">計算過程!$B$52</definedName>
    <definedName function="false" hidden="false" name="計算_回数_月額から逆算" vbProcedure="false">計算過程!$B$70</definedName>
    <definedName function="false" hidden="false" name="計算_回数上限" vbProcedure="false">計算過程!$B$17</definedName>
    <definedName function="false" hidden="false" name="計算_在宅介護加算" vbProcedure="false">計算過程!$B$47</definedName>
    <definedName function="false" hidden="false" name="計算_基準日名" vbProcedure="false">計算過程!$B$23</definedName>
    <definedName function="false" hidden="false" name="計算_年額割合" vbProcedure="false">計算過程!$B$88</definedName>
    <definedName function="false" hidden="false" name="計算_後月数" vbProcedure="false">計算過程!$B$25</definedName>
    <definedName function="false" hidden="false" name="計算_必要回数" vbProcedure="false">計算過程!$B$107</definedName>
    <definedName function="false" hidden="false" name="計算_最低保障_住宅万円" vbProcedure="false">計算過程!$B$39</definedName>
    <definedName function="false" hidden="false" name="計算_最低保障_災害万円" vbProcedure="false">計算過程!$B$40</definedName>
    <definedName function="false" hidden="false" name="計算_最低保障位置" vbProcedure="false">計算過程!$B$37</definedName>
    <definedName function="false" hidden="false" name="計算_最終回償還額" vbProcedure="false">計算過程!$B$78</definedName>
    <definedName function="false" hidden="false" name="計算_月数表位置" vbProcedure="false">計算過程!$B$36</definedName>
    <definedName function="false" hidden="false" name="計算_月額_在宅介護" vbProcedure="false">計算過程!$B$73</definedName>
    <definedName function="false" hidden="false" name="計算_月額_基本" vbProcedure="false">計算過程!$B$72</definedName>
    <definedName function="false" hidden="false" name="計算_月額割合" vbProcedure="false">計算過程!$B$85</definedName>
    <definedName function="false" hidden="false" name="計算_期限起算" vbProcedure="false">計算過程!$B$28</definedName>
    <definedName function="false" hidden="false" name="計算_毎月償還額" vbProcedure="false">計算過程!$B$74</definedName>
    <definedName function="false" hidden="false" name="計算_決定目安" vbProcedure="false">計算過程!$B$29</definedName>
    <definedName function="false" hidden="false" name="計算_決定要因" vbProcedure="false">計算過程!$B$63</definedName>
    <definedName function="false" hidden="false" name="計算_申込可能_切捨て後" vbProcedure="false">計算過程!$B$61</definedName>
    <definedName function="false" hidden="false" name="計算_申込可能_小さい方" vbProcedure="false">計算過程!$B$60</definedName>
    <definedName function="false" hidden="false" name="計算_申込可能終了" vbProcedure="false">計算過程!$B$106</definedName>
    <definedName function="false" hidden="false" name="計算_申込可能開始" vbProcedure="false">計算過程!$B$105</definedName>
    <definedName function="false" hidden="false" name="計算_申込可能額" vbProcedure="false">計算過程!$B$62</definedName>
    <definedName function="false" hidden="false" name="計算_申込時期" vbProcedure="false">計算過程!$B$22</definedName>
    <definedName function="false" hidden="false" name="計算_申込締切日" vbProcedure="false">計算過程!$B$92</definedName>
    <definedName function="false" hidden="false" name="計算_申込額" vbProcedure="false">計算過程!$B$65</definedName>
    <definedName function="false" hidden="false" name="計算_申込額_在宅介護" vbProcedure="false">計算過程!$B$66</definedName>
    <definedName function="false" hidden="false" name="計算_申込額_基本" vbProcedure="false">計算過程!$B$67</definedName>
    <definedName function="false" hidden="false" name="計算_組合員月数" vbProcedure="false">計算過程!$B$34</definedName>
    <definedName function="false" hidden="false" name="計算_組合員期間表示" vbProcedure="false">計算過程!$B$35</definedName>
    <definedName function="false" hidden="false" name="計算_給料月数" vbProcedure="false">計算過程!$B$14</definedName>
    <definedName function="false" hidden="false" name="計算_締切日の日" vbProcedure="false">計算過程!$B$19</definedName>
    <definedName function="false" hidden="false" name="計算_翌月締切" vbProcedure="false">計算過程!$B$91</definedName>
    <definedName function="false" hidden="false" name="計算_試算回数" vbProcedure="false">計算過程!$B$58</definedName>
    <definedName function="false" hidden="false" name="計算_賞与償還額" vbProcedure="false">計算過程!$B$77</definedName>
    <definedName function="false" hidden="false" name="計算_賞与元金" vbProcedure="false">計算過程!$B$68</definedName>
    <definedName function="false" hidden="false" name="計算_賞与回数" vbProcedure="false">計算過程!$B$69</definedName>
    <definedName function="false" hidden="false" name="計算_賞与期間利率" vbProcedure="false">計算過程!$B$75</definedName>
    <definedName function="false" hidden="false" name="計算_賞与額_円未満" vbProcedure="false">計算過程!$B$76</definedName>
    <definedName function="false" hidden="false" name="計算_返済総額" vbProcedure="false">計算過程!$B$79</definedName>
    <definedName function="false" hidden="false" name="計算_返済能力上限" vbProcedure="false">計算過程!$B$59</definedName>
    <definedName function="false" hidden="false" name="計算_返済能力内訳" vbProcedure="false">計算過程!$B$50</definedName>
    <definedName function="false" hidden="false" name="計算_限度額_住宅方式" vbProcedure="false">計算過程!$B$44</definedName>
    <definedName function="false" hidden="false" name="計算_限度額_修学方式" vbProcedure="false">計算過程!$B$43</definedName>
    <definedName function="false" hidden="false" name="計算_限度額_再貸付方式" vbProcedure="false">計算過程!$B$45</definedName>
    <definedName function="false" hidden="false" name="計算_限度額_合計" vbProcedure="false">計算過程!$B$48</definedName>
    <definedName function="false" hidden="false" name="計算_限度額_基本" vbProcedure="false">計算過程!$B$46</definedName>
    <definedName function="false" hidden="false" name="計算_限度額_月数方式" vbProcedure="false">計算過程!$B$42</definedName>
    <definedName function="false" hidden="false" name="計算_限度額内訳" vbProcedure="false">計算過程!$B$49</definedName>
    <definedName function="false" hidden="false" name="計算_限度額方式" vbProcedure="false">計算過程!$B$13</definedName>
    <definedName function="false" hidden="false" name="設定_ボーナス併用申込下限万円" vbProcedure="false">マスタ!$B$12</definedName>
    <definedName function="false" hidden="false" name="設定_ボーナス償還上限割合" vbProcedure="false">マスタ!$B$14</definedName>
    <definedName function="false" hidden="false" name="設定_ボーナス償還下限万円" vbProcedure="false">マスタ!$B$13</definedName>
    <definedName function="false" hidden="false" name="設定_ボーナス単位万円" vbProcedure="false">マスタ!$B$15</definedName>
    <definedName function="false" hidden="false" name="設定_ボーナス回数上限" vbProcedure="false">マスタ!$B$16</definedName>
    <definedName function="false" hidden="false" name="設定_住宅必要組合員月数" vbProcedure="false">マスタ!$B$17</definedName>
    <definedName function="false" hidden="false" name="設定_修学月額万円" vbProcedure="false">マスタ!$B$18</definedName>
    <definedName function="false" hidden="false" name="設定_償還割合上限" vbProcedure="false">マスタ!$B$8</definedName>
    <definedName function="false" hidden="false" name="設定_利率_住宅" vbProcedure="false">マスタ!$B$5</definedName>
    <definedName function="false" hidden="false" name="設定_利率_普通特別" vbProcedure="false">マスタ!$B$4</definedName>
    <definedName function="false" hidden="false" name="設定_利率_災害" vbProcedure="false">マスタ!$B$6</definedName>
    <definedName function="false" hidden="false" name="設定_利率差_在宅介護" vbProcedure="false">マスタ!$B$7</definedName>
    <definedName function="false" hidden="false" name="設定_在宅介護加算上限万円" vbProcedure="false">マスタ!$B$11</definedName>
    <definedName function="false" hidden="false" name="設定_年収算定ボーナス月数" vbProcedure="false">マスタ!$B$9</definedName>
    <definedName function="false" hidden="false" name="設定_申込下限万円" vbProcedure="false">マスタ!$B$10</definedName>
    <definedName function="false" hidden="false" name="追加_ふりがな" vbProcedure="false">申込書追加入力!$C$4</definedName>
    <definedName function="false" hidden="false" name="追加_住所電話" vbProcedure="false">申込書追加入力!$C$9</definedName>
    <definedName function="false" hidden="false" name="追加_口座番号" vbProcedure="false">申込書追加入力!$C$12</definedName>
    <definedName function="false" hidden="false" name="追加_所属電話" vbProcedure="false">申込書追加入力!$C$8</definedName>
    <definedName function="false" hidden="false" name="追加_支店" vbProcedure="false">申込書追加入力!$C$11</definedName>
    <definedName function="false" hidden="false" name="追加_生年月日" vbProcedure="false">申込書追加入力!$C$7</definedName>
    <definedName function="false" hidden="false" name="追加_職名" vbProcedure="false">申込書追加入力!$C$5</definedName>
    <definedName function="false" hidden="false" name="追加_職員番号" vbProcedure="false">申込書追加入力!$C$6</definedName>
    <definedName function="false" hidden="false" name="追加_金融機関" vbProcedure="false">申込書追加入力!$C$10</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<sst xmlns="http://schemas.openxmlformats.org/spreadsheetml/2006/main" count="2178" uniqueCount="1532">
  <si>
    <t xml:space="preserve">使い方</t>
  </si>
  <si>
    <t xml:space="preserve">申込者の操作</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</si>
  <si>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</si>
  <si>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</si>
  <si>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ＭＳ 明朝"/>
        <family val="0"/>
        <charset val="1"/>
      </rPr>
      <t xml:space="preserve">(30%)</t>
    </r>
    <r>
      <rPr>
        <sz val="10"/>
        <color rgb="FF000000"/>
        <rFont val="WenQuanYi Zen Hei"/>
        <family val="2"/>
      </rPr>
      <t xml:space="preserve">、必要書類、申込締切日を確認します。</t>
    </r>
    <r>
      <rPr>
        <sz val="10"/>
        <color rgb="FF000000"/>
        <rFont val="ＭＳ 明朝"/>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</si>
  <si>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</si>
  <si>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(M)</t>
    </r>
    <r>
      <rPr>
        <sz val="10"/>
        <color rgb="FF000000"/>
        <rFont val="WenQuanYi Zen Hei"/>
        <family val="2"/>
      </rPr>
      <t xml:space="preserve">の計算、</t>
    </r>
    <r>
      <rPr>
        <sz val="10"/>
        <color rgb="FF000000"/>
        <rFont val="ＭＳ 明朝"/>
        <family val="0"/>
        <charset val="1"/>
      </rPr>
      <t xml:space="preserve">30%</t>
    </r>
    <r>
      <rPr>
        <sz val="10"/>
        <color rgb="FF000000"/>
        <rFont val="WenQuanYi Zen Hei"/>
        <family val="2"/>
      </rPr>
      <t xml:space="preserve">チェック、氏名・日付までが自動で入ります。印刷して提出できます。</t>
    </r>
  </si>
  <si>
    <r>
      <rPr>
        <b val="true"/>
        <sz val="10"/>
        <color rgb="FF000000"/>
        <rFont val="WenQuanYi Zen Hei"/>
        <family val="2"/>
      </rPr>
      <t xml:space="preserve">貸付申込書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</si>
  <si>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「申込シミュレーション」の右上のボタンを押すと、貸付申込書</t>
    </r>
    <r>
      <rPr>
        <sz val="10"/>
        <color rgb="FF000000"/>
        <rFont val="ＭＳ 明朝"/>
        <family val="0"/>
        <charset val="1"/>
      </rPr>
      <t xml:space="preserve">(</t>
    </r>
    <r>
      <rPr>
        <sz val="10"/>
        <color rgb="FF000000"/>
        <rFont val="WenQuanYi Zen Hei"/>
        <family val="2"/>
      </rPr>
      <t xml:space="preserve">普通・特別貸付の</t>
    </r>
    <r>
      <rPr>
        <sz val="10"/>
        <color rgb="FF000000"/>
        <rFont val="ＭＳ 明朝"/>
        <family val="0"/>
        <charset val="1"/>
      </rPr>
      <t xml:space="preserve">1</t>
    </r>
    <r>
      <rPr>
        <sz val="10"/>
        <color rgb="FF000000"/>
        <rFont val="WenQuanYi Zen Hei"/>
        <family val="2"/>
      </rPr>
      <t xml:space="preserve">面</t>
    </r>
    <r>
      <rPr>
        <sz val="10"/>
        <color rgb="FF000000"/>
        <rFont val="ＭＳ 明朝"/>
        <family val="0"/>
        <charset val="1"/>
      </rPr>
      <t xml:space="preserve">)</t>
    </r>
    <r>
      <rPr>
        <sz val="10"/>
        <color rgb="FF000000"/>
        <rFont val="WenQuanYi Zen Hei"/>
        <family val="2"/>
      </rPr>
      <t xml:space="preserve">が</t>
    </r>
    <r>
      <rPr>
        <sz val="10"/>
        <color rgb="FF000000"/>
        <rFont val="ＭＳ 明朝"/>
        <family val="0"/>
        <charset val="1"/>
      </rPr>
      <t xml:space="preserve">Word</t>
    </r>
    <r>
      <rPr>
        <sz val="10"/>
        <color rgb="FF000000"/>
        <rFont val="WenQuanYi Zen Hei"/>
        <family val="2"/>
      </rPr>
      <t xml:space="preserve">で作成されます。職名、職員番号、生年月日、振込先口座、現在受けている貸付などは「申込書追加入力」シートに入力します。空欄の項目は</t>
    </r>
    <r>
      <rPr>
        <sz val="10"/>
        <color rgb="FF000000"/>
        <rFont val="ＭＳ 明朝"/>
        <family val="0"/>
        <charset val="1"/>
      </rPr>
      <t xml:space="preserve">Word</t>
    </r>
    <r>
      <rPr>
        <sz val="10"/>
        <color rgb="FF000000"/>
        <rFont val="WenQuanYi Zen Hei"/>
        <family val="2"/>
      </rPr>
      <t xml:space="preserve">でも空欄になります。住宅貸付・災害貸付は対象外です。</t>
    </r>
  </si>
  <si>
    <r>
      <rPr>
        <b val="true"/>
        <sz val="10"/>
        <color rgb="FF000000"/>
        <rFont val="WenQuanYi Zen Hei"/>
        <family val="2"/>
      </rPr>
      <t xml:space="preserve">借用証書・添書</t>
    </r>
    <r>
      <rPr>
        <b val="true"/>
        <sz val="10"/>
        <color rgb="FF000000"/>
        <rFont val="ＭＳ 明朝"/>
        <family val="0"/>
        <charset val="1"/>
      </rPr>
      <t xml:space="preserve">(</t>
    </r>
    <r>
      <rPr>
        <b val="true"/>
        <sz val="10"/>
        <color rgb="FF000000"/>
        <rFont val="WenQuanYi Zen Hei"/>
        <family val="2"/>
      </rPr>
      <t xml:space="preserve">福利課</t>
    </r>
    <r>
      <rPr>
        <b val="true"/>
        <sz val="10"/>
        <color rgb="FF000000"/>
        <rFont val="ＭＳ 明朝"/>
        <family val="0"/>
        <charset val="1"/>
      </rPr>
      <t xml:space="preserve">)</t>
    </r>
  </si>
  <si>
    <r>
      <rPr>
        <sz val="10"/>
        <color rgb="FF000000"/>
        <rFont val="WenQuanYi Zen Hei"/>
        <family val="2"/>
      </rPr>
      <t xml:space="preserve">借用証書と添書は福利課が作成します。「福利課用」シートのボタンを押すと、申込者が入力した内容で</t>
    </r>
    <r>
      <rPr>
        <sz val="10"/>
        <color rgb="FF000000"/>
        <rFont val="ＭＳ 明朝"/>
        <family val="0"/>
        <charset val="1"/>
      </rPr>
      <t xml:space="preserve">Word</t>
    </r>
    <r>
      <rPr>
        <sz val="10"/>
        <color rgb="FF000000"/>
        <rFont val="WenQuanYi Zen Hei"/>
        <family val="2"/>
      </rPr>
      <t xml:space="preserve">が作成されます。借用証書の氏名</t>
    </r>
    <r>
      <rPr>
        <sz val="10"/>
        <color rgb="FF000000"/>
        <rFont val="ＭＳ 明朝"/>
        <family val="0"/>
        <charset val="1"/>
      </rPr>
      <t xml:space="preserve">(</t>
    </r>
    <r>
      <rPr>
        <sz val="10"/>
        <color rgb="FF000000"/>
        <rFont val="WenQuanYi Zen Hei"/>
        <family val="2"/>
      </rPr>
      <t xml:space="preserve">自署</t>
    </r>
    <r>
      <rPr>
        <sz val="10"/>
        <color rgb="FF000000"/>
        <rFont val="ＭＳ 明朝"/>
        <family val="0"/>
        <charset val="1"/>
      </rPr>
      <t xml:space="preserve">)</t>
    </r>
    <r>
      <rPr>
        <sz val="10"/>
        <color rgb="FF000000"/>
        <rFont val="WenQuanYi Zen Hei"/>
        <family val="2"/>
      </rPr>
      <t xml:space="preserve">、実印、日付は記入しません。</t>
    </r>
  </si>
  <si>
    <r>
      <rPr>
        <b val="true"/>
        <sz val="10"/>
        <color rgb="FF000000"/>
        <rFont val="ＭＳ 明朝"/>
        <family val="0"/>
        <charset val="1"/>
      </rPr>
      <t xml:space="preserve">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</si>
  <si>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ブックを「コンテンツの有効化」でマクロを有効にして開く </t>
    </r>
    <r>
      <rPr>
        <sz val="10"/>
        <color rgb="FF000000"/>
        <rFont val="ＭＳ 明朝"/>
        <family val="0"/>
        <charset val="1"/>
      </rPr>
      <t xml:space="preserve">(2)</t>
    </r>
    <r>
      <rPr>
        <sz val="10"/>
        <color rgb="FF000000"/>
        <rFont val="WenQuanYi Zen Hei"/>
        <family val="2"/>
      </rPr>
      <t xml:space="preserve">テンプレート</t>
    </r>
    <r>
      <rPr>
        <sz val="10"/>
        <color rgb="FF000000"/>
        <rFont val="ＭＳ 明朝"/>
        <family val="0"/>
        <charset val="1"/>
      </rPr>
      <t xml:space="preserve">(.docx)</t>
    </r>
    <r>
      <rPr>
        <sz val="10"/>
        <color rgb="FF000000"/>
        <rFont val="WenQuanYi Zen Hei"/>
        <family val="2"/>
      </rPr>
      <t xml:space="preserve">をブックと同じフォルダーに置く </t>
    </r>
    <r>
      <rPr>
        <sz val="10"/>
        <color rgb="FF000000"/>
        <rFont val="ＭＳ 明朝"/>
        <family val="0"/>
        <charset val="1"/>
      </rPr>
      <t xml:space="preserve">(3)</t>
    </r>
    <r>
      <rPr>
        <sz val="10"/>
        <color rgb="FF000000"/>
        <rFont val="WenQuanYi Zen Hei"/>
        <family val="2"/>
      </rPr>
      <t xml:space="preserve">ボタンを押す</t>
    </r>
    <r>
      <rPr>
        <sz val="10"/>
        <color rgb="FF000000"/>
        <rFont val="ＭＳ 明朝"/>
        <family val="0"/>
        <charset val="1"/>
      </rPr>
      <t xml:space="preserve">(</t>
    </r>
    <r>
      <rPr>
        <sz val="10"/>
        <color rgb="FF000000"/>
        <rFont val="WenQuanYi Zen Hei"/>
        <family val="2"/>
      </rPr>
      <t xml:space="preserve">確認メッセージが出たら内容を読む</t>
    </r>
    <r>
      <rPr>
        <sz val="10"/>
        <color rgb="FF000000"/>
        <rFont val="ＭＳ 明朝"/>
        <family val="0"/>
        <charset val="1"/>
      </rPr>
      <t xml:space="preserve">) (4)Word</t>
    </r>
    <r>
      <rPr>
        <sz val="10"/>
        <color rgb="FF000000"/>
        <rFont val="WenQuanYi Zen Hei"/>
        <family val="2"/>
      </rPr>
      <t xml:space="preserve">が自動で開く。同じフォルダーに「帳票名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」で保存される </t>
    </r>
    <r>
      <rPr>
        <sz val="10"/>
        <color rgb="FF000000"/>
        <rFont val="ＭＳ 明朝"/>
        <family val="0"/>
        <charset val="1"/>
      </rPr>
      <t xml:space="preserve">(5)</t>
    </r>
    <r>
      <rPr>
        <sz val="10"/>
        <color rgb="FF000000"/>
        <rFont val="WenQuanYi Zen Hei"/>
        <family val="2"/>
      </rPr>
      <t xml:space="preserve">内容を確認して印刷する。</t>
    </r>
    <r>
      <rPr>
        <sz val="10"/>
        <color rgb="FF000000"/>
        <rFont val="ＭＳ 明朝"/>
        <family val="0"/>
        <charset val="1"/>
      </rPr>
      <t xml:space="preserve">Word</t>
    </r>
    <r>
      <rPr>
        <sz val="10"/>
        <color rgb="FF000000"/>
        <rFont val="WenQuanYi Zen Hei"/>
        <family val="2"/>
      </rPr>
      <t xml:space="preserve">が入っているパソコンで使えます。</t>
    </r>
  </si>
  <si>
    <t xml:space="preserve">必要なファイル</t>
  </si>
  <si>
    <r>
      <rPr>
        <sz val="10"/>
        <color rgb="FF000000"/>
        <rFont val="WenQuanYi Zen Hei"/>
        <family val="2"/>
      </rPr>
      <t xml:space="preserve">申込者</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貸付申込書テンプレート</t>
    </r>
    <r>
      <rPr>
        <sz val="10"/>
        <color rgb="FF000000"/>
        <rFont val="ＭＳ 明朝"/>
        <family val="0"/>
        <charset val="1"/>
      </rPr>
      <t xml:space="preserve">.docx</t>
    </r>
    <r>
      <rPr>
        <sz val="10"/>
        <color rgb="FF000000"/>
        <rFont val="WenQuanYi Zen Hei"/>
        <family val="2"/>
      </rPr>
      <t xml:space="preserve">。福利課</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t>
    </r>
  </si>
  <si>
    <t xml:space="preserve">借りられる上限の見方</t>
  </si>
  <si>
    <r>
      <rPr>
        <sz val="10"/>
        <color rgb="FF000000"/>
        <rFont val="WenQuanYi Zen Hei"/>
        <family val="2"/>
      </rPr>
      <t xml:space="preserve">「申込シミュレーション」の「借りられる上限」</t>
    </r>
    <r>
      <rPr>
        <sz val="10"/>
        <color rgb="FF000000"/>
        <rFont val="ＭＳ 明朝"/>
        <family val="0"/>
        <charset val="1"/>
      </rPr>
      <t xml:space="preserve">(</t>
    </r>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は、次の ① と ② の小さい方を、申込単位で切り捨てた額です。①貸付限度額は制度上の上限</t>
    </r>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月数など。住宅は最低保障額あり</t>
    </r>
    <r>
      <rPr>
        <sz val="10"/>
        <color rgb="FF000000"/>
        <rFont val="ＭＳ 明朝"/>
        <family val="0"/>
        <charset val="1"/>
      </rPr>
      <t xml:space="preserve">)</t>
    </r>
    <r>
      <rPr>
        <sz val="10"/>
        <color rgb="FF000000"/>
        <rFont val="WenQuanYi Zen Hei"/>
        <family val="2"/>
      </rPr>
      <t xml:space="preserve">。②返済能力は、毎月の償還額が「給料月額の</t>
    </r>
    <r>
      <rPr>
        <sz val="10"/>
        <color rgb="FF000000"/>
        <rFont val="ＭＳ 明朝"/>
        <family val="0"/>
        <charset val="1"/>
      </rPr>
      <t xml:space="preserve">30% − </t>
    </r>
    <r>
      <rPr>
        <sz val="10"/>
        <color rgb="FF000000"/>
        <rFont val="WenQuanYi Zen Hei"/>
        <family val="2"/>
      </rPr>
      <t xml:space="preserve">他の借入等の償還額」に収まる元金</t>
    </r>
    <r>
      <rPr>
        <sz val="10"/>
        <color rgb="FF000000"/>
        <rFont val="ＭＳ 明朝"/>
        <family val="0"/>
        <charset val="1"/>
      </rPr>
      <t xml:space="preserve">(</t>
    </r>
    <r>
      <rPr>
        <sz val="10"/>
        <color rgb="FF000000"/>
        <rFont val="WenQuanYi Zen Hei"/>
        <family val="2"/>
      </rPr>
      <t xml:space="preserve">元利均等・入力した償還回数で計算</t>
    </r>
    <r>
      <rPr>
        <sz val="10"/>
        <color rgb="FF000000"/>
        <rFont val="ＭＳ 明朝"/>
        <family val="0"/>
        <charset val="1"/>
      </rPr>
      <t xml:space="preserve">)</t>
    </r>
    <r>
      <rPr>
        <sz val="10"/>
        <color rgb="FF000000"/>
        <rFont val="WenQuanYi Zen Hei"/>
        <family val="2"/>
      </rPr>
      <t xml:space="preserve">。償還回数を増やすと②が大きくなります。右下の早見表で、回数別の上限を確認できます。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</si>
  <si>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</si>
  <si>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</si>
  <si>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</si>
  <si>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</si>
  <si>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</si>
  <si>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r>
      <rPr>
        <sz val="10"/>
        <color rgb="FF000000"/>
        <rFont val="WenQuanYi Zen Hei"/>
        <family val="2"/>
      </rPr>
      <t xml:space="preserve">広島市職員共済組合ハンドブック</t>
    </r>
    <r>
      <rPr>
        <sz val="10"/>
        <color rgb="FF000000"/>
        <rFont val="ＭＳ 明朝"/>
        <family val="0"/>
        <charset val="1"/>
      </rPr>
      <t xml:space="preserve">(</t>
    </r>
    <r>
      <rPr>
        <sz val="10"/>
        <color rgb="FF000000"/>
        <rFont val="WenQuanYi Zen Hei"/>
        <family val="2"/>
      </rPr>
      <t xml:space="preserve">令和</t>
    </r>
    <r>
      <rPr>
        <sz val="10"/>
        <color rgb="FF000000"/>
        <rFont val="ＭＳ 明朝"/>
        <family val="0"/>
        <charset val="1"/>
      </rPr>
      <t xml:space="preserve">8</t>
    </r>
    <r>
      <rPr>
        <sz val="10"/>
        <color rgb="FF000000"/>
        <rFont val="WenQuanYi Zen Hei"/>
        <family val="2"/>
      </rPr>
      <t xml:space="preserve">年度改訂版</t>
    </r>
    <r>
      <rPr>
        <sz val="10"/>
        <color rgb="FF000000"/>
        <rFont val="ＭＳ 明朝"/>
        <family val="0"/>
        <charset val="1"/>
      </rPr>
      <t xml:space="preserve">)</t>
    </r>
    <r>
      <rPr>
        <sz val="10"/>
        <color rgb="FF000000"/>
        <rFont val="WenQuanYi Zen Hei"/>
        <family val="2"/>
      </rPr>
      <t xml:space="preserve">、貸付金借用証書、借入状況等申告書、貸付申込書。利率は令和</t>
    </r>
    <r>
      <rPr>
        <sz val="10"/>
        <color rgb="FF000000"/>
        <rFont val="ＭＳ 明朝"/>
        <family val="0"/>
        <charset val="1"/>
      </rPr>
      <t xml:space="preserve">8</t>
    </r>
    <r>
      <rPr>
        <sz val="10"/>
        <color rgb="FF000000"/>
        <rFont val="WenQuanYi Zen Hei"/>
        <family val="2"/>
      </rPr>
      <t xml:space="preserve">年</t>
    </r>
    <r>
      <rPr>
        <sz val="10"/>
        <color rgb="FF000000"/>
        <rFont val="ＭＳ 明朝"/>
        <family val="0"/>
        <charset val="1"/>
      </rPr>
      <t xml:space="preserve">4</t>
    </r>
    <r>
      <rPr>
        <sz val="10"/>
        <color rgb="FF000000"/>
        <rFont val="WenQuanYi Zen Hei"/>
        <family val="2"/>
      </rPr>
      <t xml:space="preserve">月</t>
    </r>
    <r>
      <rPr>
        <sz val="10"/>
        <color rgb="FF000000"/>
        <rFont val="ＭＳ 明朝"/>
        <family val="0"/>
        <charset val="1"/>
      </rPr>
      <t xml:space="preserve">1</t>
    </r>
    <r>
      <rPr>
        <sz val="10"/>
        <color rgb="FF000000"/>
        <rFont val="WenQuanYi Zen Hei"/>
        <family val="2"/>
      </rPr>
      <t xml:space="preserve">日現在</t>
    </r>
    <r>
      <rPr>
        <sz val="10"/>
        <color rgb="FF000000"/>
        <rFont val="ＭＳ 明朝"/>
        <family val="0"/>
        <charset val="1"/>
      </rPr>
      <t xml:space="preserve">(</t>
    </r>
    <r>
      <rPr>
        <sz val="10"/>
        <color rgb="FF000000"/>
        <rFont val="WenQuanYi Zen Hei"/>
        <family val="2"/>
      </rPr>
      <t xml:space="preserve">普通・特別・住宅 年</t>
    </r>
    <r>
      <rPr>
        <sz val="10"/>
        <color rgb="FF000000"/>
        <rFont val="ＭＳ 明朝"/>
        <family val="0"/>
        <charset val="1"/>
      </rPr>
      <t xml:space="preserve">1.26%</t>
    </r>
    <r>
      <rPr>
        <sz val="10"/>
        <color rgb="FF000000"/>
        <rFont val="WenQuanYi Zen Hei"/>
        <family val="2"/>
      </rPr>
      <t xml:space="preserve">、災害 年</t>
    </r>
    <r>
      <rPr>
        <sz val="10"/>
        <color rgb="FF000000"/>
        <rFont val="ＭＳ 明朝"/>
        <family val="0"/>
        <charset val="1"/>
      </rPr>
      <t xml:space="preserve">0.93%</t>
    </r>
    <r>
      <rPr>
        <sz val="10"/>
        <color rgb="FF000000"/>
        <rFont val="WenQuanYi Zen Hei"/>
        <family val="2"/>
      </rPr>
      <t xml:space="preserve">、在宅介護対応住宅 年</t>
    </r>
    <r>
      <rPr>
        <sz val="10"/>
        <color rgb="FF000000"/>
        <rFont val="ＭＳ 明朝"/>
        <family val="0"/>
        <charset val="1"/>
      </rPr>
      <t xml:space="preserve">1.00%)</t>
    </r>
    <r>
      <rPr>
        <sz val="10"/>
        <color rgb="FF000000"/>
        <rFont val="WenQuanYi Zen Hei"/>
        <family val="2"/>
      </rPr>
      <t xml:space="preserve">。</t>
    </r>
  </si>
  <si>
    <t xml:space="preserve">注意</t>
  </si>
  <si>
    <r>
      <rPr>
        <sz val="10"/>
        <color rgb="FF000000"/>
        <rFont val="WenQuanYi Zen Hei"/>
        <family val="2"/>
      </rPr>
      <t xml:space="preserve">償還額は元利均等の概算です。利息は円未満を四捨五入し、元金の端数は最後の回で調整します</t>
    </r>
    <r>
      <rPr>
        <sz val="10"/>
        <color rgb="FF000000"/>
        <rFont val="ＭＳ 明朝"/>
        <family val="0"/>
        <charset val="1"/>
      </rPr>
      <t xml:space="preserve">(</t>
    </r>
    <r>
      <rPr>
        <sz val="10"/>
        <color rgb="FF000000"/>
        <rFont val="WenQuanYi Zen Hei"/>
        <family val="2"/>
      </rPr>
      <t xml:space="preserve">最終回だけ償還額が異なります</t>
    </r>
    <r>
      <rPr>
        <sz val="10"/>
        <color rgb="FF000000"/>
        <rFont val="ＭＳ 明朝"/>
        <family val="0"/>
        <charset val="1"/>
      </rPr>
      <t xml:space="preserve">)</t>
    </r>
    <r>
      <rPr>
        <sz val="10"/>
        <color rgb="FF000000"/>
        <rFont val="WenQuanYi Zen Hei"/>
        <family val="2"/>
      </rPr>
      <t xml:space="preserve">。実際の償還表と数円の差が出ることがあります。</t>
    </r>
  </si>
  <si>
    <t xml:space="preserve">未確認の事項</t>
  </si>
  <si>
    <r>
      <rPr>
        <sz val="10"/>
        <color rgb="FF000000"/>
        <rFont val="WenQuanYi Zen Hei"/>
        <family val="2"/>
      </rPr>
      <t xml:space="preserve">次の</t>
    </r>
    <r>
      <rPr>
        <sz val="10"/>
        <color rgb="FF000000"/>
        <rFont val="ＭＳ 明朝"/>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ＭＳ 明朝"/>
        <family val="0"/>
        <charset val="1"/>
      </rPr>
      <t xml:space="preserve">(1)</t>
    </r>
    <r>
      <rPr>
        <sz val="10"/>
        <color rgb="FF000000"/>
        <rFont val="WenQuanYi Zen Hei"/>
        <family val="2"/>
      </rPr>
      <t xml:space="preserve">災害家財貸付の申込単位</t>
    </r>
    <r>
      <rPr>
        <sz val="10"/>
        <color rgb="FF000000"/>
        <rFont val="ＭＳ 明朝"/>
        <family val="0"/>
        <charset val="1"/>
      </rPr>
      <t xml:space="preserve">(5</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と償還回数の上限</t>
    </r>
    <r>
      <rPr>
        <sz val="10"/>
        <color rgb="FF000000"/>
        <rFont val="ＭＳ 明朝"/>
        <family val="0"/>
        <charset val="1"/>
      </rPr>
      <t xml:space="preserve">(360</t>
    </r>
    <r>
      <rPr>
        <sz val="10"/>
        <color rgb="FF000000"/>
        <rFont val="WenQuanYi Zen Hei"/>
        <family val="2"/>
      </rPr>
      <t xml:space="preserve">回</t>
    </r>
    <r>
      <rPr>
        <sz val="10"/>
        <color rgb="FF000000"/>
        <rFont val="ＭＳ 明朝"/>
        <family val="0"/>
        <charset val="1"/>
      </rPr>
      <t xml:space="preserve">) (2)</t>
    </r>
    <r>
      <rPr>
        <sz val="10"/>
        <color rgb="FF000000"/>
        <rFont val="WenQuanYi Zen Hei"/>
        <family val="2"/>
      </rPr>
      <t xml:space="preserve">組合員期間</t>
    </r>
    <r>
      <rPr>
        <sz val="10"/>
        <color rgb="FF000000"/>
        <rFont val="ＭＳ 明朝"/>
        <family val="0"/>
        <charset val="1"/>
      </rPr>
      <t xml:space="preserve">1</t>
    </r>
    <r>
      <rPr>
        <sz val="10"/>
        <color rgb="FF000000"/>
        <rFont val="WenQuanYi Zen Hei"/>
        <family val="2"/>
      </rPr>
      <t xml:space="preserve">年未満の災害住宅貸付の月数・最低保障額 </t>
    </r>
    <r>
      <rPr>
        <sz val="10"/>
        <color rgb="FF000000"/>
        <rFont val="ＭＳ 明朝"/>
        <family val="0"/>
        <charset val="1"/>
      </rPr>
      <t xml:space="preserve">(3)</t>
    </r>
    <r>
      <rPr>
        <sz val="10"/>
        <color rgb="FF000000"/>
        <rFont val="WenQuanYi Zen Hei"/>
        <family val="2"/>
      </rPr>
      <t xml:space="preserve">災害貸付に在宅介護対応の加算を併用する場合の利率 </t>
    </r>
    <r>
      <rPr>
        <sz val="10"/>
        <color rgb="FF000000"/>
        <rFont val="ＭＳ 明朝"/>
        <family val="0"/>
        <charset val="1"/>
      </rPr>
      <t xml:space="preserve">(4)</t>
    </r>
    <r>
      <rPr>
        <sz val="10"/>
        <color rgb="FF000000"/>
        <rFont val="WenQuanYi Zen Hei"/>
        <family val="2"/>
      </rPr>
      <t xml:space="preserve">住宅貸付の貸付決定時期</t>
    </r>
    <r>
      <rPr>
        <sz val="10"/>
        <color rgb="FF000000"/>
        <rFont val="ＭＳ 明朝"/>
        <family val="0"/>
        <charset val="1"/>
      </rPr>
      <t xml:space="preserve">(</t>
    </r>
    <r>
      <rPr>
        <sz val="10"/>
        <color rgb="FF000000"/>
        <rFont val="WenQuanYi Zen Hei"/>
        <family val="2"/>
      </rPr>
      <t xml:space="preserve">ハンドブックは「締切日の同月</t>
    </r>
    <r>
      <rPr>
        <sz val="10"/>
        <color rgb="FF000000"/>
        <rFont val="ＭＳ 明朝"/>
        <family val="0"/>
        <charset val="1"/>
      </rPr>
      <t xml:space="preserve">10</t>
    </r>
    <r>
      <rPr>
        <sz val="10"/>
        <color rgb="FF000000"/>
        <rFont val="WenQuanYi Zen Hei"/>
        <family val="2"/>
      </rPr>
      <t xml:space="preserve">日頃」</t>
    </r>
    <r>
      <rPr>
        <sz val="10"/>
        <color rgb="FF000000"/>
        <rFont val="ＭＳ 明朝"/>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</si>
  <si>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</si>
  <si>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</si>
  <si>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</si>
  <si>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ＭＳ 明朝"/>
        <family val="0"/>
        <charset val="1"/>
      </rPr>
      <t xml:space="preserve">082-504-2061</t>
    </r>
  </si>
  <si>
    <r>
      <rPr>
        <b val="true"/>
        <sz val="14"/>
        <color rgb="FF000000"/>
        <rFont val="WenQuanYi Zen Hei"/>
        <family val="2"/>
      </rPr>
      <t xml:space="preserve">貸付申込シミュレーター</t>
    </r>
    <r>
      <rPr>
        <b val="true"/>
        <sz val="14"/>
        <color rgb="FF000000"/>
        <rFont val="ＭＳ 明朝"/>
        <family val="0"/>
        <charset val="1"/>
      </rPr>
      <t xml:space="preserve">(</t>
    </r>
    <r>
      <rPr>
        <b val="true"/>
        <sz val="14"/>
        <color rgb="FF000000"/>
        <rFont val="WenQuanYi Zen Hei"/>
        <family val="2"/>
      </rPr>
      <t xml:space="preserve">広島市職員共済組合</t>
    </r>
    <r>
      <rPr>
        <b val="true"/>
        <sz val="14"/>
        <color rgb="FF000000"/>
        <rFont val="ＭＳ 明朝"/>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</si>
  <si>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</si>
  <si>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</si>
  <si>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i val="true"/>
        <sz val="9"/>
        <color rgb="FF595959"/>
        <rFont val="WenQuanYi Zen Hei"/>
        <family val="2"/>
      </rPr>
      <t xml:space="preserve">貸付申込書</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を</t>
    </r>
    <r>
      <rPr>
        <i val="true"/>
        <sz val="9"/>
        <color rgb="FF595959"/>
        <rFont val="ＭＳ 明朝"/>
        <family val="0"/>
        <charset val="1"/>
      </rPr>
      <t xml:space="preserve">Word</t>
    </r>
    <r>
      <rPr>
        <i val="true"/>
        <sz val="9"/>
        <color rgb="FF595959"/>
        <rFont val="WenQuanYi Zen Hei"/>
        <family val="2"/>
      </rPr>
      <t xml:space="preserve">で出力します。住宅・災害は対象外です。</t>
    </r>
  </si>
  <si>
    <r>
      <rPr>
        <b val="true"/>
        <sz val="10"/>
        <color rgb="FF000000"/>
        <rFont val="ＭＳ 明朝"/>
        <family val="0"/>
        <charset val="1"/>
      </rPr>
      <t xml:space="preserve">1 </t>
    </r>
    <r>
      <rPr>
        <b val="true"/>
        <sz val="10"/>
        <color rgb="FF000000"/>
        <rFont val="WenQuanYi Zen Hei"/>
        <family val="2"/>
      </rPr>
      <t xml:space="preserve">申込者・貸付の内容</t>
    </r>
  </si>
  <si>
    <r>
      <rPr>
        <b val="true"/>
        <sz val="10"/>
        <color rgb="FF000000"/>
        <rFont val="ＭＳ 明朝"/>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</si>
  <si>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</si>
  <si>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ＭＳ 明朝"/>
        <family val="0"/>
        <charset val="1"/>
      </rPr>
      <t xml:space="preserve">(</t>
    </r>
    <r>
      <rPr>
        <sz val="10"/>
        <color rgb="FF0000FF"/>
        <rFont val="WenQuanYi Zen Hei"/>
        <family val="2"/>
      </rPr>
      <t xml:space="preserve">給与支給の派遣職員を含む</t>
    </r>
    <r>
      <rPr>
        <sz val="10"/>
        <color rgb="FF0000FF"/>
        <rFont val="ＭＳ 明朝"/>
        <family val="0"/>
        <charset val="1"/>
      </rPr>
      <t xml:space="preserve">)</t>
    </r>
  </si>
  <si>
    <t xml:space="preserve">総合判定</t>
  </si>
  <si>
    <t xml:space="preserve">所属名</t>
  </si>
  <si>
    <t xml:space="preserve">○○局○○課</t>
  </si>
  <si>
    <t xml:space="preserve">借りられる上限</t>
  </si>
  <si>
    <t xml:space="preserve">氏名</t>
  </si>
  <si>
    <t xml:space="preserve">広島 太郎</t>
  </si>
  <si>
    <t xml:space="preserve">組合員期間</t>
  </si>
  <si>
    <t xml:space="preserve">貸付区分 ※プルダウン</t>
  </si>
  <si>
    <r>
      <rPr>
        <sz val="10"/>
        <color rgb="FF0000FF"/>
        <rFont val="WenQuanYi Zen Hei"/>
        <family val="2"/>
      </rPr>
      <t xml:space="preserve">普通貸付</t>
    </r>
    <r>
      <rPr>
        <sz val="10"/>
        <color rgb="FF0000FF"/>
        <rFont val="ＭＳ 明朝"/>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</si>
  <si>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</si>
  <si>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9"/>
        <color rgb="FF595959"/>
        <rFont val="WenQuanYi Zen Hei"/>
        <family val="2"/>
      </rPr>
      <t xml:space="preserve">変動利率</t>
    </r>
    <r>
      <rPr>
        <i val="true"/>
        <sz val="9"/>
        <color rgb="FF595959"/>
        <rFont val="ＭＳ 明朝"/>
        <family val="0"/>
        <charset val="1"/>
      </rPr>
      <t xml:space="preserve">(</t>
    </r>
    <r>
      <rPr>
        <i val="true"/>
        <sz val="9"/>
        <color rgb="FF595959"/>
        <rFont val="WenQuanYi Zen Hei"/>
        <family val="2"/>
      </rPr>
      <t xml:space="preserve">令和</t>
    </r>
    <r>
      <rPr>
        <i val="true"/>
        <sz val="9"/>
        <color rgb="FF595959"/>
        <rFont val="ＭＳ 明朝"/>
        <family val="0"/>
        <charset val="1"/>
      </rPr>
      <t xml:space="preserve">8</t>
    </r>
    <r>
      <rPr>
        <i val="true"/>
        <sz val="9"/>
        <color rgb="FF595959"/>
        <rFont val="WenQuanYi Zen Hei"/>
        <family val="2"/>
      </rPr>
      <t xml:space="preserve">年</t>
    </r>
    <r>
      <rPr>
        <i val="true"/>
        <sz val="9"/>
        <color rgb="FF595959"/>
        <rFont val="ＭＳ 明朝"/>
        <family val="0"/>
        <charset val="1"/>
      </rPr>
      <t xml:space="preserve">4</t>
    </r>
    <r>
      <rPr>
        <i val="true"/>
        <sz val="9"/>
        <color rgb="FF595959"/>
        <rFont val="WenQuanYi Zen Hei"/>
        <family val="2"/>
      </rPr>
      <t xml:space="preserve">月</t>
    </r>
    <r>
      <rPr>
        <i val="true"/>
        <sz val="9"/>
        <color rgb="FF595959"/>
        <rFont val="ＭＳ 明朝"/>
        <family val="0"/>
        <charset val="1"/>
      </rPr>
      <t xml:space="preserve">1</t>
    </r>
    <r>
      <rPr>
        <i val="true"/>
        <sz val="9"/>
        <color rgb="FF595959"/>
        <rFont val="WenQuanYi Zen Hei"/>
        <family val="2"/>
      </rPr>
      <t xml:space="preserve">日現在</t>
    </r>
    <r>
      <rPr>
        <i val="true"/>
        <sz val="9"/>
        <color rgb="FF595959"/>
        <rFont val="ＭＳ 明朝"/>
        <family val="0"/>
        <charset val="1"/>
      </rPr>
      <t xml:space="preserve">)</t>
    </r>
  </si>
  <si>
    <t xml:space="preserve">申込予定日</t>
  </si>
  <si>
    <r>
      <rPr>
        <sz val="10"/>
        <color rgb="FF000000"/>
        <rFont val="WenQuanYi Zen Hei"/>
        <family val="2"/>
      </rPr>
      <t xml:space="preserve">① 貸付限度額</t>
    </r>
    <r>
      <rPr>
        <sz val="10"/>
        <color rgb="FF000000"/>
        <rFont val="ＭＳ 明朝"/>
        <family val="0"/>
        <charset val="1"/>
      </rPr>
      <t xml:space="preserve">(</t>
    </r>
    <r>
      <rPr>
        <sz val="10"/>
        <color rgb="FF000000"/>
        <rFont val="WenQuanYi Zen Hei"/>
        <family val="2"/>
      </rPr>
      <t xml:space="preserve">制度上の上限</t>
    </r>
    <r>
      <rPr>
        <sz val="10"/>
        <color rgb="FF000000"/>
        <rFont val="ＭＳ 明朝"/>
        <family val="0"/>
        <charset val="1"/>
      </rPr>
      <t xml:space="preserve">)</t>
    </r>
  </si>
  <si>
    <t xml:space="preserve">組合員資格取得日</t>
  </si>
  <si>
    <t xml:space="preserve">　 うち在宅介護対応の加算</t>
  </si>
  <si>
    <t xml:space="preserve">①に含まれます</t>
  </si>
  <si>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</si>
  <si>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手当等は含めない</t>
    </r>
    <r>
      <rPr>
        <i val="true"/>
        <sz val="9"/>
        <color rgb="FF595959"/>
        <rFont val="ＭＳ 明朝"/>
        <family val="0"/>
        <charset val="1"/>
      </rPr>
      <t xml:space="preserve">(</t>
    </r>
    <r>
      <rPr>
        <i val="true"/>
        <sz val="9"/>
        <color rgb="FF595959"/>
        <rFont val="WenQuanYi Zen Hei"/>
        <family val="2"/>
      </rPr>
      <t xml:space="preserve">部分休業等で減額中は減額後</t>
    </r>
    <r>
      <rPr>
        <i val="true"/>
        <sz val="9"/>
        <color rgb="FF595959"/>
        <rFont val="ＭＳ 明朝"/>
        <family val="0"/>
        <charset val="1"/>
      </rPr>
      <t xml:space="preserve">)</t>
    </r>
  </si>
  <si>
    <t xml:space="preserve">② 返済能力から見た上限</t>
  </si>
  <si>
    <r>
      <rPr>
        <sz val="10"/>
        <color rgb="FF000000"/>
        <rFont val="WenQuanYi Zen Hei"/>
        <family val="2"/>
      </rPr>
      <t xml:space="preserve">事由発生</t>
    </r>
    <r>
      <rPr>
        <sz val="10"/>
        <color rgb="FF000000"/>
        <rFont val="ＭＳ 明朝"/>
        <family val="0"/>
        <charset val="1"/>
      </rPr>
      <t xml:space="preserve">(</t>
    </r>
    <r>
      <rPr>
        <sz val="10"/>
        <color rgb="FF000000"/>
        <rFont val="WenQuanYi Zen Hei"/>
        <family val="2"/>
      </rPr>
      <t xml:space="preserve">予定</t>
    </r>
    <r>
      <rPr>
        <sz val="10"/>
        <color rgb="FF000000"/>
        <rFont val="ＭＳ 明朝"/>
        <family val="0"/>
        <charset val="1"/>
      </rPr>
      <t xml:space="preserve">)</t>
    </r>
    <r>
      <rPr>
        <sz val="10"/>
        <color rgb="FF000000"/>
        <rFont val="WenQuanYi Zen Hei"/>
        <family val="2"/>
      </rPr>
      <t xml:space="preserve">日</t>
    </r>
  </si>
  <si>
    <r>
      <rPr>
        <b val="true"/>
        <sz val="10"/>
        <color rgb="FF000000"/>
        <rFont val="WenQuanYi Zen Hei"/>
        <family val="2"/>
      </rPr>
      <t xml:space="preserve">申込可能額</t>
    </r>
    <r>
      <rPr>
        <b val="true"/>
        <sz val="10"/>
        <color rgb="FF000000"/>
        <rFont val="ＭＳ 明朝"/>
        <family val="0"/>
        <charset val="1"/>
      </rPr>
      <t xml:space="preserve">(①②</t>
    </r>
    <r>
      <rPr>
        <b val="true"/>
        <sz val="10"/>
        <color rgb="FF000000"/>
        <rFont val="WenQuanYi Zen Hei"/>
        <family val="2"/>
      </rPr>
      <t xml:space="preserve">の小さい方</t>
    </r>
    <r>
      <rPr>
        <b val="true"/>
        <sz val="10"/>
        <color rgb="FF000000"/>
        <rFont val="ＭＳ 明朝"/>
        <family val="0"/>
        <charset val="1"/>
      </rPr>
      <t xml:space="preserve">)</t>
    </r>
  </si>
  <si>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</si>
  <si>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</si>
  <si>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</si>
  <si>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</si>
  <si>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</si>
  <si>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ＭＳ 明朝"/>
        <family val="0"/>
        <charset val="1"/>
      </rPr>
      <t xml:space="preserve">(</t>
    </r>
    <r>
      <rPr>
        <sz val="10"/>
        <color rgb="FF000000"/>
        <rFont val="WenQuanYi Zen Hei"/>
        <family val="2"/>
      </rPr>
      <t xml:space="preserve">育児休業を除く</t>
    </r>
    <r>
      <rPr>
        <sz val="10"/>
        <color rgb="FF000000"/>
        <rFont val="ＭＳ 明朝"/>
        <family val="0"/>
        <charset val="1"/>
      </rPr>
      <t xml:space="preserve">)</t>
    </r>
  </si>
  <si>
    <t xml:space="preserve">償還回数</t>
  </si>
  <si>
    <r>
      <rPr>
        <sz val="10"/>
        <color rgb="FF000000"/>
        <rFont val="WenQuanYi Zen Hei"/>
        <family val="2"/>
      </rPr>
      <t xml:space="preserve">修学月数</t>
    </r>
    <r>
      <rPr>
        <sz val="10"/>
        <color rgb="FF000000"/>
        <rFont val="ＭＳ 明朝"/>
        <family val="0"/>
        <charset val="1"/>
      </rPr>
      <t xml:space="preserve">(</t>
    </r>
    <r>
      <rPr>
        <sz val="10"/>
        <color rgb="FF000000"/>
        <rFont val="WenQuanYi Zen Hei"/>
        <family val="2"/>
      </rPr>
      <t xml:space="preserve">修学貸付のみ</t>
    </r>
    <r>
      <rPr>
        <sz val="10"/>
        <color rgb="FF000000"/>
        <rFont val="ＭＳ 明朝"/>
        <family val="0"/>
        <charset val="1"/>
      </rPr>
      <t xml:space="preserve">)</t>
    </r>
  </si>
  <si>
    <r>
      <rPr>
        <i val="true"/>
        <sz val="9"/>
        <color rgb="FF595959"/>
        <rFont val="WenQuanYi Zen Hei"/>
        <family val="2"/>
      </rPr>
      <t xml:space="preserve">学年単位・修業年限以内。</t>
    </r>
    <r>
      <rPr>
        <i val="true"/>
        <sz val="9"/>
        <color rgb="FF595959"/>
        <rFont val="ＭＳ 明朝"/>
        <family val="0"/>
        <charset val="1"/>
      </rPr>
      <t xml:space="preserve">1</t>
    </r>
    <r>
      <rPr>
        <i val="true"/>
        <sz val="9"/>
        <color rgb="FF595959"/>
        <rFont val="WenQuanYi Zen Hei"/>
        <family val="2"/>
      </rPr>
      <t xml:space="preserve">か月</t>
    </r>
    <r>
      <rPr>
        <i val="true"/>
        <sz val="9"/>
        <color rgb="FF595959"/>
        <rFont val="ＭＳ 明朝"/>
        <family val="0"/>
        <charset val="1"/>
      </rPr>
      <t xml:space="preserve">15</t>
    </r>
    <r>
      <rPr>
        <i val="true"/>
        <sz val="9"/>
        <color rgb="FF595959"/>
        <rFont val="WenQuanYi Zen Hei"/>
        <family val="2"/>
      </rPr>
      <t xml:space="preserve">万円</t>
    </r>
  </si>
  <si>
    <t xml:space="preserve">毎月償還額</t>
  </si>
  <si>
    <r>
      <rPr>
        <sz val="10"/>
        <color rgb="FF000000"/>
        <rFont val="WenQuanYi Zen Hei"/>
        <family val="2"/>
      </rPr>
      <t xml:space="preserve">申込希望金額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</si>
  <si>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</si>
  <si>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</si>
  <si>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</si>
  <si>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</si>
  <si>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</si>
  <si>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</si>
  <si>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</si>
  <si>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</si>
  <si>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</si>
  <si>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</si>
  <si>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</si>
  <si>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ＭＳ 明朝"/>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</si>
  <si>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</si>
  <si>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</si>
  <si>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ＭＳ 明朝"/>
        <family val="0"/>
        <charset val="1"/>
      </rPr>
      <t xml:space="preserve">100</t>
    </r>
    <r>
      <rPr>
        <i val="true"/>
        <sz val="9"/>
        <color rgb="FF595959"/>
        <rFont val="WenQuanYi Zen Hei"/>
        <family val="2"/>
      </rPr>
      <t xml:space="preserve">万円以上・貸付金額の</t>
    </r>
    <r>
      <rPr>
        <i val="true"/>
        <sz val="9"/>
        <color rgb="FF595959"/>
        <rFont val="ＭＳ 明朝"/>
        <family val="0"/>
        <charset val="1"/>
      </rPr>
      <t xml:space="preserve">1/2</t>
    </r>
    <r>
      <rPr>
        <i val="true"/>
        <sz val="9"/>
        <color rgb="FF595959"/>
        <rFont val="WenQuanYi Zen Hei"/>
        <family val="2"/>
      </rPr>
      <t xml:space="preserve">以内・</t>
    </r>
    <r>
      <rPr>
        <i val="true"/>
        <sz val="9"/>
        <color rgb="FF595959"/>
        <rFont val="ＭＳ 明朝"/>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</si>
  <si>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</si>
  <si>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</si>
  <si>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60</t>
    </r>
    <r>
      <rPr>
        <i val="true"/>
        <sz val="9"/>
        <color rgb="FF595959"/>
        <rFont val="WenQuanYi Zen Hei"/>
        <family val="2"/>
      </rPr>
      <t xml:space="preserve">回以内</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月の計</t>
    </r>
    <r>
      <rPr>
        <i val="true"/>
        <sz val="9"/>
        <color rgb="FF595959"/>
        <rFont val="ＭＳ 明朝"/>
        <family val="0"/>
        <charset val="1"/>
      </rPr>
      <t xml:space="preserve">)</t>
    </r>
  </si>
  <si>
    <r>
      <rPr>
        <sz val="10"/>
        <color rgb="FF000000"/>
        <rFont val="WenQuanYi Zen Hei"/>
        <family val="2"/>
      </rPr>
      <t xml:space="preserve">在宅介護対応住宅の該当部分</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</si>
  <si>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住宅系のみ。</t>
    </r>
    <r>
      <rPr>
        <i val="true"/>
        <sz val="9"/>
        <color rgb="FF595959"/>
        <rFont val="ＭＳ 明朝"/>
        <family val="0"/>
        <charset val="1"/>
      </rPr>
      <t xml:space="preserve">300</t>
    </r>
    <r>
      <rPr>
        <i val="true"/>
        <sz val="9"/>
        <color rgb="FF595959"/>
        <rFont val="WenQuanYi Zen Hei"/>
        <family val="2"/>
      </rPr>
      <t xml:space="preserve">万円を限度に加算</t>
    </r>
  </si>
  <si>
    <r>
      <rPr>
        <b val="true"/>
        <sz val="10"/>
        <color rgb="FF000000"/>
        <rFont val="ＭＳ 明朝"/>
        <family val="0"/>
        <charset val="1"/>
      </rPr>
      <t xml:space="preserve">4 </t>
    </r>
    <r>
      <rPr>
        <b val="true"/>
        <sz val="10"/>
        <color rgb="FF000000"/>
        <rFont val="WenQuanYi Zen Hei"/>
        <family val="2"/>
      </rPr>
      <t xml:space="preserve">償還額の割合</t>
    </r>
    <r>
      <rPr>
        <b val="true"/>
        <sz val="10"/>
        <color rgb="FF000000"/>
        <rFont val="ＭＳ 明朝"/>
        <family val="0"/>
        <charset val="1"/>
      </rPr>
      <t xml:space="preserve">(</t>
    </r>
    <r>
      <rPr>
        <b val="true"/>
        <sz val="10"/>
        <color rgb="FF000000"/>
        <rFont val="WenQuanYi Zen Hei"/>
        <family val="2"/>
      </rPr>
      <t xml:space="preserve">借入状況等申告書の計算</t>
    </r>
    <r>
      <rPr>
        <b val="true"/>
        <sz val="10"/>
        <color rgb="FF000000"/>
        <rFont val="ＭＳ 明朝"/>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</si>
  <si>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</si>
  <si>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</si>
  <si>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ＭＳ 明朝"/>
        <family val="0"/>
        <charset val="1"/>
      </rPr>
      <t xml:space="preserve">(E)=A+B+C+D</t>
    </r>
  </si>
  <si>
    <r>
      <rPr>
        <i val="true"/>
        <sz val="9"/>
        <color rgb="FF595959"/>
        <rFont val="ＭＳ 明朝"/>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</si>
  <si>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ＭＳ 明朝"/>
        <family val="0"/>
        <charset val="1"/>
      </rPr>
      <t xml:space="preserve">(</t>
    </r>
    <r>
      <rPr>
        <sz val="10"/>
        <color rgb="FF000000"/>
        <rFont val="WenQuanYi Zen Hei"/>
        <family val="2"/>
      </rPr>
      <t xml:space="preserve">借用証書に使用</t>
    </r>
    <r>
      <rPr>
        <sz val="10"/>
        <color rgb="FF000000"/>
        <rFont val="ＭＳ 明朝"/>
        <family val="0"/>
        <charset val="1"/>
      </rPr>
      <t xml:space="preserve">)</t>
    </r>
  </si>
  <si>
    <r>
      <rPr>
        <sz val="10"/>
        <color rgb="FF0000FF"/>
        <rFont val="WenQuanYi Zen Hei"/>
        <family val="2"/>
      </rPr>
      <t xml:space="preserve">広島市中区○○町</t>
    </r>
    <r>
      <rPr>
        <sz val="10"/>
        <color rgb="FF0000FF"/>
        <rFont val="ＭＳ 明朝"/>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</si>
  <si>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</si>
  <si>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ＭＳ 明朝"/>
        <family val="0"/>
        <charset val="1"/>
      </rPr>
      <t xml:space="preserve">(J)=F+G+H+I</t>
    </r>
  </si>
  <si>
    <r>
      <rPr>
        <b val="true"/>
        <sz val="10"/>
        <color rgb="FF000000"/>
        <rFont val="ＭＳ 明朝"/>
        <family val="0"/>
        <charset val="1"/>
      </rPr>
      <t xml:space="preserve">2 </t>
    </r>
    <r>
      <rPr>
        <b val="true"/>
        <sz val="10"/>
        <color rgb="FF000000"/>
        <rFont val="WenQuanYi Zen Hei"/>
        <family val="2"/>
      </rPr>
      <t xml:space="preserve">他の借入・共済組合の既貸付</t>
    </r>
    <r>
      <rPr>
        <b val="true"/>
        <sz val="10"/>
        <color rgb="FF000000"/>
        <rFont val="ＭＳ 明朝"/>
        <family val="0"/>
        <charset val="1"/>
      </rPr>
      <t xml:space="preserve">(</t>
    </r>
    <r>
      <rPr>
        <b val="true"/>
        <sz val="10"/>
        <color rgb="FF000000"/>
        <rFont val="WenQuanYi Zen Hei"/>
        <family val="2"/>
      </rPr>
      <t xml:space="preserve">詳細は「借入状況等申告書」</t>
    </r>
    <r>
      <rPr>
        <b val="true"/>
        <sz val="10"/>
        <color rgb="FF000000"/>
        <rFont val="ＭＳ 明朝"/>
        <family val="0"/>
        <charset val="1"/>
      </rPr>
      <t xml:space="preserve">)</t>
    </r>
  </si>
  <si>
    <r>
      <rPr>
        <sz val="10"/>
        <color rgb="FF000000"/>
        <rFont val="WenQuanYi Zen Hei"/>
        <family val="2"/>
      </rPr>
      <t xml:space="preserve">給料月額</t>
    </r>
    <r>
      <rPr>
        <sz val="10"/>
        <color rgb="FF000000"/>
        <rFont val="ＭＳ 明朝"/>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</si>
  <si>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</si>
  <si>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</si>
  <si>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</si>
  <si>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ＭＳ 明朝"/>
        <family val="0"/>
        <charset val="1"/>
      </rPr>
      <t xml:space="preserve">E÷K</t>
    </r>
  </si>
  <si>
    <r>
      <rPr>
        <sz val="10"/>
        <color rgb="FF000000"/>
        <rFont val="WenQuanYi Zen Hei"/>
        <family val="2"/>
      </rPr>
      <t xml:space="preserve">共済組合の既貸付</t>
    </r>
    <r>
      <rPr>
        <sz val="10"/>
        <color rgb="FF000000"/>
        <rFont val="ＭＳ 明朝"/>
        <family val="0"/>
        <charset val="1"/>
      </rPr>
      <t xml:space="preserve">(</t>
    </r>
    <r>
      <rPr>
        <sz val="10"/>
        <color rgb="FF000000"/>
        <rFont val="WenQuanYi Zen Hei"/>
        <family val="2"/>
      </rPr>
      <t xml:space="preserve">貸付金</t>
    </r>
    <r>
      <rPr>
        <sz val="10"/>
        <color rgb="FF000000"/>
        <rFont val="ＭＳ 明朝"/>
        <family val="0"/>
        <charset val="1"/>
      </rPr>
      <t xml:space="preserve">)</t>
    </r>
  </si>
  <si>
    <r>
      <rPr>
        <i val="true"/>
        <sz val="9"/>
        <color rgb="FF595959"/>
        <rFont val="WenQuanYi Zen Hei"/>
        <family val="2"/>
      </rPr>
      <t xml:space="preserve">既借入分の償還額は申告書の</t>
    </r>
    <r>
      <rPr>
        <i val="true"/>
        <sz val="9"/>
        <color rgb="FF595959"/>
        <rFont val="ＭＳ 明朝"/>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</si>
  <si>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ＭＳ 明朝"/>
        <family val="0"/>
        <charset val="1"/>
      </rPr>
      <t xml:space="preserve">(L)=E×12+J×2</t>
    </r>
  </si>
  <si>
    <r>
      <rPr>
        <sz val="10"/>
        <color rgb="FF000000"/>
        <rFont val="WenQuanYi Zen Hei"/>
        <family val="2"/>
      </rPr>
      <t xml:space="preserve">他の金融機関等 毎月償還額 </t>
    </r>
    <r>
      <rPr>
        <sz val="10"/>
        <color rgb="FF000000"/>
        <rFont val="ＭＳ 明朝"/>
        <family val="0"/>
        <charset val="1"/>
      </rPr>
      <t xml:space="preserve">(A)+(B)</t>
    </r>
  </si>
  <si>
    <r>
      <rPr>
        <sz val="10"/>
        <color rgb="FF000000"/>
        <rFont val="WenQuanYi Zen Hei"/>
        <family val="2"/>
      </rPr>
      <t xml:space="preserve">年収額</t>
    </r>
    <r>
      <rPr>
        <sz val="10"/>
        <color rgb="FF000000"/>
        <rFont val="ＭＳ 明朝"/>
        <family val="0"/>
        <charset val="1"/>
      </rPr>
      <t xml:space="preserve">(M)=K×12+K×4</t>
    </r>
  </si>
  <si>
    <r>
      <rPr>
        <sz val="10"/>
        <color rgb="FF000000"/>
        <rFont val="WenQuanYi Zen Hei"/>
        <family val="2"/>
      </rPr>
      <t xml:space="preserve">他の金融機関等 ボーナス償還額 </t>
    </r>
    <r>
      <rPr>
        <sz val="10"/>
        <color rgb="FF000000"/>
        <rFont val="ＭＳ 明朝"/>
        <family val="0"/>
        <charset val="1"/>
      </rPr>
      <t xml:space="preserve">(F)+(G)</t>
    </r>
  </si>
  <si>
    <r>
      <rPr>
        <b val="true"/>
        <sz val="10"/>
        <color rgb="FF000000"/>
        <rFont val="WenQuanYi Zen Hei"/>
        <family val="2"/>
      </rPr>
      <t xml:space="preserve">年間償還額の割合 </t>
    </r>
    <r>
      <rPr>
        <b val="true"/>
        <sz val="10"/>
        <color rgb="FF000000"/>
        <rFont val="ＭＳ 明朝"/>
        <family val="0"/>
        <charset val="1"/>
      </rPr>
      <t xml:space="preserve">L÷M</t>
    </r>
  </si>
  <si>
    <r>
      <rPr>
        <sz val="10"/>
        <color rgb="FF000000"/>
        <rFont val="WenQuanYi Zen Hei"/>
        <family val="2"/>
      </rPr>
      <t xml:space="preserve">共済組合 毎月償還額 </t>
    </r>
    <r>
      <rPr>
        <sz val="10"/>
        <color rgb="FF000000"/>
        <rFont val="ＭＳ 明朝"/>
        <family val="0"/>
        <charset val="1"/>
      </rPr>
      <t xml:space="preserve">(C)</t>
    </r>
  </si>
  <si>
    <r>
      <rPr>
        <sz val="10"/>
        <color rgb="FF000000"/>
        <rFont val="WenQuanYi Zen Hei"/>
        <family val="2"/>
      </rPr>
      <t xml:space="preserve">共済組合 ボーナス償還額 </t>
    </r>
    <r>
      <rPr>
        <sz val="10"/>
        <color rgb="FF000000"/>
        <rFont val="ＭＳ 明朝"/>
        <family val="0"/>
        <charset val="1"/>
      </rPr>
      <t xml:space="preserve">(H)</t>
    </r>
  </si>
  <si>
    <r>
      <rPr>
        <b val="true"/>
        <sz val="10"/>
        <color rgb="FF000000"/>
        <rFont val="ＭＳ 明朝"/>
        <family val="0"/>
        <charset val="1"/>
      </rPr>
      <t xml:space="preserve">5 </t>
    </r>
    <r>
      <rPr>
        <b val="true"/>
        <sz val="10"/>
        <color rgb="FF000000"/>
        <rFont val="WenQuanYi Zen Hei"/>
        <family val="2"/>
      </rPr>
      <t xml:space="preserve">判定の内訳</t>
    </r>
    <r>
      <rPr>
        <b val="true"/>
        <sz val="10"/>
        <color rgb="FF000000"/>
        <rFont val="ＭＳ 明朝"/>
        <family val="0"/>
        <charset val="1"/>
      </rPr>
      <t xml:space="preserve">(○=</t>
    </r>
    <r>
      <rPr>
        <b val="true"/>
        <sz val="10"/>
        <color rgb="FF000000"/>
        <rFont val="WenQuanYi Zen Hei"/>
        <family val="2"/>
      </rPr>
      <t xml:space="preserve">適合 </t>
    </r>
    <r>
      <rPr>
        <b val="true"/>
        <sz val="10"/>
        <color rgb="FF000000"/>
        <rFont val="ＭＳ 明朝"/>
        <family val="0"/>
        <charset val="1"/>
      </rPr>
      <t xml:space="preserve">×=</t>
    </r>
    <r>
      <rPr>
        <b val="true"/>
        <sz val="10"/>
        <color rgb="FF000000"/>
        <rFont val="WenQuanYi Zen Hei"/>
        <family val="2"/>
      </rPr>
      <t xml:space="preserve">不適合 △</t>
    </r>
    <r>
      <rPr>
        <b val="true"/>
        <sz val="10"/>
        <color rgb="FF000000"/>
        <rFont val="ＭＳ 明朝"/>
        <family val="0"/>
        <charset val="1"/>
      </rPr>
      <t xml:space="preserve">=</t>
    </r>
    <r>
      <rPr>
        <b val="true"/>
        <sz val="10"/>
        <color rgb="FF000000"/>
        <rFont val="WenQuanYi Zen Hei"/>
        <family val="2"/>
      </rPr>
      <t xml:space="preserve">要確認 －</t>
    </r>
    <r>
      <rPr>
        <b val="true"/>
        <sz val="10"/>
        <color rgb="FF000000"/>
        <rFont val="ＭＳ 明朝"/>
        <family val="0"/>
        <charset val="1"/>
      </rPr>
      <t xml:space="preserve">=</t>
    </r>
    <r>
      <rPr>
        <b val="true"/>
        <sz val="10"/>
        <color rgb="FF000000"/>
        <rFont val="WenQuanYi Zen Hei"/>
        <family val="2"/>
      </rPr>
      <t xml:space="preserve">対象外</t>
    </r>
    <r>
      <rPr>
        <b val="true"/>
        <sz val="10"/>
        <color rgb="FF000000"/>
        <rFont val="ＭＳ 明朝"/>
        <family val="0"/>
        <charset val="1"/>
      </rPr>
      <t xml:space="preserve">)</t>
    </r>
  </si>
  <si>
    <t xml:space="preserve">貸付区分</t>
  </si>
  <si>
    <r>
      <rPr>
        <b val="true"/>
        <sz val="10"/>
        <color rgb="FF000000"/>
        <rFont val="ＭＳ 明朝"/>
        <family val="0"/>
        <charset val="1"/>
      </rPr>
      <t xml:space="preserve">7 </t>
    </r>
    <r>
      <rPr>
        <b val="true"/>
        <sz val="10"/>
        <color rgb="FF000000"/>
        <rFont val="WenQuanYi Zen Hei"/>
        <family val="2"/>
      </rPr>
      <t xml:space="preserve">申込時の提出書類</t>
    </r>
    <r>
      <rPr>
        <b val="true"/>
        <sz val="10"/>
        <color rgb="FF000000"/>
        <rFont val="ＭＳ 明朝"/>
        <family val="0"/>
        <charset val="1"/>
      </rPr>
      <t xml:space="preserve">(</t>
    </r>
    <r>
      <rPr>
        <b val="true"/>
        <sz val="10"/>
        <color rgb="FF000000"/>
        <rFont val="WenQuanYi Zen Hei"/>
        <family val="2"/>
      </rPr>
      <t xml:space="preserve">貸付区分に応じて自動表示</t>
    </r>
    <r>
      <rPr>
        <b val="true"/>
        <sz val="10"/>
        <color rgb="FF000000"/>
        <rFont val="ＭＳ 明朝"/>
        <family val="0"/>
        <charset val="1"/>
      </rPr>
      <t xml:space="preserve">)</t>
    </r>
  </si>
  <si>
    <t xml:space="preserve">給料月額</t>
  </si>
  <si>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</si>
  <si>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</si>
  <si>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</si>
  <si>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</si>
  <si>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</si>
  <si>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</si>
  <si>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</si>
  <si>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ＭＳ 明朝"/>
        <family val="0"/>
        <charset val="1"/>
      </rPr>
      <t xml:space="preserve">(30%)</t>
    </r>
  </si>
  <si>
    <r>
      <rPr>
        <sz val="10"/>
        <color rgb="FF000000"/>
        <rFont val="WenQuanYi Zen Hei"/>
        <family val="2"/>
      </rPr>
      <t xml:space="preserve">年間償還額の割合</t>
    </r>
    <r>
      <rPr>
        <sz val="10"/>
        <color rgb="FF000000"/>
        <rFont val="ＭＳ 明朝"/>
        <family val="0"/>
        <charset val="1"/>
      </rPr>
      <t xml:space="preserve">(30%)</t>
    </r>
  </si>
  <si>
    <t xml:space="preserve">ボーナス併用の条件</t>
  </si>
  <si>
    <t xml:space="preserve">住宅書類の区分</t>
  </si>
  <si>
    <t xml:space="preserve">在宅介護対応住宅</t>
  </si>
  <si>
    <r>
      <rPr>
        <b val="true"/>
        <sz val="10"/>
        <color rgb="FF000000"/>
        <rFont val="ＭＳ 明朝"/>
        <family val="0"/>
        <charset val="1"/>
      </rPr>
      <t xml:space="preserve">6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申込予定日から自動計算</t>
    </r>
    <r>
      <rPr>
        <b val="true"/>
        <sz val="10"/>
        <color rgb="FF000000"/>
        <rFont val="ＭＳ 明朝"/>
        <family val="0"/>
        <charset val="1"/>
      </rPr>
      <t xml:space="preserve">)</t>
    </r>
  </si>
  <si>
    <t xml:space="preserve">申込締切日</t>
  </si>
  <si>
    <r>
      <rPr>
        <i val="true"/>
        <sz val="9"/>
        <color rgb="FF595959"/>
        <rFont val="WenQuanYi Zen Hei"/>
        <family val="2"/>
      </rPr>
      <t xml:space="preserve">毎月</t>
    </r>
    <r>
      <rPr>
        <i val="true"/>
        <sz val="9"/>
        <color rgb="FF595959"/>
        <rFont val="ＭＳ 明朝"/>
        <family val="0"/>
        <charset val="1"/>
      </rPr>
      <t xml:space="preserve">5</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住宅貸付は毎月</t>
    </r>
    <r>
      <rPr>
        <i val="true"/>
        <sz val="9"/>
        <color rgb="FF595959"/>
        <rFont val="ＭＳ 明朝"/>
        <family val="0"/>
        <charset val="1"/>
      </rPr>
      <t xml:space="preserve">20</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・休日の場合は翌日</t>
    </r>
  </si>
  <si>
    <r>
      <rPr>
        <b val="true"/>
        <sz val="10"/>
        <color rgb="FF000000"/>
        <rFont val="ＭＳ 明朝"/>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</si>
  <si>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</si>
  <si>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ＭＳ 明朝"/>
        <family val="0"/>
        <charset val="1"/>
      </rPr>
      <t xml:space="preserve">(</t>
    </r>
    <r>
      <rPr>
        <sz val="10"/>
        <color rgb="FF000000"/>
        <rFont val="WenQuanYi Zen Hei"/>
        <family val="2"/>
      </rPr>
      <t xml:space="preserve">目安</t>
    </r>
    <r>
      <rPr>
        <sz val="10"/>
        <color rgb="FF000000"/>
        <rFont val="ＭＳ 明朝"/>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</si>
  <si>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</si>
  <si>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ＭＳ 明朝"/>
        <family val="0"/>
        <charset val="1"/>
      </rPr>
      <t xml:space="preserve">(</t>
    </r>
    <r>
      <rPr>
        <i val="true"/>
        <sz val="9"/>
        <color rgb="FF595959"/>
        <rFont val="WenQuanYi Zen Hei"/>
        <family val="2"/>
      </rPr>
      <t xml:space="preserve">休日・祝日の場合は前日</t>
    </r>
    <r>
      <rPr>
        <i val="true"/>
        <sz val="9"/>
        <color rgb="FF595959"/>
        <rFont val="ＭＳ 明朝"/>
        <family val="0"/>
        <charset val="1"/>
      </rPr>
      <t xml:space="preserve">)</t>
    </r>
  </si>
  <si>
    <t xml:space="preserve">交付後の書類の提出期限</t>
  </si>
  <si>
    <t xml:space="preserve">該当する場合のみ</t>
  </si>
  <si>
    <r>
      <rPr>
        <b val="true"/>
        <sz val="10"/>
        <color rgb="FF000000"/>
        <rFont val="ＭＳ 明朝"/>
        <family val="0"/>
        <charset val="1"/>
      </rPr>
      <t xml:space="preserve">9 </t>
    </r>
    <r>
      <rPr>
        <b val="true"/>
        <sz val="10"/>
        <color rgb="FF000000"/>
        <rFont val="WenQuanYi Zen Hei"/>
        <family val="2"/>
      </rPr>
      <t xml:space="preserve">借りられる上限の早見</t>
    </r>
    <r>
      <rPr>
        <b val="true"/>
        <sz val="10"/>
        <color rgb="FF000000"/>
        <rFont val="ＭＳ 明朝"/>
        <family val="0"/>
        <charset val="1"/>
      </rPr>
      <t xml:space="preserve">(</t>
    </r>
    <r>
      <rPr>
        <b val="true"/>
        <sz val="10"/>
        <color rgb="FF000000"/>
        <rFont val="WenQuanYi Zen Hei"/>
        <family val="2"/>
      </rPr>
      <t xml:space="preserve">償還回数別</t>
    </r>
    <r>
      <rPr>
        <b val="true"/>
        <sz val="10"/>
        <color rgb="FF000000"/>
        <rFont val="ＭＳ 明朝"/>
        <family val="0"/>
        <charset val="1"/>
      </rPr>
      <t xml:space="preserve">)</t>
    </r>
  </si>
  <si>
    <r>
      <rPr>
        <b val="true"/>
        <sz val="10"/>
        <color rgb="FF000000"/>
        <rFont val="WenQuanYi Zen Hei"/>
        <family val="2"/>
      </rPr>
      <t xml:space="preserve">償還回数</t>
    </r>
    <r>
      <rPr>
        <b val="true"/>
        <sz val="10"/>
        <color rgb="FF000000"/>
        <rFont val="ＭＳ 明朝"/>
        <family val="0"/>
        <charset val="1"/>
      </rPr>
      <t xml:space="preserve">(</t>
    </r>
    <r>
      <rPr>
        <b val="true"/>
        <sz val="10"/>
        <color rgb="FF000000"/>
        <rFont val="WenQuanYi Zen Hei"/>
        <family val="2"/>
      </rPr>
      <t xml:space="preserve">期間</t>
    </r>
    <r>
      <rPr>
        <b val="true"/>
        <sz val="10"/>
        <color rgb="FF000000"/>
        <rFont val="ＭＳ 明朝"/>
        <family val="0"/>
        <charset val="1"/>
      </rPr>
      <t xml:space="preserve">)</t>
    </r>
  </si>
  <si>
    <t xml:space="preserve">毎月償還額の目安</t>
  </si>
  <si>
    <t xml:space="preserve">償還回数を増やすと、毎月の返済が小さくなり、借りられる上限が大きくなります。ただし上限は①の貸付限度額までです。</t>
  </si>
  <si>
    <t xml:space="preserve">申込書追加入力</t>
  </si>
  <si>
    <r>
      <rPr>
        <sz val="9"/>
        <color rgb="FF595959"/>
        <rFont val="WenQuanYi Zen Hei"/>
        <family val="2"/>
      </rPr>
      <t xml:space="preserve">貸付申込書</t>
    </r>
    <r>
      <rPr>
        <sz val="9"/>
        <color rgb="FF595959"/>
        <rFont val="ＭＳ 明朝"/>
        <family val="0"/>
        <charset val="1"/>
      </rPr>
      <t xml:space="preserve">(</t>
    </r>
    <r>
      <rPr>
        <sz val="9"/>
        <color rgb="FF595959"/>
        <rFont val="WenQuanYi Zen Hei"/>
        <family val="2"/>
      </rPr>
      <t xml:space="preserve">普通・特別貸付</t>
    </r>
    <r>
      <rPr>
        <sz val="9"/>
        <color rgb="FF595959"/>
        <rFont val="ＭＳ 明朝"/>
        <family val="0"/>
        <charset val="1"/>
      </rPr>
      <t xml:space="preserve">)</t>
    </r>
    <r>
      <rPr>
        <sz val="9"/>
        <color rgb="FF595959"/>
        <rFont val="WenQuanYi Zen Hei"/>
        <family val="2"/>
      </rPr>
      <t xml:space="preserve">を</t>
    </r>
    <r>
      <rPr>
        <sz val="9"/>
        <color rgb="FF595959"/>
        <rFont val="ＭＳ 明朝"/>
        <family val="0"/>
        <charset val="1"/>
      </rPr>
      <t xml:space="preserve">Word</t>
    </r>
    <r>
      <rPr>
        <sz val="9"/>
        <color rgb="FF595959"/>
        <rFont val="WenQuanYi Zen Hei"/>
        <family val="2"/>
      </rPr>
      <t xml:space="preserve">出力するときに記入する項目です。空欄の項目は、</t>
    </r>
    <r>
      <rPr>
        <sz val="9"/>
        <color rgb="FF595959"/>
        <rFont val="ＭＳ 明朝"/>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</si>
  <si>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</si>
  <si>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</si>
  <si>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</si>
  <si>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</si>
  <si>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</si>
  <si>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ＭＳ 明朝"/>
        <family val="0"/>
        <charset val="1"/>
      </rPr>
      <t xml:space="preserve">(7</t>
    </r>
    <r>
      <rPr>
        <sz val="10"/>
        <color rgb="FF000000"/>
        <rFont val="WenQuanYi Zen Hei"/>
        <family val="2"/>
      </rPr>
      <t xml:space="preserve">桁</t>
    </r>
    <r>
      <rPr>
        <sz val="10"/>
        <color rgb="FF000000"/>
        <rFont val="ＭＳ 明朝"/>
        <family val="0"/>
        <charset val="1"/>
      </rPr>
      <t xml:space="preserve">)</t>
    </r>
  </si>
  <si>
    <t xml:space="preserve">1234567</t>
  </si>
  <si>
    <r>
      <rPr>
        <i val="true"/>
        <sz val="9"/>
        <color rgb="FF595959"/>
        <rFont val="WenQuanYi Zen Hei"/>
        <family val="2"/>
      </rPr>
      <t xml:space="preserve">数字</t>
    </r>
    <r>
      <rPr>
        <i val="true"/>
        <sz val="9"/>
        <color rgb="FF595959"/>
        <rFont val="ＭＳ 明朝"/>
        <family val="0"/>
        <charset val="1"/>
      </rPr>
      <t xml:space="preserve">7</t>
    </r>
    <r>
      <rPr>
        <i val="true"/>
        <sz val="9"/>
        <color rgb="FF595959"/>
        <rFont val="WenQuanYi Zen Hei"/>
        <family val="2"/>
      </rPr>
      <t xml:space="preserve">桁。</t>
    </r>
    <r>
      <rPr>
        <i val="true"/>
        <sz val="9"/>
        <color rgb="FF595959"/>
        <rFont val="ＭＳ 明朝"/>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</si>
  <si>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</si>
  <si>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ＭＳ 明朝"/>
        <family val="0"/>
        <charset val="1"/>
      </rPr>
      <t xml:space="preserve">S</t>
    </r>
    <r>
      <rPr>
        <i val="true"/>
        <sz val="9"/>
        <color rgb="FF595959"/>
        <rFont val="WenQuanYi Zen Hei"/>
        <family val="2"/>
      </rPr>
      <t xml:space="preserve">・</t>
    </r>
    <r>
      <rPr>
        <i val="true"/>
        <sz val="9"/>
        <color rgb="FF595959"/>
        <rFont val="ＭＳ 明朝"/>
        <family val="0"/>
        <charset val="1"/>
      </rPr>
      <t xml:space="preserve">H</t>
    </r>
    <r>
      <rPr>
        <i val="true"/>
        <sz val="9"/>
        <color rgb="FF595959"/>
        <rFont val="WenQuanYi Zen Hei"/>
        <family val="2"/>
      </rPr>
      <t xml:space="preserve">・</t>
    </r>
    <r>
      <rPr>
        <i val="true"/>
        <sz val="9"/>
        <color rgb="FF595959"/>
        <rFont val="ＭＳ 明朝"/>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</si>
  <si>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</si>
  <si>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</si>
  <si>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</si>
  <si>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</si>
  <si>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</si>
  <si>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</si>
  <si>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ＭＳ 明朝"/>
        <family val="0"/>
        <charset val="1"/>
      </rPr>
      <t xml:space="preserve">(</t>
    </r>
    <r>
      <rPr>
        <i val="true"/>
        <sz val="9"/>
        <color rgb="FF595959"/>
        <rFont val="WenQuanYi Zen Hei"/>
        <family val="2"/>
      </rPr>
      <t xml:space="preserve">銀行・信金・農協・信組</t>
    </r>
    <r>
      <rPr>
        <i val="true"/>
        <sz val="9"/>
        <color rgb="FF595959"/>
        <rFont val="ＭＳ 明朝"/>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</si>
  <si>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</si>
  <si>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</si>
  <si>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</si>
  <si>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</si>
  <si>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</si>
  <si>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</si>
  <si>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r>
      <rPr>
        <b val="true"/>
        <sz val="10"/>
        <color rgb="FF000000"/>
        <rFont val="WenQuanYi Zen Hei"/>
        <family val="2"/>
      </rPr>
      <t xml:space="preserve">共済組合の貸付</t>
    </r>
    <r>
      <rPr>
        <b val="true"/>
        <sz val="10"/>
        <color rgb="FF000000"/>
        <rFont val="ＭＳ 明朝"/>
        <family val="0"/>
        <charset val="1"/>
      </rPr>
      <t xml:space="preserve">(○</t>
    </r>
    <r>
      <rPr>
        <b val="true"/>
        <sz val="10"/>
        <color rgb="FF000000"/>
        <rFont val="WenQuanYi Zen Hei"/>
        <family val="2"/>
      </rPr>
      <t xml:space="preserve">を選択</t>
    </r>
    <r>
      <rPr>
        <b val="true"/>
        <sz val="10"/>
        <color rgb="FF000000"/>
        <rFont val="ＭＳ 明朝"/>
        <family val="0"/>
        <charset val="1"/>
      </rPr>
      <t xml:space="preserve">)</t>
    </r>
  </si>
  <si>
    <t xml:space="preserve">現在受けている貸付</t>
  </si>
  <si>
    <t xml:space="preserve">今回同時に申込む貸付</t>
  </si>
  <si>
    <t xml:space="preserve">住宅貸付</t>
  </si>
  <si>
    <t xml:space="preserve">特別貸付</t>
  </si>
  <si>
    <t xml:space="preserve">普通貸付</t>
  </si>
  <si>
    <t xml:space="preserve">○</t>
  </si>
  <si>
    <t xml:space="preserve">災害貸付</t>
  </si>
  <si>
    <t xml:space="preserve">なし</t>
  </si>
  <si>
    <r>
      <rPr>
        <i val="true"/>
        <sz val="9"/>
        <color rgb="FF595959"/>
        <rFont val="WenQuanYi Zen Hei"/>
        <family val="2"/>
      </rPr>
      <t xml:space="preserve">該当する貸付に「○」を選びます。「なし」は自動で入ります</t>
    </r>
    <r>
      <rPr>
        <i val="true"/>
        <sz val="9"/>
        <color rgb="FF595959"/>
        <rFont val="ＭＳ 明朝"/>
        <family val="0"/>
        <charset val="1"/>
      </rPr>
      <t xml:space="preserve">(</t>
    </r>
    <r>
      <rPr>
        <i val="true"/>
        <sz val="9"/>
        <color rgb="FF595959"/>
        <rFont val="WenQuanYi Zen Hei"/>
        <family val="2"/>
      </rPr>
      <t xml:space="preserve">現在の貸付は、申込シミュレーションで共済組合の既貸付を「無」にした場合</t>
    </r>
    <r>
      <rPr>
        <i val="true"/>
        <sz val="9"/>
        <color rgb="FF595959"/>
        <rFont val="ＭＳ 明朝"/>
        <family val="0"/>
        <charset val="1"/>
      </rPr>
      <t xml:space="preserve">)</t>
    </r>
    <r>
      <rPr>
        <i val="true"/>
        <sz val="9"/>
        <color rgb="FF595959"/>
        <rFont val="WenQuanYi Zen Hei"/>
        <family val="2"/>
      </rPr>
      <t xml:space="preserve">。</t>
    </r>
  </si>
  <si>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</si>
  <si>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</si>
  <si>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</si>
  <si>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</si>
  <si>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</si>
  <si>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</si>
  <si>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</si>
  <si>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</si>
  <si>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</si>
  <si>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</si>
  <si>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</si>
  <si>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</si>
  <si>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</si>
  <si>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</si>
  <si>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</si>
  <si>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</si>
  <si>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</si>
  <si>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</si>
  <si>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</si>
  <si>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</si>
  <si>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</si>
  <si>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</si>
  <si>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</si>
  <si>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</si>
  <si>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9"/>
        <rFont val="WenQuanYi Zen Hei"/>
        <family val="2"/>
      </rPr>
      <t xml:space="preserve">ボーナスの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</si>
  <si>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t xml:space="preserve">借入
予定日</t>
  </si>
  <si>
    <r>
      <rPr>
        <sz val="9"/>
        <rFont val="WenQuanYi Zen Hei"/>
        <family val="2"/>
      </rPr>
      <t xml:space="preserve">ボーナスの償還額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</si>
  <si>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</si>
  <si>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</si>
  <si>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</si>
  <si>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</si>
  <si>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</si>
  <si>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</si>
  <si>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</si>
  <si>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</si>
  <si>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</si>
  <si>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</si>
  <si>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</si>
  <si>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</si>
  <si>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</si>
  <si>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</si>
  <si>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</si>
  <si>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</si>
  <si>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</si>
  <si>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明朝"/>
        <family val="2"/>
        <charset val="1"/>
      </rPr>
      <t xml:space="preserve">÷</t>
    </r>
    <r>
      <rPr>
        <u val="single"/>
        <sz val="8"/>
        <rFont val="WenQuanYi Zen Hei"/>
        <family val="2"/>
      </rPr>
      <t xml:space="preserve">Ｋ</t>
    </r>
    <r>
      <rPr>
        <u val="single"/>
        <sz val="8"/>
        <rFont val="ＭＳ 明朝"/>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</si>
  <si>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</si>
  <si>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</si>
  <si>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</si>
  <si>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明朝"/>
        <family val="2"/>
        <charset val="1"/>
      </rPr>
      <t xml:space="preserve">×12 + </t>
    </r>
    <r>
      <rPr>
        <sz val="9"/>
        <rFont val="WenQuanYi Zen Hei"/>
        <family val="2"/>
      </rPr>
      <t xml:space="preserve">Ｊ</t>
    </r>
    <r>
      <rPr>
        <sz val="9"/>
        <rFont val="ＭＳ 明朝"/>
        <family val="2"/>
        <charset val="1"/>
      </rPr>
      <t xml:space="preserve">×2</t>
    </r>
    <r>
      <rPr>
        <sz val="9"/>
        <rFont val="WenQuanYi Zen Hei"/>
        <family val="2"/>
      </rPr>
      <t xml:space="preserve">｝（Ｌ）</t>
    </r>
  </si>
  <si>
    <r>
      <rPr>
        <sz val="9"/>
        <rFont val="WenQuanYi Zen Hei"/>
        <family val="2"/>
      </rPr>
      <t xml:space="preserve">｛Ｋ</t>
    </r>
    <r>
      <rPr>
        <sz val="9"/>
        <rFont val="ＭＳ 明朝"/>
        <family val="2"/>
        <charset val="1"/>
      </rPr>
      <t xml:space="preserve">×12 + </t>
    </r>
    <r>
      <rPr>
        <sz val="9"/>
        <rFont val="WenQuanYi Zen Hei"/>
        <family val="2"/>
      </rPr>
      <t xml:space="preserve">Ｋ</t>
    </r>
    <r>
      <rPr>
        <sz val="9"/>
        <rFont val="ＭＳ 明朝"/>
        <family val="2"/>
        <charset val="1"/>
      </rPr>
      <t xml:space="preserve">×4</t>
    </r>
    <r>
      <rPr>
        <sz val="9"/>
        <rFont val="WenQuanYi Zen Hei"/>
        <family val="2"/>
      </rPr>
      <t xml:space="preserve">｝（Ｍ）</t>
    </r>
  </si>
  <si>
    <r>
      <rPr>
        <u val="single"/>
        <sz val="8"/>
        <rFont val="WenQuanYi Zen Hei"/>
        <family val="2"/>
      </rPr>
      <t xml:space="preserve">〔Ｌ</t>
    </r>
    <r>
      <rPr>
        <u val="single"/>
        <sz val="8"/>
        <rFont val="ＭＳ 明朝"/>
        <family val="2"/>
        <charset val="1"/>
      </rPr>
      <t xml:space="preserve">÷</t>
    </r>
    <r>
      <rPr>
        <u val="single"/>
        <sz val="8"/>
        <rFont val="WenQuanYi Zen Hei"/>
        <family val="2"/>
      </rPr>
      <t xml:space="preserve">Ｍ</t>
    </r>
    <r>
      <rPr>
        <u val="single"/>
        <sz val="8"/>
        <rFont val="ＭＳ 明朝"/>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</si>
  <si>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ＭＳ 明朝"/>
        <family val="0"/>
        <charset val="1"/>
      </rPr>
      <t xml:space="preserve">(</t>
    </r>
    <r>
      <rPr>
        <b val="true"/>
        <sz val="13"/>
        <color rgb="FF000000"/>
        <rFont val="WenQuanYi Zen Hei"/>
        <family val="2"/>
      </rPr>
      <t xml:space="preserve">試算</t>
    </r>
    <r>
      <rPr>
        <b val="true"/>
        <sz val="13"/>
        <color rgb="FF000000"/>
        <rFont val="ＭＳ 明朝"/>
        <family val="0"/>
        <charset val="1"/>
      </rPr>
      <t xml:space="preserve">)</t>
    </r>
  </si>
  <si>
    <r>
      <rPr>
        <i val="true"/>
        <sz val="9"/>
        <color rgb="FF595959"/>
        <rFont val="WenQuanYi Zen Hei"/>
        <family val="2"/>
      </rPr>
      <t xml:space="preserve">元利均等の概算。利息は円未満を四捨五入し、元金の端数は最後の回で調整する</t>
    </r>
    <r>
      <rPr>
        <i val="true"/>
        <sz val="9"/>
        <color rgb="FF595959"/>
        <rFont val="ＭＳ 明朝"/>
        <family val="0"/>
        <charset val="1"/>
      </rPr>
      <t xml:space="preserve">(</t>
    </r>
    <r>
      <rPr>
        <i val="true"/>
        <sz val="9"/>
        <color rgb="FF595959"/>
        <rFont val="WenQuanYi Zen Hei"/>
        <family val="2"/>
      </rPr>
      <t xml:space="preserve">最後の回の償還額だけ異なる</t>
    </r>
    <r>
      <rPr>
        <i val="true"/>
        <sz val="9"/>
        <color rgb="FF595959"/>
        <rFont val="ＭＳ 明朝"/>
        <family val="0"/>
        <charset val="1"/>
      </rPr>
      <t xml:space="preserve">)</t>
    </r>
    <r>
      <rPr>
        <i val="true"/>
        <sz val="9"/>
        <color rgb="FF595959"/>
        <rFont val="WenQuanYi Zen Hei"/>
        <family val="2"/>
      </rPr>
      <t xml:space="preserve">。ボーナス償還は</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r>
      <rPr>
        <i val="true"/>
        <sz val="9"/>
        <color rgb="FF595959"/>
        <rFont val="ＭＳ 明朝"/>
        <family val="0"/>
        <charset val="1"/>
      </rPr>
      <t xml:space="preserve">(</t>
    </r>
    <r>
      <rPr>
        <i val="true"/>
        <sz val="9"/>
        <color rgb="FF595959"/>
        <rFont val="WenQuanYi Zen Hei"/>
        <family val="2"/>
      </rPr>
      <t xml:space="preserve">ボーナス分も最後の回で調整</t>
    </r>
    <r>
      <rPr>
        <i val="true"/>
        <sz val="9"/>
        <color rgb="FF595959"/>
        <rFont val="ＭＳ 明朝"/>
        <family val="0"/>
        <charset val="1"/>
      </rPr>
      <t xml:space="preserve">)</t>
    </r>
    <r>
      <rPr>
        <i val="true"/>
        <sz val="9"/>
        <color rgb="FF595959"/>
        <rFont val="WenQuanYi Zen Hei"/>
        <family val="2"/>
      </rPr>
      <t xml:space="preserve">。</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</si>
  <si>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</si>
  <si>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</si>
  <si>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</si>
  <si>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</si>
  <si>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</si>
  <si>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</si>
  <si>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毎月分</t>
    </r>
    <r>
      <rPr>
        <b val="true"/>
        <sz val="10"/>
        <color rgb="FF000000"/>
        <rFont val="ＭＳ 明朝"/>
        <family val="0"/>
        <charset val="1"/>
      </rPr>
      <t xml:space="preserve">)</t>
    </r>
  </si>
  <si>
    <t xml:space="preserve">ボーナス回次</t>
  </si>
  <si>
    <t xml:space="preserve">ボーナス分残高</t>
  </si>
  <si>
    <t xml:space="preserve">償還額合計</t>
  </si>
  <si>
    <t xml:space="preserve">残高合計</t>
  </si>
  <si>
    <t xml:space="preserve">開始時</t>
  </si>
  <si>
    <r>
      <rPr>
        <b val="true"/>
        <sz val="13"/>
        <color rgb="FF000000"/>
        <rFont val="WenQuanYi Zen Hei"/>
        <family val="2"/>
      </rPr>
      <t xml:space="preserve">毎月償還額 早見表</t>
    </r>
    <r>
      <rPr>
        <b val="true"/>
        <sz val="13"/>
        <color rgb="FF000000"/>
        <rFont val="ＭＳ 明朝"/>
        <family val="0"/>
        <charset val="1"/>
      </rPr>
      <t xml:space="preserve">(</t>
    </r>
    <r>
      <rPr>
        <b val="true"/>
        <sz val="13"/>
        <color rgb="FF000000"/>
        <rFont val="WenQuanYi Zen Hei"/>
        <family val="2"/>
      </rPr>
      <t xml:space="preserve">元利均等・円</t>
    </r>
    <r>
      <rPr>
        <b val="true"/>
        <sz val="13"/>
        <color rgb="FF000000"/>
        <rFont val="ＭＳ 明朝"/>
        <family val="0"/>
        <charset val="1"/>
      </rPr>
      <t xml:space="preserve">)</t>
    </r>
  </si>
  <si>
    <t xml:space="preserve">概算。ボーナス併用なし。利率はマスタの値を使用。</t>
  </si>
  <si>
    <t xml:space="preserve">申込金額＼償還回数</t>
  </si>
  <si>
    <r>
      <rPr>
        <b val="true"/>
        <sz val="14"/>
        <color rgb="FF000000"/>
        <rFont val="WenQuanYi Zen Hei"/>
        <family val="2"/>
      </rPr>
      <t xml:space="preserve">福利課用</t>
    </r>
    <r>
      <rPr>
        <b val="true"/>
        <sz val="14"/>
        <color rgb="FF000000"/>
        <rFont val="ＭＳ 明朝"/>
        <family val="0"/>
        <charset val="1"/>
      </rPr>
      <t xml:space="preserve">(</t>
    </r>
    <r>
      <rPr>
        <b val="true"/>
        <sz val="14"/>
        <color rgb="FF000000"/>
        <rFont val="WenQuanYi Zen Hei"/>
        <family val="2"/>
      </rPr>
      <t xml:space="preserve">借用証書・添書の作成</t>
    </r>
    <r>
      <rPr>
        <b val="true"/>
        <sz val="14"/>
        <color rgb="FF000000"/>
        <rFont val="ＭＳ 明朝"/>
        <family val="0"/>
        <charset val="1"/>
      </rPr>
      <t xml:space="preserve">)</t>
    </r>
  </si>
  <si>
    <t xml:space="preserve">借用証書と添書は、福利課が作成します。申込者が入力した内容を使います。</t>
  </si>
  <si>
    <r>
      <rPr>
        <b val="true"/>
        <sz val="10"/>
        <color rgb="FF000000"/>
        <rFont val="ＭＳ 明朝"/>
        <family val="0"/>
        <charset val="1"/>
      </rPr>
      <t xml:space="preserve">1 </t>
    </r>
    <r>
      <rPr>
        <b val="true"/>
        <sz val="10"/>
        <color rgb="FF000000"/>
        <rFont val="WenQuanYi Zen Hei"/>
        <family val="2"/>
      </rPr>
      <t xml:space="preserve">申込内容の確認</t>
    </r>
  </si>
  <si>
    <t xml:space="preserve">所属</t>
  </si>
  <si>
    <r>
      <rPr>
        <sz val="10"/>
        <color rgb="FF000000"/>
        <rFont val="WenQuanYi Zen Hei"/>
        <family val="2"/>
      </rPr>
      <t xml:space="preserve">申込金額</t>
    </r>
    <r>
      <rPr>
        <sz val="10"/>
        <color rgb="FF000000"/>
        <rFont val="ＭＳ 明朝"/>
        <family val="0"/>
        <charset val="1"/>
      </rPr>
      <t xml:space="preserve">(</t>
    </r>
    <r>
      <rPr>
        <sz val="10"/>
        <color rgb="FF000000"/>
        <rFont val="WenQuanYi Zen Hei"/>
        <family val="2"/>
      </rPr>
      <t xml:space="preserve">試算</t>
    </r>
    <r>
      <rPr>
        <sz val="10"/>
        <color rgb="FF000000"/>
        <rFont val="ＭＳ 明朝"/>
        <family val="0"/>
        <charset val="1"/>
      </rPr>
      <t xml:space="preserve">)</t>
    </r>
  </si>
  <si>
    <r>
      <rPr>
        <b val="true"/>
        <sz val="10"/>
        <color rgb="FF000000"/>
        <rFont val="ＭＳ 明朝"/>
        <family val="0"/>
        <charset val="1"/>
      </rPr>
      <t xml:space="preserve">2 Word</t>
    </r>
    <r>
      <rPr>
        <b val="true"/>
        <sz val="10"/>
        <color rgb="FF000000"/>
        <rFont val="WenQuanYi Zen Hei"/>
        <family val="2"/>
      </rPr>
      <t xml:space="preserve">に出力</t>
    </r>
  </si>
  <si>
    <r>
      <rPr>
        <i val="true"/>
        <sz val="9"/>
        <color rgb="FF595959"/>
        <rFont val="WenQuanYi Zen Hei"/>
        <family val="2"/>
      </rPr>
      <t xml:space="preserve">※ 上のボタンを押すと、</t>
    </r>
    <r>
      <rPr>
        <i val="true"/>
        <sz val="9"/>
        <color rgb="FF595959"/>
        <rFont val="ＭＳ 明朝"/>
        <family val="0"/>
        <charset val="1"/>
      </rPr>
      <t xml:space="preserve">Word</t>
    </r>
    <r>
      <rPr>
        <i val="true"/>
        <sz val="9"/>
        <color rgb="FF595959"/>
        <rFont val="WenQuanYi Zen Hei"/>
        <family val="2"/>
      </rPr>
      <t xml:space="preserve">が起動して文書が開きます。借用証書は氏名</t>
    </r>
    <r>
      <rPr>
        <i val="true"/>
        <sz val="9"/>
        <color rgb="FF595959"/>
        <rFont val="ＭＳ 明朝"/>
        <family val="0"/>
        <charset val="1"/>
      </rPr>
      <t xml:space="preserve">(</t>
    </r>
    <r>
      <rPr>
        <i val="true"/>
        <sz val="9"/>
        <color rgb="FF595959"/>
        <rFont val="WenQuanYi Zen Hei"/>
        <family val="2"/>
      </rPr>
      <t xml:space="preserve">自署</t>
    </r>
    <r>
      <rPr>
        <i val="true"/>
        <sz val="9"/>
        <color rgb="FF595959"/>
        <rFont val="ＭＳ 明朝"/>
        <family val="0"/>
        <charset val="1"/>
      </rPr>
      <t xml:space="preserve">)</t>
    </r>
    <r>
      <rPr>
        <i val="true"/>
        <sz val="9"/>
        <color rgb="FF595959"/>
        <rFont val="WenQuanYi Zen Hei"/>
        <family val="2"/>
      </rPr>
      <t xml:space="preserve">・実印・日付を記入しない様式です。</t>
    </r>
  </si>
  <si>
    <r>
      <rPr>
        <b val="true"/>
        <sz val="10"/>
        <color rgb="FF000000"/>
        <rFont val="ＭＳ 明朝"/>
        <family val="0"/>
        <charset val="1"/>
      </rPr>
      <t xml:space="preserve">3 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</si>
  <si>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　このブックを「コンテンツの有効化」でマクロを有効にして開きます。</t>
    </r>
  </si>
  <si>
    <r>
      <rPr>
        <sz val="10"/>
        <color rgb="FF000000"/>
        <rFont val="ＭＳ 明朝"/>
        <family val="0"/>
        <charset val="1"/>
      </rPr>
      <t xml:space="preserve">2</t>
    </r>
    <r>
      <rPr>
        <sz val="10"/>
        <color rgb="FF000000"/>
        <rFont val="WenQuanYi Zen Hei"/>
        <family val="2"/>
      </rPr>
      <t xml:space="preserve">　このブックと同じフォルダーに、「借用証書テンプレート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」を置きます。</t>
    </r>
  </si>
  <si>
    <r>
      <rPr>
        <sz val="10"/>
        <color rgb="FF000000"/>
        <rFont val="ＭＳ 明朝"/>
        <family val="0"/>
        <charset val="1"/>
      </rPr>
      <t xml:space="preserve">3</t>
    </r>
    <r>
      <rPr>
        <sz val="10"/>
        <color rgb="FF000000"/>
        <rFont val="WenQuanYi Zen Hei"/>
        <family val="2"/>
      </rPr>
      <t xml:space="preserve">　上のボタンを押します。確認のメッセージが出たときは、内容を読んで進めます。</t>
    </r>
  </si>
  <si>
    <r>
      <rPr>
        <sz val="10"/>
        <color rgb="FF000000"/>
        <rFont val="ＭＳ 明朝"/>
        <family val="0"/>
        <charset val="1"/>
      </rPr>
      <t xml:space="preserve">4</t>
    </r>
    <r>
      <rPr>
        <sz val="10"/>
        <color rgb="FF000000"/>
        <rFont val="WenQuanYi Zen Hei"/>
        <family val="2"/>
      </rPr>
      <t xml:space="preserve">　</t>
    </r>
    <r>
      <rPr>
        <sz val="10"/>
        <color rgb="FF000000"/>
        <rFont val="ＭＳ 明朝"/>
        <family val="0"/>
        <charset val="1"/>
      </rPr>
      <t xml:space="preserve">Word</t>
    </r>
    <r>
      <rPr>
        <sz val="10"/>
        <color rgb="FF000000"/>
        <rFont val="WenQuanYi Zen Hei"/>
        <family val="2"/>
      </rPr>
      <t xml:space="preserve">が自動で開き、申込内容が入った文書が表示されます。同じフォルダーに「帳票名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」で保存されます。</t>
    </r>
  </si>
  <si>
    <r>
      <rPr>
        <sz val="10"/>
        <color rgb="FF000000"/>
        <rFont val="ＭＳ 明朝"/>
        <family val="0"/>
        <charset val="1"/>
      </rPr>
      <t xml:space="preserve">5</t>
    </r>
    <r>
      <rPr>
        <sz val="10"/>
        <color rgb="FF000000"/>
        <rFont val="WenQuanYi Zen Hei"/>
        <family val="2"/>
      </rPr>
      <t xml:space="preserve">　内容を確認して、</t>
    </r>
    <r>
      <rPr>
        <sz val="10"/>
        <color rgb="FF000000"/>
        <rFont val="ＭＳ 明朝"/>
        <family val="0"/>
        <charset val="1"/>
      </rPr>
      <t xml:space="preserve">Word</t>
    </r>
    <r>
      <rPr>
        <sz val="10"/>
        <color rgb="FF000000"/>
        <rFont val="WenQuanYi Zen Hei"/>
        <family val="2"/>
      </rPr>
      <t xml:space="preserve">から印刷します。</t>
    </r>
  </si>
  <si>
    <r>
      <rPr>
        <sz val="10"/>
        <color rgb="FF000000"/>
        <rFont val="WenQuanYi Zen Hei"/>
        <family val="2"/>
      </rPr>
      <t xml:space="preserve">うまくいかないとき</t>
    </r>
    <r>
      <rPr>
        <sz val="10"/>
        <color rgb="FF000000"/>
        <rFont val="ＭＳ 明朝"/>
        <family val="0"/>
        <charset val="1"/>
      </rPr>
      <t xml:space="preserve">:</t>
    </r>
    <r>
      <rPr>
        <sz val="10"/>
        <color rgb="FF000000"/>
        <rFont val="WenQuanYi Zen Hei"/>
        <family val="2"/>
      </rPr>
      <t xml:space="preserve">入力不足のメッセージが出たら「申込シミュレーション」の黄色のセルを入力します。テンプレートが見つからないときは、選択画面でファイルを指定します。</t>
    </r>
  </si>
  <si>
    <r>
      <rPr>
        <b val="true"/>
        <sz val="14"/>
        <color rgb="FF000000"/>
        <rFont val="WenQuanYi Zen Hei"/>
        <family val="2"/>
      </rPr>
      <t xml:space="preserve">保守メモ</t>
    </r>
    <r>
      <rPr>
        <b val="true"/>
        <sz val="14"/>
        <color rgb="FF000000"/>
        <rFont val="ＭＳ 明朝"/>
        <family val="0"/>
        <charset val="1"/>
      </rPr>
      <t xml:space="preserve">(</t>
    </r>
    <r>
      <rPr>
        <b val="true"/>
        <sz val="14"/>
        <color rgb="FF000000"/>
        <rFont val="WenQuanYi Zen Hei"/>
        <family val="2"/>
      </rPr>
      <t xml:space="preserve">数式のメンテナンスのために</t>
    </r>
    <r>
      <rPr>
        <b val="true"/>
        <sz val="14"/>
        <color rgb="FF000000"/>
        <rFont val="ＭＳ 明朝"/>
        <family val="0"/>
        <charset val="1"/>
      </rPr>
      <t xml:space="preserve">)</t>
    </r>
  </si>
  <si>
    <t xml:space="preserve">シートの役割</t>
  </si>
  <si>
    <t xml:space="preserve">申込シミュレーション</t>
  </si>
  <si>
    <t xml:space="preserve">申込者が入力し、結果を見る画面。入力は黄色のセルだけ。</t>
  </si>
  <si>
    <r>
      <rPr>
        <sz val="10"/>
        <color rgb="FF000000"/>
        <rFont val="WenQuanYi Zen Hei"/>
        <family val="2"/>
      </rPr>
      <t xml:space="preserve">申込書追加入力 </t>
    </r>
    <r>
      <rPr>
        <sz val="10"/>
        <color rgb="FF000000"/>
        <rFont val="ＭＳ 明朝"/>
        <family val="0"/>
        <charset val="1"/>
      </rPr>
      <t xml:space="preserve">/ </t>
    </r>
    <r>
      <rPr>
        <sz val="10"/>
        <color rgb="FF000000"/>
        <rFont val="WenQuanYi Zen Hei"/>
        <family val="2"/>
      </rPr>
      <t xml:space="preserve">借入状況等申告書</t>
    </r>
  </si>
  <si>
    <r>
      <rPr>
        <sz val="10"/>
        <color rgb="FF000000"/>
        <rFont val="WenQuanYi Zen Hei"/>
        <family val="2"/>
      </rPr>
      <t xml:space="preserve">申込書・申告書に必要な追加の入力欄</t>
    </r>
    <r>
      <rPr>
        <sz val="10"/>
        <color rgb="FF000000"/>
        <rFont val="ＭＳ 明朝"/>
        <family val="0"/>
        <charset val="1"/>
      </rPr>
      <t xml:space="preserve">(</t>
    </r>
    <r>
      <rPr>
        <sz val="10"/>
        <color rgb="FF000000"/>
        <rFont val="WenQuanYi Zen Hei"/>
        <family val="2"/>
      </rPr>
      <t xml:space="preserve">黄色のセル</t>
    </r>
    <r>
      <rPr>
        <sz val="10"/>
        <color rgb="FF000000"/>
        <rFont val="ＭＳ 明朝"/>
        <family val="0"/>
        <charset val="1"/>
      </rPr>
      <t xml:space="preserve">)</t>
    </r>
    <r>
      <rPr>
        <sz val="10"/>
        <color rgb="FF000000"/>
        <rFont val="WenQuanYi Zen Hei"/>
        <family val="2"/>
      </rPr>
      <t xml:space="preserve">。</t>
    </r>
  </si>
  <si>
    <r>
      <rPr>
        <sz val="10"/>
        <color rgb="FF000000"/>
        <rFont val="WenQuanYi Zen Hei"/>
        <family val="2"/>
      </rPr>
      <t xml:space="preserve">償還表 </t>
    </r>
    <r>
      <rPr>
        <sz val="10"/>
        <color rgb="FF000000"/>
        <rFont val="ＭＳ 明朝"/>
        <family val="0"/>
        <charset val="1"/>
      </rPr>
      <t xml:space="preserve">/ </t>
    </r>
    <r>
      <rPr>
        <sz val="10"/>
        <color rgb="FF000000"/>
        <rFont val="WenQuanYi Zen Hei"/>
        <family val="2"/>
      </rPr>
      <t xml:space="preserve">早見表</t>
    </r>
  </si>
  <si>
    <r>
      <rPr>
        <sz val="10"/>
        <color rgb="FF000000"/>
        <rFont val="WenQuanYi Zen Hei"/>
        <family val="2"/>
      </rPr>
      <t xml:space="preserve">月ごとの償還額、金額</t>
    </r>
    <r>
      <rPr>
        <sz val="10"/>
        <color rgb="FF000000"/>
        <rFont val="ＭＳ 明朝"/>
        <family val="0"/>
        <charset val="1"/>
      </rPr>
      <t xml:space="preserve">×</t>
    </r>
    <r>
      <rPr>
        <sz val="10"/>
        <color rgb="FF000000"/>
        <rFont val="WenQuanYi Zen Hei"/>
        <family val="2"/>
      </rPr>
      <t xml:space="preserve">回数の早見。計算過程の値を使う。</t>
    </r>
  </si>
  <si>
    <t xml:space="preserve">福利課用</t>
  </si>
  <si>
    <t xml:space="preserve">借用証書・添書を出力するボタンと手順。</t>
  </si>
  <si>
    <t xml:space="preserve">マスタ</t>
  </si>
  <si>
    <t xml:space="preserve">利率・限度額・書類・締切日など、制度に関する数値。制度改正のときはここだけ直す。</t>
  </si>
  <si>
    <t xml:space="preserve">計算過程</t>
  </si>
  <si>
    <r>
      <rPr>
        <sz val="10"/>
        <color rgb="FF000000"/>
        <rFont val="WenQuanYi Zen Hei"/>
        <family val="2"/>
      </rPr>
      <t xml:space="preserve">計算の本体。</t>
    </r>
    <r>
      <rPr>
        <sz val="10"/>
        <color rgb="FF000000"/>
        <rFont val="ＭＳ 明朝"/>
        <family val="0"/>
        <charset val="1"/>
      </rPr>
      <t xml:space="preserve">1</t>
    </r>
    <r>
      <rPr>
        <sz val="10"/>
        <color rgb="FF000000"/>
        <rFont val="WenQuanYi Zen Hei"/>
        <family val="2"/>
      </rPr>
      <t xml:space="preserve">行</t>
    </r>
    <r>
      <rPr>
        <sz val="10"/>
        <color rgb="FF000000"/>
        <rFont val="ＭＳ 明朝"/>
        <family val="0"/>
        <charset val="1"/>
      </rPr>
      <t xml:space="preserve">1</t>
    </r>
    <r>
      <rPr>
        <sz val="10"/>
        <color rgb="FF000000"/>
        <rFont val="WenQuanYi Zen Hei"/>
        <family val="2"/>
      </rPr>
      <t xml:space="preserve">項目で、上から下へ流れる。見出し行</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K)</t>
    </r>
    <r>
      <rPr>
        <sz val="10"/>
        <color rgb="FF000000"/>
        <rFont val="WenQuanYi Zen Hei"/>
        <family val="2"/>
      </rPr>
      <t xml:space="preserve">で段階が分かれる。</t>
    </r>
  </si>
  <si>
    <r>
      <rPr>
        <sz val="10"/>
        <color rgb="FF000000"/>
        <rFont val="ＭＳ 明朝"/>
        <family val="0"/>
        <charset val="1"/>
      </rPr>
      <t xml:space="preserve">Word</t>
    </r>
    <r>
      <rPr>
        <sz val="10"/>
        <color rgb="FF000000"/>
        <rFont val="WenQuanYi Zen Hei"/>
        <family val="2"/>
      </rPr>
      <t xml:space="preserve">差込データ</t>
    </r>
  </si>
  <si>
    <r>
      <rPr>
        <sz val="10"/>
        <color rgb="FF000000"/>
        <rFont val="ＭＳ 明朝"/>
        <family val="0"/>
        <charset val="1"/>
      </rPr>
      <t xml:space="preserve">Word</t>
    </r>
    <r>
      <rPr>
        <sz val="10"/>
        <color rgb="FF000000"/>
        <rFont val="WenQuanYi Zen Hei"/>
        <family val="2"/>
      </rPr>
      <t xml:space="preserve">テンプレートに差し込む値の一覧</t>
    </r>
    <r>
      <rPr>
        <sz val="10"/>
        <color rgb="FF000000"/>
        <rFont val="ＭＳ 明朝"/>
        <family val="0"/>
        <charset val="1"/>
      </rPr>
      <t xml:space="preserve">(</t>
    </r>
    <r>
      <rPr>
        <sz val="10"/>
        <color rgb="FF000000"/>
        <rFont val="WenQuanYi Zen Hei"/>
        <family val="2"/>
      </rPr>
      <t xml:space="preserve">帳票・項目名・値</t>
    </r>
    <r>
      <rPr>
        <sz val="10"/>
        <color rgb="FF000000"/>
        <rFont val="ＭＳ 明朝"/>
        <family val="0"/>
        <charset val="1"/>
      </rPr>
      <t xml:space="preserve">)</t>
    </r>
    <r>
      <rPr>
        <sz val="10"/>
        <color rgb="FF000000"/>
        <rFont val="WenQuanYi Zen Hei"/>
        <family val="2"/>
      </rPr>
      <t xml:space="preserve">。</t>
    </r>
  </si>
  <si>
    <t xml:space="preserve">制度改正・変更のときの修正箇所</t>
  </si>
  <si>
    <t xml:space="preserve">利率の改定</t>
  </si>
  <si>
    <r>
      <rPr>
        <sz val="10"/>
        <color rgb="FF000000"/>
        <rFont val="WenQuanYi Zen Hei"/>
        <family val="2"/>
      </rPr>
      <t xml:space="preserve">マスタ「</t>
    </r>
    <r>
      <rPr>
        <sz val="10"/>
        <color rgb="FF000000"/>
        <rFont val="ＭＳ 明朝"/>
        <family val="0"/>
        <charset val="1"/>
      </rPr>
      <t xml:space="preserve">1. </t>
    </r>
    <r>
      <rPr>
        <sz val="10"/>
        <color rgb="FF000000"/>
        <rFont val="WenQuanYi Zen Hei"/>
        <family val="2"/>
      </rPr>
      <t xml:space="preserve">利率・基準値」の青字のセルを直す。</t>
    </r>
  </si>
  <si>
    <t xml:space="preserve">限度額・月数・最低保障額の改定</t>
  </si>
  <si>
    <r>
      <rPr>
        <sz val="10"/>
        <color rgb="FF000000"/>
        <rFont val="WenQuanYi Zen Hei"/>
        <family val="2"/>
      </rPr>
      <t xml:space="preserve">マスタ「</t>
    </r>
    <r>
      <rPr>
        <sz val="10"/>
        <color rgb="FF000000"/>
        <rFont val="ＭＳ 明朝"/>
        <family val="0"/>
        <charset val="1"/>
      </rPr>
      <t xml:space="preserve">2. </t>
    </r>
    <r>
      <rPr>
        <sz val="10"/>
        <color rgb="FF000000"/>
        <rFont val="WenQuanYi Zen Hei"/>
        <family val="2"/>
      </rPr>
      <t xml:space="preserve">貸付区分表」「</t>
    </r>
    <r>
      <rPr>
        <sz val="10"/>
        <color rgb="FF000000"/>
        <rFont val="ＭＳ 明朝"/>
        <family val="0"/>
        <charset val="1"/>
      </rPr>
      <t xml:space="preserve">3. </t>
    </r>
    <r>
      <rPr>
        <sz val="10"/>
        <color rgb="FF000000"/>
        <rFont val="WenQuanYi Zen Hei"/>
        <family val="2"/>
      </rPr>
      <t xml:space="preserve">組合員期間別の月数・最低保障額」を直す。</t>
    </r>
  </si>
  <si>
    <t xml:space="preserve">貸付区分を追加する</t>
  </si>
  <si>
    <r>
      <rPr>
        <sz val="10"/>
        <color rgb="FF000000"/>
        <rFont val="WenQuanYi Zen Hei"/>
        <family val="2"/>
      </rPr>
      <t xml:space="preserve">マスタ「</t>
    </r>
    <r>
      <rPr>
        <sz val="10"/>
        <color rgb="FF000000"/>
        <rFont val="ＭＳ 明朝"/>
        <family val="0"/>
        <charset val="1"/>
      </rPr>
      <t xml:space="preserve">2. </t>
    </r>
    <r>
      <rPr>
        <sz val="10"/>
        <color rgb="FF000000"/>
        <rFont val="WenQuanYi Zen Hei"/>
        <family val="2"/>
      </rPr>
      <t xml:space="preserve">貸付区分表」に</t>
    </r>
    <r>
      <rPr>
        <sz val="10"/>
        <color rgb="FF000000"/>
        <rFont val="ＭＳ 明朝"/>
        <family val="0"/>
        <charset val="1"/>
      </rPr>
      <t xml:space="preserve">1</t>
    </r>
    <r>
      <rPr>
        <sz val="10"/>
        <color rgb="FF000000"/>
        <rFont val="WenQuanYi Zen Hei"/>
        <family val="2"/>
      </rPr>
      <t xml:space="preserve">行追加し、数式の範囲</t>
    </r>
    <r>
      <rPr>
        <sz val="10"/>
        <color rgb="FF000000"/>
        <rFont val="ＭＳ 明朝"/>
        <family val="0"/>
        <charset val="1"/>
      </rPr>
      <t xml:space="preserve">(</t>
    </r>
    <r>
      <rPr>
        <sz val="10"/>
        <color rgb="FF000000"/>
        <rFont val="WenQuanYi Zen Hei"/>
        <family val="2"/>
      </rPr>
      <t xml:space="preserve">区分表</t>
    </r>
    <r>
      <rPr>
        <sz val="10"/>
        <color rgb="FF000000"/>
        <rFont val="ＭＳ 明朝"/>
        <family val="0"/>
        <charset val="1"/>
      </rPr>
      <t xml:space="preserve">_*)</t>
    </r>
    <r>
      <rPr>
        <sz val="10"/>
        <color rgb="FF000000"/>
        <rFont val="WenQuanYi Zen Hei"/>
        <family val="2"/>
      </rPr>
      <t xml:space="preserve">に含まれるようにする。限度額の方式が新しいときは、計算過程「</t>
    </r>
    <r>
      <rPr>
        <sz val="10"/>
        <color rgb="FF000000"/>
        <rFont val="ＭＳ 明朝"/>
        <family val="0"/>
        <charset val="1"/>
      </rPr>
      <t xml:space="preserve">C. </t>
    </r>
    <r>
      <rPr>
        <sz val="10"/>
        <color rgb="FF000000"/>
        <rFont val="WenQuanYi Zen Hei"/>
        <family val="2"/>
      </rPr>
      <t xml:space="preserve">貸付限度額」に方式を追加する。</t>
    </r>
  </si>
  <si>
    <t xml:space="preserve">提出書類の変更</t>
  </si>
  <si>
    <r>
      <rPr>
        <sz val="10"/>
        <color rgb="FF000000"/>
        <rFont val="WenQuanYi Zen Hei"/>
        <family val="2"/>
      </rPr>
      <t xml:space="preserve">マスタの「</t>
    </r>
    <r>
      <rPr>
        <sz val="10"/>
        <color rgb="FF000000"/>
        <rFont val="ＭＳ 明朝"/>
        <family val="0"/>
        <charset val="1"/>
      </rPr>
      <t xml:space="preserve">4. </t>
    </r>
    <r>
      <rPr>
        <sz val="10"/>
        <color rgb="FF000000"/>
        <rFont val="WenQuanYi Zen Hei"/>
        <family val="2"/>
      </rPr>
      <t xml:space="preserve">住宅貸付 申込時の提出書類〔表</t>
    </r>
    <r>
      <rPr>
        <sz val="10"/>
        <color rgb="FF000000"/>
        <rFont val="ＭＳ 明朝"/>
        <family val="0"/>
        <charset val="1"/>
      </rPr>
      <t xml:space="preserve">1</t>
    </r>
    <r>
      <rPr>
        <sz val="10"/>
        <color rgb="FF000000"/>
        <rFont val="WenQuanYi Zen Hei"/>
        <family val="2"/>
      </rPr>
      <t xml:space="preserve">〕」「</t>
    </r>
    <r>
      <rPr>
        <sz val="10"/>
        <color rgb="FF000000"/>
        <rFont val="ＭＳ 明朝"/>
        <family val="0"/>
        <charset val="1"/>
      </rPr>
      <t xml:space="preserve">5. </t>
    </r>
    <r>
      <rPr>
        <sz val="10"/>
        <color rgb="FF000000"/>
        <rFont val="WenQuanYi Zen Hei"/>
        <family val="2"/>
      </rPr>
      <t xml:space="preserve">〔表</t>
    </r>
    <r>
      <rPr>
        <sz val="10"/>
        <color rgb="FF000000"/>
        <rFont val="ＭＳ 明朝"/>
        <family val="0"/>
        <charset val="1"/>
      </rPr>
      <t xml:space="preserve">2</t>
    </r>
    <r>
      <rPr>
        <sz val="10"/>
        <color rgb="FF000000"/>
        <rFont val="WenQuanYi Zen Hei"/>
        <family val="2"/>
      </rPr>
      <t xml:space="preserve">〕」「</t>
    </r>
    <r>
      <rPr>
        <sz val="10"/>
        <color rgb="FF000000"/>
        <rFont val="ＭＳ 明朝"/>
        <family val="0"/>
        <charset val="1"/>
      </rPr>
      <t xml:space="preserve">6. </t>
    </r>
    <r>
      <rPr>
        <sz val="10"/>
        <color rgb="FF000000"/>
        <rFont val="WenQuanYi Zen Hei"/>
        <family val="2"/>
      </rPr>
      <t xml:space="preserve">共通の提出書類」。</t>
    </r>
  </si>
  <si>
    <t xml:space="preserve">締切日・祝日</t>
  </si>
  <si>
    <r>
      <rPr>
        <sz val="10"/>
        <color rgb="FF000000"/>
        <rFont val="WenQuanYi Zen Hei"/>
        <family val="2"/>
      </rPr>
      <t xml:space="preserve">マスタ区分表の「申込締切日」と、「</t>
    </r>
    <r>
      <rPr>
        <sz val="10"/>
        <color rgb="FF000000"/>
        <rFont val="ＭＳ 明朝"/>
        <family val="0"/>
        <charset val="1"/>
      </rPr>
      <t xml:space="preserve">8. </t>
    </r>
    <r>
      <rPr>
        <sz val="10"/>
        <color rgb="FF000000"/>
        <rFont val="WenQuanYi Zen Hei"/>
        <family val="2"/>
      </rPr>
      <t xml:space="preserve">休日・祝日」。祝日は毎年追加する。</t>
    </r>
  </si>
  <si>
    <r>
      <rPr>
        <sz val="10"/>
        <color rgb="FF000000"/>
        <rFont val="ＭＳ 明朝"/>
        <family val="0"/>
        <charset val="1"/>
      </rPr>
      <t xml:space="preserve">Word</t>
    </r>
    <r>
      <rPr>
        <sz val="10"/>
        <color rgb="FF000000"/>
        <rFont val="WenQuanYi Zen Hei"/>
        <family val="2"/>
      </rPr>
      <t xml:space="preserve">の様式を変える</t>
    </r>
  </si>
  <si>
    <r>
      <rPr>
        <sz val="10"/>
        <color rgb="FF000000"/>
        <rFont val="ＭＳ 明朝"/>
        <family val="0"/>
        <charset val="1"/>
      </rPr>
      <t xml:space="preserve">Word</t>
    </r>
    <r>
      <rPr>
        <sz val="10"/>
        <color rgb="FF000000"/>
        <rFont val="WenQuanYi Zen Hei"/>
        <family val="2"/>
      </rPr>
      <t xml:space="preserve">テンプレートの </t>
    </r>
    <r>
      <rPr>
        <sz val="10"/>
        <color rgb="FF000000"/>
        <rFont val="ＭＳ 明朝"/>
        <family val="0"/>
        <charset val="1"/>
      </rPr>
      <t xml:space="preserve">{{</t>
    </r>
    <r>
      <rPr>
        <sz val="10"/>
        <color rgb="FF000000"/>
        <rFont val="WenQuanYi Zen Hei"/>
        <family val="2"/>
      </rPr>
      <t xml:space="preserve">項目</t>
    </r>
    <r>
      <rPr>
        <sz val="10"/>
        <color rgb="FF000000"/>
        <rFont val="ＭＳ 明朝"/>
        <family val="0"/>
        <charset val="1"/>
      </rPr>
      <t xml:space="preserve">}} </t>
    </r>
    <r>
      <rPr>
        <sz val="10"/>
        <color rgb="FF000000"/>
        <rFont val="WenQuanYi Zen Hei"/>
        <family val="2"/>
      </rPr>
      <t xml:space="preserve">と、「</t>
    </r>
    <r>
      <rPr>
        <sz val="10"/>
        <color rgb="FF000000"/>
        <rFont val="ＭＳ 明朝"/>
        <family val="0"/>
        <charset val="1"/>
      </rPr>
      <t xml:space="preserve">Word</t>
    </r>
    <r>
      <rPr>
        <sz val="10"/>
        <color rgb="FF000000"/>
        <rFont val="WenQuanYi Zen Hei"/>
        <family val="2"/>
      </rPr>
      <t xml:space="preserve">差込データ」の項目名を同じにする。項目を増やすときは差込データに</t>
    </r>
    <r>
      <rPr>
        <sz val="10"/>
        <color rgb="FF000000"/>
        <rFont val="ＭＳ 明朝"/>
        <family val="0"/>
        <charset val="1"/>
      </rPr>
      <t xml:space="preserve">1</t>
    </r>
    <r>
      <rPr>
        <sz val="10"/>
        <color rgb="FF000000"/>
        <rFont val="WenQuanYi Zen Hei"/>
        <family val="2"/>
      </rPr>
      <t xml:space="preserve">行足す。</t>
    </r>
  </si>
  <si>
    <t xml:space="preserve">数式の読み方</t>
  </si>
  <si>
    <t xml:space="preserve">名前</t>
  </si>
  <si>
    <r>
      <rPr>
        <sz val="10"/>
        <color rgb="FF000000"/>
        <rFont val="WenQuanYi Zen Hei"/>
        <family val="2"/>
      </rPr>
      <t xml:space="preserve">数式の中のセル番地は、名前</t>
    </r>
    <r>
      <rPr>
        <sz val="10"/>
        <color rgb="FF000000"/>
        <rFont val="ＭＳ 明朝"/>
        <family val="0"/>
        <charset val="1"/>
      </rPr>
      <t xml:space="preserve">(</t>
    </r>
    <r>
      <rPr>
        <sz val="10"/>
        <color rgb="FF000000"/>
        <rFont val="WenQuanYi Zen Hei"/>
        <family val="2"/>
      </rPr>
      <t xml:space="preserve">例</t>
    </r>
    <r>
      <rPr>
        <sz val="10"/>
        <color rgb="FF000000"/>
        <rFont val="ＭＳ 明朝"/>
        <family val="0"/>
        <charset val="1"/>
      </rPr>
      <t xml:space="preserve">:</t>
    </r>
    <r>
      <rPr>
        <sz val="10"/>
        <color rgb="FF000000"/>
        <rFont val="WenQuanYi Zen Hei"/>
        <family val="2"/>
      </rPr>
      <t xml:space="preserve">計算</t>
    </r>
    <r>
      <rPr>
        <sz val="10"/>
        <color rgb="FF000000"/>
        <rFont val="ＭＳ 明朝"/>
        <family val="0"/>
        <charset val="1"/>
      </rPr>
      <t xml:space="preserve">_</t>
    </r>
    <r>
      <rPr>
        <sz val="10"/>
        <color rgb="FF000000"/>
        <rFont val="WenQuanYi Zen Hei"/>
        <family val="2"/>
      </rPr>
      <t xml:space="preserve">限度額</t>
    </r>
    <r>
      <rPr>
        <sz val="10"/>
        <color rgb="FF000000"/>
        <rFont val="ＭＳ 明朝"/>
        <family val="0"/>
        <charset val="1"/>
      </rPr>
      <t xml:space="preserve">_</t>
    </r>
    <r>
      <rPr>
        <sz val="10"/>
        <color rgb="FF000000"/>
        <rFont val="WenQuanYi Zen Hei"/>
        <family val="2"/>
      </rPr>
      <t xml:space="preserve">合計</t>
    </r>
    <r>
      <rPr>
        <sz val="10"/>
        <color rgb="FF000000"/>
        <rFont val="ＭＳ 明朝"/>
        <family val="0"/>
        <charset val="1"/>
      </rPr>
      <t xml:space="preserve">)</t>
    </r>
    <r>
      <rPr>
        <sz val="10"/>
        <color rgb="FF000000"/>
        <rFont val="WenQuanYi Zen Hei"/>
        <family val="2"/>
      </rPr>
      <t xml:space="preserve">に置き換えてある。名前の一覧は、下の表と、</t>
    </r>
    <r>
      <rPr>
        <sz val="10"/>
        <color rgb="FF000000"/>
        <rFont val="ＭＳ 明朝"/>
        <family val="0"/>
        <charset val="1"/>
      </rPr>
      <t xml:space="preserve">Excel</t>
    </r>
    <r>
      <rPr>
        <sz val="10"/>
        <color rgb="FF000000"/>
        <rFont val="WenQuanYi Zen Hei"/>
        <family val="2"/>
      </rPr>
      <t xml:space="preserve">の「数式」→「名前の管理」で見られる。</t>
    </r>
  </si>
  <si>
    <t xml:space="preserve">名前の付け方</t>
  </si>
  <si>
    <r>
      <rPr>
        <sz val="10"/>
        <color rgb="FF000000"/>
        <rFont val="WenQuanYi Zen Hei"/>
        <family val="2"/>
      </rPr>
      <t xml:space="preserve">入力</t>
    </r>
    <r>
      <rPr>
        <sz val="10"/>
        <color rgb="FF000000"/>
        <rFont val="ＭＳ 明朝"/>
        <family val="0"/>
        <charset val="1"/>
      </rPr>
      <t xml:space="preserve">_ =</t>
    </r>
    <r>
      <rPr>
        <sz val="10"/>
        <color rgb="FF000000"/>
        <rFont val="WenQuanYi Zen Hei"/>
        <family val="2"/>
      </rPr>
      <t xml:space="preserve">申込シミュレーションの入力 </t>
    </r>
    <r>
      <rPr>
        <sz val="10"/>
        <color rgb="FF000000"/>
        <rFont val="ＭＳ 明朝"/>
        <family val="0"/>
        <charset val="1"/>
      </rPr>
      <t xml:space="preserve">/ </t>
    </r>
    <r>
      <rPr>
        <sz val="10"/>
        <color rgb="FF000000"/>
        <rFont val="WenQuanYi Zen Hei"/>
        <family val="2"/>
      </rPr>
      <t xml:space="preserve">設定</t>
    </r>
    <r>
      <rPr>
        <sz val="10"/>
        <color rgb="FF000000"/>
        <rFont val="ＭＳ 明朝"/>
        <family val="0"/>
        <charset val="1"/>
      </rPr>
      <t xml:space="preserve">_ =</t>
    </r>
    <r>
      <rPr>
        <sz val="10"/>
        <color rgb="FF000000"/>
        <rFont val="WenQuanYi Zen Hei"/>
        <family val="2"/>
      </rPr>
      <t xml:space="preserve">マスタの数値 </t>
    </r>
    <r>
      <rPr>
        <sz val="10"/>
        <color rgb="FF000000"/>
        <rFont val="ＭＳ 明朝"/>
        <family val="0"/>
        <charset val="1"/>
      </rPr>
      <t xml:space="preserve">/ </t>
    </r>
    <r>
      <rPr>
        <sz val="10"/>
        <color rgb="FF000000"/>
        <rFont val="WenQuanYi Zen Hei"/>
        <family val="2"/>
      </rPr>
      <t xml:space="preserve">区分表</t>
    </r>
    <r>
      <rPr>
        <sz val="10"/>
        <color rgb="FF000000"/>
        <rFont val="ＭＳ 明朝"/>
        <family val="0"/>
        <charset val="1"/>
      </rPr>
      <t xml:space="preserve">_</t>
    </r>
    <r>
      <rPr>
        <sz val="10"/>
        <color rgb="FF000000"/>
        <rFont val="WenQuanYi Zen Hei"/>
        <family val="2"/>
      </rPr>
      <t xml:space="preserve">・表</t>
    </r>
    <r>
      <rPr>
        <sz val="10"/>
        <color rgb="FF000000"/>
        <rFont val="ＭＳ 明朝"/>
        <family val="0"/>
        <charset val="1"/>
      </rPr>
      <t xml:space="preserve">_ =</t>
    </r>
    <r>
      <rPr>
        <sz val="10"/>
        <color rgb="FF000000"/>
        <rFont val="WenQuanYi Zen Hei"/>
        <family val="2"/>
      </rPr>
      <t xml:space="preserve">マスタの表の範囲 </t>
    </r>
    <r>
      <rPr>
        <sz val="10"/>
        <color rgb="FF000000"/>
        <rFont val="ＭＳ 明朝"/>
        <family val="0"/>
        <charset val="1"/>
      </rPr>
      <t xml:space="preserve">/ </t>
    </r>
    <r>
      <rPr>
        <sz val="10"/>
        <color rgb="FF000000"/>
        <rFont val="WenQuanYi Zen Hei"/>
        <family val="2"/>
      </rPr>
      <t xml:space="preserve">定数</t>
    </r>
    <r>
      <rPr>
        <sz val="10"/>
        <color rgb="FF000000"/>
        <rFont val="ＭＳ 明朝"/>
        <family val="0"/>
        <charset val="1"/>
      </rPr>
      <t xml:space="preserve">_ =</t>
    </r>
    <r>
      <rPr>
        <sz val="10"/>
        <color rgb="FF000000"/>
        <rFont val="WenQuanYi Zen Hei"/>
        <family val="2"/>
      </rPr>
      <t xml:space="preserve">意味のある定数 </t>
    </r>
    <r>
      <rPr>
        <sz val="10"/>
        <color rgb="FF000000"/>
        <rFont val="ＭＳ 明朝"/>
        <family val="0"/>
        <charset val="1"/>
      </rPr>
      <t xml:space="preserve">/ </t>
    </r>
    <r>
      <rPr>
        <sz val="10"/>
        <color rgb="FF000000"/>
        <rFont val="WenQuanYi Zen Hei"/>
        <family val="2"/>
      </rPr>
      <t xml:space="preserve">計算</t>
    </r>
    <r>
      <rPr>
        <sz val="10"/>
        <color rgb="FF000000"/>
        <rFont val="ＭＳ 明朝"/>
        <family val="0"/>
        <charset val="1"/>
      </rPr>
      <t xml:space="preserve">_ =</t>
    </r>
    <r>
      <rPr>
        <sz val="10"/>
        <color rgb="FF000000"/>
        <rFont val="WenQuanYi Zen Hei"/>
        <family val="2"/>
      </rPr>
      <t xml:space="preserve">計算過程の途中の値 </t>
    </r>
    <r>
      <rPr>
        <sz val="10"/>
        <color rgb="FF000000"/>
        <rFont val="ＭＳ 明朝"/>
        <family val="0"/>
        <charset val="1"/>
      </rPr>
      <t xml:space="preserve">/ </t>
    </r>
    <r>
      <rPr>
        <sz val="10"/>
        <color rgb="FF000000"/>
        <rFont val="WenQuanYi Zen Hei"/>
        <family val="2"/>
      </rPr>
      <t xml:space="preserve">判定</t>
    </r>
    <r>
      <rPr>
        <sz val="10"/>
        <color rgb="FF000000"/>
        <rFont val="ＭＳ 明朝"/>
        <family val="0"/>
        <charset val="1"/>
      </rPr>
      <t xml:space="preserve">_ =</t>
    </r>
    <r>
      <rPr>
        <sz val="10"/>
        <color rgb="FF000000"/>
        <rFont val="WenQuanYi Zen Hei"/>
        <family val="2"/>
      </rPr>
      <t xml:space="preserve">チェックの結果と説明文。</t>
    </r>
  </si>
  <si>
    <t xml:space="preserve">判定の値</t>
  </si>
  <si>
    <r>
      <rPr>
        <sz val="10"/>
        <color rgb="FF000000"/>
        <rFont val="WenQuanYi Zen Hei"/>
        <family val="2"/>
      </rPr>
      <t xml:space="preserve">判定</t>
    </r>
    <r>
      <rPr>
        <sz val="10"/>
        <color rgb="FF000000"/>
        <rFont val="ＭＳ 明朝"/>
        <family val="0"/>
        <charset val="1"/>
      </rPr>
      <t xml:space="preserve">_xxx </t>
    </r>
    <r>
      <rPr>
        <sz val="10"/>
        <color rgb="FF000000"/>
        <rFont val="WenQuanYi Zen Hei"/>
        <family val="2"/>
      </rPr>
      <t xml:space="preserve">は </t>
    </r>
    <r>
      <rPr>
        <sz val="10"/>
        <color rgb="FF000000"/>
        <rFont val="ＭＳ 明朝"/>
        <family val="0"/>
        <charset val="1"/>
      </rPr>
      <t xml:space="preserve">1=</t>
    </r>
    <r>
      <rPr>
        <sz val="10"/>
        <color rgb="FF000000"/>
        <rFont val="WenQuanYi Zen Hei"/>
        <family val="2"/>
      </rPr>
      <t xml:space="preserve">適合、</t>
    </r>
    <r>
      <rPr>
        <sz val="10"/>
        <color rgb="FF000000"/>
        <rFont val="ＭＳ 明朝"/>
        <family val="0"/>
        <charset val="1"/>
      </rPr>
      <t xml:space="preserve">0=</t>
    </r>
    <r>
      <rPr>
        <sz val="10"/>
        <color rgb="FF000000"/>
        <rFont val="WenQuanYi Zen Hei"/>
        <family val="2"/>
      </rPr>
      <t xml:space="preserve">不適合、</t>
    </r>
    <r>
      <rPr>
        <sz val="10"/>
        <color rgb="FF000000"/>
        <rFont val="ＭＳ 明朝"/>
        <family val="0"/>
        <charset val="1"/>
      </rPr>
      <t xml:space="preserve">2=</t>
    </r>
    <r>
      <rPr>
        <sz val="10"/>
        <color rgb="FF000000"/>
        <rFont val="WenQuanYi Zen Hei"/>
        <family val="2"/>
      </rPr>
      <t xml:space="preserve">要確認、</t>
    </r>
    <r>
      <rPr>
        <sz val="10"/>
        <color rgb="FF000000"/>
        <rFont val="ＭＳ 明朝"/>
        <family val="0"/>
        <charset val="1"/>
      </rPr>
      <t xml:space="preserve">3=</t>
    </r>
    <r>
      <rPr>
        <sz val="10"/>
        <color rgb="FF000000"/>
        <rFont val="WenQuanYi Zen Hei"/>
        <family val="2"/>
      </rPr>
      <t xml:space="preserve">対象外。判定</t>
    </r>
    <r>
      <rPr>
        <sz val="10"/>
        <color rgb="FF000000"/>
        <rFont val="ＭＳ 明朝"/>
        <family val="0"/>
        <charset val="1"/>
      </rPr>
      <t xml:space="preserve">_xxx_</t>
    </r>
    <r>
      <rPr>
        <sz val="10"/>
        <color rgb="FF000000"/>
        <rFont val="WenQuanYi Zen Hei"/>
        <family val="2"/>
      </rPr>
      <t xml:space="preserve">説明 が画面に出る文章。</t>
    </r>
  </si>
  <si>
    <t xml:space="preserve">数値を直接書かない</t>
  </si>
  <si>
    <r>
      <rPr>
        <sz val="10"/>
        <color rgb="FF000000"/>
        <rFont val="ＭＳ 明朝"/>
        <family val="0"/>
        <charset val="1"/>
      </rPr>
      <t xml:space="preserve">10000(</t>
    </r>
    <r>
      <rPr>
        <sz val="10"/>
        <color rgb="FF000000"/>
        <rFont val="WenQuanYi Zen Hei"/>
        <family val="2"/>
      </rPr>
      <t xml:space="preserve">万円→円</t>
    </r>
    <r>
      <rPr>
        <sz val="10"/>
        <color rgb="FF000000"/>
        <rFont val="ＭＳ 明朝"/>
        <family val="0"/>
        <charset val="1"/>
      </rPr>
      <t xml:space="preserve">)</t>
    </r>
    <r>
      <rPr>
        <sz val="10"/>
        <color rgb="FF000000"/>
        <rFont val="WenQuanYi Zen Hei"/>
        <family val="2"/>
      </rPr>
      <t xml:space="preserve">、</t>
    </r>
    <r>
      <rPr>
        <sz val="10"/>
        <color rgb="FF000000"/>
        <rFont val="ＭＳ 明朝"/>
        <family val="0"/>
        <charset val="1"/>
      </rPr>
      <t xml:space="preserve">12(</t>
    </r>
    <r>
      <rPr>
        <sz val="10"/>
        <color rgb="FF000000"/>
        <rFont val="WenQuanYi Zen Hei"/>
        <family val="2"/>
      </rPr>
      <t xml:space="preserve">月数</t>
    </r>
    <r>
      <rPr>
        <sz val="10"/>
        <color rgb="FF000000"/>
        <rFont val="ＭＳ 明朝"/>
        <family val="0"/>
        <charset val="1"/>
      </rPr>
      <t xml:space="preserve">)</t>
    </r>
    <r>
      <rPr>
        <sz val="10"/>
        <color rgb="FF000000"/>
        <rFont val="WenQuanYi Zen Hei"/>
        <family val="2"/>
      </rPr>
      <t xml:space="preserve">などは「定数</t>
    </r>
    <r>
      <rPr>
        <sz val="10"/>
        <color rgb="FF000000"/>
        <rFont val="ＭＳ 明朝"/>
        <family val="0"/>
        <charset val="1"/>
      </rPr>
      <t xml:space="preserve">_</t>
    </r>
    <r>
      <rPr>
        <sz val="10"/>
        <color rgb="FF000000"/>
        <rFont val="WenQuanYi Zen Hei"/>
        <family val="2"/>
      </rPr>
      <t xml:space="preserve">」に集め、数式には名前で書く。</t>
    </r>
  </si>
  <si>
    <r>
      <rPr>
        <b val="true"/>
        <sz val="10"/>
        <color rgb="FF000000"/>
        <rFont val="WenQuanYi Zen Hei"/>
        <family val="2"/>
      </rPr>
      <t xml:space="preserve">名前の一覧</t>
    </r>
    <r>
      <rPr>
        <b val="true"/>
        <sz val="10"/>
        <color rgb="FF000000"/>
        <rFont val="ＭＳ 明朝"/>
        <family val="0"/>
        <charset val="1"/>
      </rPr>
      <t xml:space="preserve">(</t>
    </r>
    <r>
      <rPr>
        <b val="true"/>
        <sz val="10"/>
        <color rgb="FF000000"/>
        <rFont val="WenQuanYi Zen Hei"/>
        <family val="2"/>
      </rPr>
      <t xml:space="preserve">名前 </t>
    </r>
    <r>
      <rPr>
        <b val="true"/>
        <sz val="10"/>
        <color rgb="FF000000"/>
        <rFont val="ＭＳ 明朝"/>
        <family val="0"/>
        <charset val="1"/>
      </rPr>
      <t xml:space="preserve">/ </t>
    </r>
    <r>
      <rPr>
        <b val="true"/>
        <sz val="10"/>
        <color rgb="FF000000"/>
        <rFont val="WenQuanYi Zen Hei"/>
        <family val="2"/>
      </rPr>
      <t xml:space="preserve">種類 </t>
    </r>
    <r>
      <rPr>
        <b val="true"/>
        <sz val="10"/>
        <color rgb="FF000000"/>
        <rFont val="ＭＳ 明朝"/>
        <family val="0"/>
        <charset val="1"/>
      </rPr>
      <t xml:space="preserve">/ </t>
    </r>
    <r>
      <rPr>
        <b val="true"/>
        <sz val="10"/>
        <color rgb="FF000000"/>
        <rFont val="WenQuanYi Zen Hei"/>
        <family val="2"/>
      </rPr>
      <t xml:space="preserve">参照先 </t>
    </r>
    <r>
      <rPr>
        <b val="true"/>
        <sz val="10"/>
        <color rgb="FF000000"/>
        <rFont val="ＭＳ 明朝"/>
        <family val="0"/>
        <charset val="1"/>
      </rPr>
      <t xml:space="preserve">/ </t>
    </r>
    <r>
      <rPr>
        <b val="true"/>
        <sz val="10"/>
        <color rgb="FF000000"/>
        <rFont val="WenQuanYi Zen Hei"/>
        <family val="2"/>
      </rPr>
      <t xml:space="preserve">内容</t>
    </r>
    <r>
      <rPr>
        <b val="true"/>
        <sz val="10"/>
        <color rgb="FF000000"/>
        <rFont val="ＭＳ 明朝"/>
        <family val="0"/>
        <charset val="1"/>
      </rPr>
      <t xml:space="preserve">)</t>
    </r>
  </si>
  <si>
    <t xml:space="preserve">種類</t>
  </si>
  <si>
    <t xml:space="preserve">参照先</t>
  </si>
  <si>
    <t xml:space="preserve">内容</t>
  </si>
  <si>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所属区分</t>
    </r>
  </si>
  <si>
    <t xml:space="preserve">入力</t>
  </si>
  <si>
    <r>
      <rPr>
        <sz val="9"/>
        <color rgb="FF000000"/>
        <rFont val="WenQuanYi Zen Hei"/>
        <family val="2"/>
      </rPr>
      <t xml:space="preserve">申込シミュレーション</t>
    </r>
    <r>
      <rPr>
        <sz val="9"/>
        <color rgb="FF000000"/>
        <rFont val="ＭＳ 明朝"/>
        <family val="0"/>
        <charset val="1"/>
      </rPr>
      <t xml:space="preserve">!$C$6</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</si>
  <si>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所属名</t>
    </r>
  </si>
  <si>
    <r>
      <rPr>
        <sz val="9"/>
        <color rgb="FF000000"/>
        <rFont val="WenQuanYi Zen Hei"/>
        <family val="2"/>
      </rPr>
      <t xml:space="preserve">申込シミュレーション</t>
    </r>
    <r>
      <rPr>
        <sz val="9"/>
        <color rgb="FF000000"/>
        <rFont val="ＭＳ 明朝"/>
        <family val="0"/>
        <charset val="1"/>
      </rPr>
      <t xml:space="preserve">!$C$7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</si>
  <si>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氏名</t>
    </r>
  </si>
  <si>
    <r>
      <rPr>
        <sz val="9"/>
        <color rgb="FF000000"/>
        <rFont val="WenQuanYi Zen Hei"/>
        <family val="2"/>
      </rPr>
      <t xml:space="preserve">申込シミュレーション</t>
    </r>
    <r>
      <rPr>
        <sz val="9"/>
        <color rgb="FF000000"/>
        <rFont val="ＭＳ 明朝"/>
        <family val="0"/>
        <charset val="1"/>
      </rPr>
      <t xml:space="preserve">!$C$8</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</si>
  <si>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貸付区分</t>
    </r>
  </si>
  <si>
    <r>
      <rPr>
        <sz val="9"/>
        <color rgb="FF000000"/>
        <rFont val="WenQuanYi Zen Hei"/>
        <family val="2"/>
      </rPr>
      <t xml:space="preserve">申込シミュレーション</t>
    </r>
    <r>
      <rPr>
        <sz val="9"/>
        <color rgb="FF000000"/>
        <rFont val="ＭＳ 明朝"/>
        <family val="0"/>
        <charset val="1"/>
      </rPr>
      <t xml:space="preserve">!$C$9</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</si>
  <si>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申込予定日</t>
    </r>
  </si>
  <si>
    <r>
      <rPr>
        <sz val="9"/>
        <color rgb="FF000000"/>
        <rFont val="WenQuanYi Zen Hei"/>
        <family val="2"/>
      </rPr>
      <t xml:space="preserve">申込シミュレーション</t>
    </r>
    <r>
      <rPr>
        <sz val="9"/>
        <color rgb="FF000000"/>
        <rFont val="ＭＳ 明朝"/>
        <family val="0"/>
        <charset val="1"/>
      </rPr>
      <t xml:space="preserve">!$C$10</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</si>
  <si>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資格取得日</t>
    </r>
  </si>
  <si>
    <r>
      <rPr>
        <sz val="9"/>
        <color rgb="FF000000"/>
        <rFont val="WenQuanYi Zen Hei"/>
        <family val="2"/>
      </rPr>
      <t xml:space="preserve">申込シミュレーション</t>
    </r>
    <r>
      <rPr>
        <sz val="9"/>
        <color rgb="FF000000"/>
        <rFont val="ＭＳ 明朝"/>
        <family val="0"/>
        <charset val="1"/>
      </rPr>
      <t xml:space="preserve">!$C$11</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</si>
  <si>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給料月額</t>
    </r>
  </si>
  <si>
    <r>
      <rPr>
        <sz val="9"/>
        <color rgb="FF000000"/>
        <rFont val="WenQuanYi Zen Hei"/>
        <family val="2"/>
      </rPr>
      <t xml:space="preserve">申込シミュレーション</t>
    </r>
    <r>
      <rPr>
        <sz val="9"/>
        <color rgb="FF000000"/>
        <rFont val="ＭＳ 明朝"/>
        <family val="0"/>
        <charset val="1"/>
      </rPr>
      <t xml:space="preserve">!$C$12</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</si>
  <si>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事由発生日</t>
    </r>
  </si>
  <si>
    <r>
      <rPr>
        <sz val="9"/>
        <color rgb="FF000000"/>
        <rFont val="WenQuanYi Zen Hei"/>
        <family val="2"/>
      </rPr>
      <t xml:space="preserve">申込シミュレーション</t>
    </r>
    <r>
      <rPr>
        <sz val="9"/>
        <color rgb="FF000000"/>
        <rFont val="ＭＳ 明朝"/>
        <family val="0"/>
        <charset val="1"/>
      </rPr>
      <t xml:space="preserve">!$C$13</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</si>
  <si>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差押さえ等</t>
    </r>
  </si>
  <si>
    <r>
      <rPr>
        <sz val="9"/>
        <color rgb="FF000000"/>
        <rFont val="WenQuanYi Zen Hei"/>
        <family val="2"/>
      </rPr>
      <t xml:space="preserve">申込シミュレーション</t>
    </r>
    <r>
      <rPr>
        <sz val="9"/>
        <color rgb="FF000000"/>
        <rFont val="ＭＳ 明朝"/>
        <family val="0"/>
        <charset val="1"/>
      </rPr>
      <t xml:space="preserve">!$C$14</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</si>
  <si>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無給休職</t>
    </r>
  </si>
  <si>
    <r>
      <rPr>
        <sz val="9"/>
        <color rgb="FF000000"/>
        <rFont val="WenQuanYi Zen Hei"/>
        <family val="2"/>
      </rPr>
      <t xml:space="preserve">申込シミュレーション</t>
    </r>
    <r>
      <rPr>
        <sz val="9"/>
        <color rgb="FF000000"/>
        <rFont val="ＭＳ 明朝"/>
        <family val="0"/>
        <charset val="1"/>
      </rPr>
      <t xml:space="preserve">!$C$15</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</si>
  <si>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修学月数</t>
    </r>
  </si>
  <si>
    <r>
      <rPr>
        <sz val="9"/>
        <color rgb="FF000000"/>
        <rFont val="WenQuanYi Zen Hei"/>
        <family val="2"/>
      </rPr>
      <t xml:space="preserve">申込シミュレーション</t>
    </r>
    <r>
      <rPr>
        <sz val="9"/>
        <color rgb="FF000000"/>
        <rFont val="ＭＳ 明朝"/>
        <family val="0"/>
        <charset val="1"/>
      </rPr>
      <t xml:space="preserve">!$C$16</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</si>
  <si>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申込希望額万円</t>
    </r>
  </si>
  <si>
    <r>
      <rPr>
        <sz val="9"/>
        <color rgb="FF000000"/>
        <rFont val="WenQuanYi Zen Hei"/>
        <family val="2"/>
      </rPr>
      <t xml:space="preserve">申込シミュレーション</t>
    </r>
    <r>
      <rPr>
        <sz val="9"/>
        <color rgb="FF000000"/>
        <rFont val="ＭＳ 明朝"/>
        <family val="0"/>
        <charset val="1"/>
      </rPr>
      <t xml:space="preserve">!$C$17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</si>
  <si>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</si>
  <si>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申込シミュレーション</t>
    </r>
    <r>
      <rPr>
        <sz val="9"/>
        <color rgb="FF000000"/>
        <rFont val="ＭＳ 明朝"/>
        <family val="0"/>
        <charset val="1"/>
      </rPr>
      <t xml:space="preserve">!$C$18</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</si>
  <si>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希望月額</t>
    </r>
  </si>
  <si>
    <r>
      <rPr>
        <sz val="9"/>
        <color rgb="FF000000"/>
        <rFont val="WenQuanYi Zen Hei"/>
        <family val="2"/>
      </rPr>
      <t xml:space="preserve">申込シミュレーション</t>
    </r>
    <r>
      <rPr>
        <sz val="9"/>
        <color rgb="FF000000"/>
        <rFont val="ＭＳ 明朝"/>
        <family val="0"/>
        <charset val="1"/>
      </rPr>
      <t xml:space="preserve">!$C$19</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</si>
  <si>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ボーナス併用</t>
    </r>
  </si>
  <si>
    <r>
      <rPr>
        <sz val="9"/>
        <color rgb="FF000000"/>
        <rFont val="WenQuanYi Zen Hei"/>
        <family val="2"/>
      </rPr>
      <t xml:space="preserve">申込シミュレーション</t>
    </r>
    <r>
      <rPr>
        <sz val="9"/>
        <color rgb="FF000000"/>
        <rFont val="ＭＳ 明朝"/>
        <family val="0"/>
        <charset val="1"/>
      </rPr>
      <t xml:space="preserve">!$C$20</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</si>
  <si>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ボーナス元金万円</t>
    </r>
  </si>
  <si>
    <r>
      <rPr>
        <sz val="9"/>
        <color rgb="FF000000"/>
        <rFont val="WenQuanYi Zen Hei"/>
        <family val="2"/>
      </rPr>
      <t xml:space="preserve">申込シミュレーション</t>
    </r>
    <r>
      <rPr>
        <sz val="9"/>
        <color rgb="FF000000"/>
        <rFont val="ＭＳ 明朝"/>
        <family val="0"/>
        <charset val="1"/>
      </rPr>
      <t xml:space="preserve">!$C$21</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</si>
  <si>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ボーナス回数</t>
    </r>
  </si>
  <si>
    <r>
      <rPr>
        <sz val="9"/>
        <color rgb="FF000000"/>
        <rFont val="WenQuanYi Zen Hei"/>
        <family val="2"/>
      </rPr>
      <t xml:space="preserve">申込シミュレーション</t>
    </r>
    <r>
      <rPr>
        <sz val="9"/>
        <color rgb="FF000000"/>
        <rFont val="ＭＳ 明朝"/>
        <family val="0"/>
        <charset val="1"/>
      </rPr>
      <t xml:space="preserve">!$C$22</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</si>
  <si>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在宅介護加算万円</t>
    </r>
  </si>
  <si>
    <r>
      <rPr>
        <sz val="9"/>
        <color rgb="FF000000"/>
        <rFont val="WenQuanYi Zen Hei"/>
        <family val="2"/>
      </rPr>
      <t xml:space="preserve">申込シミュレーション</t>
    </r>
    <r>
      <rPr>
        <sz val="9"/>
        <color rgb="FF000000"/>
        <rFont val="ＭＳ 明朝"/>
        <family val="0"/>
        <charset val="1"/>
      </rPr>
      <t xml:space="preserve">!$C$23</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</si>
  <si>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住宅書類区分</t>
    </r>
  </si>
  <si>
    <r>
      <rPr>
        <sz val="9"/>
        <color rgb="FF000000"/>
        <rFont val="WenQuanYi Zen Hei"/>
        <family val="2"/>
      </rPr>
      <t xml:space="preserve">申込シミュレーション</t>
    </r>
    <r>
      <rPr>
        <sz val="9"/>
        <color rgb="FF000000"/>
        <rFont val="ＭＳ 明朝"/>
        <family val="0"/>
        <charset val="1"/>
      </rPr>
      <t xml:space="preserve">!$C$24</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</si>
  <si>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住所</t>
    </r>
  </si>
  <si>
    <r>
      <rPr>
        <sz val="9"/>
        <color rgb="FF000000"/>
        <rFont val="WenQuanYi Zen Hei"/>
        <family val="2"/>
      </rPr>
      <t xml:space="preserve">申込シミュレーション</t>
    </r>
    <r>
      <rPr>
        <sz val="9"/>
        <color rgb="FF000000"/>
        <rFont val="ＭＳ 明朝"/>
        <family val="0"/>
        <charset val="1"/>
      </rPr>
      <t xml:space="preserve">!$C$25</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</si>
  <si>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他借入有無</t>
    </r>
  </si>
  <si>
    <r>
      <rPr>
        <sz val="9"/>
        <color rgb="FF000000"/>
        <rFont val="WenQuanYi Zen Hei"/>
        <family val="2"/>
      </rPr>
      <t xml:space="preserve">申込シミュレーション</t>
    </r>
    <r>
      <rPr>
        <sz val="9"/>
        <color rgb="FF000000"/>
        <rFont val="ＭＳ 明朝"/>
        <family val="0"/>
        <charset val="1"/>
      </rPr>
      <t xml:space="preserve">!$C$27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</si>
  <si>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共済既貸付有無</t>
    </r>
  </si>
  <si>
    <r>
      <rPr>
        <sz val="9"/>
        <color rgb="FF000000"/>
        <rFont val="WenQuanYi Zen Hei"/>
        <family val="2"/>
      </rPr>
      <t xml:space="preserve">申込シミュレーション</t>
    </r>
    <r>
      <rPr>
        <sz val="9"/>
        <color rgb="FF000000"/>
        <rFont val="ＭＳ 明朝"/>
        <family val="0"/>
        <charset val="1"/>
      </rPr>
      <t xml:space="preserve">!$C$28</t>
    </r>
  </si>
  <si>
    <r>
      <rPr>
        <sz val="9"/>
        <color rgb="FF000000"/>
        <rFont val="WenQuanYi Zen Hei"/>
        <family val="2"/>
      </rPr>
      <t xml:space="preserve">申告</t>
    </r>
    <r>
      <rPr>
        <sz val="9"/>
        <color rgb="FF000000"/>
        <rFont val="ＭＳ 明朝"/>
        <family val="0"/>
        <charset val="1"/>
      </rPr>
      <t xml:space="preserve">_A</t>
    </r>
    <r>
      <rPr>
        <sz val="9"/>
        <color rgb="FF000000"/>
        <rFont val="WenQuanYi Zen Hei"/>
        <family val="2"/>
      </rPr>
      <t xml:space="preserve">他機関既借入</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</si>
  <si>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!$P$33</t>
    </r>
  </si>
  <si>
    <r>
      <rPr>
        <sz val="9"/>
        <color rgb="FF000000"/>
        <rFont val="WenQuanYi Zen Hei"/>
        <family val="2"/>
      </rPr>
      <t xml:space="preserve">申告</t>
    </r>
    <r>
      <rPr>
        <sz val="9"/>
        <color rgb="FF000000"/>
        <rFont val="ＭＳ 明朝"/>
        <family val="0"/>
        <charset val="1"/>
      </rPr>
      <t xml:space="preserve">_F</t>
    </r>
    <r>
      <rPr>
        <sz val="9"/>
        <color rgb="FF000000"/>
        <rFont val="WenQuanYi Zen Hei"/>
        <family val="2"/>
      </rPr>
      <t xml:space="preserve">他機関既借入</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</si>
  <si>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!$U$33</t>
    </r>
  </si>
  <si>
    <r>
      <rPr>
        <sz val="9"/>
        <color rgb="FF000000"/>
        <rFont val="WenQuanYi Zen Hei"/>
        <family val="2"/>
      </rPr>
      <t xml:space="preserve">申告</t>
    </r>
    <r>
      <rPr>
        <sz val="9"/>
        <color rgb="FF000000"/>
        <rFont val="ＭＳ 明朝"/>
        <family val="0"/>
        <charset val="1"/>
      </rPr>
      <t xml:space="preserve">_B</t>
    </r>
    <r>
      <rPr>
        <sz val="9"/>
        <color rgb="FF000000"/>
        <rFont val="WenQuanYi Zen Hei"/>
        <family val="2"/>
      </rPr>
      <t xml:space="preserve">他機関新規</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</si>
  <si>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!$AG$33</t>
    </r>
  </si>
  <si>
    <r>
      <rPr>
        <sz val="9"/>
        <color rgb="FF000000"/>
        <rFont val="WenQuanYi Zen Hei"/>
        <family val="2"/>
      </rPr>
      <t xml:space="preserve">申告</t>
    </r>
    <r>
      <rPr>
        <sz val="9"/>
        <color rgb="FF000000"/>
        <rFont val="ＭＳ 明朝"/>
        <family val="0"/>
        <charset val="1"/>
      </rPr>
      <t xml:space="preserve">_G</t>
    </r>
    <r>
      <rPr>
        <sz val="9"/>
        <color rgb="FF000000"/>
        <rFont val="WenQuanYi Zen Hei"/>
        <family val="2"/>
      </rPr>
      <t xml:space="preserve">他機関新規</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</si>
  <si>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!$AL$33</t>
    </r>
  </si>
  <si>
    <r>
      <rPr>
        <sz val="9"/>
        <color rgb="FF000000"/>
        <rFont val="WenQuanYi Zen Hei"/>
        <family val="2"/>
      </rPr>
      <t xml:space="preserve">申告</t>
    </r>
    <r>
      <rPr>
        <sz val="9"/>
        <color rgb="FF000000"/>
        <rFont val="ＭＳ 明朝"/>
        <family val="0"/>
        <charset val="1"/>
      </rPr>
      <t xml:space="preserve">_C</t>
    </r>
    <r>
      <rPr>
        <sz val="9"/>
        <color rgb="FF000000"/>
        <rFont val="WenQuanYi Zen Hei"/>
        <family val="2"/>
      </rPr>
      <t xml:space="preserve">共済既貸付</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</si>
  <si>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!$A$53</t>
    </r>
  </si>
  <si>
    <r>
      <rPr>
        <sz val="9"/>
        <color rgb="FF000000"/>
        <rFont val="WenQuanYi Zen Hei"/>
        <family val="2"/>
      </rPr>
      <t xml:space="preserve">申告</t>
    </r>
    <r>
      <rPr>
        <sz val="9"/>
        <color rgb="FF000000"/>
        <rFont val="ＭＳ 明朝"/>
        <family val="0"/>
        <charset val="1"/>
      </rPr>
      <t xml:space="preserve">_H</t>
    </r>
    <r>
      <rPr>
        <sz val="9"/>
        <color rgb="FF000000"/>
        <rFont val="WenQuanYi Zen Hei"/>
        <family val="2"/>
      </rPr>
      <t xml:space="preserve">共済既貸付</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</si>
  <si>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!$H$53</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</si>
  <si>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ふりがな</t>
    </r>
  </si>
  <si>
    <r>
      <rPr>
        <sz val="9"/>
        <color rgb="FF000000"/>
        <rFont val="WenQuanYi Zen Hei"/>
        <family val="2"/>
      </rPr>
      <t xml:space="preserve">申込書追加入力</t>
    </r>
    <r>
      <rPr>
        <sz val="9"/>
        <color rgb="FF000000"/>
        <rFont val="ＭＳ 明朝"/>
        <family val="0"/>
        <charset val="1"/>
      </rPr>
      <t xml:space="preserve">!$C$4</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</si>
  <si>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職名</t>
    </r>
  </si>
  <si>
    <r>
      <rPr>
        <sz val="9"/>
        <color rgb="FF000000"/>
        <rFont val="WenQuanYi Zen Hei"/>
        <family val="2"/>
      </rPr>
      <t xml:space="preserve">申込書追加入力</t>
    </r>
    <r>
      <rPr>
        <sz val="9"/>
        <color rgb="FF000000"/>
        <rFont val="ＭＳ 明朝"/>
        <family val="0"/>
        <charset val="1"/>
      </rPr>
      <t xml:space="preserve">!$C$5</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</si>
  <si>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職員番号</t>
    </r>
  </si>
  <si>
    <r>
      <rPr>
        <sz val="9"/>
        <color rgb="FF000000"/>
        <rFont val="WenQuanYi Zen Hei"/>
        <family val="2"/>
      </rPr>
      <t xml:space="preserve">申込書追加入力</t>
    </r>
    <r>
      <rPr>
        <sz val="9"/>
        <color rgb="FF000000"/>
        <rFont val="ＭＳ 明朝"/>
        <family val="0"/>
        <charset val="1"/>
      </rPr>
      <t xml:space="preserve">!$C$6</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</si>
  <si>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生年月日</t>
    </r>
  </si>
  <si>
    <r>
      <rPr>
        <sz val="9"/>
        <color rgb="FF000000"/>
        <rFont val="WenQuanYi Zen Hei"/>
        <family val="2"/>
      </rPr>
      <t xml:space="preserve">申込書追加入力</t>
    </r>
    <r>
      <rPr>
        <sz val="9"/>
        <color rgb="FF000000"/>
        <rFont val="ＭＳ 明朝"/>
        <family val="0"/>
        <charset val="1"/>
      </rPr>
      <t xml:space="preserve">!$C$7</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</si>
  <si>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所属電話</t>
    </r>
  </si>
  <si>
    <r>
      <rPr>
        <sz val="9"/>
        <color rgb="FF000000"/>
        <rFont val="WenQuanYi Zen Hei"/>
        <family val="2"/>
      </rPr>
      <t xml:space="preserve">申込書追加入力</t>
    </r>
    <r>
      <rPr>
        <sz val="9"/>
        <color rgb="FF000000"/>
        <rFont val="ＭＳ 明朝"/>
        <family val="0"/>
        <charset val="1"/>
      </rPr>
      <t xml:space="preserve">!$C$8</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</si>
  <si>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住所電話</t>
    </r>
  </si>
  <si>
    <r>
      <rPr>
        <sz val="9"/>
        <color rgb="FF000000"/>
        <rFont val="WenQuanYi Zen Hei"/>
        <family val="2"/>
      </rPr>
      <t xml:space="preserve">申込書追加入力</t>
    </r>
    <r>
      <rPr>
        <sz val="9"/>
        <color rgb="FF000000"/>
        <rFont val="ＭＳ 明朝"/>
        <family val="0"/>
        <charset val="1"/>
      </rPr>
      <t xml:space="preserve">!$C$9</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</si>
  <si>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金融機関</t>
    </r>
  </si>
  <si>
    <r>
      <rPr>
        <sz val="9"/>
        <color rgb="FF000000"/>
        <rFont val="WenQuanYi Zen Hei"/>
        <family val="2"/>
      </rPr>
      <t xml:space="preserve">申込書追加入力</t>
    </r>
    <r>
      <rPr>
        <sz val="9"/>
        <color rgb="FF000000"/>
        <rFont val="ＭＳ 明朝"/>
        <family val="0"/>
        <charset val="1"/>
      </rPr>
      <t xml:space="preserve">!$C$10</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</si>
  <si>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支店</t>
    </r>
  </si>
  <si>
    <r>
      <rPr>
        <sz val="9"/>
        <color rgb="FF000000"/>
        <rFont val="WenQuanYi Zen Hei"/>
        <family val="2"/>
      </rPr>
      <t xml:space="preserve">申込書追加入力</t>
    </r>
    <r>
      <rPr>
        <sz val="9"/>
        <color rgb="FF000000"/>
        <rFont val="ＭＳ 明朝"/>
        <family val="0"/>
        <charset val="1"/>
      </rPr>
      <t xml:space="preserve">!$C$11</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</si>
  <si>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口座番号</t>
    </r>
  </si>
  <si>
    <r>
      <rPr>
        <sz val="9"/>
        <color rgb="FF000000"/>
        <rFont val="WenQuanYi Zen Hei"/>
        <family val="2"/>
      </rPr>
      <t xml:space="preserve">申込書追加入力</t>
    </r>
    <r>
      <rPr>
        <sz val="9"/>
        <color rgb="FF000000"/>
        <rFont val="ＭＳ 明朝"/>
        <family val="0"/>
        <charset val="1"/>
      </rPr>
      <t xml:space="preserve">!$C$12</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</si>
  <si>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普通特別</t>
    </r>
  </si>
  <si>
    <t xml:space="preserve">設定</t>
  </si>
  <si>
    <r>
      <rPr>
        <sz val="9"/>
        <color rgb="FF000000"/>
        <rFont val="WenQuanYi Zen Hei"/>
        <family val="2"/>
      </rPr>
      <t xml:space="preserve">マスタ</t>
    </r>
    <r>
      <rPr>
        <sz val="9"/>
        <color rgb="FF000000"/>
        <rFont val="ＭＳ 明朝"/>
        <family val="0"/>
        <charset val="1"/>
      </rPr>
      <t xml:space="preserve">!$B$4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</si>
  <si>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住宅</t>
    </r>
  </si>
  <si>
    <r>
      <rPr>
        <sz val="9"/>
        <color rgb="FF000000"/>
        <rFont val="WenQuanYi Zen Hei"/>
        <family val="2"/>
      </rPr>
      <t xml:space="preserve">マスタ</t>
    </r>
    <r>
      <rPr>
        <sz val="9"/>
        <color rgb="FF000000"/>
        <rFont val="ＭＳ 明朝"/>
        <family val="0"/>
        <charset val="1"/>
      </rPr>
      <t xml:space="preserve">!$B$5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</si>
  <si>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災害</t>
    </r>
  </si>
  <si>
    <r>
      <rPr>
        <sz val="9"/>
        <color rgb="FF000000"/>
        <rFont val="WenQuanYi Zen Hei"/>
        <family val="2"/>
      </rPr>
      <t xml:space="preserve">マスタ</t>
    </r>
    <r>
      <rPr>
        <sz val="9"/>
        <color rgb="FF000000"/>
        <rFont val="ＭＳ 明朝"/>
        <family val="0"/>
        <charset val="1"/>
      </rPr>
      <t xml:space="preserve">!$B$6</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</si>
  <si>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利率差</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</si>
  <si>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マスタ</t>
    </r>
    <r>
      <rPr>
        <sz val="9"/>
        <color rgb="FF000000"/>
        <rFont val="ＭＳ 明朝"/>
        <family val="0"/>
        <charset val="1"/>
      </rPr>
      <t xml:space="preserve">!$B$7</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</si>
  <si>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償還割合上限</t>
    </r>
  </si>
  <si>
    <r>
      <rPr>
        <sz val="9"/>
        <color rgb="FF000000"/>
        <rFont val="WenQuanYi Zen Hei"/>
        <family val="2"/>
      </rPr>
      <t xml:space="preserve">マスタ</t>
    </r>
    <r>
      <rPr>
        <sz val="9"/>
        <color rgb="FF000000"/>
        <rFont val="ＭＳ 明朝"/>
        <family val="0"/>
        <charset val="1"/>
      </rPr>
      <t xml:space="preserve">!$B$8</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</si>
  <si>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年収算定ボーナス月数</t>
    </r>
  </si>
  <si>
    <r>
      <rPr>
        <sz val="9"/>
        <color rgb="FF000000"/>
        <rFont val="WenQuanYi Zen Hei"/>
        <family val="2"/>
      </rPr>
      <t xml:space="preserve">マスタ</t>
    </r>
    <r>
      <rPr>
        <sz val="9"/>
        <color rgb="FF000000"/>
        <rFont val="ＭＳ 明朝"/>
        <family val="0"/>
        <charset val="1"/>
      </rPr>
      <t xml:space="preserve">!$B$9</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</si>
  <si>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申込下限万円</t>
    </r>
  </si>
  <si>
    <r>
      <rPr>
        <sz val="9"/>
        <color rgb="FF000000"/>
        <rFont val="WenQuanYi Zen Hei"/>
        <family val="2"/>
      </rPr>
      <t xml:space="preserve">マスタ</t>
    </r>
    <r>
      <rPr>
        <sz val="9"/>
        <color rgb="FF000000"/>
        <rFont val="ＭＳ 明朝"/>
        <family val="0"/>
        <charset val="1"/>
      </rPr>
      <t xml:space="preserve">!$B$10</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</si>
  <si>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在宅介護加算上限万円</t>
    </r>
  </si>
  <si>
    <r>
      <rPr>
        <sz val="9"/>
        <color rgb="FF000000"/>
        <rFont val="WenQuanYi Zen Hei"/>
        <family val="2"/>
      </rPr>
      <t xml:space="preserve">マスタ</t>
    </r>
    <r>
      <rPr>
        <sz val="9"/>
        <color rgb="FF000000"/>
        <rFont val="ＭＳ 明朝"/>
        <family val="0"/>
        <charset val="1"/>
      </rPr>
      <t xml:space="preserve">!$B$11</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</si>
  <si>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ボーナス併用申込下限万円</t>
    </r>
  </si>
  <si>
    <r>
      <rPr>
        <sz val="9"/>
        <color rgb="FF000000"/>
        <rFont val="WenQuanYi Zen Hei"/>
        <family val="2"/>
      </rPr>
      <t xml:space="preserve">マスタ</t>
    </r>
    <r>
      <rPr>
        <sz val="9"/>
        <color rgb="FF000000"/>
        <rFont val="ＭＳ 明朝"/>
        <family val="0"/>
        <charset val="1"/>
      </rPr>
      <t xml:space="preserve">!$B$12</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</si>
  <si>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ボーナス償還下限万円</t>
    </r>
  </si>
  <si>
    <r>
      <rPr>
        <sz val="9"/>
        <color rgb="FF000000"/>
        <rFont val="WenQuanYi Zen Hei"/>
        <family val="2"/>
      </rPr>
      <t xml:space="preserve">マスタ</t>
    </r>
    <r>
      <rPr>
        <sz val="9"/>
        <color rgb="FF000000"/>
        <rFont val="ＭＳ 明朝"/>
        <family val="0"/>
        <charset val="1"/>
      </rPr>
      <t xml:space="preserve">!$B$13</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</si>
  <si>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ボーナス償還上限割合</t>
    </r>
  </si>
  <si>
    <r>
      <rPr>
        <sz val="9"/>
        <color rgb="FF000000"/>
        <rFont val="WenQuanYi Zen Hei"/>
        <family val="2"/>
      </rPr>
      <t xml:space="preserve">マスタ</t>
    </r>
    <r>
      <rPr>
        <sz val="9"/>
        <color rgb="FF000000"/>
        <rFont val="ＭＳ 明朝"/>
        <family val="0"/>
        <charset val="1"/>
      </rPr>
      <t xml:space="preserve">!$B$14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</si>
  <si>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ボーナス単位万円</t>
    </r>
  </si>
  <si>
    <r>
      <rPr>
        <sz val="9"/>
        <color rgb="FF000000"/>
        <rFont val="WenQuanYi Zen Hei"/>
        <family val="2"/>
      </rPr>
      <t xml:space="preserve">マスタ</t>
    </r>
    <r>
      <rPr>
        <sz val="9"/>
        <color rgb="FF000000"/>
        <rFont val="ＭＳ 明朝"/>
        <family val="0"/>
        <charset val="1"/>
      </rPr>
      <t xml:space="preserve">!$B$15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</si>
  <si>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ボーナス回数上限</t>
    </r>
  </si>
  <si>
    <r>
      <rPr>
        <sz val="9"/>
        <color rgb="FF000000"/>
        <rFont val="WenQuanYi Zen Hei"/>
        <family val="2"/>
      </rPr>
      <t xml:space="preserve">マスタ</t>
    </r>
    <r>
      <rPr>
        <sz val="9"/>
        <color rgb="FF000000"/>
        <rFont val="ＭＳ 明朝"/>
        <family val="0"/>
        <charset val="1"/>
      </rPr>
      <t xml:space="preserve">!$B$16</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</si>
  <si>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住宅必要組合員月数</t>
    </r>
  </si>
  <si>
    <r>
      <rPr>
        <sz val="9"/>
        <color rgb="FF000000"/>
        <rFont val="WenQuanYi Zen Hei"/>
        <family val="2"/>
      </rPr>
      <t xml:space="preserve">マスタ</t>
    </r>
    <r>
      <rPr>
        <sz val="9"/>
        <color rgb="FF000000"/>
        <rFont val="ＭＳ 明朝"/>
        <family val="0"/>
        <charset val="1"/>
      </rPr>
      <t xml:space="preserve">!$B$17</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</si>
  <si>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修学月額万円</t>
    </r>
  </si>
  <si>
    <r>
      <rPr>
        <sz val="9"/>
        <color rgb="FF000000"/>
        <rFont val="WenQuanYi Zen Hei"/>
        <family val="2"/>
      </rPr>
      <t xml:space="preserve">マスタ</t>
    </r>
    <r>
      <rPr>
        <sz val="9"/>
        <color rgb="FF000000"/>
        <rFont val="ＭＳ 明朝"/>
        <family val="0"/>
        <charset val="1"/>
      </rPr>
      <t xml:space="preserve">!$B$18</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</si>
  <si>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名称</t>
    </r>
  </si>
  <si>
    <t xml:space="preserve">設定の表</t>
  </si>
  <si>
    <r>
      <rPr>
        <sz val="9"/>
        <color rgb="FF000000"/>
        <rFont val="WenQuanYi Zen Hei"/>
        <family val="2"/>
      </rPr>
      <t xml:space="preserve">マスタ</t>
    </r>
    <r>
      <rPr>
        <sz val="9"/>
        <color rgb="FF000000"/>
        <rFont val="ＭＳ 明朝"/>
        <family val="0"/>
        <charset val="1"/>
      </rPr>
      <t xml:space="preserve">!$A$22:$A$39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</si>
  <si>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区分群</t>
    </r>
  </si>
  <si>
    <r>
      <rPr>
        <sz val="9"/>
        <color rgb="FF000000"/>
        <rFont val="WenQuanYi Zen Hei"/>
        <family val="2"/>
      </rPr>
      <t xml:space="preserve">マスタ</t>
    </r>
    <r>
      <rPr>
        <sz val="9"/>
        <color rgb="FF000000"/>
        <rFont val="ＭＳ 明朝"/>
        <family val="0"/>
        <charset val="1"/>
      </rPr>
      <t xml:space="preserve">!$B$22:$B$39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</si>
  <si>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限度額方式</t>
    </r>
  </si>
  <si>
    <r>
      <rPr>
        <sz val="9"/>
        <color rgb="FF000000"/>
        <rFont val="WenQuanYi Zen Hei"/>
        <family val="2"/>
      </rPr>
      <t xml:space="preserve">マスタ</t>
    </r>
    <r>
      <rPr>
        <sz val="9"/>
        <color rgb="FF000000"/>
        <rFont val="ＭＳ 明朝"/>
        <family val="0"/>
        <charset val="1"/>
      </rPr>
      <t xml:space="preserve">!$C$22:$C$39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</si>
  <si>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給料月数</t>
    </r>
  </si>
  <si>
    <r>
      <rPr>
        <sz val="9"/>
        <color rgb="FF000000"/>
        <rFont val="WenQuanYi Zen Hei"/>
        <family val="2"/>
      </rPr>
      <t xml:space="preserve">マスタ</t>
    </r>
    <r>
      <rPr>
        <sz val="9"/>
        <color rgb="FF000000"/>
        <rFont val="ＭＳ 明朝"/>
        <family val="0"/>
        <charset val="1"/>
      </rPr>
      <t xml:space="preserve">!$D$22:$D$39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</si>
  <si>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上限万円</t>
    </r>
  </si>
  <si>
    <r>
      <rPr>
        <sz val="9"/>
        <color rgb="FF000000"/>
        <rFont val="WenQuanYi Zen Hei"/>
        <family val="2"/>
      </rPr>
      <t xml:space="preserve">マスタ</t>
    </r>
    <r>
      <rPr>
        <sz val="9"/>
        <color rgb="FF000000"/>
        <rFont val="ＭＳ 明朝"/>
        <family val="0"/>
        <charset val="1"/>
      </rPr>
      <t xml:space="preserve">!$E$22:$E$39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</si>
  <si>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単位万円</t>
    </r>
  </si>
  <si>
    <r>
      <rPr>
        <sz val="9"/>
        <color rgb="FF000000"/>
        <rFont val="WenQuanYi Zen Hei"/>
        <family val="2"/>
      </rPr>
      <t xml:space="preserve">マスタ</t>
    </r>
    <r>
      <rPr>
        <sz val="9"/>
        <color rgb="FF000000"/>
        <rFont val="ＭＳ 明朝"/>
        <family val="0"/>
        <charset val="1"/>
      </rPr>
      <t xml:space="preserve">!$F$22:$F$39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</si>
  <si>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回数上限</t>
    </r>
  </si>
  <si>
    <r>
      <rPr>
        <sz val="9"/>
        <color rgb="FF000000"/>
        <rFont val="WenQuanYi Zen Hei"/>
        <family val="2"/>
      </rPr>
      <t xml:space="preserve">マスタ</t>
    </r>
    <r>
      <rPr>
        <sz val="9"/>
        <color rgb="FF000000"/>
        <rFont val="ＭＳ 明朝"/>
        <family val="0"/>
        <charset val="1"/>
      </rPr>
      <t xml:space="preserve">!$G$22:$G$39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</si>
  <si>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利率種別</t>
    </r>
  </si>
  <si>
    <r>
      <rPr>
        <sz val="9"/>
        <color rgb="FF000000"/>
        <rFont val="WenQuanYi Zen Hei"/>
        <family val="2"/>
      </rPr>
      <t xml:space="preserve">マスタ</t>
    </r>
    <r>
      <rPr>
        <sz val="9"/>
        <color rgb="FF000000"/>
        <rFont val="ＭＳ 明朝"/>
        <family val="0"/>
        <charset val="1"/>
      </rPr>
      <t xml:space="preserve">!$H$22:$H$39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</si>
  <si>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締切日</t>
    </r>
  </si>
  <si>
    <r>
      <rPr>
        <sz val="9"/>
        <color rgb="FF000000"/>
        <rFont val="WenQuanYi Zen Hei"/>
        <family val="2"/>
      </rPr>
      <t xml:space="preserve">マスタ</t>
    </r>
    <r>
      <rPr>
        <sz val="9"/>
        <color rgb="FF000000"/>
        <rFont val="ＭＳ 明朝"/>
        <family val="0"/>
        <charset val="1"/>
      </rPr>
      <t xml:space="preserve">!$I$22:$I$39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</si>
  <si>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住宅書類列</t>
    </r>
  </si>
  <si>
    <r>
      <rPr>
        <sz val="9"/>
        <color rgb="FF000000"/>
        <rFont val="WenQuanYi Zen Hei"/>
        <family val="2"/>
      </rPr>
      <t xml:space="preserve">マスタ</t>
    </r>
    <r>
      <rPr>
        <sz val="9"/>
        <color rgb="FF000000"/>
        <rFont val="ＭＳ 明朝"/>
        <family val="0"/>
        <charset val="1"/>
      </rPr>
      <t xml:space="preserve">!$J$22:$J$39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</si>
  <si>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事由書類</t>
    </r>
  </si>
  <si>
    <r>
      <rPr>
        <sz val="9"/>
        <color rgb="FF000000"/>
        <rFont val="WenQuanYi Zen Hei"/>
        <family val="2"/>
      </rPr>
      <t xml:space="preserve">マスタ</t>
    </r>
    <r>
      <rPr>
        <sz val="9"/>
        <color rgb="FF000000"/>
        <rFont val="ＭＳ 明朝"/>
        <family val="0"/>
        <charset val="1"/>
      </rPr>
      <t xml:space="preserve">!$K$22:$K$39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</si>
  <si>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</si>
  <si>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マスタ</t>
    </r>
    <r>
      <rPr>
        <sz val="9"/>
        <color rgb="FF000000"/>
        <rFont val="ＭＳ 明朝"/>
        <family val="0"/>
        <charset val="1"/>
      </rPr>
      <t xml:space="preserve">!$L$22:$L$39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</si>
  <si>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基準日名</t>
    </r>
  </si>
  <si>
    <r>
      <rPr>
        <sz val="9"/>
        <color rgb="FF000000"/>
        <rFont val="WenQuanYi Zen Hei"/>
        <family val="2"/>
      </rPr>
      <t xml:space="preserve">マスタ</t>
    </r>
    <r>
      <rPr>
        <sz val="9"/>
        <color rgb="FF000000"/>
        <rFont val="ＭＳ 明朝"/>
        <family val="0"/>
        <charset val="1"/>
      </rPr>
      <t xml:space="preserve">!$M$22:$M$39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</si>
  <si>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前月数</t>
    </r>
  </si>
  <si>
    <r>
      <rPr>
        <sz val="9"/>
        <color rgb="FF000000"/>
        <rFont val="WenQuanYi Zen Hei"/>
        <family val="2"/>
      </rPr>
      <t xml:space="preserve">マスタ</t>
    </r>
    <r>
      <rPr>
        <sz val="9"/>
        <color rgb="FF000000"/>
        <rFont val="ＭＳ 明朝"/>
        <family val="0"/>
        <charset val="1"/>
      </rPr>
      <t xml:space="preserve">!$N$22:$N$39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</si>
  <si>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後月数</t>
    </r>
  </si>
  <si>
    <r>
      <rPr>
        <sz val="9"/>
        <color rgb="FF000000"/>
        <rFont val="WenQuanYi Zen Hei"/>
        <family val="2"/>
      </rPr>
      <t xml:space="preserve">マスタ</t>
    </r>
    <r>
      <rPr>
        <sz val="9"/>
        <color rgb="FF000000"/>
        <rFont val="ＭＳ 明朝"/>
        <family val="0"/>
        <charset val="1"/>
      </rPr>
      <t xml:space="preserve">!$O$22:$O$39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</si>
  <si>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交付後書類</t>
    </r>
  </si>
  <si>
    <r>
      <rPr>
        <sz val="9"/>
        <color rgb="FF000000"/>
        <rFont val="WenQuanYi Zen Hei"/>
        <family val="2"/>
      </rPr>
      <t xml:space="preserve">マスタ</t>
    </r>
    <r>
      <rPr>
        <sz val="9"/>
        <color rgb="FF000000"/>
        <rFont val="ＭＳ 明朝"/>
        <family val="0"/>
        <charset val="1"/>
      </rPr>
      <t xml:space="preserve">!$P$22:$P$39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</si>
  <si>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交付後期限月</t>
    </r>
  </si>
  <si>
    <r>
      <rPr>
        <sz val="9"/>
        <color rgb="FF000000"/>
        <rFont val="WenQuanYi Zen Hei"/>
        <family val="2"/>
      </rPr>
      <t xml:space="preserve">マスタ</t>
    </r>
    <r>
      <rPr>
        <sz val="9"/>
        <color rgb="FF000000"/>
        <rFont val="ＭＳ 明朝"/>
        <family val="0"/>
        <charset val="1"/>
      </rPr>
      <t xml:space="preserve">!$Q$22:$Q$39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</si>
  <si>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期限起算</t>
    </r>
  </si>
  <si>
    <r>
      <rPr>
        <sz val="9"/>
        <color rgb="FF000000"/>
        <rFont val="WenQuanYi Zen Hei"/>
        <family val="2"/>
      </rPr>
      <t xml:space="preserve">マスタ</t>
    </r>
    <r>
      <rPr>
        <sz val="9"/>
        <color rgb="FF000000"/>
        <rFont val="ＭＳ 明朝"/>
        <family val="0"/>
        <charset val="1"/>
      </rPr>
      <t xml:space="preserve">!$R$22:$R$39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</si>
  <si>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決定目安</t>
    </r>
  </si>
  <si>
    <r>
      <rPr>
        <sz val="9"/>
        <color rgb="FF000000"/>
        <rFont val="WenQuanYi Zen Hei"/>
        <family val="2"/>
      </rPr>
      <t xml:space="preserve">マスタ</t>
    </r>
    <r>
      <rPr>
        <sz val="9"/>
        <color rgb="FF000000"/>
        <rFont val="ＭＳ 明朝"/>
        <family val="0"/>
        <charset val="1"/>
      </rPr>
      <t xml:space="preserve">!$S$22:$S$39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</si>
  <si>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月数</t>
    </r>
    <r>
      <rPr>
        <sz val="9"/>
        <color rgb="FF000000"/>
        <rFont val="ＭＳ 明朝"/>
        <family val="0"/>
        <charset val="1"/>
      </rPr>
      <t xml:space="preserve">_</t>
    </r>
    <r>
      <rPr>
        <sz val="9"/>
        <color rgb="FF000000"/>
        <rFont val="WenQuanYi Zen Hei"/>
        <family val="2"/>
      </rPr>
      <t xml:space="preserve">下限</t>
    </r>
  </si>
  <si>
    <r>
      <rPr>
        <sz val="9"/>
        <color rgb="FF000000"/>
        <rFont val="WenQuanYi Zen Hei"/>
        <family val="2"/>
      </rPr>
      <t xml:space="preserve">マスタ</t>
    </r>
    <r>
      <rPr>
        <sz val="9"/>
        <color rgb="FF000000"/>
        <rFont val="ＭＳ 明朝"/>
        <family val="0"/>
        <charset val="1"/>
      </rPr>
      <t xml:space="preserve">!$A$43:$A$49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</si>
  <si>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月数</t>
    </r>
    <r>
      <rPr>
        <sz val="9"/>
        <color rgb="FF000000"/>
        <rFont val="ＭＳ 明朝"/>
        <family val="0"/>
        <charset val="1"/>
      </rPr>
      <t xml:space="preserve">_</t>
    </r>
    <r>
      <rPr>
        <sz val="9"/>
        <color rgb="FF000000"/>
        <rFont val="WenQuanYi Zen Hei"/>
        <family val="2"/>
      </rPr>
      <t xml:space="preserve">月数</t>
    </r>
  </si>
  <si>
    <r>
      <rPr>
        <sz val="9"/>
        <color rgb="FF000000"/>
        <rFont val="WenQuanYi Zen Hei"/>
        <family val="2"/>
      </rPr>
      <t xml:space="preserve">マスタ</t>
    </r>
    <r>
      <rPr>
        <sz val="9"/>
        <color rgb="FF000000"/>
        <rFont val="ＭＳ 明朝"/>
        <family val="0"/>
        <charset val="1"/>
      </rPr>
      <t xml:space="preserve">!$C$43:$C$49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</si>
  <si>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下限</t>
    </r>
  </si>
  <si>
    <r>
      <rPr>
        <sz val="9"/>
        <color rgb="FF000000"/>
        <rFont val="WenQuanYi Zen Hei"/>
        <family val="2"/>
      </rPr>
      <t xml:space="preserve">マスタ</t>
    </r>
    <r>
      <rPr>
        <sz val="9"/>
        <color rgb="FF000000"/>
        <rFont val="ＭＳ 明朝"/>
        <family val="0"/>
        <charset val="1"/>
      </rPr>
      <t xml:space="preserve">!$E$43:$E$47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</si>
  <si>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住宅万円</t>
    </r>
  </si>
  <si>
    <r>
      <rPr>
        <sz val="9"/>
        <color rgb="FF000000"/>
        <rFont val="WenQuanYi Zen Hei"/>
        <family val="2"/>
      </rPr>
      <t xml:space="preserve">マスタ</t>
    </r>
    <r>
      <rPr>
        <sz val="9"/>
        <color rgb="FF000000"/>
        <rFont val="ＭＳ 明朝"/>
        <family val="0"/>
        <charset val="1"/>
      </rPr>
      <t xml:space="preserve">!$G$43:$G$47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</si>
  <si>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災害万円</t>
    </r>
  </si>
  <si>
    <r>
      <rPr>
        <sz val="9"/>
        <color rgb="FF000000"/>
        <rFont val="WenQuanYi Zen Hei"/>
        <family val="2"/>
      </rPr>
      <t xml:space="preserve">マスタ</t>
    </r>
    <r>
      <rPr>
        <sz val="9"/>
        <color rgb="FF000000"/>
        <rFont val="ＭＳ 明朝"/>
        <family val="0"/>
        <charset val="1"/>
      </rPr>
      <t xml:space="preserve">!$H$43:$H$47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</si>
  <si>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住宅書類</t>
    </r>
    <r>
      <rPr>
        <sz val="9"/>
        <color rgb="FF000000"/>
        <rFont val="ＭＳ 明朝"/>
        <family val="0"/>
        <charset val="1"/>
      </rPr>
      <t xml:space="preserve">_</t>
    </r>
    <r>
      <rPr>
        <sz val="9"/>
        <color rgb="FF000000"/>
        <rFont val="WenQuanYi Zen Hei"/>
        <family val="2"/>
      </rPr>
      <t xml:space="preserve">見出し</t>
    </r>
  </si>
  <si>
    <r>
      <rPr>
        <sz val="9"/>
        <color rgb="FF000000"/>
        <rFont val="WenQuanYi Zen Hei"/>
        <family val="2"/>
      </rPr>
      <t xml:space="preserve">マスタ</t>
    </r>
    <r>
      <rPr>
        <sz val="9"/>
        <color rgb="FF000000"/>
        <rFont val="ＭＳ 明朝"/>
        <family val="0"/>
        <charset val="1"/>
      </rPr>
      <t xml:space="preserve">!$B$53:$H$53</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</si>
  <si>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所属区分</t>
    </r>
  </si>
  <si>
    <r>
      <rPr>
        <sz val="9"/>
        <color rgb="FF000000"/>
        <rFont val="WenQuanYi Zen Hei"/>
        <family val="2"/>
      </rPr>
      <t xml:space="preserve">マスタ</t>
    </r>
    <r>
      <rPr>
        <sz val="9"/>
        <color rgb="FF000000"/>
        <rFont val="ＭＳ 明朝"/>
        <family val="0"/>
        <charset val="1"/>
      </rPr>
      <t xml:space="preserve">!$A$85:$A$87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</si>
  <si>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提出先</t>
    </r>
  </si>
  <si>
    <r>
      <rPr>
        <sz val="9"/>
        <color rgb="FF000000"/>
        <rFont val="WenQuanYi Zen Hei"/>
        <family val="2"/>
      </rPr>
      <t xml:space="preserve">マスタ</t>
    </r>
    <r>
      <rPr>
        <sz val="9"/>
        <color rgb="FF000000"/>
        <rFont val="ＭＳ 明朝"/>
        <family val="0"/>
        <charset val="1"/>
      </rPr>
      <t xml:space="preserve">!$B$85:$B$87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</si>
  <si>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祝日</t>
    </r>
  </si>
  <si>
    <r>
      <rPr>
        <sz val="9"/>
        <color rgb="FF000000"/>
        <rFont val="WenQuanYi Zen Hei"/>
        <family val="2"/>
      </rPr>
      <t xml:space="preserve">マスタ</t>
    </r>
    <r>
      <rPr>
        <sz val="9"/>
        <color rgb="FF000000"/>
        <rFont val="ＭＳ 明朝"/>
        <family val="0"/>
        <charset val="1"/>
      </rPr>
      <t xml:space="preserve">!$A$92:$A$152</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</si>
  <si>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万円</t>
    </r>
  </si>
  <si>
    <t xml:space="preserve">定数</t>
  </si>
  <si>
    <r>
      <rPr>
        <sz val="9"/>
        <color rgb="FF000000"/>
        <rFont val="WenQuanYi Zen Hei"/>
        <family val="2"/>
      </rPr>
      <t xml:space="preserve">計算過程</t>
    </r>
    <r>
      <rPr>
        <sz val="9"/>
        <color rgb="FF000000"/>
        <rFont val="ＭＳ 明朝"/>
        <family val="0"/>
        <charset val="1"/>
      </rPr>
      <t xml:space="preserve">!$B$5</t>
    </r>
  </si>
  <si>
    <r>
      <rPr>
        <sz val="9"/>
        <color rgb="FF000000"/>
        <rFont val="WenQuanYi Zen Hei"/>
        <family val="2"/>
      </rPr>
      <t xml:space="preserve">定数</t>
    </r>
    <r>
      <rPr>
        <sz val="9"/>
        <color rgb="FF000000"/>
        <rFont val="ＭＳ 明朝"/>
        <family val="0"/>
        <charset val="1"/>
      </rPr>
      <t xml:space="preserve">:1</t>
    </r>
    <r>
      <rPr>
        <sz val="9"/>
        <color rgb="FF000000"/>
        <rFont val="WenQuanYi Zen Hei"/>
        <family val="2"/>
      </rPr>
      <t xml:space="preserve">万円</t>
    </r>
    <r>
      <rPr>
        <sz val="9"/>
        <color rgb="FF000000"/>
        <rFont val="ＭＳ 明朝"/>
        <family val="0"/>
        <charset val="1"/>
      </rPr>
      <t xml:space="preserve">=10000</t>
    </r>
    <r>
      <rPr>
        <sz val="9"/>
        <color rgb="FF000000"/>
        <rFont val="WenQuanYi Zen Hei"/>
        <family val="2"/>
      </rPr>
      <t xml:space="preserve">円</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</si>
  <si>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年月数</t>
    </r>
  </si>
  <si>
    <r>
      <rPr>
        <sz val="9"/>
        <color rgb="FF000000"/>
        <rFont val="WenQuanYi Zen Hei"/>
        <family val="2"/>
      </rPr>
      <t xml:space="preserve">計算過程</t>
    </r>
    <r>
      <rPr>
        <sz val="9"/>
        <color rgb="FF000000"/>
        <rFont val="ＭＳ 明朝"/>
        <family val="0"/>
        <charset val="1"/>
      </rPr>
      <t xml:space="preserve">!$B$6</t>
    </r>
  </si>
  <si>
    <r>
      <rPr>
        <sz val="9"/>
        <color rgb="FF000000"/>
        <rFont val="WenQuanYi Zen Hei"/>
        <family val="2"/>
      </rPr>
      <t xml:space="preserve">定数</t>
    </r>
    <r>
      <rPr>
        <sz val="9"/>
        <color rgb="FF000000"/>
        <rFont val="ＭＳ 明朝"/>
        <family val="0"/>
        <charset val="1"/>
      </rPr>
      <t xml:space="preserve">:1</t>
    </r>
    <r>
      <rPr>
        <sz val="9"/>
        <color rgb="FF000000"/>
        <rFont val="WenQuanYi Zen Hei"/>
        <family val="2"/>
      </rPr>
      <t xml:space="preserve">年の月数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</si>
  <si>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半年月数</t>
    </r>
  </si>
  <si>
    <r>
      <rPr>
        <sz val="9"/>
        <color rgb="FF000000"/>
        <rFont val="WenQuanYi Zen Hei"/>
        <family val="2"/>
      </rPr>
      <t xml:space="preserve">計算過程</t>
    </r>
    <r>
      <rPr>
        <sz val="9"/>
        <color rgb="FF000000"/>
        <rFont val="ＭＳ 明朝"/>
        <family val="0"/>
        <charset val="1"/>
      </rPr>
      <t xml:space="preserve">!$B$7</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</si>
  <si>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半年の月数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</si>
  <si>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年賞与回数</t>
    </r>
  </si>
  <si>
    <r>
      <rPr>
        <sz val="9"/>
        <color rgb="FF000000"/>
        <rFont val="WenQuanYi Zen Hei"/>
        <family val="2"/>
      </rPr>
      <t xml:space="preserve">計算過程</t>
    </r>
    <r>
      <rPr>
        <sz val="9"/>
        <color rgb="FF000000"/>
        <rFont val="ＭＳ 明朝"/>
        <family val="0"/>
        <charset val="1"/>
      </rPr>
      <t xml:space="preserve">!$B$8</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</si>
  <si>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年間のボーナス回数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</si>
  <si>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誤差</t>
    </r>
  </si>
  <si>
    <r>
      <rPr>
        <sz val="9"/>
        <color rgb="FF000000"/>
        <rFont val="WenQuanYi Zen Hei"/>
        <family val="2"/>
      </rPr>
      <t xml:space="preserve">計算過程</t>
    </r>
    <r>
      <rPr>
        <sz val="9"/>
        <color rgb="FF000000"/>
        <rFont val="ＭＳ 明朝"/>
        <family val="0"/>
        <charset val="1"/>
      </rPr>
      <t xml:space="preserve">!$B$9</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</si>
  <si>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比較の許容誤差</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</si>
  <si>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区分行</t>
    </r>
  </si>
  <si>
    <t xml:space="preserve">計算</t>
  </si>
  <si>
    <r>
      <rPr>
        <sz val="9"/>
        <color rgb="FF000000"/>
        <rFont val="WenQuanYi Zen Hei"/>
        <family val="2"/>
      </rPr>
      <t xml:space="preserve">計算過程</t>
    </r>
    <r>
      <rPr>
        <sz val="9"/>
        <color rgb="FF000000"/>
        <rFont val="ＭＳ 明朝"/>
        <family val="0"/>
        <charset val="1"/>
      </rPr>
      <t xml:space="preserve">!$B$11</t>
    </r>
  </si>
  <si>
    <t xml:space="preserve">貸付区分表の行番号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</si>
  <si>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区分群</t>
    </r>
  </si>
  <si>
    <r>
      <rPr>
        <sz val="9"/>
        <color rgb="FF000000"/>
        <rFont val="WenQuanYi Zen Hei"/>
        <family val="2"/>
      </rPr>
      <t xml:space="preserve">計算過程</t>
    </r>
    <r>
      <rPr>
        <sz val="9"/>
        <color rgb="FF000000"/>
        <rFont val="ＭＳ 明朝"/>
        <family val="0"/>
        <charset val="1"/>
      </rPr>
      <t xml:space="preserve">!$B$12</t>
    </r>
  </si>
  <si>
    <t xml:space="preserve">区分群</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</si>
  <si>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限度額方式</t>
    </r>
  </si>
  <si>
    <r>
      <rPr>
        <sz val="9"/>
        <color rgb="FF000000"/>
        <rFont val="WenQuanYi Zen Hei"/>
        <family val="2"/>
      </rPr>
      <t xml:space="preserve">計算過程</t>
    </r>
    <r>
      <rPr>
        <sz val="9"/>
        <color rgb="FF000000"/>
        <rFont val="ＭＳ 明朝"/>
        <family val="0"/>
        <charset val="1"/>
      </rPr>
      <t xml:space="preserve">!$B$13</t>
    </r>
  </si>
  <si>
    <t xml:space="preserve">限度額の計算方式</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</si>
  <si>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給料月数</t>
    </r>
  </si>
  <si>
    <r>
      <rPr>
        <sz val="9"/>
        <color rgb="FF000000"/>
        <rFont val="WenQuanYi Zen Hei"/>
        <family val="2"/>
      </rPr>
      <t xml:space="preserve">計算過程</t>
    </r>
    <r>
      <rPr>
        <sz val="9"/>
        <color rgb="FF000000"/>
        <rFont val="ＭＳ 明朝"/>
        <family val="0"/>
        <charset val="1"/>
      </rPr>
      <t xml:space="preserve">!$B$14</t>
    </r>
  </si>
  <si>
    <r>
      <rPr>
        <sz val="9"/>
        <color rgb="FF000000"/>
        <rFont val="WenQuanYi Zen Hei"/>
        <family val="2"/>
      </rPr>
      <t xml:space="preserve">給料月数</t>
    </r>
    <r>
      <rPr>
        <sz val="9"/>
        <color rgb="FF000000"/>
        <rFont val="ＭＳ 明朝"/>
        <family val="0"/>
        <charset val="1"/>
      </rPr>
      <t xml:space="preserve">(</t>
    </r>
    <r>
      <rPr>
        <sz val="9"/>
        <color rgb="FF000000"/>
        <rFont val="WenQuanYi Zen Hei"/>
        <family val="2"/>
      </rPr>
      <t xml:space="preserve">月数方式</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</si>
  <si>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上限万円</t>
    </r>
  </si>
  <si>
    <r>
      <rPr>
        <sz val="9"/>
        <color rgb="FF000000"/>
        <rFont val="WenQuanYi Zen Hei"/>
        <family val="2"/>
      </rPr>
      <t xml:space="preserve">計算過程</t>
    </r>
    <r>
      <rPr>
        <sz val="9"/>
        <color rgb="FF000000"/>
        <rFont val="ＭＳ 明朝"/>
        <family val="0"/>
        <charset val="1"/>
      </rPr>
      <t xml:space="preserve">!$B$15</t>
    </r>
  </si>
  <si>
    <r>
      <rPr>
        <sz val="9"/>
        <color rgb="FF000000"/>
        <rFont val="WenQuanYi Zen Hei"/>
        <family val="2"/>
      </rPr>
      <t xml:space="preserve">上限額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</si>
  <si>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単位万円</t>
    </r>
  </si>
  <si>
    <r>
      <rPr>
        <sz val="9"/>
        <color rgb="FF000000"/>
        <rFont val="WenQuanYi Zen Hei"/>
        <family val="2"/>
      </rPr>
      <t xml:space="preserve">計算過程</t>
    </r>
    <r>
      <rPr>
        <sz val="9"/>
        <color rgb="FF000000"/>
        <rFont val="ＭＳ 明朝"/>
        <family val="0"/>
        <charset val="1"/>
      </rPr>
      <t xml:space="preserve">!$B$16</t>
    </r>
  </si>
  <si>
    <r>
      <rPr>
        <sz val="9"/>
        <color rgb="FF000000"/>
        <rFont val="WenQuanYi Zen Hei"/>
        <family val="2"/>
      </rPr>
      <t xml:space="preserve">申込単位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</si>
  <si>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回数上限</t>
    </r>
  </si>
  <si>
    <r>
      <rPr>
        <sz val="9"/>
        <color rgb="FF000000"/>
        <rFont val="WenQuanYi Zen Hei"/>
        <family val="2"/>
      </rPr>
      <t xml:space="preserve">計算過程</t>
    </r>
    <r>
      <rPr>
        <sz val="9"/>
        <color rgb="FF000000"/>
        <rFont val="ＭＳ 明朝"/>
        <family val="0"/>
        <charset val="1"/>
      </rPr>
      <t xml:space="preserve">!$B$17</t>
    </r>
  </si>
  <si>
    <t xml:space="preserve">償還回数の上限</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</si>
  <si>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利率種別</t>
    </r>
  </si>
  <si>
    <r>
      <rPr>
        <sz val="9"/>
        <color rgb="FF000000"/>
        <rFont val="WenQuanYi Zen Hei"/>
        <family val="2"/>
      </rPr>
      <t xml:space="preserve">計算過程</t>
    </r>
    <r>
      <rPr>
        <sz val="9"/>
        <color rgb="FF000000"/>
        <rFont val="ＭＳ 明朝"/>
        <family val="0"/>
        <charset val="1"/>
      </rPr>
      <t xml:space="preserve">!$B$18</t>
    </r>
  </si>
  <si>
    <t xml:space="preserve">利率種別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</si>
  <si>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締切日の日</t>
    </r>
  </si>
  <si>
    <r>
      <rPr>
        <sz val="9"/>
        <color rgb="FF000000"/>
        <rFont val="WenQuanYi Zen Hei"/>
        <family val="2"/>
      </rPr>
      <t xml:space="preserve">計算過程</t>
    </r>
    <r>
      <rPr>
        <sz val="9"/>
        <color rgb="FF000000"/>
        <rFont val="ＭＳ 明朝"/>
        <family val="0"/>
        <charset val="1"/>
      </rPr>
      <t xml:space="preserve">!$B$19</t>
    </r>
  </si>
  <si>
    <r>
      <rPr>
        <sz val="9"/>
        <color rgb="FF000000"/>
        <rFont val="WenQuanYi Zen Hei"/>
        <family val="2"/>
      </rPr>
      <t xml:space="preserve">申込締切日</t>
    </r>
    <r>
      <rPr>
        <sz val="9"/>
        <color rgb="FF000000"/>
        <rFont val="ＭＳ 明朝"/>
        <family val="0"/>
        <charset val="1"/>
      </rPr>
      <t xml:space="preserve">(</t>
    </r>
    <r>
      <rPr>
        <sz val="9"/>
        <color rgb="FF000000"/>
        <rFont val="WenQuanYi Zen Hei"/>
        <family val="2"/>
      </rPr>
      <t xml:space="preserve">日</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</si>
  <si>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住宅書類列</t>
    </r>
  </si>
  <si>
    <r>
      <rPr>
        <sz val="9"/>
        <color rgb="FF000000"/>
        <rFont val="WenQuanYi Zen Hei"/>
        <family val="2"/>
      </rPr>
      <t xml:space="preserve">計算過程</t>
    </r>
    <r>
      <rPr>
        <sz val="9"/>
        <color rgb="FF000000"/>
        <rFont val="ＭＳ 明朝"/>
        <family val="0"/>
        <charset val="1"/>
      </rPr>
      <t xml:space="preserve">!$B$20</t>
    </r>
  </si>
  <si>
    <r>
      <rPr>
        <sz val="9"/>
        <color rgb="FF000000"/>
        <rFont val="WenQuanYi Zen Hei"/>
        <family val="2"/>
      </rPr>
      <t xml:space="preserve">住宅書類の列</t>
    </r>
    <r>
      <rPr>
        <sz val="9"/>
        <color rgb="FF000000"/>
        <rFont val="ＭＳ 明朝"/>
        <family val="0"/>
        <charset val="1"/>
      </rPr>
      <t xml:space="preserve">No(</t>
    </r>
    <r>
      <rPr>
        <sz val="9"/>
        <color rgb="FF000000"/>
        <rFont val="WenQuanYi Zen Hei"/>
        <family val="2"/>
      </rPr>
      <t xml:space="preserve">住宅貸付</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</si>
  <si>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事由書類</t>
    </r>
  </si>
  <si>
    <r>
      <rPr>
        <sz val="9"/>
        <color rgb="FF000000"/>
        <rFont val="WenQuanYi Zen Hei"/>
        <family val="2"/>
      </rPr>
      <t xml:space="preserve">計算過程</t>
    </r>
    <r>
      <rPr>
        <sz val="9"/>
        <color rgb="FF000000"/>
        <rFont val="ＭＳ 明朝"/>
        <family val="0"/>
        <charset val="1"/>
      </rPr>
      <t xml:space="preserve">!$B$21</t>
    </r>
  </si>
  <si>
    <t xml:space="preserve">事由別の添付書類</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</si>
  <si>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</si>
  <si>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計算過程</t>
    </r>
    <r>
      <rPr>
        <sz val="9"/>
        <color rgb="FF000000"/>
        <rFont val="ＭＳ 明朝"/>
        <family val="0"/>
        <charset val="1"/>
      </rPr>
      <t xml:space="preserve">!$B$22</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</si>
  <si>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基準日名</t>
    </r>
  </si>
  <si>
    <r>
      <rPr>
        <sz val="9"/>
        <color rgb="FF000000"/>
        <rFont val="WenQuanYi Zen Hei"/>
        <family val="2"/>
      </rPr>
      <t xml:space="preserve">計算過程</t>
    </r>
    <r>
      <rPr>
        <sz val="9"/>
        <color rgb="FF000000"/>
        <rFont val="ＭＳ 明朝"/>
        <family val="0"/>
        <charset val="1"/>
      </rPr>
      <t xml:space="preserve">!$B$23</t>
    </r>
  </si>
  <si>
    <t xml:space="preserve">基準日の名称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</si>
  <si>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前月数</t>
    </r>
  </si>
  <si>
    <r>
      <rPr>
        <sz val="9"/>
        <color rgb="FF000000"/>
        <rFont val="WenQuanYi Zen Hei"/>
        <family val="2"/>
      </rPr>
      <t xml:space="preserve">計算過程</t>
    </r>
    <r>
      <rPr>
        <sz val="9"/>
        <color rgb="FF000000"/>
        <rFont val="ＭＳ 明朝"/>
        <family val="0"/>
        <charset val="1"/>
      </rPr>
      <t xml:space="preserve">!$B$24</t>
    </r>
  </si>
  <si>
    <r>
      <rPr>
        <sz val="9"/>
        <color rgb="FF000000"/>
        <rFont val="WenQuanYi Zen Hei"/>
        <family val="2"/>
      </rPr>
      <t xml:space="preserve">申込可能期間</t>
    </r>
    <r>
      <rPr>
        <sz val="9"/>
        <color rgb="FF000000"/>
        <rFont val="ＭＳ 明朝"/>
        <family val="0"/>
        <charset val="1"/>
      </rPr>
      <t xml:space="preserve">:</t>
    </r>
    <r>
      <rPr>
        <sz val="9"/>
        <color rgb="FF000000"/>
        <rFont val="WenQuanYi Zen Hei"/>
        <family val="2"/>
      </rPr>
      <t xml:space="preserve">基準日の何か月前</t>
    </r>
    <r>
      <rPr>
        <sz val="9"/>
        <color rgb="FF000000"/>
        <rFont val="ＭＳ 明朝"/>
        <family val="0"/>
        <charset val="1"/>
      </rPr>
      <t xml:space="preserve">(</t>
    </r>
    <r>
      <rPr>
        <sz val="9"/>
        <color rgb="FF000000"/>
        <rFont val="WenQuanYi Zen Hei"/>
        <family val="2"/>
      </rPr>
      <t xml:space="preserve">空白</t>
    </r>
    <r>
      <rPr>
        <sz val="9"/>
        <color rgb="FF000000"/>
        <rFont val="ＭＳ 明朝"/>
        <family val="0"/>
        <charset val="1"/>
      </rPr>
      <t xml:space="preserve">=</t>
    </r>
    <r>
      <rPr>
        <sz val="9"/>
        <color rgb="FF000000"/>
        <rFont val="WenQuanYi Zen Hei"/>
        <family val="2"/>
      </rPr>
      <t xml:space="preserve">制限なし</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</si>
  <si>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後月数</t>
    </r>
  </si>
  <si>
    <r>
      <rPr>
        <sz val="9"/>
        <color rgb="FF000000"/>
        <rFont val="WenQuanYi Zen Hei"/>
        <family val="2"/>
      </rPr>
      <t xml:space="preserve">計算過程</t>
    </r>
    <r>
      <rPr>
        <sz val="9"/>
        <color rgb="FF000000"/>
        <rFont val="ＭＳ 明朝"/>
        <family val="0"/>
        <charset val="1"/>
      </rPr>
      <t xml:space="preserve">!$B$25</t>
    </r>
  </si>
  <si>
    <r>
      <rPr>
        <sz val="9"/>
        <color rgb="FF000000"/>
        <rFont val="WenQuanYi Zen Hei"/>
        <family val="2"/>
      </rPr>
      <t xml:space="preserve">申込可能期間</t>
    </r>
    <r>
      <rPr>
        <sz val="9"/>
        <color rgb="FF000000"/>
        <rFont val="ＭＳ 明朝"/>
        <family val="0"/>
        <charset val="1"/>
      </rPr>
      <t xml:space="preserve">:</t>
    </r>
    <r>
      <rPr>
        <sz val="9"/>
        <color rgb="FF000000"/>
        <rFont val="WenQuanYi Zen Hei"/>
        <family val="2"/>
      </rPr>
      <t xml:space="preserve">基準日の何か月後</t>
    </r>
    <r>
      <rPr>
        <sz val="9"/>
        <color rgb="FF000000"/>
        <rFont val="ＭＳ 明朝"/>
        <family val="0"/>
        <charset val="1"/>
      </rPr>
      <t xml:space="preserve">(</t>
    </r>
    <r>
      <rPr>
        <sz val="9"/>
        <color rgb="FF000000"/>
        <rFont val="WenQuanYi Zen Hei"/>
        <family val="2"/>
      </rPr>
      <t xml:space="preserve">空白</t>
    </r>
    <r>
      <rPr>
        <sz val="9"/>
        <color rgb="FF000000"/>
        <rFont val="ＭＳ 明朝"/>
        <family val="0"/>
        <charset val="1"/>
      </rPr>
      <t xml:space="preserve">=</t>
    </r>
    <r>
      <rPr>
        <sz val="9"/>
        <color rgb="FF000000"/>
        <rFont val="WenQuanYi Zen Hei"/>
        <family val="2"/>
      </rPr>
      <t xml:space="preserve">制限なし</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</si>
  <si>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交付後書類</t>
    </r>
  </si>
  <si>
    <r>
      <rPr>
        <sz val="9"/>
        <color rgb="FF000000"/>
        <rFont val="WenQuanYi Zen Hei"/>
        <family val="2"/>
      </rPr>
      <t xml:space="preserve">計算過程</t>
    </r>
    <r>
      <rPr>
        <sz val="9"/>
        <color rgb="FF000000"/>
        <rFont val="ＭＳ 明朝"/>
        <family val="0"/>
        <charset val="1"/>
      </rPr>
      <t xml:space="preserve">!$B$26</t>
    </r>
  </si>
  <si>
    <r>
      <rPr>
        <sz val="9"/>
        <color rgb="FF000000"/>
        <rFont val="WenQuanYi Zen Hei"/>
        <family val="2"/>
      </rPr>
      <t xml:space="preserve">交付後の提出書類</t>
    </r>
    <r>
      <rPr>
        <sz val="9"/>
        <color rgb="FF000000"/>
        <rFont val="ＭＳ 明朝"/>
        <family val="0"/>
        <charset val="1"/>
      </rPr>
      <t xml:space="preserve">(</t>
    </r>
    <r>
      <rPr>
        <sz val="9"/>
        <color rgb="FF000000"/>
        <rFont val="WenQuanYi Zen Hei"/>
        <family val="2"/>
      </rPr>
      <t xml:space="preserve">住宅以外</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</si>
  <si>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交付後期限月</t>
    </r>
  </si>
  <si>
    <r>
      <rPr>
        <sz val="9"/>
        <color rgb="FF000000"/>
        <rFont val="WenQuanYi Zen Hei"/>
        <family val="2"/>
      </rPr>
      <t xml:space="preserve">計算過程</t>
    </r>
    <r>
      <rPr>
        <sz val="9"/>
        <color rgb="FF000000"/>
        <rFont val="ＭＳ 明朝"/>
        <family val="0"/>
        <charset val="1"/>
      </rPr>
      <t xml:space="preserve">!$B$27</t>
    </r>
  </si>
  <si>
    <r>
      <rPr>
        <sz val="9"/>
        <color rgb="FF000000"/>
        <rFont val="WenQuanYi Zen Hei"/>
        <family val="2"/>
      </rPr>
      <t xml:space="preserve">交付後の提出期限</t>
    </r>
    <r>
      <rPr>
        <sz val="9"/>
        <color rgb="FF000000"/>
        <rFont val="ＭＳ 明朝"/>
        <family val="0"/>
        <charset val="1"/>
      </rPr>
      <t xml:space="preserve">(</t>
    </r>
    <r>
      <rPr>
        <sz val="9"/>
        <color rgb="FF000000"/>
        <rFont val="WenQuanYi Zen Hei"/>
        <family val="2"/>
      </rPr>
      <t xml:space="preserve">月</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</si>
  <si>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期限起算</t>
    </r>
  </si>
  <si>
    <r>
      <rPr>
        <sz val="9"/>
        <color rgb="FF000000"/>
        <rFont val="WenQuanYi Zen Hei"/>
        <family val="2"/>
      </rPr>
      <t xml:space="preserve">計算過程</t>
    </r>
    <r>
      <rPr>
        <sz val="9"/>
        <color rgb="FF000000"/>
        <rFont val="ＭＳ 明朝"/>
        <family val="0"/>
        <charset val="1"/>
      </rPr>
      <t xml:space="preserve">!$B$28</t>
    </r>
  </si>
  <si>
    <t xml:space="preserve">期限の起算</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</si>
  <si>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決定目安</t>
    </r>
  </si>
  <si>
    <r>
      <rPr>
        <sz val="9"/>
        <color rgb="FF000000"/>
        <rFont val="WenQuanYi Zen Hei"/>
        <family val="2"/>
      </rPr>
      <t xml:space="preserve">計算過程</t>
    </r>
    <r>
      <rPr>
        <sz val="9"/>
        <color rgb="FF000000"/>
        <rFont val="ＭＳ 明朝"/>
        <family val="0"/>
        <charset val="1"/>
      </rPr>
      <t xml:space="preserve">!$B$29</t>
    </r>
  </si>
  <si>
    <r>
      <rPr>
        <sz val="9"/>
        <color rgb="FF000000"/>
        <rFont val="WenQuanYi Zen Hei"/>
        <family val="2"/>
      </rPr>
      <t xml:space="preserve">貸付決定</t>
    </r>
    <r>
      <rPr>
        <sz val="9"/>
        <color rgb="FF000000"/>
        <rFont val="ＭＳ 明朝"/>
        <family val="0"/>
        <charset val="1"/>
      </rPr>
      <t xml:space="preserve">(</t>
    </r>
    <r>
      <rPr>
        <sz val="9"/>
        <color rgb="FF000000"/>
        <rFont val="WenQuanYi Zen Hei"/>
        <family val="2"/>
      </rPr>
      <t xml:space="preserve">目安</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</si>
  <si>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住宅系</t>
    </r>
  </si>
  <si>
    <r>
      <rPr>
        <sz val="9"/>
        <color rgb="FF000000"/>
        <rFont val="WenQuanYi Zen Hei"/>
        <family val="2"/>
      </rPr>
      <t xml:space="preserve">計算過程</t>
    </r>
    <r>
      <rPr>
        <sz val="9"/>
        <color rgb="FF000000"/>
        <rFont val="ＭＳ 明朝"/>
        <family val="0"/>
        <charset val="1"/>
      </rPr>
      <t xml:space="preserve">!$B$31</t>
    </r>
  </si>
  <si>
    <r>
      <rPr>
        <sz val="9"/>
        <color rgb="FF000000"/>
        <rFont val="WenQuanYi Zen Hei"/>
        <family val="2"/>
      </rPr>
      <t xml:space="preserve">住宅系</t>
    </r>
    <r>
      <rPr>
        <sz val="9"/>
        <color rgb="FF000000"/>
        <rFont val="ＭＳ 明朝"/>
        <family val="0"/>
        <charset val="1"/>
      </rPr>
      <t xml:space="preserve">(</t>
    </r>
    <r>
      <rPr>
        <sz val="9"/>
        <color rgb="FF000000"/>
        <rFont val="WenQuanYi Zen Hei"/>
        <family val="2"/>
      </rPr>
      <t xml:space="preserve">住宅・災害住宅・災害再貸付</t>
    </r>
    <r>
      <rPr>
        <sz val="9"/>
        <color rgb="FF000000"/>
        <rFont val="ＭＳ 明朝"/>
        <family val="0"/>
        <charset val="1"/>
      </rPr>
      <t xml:space="preserve">)=1</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</si>
  <si>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t>
    </r>
  </si>
  <si>
    <r>
      <rPr>
        <sz val="9"/>
        <color rgb="FF000000"/>
        <rFont val="WenQuanYi Zen Hei"/>
        <family val="2"/>
      </rPr>
      <t xml:space="preserve">計算過程</t>
    </r>
    <r>
      <rPr>
        <sz val="9"/>
        <color rgb="FF000000"/>
        <rFont val="ＭＳ 明朝"/>
        <family val="0"/>
        <charset val="1"/>
      </rPr>
      <t xml:space="preserve">!$B$32</t>
    </r>
  </si>
  <si>
    <r>
      <rPr>
        <sz val="9"/>
        <color rgb="FF000000"/>
        <rFont val="WenQuanYi Zen Hei"/>
        <family val="2"/>
      </rPr>
      <t xml:space="preserve">適用利率</t>
    </r>
    <r>
      <rPr>
        <sz val="9"/>
        <color rgb="FF000000"/>
        <rFont val="ＭＳ 明朝"/>
        <family val="0"/>
        <charset val="1"/>
      </rPr>
      <t xml:space="preserve">(</t>
    </r>
    <r>
      <rPr>
        <sz val="9"/>
        <color rgb="FF000000"/>
        <rFont val="WenQuanYi Zen Hei"/>
        <family val="2"/>
      </rPr>
      <t xml:space="preserve">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</si>
  <si>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</si>
  <si>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!$B$33</t>
    </r>
  </si>
  <si>
    <r>
      <rPr>
        <sz val="9"/>
        <color rgb="FF000000"/>
        <rFont val="WenQuanYi Zen Hei"/>
        <family val="2"/>
      </rPr>
      <t xml:space="preserve">在宅介護対応</t>
    </r>
    <r>
      <rPr>
        <sz val="9"/>
        <color rgb="FF000000"/>
        <rFont val="ＭＳ 明朝"/>
        <family val="0"/>
        <charset val="1"/>
      </rPr>
      <t xml:space="preserve">(</t>
    </r>
    <r>
      <rPr>
        <sz val="9"/>
        <color rgb="FF000000"/>
        <rFont val="WenQuanYi Zen Hei"/>
        <family val="2"/>
      </rPr>
      <t xml:space="preserve">加算部分</t>
    </r>
    <r>
      <rPr>
        <sz val="9"/>
        <color rgb="FF000000"/>
        <rFont val="ＭＳ 明朝"/>
        <family val="0"/>
        <charset val="1"/>
      </rPr>
      <t xml:space="preserve">)</t>
    </r>
    <r>
      <rPr>
        <sz val="9"/>
        <color rgb="FF000000"/>
        <rFont val="WenQuanYi Zen Hei"/>
        <family val="2"/>
      </rPr>
      <t xml:space="preserve">の利率</t>
    </r>
    <r>
      <rPr>
        <sz val="9"/>
        <color rgb="FF000000"/>
        <rFont val="ＭＳ 明朝"/>
        <family val="0"/>
        <charset val="1"/>
      </rPr>
      <t xml:space="preserve">(</t>
    </r>
    <r>
      <rPr>
        <sz val="9"/>
        <color rgb="FF000000"/>
        <rFont val="WenQuanYi Zen Hei"/>
        <family val="2"/>
      </rPr>
      <t xml:space="preserve">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</si>
  <si>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組合員月数</t>
    </r>
  </si>
  <si>
    <r>
      <rPr>
        <sz val="9"/>
        <color rgb="FF000000"/>
        <rFont val="WenQuanYi Zen Hei"/>
        <family val="2"/>
      </rPr>
      <t xml:space="preserve">計算過程</t>
    </r>
    <r>
      <rPr>
        <sz val="9"/>
        <color rgb="FF000000"/>
        <rFont val="ＭＳ 明朝"/>
        <family val="0"/>
        <charset val="1"/>
      </rPr>
      <t xml:space="preserve">!$B$34</t>
    </r>
  </si>
  <si>
    <r>
      <rPr>
        <sz val="9"/>
        <color rgb="FF000000"/>
        <rFont val="WenQuanYi Zen Hei"/>
        <family val="2"/>
      </rPr>
      <t xml:space="preserve">組合員期間</t>
    </r>
    <r>
      <rPr>
        <sz val="9"/>
        <color rgb="FF000000"/>
        <rFont val="ＭＳ 明朝"/>
        <family val="0"/>
        <charset val="1"/>
      </rPr>
      <t xml:space="preserve">(</t>
    </r>
    <r>
      <rPr>
        <sz val="9"/>
        <color rgb="FF000000"/>
        <rFont val="WenQuanYi Zen Hei"/>
        <family val="2"/>
      </rPr>
      <t xml:space="preserve">月数</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</si>
  <si>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組合員期間表示</t>
    </r>
  </si>
  <si>
    <r>
      <rPr>
        <sz val="9"/>
        <color rgb="FF000000"/>
        <rFont val="WenQuanYi Zen Hei"/>
        <family val="2"/>
      </rPr>
      <t xml:space="preserve">計算過程</t>
    </r>
    <r>
      <rPr>
        <sz val="9"/>
        <color rgb="FF000000"/>
        <rFont val="ＭＳ 明朝"/>
        <family val="0"/>
        <charset val="1"/>
      </rPr>
      <t xml:space="preserve">!$B$35</t>
    </r>
  </si>
  <si>
    <r>
      <rPr>
        <sz val="9"/>
        <color rgb="FF000000"/>
        <rFont val="WenQuanYi Zen Hei"/>
        <family val="2"/>
      </rPr>
      <t xml:space="preserve">組合員期間</t>
    </r>
    <r>
      <rPr>
        <sz val="9"/>
        <color rgb="FF000000"/>
        <rFont val="ＭＳ 明朝"/>
        <family val="0"/>
        <charset val="1"/>
      </rPr>
      <t xml:space="preserve">(</t>
    </r>
    <r>
      <rPr>
        <sz val="9"/>
        <color rgb="FF000000"/>
        <rFont val="WenQuanYi Zen Hei"/>
        <family val="2"/>
      </rPr>
      <t xml:space="preserve">表示</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</si>
  <si>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月数表位置</t>
    </r>
  </si>
  <si>
    <r>
      <rPr>
        <sz val="9"/>
        <color rgb="FF000000"/>
        <rFont val="WenQuanYi Zen Hei"/>
        <family val="2"/>
      </rPr>
      <t xml:space="preserve">計算過程</t>
    </r>
    <r>
      <rPr>
        <sz val="9"/>
        <color rgb="FF000000"/>
        <rFont val="ＭＳ 明朝"/>
        <family val="0"/>
        <charset val="1"/>
      </rPr>
      <t xml:space="preserve">!$B$36</t>
    </r>
  </si>
  <si>
    <t xml:space="preserve">月数表の区分位置</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</si>
  <si>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最低保障位置</t>
    </r>
  </si>
  <si>
    <r>
      <rPr>
        <sz val="9"/>
        <color rgb="FF000000"/>
        <rFont val="WenQuanYi Zen Hei"/>
        <family val="2"/>
      </rPr>
      <t xml:space="preserve">計算過程</t>
    </r>
    <r>
      <rPr>
        <sz val="9"/>
        <color rgb="FF000000"/>
        <rFont val="ＭＳ 明朝"/>
        <family val="0"/>
        <charset val="1"/>
      </rPr>
      <t xml:space="preserve">!$B$37</t>
    </r>
  </si>
  <si>
    <t xml:space="preserve">最低保障額表の区分位置</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</si>
  <si>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住宅月数</t>
    </r>
  </si>
  <si>
    <r>
      <rPr>
        <sz val="9"/>
        <color rgb="FF000000"/>
        <rFont val="WenQuanYi Zen Hei"/>
        <family val="2"/>
      </rPr>
      <t xml:space="preserve">計算過程</t>
    </r>
    <r>
      <rPr>
        <sz val="9"/>
        <color rgb="FF000000"/>
        <rFont val="ＭＳ 明朝"/>
        <family val="0"/>
        <charset val="1"/>
      </rPr>
      <t xml:space="preserve">!$B$38</t>
    </r>
  </si>
  <si>
    <r>
      <rPr>
        <sz val="9"/>
        <color rgb="FF000000"/>
        <rFont val="WenQuanYi Zen Hei"/>
        <family val="2"/>
      </rPr>
      <t xml:space="preserve">住宅</t>
    </r>
    <r>
      <rPr>
        <sz val="9"/>
        <color rgb="FF000000"/>
        <rFont val="ＭＳ 明朝"/>
        <family val="0"/>
        <charset val="1"/>
      </rPr>
      <t xml:space="preserve">:</t>
    </r>
    <r>
      <rPr>
        <sz val="9"/>
        <color rgb="FF000000"/>
        <rFont val="WenQuanYi Zen Hei"/>
        <family val="2"/>
      </rPr>
      <t xml:space="preserve">給料月額に乗じる月数</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</si>
  <si>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住宅万円</t>
    </r>
  </si>
  <si>
    <r>
      <rPr>
        <sz val="9"/>
        <color rgb="FF000000"/>
        <rFont val="WenQuanYi Zen Hei"/>
        <family val="2"/>
      </rPr>
      <t xml:space="preserve">計算過程</t>
    </r>
    <r>
      <rPr>
        <sz val="9"/>
        <color rgb="FF000000"/>
        <rFont val="ＭＳ 明朝"/>
        <family val="0"/>
        <charset val="1"/>
      </rPr>
      <t xml:space="preserve">!$B$39</t>
    </r>
  </si>
  <si>
    <r>
      <rPr>
        <sz val="9"/>
        <color rgb="FF000000"/>
        <rFont val="WenQuanYi Zen Hei"/>
        <family val="2"/>
      </rPr>
      <t xml:space="preserve">住宅</t>
    </r>
    <r>
      <rPr>
        <sz val="9"/>
        <color rgb="FF000000"/>
        <rFont val="ＭＳ 明朝"/>
        <family val="0"/>
        <charset val="1"/>
      </rPr>
      <t xml:space="preserve">:</t>
    </r>
    <r>
      <rPr>
        <sz val="9"/>
        <color rgb="FF000000"/>
        <rFont val="WenQuanYi Zen Hei"/>
        <family val="2"/>
      </rPr>
      <t xml:space="preserve">最低保障額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</si>
  <si>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災害万円</t>
    </r>
  </si>
  <si>
    <r>
      <rPr>
        <sz val="9"/>
        <color rgb="FF000000"/>
        <rFont val="WenQuanYi Zen Hei"/>
        <family val="2"/>
      </rPr>
      <t xml:space="preserve">計算過程</t>
    </r>
    <r>
      <rPr>
        <sz val="9"/>
        <color rgb="FF000000"/>
        <rFont val="ＭＳ 明朝"/>
        <family val="0"/>
        <charset val="1"/>
      </rPr>
      <t xml:space="preserve">!$B$40</t>
    </r>
  </si>
  <si>
    <r>
      <rPr>
        <sz val="9"/>
        <color rgb="FF000000"/>
        <rFont val="WenQuanYi Zen Hei"/>
        <family val="2"/>
      </rPr>
      <t xml:space="preserve">災害再貸付</t>
    </r>
    <r>
      <rPr>
        <sz val="9"/>
        <color rgb="FF000000"/>
        <rFont val="ＭＳ 明朝"/>
        <family val="0"/>
        <charset val="1"/>
      </rPr>
      <t xml:space="preserve">:</t>
    </r>
    <r>
      <rPr>
        <sz val="9"/>
        <color rgb="FF000000"/>
        <rFont val="WenQuanYi Zen Hei"/>
        <family val="2"/>
      </rPr>
      <t xml:space="preserve">最低保障額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</si>
  <si>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月数方式</t>
    </r>
  </si>
  <si>
    <r>
      <rPr>
        <sz val="9"/>
        <color rgb="FF000000"/>
        <rFont val="WenQuanYi Zen Hei"/>
        <family val="2"/>
      </rPr>
      <t xml:space="preserve">計算過程</t>
    </r>
    <r>
      <rPr>
        <sz val="9"/>
        <color rgb="FF000000"/>
        <rFont val="ＭＳ 明朝"/>
        <family val="0"/>
        <charset val="1"/>
      </rPr>
      <t xml:space="preserve">!$B$42</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</si>
  <si>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月数方式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</si>
  <si>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修学方式</t>
    </r>
  </si>
  <si>
    <r>
      <rPr>
        <sz val="9"/>
        <color rgb="FF000000"/>
        <rFont val="WenQuanYi Zen Hei"/>
        <family val="2"/>
      </rPr>
      <t xml:space="preserve">計算過程</t>
    </r>
    <r>
      <rPr>
        <sz val="9"/>
        <color rgb="FF000000"/>
        <rFont val="ＭＳ 明朝"/>
        <family val="0"/>
        <charset val="1"/>
      </rPr>
      <t xml:space="preserve">!$B$43</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</si>
  <si>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修学方式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</si>
  <si>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住宅方式</t>
    </r>
  </si>
  <si>
    <r>
      <rPr>
        <sz val="9"/>
        <color rgb="FF000000"/>
        <rFont val="WenQuanYi Zen Hei"/>
        <family val="2"/>
      </rPr>
      <t xml:space="preserve">計算過程</t>
    </r>
    <r>
      <rPr>
        <sz val="9"/>
        <color rgb="FF000000"/>
        <rFont val="ＭＳ 明朝"/>
        <family val="0"/>
        <charset val="1"/>
      </rPr>
      <t xml:space="preserve">!$B$44</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</si>
  <si>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住宅方式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</si>
  <si>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再貸付方式</t>
    </r>
  </si>
  <si>
    <r>
      <rPr>
        <sz val="9"/>
        <color rgb="FF000000"/>
        <rFont val="WenQuanYi Zen Hei"/>
        <family val="2"/>
      </rPr>
      <t xml:space="preserve">計算過程</t>
    </r>
    <r>
      <rPr>
        <sz val="9"/>
        <color rgb="FF000000"/>
        <rFont val="ＭＳ 明朝"/>
        <family val="0"/>
        <charset val="1"/>
      </rPr>
      <t xml:space="preserve">!$B$45</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</si>
  <si>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再貸付方式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</si>
  <si>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</si>
  <si>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!$B$46</t>
    </r>
  </si>
  <si>
    <r>
      <rPr>
        <sz val="9"/>
        <color rgb="FF000000"/>
        <rFont val="WenQuanYi Zen Hei"/>
        <family val="2"/>
      </rPr>
      <t xml:space="preserve">貸付限度額</t>
    </r>
    <r>
      <rPr>
        <sz val="9"/>
        <color rgb="FF000000"/>
        <rFont val="ＭＳ 明朝"/>
        <family val="0"/>
        <charset val="1"/>
      </rPr>
      <t xml:space="preserve">(</t>
    </r>
    <r>
      <rPr>
        <sz val="9"/>
        <color rgb="FF000000"/>
        <rFont val="WenQuanYi Zen Hei"/>
        <family val="2"/>
      </rPr>
      <t xml:space="preserve">基本・円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</si>
  <si>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在宅介護加算</t>
    </r>
  </si>
  <si>
    <r>
      <rPr>
        <sz val="9"/>
        <color rgb="FF000000"/>
        <rFont val="WenQuanYi Zen Hei"/>
        <family val="2"/>
      </rPr>
      <t xml:space="preserve">計算過程</t>
    </r>
    <r>
      <rPr>
        <sz val="9"/>
        <color rgb="FF000000"/>
        <rFont val="ＭＳ 明朝"/>
        <family val="0"/>
        <charset val="1"/>
      </rPr>
      <t xml:space="preserve">!$B$47</t>
    </r>
  </si>
  <si>
    <r>
      <rPr>
        <sz val="9"/>
        <color rgb="FF000000"/>
        <rFont val="WenQuanYi Zen Hei"/>
        <family val="2"/>
      </rPr>
      <t xml:space="preserve">在宅介護対応住宅の加算限度</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</si>
  <si>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合計</t>
    </r>
  </si>
  <si>
    <r>
      <rPr>
        <sz val="9"/>
        <color rgb="FF000000"/>
        <rFont val="WenQuanYi Zen Hei"/>
        <family val="2"/>
      </rPr>
      <t xml:space="preserve">計算過程</t>
    </r>
    <r>
      <rPr>
        <sz val="9"/>
        <color rgb="FF000000"/>
        <rFont val="ＭＳ 明朝"/>
        <family val="0"/>
        <charset val="1"/>
      </rPr>
      <t xml:space="preserve">!$B$48</t>
    </r>
  </si>
  <si>
    <r>
      <rPr>
        <sz val="9"/>
        <color rgb="FF000000"/>
        <rFont val="WenQuanYi Zen Hei"/>
        <family val="2"/>
      </rPr>
      <t xml:space="preserve">貸付限度額</t>
    </r>
    <r>
      <rPr>
        <sz val="9"/>
        <color rgb="FF000000"/>
        <rFont val="ＭＳ 明朝"/>
        <family val="0"/>
        <charset val="1"/>
      </rPr>
      <t xml:space="preserve">(</t>
    </r>
    <r>
      <rPr>
        <sz val="9"/>
        <color rgb="FF000000"/>
        <rFont val="WenQuanYi Zen Hei"/>
        <family val="2"/>
      </rPr>
      <t xml:space="preserve">合計・円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</si>
  <si>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限度額内訳</t>
    </r>
  </si>
  <si>
    <r>
      <rPr>
        <sz val="9"/>
        <color rgb="FF000000"/>
        <rFont val="WenQuanYi Zen Hei"/>
        <family val="2"/>
      </rPr>
      <t xml:space="preserve">計算過程</t>
    </r>
    <r>
      <rPr>
        <sz val="9"/>
        <color rgb="FF000000"/>
        <rFont val="ＭＳ 明朝"/>
        <family val="0"/>
        <charset val="1"/>
      </rPr>
      <t xml:space="preserve">!$B$49</t>
    </r>
  </si>
  <si>
    <r>
      <rPr>
        <sz val="9"/>
        <color rgb="FF000000"/>
        <rFont val="WenQuanYi Zen Hei"/>
        <family val="2"/>
      </rPr>
      <t xml:space="preserve">貸付限度額の計算内訳</t>
    </r>
    <r>
      <rPr>
        <sz val="9"/>
        <color rgb="FF000000"/>
        <rFont val="ＭＳ 明朝"/>
        <family val="0"/>
        <charset val="1"/>
      </rPr>
      <t xml:space="preserve">(</t>
    </r>
    <r>
      <rPr>
        <sz val="9"/>
        <color rgb="FF000000"/>
        <rFont val="WenQuanYi Zen Hei"/>
        <family val="2"/>
      </rPr>
      <t xml:space="preserve">表示用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</si>
  <si>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返済能力内訳</t>
    </r>
  </si>
  <si>
    <r>
      <rPr>
        <sz val="9"/>
        <color rgb="FF000000"/>
        <rFont val="WenQuanYi Zen Hei"/>
        <family val="2"/>
      </rPr>
      <t xml:space="preserve">計算過程</t>
    </r>
    <r>
      <rPr>
        <sz val="9"/>
        <color rgb="FF000000"/>
        <rFont val="ＭＳ 明朝"/>
        <family val="0"/>
        <charset val="1"/>
      </rPr>
      <t xml:space="preserve">!$B$50</t>
    </r>
  </si>
  <si>
    <r>
      <rPr>
        <sz val="9"/>
        <color rgb="FF000000"/>
        <rFont val="WenQuanYi Zen Hei"/>
        <family val="2"/>
      </rPr>
      <t xml:space="preserve">返済能力の計算内訳</t>
    </r>
    <r>
      <rPr>
        <sz val="9"/>
        <color rgb="FF000000"/>
        <rFont val="ＭＳ 明朝"/>
        <family val="0"/>
        <charset val="1"/>
      </rPr>
      <t xml:space="preserve">(</t>
    </r>
    <r>
      <rPr>
        <sz val="9"/>
        <color rgb="FF000000"/>
        <rFont val="WenQuanYi Zen Hei"/>
        <family val="2"/>
      </rPr>
      <t xml:space="preserve">表示用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</si>
  <si>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単位円</t>
    </r>
  </si>
  <si>
    <r>
      <rPr>
        <sz val="9"/>
        <color rgb="FF000000"/>
        <rFont val="WenQuanYi Zen Hei"/>
        <family val="2"/>
      </rPr>
      <t xml:space="preserve">計算過程</t>
    </r>
    <r>
      <rPr>
        <sz val="9"/>
        <color rgb="FF000000"/>
        <rFont val="ＭＳ 明朝"/>
        <family val="0"/>
        <charset val="1"/>
      </rPr>
      <t xml:space="preserve">!$B$52</t>
    </r>
  </si>
  <si>
    <r>
      <rPr>
        <sz val="9"/>
        <color rgb="FF000000"/>
        <rFont val="WenQuanYi Zen Hei"/>
        <family val="2"/>
      </rPr>
      <t xml:space="preserve">申込単位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</si>
  <si>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下限円</t>
    </r>
  </si>
  <si>
    <r>
      <rPr>
        <sz val="9"/>
        <color rgb="FF000000"/>
        <rFont val="WenQuanYi Zen Hei"/>
        <family val="2"/>
      </rPr>
      <t xml:space="preserve">計算過程</t>
    </r>
    <r>
      <rPr>
        <sz val="9"/>
        <color rgb="FF000000"/>
        <rFont val="ＭＳ 明朝"/>
        <family val="0"/>
        <charset val="1"/>
      </rPr>
      <t xml:space="preserve">!$B$53</t>
    </r>
  </si>
  <si>
    <r>
      <rPr>
        <sz val="9"/>
        <color rgb="FF000000"/>
        <rFont val="WenQuanYi Zen Hei"/>
        <family val="2"/>
      </rPr>
      <t xml:space="preserve">申込金額の下限</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</si>
  <si>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他借入月額</t>
    </r>
  </si>
  <si>
    <r>
      <rPr>
        <sz val="9"/>
        <color rgb="FF000000"/>
        <rFont val="WenQuanYi Zen Hei"/>
        <family val="2"/>
      </rPr>
      <t xml:space="preserve">計算過程</t>
    </r>
    <r>
      <rPr>
        <sz val="9"/>
        <color rgb="FF000000"/>
        <rFont val="ＭＳ 明朝"/>
        <family val="0"/>
        <charset val="1"/>
      </rPr>
      <t xml:space="preserve">!$B$54</t>
    </r>
  </si>
  <si>
    <r>
      <rPr>
        <sz val="9"/>
        <color rgb="FF000000"/>
        <rFont val="WenQuanYi Zen Hei"/>
        <family val="2"/>
      </rPr>
      <t xml:space="preserve">他の借入等の毎月償還額 </t>
    </r>
    <r>
      <rPr>
        <sz val="9"/>
        <color rgb="FF000000"/>
        <rFont val="ＭＳ 明朝"/>
        <family val="0"/>
        <charset val="1"/>
      </rPr>
      <t xml:space="preserve">A+B+C</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</si>
  <si>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他借入賞与</t>
    </r>
  </si>
  <si>
    <r>
      <rPr>
        <sz val="9"/>
        <color rgb="FF000000"/>
        <rFont val="WenQuanYi Zen Hei"/>
        <family val="2"/>
      </rPr>
      <t xml:space="preserve">計算過程</t>
    </r>
    <r>
      <rPr>
        <sz val="9"/>
        <color rgb="FF000000"/>
        <rFont val="ＭＳ 明朝"/>
        <family val="0"/>
        <charset val="1"/>
      </rPr>
      <t xml:space="preserve">!$B$55</t>
    </r>
  </si>
  <si>
    <r>
      <rPr>
        <sz val="9"/>
        <color rgb="FF000000"/>
        <rFont val="WenQuanYi Zen Hei"/>
        <family val="2"/>
      </rPr>
      <t xml:space="preserve">他の借入等のボーナス償還額 </t>
    </r>
    <r>
      <rPr>
        <sz val="9"/>
        <color rgb="FF000000"/>
        <rFont val="ＭＳ 明朝"/>
        <family val="0"/>
        <charset val="1"/>
      </rPr>
      <t xml:space="preserve">F+G+H</t>
    </r>
  </si>
  <si>
    <r>
      <rPr>
        <sz val="9"/>
        <color rgb="FF000000"/>
        <rFont val="WenQuanYi Zen Hei"/>
        <family val="2"/>
      </rPr>
      <t xml:space="preserve">計算</t>
    </r>
    <r>
      <rPr>
        <sz val="9"/>
        <color rgb="FF000000"/>
        <rFont val="ＭＳ 明朝"/>
        <family val="0"/>
        <charset val="1"/>
      </rPr>
      <t xml:space="preserve">_E</t>
    </r>
    <r>
      <rPr>
        <sz val="9"/>
        <color rgb="FF000000"/>
        <rFont val="WenQuanYi Zen Hei"/>
        <family val="2"/>
      </rPr>
      <t xml:space="preserve">上限</t>
    </r>
  </si>
  <si>
    <r>
      <rPr>
        <sz val="9"/>
        <color rgb="FF000000"/>
        <rFont val="WenQuanYi Zen Hei"/>
        <family val="2"/>
      </rPr>
      <t xml:space="preserve">計算過程</t>
    </r>
    <r>
      <rPr>
        <sz val="9"/>
        <color rgb="FF000000"/>
        <rFont val="ＭＳ 明朝"/>
        <family val="0"/>
        <charset val="1"/>
      </rPr>
      <t xml:space="preserve">!$B$56</t>
    </r>
  </si>
  <si>
    <r>
      <rPr>
        <sz val="9"/>
        <color rgb="FF000000"/>
        <rFont val="WenQuanYi Zen Hei"/>
        <family val="2"/>
      </rPr>
      <t xml:space="preserve">毎月償還額</t>
    </r>
    <r>
      <rPr>
        <sz val="9"/>
        <color rgb="FF000000"/>
        <rFont val="ＭＳ 明朝"/>
        <family val="0"/>
        <charset val="1"/>
      </rPr>
      <t xml:space="preserve">(E)</t>
    </r>
    <r>
      <rPr>
        <sz val="9"/>
        <color rgb="FF000000"/>
        <rFont val="WenQuanYi Zen Hei"/>
        <family val="2"/>
      </rPr>
      <t xml:space="preserve">の上限</t>
    </r>
  </si>
  <si>
    <r>
      <rPr>
        <sz val="9"/>
        <color rgb="FF000000"/>
        <rFont val="WenQuanYi Zen Hei"/>
        <family val="2"/>
      </rPr>
      <t xml:space="preserve">計算</t>
    </r>
    <r>
      <rPr>
        <sz val="9"/>
        <color rgb="FF000000"/>
        <rFont val="ＭＳ 明朝"/>
        <family val="0"/>
        <charset val="1"/>
      </rPr>
      <t xml:space="preserve">_D</t>
    </r>
    <r>
      <rPr>
        <sz val="9"/>
        <color rgb="FF000000"/>
        <rFont val="WenQuanYi Zen Hei"/>
        <family val="2"/>
      </rPr>
      <t xml:space="preserve">上限</t>
    </r>
  </si>
  <si>
    <r>
      <rPr>
        <sz val="9"/>
        <color rgb="FF000000"/>
        <rFont val="WenQuanYi Zen Hei"/>
        <family val="2"/>
      </rPr>
      <t xml:space="preserve">計算過程</t>
    </r>
    <r>
      <rPr>
        <sz val="9"/>
        <color rgb="FF000000"/>
        <rFont val="ＭＳ 明朝"/>
        <family val="0"/>
        <charset val="1"/>
      </rPr>
      <t xml:space="preserve">!$B$57</t>
    </r>
  </si>
  <si>
    <r>
      <rPr>
        <sz val="9"/>
        <color rgb="FF000000"/>
        <rFont val="WenQuanYi Zen Hei"/>
        <family val="2"/>
      </rPr>
      <t xml:space="preserve">今回の貸付の毎月償還額の上限</t>
    </r>
    <r>
      <rPr>
        <sz val="9"/>
        <color rgb="FF000000"/>
        <rFont val="ＭＳ 明朝"/>
        <family val="0"/>
        <charset val="1"/>
      </rPr>
      <t xml:space="preserve">(D)</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</si>
  <si>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試算回数</t>
    </r>
  </si>
  <si>
    <r>
      <rPr>
        <sz val="9"/>
        <color rgb="FF000000"/>
        <rFont val="WenQuanYi Zen Hei"/>
        <family val="2"/>
      </rPr>
      <t xml:space="preserve">計算過程</t>
    </r>
    <r>
      <rPr>
        <sz val="9"/>
        <color rgb="FF000000"/>
        <rFont val="ＭＳ 明朝"/>
        <family val="0"/>
        <charset val="1"/>
      </rPr>
      <t xml:space="preserve">!$B$58</t>
    </r>
  </si>
  <si>
    <t xml:space="preserve">返済能力の試算に用いる償還回数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</si>
  <si>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返済能力上限</t>
    </r>
  </si>
  <si>
    <r>
      <rPr>
        <sz val="9"/>
        <color rgb="FF000000"/>
        <rFont val="WenQuanYi Zen Hei"/>
        <family val="2"/>
      </rPr>
      <t xml:space="preserve">計算過程</t>
    </r>
    <r>
      <rPr>
        <sz val="9"/>
        <color rgb="FF000000"/>
        <rFont val="ＭＳ 明朝"/>
        <family val="0"/>
        <charset val="1"/>
      </rPr>
      <t xml:space="preserve">!$B$59</t>
    </r>
  </si>
  <si>
    <r>
      <rPr>
        <sz val="9"/>
        <color rgb="FF000000"/>
        <rFont val="WenQuanYi Zen Hei"/>
        <family val="2"/>
      </rPr>
      <t xml:space="preserve">返済能力から見た借入上限</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</si>
  <si>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t>
    </r>
    <r>
      <rPr>
        <sz val="9"/>
        <color rgb="FF000000"/>
        <rFont val="ＭＳ 明朝"/>
        <family val="0"/>
        <charset val="1"/>
      </rPr>
      <t xml:space="preserve">_</t>
    </r>
    <r>
      <rPr>
        <sz val="9"/>
        <color rgb="FF000000"/>
        <rFont val="WenQuanYi Zen Hei"/>
        <family val="2"/>
      </rPr>
      <t xml:space="preserve">小さい方</t>
    </r>
  </si>
  <si>
    <r>
      <rPr>
        <sz val="9"/>
        <color rgb="FF000000"/>
        <rFont val="WenQuanYi Zen Hei"/>
        <family val="2"/>
      </rPr>
      <t xml:space="preserve">計算過程</t>
    </r>
    <r>
      <rPr>
        <sz val="9"/>
        <color rgb="FF000000"/>
        <rFont val="ＭＳ 明朝"/>
        <family val="0"/>
        <charset val="1"/>
      </rPr>
      <t xml:space="preserve">!$B$60</t>
    </r>
  </si>
  <si>
    <r>
      <rPr>
        <sz val="9"/>
        <color rgb="FF000000"/>
        <rFont val="WenQuanYi Zen Hei"/>
        <family val="2"/>
      </rPr>
      <t xml:space="preserve">①②の小さい方</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</si>
  <si>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t>
    </r>
    <r>
      <rPr>
        <sz val="9"/>
        <color rgb="FF000000"/>
        <rFont val="ＭＳ 明朝"/>
        <family val="0"/>
        <charset val="1"/>
      </rPr>
      <t xml:space="preserve">_</t>
    </r>
    <r>
      <rPr>
        <sz val="9"/>
        <color rgb="FF000000"/>
        <rFont val="WenQuanYi Zen Hei"/>
        <family val="2"/>
      </rPr>
      <t xml:space="preserve">切捨て後</t>
    </r>
  </si>
  <si>
    <r>
      <rPr>
        <sz val="9"/>
        <color rgb="FF000000"/>
        <rFont val="WenQuanYi Zen Hei"/>
        <family val="2"/>
      </rPr>
      <t xml:space="preserve">計算過程</t>
    </r>
    <r>
      <rPr>
        <sz val="9"/>
        <color rgb="FF000000"/>
        <rFont val="ＭＳ 明朝"/>
        <family val="0"/>
        <charset val="1"/>
      </rPr>
      <t xml:space="preserve">!$B$61</t>
    </r>
  </si>
  <si>
    <r>
      <rPr>
        <sz val="9"/>
        <color rgb="FF000000"/>
        <rFont val="WenQuanYi Zen Hei"/>
        <family val="2"/>
      </rPr>
      <t xml:space="preserve">申込単位で切り捨て</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</si>
  <si>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申込可能額</t>
    </r>
  </si>
  <si>
    <r>
      <rPr>
        <sz val="9"/>
        <color rgb="FF000000"/>
        <rFont val="WenQuanYi Zen Hei"/>
        <family val="2"/>
      </rPr>
      <t xml:space="preserve">計算過程</t>
    </r>
    <r>
      <rPr>
        <sz val="9"/>
        <color rgb="FF000000"/>
        <rFont val="ＭＳ 明朝"/>
        <family val="0"/>
        <charset val="1"/>
      </rPr>
      <t xml:space="preserve">!$B$62</t>
    </r>
  </si>
  <si>
    <r>
      <rPr>
        <sz val="9"/>
        <color rgb="FF000000"/>
        <rFont val="WenQuanYi Zen Hei"/>
        <family val="2"/>
      </rPr>
      <t xml:space="preserve">申込可能額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</si>
  <si>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決定要因</t>
    </r>
  </si>
  <si>
    <r>
      <rPr>
        <sz val="9"/>
        <color rgb="FF000000"/>
        <rFont val="WenQuanYi Zen Hei"/>
        <family val="2"/>
      </rPr>
      <t xml:space="preserve">計算過程</t>
    </r>
    <r>
      <rPr>
        <sz val="9"/>
        <color rgb="FF000000"/>
        <rFont val="ＭＳ 明朝"/>
        <family val="0"/>
        <charset val="1"/>
      </rPr>
      <t xml:space="preserve">!$B$63</t>
    </r>
  </si>
  <si>
    <t xml:space="preserve">申込可能額を決めている要因</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</si>
  <si>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</si>
  <si>
    <r>
      <rPr>
        <sz val="9"/>
        <color rgb="FF000000"/>
        <rFont val="WenQuanYi Zen Hei"/>
        <family val="2"/>
      </rPr>
      <t xml:space="preserve">計算過程</t>
    </r>
    <r>
      <rPr>
        <sz val="9"/>
        <color rgb="FF000000"/>
        <rFont val="ＭＳ 明朝"/>
        <family val="0"/>
        <charset val="1"/>
      </rPr>
      <t xml:space="preserve">!$B$65</t>
    </r>
  </si>
  <si>
    <r>
      <rPr>
        <sz val="9"/>
        <color rgb="FF000000"/>
        <rFont val="WenQuanYi Zen Hei"/>
        <family val="2"/>
      </rPr>
      <t xml:space="preserve">算定に用いる申込額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</si>
  <si>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</si>
  <si>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!$B$66</t>
    </r>
  </si>
  <si>
    <r>
      <rPr>
        <sz val="9"/>
        <color rgb="FF000000"/>
        <rFont val="WenQuanYi Zen Hei"/>
        <family val="2"/>
      </rPr>
      <t xml:space="preserve">うち在宅介護対応部分</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</si>
  <si>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</si>
  <si>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!$B$67</t>
    </r>
  </si>
  <si>
    <r>
      <rPr>
        <sz val="9"/>
        <color rgb="FF000000"/>
        <rFont val="WenQuanYi Zen Hei"/>
        <family val="2"/>
      </rPr>
      <t xml:space="preserve">うち基本部分</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</si>
  <si>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賞与元金</t>
    </r>
  </si>
  <si>
    <r>
      <rPr>
        <sz val="9"/>
        <color rgb="FF000000"/>
        <rFont val="WenQuanYi Zen Hei"/>
        <family val="2"/>
      </rPr>
      <t xml:space="preserve">計算過程</t>
    </r>
    <r>
      <rPr>
        <sz val="9"/>
        <color rgb="FF000000"/>
        <rFont val="ＭＳ 明朝"/>
        <family val="0"/>
        <charset val="1"/>
      </rPr>
      <t xml:space="preserve">!$B$68</t>
    </r>
  </si>
  <si>
    <r>
      <rPr>
        <sz val="9"/>
        <color rgb="FF000000"/>
        <rFont val="WenQuanYi Zen Hei"/>
        <family val="2"/>
      </rPr>
      <t xml:space="preserve">ボーナス償還分の元金</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</si>
  <si>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賞与回数</t>
    </r>
  </si>
  <si>
    <r>
      <rPr>
        <sz val="9"/>
        <color rgb="FF000000"/>
        <rFont val="WenQuanYi Zen Hei"/>
        <family val="2"/>
      </rPr>
      <t xml:space="preserve">計算過程</t>
    </r>
    <r>
      <rPr>
        <sz val="9"/>
        <color rgb="FF000000"/>
        <rFont val="ＭＳ 明朝"/>
        <family val="0"/>
        <charset val="1"/>
      </rPr>
      <t xml:space="preserve">!$B$69</t>
    </r>
  </si>
  <si>
    <r>
      <rPr>
        <sz val="9"/>
        <color rgb="FF000000"/>
        <rFont val="WenQuanYi Zen Hei"/>
        <family val="2"/>
      </rPr>
      <t xml:space="preserve">ボーナス償還回数</t>
    </r>
    <r>
      <rPr>
        <sz val="9"/>
        <color rgb="FF000000"/>
        <rFont val="ＭＳ 明朝"/>
        <family val="0"/>
        <charset val="1"/>
      </rPr>
      <t xml:space="preserve">(</t>
    </r>
    <r>
      <rPr>
        <sz val="9"/>
        <color rgb="FF000000"/>
        <rFont val="WenQuanYi Zen Hei"/>
        <family val="2"/>
      </rPr>
      <t xml:space="preserve">回</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</si>
  <si>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回数</t>
    </r>
    <r>
      <rPr>
        <sz val="9"/>
        <color rgb="FF000000"/>
        <rFont val="ＭＳ 明朝"/>
        <family val="0"/>
        <charset val="1"/>
      </rPr>
      <t xml:space="preserve">_</t>
    </r>
    <r>
      <rPr>
        <sz val="9"/>
        <color rgb="FF000000"/>
        <rFont val="WenQuanYi Zen Hei"/>
        <family val="2"/>
      </rPr>
      <t xml:space="preserve">月額から逆算</t>
    </r>
  </si>
  <si>
    <r>
      <rPr>
        <sz val="9"/>
        <color rgb="FF000000"/>
        <rFont val="WenQuanYi Zen Hei"/>
        <family val="2"/>
      </rPr>
      <t xml:space="preserve">計算過程</t>
    </r>
    <r>
      <rPr>
        <sz val="9"/>
        <color rgb="FF000000"/>
        <rFont val="ＭＳ 明朝"/>
        <family val="0"/>
        <charset val="1"/>
      </rPr>
      <t xml:space="preserve">!$B$70</t>
    </r>
  </si>
  <si>
    <t xml:space="preserve">毎月償還額の希望から逆算した回数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</si>
  <si>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</si>
  <si>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計算過程</t>
    </r>
    <r>
      <rPr>
        <sz val="9"/>
        <color rgb="FF000000"/>
        <rFont val="ＭＳ 明朝"/>
        <family val="0"/>
        <charset val="1"/>
      </rPr>
      <t xml:space="preserve">!$B$71</t>
    </r>
  </si>
  <si>
    <r>
      <rPr>
        <sz val="9"/>
        <color rgb="FF000000"/>
        <rFont val="WenQuanYi Zen Hei"/>
        <family val="2"/>
      </rPr>
      <t xml:space="preserve">毎月償還の回数</t>
    </r>
    <r>
      <rPr>
        <sz val="9"/>
        <color rgb="FF000000"/>
        <rFont val="ＭＳ 明朝"/>
        <family val="0"/>
        <charset val="1"/>
      </rPr>
      <t xml:space="preserve">(</t>
    </r>
    <r>
      <rPr>
        <sz val="9"/>
        <color rgb="FF000000"/>
        <rFont val="WenQuanYi Zen Hei"/>
        <family val="2"/>
      </rPr>
      <t xml:space="preserve">回</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</si>
  <si>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</si>
  <si>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!$B$72</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</si>
  <si>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基本部分・円未満含む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</si>
  <si>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</si>
  <si>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!$B$73</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</si>
  <si>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在宅介護部分・円未満含む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</si>
  <si>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毎月償還額</t>
    </r>
  </si>
  <si>
    <r>
      <rPr>
        <sz val="9"/>
        <color rgb="FF000000"/>
        <rFont val="WenQuanYi Zen Hei"/>
        <family val="2"/>
      </rPr>
      <t xml:space="preserve">計算過程</t>
    </r>
    <r>
      <rPr>
        <sz val="9"/>
        <color rgb="FF000000"/>
        <rFont val="ＭＳ 明朝"/>
        <family val="0"/>
        <charset val="1"/>
      </rPr>
      <t xml:space="preserve">!$B$74</t>
    </r>
  </si>
  <si>
    <r>
      <rPr>
        <sz val="9"/>
        <color rgb="FF000000"/>
        <rFont val="WenQuanYi Zen Hei"/>
        <family val="2"/>
      </rPr>
      <t xml:space="preserve">毎月償還額</t>
    </r>
    <r>
      <rPr>
        <sz val="9"/>
        <color rgb="FF000000"/>
        <rFont val="ＭＳ 明朝"/>
        <family val="0"/>
        <charset val="1"/>
      </rPr>
      <t xml:space="preserve">(D)</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</si>
  <si>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賞与期間利率</t>
    </r>
  </si>
  <si>
    <r>
      <rPr>
        <sz val="9"/>
        <color rgb="FF000000"/>
        <rFont val="WenQuanYi Zen Hei"/>
        <family val="2"/>
      </rPr>
      <t xml:space="preserve">計算過程</t>
    </r>
    <r>
      <rPr>
        <sz val="9"/>
        <color rgb="FF000000"/>
        <rFont val="ＭＳ 明朝"/>
        <family val="0"/>
        <charset val="1"/>
      </rPr>
      <t xml:space="preserve">!$B$75</t>
    </r>
  </si>
  <si>
    <r>
      <rPr>
        <sz val="9"/>
        <color rgb="FF000000"/>
        <rFont val="WenQuanYi Zen Hei"/>
        <family val="2"/>
      </rPr>
      <t xml:space="preserve">ボーナス償還の期間利率</t>
    </r>
    <r>
      <rPr>
        <sz val="9"/>
        <color rgb="FF000000"/>
        <rFont val="ＭＳ 明朝"/>
        <family val="0"/>
        <charset val="1"/>
      </rPr>
      <t xml:space="preserve">(</t>
    </r>
    <r>
      <rPr>
        <sz val="9"/>
        <color rgb="FF000000"/>
        <rFont val="WenQuanYi Zen Hei"/>
        <family val="2"/>
      </rPr>
      <t xml:space="preserve">半年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</si>
  <si>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賞与額</t>
    </r>
    <r>
      <rPr>
        <sz val="9"/>
        <color rgb="FF000000"/>
        <rFont val="ＭＳ 明朝"/>
        <family val="0"/>
        <charset val="1"/>
      </rPr>
      <t xml:space="preserve">_</t>
    </r>
    <r>
      <rPr>
        <sz val="9"/>
        <color rgb="FF000000"/>
        <rFont val="WenQuanYi Zen Hei"/>
        <family val="2"/>
      </rPr>
      <t xml:space="preserve">円未満</t>
    </r>
  </si>
  <si>
    <r>
      <rPr>
        <sz val="9"/>
        <color rgb="FF000000"/>
        <rFont val="WenQuanYi Zen Hei"/>
        <family val="2"/>
      </rPr>
      <t xml:space="preserve">計算過程</t>
    </r>
    <r>
      <rPr>
        <sz val="9"/>
        <color rgb="FF000000"/>
        <rFont val="ＭＳ 明朝"/>
        <family val="0"/>
        <charset val="1"/>
      </rPr>
      <t xml:space="preserve">!$B$76</t>
    </r>
  </si>
  <si>
    <r>
      <rPr>
        <sz val="9"/>
        <color rgb="FF000000"/>
        <rFont val="WenQuanYi Zen Hei"/>
        <family val="2"/>
      </rPr>
      <t xml:space="preserve">ボーナス償還額</t>
    </r>
    <r>
      <rPr>
        <sz val="9"/>
        <color rgb="FF000000"/>
        <rFont val="ＭＳ 明朝"/>
        <family val="0"/>
        <charset val="1"/>
      </rPr>
      <t xml:space="preserve">(1</t>
    </r>
    <r>
      <rPr>
        <sz val="9"/>
        <color rgb="FF000000"/>
        <rFont val="WenQuanYi Zen Hei"/>
        <family val="2"/>
      </rPr>
      <t xml:space="preserve">回・円未満含む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</si>
  <si>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賞与償還額</t>
    </r>
  </si>
  <si>
    <r>
      <rPr>
        <sz val="9"/>
        <color rgb="FF000000"/>
        <rFont val="WenQuanYi Zen Hei"/>
        <family val="2"/>
      </rPr>
      <t xml:space="preserve">計算過程</t>
    </r>
    <r>
      <rPr>
        <sz val="9"/>
        <color rgb="FF000000"/>
        <rFont val="ＭＳ 明朝"/>
        <family val="0"/>
        <charset val="1"/>
      </rPr>
      <t xml:space="preserve">!$B$77</t>
    </r>
  </si>
  <si>
    <r>
      <rPr>
        <sz val="9"/>
        <color rgb="FF000000"/>
        <rFont val="WenQuanYi Zen Hei"/>
        <family val="2"/>
      </rPr>
      <t xml:space="preserve">ボーナス償還額</t>
    </r>
    <r>
      <rPr>
        <sz val="9"/>
        <color rgb="FF000000"/>
        <rFont val="ＭＳ 明朝"/>
        <family val="0"/>
        <charset val="1"/>
      </rPr>
      <t xml:space="preserve">(I)</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</si>
  <si>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最終回償還額</t>
    </r>
  </si>
  <si>
    <r>
      <rPr>
        <sz val="9"/>
        <color rgb="FF000000"/>
        <rFont val="WenQuanYi Zen Hei"/>
        <family val="2"/>
      </rPr>
      <t xml:space="preserve">計算過程</t>
    </r>
    <r>
      <rPr>
        <sz val="9"/>
        <color rgb="FF000000"/>
        <rFont val="ＭＳ 明朝"/>
        <family val="0"/>
        <charset val="1"/>
      </rPr>
      <t xml:space="preserve">!$B$78</t>
    </r>
  </si>
  <si>
    <r>
      <rPr>
        <sz val="9"/>
        <color rgb="FF000000"/>
        <rFont val="WenQuanYi Zen Hei"/>
        <family val="2"/>
      </rPr>
      <t xml:space="preserve">最終回の毎月償還額</t>
    </r>
    <r>
      <rPr>
        <sz val="9"/>
        <color rgb="FF000000"/>
        <rFont val="ＭＳ 明朝"/>
        <family val="0"/>
        <charset val="1"/>
      </rPr>
      <t xml:space="preserve">(</t>
    </r>
    <r>
      <rPr>
        <sz val="9"/>
        <color rgb="FF000000"/>
        <rFont val="WenQuanYi Zen Hei"/>
        <family val="2"/>
      </rPr>
      <t xml:space="preserve">端数調整後</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</si>
  <si>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返済総額</t>
    </r>
  </si>
  <si>
    <r>
      <rPr>
        <sz val="9"/>
        <color rgb="FF000000"/>
        <rFont val="WenQuanYi Zen Hei"/>
        <family val="2"/>
      </rPr>
      <t xml:space="preserve">計算過程</t>
    </r>
    <r>
      <rPr>
        <sz val="9"/>
        <color rgb="FF000000"/>
        <rFont val="ＭＳ 明朝"/>
        <family val="0"/>
        <charset val="1"/>
      </rPr>
      <t xml:space="preserve">!$B$79</t>
    </r>
  </si>
  <si>
    <r>
      <rPr>
        <sz val="9"/>
        <color rgb="FF000000"/>
        <rFont val="WenQuanYi Zen Hei"/>
        <family val="2"/>
      </rPr>
      <t xml:space="preserve">返済総額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</si>
  <si>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利息総額</t>
    </r>
  </si>
  <si>
    <r>
      <rPr>
        <sz val="9"/>
        <color rgb="FF000000"/>
        <rFont val="WenQuanYi Zen Hei"/>
        <family val="2"/>
      </rPr>
      <t xml:space="preserve">計算過程</t>
    </r>
    <r>
      <rPr>
        <sz val="9"/>
        <color rgb="FF000000"/>
        <rFont val="ＭＳ 明朝"/>
        <family val="0"/>
        <charset val="1"/>
      </rPr>
      <t xml:space="preserve">!$B$80</t>
    </r>
  </si>
  <si>
    <r>
      <rPr>
        <sz val="9"/>
        <color rgb="FF000000"/>
        <rFont val="WenQuanYi Zen Hei"/>
        <family val="2"/>
      </rPr>
      <t xml:space="preserve">利息総額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</si>
  <si>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_E</t>
    </r>
    <r>
      <rPr>
        <sz val="9"/>
        <color rgb="FF000000"/>
        <rFont val="WenQuanYi Zen Hei"/>
        <family val="2"/>
      </rPr>
      <t xml:space="preserve">毎月償還計</t>
    </r>
  </si>
  <si>
    <r>
      <rPr>
        <sz val="9"/>
        <color rgb="FF000000"/>
        <rFont val="WenQuanYi Zen Hei"/>
        <family val="2"/>
      </rPr>
      <t xml:space="preserve">計算過程</t>
    </r>
    <r>
      <rPr>
        <sz val="9"/>
        <color rgb="FF000000"/>
        <rFont val="ＭＳ 明朝"/>
        <family val="0"/>
        <charset val="1"/>
      </rPr>
      <t xml:space="preserve">!$B$82</t>
    </r>
  </si>
  <si>
    <r>
      <rPr>
        <sz val="9"/>
        <color rgb="FF000000"/>
        <rFont val="WenQuanYi Zen Hei"/>
        <family val="2"/>
      </rPr>
      <t xml:space="preserve">毎月の償還額</t>
    </r>
    <r>
      <rPr>
        <sz val="9"/>
        <color rgb="FF000000"/>
        <rFont val="ＭＳ 明朝"/>
        <family val="0"/>
        <charset val="1"/>
      </rPr>
      <t xml:space="preserve">(E)=A+B+C+D</t>
    </r>
  </si>
  <si>
    <r>
      <rPr>
        <sz val="9"/>
        <color rgb="FF000000"/>
        <rFont val="WenQuanYi Zen Hei"/>
        <family val="2"/>
      </rPr>
      <t xml:space="preserve">計算</t>
    </r>
    <r>
      <rPr>
        <sz val="9"/>
        <color rgb="FF000000"/>
        <rFont val="ＭＳ 明朝"/>
        <family val="0"/>
        <charset val="1"/>
      </rPr>
      <t xml:space="preserve">_J</t>
    </r>
    <r>
      <rPr>
        <sz val="9"/>
        <color rgb="FF000000"/>
        <rFont val="WenQuanYi Zen Hei"/>
        <family val="2"/>
      </rPr>
      <t xml:space="preserve">賞与償還計</t>
    </r>
  </si>
  <si>
    <r>
      <rPr>
        <sz val="9"/>
        <color rgb="FF000000"/>
        <rFont val="WenQuanYi Zen Hei"/>
        <family val="2"/>
      </rPr>
      <t xml:space="preserve">計算過程</t>
    </r>
    <r>
      <rPr>
        <sz val="9"/>
        <color rgb="FF000000"/>
        <rFont val="ＭＳ 明朝"/>
        <family val="0"/>
        <charset val="1"/>
      </rPr>
      <t xml:space="preserve">!$B$83</t>
    </r>
  </si>
  <si>
    <r>
      <rPr>
        <sz val="9"/>
        <color rgb="FF000000"/>
        <rFont val="WenQuanYi Zen Hei"/>
        <family val="2"/>
      </rPr>
      <t xml:space="preserve">ボーナス償還額</t>
    </r>
    <r>
      <rPr>
        <sz val="9"/>
        <color rgb="FF000000"/>
        <rFont val="ＭＳ 明朝"/>
        <family val="0"/>
        <charset val="1"/>
      </rPr>
      <t xml:space="preserve">(J)=F+G+H+I</t>
    </r>
  </si>
  <si>
    <r>
      <rPr>
        <sz val="9"/>
        <color rgb="FF000000"/>
        <rFont val="WenQuanYi Zen Hei"/>
        <family val="2"/>
      </rPr>
      <t xml:space="preserve">計算</t>
    </r>
    <r>
      <rPr>
        <sz val="9"/>
        <color rgb="FF000000"/>
        <rFont val="ＭＳ 明朝"/>
        <family val="0"/>
        <charset val="1"/>
      </rPr>
      <t xml:space="preserve">_K</t>
    </r>
    <r>
      <rPr>
        <sz val="9"/>
        <color rgb="FF000000"/>
        <rFont val="WenQuanYi Zen Hei"/>
        <family val="2"/>
      </rPr>
      <t xml:space="preserve">給料月額</t>
    </r>
  </si>
  <si>
    <r>
      <rPr>
        <sz val="9"/>
        <color rgb="FF000000"/>
        <rFont val="WenQuanYi Zen Hei"/>
        <family val="2"/>
      </rPr>
      <t xml:space="preserve">計算過程</t>
    </r>
    <r>
      <rPr>
        <sz val="9"/>
        <color rgb="FF000000"/>
        <rFont val="ＭＳ 明朝"/>
        <family val="0"/>
        <charset val="1"/>
      </rPr>
      <t xml:space="preserve">!$B$84</t>
    </r>
  </si>
  <si>
    <r>
      <rPr>
        <sz val="9"/>
        <color rgb="FF000000"/>
        <rFont val="WenQuanYi Zen Hei"/>
        <family val="2"/>
      </rPr>
      <t xml:space="preserve">給料月額</t>
    </r>
    <r>
      <rPr>
        <sz val="9"/>
        <color rgb="FF000000"/>
        <rFont val="ＭＳ 明朝"/>
        <family val="0"/>
        <charset val="1"/>
      </rPr>
      <t xml:space="preserve">(K)</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</si>
  <si>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月額割合</t>
    </r>
  </si>
  <si>
    <r>
      <rPr>
        <sz val="9"/>
        <color rgb="FF000000"/>
        <rFont val="WenQuanYi Zen Hei"/>
        <family val="2"/>
      </rPr>
      <t xml:space="preserve">計算過程</t>
    </r>
    <r>
      <rPr>
        <sz val="9"/>
        <color rgb="FF000000"/>
        <rFont val="ＭＳ 明朝"/>
        <family val="0"/>
        <charset val="1"/>
      </rPr>
      <t xml:space="preserve">!$B$85</t>
    </r>
  </si>
  <si>
    <r>
      <rPr>
        <sz val="9"/>
        <color rgb="FF000000"/>
        <rFont val="WenQuanYi Zen Hei"/>
        <family val="2"/>
      </rPr>
      <t xml:space="preserve">毎月償還額の割合</t>
    </r>
    <r>
      <rPr>
        <sz val="9"/>
        <color rgb="FF000000"/>
        <rFont val="ＭＳ 明朝"/>
        <family val="0"/>
        <charset val="1"/>
      </rPr>
      <t xml:space="preserve">(E÷K)</t>
    </r>
  </si>
  <si>
    <r>
      <rPr>
        <sz val="9"/>
        <color rgb="FF000000"/>
        <rFont val="WenQuanYi Zen Hei"/>
        <family val="2"/>
      </rPr>
      <t xml:space="preserve">計算</t>
    </r>
    <r>
      <rPr>
        <sz val="9"/>
        <color rgb="FF000000"/>
        <rFont val="ＭＳ 明朝"/>
        <family val="0"/>
        <charset val="1"/>
      </rPr>
      <t xml:space="preserve">_L</t>
    </r>
    <r>
      <rPr>
        <sz val="9"/>
        <color rgb="FF000000"/>
        <rFont val="WenQuanYi Zen Hei"/>
        <family val="2"/>
      </rPr>
      <t xml:space="preserve">年間償還額</t>
    </r>
  </si>
  <si>
    <r>
      <rPr>
        <sz val="9"/>
        <color rgb="FF000000"/>
        <rFont val="WenQuanYi Zen Hei"/>
        <family val="2"/>
      </rPr>
      <t xml:space="preserve">計算過程</t>
    </r>
    <r>
      <rPr>
        <sz val="9"/>
        <color rgb="FF000000"/>
        <rFont val="ＭＳ 明朝"/>
        <family val="0"/>
        <charset val="1"/>
      </rPr>
      <t xml:space="preserve">!$B$86</t>
    </r>
  </si>
  <si>
    <r>
      <rPr>
        <sz val="9"/>
        <color rgb="FF000000"/>
        <rFont val="WenQuanYi Zen Hei"/>
        <family val="2"/>
      </rPr>
      <t xml:space="preserve">年間償還額</t>
    </r>
    <r>
      <rPr>
        <sz val="9"/>
        <color rgb="FF000000"/>
        <rFont val="ＭＳ 明朝"/>
        <family val="0"/>
        <charset val="1"/>
      </rPr>
      <t xml:space="preserve">(L)=E×12+J×2</t>
    </r>
  </si>
  <si>
    <r>
      <rPr>
        <sz val="9"/>
        <color rgb="FF000000"/>
        <rFont val="WenQuanYi Zen Hei"/>
        <family val="2"/>
      </rPr>
      <t xml:space="preserve">計算</t>
    </r>
    <r>
      <rPr>
        <sz val="9"/>
        <color rgb="FF000000"/>
        <rFont val="ＭＳ 明朝"/>
        <family val="0"/>
        <charset val="1"/>
      </rPr>
      <t xml:space="preserve">_M</t>
    </r>
    <r>
      <rPr>
        <sz val="9"/>
        <color rgb="FF000000"/>
        <rFont val="WenQuanYi Zen Hei"/>
        <family val="2"/>
      </rPr>
      <t xml:space="preserve">年収額</t>
    </r>
  </si>
  <si>
    <r>
      <rPr>
        <sz val="9"/>
        <color rgb="FF000000"/>
        <rFont val="WenQuanYi Zen Hei"/>
        <family val="2"/>
      </rPr>
      <t xml:space="preserve">計算過程</t>
    </r>
    <r>
      <rPr>
        <sz val="9"/>
        <color rgb="FF000000"/>
        <rFont val="ＭＳ 明朝"/>
        <family val="0"/>
        <charset val="1"/>
      </rPr>
      <t xml:space="preserve">!$B$87</t>
    </r>
  </si>
  <si>
    <r>
      <rPr>
        <sz val="9"/>
        <color rgb="FF000000"/>
        <rFont val="WenQuanYi Zen Hei"/>
        <family val="2"/>
      </rPr>
      <t xml:space="preserve">年収額</t>
    </r>
    <r>
      <rPr>
        <sz val="9"/>
        <color rgb="FF000000"/>
        <rFont val="ＭＳ 明朝"/>
        <family val="0"/>
        <charset val="1"/>
      </rPr>
      <t xml:space="preserve">(M)=K×12+K×4</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</si>
  <si>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年額割合</t>
    </r>
  </si>
  <si>
    <r>
      <rPr>
        <sz val="9"/>
        <color rgb="FF000000"/>
        <rFont val="WenQuanYi Zen Hei"/>
        <family val="2"/>
      </rPr>
      <t xml:space="preserve">計算過程</t>
    </r>
    <r>
      <rPr>
        <sz val="9"/>
        <color rgb="FF000000"/>
        <rFont val="ＭＳ 明朝"/>
        <family val="0"/>
        <charset val="1"/>
      </rPr>
      <t xml:space="preserve">!$B$88</t>
    </r>
  </si>
  <si>
    <r>
      <rPr>
        <sz val="9"/>
        <color rgb="FF000000"/>
        <rFont val="WenQuanYi Zen Hei"/>
        <family val="2"/>
      </rPr>
      <t xml:space="preserve">年間償還額の割合</t>
    </r>
    <r>
      <rPr>
        <sz val="9"/>
        <color rgb="FF000000"/>
        <rFont val="ＭＳ 明朝"/>
        <family val="0"/>
        <charset val="1"/>
      </rPr>
      <t xml:space="preserve">(L÷M)</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</si>
  <si>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今月締切</t>
    </r>
  </si>
  <si>
    <r>
      <rPr>
        <sz val="9"/>
        <color rgb="FF000000"/>
        <rFont val="WenQuanYi Zen Hei"/>
        <family val="2"/>
      </rPr>
      <t xml:space="preserve">計算過程</t>
    </r>
    <r>
      <rPr>
        <sz val="9"/>
        <color rgb="FF000000"/>
        <rFont val="ＭＳ 明朝"/>
        <family val="0"/>
        <charset val="1"/>
      </rPr>
      <t xml:space="preserve">!$B$90</t>
    </r>
  </si>
  <si>
    <t xml:space="preserve">今月の締切日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</si>
  <si>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翌月締切</t>
    </r>
  </si>
  <si>
    <r>
      <rPr>
        <sz val="9"/>
        <color rgb="FF000000"/>
        <rFont val="WenQuanYi Zen Hei"/>
        <family val="2"/>
      </rPr>
      <t xml:space="preserve">計算過程</t>
    </r>
    <r>
      <rPr>
        <sz val="9"/>
        <color rgb="FF000000"/>
        <rFont val="ＭＳ 明朝"/>
        <family val="0"/>
        <charset val="1"/>
      </rPr>
      <t xml:space="preserve">!$B$91</t>
    </r>
  </si>
  <si>
    <t xml:space="preserve">翌月の締切日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</si>
  <si>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申込締切日</t>
    </r>
  </si>
  <si>
    <r>
      <rPr>
        <sz val="9"/>
        <color rgb="FF000000"/>
        <rFont val="WenQuanYi Zen Hei"/>
        <family val="2"/>
      </rPr>
      <t xml:space="preserve">計算過程</t>
    </r>
    <r>
      <rPr>
        <sz val="9"/>
        <color rgb="FF000000"/>
        <rFont val="ＭＳ 明朝"/>
        <family val="0"/>
        <charset val="1"/>
      </rPr>
      <t xml:space="preserve">!$B$92</t>
    </r>
  </si>
  <si>
    <r>
      <rPr>
        <sz val="9"/>
        <color rgb="FF000000"/>
        <rFont val="WenQuanYi Zen Hei"/>
        <family val="2"/>
      </rPr>
      <t xml:space="preserve">申込締切日</t>
    </r>
    <r>
      <rPr>
        <sz val="9"/>
        <color rgb="FF000000"/>
        <rFont val="ＭＳ 明朝"/>
        <family val="0"/>
        <charset val="1"/>
      </rPr>
      <t xml:space="preserve">(</t>
    </r>
    <r>
      <rPr>
        <sz val="9"/>
        <color rgb="FF000000"/>
        <rFont val="WenQuanYi Zen Hei"/>
        <family val="2"/>
      </rPr>
      <t xml:space="preserve">申込予定日に対する</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</si>
  <si>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交付日</t>
    </r>
  </si>
  <si>
    <r>
      <rPr>
        <sz val="9"/>
        <color rgb="FF000000"/>
        <rFont val="WenQuanYi Zen Hei"/>
        <family val="2"/>
      </rPr>
      <t xml:space="preserve">計算過程</t>
    </r>
    <r>
      <rPr>
        <sz val="9"/>
        <color rgb="FF000000"/>
        <rFont val="ＭＳ 明朝"/>
        <family val="0"/>
        <charset val="1"/>
      </rPr>
      <t xml:space="preserve">!$B$93</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</si>
  <si>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償還開始</t>
    </r>
  </si>
  <si>
    <r>
      <rPr>
        <sz val="9"/>
        <color rgb="FF000000"/>
        <rFont val="WenQuanYi Zen Hei"/>
        <family val="2"/>
      </rPr>
      <t xml:space="preserve">計算過程</t>
    </r>
    <r>
      <rPr>
        <sz val="9"/>
        <color rgb="FF000000"/>
        <rFont val="ＭＳ 明朝"/>
        <family val="0"/>
        <charset val="1"/>
      </rPr>
      <t xml:space="preserve">!$B$94</t>
    </r>
  </si>
  <si>
    <t xml:space="preserve">償還開始年月</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</si>
  <si>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償還終了</t>
    </r>
  </si>
  <si>
    <r>
      <rPr>
        <sz val="9"/>
        <color rgb="FF000000"/>
        <rFont val="WenQuanYi Zen Hei"/>
        <family val="2"/>
      </rPr>
      <t xml:space="preserve">計算過程</t>
    </r>
    <r>
      <rPr>
        <sz val="9"/>
        <color rgb="FF000000"/>
        <rFont val="ＭＳ 明朝"/>
        <family val="0"/>
        <charset val="1"/>
      </rPr>
      <t xml:space="preserve">!$B$95</t>
    </r>
  </si>
  <si>
    <t xml:space="preserve">償還終了予定年月</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</si>
  <si>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償還期間表示</t>
    </r>
  </si>
  <si>
    <r>
      <rPr>
        <sz val="9"/>
        <color rgb="FF000000"/>
        <rFont val="WenQuanYi Zen Hei"/>
        <family val="2"/>
      </rPr>
      <t xml:space="preserve">計算過程</t>
    </r>
    <r>
      <rPr>
        <sz val="9"/>
        <color rgb="FF000000"/>
        <rFont val="ＭＳ 明朝"/>
        <family val="0"/>
        <charset val="1"/>
      </rPr>
      <t xml:space="preserve">!$B$96</t>
    </r>
  </si>
  <si>
    <r>
      <rPr>
        <sz val="9"/>
        <color rgb="FF000000"/>
        <rFont val="WenQuanYi Zen Hei"/>
        <family val="2"/>
      </rPr>
      <t xml:space="preserve">償還期間</t>
    </r>
    <r>
      <rPr>
        <sz val="9"/>
        <color rgb="FF000000"/>
        <rFont val="ＭＳ 明朝"/>
        <family val="0"/>
        <charset val="1"/>
      </rPr>
      <t xml:space="preserve">(</t>
    </r>
    <r>
      <rPr>
        <sz val="9"/>
        <color rgb="FF000000"/>
        <rFont val="WenQuanYi Zen Hei"/>
        <family val="2"/>
      </rPr>
      <t xml:space="preserve">表示</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</si>
  <si>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交付日起算</t>
    </r>
  </si>
  <si>
    <r>
      <rPr>
        <sz val="9"/>
        <color rgb="FF000000"/>
        <rFont val="WenQuanYi Zen Hei"/>
        <family val="2"/>
      </rPr>
      <t xml:space="preserve">計算過程</t>
    </r>
    <r>
      <rPr>
        <sz val="9"/>
        <color rgb="FF000000"/>
        <rFont val="ＭＳ 明朝"/>
        <family val="0"/>
        <charset val="1"/>
      </rPr>
      <t xml:space="preserve">!$B$97</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</si>
  <si>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交付日から</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</si>
  <si>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事由日起算</t>
    </r>
  </si>
  <si>
    <r>
      <rPr>
        <sz val="9"/>
        <color rgb="FF000000"/>
        <rFont val="WenQuanYi Zen Hei"/>
        <family val="2"/>
      </rPr>
      <t xml:space="preserve">計算過程</t>
    </r>
    <r>
      <rPr>
        <sz val="9"/>
        <color rgb="FF000000"/>
        <rFont val="ＭＳ 明朝"/>
        <family val="0"/>
        <charset val="1"/>
      </rPr>
      <t xml:space="preserve">!$B$98</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</si>
  <si>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事由発生日から</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</si>
  <si>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入学</t>
    </r>
  </si>
  <si>
    <r>
      <rPr>
        <sz val="9"/>
        <color rgb="FF000000"/>
        <rFont val="WenQuanYi Zen Hei"/>
        <family val="2"/>
      </rPr>
      <t xml:space="preserve">計算過程</t>
    </r>
    <r>
      <rPr>
        <sz val="9"/>
        <color rgb="FF000000"/>
        <rFont val="ＭＳ 明朝"/>
        <family val="0"/>
        <charset val="1"/>
      </rPr>
      <t xml:space="preserve">!$B$99</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</si>
  <si>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入学</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</si>
  <si>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</si>
  <si>
    <r>
      <rPr>
        <sz val="9"/>
        <color rgb="FF000000"/>
        <rFont val="WenQuanYi Zen Hei"/>
        <family val="2"/>
      </rPr>
      <t xml:space="preserve">計算過程</t>
    </r>
    <r>
      <rPr>
        <sz val="9"/>
        <color rgb="FF000000"/>
        <rFont val="ＭＳ 明朝"/>
        <family val="0"/>
        <charset val="1"/>
      </rPr>
      <t xml:space="preserve">!$B$100</t>
    </r>
  </si>
  <si>
    <t xml:space="preserve">交付後の提出期限</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</si>
  <si>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住宅書類列適用</t>
    </r>
  </si>
  <si>
    <r>
      <rPr>
        <sz val="9"/>
        <color rgb="FF000000"/>
        <rFont val="WenQuanYi Zen Hei"/>
        <family val="2"/>
      </rPr>
      <t xml:space="preserve">計算過程</t>
    </r>
    <r>
      <rPr>
        <sz val="9"/>
        <color rgb="FF000000"/>
        <rFont val="ＭＳ 明朝"/>
        <family val="0"/>
        <charset val="1"/>
      </rPr>
      <t xml:space="preserve">!$B$101</t>
    </r>
  </si>
  <si>
    <r>
      <rPr>
        <sz val="9"/>
        <color rgb="FF000000"/>
        <rFont val="WenQuanYi Zen Hei"/>
        <family val="2"/>
      </rPr>
      <t xml:space="preserve">住宅書類の列</t>
    </r>
    <r>
      <rPr>
        <sz val="9"/>
        <color rgb="FF000000"/>
        <rFont val="ＭＳ 明朝"/>
        <family val="0"/>
        <charset val="1"/>
      </rPr>
      <t xml:space="preserve">No(</t>
    </r>
    <r>
      <rPr>
        <sz val="9"/>
        <color rgb="FF000000"/>
        <rFont val="WenQuanYi Zen Hei"/>
        <family val="2"/>
      </rPr>
      <t xml:space="preserve">適用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</si>
  <si>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他機関償還計</t>
    </r>
  </si>
  <si>
    <r>
      <rPr>
        <sz val="9"/>
        <color rgb="FF000000"/>
        <rFont val="WenQuanYi Zen Hei"/>
        <family val="2"/>
      </rPr>
      <t xml:space="preserve">計算過程</t>
    </r>
    <r>
      <rPr>
        <sz val="9"/>
        <color rgb="FF000000"/>
        <rFont val="ＭＳ 明朝"/>
        <family val="0"/>
        <charset val="1"/>
      </rPr>
      <t xml:space="preserve">!$B$103</t>
    </r>
  </si>
  <si>
    <r>
      <rPr>
        <sz val="9"/>
        <color rgb="FF000000"/>
        <rFont val="WenQuanYi Zen Hei"/>
        <family val="2"/>
      </rPr>
      <t xml:space="preserve">他の金融機関等の償還額の合計</t>
    </r>
    <r>
      <rPr>
        <sz val="9"/>
        <color rgb="FF000000"/>
        <rFont val="ＭＳ 明朝"/>
        <family val="0"/>
        <charset val="1"/>
      </rPr>
      <t xml:space="preserve">(A+B+F+G)</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</si>
  <si>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共済既貸付償還計</t>
    </r>
  </si>
  <si>
    <r>
      <rPr>
        <sz val="9"/>
        <color rgb="FF000000"/>
        <rFont val="WenQuanYi Zen Hei"/>
        <family val="2"/>
      </rPr>
      <t xml:space="preserve">計算過程</t>
    </r>
    <r>
      <rPr>
        <sz val="9"/>
        <color rgb="FF000000"/>
        <rFont val="ＭＳ 明朝"/>
        <family val="0"/>
        <charset val="1"/>
      </rPr>
      <t xml:space="preserve">!$B$104</t>
    </r>
  </si>
  <si>
    <r>
      <rPr>
        <sz val="9"/>
        <color rgb="FF000000"/>
        <rFont val="WenQuanYi Zen Hei"/>
        <family val="2"/>
      </rPr>
      <t xml:space="preserve">共済組合の既貸付の償還額の合計</t>
    </r>
    <r>
      <rPr>
        <sz val="9"/>
        <color rgb="FF000000"/>
        <rFont val="ＭＳ 明朝"/>
        <family val="0"/>
        <charset val="1"/>
      </rPr>
      <t xml:space="preserve">(C+H)</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</si>
  <si>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申込可能開始</t>
    </r>
  </si>
  <si>
    <r>
      <rPr>
        <sz val="9"/>
        <color rgb="FF000000"/>
        <rFont val="WenQuanYi Zen Hei"/>
        <family val="2"/>
      </rPr>
      <t xml:space="preserve">計算過程</t>
    </r>
    <r>
      <rPr>
        <sz val="9"/>
        <color rgb="FF000000"/>
        <rFont val="ＭＳ 明朝"/>
        <family val="0"/>
        <charset val="1"/>
      </rPr>
      <t xml:space="preserve">!$B$105</t>
    </r>
  </si>
  <si>
    <t xml:space="preserve">申込可能期間の開始日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</si>
  <si>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申込可能終了</t>
    </r>
  </si>
  <si>
    <r>
      <rPr>
        <sz val="9"/>
        <color rgb="FF000000"/>
        <rFont val="WenQuanYi Zen Hei"/>
        <family val="2"/>
      </rPr>
      <t xml:space="preserve">計算過程</t>
    </r>
    <r>
      <rPr>
        <sz val="9"/>
        <color rgb="FF000000"/>
        <rFont val="ＭＳ 明朝"/>
        <family val="0"/>
        <charset val="1"/>
      </rPr>
      <t xml:space="preserve">!$B$106</t>
    </r>
  </si>
  <si>
    <t xml:space="preserve">申込可能期間の終了日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</si>
  <si>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必要回数</t>
    </r>
  </si>
  <si>
    <r>
      <rPr>
        <sz val="9"/>
        <color rgb="FF000000"/>
        <rFont val="WenQuanYi Zen Hei"/>
        <family val="2"/>
      </rPr>
      <t xml:space="preserve">計算過程</t>
    </r>
    <r>
      <rPr>
        <sz val="9"/>
        <color rgb="FF000000"/>
        <rFont val="ＭＳ 明朝"/>
        <family val="0"/>
        <charset val="1"/>
      </rPr>
      <t xml:space="preserve">!$B$107</t>
    </r>
  </si>
  <si>
    <r>
      <rPr>
        <sz val="9"/>
        <color rgb="FF000000"/>
        <rFont val="ＭＳ 明朝"/>
        <family val="0"/>
        <charset val="1"/>
      </rPr>
      <t xml:space="preserve">30%</t>
    </r>
    <r>
      <rPr>
        <sz val="9"/>
        <color rgb="FF000000"/>
        <rFont val="WenQuanYi Zen Hei"/>
        <family val="2"/>
      </rPr>
      <t xml:space="preserve">以内となる償還回数</t>
    </r>
    <r>
      <rPr>
        <sz val="9"/>
        <color rgb="FF000000"/>
        <rFont val="ＭＳ 明朝"/>
        <family val="0"/>
        <charset val="1"/>
      </rPr>
      <t xml:space="preserve">(</t>
    </r>
    <r>
      <rPr>
        <sz val="9"/>
        <color rgb="FF000000"/>
        <rFont val="WenQuanYi Zen Hei"/>
        <family val="2"/>
      </rPr>
      <t xml:space="preserve">今回の申込額のまま</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</si>
  <si>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上限額万円</t>
    </r>
    <r>
      <rPr>
        <sz val="9"/>
        <color rgb="FF000000"/>
        <rFont val="ＭＳ 明朝"/>
        <family val="0"/>
        <charset val="1"/>
      </rPr>
      <t xml:space="preserve">_</t>
    </r>
    <r>
      <rPr>
        <sz val="9"/>
        <color rgb="FF000000"/>
        <rFont val="WenQuanYi Zen Hei"/>
        <family val="2"/>
      </rPr>
      <t xml:space="preserve">現回数</t>
    </r>
  </si>
  <si>
    <r>
      <rPr>
        <sz val="9"/>
        <color rgb="FF000000"/>
        <rFont val="WenQuanYi Zen Hei"/>
        <family val="2"/>
      </rPr>
      <t xml:space="preserve">計算過程</t>
    </r>
    <r>
      <rPr>
        <sz val="9"/>
        <color rgb="FF000000"/>
        <rFont val="ＭＳ 明朝"/>
        <family val="0"/>
        <charset val="1"/>
      </rPr>
      <t xml:space="preserve">!$B$108</t>
    </r>
  </si>
  <si>
    <r>
      <rPr>
        <sz val="9"/>
        <color rgb="FF000000"/>
        <rFont val="ＭＳ 明朝"/>
        <family val="0"/>
        <charset val="1"/>
      </rPr>
      <t xml:space="preserve">30%</t>
    </r>
    <r>
      <rPr>
        <sz val="9"/>
        <color rgb="FF000000"/>
        <rFont val="WenQuanYi Zen Hei"/>
        <family val="2"/>
      </rPr>
      <t xml:space="preserve">以内となる申込額</t>
    </r>
    <r>
      <rPr>
        <sz val="9"/>
        <color rgb="FF000000"/>
        <rFont val="ＭＳ 明朝"/>
        <family val="0"/>
        <charset val="1"/>
      </rPr>
      <t xml:space="preserve">(</t>
    </r>
    <r>
      <rPr>
        <sz val="9"/>
        <color rgb="FF000000"/>
        <rFont val="WenQuanYi Zen Hei"/>
        <family val="2"/>
      </rPr>
      <t xml:space="preserve">万円・現在の償還回数のまま</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</si>
  <si>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_NG</t>
    </r>
    <r>
      <rPr>
        <sz val="9"/>
        <color rgb="FF000000"/>
        <rFont val="WenQuanYi Zen Hei"/>
        <family val="2"/>
      </rPr>
      <t xml:space="preserve">件数</t>
    </r>
  </si>
  <si>
    <t xml:space="preserve">判定</t>
  </si>
  <si>
    <r>
      <rPr>
        <sz val="9"/>
        <color rgb="FF000000"/>
        <rFont val="WenQuanYi Zen Hei"/>
        <family val="2"/>
      </rPr>
      <t xml:space="preserve">計算過程</t>
    </r>
    <r>
      <rPr>
        <sz val="9"/>
        <color rgb="FF000000"/>
        <rFont val="ＭＳ 明朝"/>
        <family val="0"/>
        <charset val="1"/>
      </rPr>
      <t xml:space="preserve">!$B$152</t>
    </r>
  </si>
  <si>
    <r>
      <rPr>
        <sz val="9"/>
        <color rgb="FF000000"/>
        <rFont val="ＭＳ 明朝"/>
        <family val="0"/>
        <charset val="1"/>
      </rPr>
      <t xml:space="preserve">×</t>
    </r>
    <r>
      <rPr>
        <sz val="9"/>
        <color rgb="FF000000"/>
        <rFont val="WenQuanYi Zen Hei"/>
        <family val="2"/>
      </rPr>
      <t xml:space="preserve">の件数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</si>
  <si>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要確認件数</t>
    </r>
  </si>
  <si>
    <r>
      <rPr>
        <sz val="9"/>
        <color rgb="FF000000"/>
        <rFont val="WenQuanYi Zen Hei"/>
        <family val="2"/>
      </rPr>
      <t xml:space="preserve">計算過程</t>
    </r>
    <r>
      <rPr>
        <sz val="9"/>
        <color rgb="FF000000"/>
        <rFont val="ＭＳ 明朝"/>
        <family val="0"/>
        <charset val="1"/>
      </rPr>
      <t xml:space="preserve">!$B$153</t>
    </r>
  </si>
  <si>
    <t xml:space="preserve">△の件数</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</si>
  <si>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不足項目</t>
    </r>
    <r>
      <rPr>
        <sz val="9"/>
        <color rgb="FF000000"/>
        <rFont val="ＭＳ 明朝"/>
        <family val="0"/>
        <charset val="1"/>
      </rPr>
      <t xml:space="preserve">_</t>
    </r>
    <r>
      <rPr>
        <sz val="9"/>
        <color rgb="FF000000"/>
        <rFont val="WenQuanYi Zen Hei"/>
        <family val="2"/>
      </rPr>
      <t xml:space="preserve">素</t>
    </r>
  </si>
  <si>
    <r>
      <rPr>
        <sz val="9"/>
        <color rgb="FF000000"/>
        <rFont val="WenQuanYi Zen Hei"/>
        <family val="2"/>
      </rPr>
      <t xml:space="preserve">計算過程</t>
    </r>
    <r>
      <rPr>
        <sz val="9"/>
        <color rgb="FF000000"/>
        <rFont val="ＭＳ 明朝"/>
        <family val="0"/>
        <charset val="1"/>
      </rPr>
      <t xml:space="preserve">!$B$154</t>
    </r>
  </si>
  <si>
    <r>
      <rPr>
        <sz val="9"/>
        <color rgb="FF000000"/>
        <rFont val="WenQuanYi Zen Hei"/>
        <family val="2"/>
      </rPr>
      <t xml:space="preserve">入力不足の項目</t>
    </r>
    <r>
      <rPr>
        <sz val="9"/>
        <color rgb="FF000000"/>
        <rFont val="ＭＳ 明朝"/>
        <family val="0"/>
        <charset val="1"/>
      </rPr>
      <t xml:space="preserve">(</t>
    </r>
    <r>
      <rPr>
        <sz val="9"/>
        <color rgb="FF000000"/>
        <rFont val="WenQuanYi Zen Hei"/>
        <family val="2"/>
      </rPr>
      <t xml:space="preserve">末尾に区切りあり</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</si>
  <si>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不足項目</t>
    </r>
  </si>
  <si>
    <r>
      <rPr>
        <sz val="9"/>
        <color rgb="FF000000"/>
        <rFont val="WenQuanYi Zen Hei"/>
        <family val="2"/>
      </rPr>
      <t xml:space="preserve">計算過程</t>
    </r>
    <r>
      <rPr>
        <sz val="9"/>
        <color rgb="FF000000"/>
        <rFont val="ＭＳ 明朝"/>
        <family val="0"/>
        <charset val="1"/>
      </rPr>
      <t xml:space="preserve">!$B$155</t>
    </r>
  </si>
  <si>
    <t xml:space="preserve">入力不足の項目</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</si>
  <si>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総合</t>
    </r>
  </si>
  <si>
    <r>
      <rPr>
        <sz val="9"/>
        <color rgb="FF000000"/>
        <rFont val="WenQuanYi Zen Hei"/>
        <family val="2"/>
      </rPr>
      <t xml:space="preserve">計算過程</t>
    </r>
    <r>
      <rPr>
        <sz val="9"/>
        <color rgb="FF000000"/>
        <rFont val="ＭＳ 明朝"/>
        <family val="0"/>
        <charset val="1"/>
      </rPr>
      <t xml:space="preserve">!$B$156</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</si>
  <si>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普通特別</t>
    </r>
  </si>
  <si>
    <r>
      <rPr>
        <sz val="9"/>
        <color rgb="FF000000"/>
        <rFont val="WenQuanYi Zen Hei"/>
        <family val="2"/>
      </rPr>
      <t xml:space="preserve">計算過程</t>
    </r>
    <r>
      <rPr>
        <sz val="9"/>
        <color rgb="FF000000"/>
        <rFont val="ＭＳ 明朝"/>
        <family val="0"/>
        <charset val="1"/>
      </rPr>
      <t xml:space="preserve">!$B$158</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</si>
  <si>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普通・特別</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</si>
  <si>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災害</t>
    </r>
  </si>
  <si>
    <r>
      <rPr>
        <sz val="9"/>
        <color rgb="FF000000"/>
        <rFont val="WenQuanYi Zen Hei"/>
        <family val="2"/>
      </rPr>
      <t xml:space="preserve">計算過程</t>
    </r>
    <r>
      <rPr>
        <sz val="9"/>
        <color rgb="FF000000"/>
        <rFont val="ＭＳ 明朝"/>
        <family val="0"/>
        <charset val="1"/>
      </rPr>
      <t xml:space="preserve">!$B$159</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</si>
  <si>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災害</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</si>
  <si>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</si>
  <si>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!$B$160</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</si>
  <si>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在宅介護対応住宅</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</si>
  <si>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借用証書金額万円</t>
    </r>
  </si>
  <si>
    <r>
      <rPr>
        <sz val="9"/>
        <color rgb="FF000000"/>
        <rFont val="WenQuanYi Zen Hei"/>
        <family val="2"/>
      </rPr>
      <t xml:space="preserve">計算過程</t>
    </r>
    <r>
      <rPr>
        <sz val="9"/>
        <color rgb="FF000000"/>
        <rFont val="ＭＳ 明朝"/>
        <family val="0"/>
        <charset val="1"/>
      </rPr>
      <t xml:space="preserve">!$B$161</t>
    </r>
  </si>
  <si>
    <r>
      <rPr>
        <sz val="9"/>
        <color rgb="FF000000"/>
        <rFont val="WenQuanYi Zen Hei"/>
        <family val="2"/>
      </rPr>
      <t xml:space="preserve">借用証書の金額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</si>
  <si>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貸付区分</t>
    </r>
  </si>
  <si>
    <r>
      <rPr>
        <sz val="9"/>
        <color rgb="FF000000"/>
        <rFont val="WenQuanYi Zen Hei"/>
        <family val="2"/>
      </rPr>
      <t xml:space="preserve">計算過程</t>
    </r>
    <r>
      <rPr>
        <sz val="9"/>
        <color rgb="FF000000"/>
        <rFont val="ＭＳ 明朝"/>
        <family val="0"/>
        <charset val="1"/>
      </rPr>
      <t xml:space="preserve">!$B$110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</si>
  <si>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貸付区分の選択</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</si>
  <si>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貸付区分</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</si>
  <si>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!$B$111</t>
    </r>
  </si>
  <si>
    <t xml:space="preserve">画面に出す説明文</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</si>
  <si>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給料月額</t>
    </r>
  </si>
  <si>
    <r>
      <rPr>
        <sz val="9"/>
        <color rgb="FF000000"/>
        <rFont val="WenQuanYi Zen Hei"/>
        <family val="2"/>
      </rPr>
      <t xml:space="preserve">計算過程</t>
    </r>
    <r>
      <rPr>
        <sz val="9"/>
        <color rgb="FF000000"/>
        <rFont val="ＭＳ 明朝"/>
        <family val="0"/>
        <charset val="1"/>
      </rPr>
      <t xml:space="preserve">!$B$112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</si>
  <si>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給料月額の入力</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</si>
  <si>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給料月額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</si>
  <si>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</si>
  <si>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組合員期間</t>
    </r>
  </si>
  <si>
    <r>
      <rPr>
        <sz val="9"/>
        <color rgb="FF000000"/>
        <rFont val="WenQuanYi Zen Hei"/>
        <family val="2"/>
      </rPr>
      <t xml:space="preserve">計算過程</t>
    </r>
    <r>
      <rPr>
        <sz val="9"/>
        <color rgb="FF000000"/>
        <rFont val="ＭＳ 明朝"/>
        <family val="0"/>
        <charset val="1"/>
      </rPr>
      <t xml:space="preserve">!$B$114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</si>
  <si>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借受資格</t>
    </r>
    <r>
      <rPr>
        <sz val="9"/>
        <color rgb="FF000000"/>
        <rFont val="ＭＳ 明朝"/>
        <family val="0"/>
        <charset val="1"/>
      </rPr>
      <t xml:space="preserve">(</t>
    </r>
    <r>
      <rPr>
        <sz val="9"/>
        <color rgb="FF000000"/>
        <rFont val="WenQuanYi Zen Hei"/>
        <family val="2"/>
      </rPr>
      <t xml:space="preserve">組合員期間</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</si>
  <si>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組合員期間</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</si>
  <si>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</si>
  <si>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差押さえ</t>
    </r>
  </si>
  <si>
    <r>
      <rPr>
        <sz val="9"/>
        <color rgb="FF000000"/>
        <rFont val="WenQuanYi Zen Hei"/>
        <family val="2"/>
      </rPr>
      <t xml:space="preserve">計算過程</t>
    </r>
    <r>
      <rPr>
        <sz val="9"/>
        <color rgb="FF000000"/>
        <rFont val="ＭＳ 明朝"/>
        <family val="0"/>
        <charset val="1"/>
      </rPr>
      <t xml:space="preserve">!$B$116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</si>
  <si>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給与の差押さえ等の貸付制限</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</si>
  <si>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差押さえ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</si>
  <si>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</si>
  <si>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無給休職</t>
    </r>
  </si>
  <si>
    <r>
      <rPr>
        <sz val="9"/>
        <color rgb="FF000000"/>
        <rFont val="WenQuanYi Zen Hei"/>
        <family val="2"/>
      </rPr>
      <t xml:space="preserve">計算過程</t>
    </r>
    <r>
      <rPr>
        <sz val="9"/>
        <color rgb="FF000000"/>
        <rFont val="ＭＳ 明朝"/>
        <family val="0"/>
        <charset val="1"/>
      </rPr>
      <t xml:space="preserve">!$B$118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</si>
  <si>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無給休職でないこと</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</si>
  <si>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無給休職</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</si>
  <si>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</si>
  <si>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借入状況</t>
    </r>
  </si>
  <si>
    <r>
      <rPr>
        <sz val="9"/>
        <color rgb="FF000000"/>
        <rFont val="WenQuanYi Zen Hei"/>
        <family val="2"/>
      </rPr>
      <t xml:space="preserve">計算過程</t>
    </r>
    <r>
      <rPr>
        <sz val="9"/>
        <color rgb="FF000000"/>
        <rFont val="ＭＳ 明朝"/>
        <family val="0"/>
        <charset val="1"/>
      </rPr>
      <t xml:space="preserve">!$B$120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</si>
  <si>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借入状況の入力</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</si>
  <si>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借入状況</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</si>
  <si>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!$B$121</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</si>
  <si>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</si>
  <si>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計算過程</t>
    </r>
    <r>
      <rPr>
        <sz val="9"/>
        <color rgb="FF000000"/>
        <rFont val="ＭＳ 明朝"/>
        <family val="0"/>
        <charset val="1"/>
      </rPr>
      <t xml:space="preserve">!$B$122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</si>
  <si>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申込時期</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</si>
  <si>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申込時期</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</si>
  <si>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</si>
  <si>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修学月数</t>
    </r>
  </si>
  <si>
    <r>
      <rPr>
        <sz val="9"/>
        <color rgb="FF000000"/>
        <rFont val="WenQuanYi Zen Hei"/>
        <family val="2"/>
      </rPr>
      <t xml:space="preserve">計算過程</t>
    </r>
    <r>
      <rPr>
        <sz val="9"/>
        <color rgb="FF000000"/>
        <rFont val="ＭＳ 明朝"/>
        <family val="0"/>
        <charset val="1"/>
      </rPr>
      <t xml:space="preserve">!$B$124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</si>
  <si>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修学月数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</si>
  <si>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修学月数</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</si>
  <si>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</si>
  <si>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申込額下限単位</t>
    </r>
  </si>
  <si>
    <r>
      <rPr>
        <sz val="9"/>
        <color rgb="FF000000"/>
        <rFont val="WenQuanYi Zen Hei"/>
        <family val="2"/>
      </rPr>
      <t xml:space="preserve">計算過程</t>
    </r>
    <r>
      <rPr>
        <sz val="9"/>
        <color rgb="FF000000"/>
        <rFont val="ＭＳ 明朝"/>
        <family val="0"/>
        <charset val="1"/>
      </rPr>
      <t xml:space="preserve">!$B$126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</si>
  <si>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申込金額の下限・単位</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</si>
  <si>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申込額下限単位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</si>
  <si>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</si>
  <si>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限度額</t>
    </r>
  </si>
  <si>
    <r>
      <rPr>
        <sz val="9"/>
        <color rgb="FF000000"/>
        <rFont val="WenQuanYi Zen Hei"/>
        <family val="2"/>
      </rPr>
      <t xml:space="preserve">計算過程</t>
    </r>
    <r>
      <rPr>
        <sz val="9"/>
        <color rgb="FF000000"/>
        <rFont val="ＭＳ 明朝"/>
        <family val="0"/>
        <charset val="1"/>
      </rPr>
      <t xml:space="preserve">!$B$128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</si>
  <si>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貸付限度額以内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</si>
  <si>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</si>
  <si>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</si>
  <si>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</si>
  <si>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計算過程</t>
    </r>
    <r>
      <rPr>
        <sz val="9"/>
        <color rgb="FF000000"/>
        <rFont val="ＭＳ 明朝"/>
        <family val="0"/>
        <charset val="1"/>
      </rPr>
      <t xml:space="preserve">!$B$130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</si>
  <si>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償還回数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</si>
  <si>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償還回数</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</si>
  <si>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!$B$131</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</si>
  <si>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月額割合</t>
    </r>
  </si>
  <si>
    <r>
      <rPr>
        <sz val="9"/>
        <color rgb="FF000000"/>
        <rFont val="WenQuanYi Zen Hei"/>
        <family val="2"/>
      </rPr>
      <t xml:space="preserve">計算過程</t>
    </r>
    <r>
      <rPr>
        <sz val="9"/>
        <color rgb="FF000000"/>
        <rFont val="ＭＳ 明朝"/>
        <family val="0"/>
        <charset val="1"/>
      </rPr>
      <t xml:space="preserve">!$B$132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</si>
  <si>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毎月償還額の割合</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</si>
  <si>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月額割合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</si>
  <si>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</si>
  <si>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年額割合</t>
    </r>
  </si>
  <si>
    <r>
      <rPr>
        <sz val="9"/>
        <color rgb="FF000000"/>
        <rFont val="WenQuanYi Zen Hei"/>
        <family val="2"/>
      </rPr>
      <t xml:space="preserve">計算過程</t>
    </r>
    <r>
      <rPr>
        <sz val="9"/>
        <color rgb="FF000000"/>
        <rFont val="ＭＳ 明朝"/>
        <family val="0"/>
        <charset val="1"/>
      </rPr>
      <t xml:space="preserve">!$B$134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</si>
  <si>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年間償還額の割合</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</si>
  <si>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年額割合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</si>
  <si>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</si>
  <si>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ボーナス併用</t>
    </r>
  </si>
  <si>
    <r>
      <rPr>
        <sz val="9"/>
        <color rgb="FF000000"/>
        <rFont val="WenQuanYi Zen Hei"/>
        <family val="2"/>
      </rPr>
      <t xml:space="preserve">計算過程</t>
    </r>
    <r>
      <rPr>
        <sz val="9"/>
        <color rgb="FF000000"/>
        <rFont val="ＭＳ 明朝"/>
        <family val="0"/>
        <charset val="1"/>
      </rPr>
      <t xml:space="preserve">!$B$145</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</si>
  <si>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ボーナス併用償還の条件</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</si>
  <si>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ボーナス併用</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</si>
  <si>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!$B$146</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</si>
  <si>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住宅書類区分</t>
    </r>
  </si>
  <si>
    <r>
      <rPr>
        <sz val="9"/>
        <color rgb="FF000000"/>
        <rFont val="WenQuanYi Zen Hei"/>
        <family val="2"/>
      </rPr>
      <t xml:space="preserve">計算過程</t>
    </r>
    <r>
      <rPr>
        <sz val="9"/>
        <color rgb="FF000000"/>
        <rFont val="ＭＳ 明朝"/>
        <family val="0"/>
        <charset val="1"/>
      </rPr>
      <t xml:space="preserve">!$B$147</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</si>
  <si>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住宅書類の区分</t>
    </r>
    <r>
      <rPr>
        <sz val="9"/>
        <color rgb="FF000000"/>
        <rFont val="ＭＳ 明朝"/>
        <family val="0"/>
        <charset val="1"/>
      </rPr>
      <t xml:space="preserve">(</t>
    </r>
    <r>
      <rPr>
        <sz val="9"/>
        <color rgb="FF000000"/>
        <rFont val="WenQuanYi Zen Hei"/>
        <family val="2"/>
      </rPr>
      <t xml:space="preserve">災害住宅・災害再貸付</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</si>
  <si>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住宅書類区分</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</si>
  <si>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!$B$148</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</si>
  <si>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</si>
  <si>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!$B$149</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</si>
  <si>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在宅介護対応住宅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</si>
  <si>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在宅介護</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</si>
  <si>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!$B$150</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</si>
  <si>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1</t>
    </r>
  </si>
  <si>
    <r>
      <rPr>
        <sz val="9"/>
        <color rgb="FF000000"/>
        <rFont val="WenQuanYi Zen Hei"/>
        <family val="2"/>
      </rPr>
      <t xml:space="preserve">計算過程</t>
    </r>
    <r>
      <rPr>
        <sz val="9"/>
        <color rgb="FF000000"/>
        <rFont val="ＭＳ 明朝"/>
        <family val="0"/>
        <charset val="1"/>
      </rPr>
      <t xml:space="preserve">!$B$136</t>
    </r>
  </si>
  <si>
    <r>
      <rPr>
        <sz val="9"/>
        <color rgb="FF000000"/>
        <rFont val="WenQuanYi Zen Hei"/>
        <family val="2"/>
      </rPr>
      <t xml:space="preserve">ボーナス条件</t>
    </r>
    <r>
      <rPr>
        <sz val="9"/>
        <color rgb="FF000000"/>
        <rFont val="ＭＳ 明朝"/>
        <family val="0"/>
        <charset val="1"/>
      </rPr>
      <t xml:space="preserve">1:</t>
    </r>
    <r>
      <rPr>
        <sz val="9"/>
        <color rgb="FF000000"/>
        <rFont val="WenQuanYi Zen Hei"/>
        <family val="2"/>
      </rPr>
      <t xml:space="preserve">住宅系の貸付</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</si>
  <si>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2</t>
    </r>
  </si>
  <si>
    <r>
      <rPr>
        <sz val="9"/>
        <color rgb="FF000000"/>
        <rFont val="WenQuanYi Zen Hei"/>
        <family val="2"/>
      </rPr>
      <t xml:space="preserve">計算過程</t>
    </r>
    <r>
      <rPr>
        <sz val="9"/>
        <color rgb="FF000000"/>
        <rFont val="ＭＳ 明朝"/>
        <family val="0"/>
        <charset val="1"/>
      </rPr>
      <t xml:space="preserve">!$B$137</t>
    </r>
  </si>
  <si>
    <r>
      <rPr>
        <sz val="9"/>
        <color rgb="FF000000"/>
        <rFont val="WenQuanYi Zen Hei"/>
        <family val="2"/>
      </rPr>
      <t xml:space="preserve">ボーナス条件</t>
    </r>
    <r>
      <rPr>
        <sz val="9"/>
        <color rgb="FF000000"/>
        <rFont val="ＭＳ 明朝"/>
        <family val="0"/>
        <charset val="1"/>
      </rPr>
      <t xml:space="preserve">2:</t>
    </r>
    <r>
      <rPr>
        <sz val="9"/>
        <color rgb="FF000000"/>
        <rFont val="WenQuanYi Zen Hei"/>
        <family val="2"/>
      </rPr>
      <t xml:space="preserve">申込額が下限以上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</si>
  <si>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3</t>
    </r>
  </si>
  <si>
    <r>
      <rPr>
        <sz val="9"/>
        <color rgb="FF000000"/>
        <rFont val="WenQuanYi Zen Hei"/>
        <family val="2"/>
      </rPr>
      <t xml:space="preserve">計算過程</t>
    </r>
    <r>
      <rPr>
        <sz val="9"/>
        <color rgb="FF000000"/>
        <rFont val="ＭＳ 明朝"/>
        <family val="0"/>
        <charset val="1"/>
      </rPr>
      <t xml:space="preserve">!$B$138</t>
    </r>
  </si>
  <si>
    <r>
      <rPr>
        <sz val="9"/>
        <color rgb="FF000000"/>
        <rFont val="WenQuanYi Zen Hei"/>
        <family val="2"/>
      </rPr>
      <t xml:space="preserve">ボーナス条件</t>
    </r>
    <r>
      <rPr>
        <sz val="9"/>
        <color rgb="FF000000"/>
        <rFont val="ＭＳ 明朝"/>
        <family val="0"/>
        <charset val="1"/>
      </rPr>
      <t xml:space="preserve">3:</t>
    </r>
    <r>
      <rPr>
        <sz val="9"/>
        <color rgb="FF000000"/>
        <rFont val="WenQuanYi Zen Hei"/>
        <family val="2"/>
      </rPr>
      <t xml:space="preserve">賞与分が下限以上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</si>
  <si>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4</t>
    </r>
  </si>
  <si>
    <r>
      <rPr>
        <sz val="9"/>
        <color rgb="FF000000"/>
        <rFont val="WenQuanYi Zen Hei"/>
        <family val="2"/>
      </rPr>
      <t xml:space="preserve">計算過程</t>
    </r>
    <r>
      <rPr>
        <sz val="9"/>
        <color rgb="FF000000"/>
        <rFont val="ＭＳ 明朝"/>
        <family val="0"/>
        <charset val="1"/>
      </rPr>
      <t xml:space="preserve">!$B$139</t>
    </r>
  </si>
  <si>
    <r>
      <rPr>
        <sz val="9"/>
        <color rgb="FF000000"/>
        <rFont val="WenQuanYi Zen Hei"/>
        <family val="2"/>
      </rPr>
      <t xml:space="preserve">ボーナス条件</t>
    </r>
    <r>
      <rPr>
        <sz val="9"/>
        <color rgb="FF000000"/>
        <rFont val="ＭＳ 明朝"/>
        <family val="0"/>
        <charset val="1"/>
      </rPr>
      <t xml:space="preserve">4:</t>
    </r>
    <r>
      <rPr>
        <sz val="9"/>
        <color rgb="FF000000"/>
        <rFont val="WenQuanYi Zen Hei"/>
        <family val="2"/>
      </rPr>
      <t xml:space="preserve">賞与分が貸付額の</t>
    </r>
    <r>
      <rPr>
        <sz val="9"/>
        <color rgb="FF000000"/>
        <rFont val="ＭＳ 明朝"/>
        <family val="0"/>
        <charset val="1"/>
      </rPr>
      <t xml:space="preserve">1/2</t>
    </r>
    <r>
      <rPr>
        <sz val="9"/>
        <color rgb="FF000000"/>
        <rFont val="WenQuanYi Zen Hei"/>
        <family val="2"/>
      </rPr>
      <t xml:space="preserve">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</si>
  <si>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5</t>
    </r>
  </si>
  <si>
    <r>
      <rPr>
        <sz val="9"/>
        <color rgb="FF000000"/>
        <rFont val="WenQuanYi Zen Hei"/>
        <family val="2"/>
      </rPr>
      <t xml:space="preserve">計算過程</t>
    </r>
    <r>
      <rPr>
        <sz val="9"/>
        <color rgb="FF000000"/>
        <rFont val="ＭＳ 明朝"/>
        <family val="0"/>
        <charset val="1"/>
      </rPr>
      <t xml:space="preserve">!$B$140</t>
    </r>
  </si>
  <si>
    <r>
      <rPr>
        <sz val="9"/>
        <color rgb="FF000000"/>
        <rFont val="WenQuanYi Zen Hei"/>
        <family val="2"/>
      </rPr>
      <t xml:space="preserve">ボーナス条件</t>
    </r>
    <r>
      <rPr>
        <sz val="9"/>
        <color rgb="FF000000"/>
        <rFont val="ＭＳ 明朝"/>
        <family val="0"/>
        <charset val="1"/>
      </rPr>
      <t xml:space="preserve">5:</t>
    </r>
    <r>
      <rPr>
        <sz val="9"/>
        <color rgb="FF000000"/>
        <rFont val="WenQuanYi Zen Hei"/>
        <family val="2"/>
      </rPr>
      <t xml:space="preserve">賞与分が単位どおり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</si>
  <si>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6</t>
    </r>
  </si>
  <si>
    <r>
      <rPr>
        <sz val="9"/>
        <color rgb="FF000000"/>
        <rFont val="WenQuanYi Zen Hei"/>
        <family val="2"/>
      </rPr>
      <t xml:space="preserve">計算過程</t>
    </r>
    <r>
      <rPr>
        <sz val="9"/>
        <color rgb="FF000000"/>
        <rFont val="ＭＳ 明朝"/>
        <family val="0"/>
        <charset val="1"/>
      </rPr>
      <t xml:space="preserve">!$B$141</t>
    </r>
  </si>
  <si>
    <r>
      <rPr>
        <sz val="9"/>
        <color rgb="FF000000"/>
        <rFont val="WenQuanYi Zen Hei"/>
        <family val="2"/>
      </rPr>
      <t xml:space="preserve">ボーナス条件</t>
    </r>
    <r>
      <rPr>
        <sz val="9"/>
        <color rgb="FF000000"/>
        <rFont val="ＭＳ 明朝"/>
        <family val="0"/>
        <charset val="1"/>
      </rPr>
      <t xml:space="preserve">6:</t>
    </r>
    <r>
      <rPr>
        <sz val="9"/>
        <color rgb="FF000000"/>
        <rFont val="WenQuanYi Zen Hei"/>
        <family val="2"/>
      </rPr>
      <t xml:space="preserve">賞与回数が</t>
    </r>
    <r>
      <rPr>
        <sz val="9"/>
        <color rgb="FF000000"/>
        <rFont val="ＭＳ 明朝"/>
        <family val="0"/>
        <charset val="1"/>
      </rPr>
      <t xml:space="preserve">1</t>
    </r>
    <r>
      <rPr>
        <sz val="9"/>
        <color rgb="FF000000"/>
        <rFont val="WenQuanYi Zen Hei"/>
        <family val="2"/>
      </rPr>
      <t xml:space="preserve">回以上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</si>
  <si>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7</t>
    </r>
  </si>
  <si>
    <r>
      <rPr>
        <sz val="9"/>
        <color rgb="FF000000"/>
        <rFont val="WenQuanYi Zen Hei"/>
        <family val="2"/>
      </rPr>
      <t xml:space="preserve">計算過程</t>
    </r>
    <r>
      <rPr>
        <sz val="9"/>
        <color rgb="FF000000"/>
        <rFont val="ＭＳ 明朝"/>
        <family val="0"/>
        <charset val="1"/>
      </rPr>
      <t xml:space="preserve">!$B$142</t>
    </r>
  </si>
  <si>
    <r>
      <rPr>
        <sz val="9"/>
        <color rgb="FF000000"/>
        <rFont val="WenQuanYi Zen Hei"/>
        <family val="2"/>
      </rPr>
      <t xml:space="preserve">ボーナス条件</t>
    </r>
    <r>
      <rPr>
        <sz val="9"/>
        <color rgb="FF000000"/>
        <rFont val="ＭＳ 明朝"/>
        <family val="0"/>
        <charset val="1"/>
      </rPr>
      <t xml:space="preserve">7:</t>
    </r>
    <r>
      <rPr>
        <sz val="9"/>
        <color rgb="FF000000"/>
        <rFont val="WenQuanYi Zen Hei"/>
        <family val="2"/>
      </rPr>
      <t xml:space="preserve">賞与回数が上限以内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</si>
  <si>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8</t>
    </r>
  </si>
  <si>
    <r>
      <rPr>
        <sz val="9"/>
        <color rgb="FF000000"/>
        <rFont val="WenQuanYi Zen Hei"/>
        <family val="2"/>
      </rPr>
      <t xml:space="preserve">計算過程</t>
    </r>
    <r>
      <rPr>
        <sz val="9"/>
        <color rgb="FF000000"/>
        <rFont val="ＭＳ 明朝"/>
        <family val="0"/>
        <charset val="1"/>
      </rPr>
      <t xml:space="preserve">!$B$143</t>
    </r>
  </si>
  <si>
    <r>
      <rPr>
        <sz val="9"/>
        <color rgb="FF000000"/>
        <rFont val="WenQuanYi Zen Hei"/>
        <family val="2"/>
      </rPr>
      <t xml:space="preserve">ボーナス条件</t>
    </r>
    <r>
      <rPr>
        <sz val="9"/>
        <color rgb="FF000000"/>
        <rFont val="ＭＳ 明朝"/>
        <family val="0"/>
        <charset val="1"/>
      </rPr>
      <t xml:space="preserve">8:</t>
    </r>
    <r>
      <rPr>
        <sz val="9"/>
        <color rgb="FF000000"/>
        <rFont val="WenQuanYi Zen Hei"/>
        <family val="2"/>
      </rPr>
      <t xml:space="preserve">賞与の期間が毎月償還の期間以内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</si>
  <si>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9</t>
    </r>
  </si>
  <si>
    <r>
      <rPr>
        <sz val="9"/>
        <color rgb="FF000000"/>
        <rFont val="WenQuanYi Zen Hei"/>
        <family val="2"/>
      </rPr>
      <t xml:space="preserve">計算過程</t>
    </r>
    <r>
      <rPr>
        <sz val="9"/>
        <color rgb="FF000000"/>
        <rFont val="ＭＳ 明朝"/>
        <family val="0"/>
        <charset val="1"/>
      </rPr>
      <t xml:space="preserve">!$B$144</t>
    </r>
  </si>
  <si>
    <r>
      <rPr>
        <sz val="9"/>
        <color rgb="FF000000"/>
        <rFont val="WenQuanYi Zen Hei"/>
        <family val="2"/>
      </rPr>
      <t xml:space="preserve">ボーナス条件</t>
    </r>
    <r>
      <rPr>
        <sz val="9"/>
        <color rgb="FF000000"/>
        <rFont val="ＭＳ 明朝"/>
        <family val="0"/>
        <charset val="1"/>
      </rPr>
      <t xml:space="preserve">9:1</t>
    </r>
    <r>
      <rPr>
        <sz val="9"/>
        <color rgb="FF000000"/>
        <rFont val="WenQuanYi Zen Hei"/>
        <family val="2"/>
      </rPr>
      <t xml:space="preserve">回の賞与額が給料月額以内</t>
    </r>
  </si>
  <si>
    <r>
      <rPr>
        <i val="true"/>
        <sz val="10"/>
        <color rgb="FF595959"/>
        <rFont val="WenQuanYi Zen Hei"/>
        <family val="2"/>
      </rPr>
      <t xml:space="preserve">出典</t>
    </r>
    <r>
      <rPr>
        <i val="true"/>
        <sz val="10"/>
        <color rgb="FF595959"/>
        <rFont val="ＭＳ 明朝"/>
        <family val="0"/>
        <charset val="1"/>
      </rPr>
      <t xml:space="preserve">:</t>
    </r>
    <r>
      <rPr>
        <i val="true"/>
        <sz val="10"/>
        <color rgb="FF595959"/>
        <rFont val="WenQuanYi Zen Hei"/>
        <family val="2"/>
      </rPr>
      <t xml:space="preserve">広島市職員共済組合ハンドブック</t>
    </r>
    <r>
      <rPr>
        <i val="true"/>
        <sz val="10"/>
        <color rgb="FF595959"/>
        <rFont val="ＭＳ 明朝"/>
        <family val="0"/>
        <charset val="1"/>
      </rPr>
      <t xml:space="preserve">(</t>
    </r>
    <r>
      <rPr>
        <i val="true"/>
        <sz val="10"/>
        <color rgb="FF595959"/>
        <rFont val="WenQuanYi Zen Hei"/>
        <family val="2"/>
      </rPr>
      <t xml:space="preserve">令和</t>
    </r>
    <r>
      <rPr>
        <i val="true"/>
        <sz val="10"/>
        <color rgb="FF595959"/>
        <rFont val="ＭＳ 明朝"/>
        <family val="0"/>
        <charset val="1"/>
      </rPr>
      <t xml:space="preserve">8</t>
    </r>
    <r>
      <rPr>
        <i val="true"/>
        <sz val="10"/>
        <color rgb="FF595959"/>
        <rFont val="WenQuanYi Zen Hei"/>
        <family val="2"/>
      </rPr>
      <t xml:space="preserve">年度改訂版</t>
    </r>
    <r>
      <rPr>
        <i val="true"/>
        <sz val="10"/>
        <color rgb="FF595959"/>
        <rFont val="ＭＳ 明朝"/>
        <family val="0"/>
        <charset val="1"/>
      </rPr>
      <t xml:space="preserve">)40</t>
    </r>
    <r>
      <rPr>
        <i val="true"/>
        <sz val="10"/>
        <color rgb="FF595959"/>
        <rFont val="WenQuanYi Zen Hei"/>
        <family val="2"/>
      </rPr>
      <t xml:space="preserve">〜</t>
    </r>
    <r>
      <rPr>
        <i val="true"/>
        <sz val="10"/>
        <color rgb="FF595959"/>
        <rFont val="ＭＳ 明朝"/>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</si>
  <si>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ＭＳ 明朝"/>
        <family val="0"/>
        <charset val="1"/>
      </rPr>
      <t xml:space="preserve">1. </t>
    </r>
    <r>
      <rPr>
        <b val="true"/>
        <sz val="10"/>
        <color rgb="FF000000"/>
        <rFont val="WenQuanYi Zen Hei"/>
        <family val="2"/>
      </rPr>
      <t xml:space="preserve">利率・基準値</t>
    </r>
    <r>
      <rPr>
        <b val="true"/>
        <sz val="10"/>
        <color rgb="FF000000"/>
        <rFont val="ＭＳ 明朝"/>
        <family val="0"/>
        <charset val="1"/>
      </rPr>
      <t xml:space="preserve">(</t>
    </r>
    <r>
      <rPr>
        <b val="true"/>
        <sz val="10"/>
        <color rgb="FF000000"/>
        <rFont val="WenQuanYi Zen Hei"/>
        <family val="2"/>
      </rPr>
      <t xml:space="preserve">令和</t>
    </r>
    <r>
      <rPr>
        <b val="true"/>
        <sz val="10"/>
        <color rgb="FF000000"/>
        <rFont val="ＭＳ 明朝"/>
        <family val="0"/>
        <charset val="1"/>
      </rPr>
      <t xml:space="preserve">8</t>
    </r>
    <r>
      <rPr>
        <b val="true"/>
        <sz val="10"/>
        <color rgb="FF000000"/>
        <rFont val="WenQuanYi Zen Hei"/>
        <family val="2"/>
      </rPr>
      <t xml:space="preserve">年</t>
    </r>
    <r>
      <rPr>
        <b val="true"/>
        <sz val="10"/>
        <color rgb="FF000000"/>
        <rFont val="ＭＳ 明朝"/>
        <family val="0"/>
        <charset val="1"/>
      </rPr>
      <t xml:space="preserve">4</t>
    </r>
    <r>
      <rPr>
        <b val="true"/>
        <sz val="10"/>
        <color rgb="FF000000"/>
        <rFont val="WenQuanYi Zen Hei"/>
        <family val="2"/>
      </rPr>
      <t xml:space="preserve">月</t>
    </r>
    <r>
      <rPr>
        <b val="true"/>
        <sz val="10"/>
        <color rgb="FF000000"/>
        <rFont val="ＭＳ 明朝"/>
        <family val="0"/>
        <charset val="1"/>
      </rPr>
      <t xml:space="preserve">1</t>
    </r>
    <r>
      <rPr>
        <b val="true"/>
        <sz val="10"/>
        <color rgb="FF000000"/>
        <rFont val="WenQuanYi Zen Hei"/>
        <family val="2"/>
      </rPr>
      <t xml:space="preserve">日現在</t>
    </r>
    <r>
      <rPr>
        <b val="true"/>
        <sz val="10"/>
        <color rgb="FF000000"/>
        <rFont val="ＭＳ 明朝"/>
        <family val="0"/>
        <charset val="1"/>
      </rPr>
      <t xml:space="preserve">)</t>
    </r>
  </si>
  <si>
    <r>
      <rPr>
        <sz val="10"/>
        <color rgb="FF000000"/>
        <rFont val="WenQuanYi Zen Hei"/>
        <family val="2"/>
      </rPr>
      <t xml:space="preserve">普通貸付・特別貸付の利率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</si>
  <si>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p.41 </t>
    </r>
    <r>
      <rPr>
        <i val="true"/>
        <sz val="10"/>
        <color rgb="FF595959"/>
        <rFont val="WenQuanYi Zen Hei"/>
        <family val="2"/>
      </rPr>
      <t xml:space="preserve">変動利率</t>
    </r>
  </si>
  <si>
    <r>
      <rPr>
        <sz val="10"/>
        <color rgb="FF000000"/>
        <rFont val="WenQuanYi Zen Hei"/>
        <family val="2"/>
      </rPr>
      <t xml:space="preserve">住宅貸付の利率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</si>
  <si>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p.42 </t>
    </r>
    <r>
      <rPr>
        <i val="true"/>
        <sz val="10"/>
        <color rgb="FF595959"/>
        <rFont val="WenQuanYi Zen Hei"/>
        <family val="2"/>
      </rPr>
      <t xml:space="preserve">変動利率</t>
    </r>
  </si>
  <si>
    <r>
      <rPr>
        <sz val="10"/>
        <color rgb="FF000000"/>
        <rFont val="WenQuanYi Zen Hei"/>
        <family val="2"/>
      </rPr>
      <t xml:space="preserve">災害貸付の利率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</si>
  <si>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p.45 </t>
    </r>
    <r>
      <rPr>
        <i val="true"/>
        <sz val="10"/>
        <color rgb="FF595959"/>
        <rFont val="WenQuanYi Zen Hei"/>
        <family val="2"/>
      </rPr>
      <t xml:space="preserve">変動利率</t>
    </r>
  </si>
  <si>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</si>
  <si>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ＭＳ 明朝"/>
        <family val="0"/>
        <charset val="1"/>
      </rPr>
      <t xml:space="preserve">0.26%</t>
    </r>
    <r>
      <rPr>
        <i val="true"/>
        <sz val="10"/>
        <color rgb="FF595959"/>
        <rFont val="WenQuanYi Zen Hei"/>
        <family val="2"/>
      </rPr>
      <t xml:space="preserve">低い</t>
    </r>
    <r>
      <rPr>
        <i val="true"/>
        <sz val="10"/>
        <color rgb="FF595959"/>
        <rFont val="ＭＳ 明朝"/>
        <family val="0"/>
        <charset val="1"/>
      </rPr>
      <t xml:space="preserve">(</t>
    </r>
    <r>
      <rPr>
        <i val="true"/>
        <sz val="10"/>
        <color rgb="FF595959"/>
        <rFont val="WenQuanYi Zen Hei"/>
        <family val="2"/>
      </rPr>
      <t xml:space="preserve">借用証書では年</t>
    </r>
    <r>
      <rPr>
        <i val="true"/>
        <sz val="10"/>
        <color rgb="FF595959"/>
        <rFont val="ＭＳ 明朝"/>
        <family val="0"/>
        <charset val="1"/>
      </rPr>
      <t xml:space="preserve">1.00%)</t>
    </r>
  </si>
  <si>
    <r>
      <rPr>
        <sz val="10"/>
        <color rgb="FF000000"/>
        <rFont val="WenQuanYi Zen Hei"/>
        <family val="2"/>
      </rPr>
      <t xml:space="preserve">償還額割合の上限</t>
    </r>
    <r>
      <rPr>
        <sz val="10"/>
        <color rgb="FF000000"/>
        <rFont val="ＭＳ 明朝"/>
        <family val="0"/>
        <charset val="1"/>
      </rPr>
      <t xml:space="preserve">(</t>
    </r>
    <r>
      <rPr>
        <sz val="10"/>
        <color rgb="FF000000"/>
        <rFont val="WenQuanYi Zen Hei"/>
        <family val="2"/>
      </rPr>
      <t xml:space="preserve">給料月額・年収額</t>
    </r>
    <r>
      <rPr>
        <sz val="10"/>
        <color rgb="FF000000"/>
        <rFont val="ＭＳ 明朝"/>
        <family val="0"/>
        <charset val="1"/>
      </rPr>
      <t xml:space="preserve">)</t>
    </r>
  </si>
  <si>
    <r>
      <rPr>
        <i val="true"/>
        <sz val="10"/>
        <color rgb="FF595959"/>
        <rFont val="WenQuanYi Zen Hei"/>
        <family val="2"/>
      </rPr>
      <t xml:space="preserve">他の金融機関等を含む。</t>
    </r>
    <r>
      <rPr>
        <i val="true"/>
        <sz val="10"/>
        <color rgb="FF595959"/>
        <rFont val="ＭＳ 明朝"/>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</si>
  <si>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</si>
  <si>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ＭＳ 明朝"/>
        <family val="0"/>
        <charset val="1"/>
      </rPr>
      <t xml:space="preserve">×12</t>
    </r>
    <r>
      <rPr>
        <i val="true"/>
        <sz val="10"/>
        <color rgb="FF595959"/>
        <rFont val="WenQuanYi Zen Hei"/>
        <family val="2"/>
      </rPr>
      <t xml:space="preserve">＋Ｋ</t>
    </r>
    <r>
      <rPr>
        <i val="true"/>
        <sz val="10"/>
        <color rgb="FF595959"/>
        <rFont val="ＭＳ 明朝"/>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</si>
  <si>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</si>
  <si>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全貸付共通</t>
    </r>
    <r>
      <rPr>
        <i val="true"/>
        <sz val="10"/>
        <color rgb="FF595959"/>
        <rFont val="ＭＳ 明朝"/>
        <family val="0"/>
        <charset val="1"/>
      </rPr>
      <t xml:space="preserve">(10</t>
    </r>
    <r>
      <rPr>
        <i val="true"/>
        <sz val="10"/>
        <color rgb="FF595959"/>
        <rFont val="WenQuanYi Zen Hei"/>
        <family val="2"/>
      </rPr>
      <t xml:space="preserve">万円以上</t>
    </r>
    <r>
      <rPr>
        <i val="true"/>
        <sz val="10"/>
        <color rgb="FF595959"/>
        <rFont val="ＭＳ 明朝"/>
        <family val="0"/>
        <charset val="1"/>
      </rPr>
      <t xml:space="preserve">)</t>
    </r>
  </si>
  <si>
    <r>
      <rPr>
        <sz val="10"/>
        <color rgb="FF000000"/>
        <rFont val="WenQuanYi Zen Hei"/>
        <family val="2"/>
      </rPr>
      <t xml:space="preserve">在宅介護対応住宅の加算限度額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</si>
  <si>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該当部分の金額に対し</t>
    </r>
    <r>
      <rPr>
        <i val="true"/>
        <sz val="10"/>
        <color rgb="FF595959"/>
        <rFont val="ＭＳ 明朝"/>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</si>
  <si>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ＭＳ 明朝"/>
        <family val="0"/>
        <charset val="1"/>
      </rPr>
      <t xml:space="preserve">:</t>
    </r>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</si>
  <si>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申込金額が</t>
    </r>
    <r>
      <rPr>
        <i val="true"/>
        <sz val="10"/>
        <color rgb="FF595959"/>
        <rFont val="ＭＳ 明朝"/>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</si>
  <si>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</si>
  <si>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</si>
  <si>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ＭＳ 明朝"/>
        <family val="0"/>
        <charset val="1"/>
      </rPr>
      <t xml:space="preserve">(</t>
    </r>
    <r>
      <rPr>
        <sz val="10"/>
        <color rgb="FF000000"/>
        <rFont val="WenQuanYi Zen Hei"/>
        <family val="2"/>
      </rPr>
      <t xml:space="preserve">貸付金額に対する割合</t>
    </r>
    <r>
      <rPr>
        <sz val="10"/>
        <color rgb="FF000000"/>
        <rFont val="ＭＳ 明朝"/>
        <family val="0"/>
        <charset val="1"/>
      </rPr>
      <t xml:space="preserve">)</t>
    </r>
  </si>
  <si>
    <r>
      <rPr>
        <i val="true"/>
        <sz val="10"/>
        <color rgb="FF595959"/>
        <rFont val="WenQuanYi Zen Hei"/>
        <family val="2"/>
      </rPr>
      <t xml:space="preserve">貸付金額の</t>
    </r>
    <r>
      <rPr>
        <i val="true"/>
        <sz val="10"/>
        <color rgb="FF595959"/>
        <rFont val="ＭＳ 明朝"/>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</si>
  <si>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</si>
  <si>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</si>
  <si>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</si>
  <si>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ＭＳ 明朝"/>
        <family val="0"/>
        <charset val="1"/>
      </rPr>
      <t xml:space="preserve">60</t>
    </r>
    <r>
      <rPr>
        <i val="true"/>
        <sz val="10"/>
        <color rgb="FF595959"/>
        <rFont val="WenQuanYi Zen Hei"/>
        <family val="2"/>
      </rPr>
      <t xml:space="preserve">回以内</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</si>
  <si>
    <r>
      <rPr>
        <sz val="10"/>
        <color rgb="FF000000"/>
        <rFont val="WenQuanYi Zen Hei"/>
        <family val="2"/>
      </rPr>
      <t xml:space="preserve">住宅貸付の借受に必要な組合員期間</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</si>
  <si>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組合員期間</t>
    </r>
    <r>
      <rPr>
        <i val="true"/>
        <sz val="10"/>
        <color rgb="FF595959"/>
        <rFont val="ＭＳ 明朝"/>
        <family val="0"/>
        <charset val="1"/>
      </rPr>
      <t xml:space="preserve">1</t>
    </r>
    <r>
      <rPr>
        <i val="true"/>
        <sz val="10"/>
        <color rgb="FF595959"/>
        <rFont val="WenQuanYi Zen Hei"/>
        <family val="2"/>
      </rPr>
      <t xml:space="preserve">年以上</t>
    </r>
    <r>
      <rPr>
        <i val="true"/>
        <sz val="10"/>
        <color rgb="FF595959"/>
        <rFont val="ＭＳ 明朝"/>
        <family val="0"/>
        <charset val="1"/>
      </rPr>
      <t xml:space="preserve">(</t>
    </r>
    <r>
      <rPr>
        <i val="true"/>
        <sz val="10"/>
        <color rgb="FF595959"/>
        <rFont val="WenQuanYi Zen Hei"/>
        <family val="2"/>
      </rPr>
      <t xml:space="preserve">災害住宅貸付は</t>
    </r>
    <r>
      <rPr>
        <i val="true"/>
        <sz val="10"/>
        <color rgb="FF595959"/>
        <rFont val="ＭＳ 明朝"/>
        <family val="0"/>
        <charset val="1"/>
      </rPr>
      <t xml:space="preserve">1</t>
    </r>
    <r>
      <rPr>
        <i val="true"/>
        <sz val="10"/>
        <color rgb="FF595959"/>
        <rFont val="WenQuanYi Zen Hei"/>
        <family val="2"/>
      </rPr>
      <t xml:space="preserve">年未満も可</t>
    </r>
    <r>
      <rPr>
        <i val="true"/>
        <sz val="10"/>
        <color rgb="FF595959"/>
        <rFont val="ＭＳ 明朝"/>
        <family val="0"/>
        <charset val="1"/>
      </rPr>
      <t xml:space="preserve">)</t>
    </r>
  </si>
  <si>
    <r>
      <rPr>
        <sz val="10"/>
        <color rgb="FF000000"/>
        <rFont val="WenQuanYi Zen Hei"/>
        <family val="2"/>
      </rPr>
      <t xml:space="preserve">修学貸付</t>
    </r>
    <r>
      <rPr>
        <sz val="10"/>
        <color rgb="FF000000"/>
        <rFont val="ＭＳ 明朝"/>
        <family val="0"/>
        <charset val="1"/>
      </rPr>
      <t xml:space="preserve">:1</t>
    </r>
    <r>
      <rPr>
        <sz val="10"/>
        <color rgb="FF000000"/>
        <rFont val="WenQuanYi Zen Hei"/>
        <family val="2"/>
      </rPr>
      <t xml:space="preserve">か月あたりの貸付額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</si>
  <si>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か月につき</t>
    </r>
    <r>
      <rPr>
        <i val="true"/>
        <sz val="10"/>
        <color rgb="FF595959"/>
        <rFont val="ＭＳ 明朝"/>
        <family val="0"/>
        <charset val="1"/>
      </rPr>
      <t xml:space="preserve">15</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学年単位、修業年限以内</t>
    </r>
    <r>
      <rPr>
        <i val="true"/>
        <sz val="10"/>
        <color rgb="FF595959"/>
        <rFont val="ＭＳ 明朝"/>
        <family val="0"/>
        <charset val="1"/>
      </rPr>
      <t xml:space="preserve">)</t>
    </r>
  </si>
  <si>
    <r>
      <rPr>
        <b val="true"/>
        <sz val="10"/>
        <color rgb="FF000000"/>
        <rFont val="ＭＳ 明朝"/>
        <family val="0"/>
        <charset val="1"/>
      </rPr>
      <t xml:space="preserve">2.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区分ごとの限度額・単位・償還回数・書類・日程のルール</t>
    </r>
    <r>
      <rPr>
        <b val="true"/>
        <sz val="10"/>
        <color rgb="FF000000"/>
        <rFont val="ＭＳ 明朝"/>
        <family val="0"/>
        <charset val="1"/>
      </rPr>
      <t xml:space="preserve">)</t>
    </r>
  </si>
  <si>
    <t xml:space="preserve">給料月数</t>
  </si>
  <si>
    <r>
      <rPr>
        <b val="true"/>
        <sz val="10"/>
        <color rgb="FF000000"/>
        <rFont val="WenQuanYi Zen Hei"/>
        <family val="2"/>
      </rPr>
      <t xml:space="preserve">上限額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</si>
  <si>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申込単位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</si>
  <si>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申込締切日</t>
    </r>
    <r>
      <rPr>
        <b val="true"/>
        <sz val="10"/>
        <color rgb="FF000000"/>
        <rFont val="ＭＳ 明朝"/>
        <family val="0"/>
        <charset val="1"/>
      </rPr>
      <t xml:space="preserve">(</t>
    </r>
    <r>
      <rPr>
        <b val="true"/>
        <sz val="10"/>
        <color rgb="FF000000"/>
        <rFont val="WenQuanYi Zen Hei"/>
        <family val="2"/>
      </rPr>
      <t xml:space="preserve">毎月○日</t>
    </r>
    <r>
      <rPr>
        <b val="true"/>
        <sz val="10"/>
        <color rgb="FF000000"/>
        <rFont val="ＭＳ 明朝"/>
        <family val="0"/>
        <charset val="1"/>
      </rPr>
      <t xml:space="preserve">)</t>
    </r>
  </si>
  <si>
    <r>
      <rPr>
        <b val="true"/>
        <sz val="10"/>
        <color rgb="FF000000"/>
        <rFont val="WenQuanYi Zen Hei"/>
        <family val="2"/>
      </rPr>
      <t xml:space="preserve">住宅書類の列</t>
    </r>
    <r>
      <rPr>
        <b val="true"/>
        <sz val="10"/>
        <color rgb="FF000000"/>
        <rFont val="ＭＳ 明朝"/>
        <family val="0"/>
        <charset val="1"/>
      </rPr>
      <t xml:space="preserve">No</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</si>
  <si>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</si>
  <si>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</si>
  <si>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</si>
  <si>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ＭＳ 明朝"/>
        <family val="0"/>
        <charset val="1"/>
      </rPr>
      <t xml:space="preserve">(</t>
    </r>
    <r>
      <rPr>
        <b val="true"/>
        <sz val="10"/>
        <color rgb="FF000000"/>
        <rFont val="WenQuanYi Zen Hei"/>
        <family val="2"/>
      </rPr>
      <t xml:space="preserve">月</t>
    </r>
    <r>
      <rPr>
        <b val="true"/>
        <sz val="10"/>
        <color rgb="FF000000"/>
        <rFont val="ＭＳ 明朝"/>
        <family val="0"/>
        <charset val="1"/>
      </rPr>
      <t xml:space="preserve">)</t>
    </r>
  </si>
  <si>
    <r>
      <rPr>
        <b val="true"/>
        <sz val="10"/>
        <color rgb="FF000000"/>
        <rFont val="WenQuanYi Zen Hei"/>
        <family val="2"/>
      </rPr>
      <t xml:space="preserve">貸付決定</t>
    </r>
    <r>
      <rPr>
        <b val="true"/>
        <sz val="10"/>
        <color rgb="FF000000"/>
        <rFont val="ＭＳ 明朝"/>
        <family val="0"/>
        <charset val="1"/>
      </rPr>
      <t xml:space="preserve">(</t>
    </r>
    <r>
      <rPr>
        <b val="true"/>
        <sz val="10"/>
        <color rgb="FF000000"/>
        <rFont val="WenQuanYi Zen Hei"/>
        <family val="2"/>
      </rPr>
      <t xml:space="preserve">目安</t>
    </r>
    <r>
      <rPr>
        <b val="true"/>
        <sz val="10"/>
        <color rgb="FF000000"/>
        <rFont val="ＭＳ 明朝"/>
        <family val="0"/>
        <charset val="1"/>
      </rPr>
      <t xml:space="preserve">)</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</si>
  <si>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自動車購入</t>
    </r>
  </si>
  <si>
    <t xml:space="preserve">月数</t>
  </si>
  <si>
    <t xml:space="preserve">通常</t>
  </si>
  <si>
    <r>
      <rPr>
        <sz val="10"/>
        <color rgb="FF0000FF"/>
        <rFont val="WenQuanYi Zen Hei"/>
        <family val="2"/>
      </rPr>
      <t xml:space="preserve">注文書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又は発注書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見積書は不可</t>
    </r>
    <r>
      <rPr>
        <sz val="10"/>
        <color rgb="FF0000FF"/>
        <rFont val="ＭＳ 明朝"/>
        <family val="0"/>
        <charset val="1"/>
      </rPr>
      <t xml:space="preserve">)</t>
    </r>
  </si>
  <si>
    <r>
      <rPr>
        <sz val="10"/>
        <color rgb="FF0000FF"/>
        <rFont val="WenQuanYi Zen Hei"/>
        <family val="2"/>
      </rPr>
      <t xml:space="preserve">自動車登録</t>
    </r>
    <r>
      <rPr>
        <sz val="10"/>
        <color rgb="FF0000FF"/>
        <rFont val="ＭＳ 明朝"/>
        <family val="0"/>
        <charset val="1"/>
      </rPr>
      <t xml:space="preserve">(</t>
    </r>
    <r>
      <rPr>
        <sz val="10"/>
        <color rgb="FF0000FF"/>
        <rFont val="WenQuanYi Zen Hei"/>
        <family val="2"/>
      </rPr>
      <t xml:space="preserve">名義変更</t>
    </r>
    <r>
      <rPr>
        <sz val="10"/>
        <color rgb="FF0000FF"/>
        <rFont val="ＭＳ 明朝"/>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</si>
  <si>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ＭＳ 明朝"/>
        <family val="0"/>
        <charset val="1"/>
      </rPr>
      <t xml:space="preserve">(</t>
    </r>
    <r>
      <rPr>
        <sz val="10"/>
        <color rgb="FF0000FF"/>
        <rFont val="WenQuanYi Zen Hei"/>
        <family val="2"/>
      </rPr>
      <t xml:space="preserve">予定</t>
    </r>
    <r>
      <rPr>
        <sz val="10"/>
        <color rgb="FF0000FF"/>
        <rFont val="ＭＳ 明朝"/>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</si>
  <si>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ＭＳ 明朝"/>
        <family val="0"/>
        <charset val="1"/>
      </rPr>
      <t xml:space="preserve">(</t>
    </r>
    <r>
      <rPr>
        <sz val="10"/>
        <color rgb="FF0000FF"/>
        <rFont val="WenQuanYi Zen Hei"/>
        <family val="2"/>
      </rPr>
      <t xml:space="preserve">自動車検査証</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及び自動車検査証記録事項</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を添付</t>
    </r>
    <r>
      <rPr>
        <sz val="10"/>
        <color rgb="FF0000FF"/>
        <rFont val="ＭＳ 明朝"/>
        <family val="0"/>
        <charset val="1"/>
      </rPr>
      <t xml:space="preserve">)</t>
    </r>
  </si>
  <si>
    <t xml:space="preserve">交付日</t>
  </si>
  <si>
    <r>
      <rPr>
        <sz val="10"/>
        <color rgb="FF0000FF"/>
        <rFont val="WenQuanYi Zen Hei"/>
        <family val="2"/>
      </rPr>
      <t xml:space="preserve">締切日の同月</t>
    </r>
    <r>
      <rPr>
        <sz val="10"/>
        <color rgb="FF0000FF"/>
        <rFont val="ＭＳ 明朝"/>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</si>
  <si>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</si>
  <si>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</si>
  <si>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又は予定日</t>
    </r>
    <r>
      <rPr>
        <sz val="10"/>
        <color rgb="FF0000FF"/>
        <rFont val="ＭＳ 明朝"/>
        <family val="0"/>
        <charset val="1"/>
      </rPr>
      <t xml:space="preserve">)</t>
    </r>
    <r>
      <rPr>
        <sz val="10"/>
        <color rgb="FF0000FF"/>
        <rFont val="WenQuanYi Zen Hei"/>
        <family val="2"/>
      </rPr>
      <t xml:space="preserve">の前後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</si>
  <si>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</si>
  <si>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大学等</t>
    </r>
    <r>
      <rPr>
        <b val="true"/>
        <sz val="10"/>
        <color rgb="FF000000"/>
        <rFont val="ＭＳ 明朝"/>
        <family val="0"/>
        <charset val="1"/>
      </rPr>
      <t xml:space="preserve">)</t>
    </r>
  </si>
  <si>
    <r>
      <rPr>
        <sz val="10"/>
        <color rgb="FF0000FF"/>
        <rFont val="WenQuanYi Zen Hei"/>
        <family val="2"/>
      </rPr>
      <t xml:space="preserve">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</si>
  <si>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r>
      <rPr>
        <sz val="10"/>
        <color rgb="FF0000FF"/>
        <rFont val="WenQuanYi Zen Hei"/>
        <family val="2"/>
      </rPr>
      <t xml:space="preserve">合格の時から入学後</t>
    </r>
    <r>
      <rPr>
        <sz val="10"/>
        <color rgb="FF0000FF"/>
        <rFont val="ＭＳ 明朝"/>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</si>
  <si>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</si>
  <si>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入学後の申込みは貸付金交付後</t>
    </r>
    <r>
      <rPr>
        <sz val="10"/>
        <color rgb="FF0000FF"/>
        <rFont val="ＭＳ 明朝"/>
        <family val="0"/>
        <charset val="1"/>
      </rPr>
      <t xml:space="preserve">1</t>
    </r>
    <r>
      <rPr>
        <sz val="10"/>
        <color rgb="FF0000FF"/>
        <rFont val="WenQuanYi Zen Hei"/>
        <family val="2"/>
      </rPr>
      <t xml:space="preserve">か月以内</t>
    </r>
    <r>
      <rPr>
        <sz val="10"/>
        <color rgb="FF0000FF"/>
        <rFont val="ＭＳ 明朝"/>
        <family val="0"/>
        <charset val="1"/>
      </rPr>
      <t xml:space="preserve">)</t>
    </r>
  </si>
  <si>
    <t xml:space="preserve">入学</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</si>
  <si>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高校</t>
    </r>
    <r>
      <rPr>
        <b val="true"/>
        <sz val="10"/>
        <color rgb="FF000000"/>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</si>
  <si>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</si>
  <si>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</si>
  <si>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 ※</t>
    </r>
    <r>
      <rPr>
        <sz val="10"/>
        <color rgb="FF0000FF"/>
        <rFont val="WenQuanYi Zen Hei"/>
        <family val="2"/>
      </rPr>
      <t xml:space="preserve">入学前は合格通知書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</si>
  <si>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</si>
  <si>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</si>
  <si>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</si>
  <si>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結婚</t>
    </r>
  </si>
  <si>
    <r>
      <rPr>
        <sz val="10"/>
        <color rgb="FF0000FF"/>
        <rFont val="ＭＳ 明朝"/>
        <family val="0"/>
        <charset val="1"/>
      </rPr>
      <t xml:space="preserve">[</t>
    </r>
    <r>
      <rPr>
        <sz val="10"/>
        <color rgb="FF0000FF"/>
        <rFont val="WenQuanYi Zen Hei"/>
        <family val="2"/>
      </rPr>
      <t xml:space="preserve">婚姻前</t>
    </r>
    <r>
      <rPr>
        <sz val="10"/>
        <color rgb="FF0000FF"/>
        <rFont val="ＭＳ 明朝"/>
        <family val="0"/>
        <charset val="1"/>
      </rPr>
      <t xml:space="preserve">]</t>
    </r>
    <r>
      <rPr>
        <sz val="10"/>
        <color rgb="FF0000FF"/>
        <rFont val="WenQuanYi Zen Hei"/>
        <family val="2"/>
      </rPr>
      <t xml:space="preserve">案内状又は媒酌人等の証明 </t>
    </r>
    <r>
      <rPr>
        <sz val="10"/>
        <color rgb="FF0000FF"/>
        <rFont val="ＭＳ 明朝"/>
        <family val="0"/>
        <charset val="1"/>
      </rPr>
      <t xml:space="preserve">/ [</t>
    </r>
    <r>
      <rPr>
        <sz val="10"/>
        <color rgb="FF0000FF"/>
        <rFont val="WenQuanYi Zen Hei"/>
        <family val="2"/>
      </rPr>
      <t xml:space="preserve">婚姻後</t>
    </r>
    <r>
      <rPr>
        <sz val="10"/>
        <color rgb="FF0000FF"/>
        <rFont val="ＭＳ 明朝"/>
        <family val="0"/>
        <charset val="1"/>
      </rPr>
      <t xml:space="preserve">]</t>
    </r>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戸籍抄本等</t>
    </r>
    <r>
      <rPr>
        <sz val="10"/>
        <color rgb="FF0000FF"/>
        <rFont val="ＭＳ 明朝"/>
        <family val="0"/>
        <charset val="1"/>
      </rPr>
      <t xml:space="preserve">)</t>
    </r>
  </si>
  <si>
    <r>
      <rPr>
        <sz val="10"/>
        <color rgb="FF0000FF"/>
        <rFont val="WenQuanYi Zen Hei"/>
        <family val="2"/>
      </rPr>
      <t xml:space="preserve">婚姻前</t>
    </r>
    <r>
      <rPr>
        <sz val="10"/>
        <color rgb="FF0000FF"/>
        <rFont val="ＭＳ 明朝"/>
        <family val="0"/>
        <charset val="1"/>
      </rPr>
      <t xml:space="preserve">6</t>
    </r>
    <r>
      <rPr>
        <sz val="10"/>
        <color rgb="FF0000FF"/>
        <rFont val="WenQuanYi Zen Hei"/>
        <family val="2"/>
      </rPr>
      <t xml:space="preserve">か月以内・婚姻後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</si>
  <si>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</si>
  <si>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t>
    </r>
    <r>
      <rPr>
        <sz val="10"/>
        <color rgb="FF0000FF"/>
        <rFont val="ＭＳ 明朝"/>
        <family val="0"/>
        <charset val="1"/>
      </rPr>
      <t xml:space="preserve">)</t>
    </r>
  </si>
  <si>
    <t xml:space="preserve">事由日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</si>
  <si>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</si>
  <si>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又は埋火葬許可書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続柄の確認できるもの</t>
    </r>
    <r>
      <rPr>
        <sz val="10"/>
        <color rgb="FF0000FF"/>
        <rFont val="ＭＳ 明朝"/>
        <family val="0"/>
        <charset val="1"/>
      </rPr>
      <t xml:space="preserve">/</t>
    </r>
    <r>
      <rPr>
        <sz val="10"/>
        <color rgb="FF0000FF"/>
        <rFont val="WenQuanYi Zen Hei"/>
        <family val="2"/>
      </rPr>
      <t xml:space="preserve">請求書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</si>
  <si>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ＭＳ 明朝"/>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</si>
  <si>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</si>
  <si>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</si>
  <si>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ＭＳ 明朝"/>
        <family val="0"/>
        <charset val="1"/>
      </rPr>
      <t xml:space="preserve">(</t>
    </r>
    <r>
      <rPr>
        <sz val="10"/>
        <color rgb="FF0000FF"/>
        <rFont val="WenQuanYi Zen Hei"/>
        <family val="2"/>
      </rPr>
      <t xml:space="preserve">病名・術式・費用・療養期間等を明示したもの</t>
    </r>
    <r>
      <rPr>
        <sz val="10"/>
        <color rgb="FF0000FF"/>
        <rFont val="ＭＳ 明朝"/>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</si>
  <si>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</si>
  <si>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</si>
  <si>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</si>
  <si>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t xml:space="preserve">住宅</t>
  </si>
  <si>
    <r>
      <rPr>
        <sz val="10"/>
        <color rgb="FF0000FF"/>
        <rFont val="ＭＳ 明朝"/>
        <family val="0"/>
        <charset val="1"/>
      </rPr>
      <t xml:space="preserve">(</t>
    </r>
    <r>
      <rPr>
        <sz val="10"/>
        <color rgb="FF0000FF"/>
        <rFont val="WenQuanYi Zen Hei"/>
        <family val="2"/>
      </rPr>
      <t xml:space="preserve">表</t>
    </r>
    <r>
      <rPr>
        <sz val="10"/>
        <color rgb="FF0000FF"/>
        <rFont val="ＭＳ 明朝"/>
        <family val="0"/>
        <charset val="1"/>
      </rPr>
      <t xml:space="preserve">1)</t>
    </r>
  </si>
  <si>
    <r>
      <rPr>
        <sz val="10"/>
        <color rgb="FF0000FF"/>
        <rFont val="WenQuanYi Zen Hei"/>
        <family val="2"/>
      </rPr>
      <t xml:space="preserve">物件購入</t>
    </r>
    <r>
      <rPr>
        <sz val="10"/>
        <color rgb="FF0000FF"/>
        <rFont val="ＭＳ 明朝"/>
        <family val="0"/>
        <charset val="1"/>
      </rPr>
      <t xml:space="preserve">(</t>
    </r>
    <r>
      <rPr>
        <sz val="10"/>
        <color rgb="FF0000FF"/>
        <rFont val="WenQuanYi Zen Hei"/>
        <family val="2"/>
      </rPr>
      <t xml:space="preserve">引渡し及び登記</t>
    </r>
    <r>
      <rPr>
        <sz val="10"/>
        <color rgb="FF0000FF"/>
        <rFont val="ＭＳ 明朝"/>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</si>
  <si>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</si>
  <si>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ＭＳ 明朝"/>
        <family val="0"/>
        <charset val="1"/>
      </rPr>
      <t xml:space="preserve">10</t>
    </r>
    <r>
      <rPr>
        <sz val="10"/>
        <color rgb="FF0000FF"/>
        <rFont val="WenQuanYi Zen Hei"/>
        <family val="2"/>
      </rPr>
      <t xml:space="preserve">日頃」と記載</t>
    </r>
    <r>
      <rPr>
        <sz val="10"/>
        <color rgb="FF0000FF"/>
        <rFont val="ＭＳ 明朝"/>
        <family val="0"/>
        <charset val="1"/>
      </rPr>
      <t xml:space="preserve">(</t>
    </r>
    <r>
      <rPr>
        <sz val="10"/>
        <color rgb="FF0000FF"/>
        <rFont val="WenQuanYi Zen Hei"/>
        <family val="2"/>
      </rPr>
      <t xml:space="preserve">要確認</t>
    </r>
    <r>
      <rPr>
        <sz val="10"/>
        <color rgb="FF0000FF"/>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</si>
  <si>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</si>
  <si>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</si>
  <si>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</si>
  <si>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</si>
  <si>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</si>
  <si>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</si>
  <si>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</si>
  <si>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</si>
  <si>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災害家財</t>
    </r>
  </si>
  <si>
    <t xml:space="preserve">災害</t>
  </si>
  <si>
    <r>
      <rPr>
        <sz val="10"/>
        <color rgb="FF0000FF"/>
        <rFont val="WenQuanYi Zen Hei"/>
        <family val="2"/>
      </rPr>
      <t xml:space="preserve">り災証明書及び被害が確認できる写真</t>
    </r>
    <r>
      <rPr>
        <sz val="10"/>
        <color rgb="FF0000FF"/>
        <rFont val="ＭＳ 明朝"/>
        <family val="0"/>
        <charset val="1"/>
      </rPr>
      <t xml:space="preserve">(</t>
    </r>
    <r>
      <rPr>
        <sz val="10"/>
        <color rgb="FF0000FF"/>
        <rFont val="WenQuanYi Zen Hei"/>
        <family val="2"/>
      </rPr>
      <t xml:space="preserve">状況により他の書類</t>
    </r>
    <r>
      <rPr>
        <sz val="10"/>
        <color rgb="FF0000FF"/>
        <rFont val="ＭＳ 明朝"/>
        <family val="0"/>
        <charset val="1"/>
      </rPr>
      <t xml:space="preserve">)</t>
    </r>
  </si>
  <si>
    <r>
      <rPr>
        <sz val="10"/>
        <color rgb="FF0000FF"/>
        <rFont val="WenQuanYi Zen Hei"/>
        <family val="2"/>
      </rPr>
      <t xml:space="preserve">災害発生後</t>
    </r>
    <r>
      <rPr>
        <sz val="10"/>
        <color rgb="FF0000FF"/>
        <rFont val="ＭＳ 明朝"/>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</si>
  <si>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</si>
  <si>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</si>
  <si>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災害再貸付</t>
    </r>
  </si>
  <si>
    <t xml:space="preserve">再貸付</t>
  </si>
  <si>
    <r>
      <rPr>
        <b val="true"/>
        <sz val="10"/>
        <color rgb="FF000000"/>
        <rFont val="ＭＳ 明朝"/>
        <family val="0"/>
        <charset val="1"/>
      </rPr>
      <t xml:space="preserve">3. </t>
    </r>
    <r>
      <rPr>
        <b val="true"/>
        <sz val="10"/>
        <color rgb="FF000000"/>
        <rFont val="WenQuanYi Zen Hei"/>
        <family val="2"/>
      </rPr>
      <t xml:space="preserve">組合員期間別の月数・最低保障額</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</si>
  <si>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r>
      <rPr>
        <b val="true"/>
        <sz val="10"/>
        <color rgb="FF000000"/>
        <rFont val="WenQuanYi Zen Hei"/>
        <family val="2"/>
      </rPr>
      <t xml:space="preserve">組合員期間の下限</t>
    </r>
    <r>
      <rPr>
        <b val="true"/>
        <sz val="10"/>
        <color rgb="FF000000"/>
        <rFont val="ＭＳ 明朝"/>
        <family val="0"/>
        <charset val="1"/>
      </rPr>
      <t xml:space="preserve">(</t>
    </r>
    <r>
      <rPr>
        <b val="true"/>
        <sz val="10"/>
        <color rgb="FF000000"/>
        <rFont val="WenQuanYi Zen Hei"/>
        <family val="2"/>
      </rPr>
      <t xml:space="preserve">月数</t>
    </r>
    <r>
      <rPr>
        <b val="true"/>
        <sz val="10"/>
        <color rgb="FF000000"/>
        <rFont val="ＭＳ 明朝"/>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</si>
  <si>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</si>
  <si>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</si>
  <si>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住宅</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</si>
  <si>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災害再貸付</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</si>
  <si>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6</t>
    </r>
    <r>
      <rPr>
        <sz val="10"/>
        <color rgb="FF000000"/>
        <rFont val="WenQuanYi Zen Hei"/>
        <family val="2"/>
      </rPr>
      <t xml:space="preserve">年未満</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</si>
  <si>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r>
      <rPr>
        <sz val="10"/>
        <color rgb="FF000000"/>
        <rFont val="WenQuanYi Zen Hei"/>
        <family val="2"/>
      </rPr>
      <t xml:space="preserve">災害は</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</si>
  <si>
    <r>
      <rPr>
        <sz val="10"/>
        <color rgb="FF000000"/>
        <rFont val="ＭＳ 明朝"/>
        <family val="0"/>
        <charset val="1"/>
      </rPr>
      <t xml:space="preserve">6</t>
    </r>
    <r>
      <rPr>
        <sz val="10"/>
        <color rgb="FF000000"/>
        <rFont val="WenQuanYi Zen Hei"/>
        <family val="2"/>
      </rPr>
      <t xml:space="preserve">年以上</t>
    </r>
    <r>
      <rPr>
        <sz val="10"/>
        <color rgb="FF000000"/>
        <rFont val="ＭＳ 明朝"/>
        <family val="0"/>
        <charset val="1"/>
      </rPr>
      <t xml:space="preserve">11</t>
    </r>
    <r>
      <rPr>
        <sz val="10"/>
        <color rgb="FF000000"/>
        <rFont val="WenQuanYi Zen Hei"/>
        <family val="2"/>
      </rPr>
      <t xml:space="preserve">年未満</t>
    </r>
  </si>
  <si>
    <r>
      <rPr>
        <sz val="10"/>
        <color rgb="FF000000"/>
        <rFont val="ＭＳ 明朝"/>
        <family val="0"/>
        <charset val="1"/>
      </rPr>
      <t xml:space="preserve">3</t>
    </r>
    <r>
      <rPr>
        <sz val="10"/>
        <color rgb="FF000000"/>
        <rFont val="WenQuanYi Zen Hei"/>
        <family val="2"/>
      </rPr>
      <t xml:space="preserve">年以上</t>
    </r>
    <r>
      <rPr>
        <sz val="10"/>
        <color rgb="FF000000"/>
        <rFont val="ＭＳ 明朝"/>
        <family val="0"/>
        <charset val="1"/>
      </rPr>
      <t xml:space="preserve">7</t>
    </r>
    <r>
      <rPr>
        <sz val="10"/>
        <color rgb="FF000000"/>
        <rFont val="WenQuanYi Zen Hei"/>
        <family val="2"/>
      </rPr>
      <t xml:space="preserve">年未満</t>
    </r>
  </si>
  <si>
    <r>
      <rPr>
        <sz val="10"/>
        <color rgb="FF000000"/>
        <rFont val="ＭＳ 明朝"/>
        <family val="0"/>
        <charset val="1"/>
      </rPr>
      <t xml:space="preserve">11</t>
    </r>
    <r>
      <rPr>
        <sz val="10"/>
        <color rgb="FF000000"/>
        <rFont val="WenQuanYi Zen Hei"/>
        <family val="2"/>
      </rPr>
      <t xml:space="preserve">年以上</t>
    </r>
    <r>
      <rPr>
        <sz val="10"/>
        <color rgb="FF000000"/>
        <rFont val="ＭＳ 明朝"/>
        <family val="0"/>
        <charset val="1"/>
      </rPr>
      <t xml:space="preserve">16</t>
    </r>
    <r>
      <rPr>
        <sz val="10"/>
        <color rgb="FF000000"/>
        <rFont val="WenQuanYi Zen Hei"/>
        <family val="2"/>
      </rPr>
      <t xml:space="preserve">年未満</t>
    </r>
  </si>
  <si>
    <r>
      <rPr>
        <sz val="10"/>
        <color rgb="FF000000"/>
        <rFont val="ＭＳ 明朝"/>
        <family val="0"/>
        <charset val="1"/>
      </rPr>
      <t xml:space="preserve">7</t>
    </r>
    <r>
      <rPr>
        <sz val="10"/>
        <color rgb="FF000000"/>
        <rFont val="WenQuanYi Zen Hei"/>
        <family val="2"/>
      </rPr>
      <t xml:space="preserve">年以上</t>
    </r>
    <r>
      <rPr>
        <sz val="10"/>
        <color rgb="FF000000"/>
        <rFont val="ＭＳ 明朝"/>
        <family val="0"/>
        <charset val="1"/>
      </rPr>
      <t xml:space="preserve">12</t>
    </r>
    <r>
      <rPr>
        <sz val="10"/>
        <color rgb="FF000000"/>
        <rFont val="WenQuanYi Zen Hei"/>
        <family val="2"/>
      </rPr>
      <t xml:space="preserve">年未満</t>
    </r>
  </si>
  <si>
    <r>
      <rPr>
        <sz val="10"/>
        <color rgb="FF000000"/>
        <rFont val="ＭＳ 明朝"/>
        <family val="0"/>
        <charset val="1"/>
      </rPr>
      <t xml:space="preserve">16</t>
    </r>
    <r>
      <rPr>
        <sz val="10"/>
        <color rgb="FF000000"/>
        <rFont val="WenQuanYi Zen Hei"/>
        <family val="2"/>
      </rPr>
      <t xml:space="preserve">年以上</t>
    </r>
    <r>
      <rPr>
        <sz val="10"/>
        <color rgb="FF000000"/>
        <rFont val="ＭＳ 明朝"/>
        <family val="0"/>
        <charset val="1"/>
      </rPr>
      <t xml:space="preserve">20</t>
    </r>
    <r>
      <rPr>
        <sz val="10"/>
        <color rgb="FF000000"/>
        <rFont val="WenQuanYi Zen Hei"/>
        <family val="2"/>
      </rPr>
      <t xml:space="preserve">年未満</t>
    </r>
  </si>
  <si>
    <r>
      <rPr>
        <sz val="10"/>
        <color rgb="FF000000"/>
        <rFont val="ＭＳ 明朝"/>
        <family val="0"/>
        <charset val="1"/>
      </rPr>
      <t xml:space="preserve">12</t>
    </r>
    <r>
      <rPr>
        <sz val="10"/>
        <color rgb="FF000000"/>
        <rFont val="WenQuanYi Zen Hei"/>
        <family val="2"/>
      </rPr>
      <t xml:space="preserve">年以上</t>
    </r>
    <r>
      <rPr>
        <sz val="10"/>
        <color rgb="FF000000"/>
        <rFont val="ＭＳ 明朝"/>
        <family val="0"/>
        <charset val="1"/>
      </rPr>
      <t xml:space="preserve">17</t>
    </r>
    <r>
      <rPr>
        <sz val="10"/>
        <color rgb="FF000000"/>
        <rFont val="WenQuanYi Zen Hei"/>
        <family val="2"/>
      </rPr>
      <t xml:space="preserve">年未満</t>
    </r>
  </si>
  <si>
    <r>
      <rPr>
        <sz val="10"/>
        <color rgb="FF000000"/>
        <rFont val="ＭＳ 明朝"/>
        <family val="0"/>
        <charset val="1"/>
      </rPr>
      <t xml:space="preserve">20</t>
    </r>
    <r>
      <rPr>
        <sz val="10"/>
        <color rgb="FF000000"/>
        <rFont val="WenQuanYi Zen Hei"/>
        <family val="2"/>
      </rPr>
      <t xml:space="preserve">年以上</t>
    </r>
    <r>
      <rPr>
        <sz val="10"/>
        <color rgb="FF000000"/>
        <rFont val="ＭＳ 明朝"/>
        <family val="0"/>
        <charset val="1"/>
      </rPr>
      <t xml:space="preserve">25</t>
    </r>
    <r>
      <rPr>
        <sz val="10"/>
        <color rgb="FF000000"/>
        <rFont val="WenQuanYi Zen Hei"/>
        <family val="2"/>
      </rPr>
      <t xml:space="preserve">年未満</t>
    </r>
  </si>
  <si>
    <r>
      <rPr>
        <sz val="10"/>
        <color rgb="FF000000"/>
        <rFont val="ＭＳ 明朝"/>
        <family val="0"/>
        <charset val="1"/>
      </rPr>
      <t xml:space="preserve">17</t>
    </r>
    <r>
      <rPr>
        <sz val="10"/>
        <color rgb="FF000000"/>
        <rFont val="WenQuanYi Zen Hei"/>
        <family val="2"/>
      </rPr>
      <t xml:space="preserve">年以上</t>
    </r>
  </si>
  <si>
    <r>
      <rPr>
        <sz val="10"/>
        <color rgb="FF000000"/>
        <rFont val="ＭＳ 明朝"/>
        <family val="0"/>
        <charset val="1"/>
      </rPr>
      <t xml:space="preserve">25</t>
    </r>
    <r>
      <rPr>
        <sz val="10"/>
        <color rgb="FF000000"/>
        <rFont val="WenQuanYi Zen Hei"/>
        <family val="2"/>
      </rPr>
      <t xml:space="preserve">年以上</t>
    </r>
    <r>
      <rPr>
        <sz val="10"/>
        <color rgb="FF000000"/>
        <rFont val="ＭＳ 明朝"/>
        <family val="0"/>
        <charset val="1"/>
      </rPr>
      <t xml:space="preserve">30</t>
    </r>
    <r>
      <rPr>
        <sz val="10"/>
        <color rgb="FF000000"/>
        <rFont val="WenQuanYi Zen Hei"/>
        <family val="2"/>
      </rPr>
      <t xml:space="preserve">年未満</t>
    </r>
  </si>
  <si>
    <r>
      <rPr>
        <sz val="10"/>
        <color rgb="FF000000"/>
        <rFont val="ＭＳ 明朝"/>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</si>
  <si>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ＭＳ 明朝"/>
        <family val="0"/>
        <charset val="1"/>
      </rPr>
      <t xml:space="preserve">:</t>
    </r>
    <r>
      <rPr>
        <i val="true"/>
        <sz val="10"/>
        <color rgb="FF595959"/>
        <rFont val="WenQuanYi Zen Hei"/>
        <family val="2"/>
      </rPr>
      <t xml:space="preserve">住宅貸付・災害住宅貸付 </t>
    </r>
    <r>
      <rPr>
        <i val="true"/>
        <sz val="10"/>
        <color rgb="FF595959"/>
        <rFont val="ＭＳ 明朝"/>
        <family val="0"/>
        <charset val="1"/>
      </rPr>
      <t xml:space="preserve">1,800</t>
    </r>
    <r>
      <rPr>
        <i val="true"/>
        <sz val="10"/>
        <color rgb="FF595959"/>
        <rFont val="WenQuanYi Zen Hei"/>
        <family val="2"/>
      </rPr>
      <t xml:space="preserve">万円 </t>
    </r>
    <r>
      <rPr>
        <i val="true"/>
        <sz val="10"/>
        <color rgb="FF595959"/>
        <rFont val="ＭＳ 明朝"/>
        <family val="0"/>
        <charset val="1"/>
      </rPr>
      <t xml:space="preserve">/ </t>
    </r>
    <r>
      <rPr>
        <i val="true"/>
        <sz val="10"/>
        <color rgb="FF595959"/>
        <rFont val="WenQuanYi Zen Hei"/>
        <family val="2"/>
      </rPr>
      <t xml:space="preserve">災害再貸付 </t>
    </r>
    <r>
      <rPr>
        <i val="true"/>
        <sz val="10"/>
        <color rgb="FF595959"/>
        <rFont val="ＭＳ 明朝"/>
        <family val="0"/>
        <charset val="1"/>
      </rPr>
      <t xml:space="preserve">1,900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区分表の上限額</t>
    </r>
    <r>
      <rPr>
        <i val="true"/>
        <sz val="10"/>
        <color rgb="FF595959"/>
        <rFont val="ＭＳ 明朝"/>
        <family val="0"/>
        <charset val="1"/>
      </rPr>
      <t xml:space="preserve">)</t>
    </r>
    <r>
      <rPr>
        <i val="true"/>
        <sz val="10"/>
        <color rgb="FF595959"/>
        <rFont val="WenQuanYi Zen Hei"/>
        <family val="2"/>
      </rPr>
      <t xml:space="preserve">。災害再貸付は「月数</t>
    </r>
    <r>
      <rPr>
        <i val="true"/>
        <sz val="10"/>
        <color rgb="FF595959"/>
        <rFont val="ＭＳ 明朝"/>
        <family val="0"/>
        <charset val="1"/>
      </rPr>
      <t xml:space="preserve">×2</t>
    </r>
    <r>
      <rPr>
        <i val="true"/>
        <sz val="10"/>
        <color rgb="FF595959"/>
        <rFont val="WenQuanYi Zen Hei"/>
        <family val="2"/>
      </rPr>
      <t xml:space="preserve">」と災害用最低保障額の高い方。組合員期間</t>
    </r>
    <r>
      <rPr>
        <i val="true"/>
        <sz val="10"/>
        <color rgb="FF595959"/>
        <rFont val="ＭＳ 明朝"/>
        <family val="0"/>
        <charset val="1"/>
      </rPr>
      <t xml:space="preserve">1</t>
    </r>
    <r>
      <rPr>
        <i val="true"/>
        <sz val="10"/>
        <color rgb="FF595959"/>
        <rFont val="WenQuanYi Zen Hei"/>
        <family val="2"/>
      </rPr>
      <t xml:space="preserve">年未満の災害住宅貸付は最下段の区分を適用</t>
    </r>
    <r>
      <rPr>
        <i val="true"/>
        <sz val="10"/>
        <color rgb="FF595959"/>
        <rFont val="ＭＳ 明朝"/>
        <family val="0"/>
        <charset val="1"/>
      </rPr>
      <t xml:space="preserve">(</t>
    </r>
    <r>
      <rPr>
        <i val="true"/>
        <sz val="10"/>
        <color rgb="FF595959"/>
        <rFont val="WenQuanYi Zen Hei"/>
        <family val="2"/>
      </rPr>
      <t xml:space="preserve">要確認</t>
    </r>
    <r>
      <rPr>
        <i val="true"/>
        <sz val="10"/>
        <color rgb="FF595959"/>
        <rFont val="ＭＳ 明朝"/>
        <family val="0"/>
        <charset val="1"/>
      </rPr>
      <t xml:space="preserve">)</t>
    </r>
    <r>
      <rPr>
        <i val="true"/>
        <sz val="10"/>
        <color rgb="FF595959"/>
        <rFont val="WenQuanYi Zen Hei"/>
        <family val="2"/>
      </rPr>
      <t xml:space="preserve">。</t>
    </r>
  </si>
  <si>
    <r>
      <rPr>
        <b val="true"/>
        <sz val="10"/>
        <color rgb="FF000000"/>
        <rFont val="ＭＳ 明朝"/>
        <family val="0"/>
        <charset val="1"/>
      </rPr>
      <t xml:space="preserve">4. </t>
    </r>
    <r>
      <rPr>
        <b val="true"/>
        <sz val="10"/>
        <color rgb="FF000000"/>
        <rFont val="WenQuanYi Zen Hei"/>
        <family val="2"/>
      </rPr>
      <t xml:space="preserve">住宅貸付 申込時の提出書類〔表</t>
    </r>
    <r>
      <rPr>
        <b val="true"/>
        <sz val="10"/>
        <color rgb="FF000000"/>
        <rFont val="ＭＳ 明朝"/>
        <family val="0"/>
        <charset val="1"/>
      </rPr>
      <t xml:space="preserve">1</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必要。括弧内は注記。共通の</t>
    </r>
    <r>
      <rPr>
        <b val="true"/>
        <sz val="10"/>
        <color rgb="FF000000"/>
        <rFont val="ＭＳ 明朝"/>
        <family val="0"/>
        <charset val="1"/>
      </rPr>
      <t xml:space="preserve">5</t>
    </r>
    <r>
      <rPr>
        <b val="true"/>
        <sz val="10"/>
        <color rgb="FF000000"/>
        <rFont val="WenQuanYi Zen Hei"/>
        <family val="2"/>
      </rPr>
      <t xml:space="preserve">書類は下の「</t>
    </r>
    <r>
      <rPr>
        <b val="true"/>
        <sz val="10"/>
        <color rgb="FF000000"/>
        <rFont val="ＭＳ 明朝"/>
        <family val="0"/>
        <charset val="1"/>
      </rPr>
      <t xml:space="preserve">6</t>
    </r>
    <r>
      <rPr>
        <b val="true"/>
        <sz val="10"/>
        <color rgb="FF000000"/>
        <rFont val="WenQuanYi Zen Hei"/>
        <family val="2"/>
      </rPr>
      <t xml:space="preserve">」</t>
    </r>
    <r>
      <rPr>
        <b val="true"/>
        <sz val="10"/>
        <color rgb="FF000000"/>
        <rFont val="ＭＳ 明朝"/>
        <family val="0"/>
        <charset val="1"/>
      </rPr>
      <t xml:space="preserve">)</t>
    </r>
  </si>
  <si>
    <t xml:space="preserve">提出書類</t>
  </si>
  <si>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</si>
  <si>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</si>
  <si>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</si>
  <si>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</si>
  <si>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</si>
  <si>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</si>
  <si>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</si>
  <si>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</si>
  <si>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t xml:space="preserve">○（所有者は売主名義）</t>
  </si>
  <si>
    <r>
      <rPr>
        <sz val="10"/>
        <color rgb="FF000000"/>
        <rFont val="WenQuanYi Zen Hei"/>
        <family val="2"/>
      </rPr>
      <t xml:space="preserve">【土地が農地の場合】転用許可書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r>
      <rPr>
        <sz val="10"/>
        <color rgb="FF000000"/>
        <rFont val="WenQuanYi Zen Hei"/>
        <family val="2"/>
      </rPr>
      <t xml:space="preserve">又は転用受理書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</si>
  <si>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</si>
  <si>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</si>
  <si>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</si>
  <si>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</si>
  <si>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</si>
  <si>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</si>
  <si>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</si>
  <si>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対象物件の周辺地図</t>
  </si>
  <si>
    <r>
      <rPr>
        <b val="true"/>
        <sz val="10"/>
        <color rgb="FF000000"/>
        <rFont val="ＭＳ 明朝"/>
        <family val="0"/>
        <charset val="1"/>
      </rPr>
      <t xml:space="preserve">5. </t>
    </r>
    <r>
      <rPr>
        <b val="true"/>
        <sz val="10"/>
        <color rgb="FF000000"/>
        <rFont val="WenQuanYi Zen Hei"/>
        <family val="2"/>
      </rPr>
      <t xml:space="preserve">住宅貸付 貸付金交付後の提出書類〔表</t>
    </r>
    <r>
      <rPr>
        <b val="true"/>
        <sz val="10"/>
        <color rgb="FF000000"/>
        <rFont val="ＭＳ 明朝"/>
        <family val="0"/>
        <charset val="1"/>
      </rPr>
      <t xml:space="preserve">2</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完了届に添付。交付後</t>
    </r>
    <r>
      <rPr>
        <b val="true"/>
        <sz val="10"/>
        <color rgb="FF000000"/>
        <rFont val="ＭＳ 明朝"/>
        <family val="0"/>
        <charset val="1"/>
      </rPr>
      <t xml:space="preserve">6</t>
    </r>
    <r>
      <rPr>
        <b val="true"/>
        <sz val="10"/>
        <color rgb="FF000000"/>
        <rFont val="WenQuanYi Zen Hei"/>
        <family val="2"/>
      </rPr>
      <t xml:space="preserve">か月以内</t>
    </r>
    <r>
      <rPr>
        <b val="true"/>
        <sz val="10"/>
        <color rgb="FF000000"/>
        <rFont val="ＭＳ 明朝"/>
        <family val="0"/>
        <charset val="1"/>
      </rPr>
      <t xml:space="preserve">)</t>
    </r>
  </si>
  <si>
    <r>
      <rPr>
        <sz val="10"/>
        <color rgb="FF000000"/>
        <rFont val="WenQuanYi Zen Hei"/>
        <family val="2"/>
      </rPr>
      <t xml:space="preserve">支払領収書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</si>
  <si>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</si>
  <si>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</si>
  <si>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住民票※個人番号</t>
    </r>
    <r>
      <rPr>
        <sz val="10"/>
        <color rgb="FF000000"/>
        <rFont val="ＭＳ 明朝"/>
        <family val="0"/>
        <charset val="1"/>
      </rPr>
      <t xml:space="preserve">(</t>
    </r>
    <r>
      <rPr>
        <sz val="10"/>
        <color rgb="FF000000"/>
        <rFont val="WenQuanYi Zen Hei"/>
        <family val="2"/>
      </rPr>
      <t xml:space="preserve">マイナンバー</t>
    </r>
    <r>
      <rPr>
        <sz val="10"/>
        <color rgb="FF000000"/>
        <rFont val="ＭＳ 明朝"/>
        <family val="0"/>
        <charset val="1"/>
      </rPr>
      <t xml:space="preserve">)</t>
    </r>
    <r>
      <rPr>
        <sz val="10"/>
        <color rgb="FF000000"/>
        <rFont val="WenQuanYi Zen Hei"/>
        <family val="2"/>
      </rPr>
      <t xml:space="preserve">の記載のないもの・提出日前</t>
    </r>
    <r>
      <rPr>
        <sz val="10"/>
        <color rgb="FF000000"/>
        <rFont val="ＭＳ 明朝"/>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</si>
  <si>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</si>
  <si>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○（申込時に建築確認済証を添付した場合のみ）</t>
  </si>
  <si>
    <r>
      <rPr>
        <b val="true"/>
        <sz val="10"/>
        <color rgb="FF000000"/>
        <rFont val="ＭＳ 明朝"/>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</si>
  <si>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住宅貸付以外</t>
    </r>
    <r>
      <rPr>
        <b val="true"/>
        <sz val="10"/>
        <color rgb="FF000000"/>
        <rFont val="ＭＳ 明朝"/>
        <family val="0"/>
        <charset val="1"/>
      </rPr>
      <t xml:space="preserve">)</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</si>
  <si>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</si>
  <si>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t xml:space="preserve">貸付申込書</t>
  </si>
  <si>
    <r>
      <rPr>
        <sz val="10"/>
        <color rgb="FF0000FF"/>
        <rFont val="WenQuanYi Zen Hei"/>
        <family val="2"/>
      </rPr>
      <t xml:space="preserve">貸付申込書</t>
    </r>
    <r>
      <rPr>
        <sz val="10"/>
        <color rgb="FF0000FF"/>
        <rFont val="ＭＳ 明朝"/>
        <family val="0"/>
        <charset val="1"/>
      </rPr>
      <t xml:space="preserve">(</t>
    </r>
    <r>
      <rPr>
        <sz val="10"/>
        <color rgb="FF0000FF"/>
        <rFont val="WenQuanYi Zen Hei"/>
        <family val="2"/>
      </rPr>
      <t xml:space="preserve">住宅</t>
    </r>
    <r>
      <rPr>
        <sz val="10"/>
        <color rgb="FF0000FF"/>
        <rFont val="ＭＳ 明朝"/>
        <family val="0"/>
        <charset val="1"/>
      </rPr>
      <t xml:space="preserve">)</t>
    </r>
  </si>
  <si>
    <r>
      <rPr>
        <sz val="10"/>
        <color rgb="FF0000FF"/>
        <rFont val="WenQuanYi Zen Hei"/>
        <family val="2"/>
      </rPr>
      <t xml:space="preserve">貸付金借用証書</t>
    </r>
    <r>
      <rPr>
        <sz val="10"/>
        <color rgb="FF0000FF"/>
        <rFont val="ＭＳ 明朝"/>
        <family val="0"/>
        <charset val="1"/>
      </rPr>
      <t xml:space="preserve">(</t>
    </r>
    <r>
      <rPr>
        <sz val="10"/>
        <color rgb="FF0000FF"/>
        <rFont val="WenQuanYi Zen Hei"/>
        <family val="2"/>
      </rPr>
      <t xml:space="preserve">様式第</t>
    </r>
    <r>
      <rPr>
        <sz val="10"/>
        <color rgb="FF0000FF"/>
        <rFont val="ＭＳ 明朝"/>
        <family val="0"/>
        <charset val="1"/>
      </rPr>
      <t xml:space="preserve">4</t>
    </r>
    <r>
      <rPr>
        <sz val="10"/>
        <color rgb="FF0000FF"/>
        <rFont val="WenQuanYi Zen Hei"/>
        <family val="2"/>
      </rPr>
      <t xml:space="preserve">号・共済組合で配布</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</si>
  <si>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</si>
  <si>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か月以内に発行されたもの・コピー不可</t>
    </r>
    <r>
      <rPr>
        <sz val="10"/>
        <color rgb="FF0000FF"/>
        <rFont val="ＭＳ 明朝"/>
        <family val="0"/>
        <charset val="1"/>
      </rPr>
      <t xml:space="preserve">)</t>
    </r>
  </si>
  <si>
    <r>
      <rPr>
        <sz val="10"/>
        <color rgb="FF0000FF"/>
        <rFont val="WenQuanYi Zen Hei"/>
        <family val="2"/>
      </rPr>
      <t xml:space="preserve">給与支払明細書</t>
    </r>
    <r>
      <rPr>
        <sz val="10"/>
        <color rgb="FF0000FF"/>
        <rFont val="ＭＳ 明朝"/>
        <family val="0"/>
        <charset val="1"/>
      </rPr>
      <t xml:space="preserve">(</t>
    </r>
    <r>
      <rPr>
        <sz val="10"/>
        <color rgb="FF0000FF"/>
        <rFont val="WenQuanYi Zen Hei"/>
        <family val="2"/>
      </rPr>
      <t xml:space="preserve">直近のもの</t>
    </r>
    <r>
      <rPr>
        <sz val="10"/>
        <color rgb="FF0000FF"/>
        <rFont val="ＭＳ 明朝"/>
        <family val="0"/>
        <charset val="1"/>
      </rPr>
      <t xml:space="preserve">)</t>
    </r>
  </si>
  <si>
    <r>
      <rPr>
        <sz val="10"/>
        <color rgb="FF0000FF"/>
        <rFont val="WenQuanYi Zen Hei"/>
        <family val="2"/>
      </rPr>
      <t xml:space="preserve">借入状況等申告書</t>
    </r>
    <r>
      <rPr>
        <sz val="10"/>
        <color rgb="FF0000FF"/>
        <rFont val="ＭＳ 明朝"/>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ＭＳ 明朝"/>
        <family val="0"/>
        <charset val="1"/>
      </rPr>
      <t xml:space="preserve">)</t>
    </r>
  </si>
  <si>
    <r>
      <rPr>
        <b val="true"/>
        <sz val="10"/>
        <color rgb="FF000000"/>
        <rFont val="ＭＳ 明朝"/>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</si>
  <si>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ＭＳ 明朝"/>
        <family val="0"/>
        <charset val="1"/>
      </rPr>
      <t xml:space="preserve">(</t>
    </r>
    <r>
      <rPr>
        <sz val="10"/>
        <color rgb="FF0000FF"/>
        <rFont val="WenQuanYi Zen Hei"/>
        <family val="2"/>
      </rPr>
      <t xml:space="preserve">庶務係</t>
    </r>
    <r>
      <rPr>
        <sz val="10"/>
        <color rgb="FF0000FF"/>
        <rFont val="ＭＳ 明朝"/>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</si>
  <si>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</si>
  <si>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</si>
  <si>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ＭＳ 明朝"/>
        <family val="0"/>
        <charset val="1"/>
      </rPr>
      <t xml:space="preserve">(</t>
    </r>
    <r>
      <rPr>
        <sz val="10"/>
        <color rgb="FF0000FF"/>
        <rFont val="WenQuanYi Zen Hei"/>
        <family val="2"/>
      </rPr>
      <t xml:space="preserve">消防局・病院機構・議会事務局・教育委員会</t>
    </r>
    <r>
      <rPr>
        <sz val="10"/>
        <color rgb="FF0000FF"/>
        <rFont val="ＭＳ 明朝"/>
        <family val="0"/>
        <charset val="1"/>
      </rPr>
      <t xml:space="preserve">(</t>
    </r>
    <r>
      <rPr>
        <sz val="10"/>
        <color rgb="FF0000FF"/>
        <rFont val="WenQuanYi Zen Hei"/>
        <family val="2"/>
      </rPr>
      <t xml:space="preserve">学校等を含む</t>
    </r>
    <r>
      <rPr>
        <sz val="10"/>
        <color rgb="FF0000FF"/>
        <rFont val="ＭＳ 明朝"/>
        <family val="0"/>
        <charset val="1"/>
      </rPr>
      <t xml:space="preserve">)</t>
    </r>
    <r>
      <rPr>
        <sz val="10"/>
        <color rgb="FF0000FF"/>
        <rFont val="WenQuanYi Zen Hei"/>
        <family val="2"/>
      </rPr>
      <t xml:space="preserve">・選挙管理委員会・人事委員会・監査事務局・農業委員会等</t>
    </r>
    <r>
      <rPr>
        <sz val="10"/>
        <color rgb="FF0000FF"/>
        <rFont val="ＭＳ 明朝"/>
        <family val="0"/>
        <charset val="1"/>
      </rPr>
      <t xml:space="preserve">)</t>
    </r>
  </si>
  <si>
    <t xml:space="preserve">各部局給与担当課長の給与等の確認を受けたうえで、共済組合へ提出してください。</t>
  </si>
  <si>
    <r>
      <rPr>
        <b val="true"/>
        <sz val="10"/>
        <color rgb="FF000000"/>
        <rFont val="ＭＳ 明朝"/>
        <family val="0"/>
        <charset val="1"/>
      </rPr>
      <t xml:space="preserve">8. </t>
    </r>
    <r>
      <rPr>
        <b val="true"/>
        <sz val="10"/>
        <color rgb="FF000000"/>
        <rFont val="WenQuanYi Zen Hei"/>
        <family val="2"/>
      </rPr>
      <t xml:space="preserve">休日・祝日</t>
    </r>
    <r>
      <rPr>
        <b val="true"/>
        <sz val="10"/>
        <color rgb="FF000000"/>
        <rFont val="ＭＳ 明朝"/>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ＭＳ 明朝"/>
        <family val="0"/>
        <charset val="1"/>
      </rPr>
      <t xml:space="preserve">)</t>
    </r>
  </si>
  <si>
    <t xml:space="preserve">日付</t>
  </si>
  <si>
    <t xml:space="preserve">名称</t>
  </si>
  <si>
    <t xml:space="preserve">スポーツの日</t>
  </si>
  <si>
    <r>
      <rPr>
        <i val="true"/>
        <sz val="10"/>
        <color rgb="FF595959"/>
        <rFont val="ＭＳ 明朝"/>
        <family val="0"/>
        <charset val="1"/>
      </rPr>
      <t xml:space="preserve">※2026</t>
    </r>
    <r>
      <rPr>
        <i val="true"/>
        <sz val="10"/>
        <color rgb="FF595959"/>
        <rFont val="WenQuanYi Zen Hei"/>
        <family val="2"/>
      </rPr>
      <t xml:space="preserve">〜</t>
    </r>
    <r>
      <rPr>
        <i val="true"/>
        <sz val="10"/>
        <color rgb="FF595959"/>
        <rFont val="ＭＳ 明朝"/>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</si>
  <si>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</si>
  <si>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</si>
  <si>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ＭＳ 明朝"/>
        <family val="0"/>
        <charset val="1"/>
      </rPr>
      <t xml:space="preserve">(</t>
    </r>
    <r>
      <rPr>
        <sz val="10"/>
        <color rgb="FF0000FF"/>
        <rFont val="WenQuanYi Zen Hei"/>
        <family val="2"/>
      </rPr>
      <t xml:space="preserve">閉庁</t>
    </r>
    <r>
      <rPr>
        <sz val="10"/>
        <color rgb="FF0000FF"/>
        <rFont val="ＭＳ 明朝"/>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</si>
  <si>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</si>
  <si>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</si>
  <si>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</si>
  <si>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</si>
  <si>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</si>
  <si>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</si>
  <si>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</si>
  <si>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</si>
  <si>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</si>
  <si>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</si>
  <si>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</si>
  <si>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</si>
  <si>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</si>
  <si>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</si>
  <si>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中間計算と書類判定。通常は変更しない。</t>
  </si>
  <si>
    <t xml:space="preserve">項目</t>
  </si>
  <si>
    <t xml:space="preserve">値</t>
  </si>
  <si>
    <t xml:space="preserve">計算の考え方</t>
  </si>
  <si>
    <r>
      <rPr>
        <b val="true"/>
        <sz val="10"/>
        <color rgb="FF000000"/>
        <rFont val="WenQuanYi Zen Hei"/>
        <family val="2"/>
      </rPr>
      <t xml:space="preserve">名前</t>
    </r>
    <r>
      <rPr>
        <b val="true"/>
        <sz val="10"/>
        <color rgb="FF000000"/>
        <rFont val="ＭＳ 明朝"/>
        <family val="0"/>
        <charset val="1"/>
      </rPr>
      <t xml:space="preserve">(</t>
    </r>
    <r>
      <rPr>
        <b val="true"/>
        <sz val="10"/>
        <color rgb="FF000000"/>
        <rFont val="WenQuanYi Zen Hei"/>
        <family val="2"/>
      </rPr>
      <t xml:space="preserve">数式で使う名前</t>
    </r>
    <r>
      <rPr>
        <b val="true"/>
        <sz val="10"/>
        <color rgb="FF000000"/>
        <rFont val="ＭＳ 明朝"/>
        <family val="0"/>
        <charset val="1"/>
      </rPr>
      <t xml:space="preserve">)</t>
    </r>
  </si>
  <si>
    <r>
      <rPr>
        <b val="true"/>
        <sz val="10"/>
        <color rgb="FF000000"/>
        <rFont val="ＭＳ 明朝"/>
        <family val="0"/>
        <charset val="1"/>
      </rPr>
      <t xml:space="preserve">0. </t>
    </r>
    <r>
      <rPr>
        <b val="true"/>
        <sz val="10"/>
        <color rgb="FF000000"/>
        <rFont val="WenQuanYi Zen Hei"/>
        <family val="2"/>
      </rPr>
      <t xml:space="preserve">定数</t>
    </r>
    <r>
      <rPr>
        <b val="true"/>
        <sz val="10"/>
        <color rgb="FF000000"/>
        <rFont val="ＭＳ 明朝"/>
        <family val="0"/>
        <charset val="1"/>
      </rPr>
      <t xml:space="preserve">(</t>
    </r>
    <r>
      <rPr>
        <b val="true"/>
        <sz val="10"/>
        <color rgb="FF000000"/>
        <rFont val="WenQuanYi Zen Hei"/>
        <family val="2"/>
      </rPr>
      <t xml:space="preserve">数式の中に直接書かない数値。意味のある名前を付けて使う</t>
    </r>
    <r>
      <rPr>
        <b val="true"/>
        <sz val="10"/>
        <color rgb="FF000000"/>
        <rFont val="ＭＳ 明朝"/>
        <family val="0"/>
        <charset val="1"/>
      </rPr>
      <t xml:space="preserve">)</t>
    </r>
  </si>
  <si>
    <r>
      <rPr>
        <sz val="10"/>
        <color rgb="FF000000"/>
        <rFont val="WenQuanYi Zen Hei"/>
        <family val="2"/>
      </rPr>
      <t xml:space="preserve">定数</t>
    </r>
    <r>
      <rPr>
        <sz val="10"/>
        <color rgb="FF000000"/>
        <rFont val="ＭＳ 明朝"/>
        <family val="0"/>
        <charset val="1"/>
      </rPr>
      <t xml:space="preserve">:1</t>
    </r>
    <r>
      <rPr>
        <sz val="10"/>
        <color rgb="FF000000"/>
        <rFont val="WenQuanYi Zen Hei"/>
        <family val="2"/>
      </rPr>
      <t xml:space="preserve">万円</t>
    </r>
    <r>
      <rPr>
        <sz val="10"/>
        <color rgb="FF000000"/>
        <rFont val="ＭＳ 明朝"/>
        <family val="0"/>
        <charset val="1"/>
      </rPr>
      <t xml:space="preserve">=10000</t>
    </r>
    <r>
      <rPr>
        <sz val="10"/>
        <color rgb="FF000000"/>
        <rFont val="WenQuanYi Zen Hei"/>
        <family val="2"/>
      </rPr>
      <t xml:space="preserve">円</t>
    </r>
  </si>
  <si>
    <t xml:space="preserve">万円の金額を円に換算するときに使う</t>
  </si>
  <si>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万円</t>
    </r>
  </si>
  <si>
    <r>
      <rPr>
        <sz val="10"/>
        <color rgb="FF000000"/>
        <rFont val="WenQuanYi Zen Hei"/>
        <family val="2"/>
      </rPr>
      <t xml:space="preserve">定数</t>
    </r>
    <r>
      <rPr>
        <sz val="10"/>
        <color rgb="FF000000"/>
        <rFont val="ＭＳ 明朝"/>
        <family val="0"/>
        <charset val="1"/>
      </rPr>
      <t xml:space="preserve">:1</t>
    </r>
    <r>
      <rPr>
        <sz val="10"/>
        <color rgb="FF000000"/>
        <rFont val="WenQuanYi Zen Hei"/>
        <family val="2"/>
      </rPr>
      <t xml:space="preserve">年の月数</t>
    </r>
  </si>
  <si>
    <r>
      <rPr>
        <i val="true"/>
        <sz val="10"/>
        <color rgb="FF595959"/>
        <rFont val="WenQuanYi Zen Hei"/>
        <family val="2"/>
      </rPr>
      <t xml:space="preserve">利率の月利換算</t>
    </r>
    <r>
      <rPr>
        <i val="true"/>
        <sz val="10"/>
        <color rgb="FF595959"/>
        <rFont val="ＭＳ 明朝"/>
        <family val="0"/>
        <charset val="1"/>
      </rPr>
      <t xml:space="preserve">(</t>
    </r>
    <r>
      <rPr>
        <i val="true"/>
        <sz val="10"/>
        <color rgb="FF595959"/>
        <rFont val="WenQuanYi Zen Hei"/>
        <family val="2"/>
      </rPr>
      <t xml:space="preserve">年利</t>
    </r>
    <r>
      <rPr>
        <i val="true"/>
        <sz val="10"/>
        <color rgb="FF595959"/>
        <rFont val="ＭＳ 明朝"/>
        <family val="0"/>
        <charset val="1"/>
      </rPr>
      <t xml:space="preserve">÷12)</t>
    </r>
    <r>
      <rPr>
        <i val="true"/>
        <sz val="10"/>
        <color rgb="FF595959"/>
        <rFont val="WenQuanYi Zen Hei"/>
        <family val="2"/>
      </rPr>
      <t xml:space="preserve">、年間償還額などに使う</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</si>
  <si>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年月数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</si>
  <si>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半年の月数</t>
    </r>
  </si>
  <si>
    <r>
      <rPr>
        <i val="true"/>
        <sz val="10"/>
        <color rgb="FF595959"/>
        <rFont val="WenQuanYi Zen Hei"/>
        <family val="2"/>
      </rPr>
      <t xml:space="preserve">ボーナス</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r>
      <rPr>
        <i val="true"/>
        <sz val="10"/>
        <color rgb="FF595959"/>
        <rFont val="WenQuanYi Zen Hei"/>
        <family val="2"/>
      </rPr>
      <t xml:space="preserve">の間隔</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</si>
  <si>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半年月数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</si>
  <si>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年間のボーナス回数</t>
    </r>
  </si>
  <si>
    <r>
      <rPr>
        <i val="true"/>
        <sz val="10"/>
        <color rgb="FF595959"/>
        <rFont val="WenQuanYi Zen Hei"/>
        <family val="2"/>
      </rPr>
      <t xml:space="preserve">年間償還額</t>
    </r>
    <r>
      <rPr>
        <i val="true"/>
        <sz val="10"/>
        <color rgb="FF595959"/>
        <rFont val="ＭＳ 明朝"/>
        <family val="0"/>
        <charset val="1"/>
      </rPr>
      <t xml:space="preserve">=</t>
    </r>
    <r>
      <rPr>
        <i val="true"/>
        <sz val="10"/>
        <color rgb="FF595959"/>
        <rFont val="WenQuanYi Zen Hei"/>
        <family val="2"/>
      </rPr>
      <t xml:space="preserve">毎月</t>
    </r>
    <r>
      <rPr>
        <i val="true"/>
        <sz val="10"/>
        <color rgb="FF595959"/>
        <rFont val="ＭＳ 明朝"/>
        <family val="0"/>
        <charset val="1"/>
      </rPr>
      <t xml:space="preserve">×12+</t>
    </r>
    <r>
      <rPr>
        <i val="true"/>
        <sz val="10"/>
        <color rgb="FF595959"/>
        <rFont val="WenQuanYi Zen Hei"/>
        <family val="2"/>
      </rPr>
      <t xml:space="preserve">ボーナス</t>
    </r>
    <r>
      <rPr>
        <i val="true"/>
        <sz val="10"/>
        <color rgb="FF595959"/>
        <rFont val="ＭＳ 明朝"/>
        <family val="0"/>
        <charset val="1"/>
      </rPr>
      <t xml:space="preserve">×2</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</si>
  <si>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年賞与回数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</si>
  <si>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比較の許容誤差</t>
    </r>
  </si>
  <si>
    <r>
      <rPr>
        <i val="true"/>
        <sz val="10"/>
        <color rgb="FF595959"/>
        <rFont val="WenQuanYi Zen Hei"/>
        <family val="2"/>
      </rPr>
      <t xml:space="preserve">割合が</t>
    </r>
    <r>
      <rPr>
        <i val="true"/>
        <sz val="10"/>
        <color rgb="FF595959"/>
        <rFont val="ＭＳ 明朝"/>
        <family val="0"/>
        <charset val="1"/>
      </rPr>
      <t xml:space="preserve">30%</t>
    </r>
    <r>
      <rPr>
        <i val="true"/>
        <sz val="10"/>
        <color rgb="FF595959"/>
        <rFont val="WenQuanYi Zen Hei"/>
        <family val="2"/>
      </rPr>
      <t xml:space="preserve">ちょうどのとき、小数の誤差で</t>
    </r>
    <r>
      <rPr>
        <i val="true"/>
        <sz val="10"/>
        <color rgb="FF595959"/>
        <rFont val="ＭＳ 明朝"/>
        <family val="0"/>
        <charset val="1"/>
      </rPr>
      <t xml:space="preserve">×</t>
    </r>
    <r>
      <rPr>
        <i val="true"/>
        <sz val="10"/>
        <color rgb="FF595959"/>
        <rFont val="WenQuanYi Zen Hei"/>
        <family val="2"/>
      </rPr>
      <t xml:space="preserve">にならないようにする</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</si>
  <si>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誤差</t>
    </r>
  </si>
  <si>
    <r>
      <rPr>
        <b val="true"/>
        <sz val="10"/>
        <color rgb="FF000000"/>
        <rFont val="ＭＳ 明朝"/>
        <family val="0"/>
        <charset val="1"/>
      </rPr>
      <t xml:space="preserve">A.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マスタ</t>
    </r>
    <r>
      <rPr>
        <b val="true"/>
        <sz val="10"/>
        <color rgb="FF000000"/>
        <rFont val="ＭＳ 明朝"/>
        <family val="0"/>
        <charset val="1"/>
      </rPr>
      <t xml:space="preserve">)</t>
    </r>
    <r>
      <rPr>
        <b val="true"/>
        <sz val="10"/>
        <color rgb="FF000000"/>
        <rFont val="WenQuanYi Zen Hei"/>
        <family val="2"/>
      </rPr>
      <t xml:space="preserve">から、選んだ貸付区分の設定を取り出す</t>
    </r>
  </si>
  <si>
    <r>
      <rPr>
        <i val="true"/>
        <sz val="10"/>
        <color rgb="FF595959"/>
        <rFont val="WenQuanYi Zen Hei"/>
        <family val="2"/>
      </rPr>
      <t xml:space="preserve">貸付区分の選択位置</t>
    </r>
    <r>
      <rPr>
        <i val="true"/>
        <sz val="10"/>
        <color rgb="FF595959"/>
        <rFont val="ＭＳ 明朝"/>
        <family val="0"/>
        <charset val="1"/>
      </rPr>
      <t xml:space="preserve">(</t>
    </r>
    <r>
      <rPr>
        <i val="true"/>
        <sz val="10"/>
        <color rgb="FF595959"/>
        <rFont val="WenQuanYi Zen Hei"/>
        <family val="2"/>
      </rPr>
      <t xml:space="preserve">未選択のときは</t>
    </r>
    <r>
      <rPr>
        <i val="true"/>
        <sz val="10"/>
        <color rgb="FF595959"/>
        <rFont val="ＭＳ 明朝"/>
        <family val="0"/>
        <charset val="1"/>
      </rPr>
      <t xml:space="preserve">1</t>
    </r>
    <r>
      <rPr>
        <i val="true"/>
        <sz val="10"/>
        <color rgb="FF595959"/>
        <rFont val="WenQuanYi Zen Hei"/>
        <family val="2"/>
      </rPr>
      <t xml:space="preserve">行目で仮計算し、判定は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</si>
  <si>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区分行</t>
    </r>
  </si>
  <si>
    <r>
      <rPr>
        <i val="true"/>
        <sz val="10"/>
        <color rgb="FF595959"/>
        <rFont val="WenQuanYi Zen Hei"/>
        <family val="2"/>
      </rPr>
      <t xml:space="preserve">区分群</t>
    </r>
    <r>
      <rPr>
        <i val="true"/>
        <sz val="10"/>
        <color rgb="FF595959"/>
        <rFont val="ＭＳ 明朝"/>
        <family val="0"/>
        <charset val="1"/>
      </rPr>
      <t xml:space="preserve">(</t>
    </r>
    <r>
      <rPr>
        <i val="true"/>
        <sz val="10"/>
        <color rgb="FF595959"/>
        <rFont val="WenQuanYi Zen Hei"/>
        <family val="2"/>
      </rPr>
      <t xml:space="preserve">普通貸付・特別貸付・住宅貸付・災害貸付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</si>
  <si>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区分群</t>
    </r>
  </si>
  <si>
    <r>
      <rPr>
        <i val="true"/>
        <sz val="10"/>
        <color rgb="FF595959"/>
        <rFont val="WenQuanYi Zen Hei"/>
        <family val="2"/>
      </rPr>
      <t xml:space="preserve">限度額の計算方式</t>
    </r>
    <r>
      <rPr>
        <i val="true"/>
        <sz val="10"/>
        <color rgb="FF595959"/>
        <rFont val="ＭＳ 明朝"/>
        <family val="0"/>
        <charset val="1"/>
      </rPr>
      <t xml:space="preserve">(</t>
    </r>
    <r>
      <rPr>
        <i val="true"/>
        <sz val="10"/>
        <color rgb="FF595959"/>
        <rFont val="WenQuanYi Zen Hei"/>
        <family val="2"/>
      </rPr>
      <t xml:space="preserve">月数・修学・住宅・再貸付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</si>
  <si>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限度額方式</t>
    </r>
  </si>
  <si>
    <r>
      <rPr>
        <sz val="10"/>
        <color rgb="FF000000"/>
        <rFont val="WenQuanYi Zen Hei"/>
        <family val="2"/>
      </rPr>
      <t xml:space="preserve">給料月数</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</si>
  <si>
    <t xml:space="preserve">月数方式で給料月額に掛ける月数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</si>
  <si>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給料月数</t>
    </r>
  </si>
  <si>
    <r>
      <rPr>
        <sz val="10"/>
        <color rgb="FF000000"/>
        <rFont val="WenQuanYi Zen Hei"/>
        <family val="2"/>
      </rPr>
      <t xml:space="preserve">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</si>
  <si>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貸付限度額の上限</t>
    </r>
    <r>
      <rPr>
        <i val="true"/>
        <sz val="10"/>
        <color rgb="FF595959"/>
        <rFont val="ＭＳ 明朝"/>
        <family val="0"/>
        <charset val="1"/>
      </rPr>
      <t xml:space="preserve">(</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。修学は上限なし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</si>
  <si>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上限万円</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</si>
  <si>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</si>
  <si>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申込金額の単位</t>
    </r>
    <r>
      <rPr>
        <i val="true"/>
        <sz val="10"/>
        <color rgb="FF595959"/>
        <rFont val="ＭＳ 明朝"/>
        <family val="0"/>
        <charset val="1"/>
      </rPr>
      <t xml:space="preserve">(</t>
    </r>
    <r>
      <rPr>
        <i val="true"/>
        <sz val="10"/>
        <color rgb="FF595959"/>
        <rFont val="WenQuanYi Zen Hei"/>
        <family val="2"/>
      </rPr>
      <t xml:space="preserve">万円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</si>
  <si>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単位万円</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</si>
  <si>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回数上限</t>
    </r>
  </si>
  <si>
    <r>
      <rPr>
        <i val="true"/>
        <sz val="10"/>
        <color rgb="FF595959"/>
        <rFont val="WenQuanYi Zen Hei"/>
        <family val="2"/>
      </rPr>
      <t xml:space="preserve">利率の種類</t>
    </r>
    <r>
      <rPr>
        <i val="true"/>
        <sz val="10"/>
        <color rgb="FF595959"/>
        <rFont val="ＭＳ 明朝"/>
        <family val="0"/>
        <charset val="1"/>
      </rPr>
      <t xml:space="preserve">(</t>
    </r>
    <r>
      <rPr>
        <i val="true"/>
        <sz val="10"/>
        <color rgb="FF595959"/>
        <rFont val="WenQuanYi Zen Hei"/>
        <family val="2"/>
      </rPr>
      <t xml:space="preserve">通常・住宅・災害</t>
    </r>
    <r>
      <rPr>
        <i val="true"/>
        <sz val="10"/>
        <color rgb="FF595959"/>
        <rFont val="ＭＳ 明朝"/>
        <family val="0"/>
        <charset val="1"/>
      </rPr>
      <t xml:space="preserve">)</t>
    </r>
    <r>
      <rPr>
        <i val="true"/>
        <sz val="10"/>
        <color rgb="FF595959"/>
        <rFont val="WenQuanYi Zen Hei"/>
        <family val="2"/>
      </rPr>
      <t xml:space="preserve">。利率はマスタ「</t>
    </r>
    <r>
      <rPr>
        <i val="true"/>
        <sz val="10"/>
        <color rgb="FF595959"/>
        <rFont val="ＭＳ 明朝"/>
        <family val="0"/>
        <charset val="1"/>
      </rPr>
      <t xml:space="preserve">1</t>
    </r>
    <r>
      <rPr>
        <i val="true"/>
        <sz val="10"/>
        <color rgb="FF595959"/>
        <rFont val="WenQuanYi Zen Hei"/>
        <family val="2"/>
      </rPr>
      <t xml:space="preserve">」の値を使う</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</si>
  <si>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利率種別</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</si>
  <si>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日</t>
    </r>
    <r>
      <rPr>
        <sz val="10"/>
        <color rgb="FF000000"/>
        <rFont val="ＭＳ 明朝"/>
        <family val="0"/>
        <charset val="1"/>
      </rPr>
      <t xml:space="preserve">)</t>
    </r>
  </si>
  <si>
    <r>
      <rPr>
        <i val="true"/>
        <sz val="10"/>
        <color rgb="FF595959"/>
        <rFont val="WenQuanYi Zen Hei"/>
        <family val="2"/>
      </rPr>
      <t xml:space="preserve">申込締切日</t>
    </r>
    <r>
      <rPr>
        <i val="true"/>
        <sz val="10"/>
        <color rgb="FF595959"/>
        <rFont val="ＭＳ 明朝"/>
        <family val="0"/>
        <charset val="1"/>
      </rPr>
      <t xml:space="preserve">(</t>
    </r>
    <r>
      <rPr>
        <i val="true"/>
        <sz val="10"/>
        <color rgb="FF595959"/>
        <rFont val="WenQuanYi Zen Hei"/>
        <family val="2"/>
      </rPr>
      <t xml:space="preserve">毎月○日</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</si>
  <si>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締切日の日</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</si>
  <si>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住宅貸付</t>
    </r>
    <r>
      <rPr>
        <sz val="10"/>
        <color rgb="FF000000"/>
        <rFont val="ＭＳ 明朝"/>
        <family val="0"/>
        <charset val="1"/>
      </rPr>
      <t xml:space="preserve">)</t>
    </r>
  </si>
  <si>
    <r>
      <rPr>
        <i val="true"/>
        <sz val="10"/>
        <color rgb="FF595959"/>
        <rFont val="WenQuanYi Zen Hei"/>
        <family val="2"/>
      </rPr>
      <t xml:space="preserve">住宅貸付の提出書類表</t>
    </r>
    <r>
      <rPr>
        <i val="true"/>
        <sz val="10"/>
        <color rgb="FF595959"/>
        <rFont val="ＭＳ 明朝"/>
        <family val="0"/>
        <charset val="1"/>
      </rPr>
      <t xml:space="preserve">(</t>
    </r>
    <r>
      <rPr>
        <i val="true"/>
        <sz val="10"/>
        <color rgb="FF595959"/>
        <rFont val="WenQuanYi Zen Hei"/>
        <family val="2"/>
      </rPr>
      <t xml:space="preserve">マスタ</t>
    </r>
    <r>
      <rPr>
        <i val="true"/>
        <sz val="10"/>
        <color rgb="FF595959"/>
        <rFont val="ＭＳ 明朝"/>
        <family val="0"/>
        <charset val="1"/>
      </rPr>
      <t xml:space="preserve">4</t>
    </r>
    <r>
      <rPr>
        <i val="true"/>
        <sz val="10"/>
        <color rgb="FF595959"/>
        <rFont val="WenQuanYi Zen Hei"/>
        <family val="2"/>
      </rPr>
      <t xml:space="preserve">・</t>
    </r>
    <r>
      <rPr>
        <i val="true"/>
        <sz val="10"/>
        <color rgb="FF595959"/>
        <rFont val="ＭＳ 明朝"/>
        <family val="0"/>
        <charset val="1"/>
      </rPr>
      <t xml:space="preserve">5)</t>
    </r>
    <r>
      <rPr>
        <i val="true"/>
        <sz val="10"/>
        <color rgb="FF595959"/>
        <rFont val="WenQuanYi Zen Hei"/>
        <family val="2"/>
      </rPr>
      <t xml:space="preserve">の列番号</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</si>
  <si>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住宅書類列</t>
    </r>
  </si>
  <si>
    <t xml:space="preserve">貸付事由ごとの添付書類</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</si>
  <si>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事由書類</t>
    </r>
  </si>
  <si>
    <r>
      <rPr>
        <i val="true"/>
        <sz val="10"/>
        <color rgb="FF595959"/>
        <rFont val="WenQuanYi Zen Hei"/>
        <family val="2"/>
      </rPr>
      <t xml:space="preserve">申込できる時期</t>
    </r>
    <r>
      <rPr>
        <i val="true"/>
        <sz val="10"/>
        <color rgb="FF595959"/>
        <rFont val="ＭＳ 明朝"/>
        <family val="0"/>
        <charset val="1"/>
      </rPr>
      <t xml:space="preserve">(</t>
    </r>
    <r>
      <rPr>
        <i val="true"/>
        <sz val="10"/>
        <color rgb="FF595959"/>
        <rFont val="WenQuanYi Zen Hei"/>
        <family val="2"/>
      </rPr>
      <t xml:space="preserve">説明文</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</si>
  <si>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申込時期</t>
    </r>
  </si>
  <si>
    <r>
      <rPr>
        <i val="true"/>
        <sz val="10"/>
        <color rgb="FF595959"/>
        <rFont val="WenQuanYi Zen Hei"/>
        <family val="2"/>
      </rPr>
      <t xml:space="preserve">申込時期の基準になる日の名前</t>
    </r>
    <r>
      <rPr>
        <i val="true"/>
        <sz val="10"/>
        <color rgb="FF595959"/>
        <rFont val="ＭＳ 明朝"/>
        <family val="0"/>
        <charset val="1"/>
      </rPr>
      <t xml:space="preserve">(</t>
    </r>
    <r>
      <rPr>
        <i val="true"/>
        <sz val="10"/>
        <color rgb="FF595959"/>
        <rFont val="WenQuanYi Zen Hei"/>
        <family val="2"/>
      </rPr>
      <t xml:space="preserve">婚姻日など</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</si>
  <si>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基準日名</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</si>
  <si>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基準日の何か月前</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</si>
  <si>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i val="true"/>
        <sz val="10"/>
        <color rgb="FF595959"/>
        <rFont val="WenQuanYi Zen Hei"/>
        <family val="2"/>
      </rPr>
      <t xml:space="preserve">基準日の何か月前から申込できるか。空白</t>
    </r>
    <r>
      <rPr>
        <i val="true"/>
        <sz val="10"/>
        <color rgb="FF595959"/>
        <rFont val="ＭＳ 明朝"/>
        <family val="0"/>
        <charset val="1"/>
      </rPr>
      <t xml:space="preserve">=</t>
    </r>
    <r>
      <rPr>
        <i val="true"/>
        <sz val="10"/>
        <color rgb="FF595959"/>
        <rFont val="WenQuanYi Zen Hei"/>
        <family val="2"/>
      </rPr>
      <t xml:space="preserve">制限なし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</si>
  <si>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前月数</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</si>
  <si>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基準日の何か月後</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</si>
  <si>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i val="true"/>
        <sz val="10"/>
        <color rgb="FF595959"/>
        <rFont val="WenQuanYi Zen Hei"/>
        <family val="2"/>
      </rPr>
      <t xml:space="preserve">基準日の何か月後まで申込できるか。空白</t>
    </r>
    <r>
      <rPr>
        <i val="true"/>
        <sz val="10"/>
        <color rgb="FF595959"/>
        <rFont val="ＭＳ 明朝"/>
        <family val="0"/>
        <charset val="1"/>
      </rPr>
      <t xml:space="preserve">=</t>
    </r>
    <r>
      <rPr>
        <i val="true"/>
        <sz val="10"/>
        <color rgb="FF595959"/>
        <rFont val="WenQuanYi Zen Hei"/>
        <family val="2"/>
      </rPr>
      <t xml:space="preserve">制限なし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</si>
  <si>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後月数</t>
    </r>
  </si>
  <si>
    <r>
      <rPr>
        <sz val="10"/>
        <color rgb="FF000000"/>
        <rFont val="WenQuanYi Zen Hei"/>
        <family val="2"/>
      </rPr>
      <t xml:space="preserve">交付後の提出書類</t>
    </r>
    <r>
      <rPr>
        <sz val="10"/>
        <color rgb="FF000000"/>
        <rFont val="ＭＳ 明朝"/>
        <family val="0"/>
        <charset val="1"/>
      </rPr>
      <t xml:space="preserve">(</t>
    </r>
    <r>
      <rPr>
        <sz val="10"/>
        <color rgb="FF000000"/>
        <rFont val="WenQuanYi Zen Hei"/>
        <family val="2"/>
      </rPr>
      <t xml:space="preserve">住宅以外</t>
    </r>
    <r>
      <rPr>
        <sz val="10"/>
        <color rgb="FF000000"/>
        <rFont val="ＭＳ 明朝"/>
        <family val="0"/>
        <charset val="1"/>
      </rPr>
      <t xml:space="preserve">)</t>
    </r>
  </si>
  <si>
    <t xml:space="preserve">貸付金交付後に提出する書類</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</si>
  <si>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交付後書類</t>
    </r>
  </si>
  <si>
    <r>
      <rPr>
        <sz val="10"/>
        <color rgb="FF000000"/>
        <rFont val="WenQuanYi Zen Hei"/>
        <family val="2"/>
      </rPr>
      <t xml:space="preserve">交付後の提出期限</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</si>
  <si>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交付後の提出期限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</si>
  <si>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交付後期限月</t>
    </r>
  </si>
  <si>
    <r>
      <rPr>
        <i val="true"/>
        <sz val="10"/>
        <color rgb="FF595959"/>
        <rFont val="WenQuanYi Zen Hei"/>
        <family val="2"/>
      </rPr>
      <t xml:space="preserve">期限の起算</t>
    </r>
    <r>
      <rPr>
        <i val="true"/>
        <sz val="10"/>
        <color rgb="FF595959"/>
        <rFont val="ＭＳ 明朝"/>
        <family val="0"/>
        <charset val="1"/>
      </rPr>
      <t xml:space="preserve">(</t>
    </r>
    <r>
      <rPr>
        <i val="true"/>
        <sz val="10"/>
        <color rgb="FF595959"/>
        <rFont val="WenQuanYi Zen Hei"/>
        <family val="2"/>
      </rPr>
      <t xml:space="preserve">交付日・事由日・入学</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</si>
  <si>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期限起算</t>
    </r>
  </si>
  <si>
    <r>
      <rPr>
        <i val="true"/>
        <sz val="10"/>
        <color rgb="FF595959"/>
        <rFont val="WenQuanYi Zen Hei"/>
        <family val="2"/>
      </rPr>
      <t xml:space="preserve">貸付決定の時期</t>
    </r>
    <r>
      <rPr>
        <i val="true"/>
        <sz val="10"/>
        <color rgb="FF595959"/>
        <rFont val="ＭＳ 明朝"/>
        <family val="0"/>
        <charset val="1"/>
      </rPr>
      <t xml:space="preserve">(</t>
    </r>
    <r>
      <rPr>
        <i val="true"/>
        <sz val="10"/>
        <color rgb="FF595959"/>
        <rFont val="WenQuanYi Zen Hei"/>
        <family val="2"/>
      </rPr>
      <t xml:space="preserve">ハンドブックの記載</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</si>
  <si>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決定目安</t>
    </r>
  </si>
  <si>
    <r>
      <rPr>
        <b val="true"/>
        <sz val="10"/>
        <color rgb="FF000000"/>
        <rFont val="ＭＳ 明朝"/>
        <family val="0"/>
        <charset val="1"/>
      </rPr>
      <t xml:space="preserve">B. </t>
    </r>
    <r>
      <rPr>
        <b val="true"/>
        <sz val="10"/>
        <color rgb="FF000000"/>
        <rFont val="WenQuanYi Zen Hei"/>
        <family val="2"/>
      </rPr>
      <t xml:space="preserve">利率・組合員期間など</t>
    </r>
    <r>
      <rPr>
        <b val="true"/>
        <sz val="10"/>
        <color rgb="FF000000"/>
        <rFont val="ＭＳ 明朝"/>
        <family val="0"/>
        <charset val="1"/>
      </rPr>
      <t xml:space="preserve">(</t>
    </r>
    <r>
      <rPr>
        <b val="true"/>
        <sz val="10"/>
        <color rgb="FF000000"/>
        <rFont val="WenQuanYi Zen Hei"/>
        <family val="2"/>
      </rPr>
      <t xml:space="preserve">貸付区分と日付から決まる値</t>
    </r>
    <r>
      <rPr>
        <b val="true"/>
        <sz val="10"/>
        <color rgb="FF000000"/>
        <rFont val="ＭＳ 明朝"/>
        <family val="0"/>
        <charset val="1"/>
      </rPr>
      <t xml:space="preserve">)</t>
    </r>
  </si>
  <si>
    <r>
      <rPr>
        <sz val="10"/>
        <color rgb="FF000000"/>
        <rFont val="WenQuanYi Zen Hei"/>
        <family val="2"/>
      </rPr>
      <t xml:space="preserve">住宅系</t>
    </r>
    <r>
      <rPr>
        <sz val="10"/>
        <color rgb="FF000000"/>
        <rFont val="ＭＳ 明朝"/>
        <family val="0"/>
        <charset val="1"/>
      </rPr>
      <t xml:space="preserve">(</t>
    </r>
    <r>
      <rPr>
        <sz val="10"/>
        <color rgb="FF000000"/>
        <rFont val="WenQuanYi Zen Hei"/>
        <family val="2"/>
      </rPr>
      <t xml:space="preserve">住宅・災害住宅・災害再貸付</t>
    </r>
    <r>
      <rPr>
        <sz val="10"/>
        <color rgb="FF000000"/>
        <rFont val="ＭＳ 明朝"/>
        <family val="0"/>
        <charset val="1"/>
      </rPr>
      <t xml:space="preserve">)=1</t>
    </r>
  </si>
  <si>
    <r>
      <rPr>
        <i val="true"/>
        <sz val="10"/>
        <color rgb="FF595959"/>
        <rFont val="WenQuanYi Zen Hei"/>
        <family val="2"/>
      </rPr>
      <t xml:space="preserve">住宅・災害住宅・災害再貸付なら</t>
    </r>
    <r>
      <rPr>
        <i val="true"/>
        <sz val="10"/>
        <color rgb="FF595959"/>
        <rFont val="ＭＳ 明朝"/>
        <family val="0"/>
        <charset val="1"/>
      </rPr>
      <t xml:space="preserve">1(</t>
    </r>
    <r>
      <rPr>
        <i val="true"/>
        <sz val="10"/>
        <color rgb="FF595959"/>
        <rFont val="WenQuanYi Zen Hei"/>
        <family val="2"/>
      </rPr>
      <t xml:space="preserve">在宅介護対応の加算やボーナス併用が使える区分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</si>
  <si>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住宅系</t>
    </r>
  </si>
  <si>
    <r>
      <rPr>
        <i val="true"/>
        <sz val="10"/>
        <color rgb="FF595959"/>
        <rFont val="WenQuanYi Zen Hei"/>
        <family val="2"/>
      </rPr>
      <t xml:space="preserve">貸付区分に応じた年利</t>
    </r>
    <r>
      <rPr>
        <i val="true"/>
        <sz val="10"/>
        <color rgb="FF595959"/>
        <rFont val="ＭＳ 明朝"/>
        <family val="0"/>
        <charset val="1"/>
      </rPr>
      <t xml:space="preserve">(</t>
    </r>
    <r>
      <rPr>
        <i val="true"/>
        <sz val="10"/>
        <color rgb="FF595959"/>
        <rFont val="WenQuanYi Zen Hei"/>
        <family val="2"/>
      </rPr>
      <t xml:space="preserve">マスタ「</t>
    </r>
    <r>
      <rPr>
        <i val="true"/>
        <sz val="10"/>
        <color rgb="FF595959"/>
        <rFont val="ＭＳ 明朝"/>
        <family val="0"/>
        <charset val="1"/>
      </rPr>
      <t xml:space="preserve">1</t>
    </r>
    <r>
      <rPr>
        <i val="true"/>
        <sz val="10"/>
        <color rgb="FF595959"/>
        <rFont val="WenQuanYi Zen Hei"/>
        <family val="2"/>
      </rPr>
      <t xml:space="preserve">」</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</si>
  <si>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t>
    </r>
  </si>
  <si>
    <r>
      <rPr>
        <sz val="10"/>
        <color rgb="FF000000"/>
        <rFont val="WenQuanYi Zen Hei"/>
        <family val="2"/>
      </rPr>
      <t xml:space="preserve">在宅介護対応</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</si>
  <si>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住宅貸付の利率</t>
    </r>
    <r>
      <rPr>
        <i val="true"/>
        <sz val="10"/>
        <color rgb="FF595959"/>
        <rFont val="ＭＳ 明朝"/>
        <family val="0"/>
        <charset val="1"/>
      </rPr>
      <t xml:space="preserve">-0.26%(</t>
    </r>
    <r>
      <rPr>
        <i val="true"/>
        <sz val="10"/>
        <color rgb="FF595959"/>
        <rFont val="WenQuanYi Zen Hei"/>
        <family val="2"/>
      </rPr>
      <t xml:space="preserve">災害貸付との併用は要確認</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</si>
  <si>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</si>
  <si>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月数</t>
    </r>
    <r>
      <rPr>
        <sz val="10"/>
        <color rgb="FF000000"/>
        <rFont val="ＭＳ 明朝"/>
        <family val="0"/>
        <charset val="1"/>
      </rPr>
      <t xml:space="preserve">)</t>
    </r>
  </si>
  <si>
    <t xml:space="preserve">資格取得日〜申込予定日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</si>
  <si>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組合員月数</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</si>
  <si>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</si>
  <si>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画面に出す「○年○か月」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</si>
  <si>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組合員期間表示</t>
    </r>
  </si>
  <si>
    <r>
      <rPr>
        <i val="true"/>
        <sz val="10"/>
        <color rgb="FF595959"/>
        <rFont val="ＭＳ 明朝"/>
        <family val="0"/>
        <charset val="1"/>
      </rPr>
      <t xml:space="preserve">1</t>
    </r>
    <r>
      <rPr>
        <i val="true"/>
        <sz val="10"/>
        <color rgb="FF595959"/>
        <rFont val="WenQuanYi Zen Hei"/>
        <family val="2"/>
      </rPr>
      <t xml:space="preserve">年未満は最下段を適用</t>
    </r>
    <r>
      <rPr>
        <i val="true"/>
        <sz val="10"/>
        <color rgb="FF595959"/>
        <rFont val="ＭＳ 明朝"/>
        <family val="0"/>
        <charset val="1"/>
      </rPr>
      <t xml:space="preserve">(</t>
    </r>
    <r>
      <rPr>
        <i val="true"/>
        <sz val="10"/>
        <color rgb="FF595959"/>
        <rFont val="WenQuanYi Zen Hei"/>
        <family val="2"/>
      </rPr>
      <t xml:space="preserve">災害住宅貸付のみ貸付可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</si>
  <si>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月数表位置</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</si>
  <si>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最低保障位置</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</si>
  <si>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給料月額に乗じる月数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</si>
  <si>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住宅月数</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</si>
  <si>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</si>
  <si>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t>
    </r>
    <r>
      <rPr>
        <sz val="9"/>
        <color rgb="FF595959"/>
        <rFont val="ＭＳ 明朝"/>
        <family val="0"/>
        <charset val="1"/>
      </rPr>
      <t xml:space="preserve">_</t>
    </r>
    <r>
      <rPr>
        <sz val="9"/>
        <color rgb="FF595959"/>
        <rFont val="WenQuanYi Zen Hei"/>
        <family val="2"/>
      </rPr>
      <t xml:space="preserve">住宅万円</t>
    </r>
  </si>
  <si>
    <r>
      <rPr>
        <sz val="10"/>
        <color rgb="FF000000"/>
        <rFont val="WenQuanYi Zen Hei"/>
        <family val="2"/>
      </rPr>
      <t xml:space="preserve">災害再貸付</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</si>
  <si>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t>
    </r>
    <r>
      <rPr>
        <sz val="9"/>
        <color rgb="FF595959"/>
        <rFont val="ＭＳ 明朝"/>
        <family val="0"/>
        <charset val="1"/>
      </rPr>
      <t xml:space="preserve">_</t>
    </r>
    <r>
      <rPr>
        <sz val="9"/>
        <color rgb="FF595959"/>
        <rFont val="WenQuanYi Zen Hei"/>
        <family val="2"/>
      </rPr>
      <t xml:space="preserve">災害万円</t>
    </r>
  </si>
  <si>
    <r>
      <rPr>
        <b val="true"/>
        <sz val="10"/>
        <color rgb="FF000000"/>
        <rFont val="ＭＳ 明朝"/>
        <family val="0"/>
        <charset val="1"/>
      </rPr>
      <t xml:space="preserve">C. </t>
    </r>
    <r>
      <rPr>
        <b val="true"/>
        <sz val="10"/>
        <color rgb="FF000000"/>
        <rFont val="WenQuanYi Zen Hei"/>
        <family val="2"/>
      </rPr>
      <t xml:space="preserve">貸付限度額</t>
    </r>
    <r>
      <rPr>
        <b val="true"/>
        <sz val="10"/>
        <color rgb="FF000000"/>
        <rFont val="ＭＳ 明朝"/>
        <family val="0"/>
        <charset val="1"/>
      </rPr>
      <t xml:space="preserve">(</t>
    </r>
    <r>
      <rPr>
        <b val="true"/>
        <sz val="10"/>
        <color rgb="FF000000"/>
        <rFont val="WenQuanYi Zen Hei"/>
        <family val="2"/>
      </rPr>
      <t xml:space="preserve">制度上の上限</t>
    </r>
    <r>
      <rPr>
        <b val="true"/>
        <sz val="10"/>
        <color rgb="FF000000"/>
        <rFont val="ＭＳ 明朝"/>
        <family val="0"/>
        <charset val="1"/>
      </rPr>
      <t xml:space="preserve">)</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</si>
  <si>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</si>
  <si>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給料月額 </t>
    </r>
    <r>
      <rPr>
        <i val="true"/>
        <sz val="10"/>
        <color rgb="FF595959"/>
        <rFont val="ＭＳ 明朝"/>
        <family val="0"/>
        <charset val="1"/>
      </rPr>
      <t xml:space="preserve">× </t>
    </r>
    <r>
      <rPr>
        <i val="true"/>
        <sz val="10"/>
        <color rgb="FF595959"/>
        <rFont val="WenQuanYi Zen Hei"/>
        <family val="2"/>
      </rPr>
      <t xml:space="preserve">月数。ただし上限額まで</t>
    </r>
    <r>
      <rPr>
        <i val="true"/>
        <sz val="10"/>
        <color rgb="FF595959"/>
        <rFont val="ＭＳ 明朝"/>
        <family val="0"/>
        <charset val="1"/>
      </rPr>
      <t xml:space="preserve">(</t>
    </r>
    <r>
      <rPr>
        <i val="true"/>
        <sz val="10"/>
        <color rgb="FF595959"/>
        <rFont val="WenQuanYi Zen Hei"/>
        <family val="2"/>
      </rPr>
      <t xml:space="preserve">普通・特別・災害家財</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</si>
  <si>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月数方式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</si>
  <si>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修学方式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</si>
  <si>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か月の貸付額 </t>
    </r>
    <r>
      <rPr>
        <i val="true"/>
        <sz val="10"/>
        <color rgb="FF595959"/>
        <rFont val="ＭＳ 明朝"/>
        <family val="0"/>
        <charset val="1"/>
      </rPr>
      <t xml:space="preserve">× </t>
    </r>
    <r>
      <rPr>
        <i val="true"/>
        <sz val="10"/>
        <color rgb="FF595959"/>
        <rFont val="WenQuanYi Zen Hei"/>
        <family val="2"/>
      </rPr>
      <t xml:space="preserve">修学月数</t>
    </r>
    <r>
      <rPr>
        <i val="true"/>
        <sz val="10"/>
        <color rgb="FF595959"/>
        <rFont val="ＭＳ 明朝"/>
        <family val="0"/>
        <charset val="1"/>
      </rPr>
      <t xml:space="preserve">(</t>
    </r>
    <r>
      <rPr>
        <i val="true"/>
        <sz val="10"/>
        <color rgb="FF595959"/>
        <rFont val="WenQuanYi Zen Hei"/>
        <family val="2"/>
      </rPr>
      <t xml:space="preserve">修学貸付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</si>
  <si>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修学方式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</si>
  <si>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住宅方式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</si>
  <si>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「給料月額 </t>
    </r>
    <r>
      <rPr>
        <i val="true"/>
        <sz val="10"/>
        <color rgb="FF595959"/>
        <rFont val="ＭＳ 明朝"/>
        <family val="0"/>
        <charset val="1"/>
      </rPr>
      <t xml:space="preserve">× </t>
    </r>
    <r>
      <rPr>
        <i val="true"/>
        <sz val="10"/>
        <color rgb="FF595959"/>
        <rFont val="WenQuanYi Zen Hei"/>
        <family val="2"/>
      </rPr>
      <t xml:space="preserve">組合員期間別の月数」と「最低保障額」の高い方。ただし上限額まで</t>
    </r>
    <r>
      <rPr>
        <i val="true"/>
        <sz val="10"/>
        <color rgb="FF595959"/>
        <rFont val="ＭＳ 明朝"/>
        <family val="0"/>
        <charset val="1"/>
      </rPr>
      <t xml:space="preserve">(</t>
    </r>
    <r>
      <rPr>
        <i val="true"/>
        <sz val="10"/>
        <color rgb="FF595959"/>
        <rFont val="WenQuanYi Zen Hei"/>
        <family val="2"/>
      </rPr>
      <t xml:space="preserve">住宅・災害住宅</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</si>
  <si>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住宅方式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</si>
  <si>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再貸付方式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</si>
  <si>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月数を</t>
    </r>
    <r>
      <rPr>
        <i val="true"/>
        <sz val="10"/>
        <color rgb="FF595959"/>
        <rFont val="ＭＳ 明朝"/>
        <family val="0"/>
        <charset val="1"/>
      </rPr>
      <t xml:space="preserve">2</t>
    </r>
    <r>
      <rPr>
        <i val="true"/>
        <sz val="10"/>
        <color rgb="FF595959"/>
        <rFont val="WenQuanYi Zen Hei"/>
        <family val="2"/>
      </rPr>
      <t xml:space="preserve">倍にした額と、災害用の最低保障額の高い方。ただし上限額まで</t>
    </r>
    <r>
      <rPr>
        <i val="true"/>
        <sz val="10"/>
        <color rgb="FF595959"/>
        <rFont val="ＭＳ 明朝"/>
        <family val="0"/>
        <charset val="1"/>
      </rPr>
      <t xml:space="preserve">(</t>
    </r>
    <r>
      <rPr>
        <i val="true"/>
        <sz val="10"/>
        <color rgb="FF595959"/>
        <rFont val="WenQuanYi Zen Hei"/>
        <family val="2"/>
      </rPr>
      <t xml:space="preserve">災害再貸付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</si>
  <si>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再貸付方式</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</si>
  <si>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基本・円</t>
    </r>
    <r>
      <rPr>
        <sz val="10"/>
        <color rgb="FF000000"/>
        <rFont val="ＭＳ 明朝"/>
        <family val="0"/>
        <charset val="1"/>
      </rPr>
      <t xml:space="preserve">)</t>
    </r>
  </si>
  <si>
    <r>
      <rPr>
        <i val="true"/>
        <sz val="10"/>
        <color rgb="FF595959"/>
        <rFont val="WenQuanYi Zen Hei"/>
        <family val="2"/>
      </rPr>
      <t xml:space="preserve">方式</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修学</t>
    </r>
    <r>
      <rPr>
        <i val="true"/>
        <sz val="10"/>
        <color rgb="FF595959"/>
        <rFont val="ＭＳ 明朝"/>
        <family val="0"/>
        <charset val="1"/>
      </rPr>
      <t xml:space="preserve">/</t>
    </r>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再貸付</t>
    </r>
    <r>
      <rPr>
        <i val="true"/>
        <sz val="10"/>
        <color rgb="FF595959"/>
        <rFont val="ＭＳ 明朝"/>
        <family val="0"/>
        <charset val="1"/>
      </rPr>
      <t xml:space="preserve">)</t>
    </r>
    <r>
      <rPr>
        <i val="true"/>
        <sz val="10"/>
        <color rgb="FF595959"/>
        <rFont val="WenQuanYi Zen Hei"/>
        <family val="2"/>
      </rPr>
      <t xml:space="preserve">に応じて、上の</t>
    </r>
    <r>
      <rPr>
        <i val="true"/>
        <sz val="10"/>
        <color rgb="FF595959"/>
        <rFont val="ＭＳ 明朝"/>
        <family val="0"/>
        <charset val="1"/>
      </rPr>
      <t xml:space="preserve">4</t>
    </r>
    <r>
      <rPr>
        <i val="true"/>
        <sz val="10"/>
        <color rgb="FF595959"/>
        <rFont val="WenQuanYi Zen Hei"/>
        <family val="2"/>
      </rPr>
      <t xml:space="preserve">つのうち</t>
    </r>
    <r>
      <rPr>
        <i val="true"/>
        <sz val="10"/>
        <color rgb="FF595959"/>
        <rFont val="ＭＳ 明朝"/>
        <family val="0"/>
        <charset val="1"/>
      </rPr>
      <t xml:space="preserve">1</t>
    </r>
    <r>
      <rPr>
        <i val="true"/>
        <sz val="10"/>
        <color rgb="FF595959"/>
        <rFont val="WenQuanYi Zen Hei"/>
        <family val="2"/>
      </rPr>
      <t xml:space="preserve">つを採用</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</si>
  <si>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</si>
  <si>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在宅介護対応住宅の加算限度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</si>
  <si>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入力した該当部分の金額</t>
    </r>
    <r>
      <rPr>
        <i val="true"/>
        <sz val="10"/>
        <color rgb="FF595959"/>
        <rFont val="ＭＳ 明朝"/>
        <family val="0"/>
        <charset val="1"/>
      </rPr>
      <t xml:space="preserve">(300</t>
    </r>
    <r>
      <rPr>
        <i val="true"/>
        <sz val="10"/>
        <color rgb="FF595959"/>
        <rFont val="WenQuanYi Zen Hei"/>
        <family val="2"/>
      </rPr>
      <t xml:space="preserve">万円まで</t>
    </r>
    <r>
      <rPr>
        <i val="true"/>
        <sz val="10"/>
        <color rgb="FF595959"/>
        <rFont val="ＭＳ 明朝"/>
        <family val="0"/>
        <charset val="1"/>
      </rPr>
      <t xml:space="preserve">)</t>
    </r>
    <r>
      <rPr>
        <i val="true"/>
        <sz val="10"/>
        <color rgb="FF595959"/>
        <rFont val="WenQuanYi Zen Hei"/>
        <family val="2"/>
      </rPr>
      <t xml:space="preserve">を限度額に加算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</si>
  <si>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在宅介護加算</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</si>
  <si>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合計・円</t>
    </r>
    <r>
      <rPr>
        <sz val="10"/>
        <color rgb="FF000000"/>
        <rFont val="ＭＳ 明朝"/>
        <family val="0"/>
        <charset val="1"/>
      </rPr>
      <t xml:space="preserve">)</t>
    </r>
  </si>
  <si>
    <r>
      <rPr>
        <i val="true"/>
        <sz val="10"/>
        <color rgb="FF595959"/>
        <rFont val="WenQuanYi Zen Hei"/>
        <family val="2"/>
      </rPr>
      <t xml:space="preserve">① 貸付限度額</t>
    </r>
    <r>
      <rPr>
        <i val="true"/>
        <sz val="10"/>
        <color rgb="FF595959"/>
        <rFont val="ＭＳ 明朝"/>
        <family val="0"/>
        <charset val="1"/>
      </rPr>
      <t xml:space="preserve">(</t>
    </r>
    <r>
      <rPr>
        <i val="true"/>
        <sz val="10"/>
        <color rgb="FF595959"/>
        <rFont val="WenQuanYi Zen Hei"/>
        <family val="2"/>
      </rPr>
      <t xml:space="preserve">基本</t>
    </r>
    <r>
      <rPr>
        <i val="true"/>
        <sz val="10"/>
        <color rgb="FF595959"/>
        <rFont val="ＭＳ 明朝"/>
        <family val="0"/>
        <charset val="1"/>
      </rPr>
      <t xml:space="preserve">+</t>
    </r>
    <r>
      <rPr>
        <i val="true"/>
        <sz val="10"/>
        <color rgb="FF595959"/>
        <rFont val="WenQuanYi Zen Hei"/>
        <family val="2"/>
      </rPr>
      <t xml:space="preserve">在宅介護対応の加算</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</si>
  <si>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合計</t>
    </r>
  </si>
  <si>
    <r>
      <rPr>
        <sz val="10"/>
        <color rgb="FF000000"/>
        <rFont val="WenQuanYi Zen Hei"/>
        <family val="2"/>
      </rPr>
      <t xml:space="preserve">貸付限度額の計算内訳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</si>
  <si>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限度額内訳</t>
    </r>
  </si>
  <si>
    <r>
      <rPr>
        <sz val="10"/>
        <color rgb="FF000000"/>
        <rFont val="WenQuanYi Zen Hei"/>
        <family val="2"/>
      </rPr>
      <t xml:space="preserve">返済能力の計算内訳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</si>
  <si>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返済能力内訳</t>
    </r>
  </si>
  <si>
    <r>
      <rPr>
        <b val="true"/>
        <sz val="10"/>
        <color rgb="FF000000"/>
        <rFont val="ＭＳ 明朝"/>
        <family val="0"/>
        <charset val="1"/>
      </rPr>
      <t xml:space="preserve">D. </t>
    </r>
    <r>
      <rPr>
        <b val="true"/>
        <sz val="10"/>
        <color rgb="FF000000"/>
        <rFont val="WenQuanYi Zen Hei"/>
        <family val="2"/>
      </rPr>
      <t xml:space="preserve">返済能力から見た上限と、申込可能額</t>
    </r>
    <r>
      <rPr>
        <b val="true"/>
        <sz val="10"/>
        <color rgb="FF000000"/>
        <rFont val="ＭＳ 明朝"/>
        <family val="0"/>
        <charset val="1"/>
      </rPr>
      <t xml:space="preserve">(① </t>
    </r>
    <r>
      <rPr>
        <b val="true"/>
        <sz val="10"/>
        <color rgb="FF000000"/>
        <rFont val="WenQuanYi Zen Hei"/>
        <family val="2"/>
      </rPr>
      <t xml:space="preserve">と ② の小さい方</t>
    </r>
    <r>
      <rPr>
        <b val="true"/>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</si>
  <si>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</si>
  <si>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申込単位を円にしたもの</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</si>
  <si>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単位円</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</si>
  <si>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</si>
  <si>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申込金額の下限を円にしたもの</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</si>
  <si>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下限円</t>
    </r>
  </si>
  <si>
    <r>
      <rPr>
        <sz val="10"/>
        <color rgb="FF000000"/>
        <rFont val="WenQuanYi Zen Hei"/>
        <family val="2"/>
      </rPr>
      <t xml:space="preserve">他の借入等の毎月償還額 </t>
    </r>
    <r>
      <rPr>
        <sz val="10"/>
        <color rgb="FF000000"/>
        <rFont val="ＭＳ 明朝"/>
        <family val="0"/>
        <charset val="1"/>
      </rPr>
      <t xml:space="preserve">A+B+C</t>
    </r>
  </si>
  <si>
    <r>
      <rPr>
        <i val="true"/>
        <sz val="10"/>
        <color rgb="FF595959"/>
        <rFont val="WenQuanYi Zen Hei"/>
        <family val="2"/>
      </rPr>
      <t xml:space="preserve">借入状況等申告書の</t>
    </r>
    <r>
      <rPr>
        <i val="true"/>
        <sz val="10"/>
        <color rgb="FF595959"/>
        <rFont val="ＭＳ 明朝"/>
        <family val="0"/>
        <charset val="1"/>
      </rPr>
      <t xml:space="preserve">(A)+(B)+(C)</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</si>
  <si>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他借入月額</t>
    </r>
  </si>
  <si>
    <r>
      <rPr>
        <sz val="10"/>
        <color rgb="FF000000"/>
        <rFont val="WenQuanYi Zen Hei"/>
        <family val="2"/>
      </rPr>
      <t xml:space="preserve">他の借入等のボーナス償還額 </t>
    </r>
    <r>
      <rPr>
        <sz val="10"/>
        <color rgb="FF000000"/>
        <rFont val="ＭＳ 明朝"/>
        <family val="0"/>
        <charset val="1"/>
      </rPr>
      <t xml:space="preserve">F+G+H</t>
    </r>
  </si>
  <si>
    <r>
      <rPr>
        <i val="true"/>
        <sz val="10"/>
        <color rgb="FF595959"/>
        <rFont val="WenQuanYi Zen Hei"/>
        <family val="2"/>
      </rPr>
      <t xml:space="preserve">借入状況等申告書の</t>
    </r>
    <r>
      <rPr>
        <i val="true"/>
        <sz val="10"/>
        <color rgb="FF595959"/>
        <rFont val="ＭＳ 明朝"/>
        <family val="0"/>
        <charset val="1"/>
      </rPr>
      <t xml:space="preserve">(F)+(G)+(H)</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</si>
  <si>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他借入賞与</t>
    </r>
  </si>
  <si>
    <r>
      <rPr>
        <sz val="10"/>
        <color rgb="FF000000"/>
        <rFont val="WenQuanYi Zen Hei"/>
        <family val="2"/>
      </rPr>
      <t xml:space="preserve">毎月償還額</t>
    </r>
    <r>
      <rPr>
        <sz val="10"/>
        <color rgb="FF000000"/>
        <rFont val="ＭＳ 明朝"/>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</si>
  <si>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ＭＳ 明朝"/>
        <family val="0"/>
        <charset val="1"/>
      </rPr>
      <t xml:space="preserve">30% ②</t>
    </r>
    <r>
      <rPr>
        <i val="true"/>
        <sz val="10"/>
        <color rgb="FF595959"/>
        <rFont val="WenQuanYi Zen Hei"/>
        <family val="2"/>
      </rPr>
      <t xml:space="preserve">年収額</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×16)</t>
    </r>
    <r>
      <rPr>
        <i val="true"/>
        <sz val="10"/>
        <color rgb="FF595959"/>
        <rFont val="WenQuanYi Zen Hei"/>
        <family val="2"/>
      </rPr>
      <t xml:space="preserve">の</t>
    </r>
    <r>
      <rPr>
        <i val="true"/>
        <sz val="10"/>
        <color rgb="FF595959"/>
        <rFont val="ＭＳ 明朝"/>
        <family val="0"/>
        <charset val="1"/>
      </rPr>
      <t xml:space="preserve">30%</t>
    </r>
    <r>
      <rPr>
        <i val="true"/>
        <sz val="10"/>
        <color rgb="FF595959"/>
        <rFont val="WenQuanYi Zen Hei"/>
        <family val="2"/>
      </rPr>
      <t xml:space="preserve">から年間ボーナス償還を差し引いた月額、の小さい方</t>
    </r>
  </si>
  <si>
    <r>
      <rPr>
        <sz val="9"/>
        <color rgb="FF595959"/>
        <rFont val="WenQuanYi Zen Hei"/>
        <family val="2"/>
      </rPr>
      <t xml:space="preserve">計算</t>
    </r>
    <r>
      <rPr>
        <sz val="9"/>
        <color rgb="FF595959"/>
        <rFont val="ＭＳ 明朝"/>
        <family val="0"/>
        <charset val="1"/>
      </rPr>
      <t xml:space="preserve">_E</t>
    </r>
    <r>
      <rPr>
        <sz val="9"/>
        <color rgb="FF595959"/>
        <rFont val="WenQuanYi Zen Hei"/>
        <family val="2"/>
      </rPr>
      <t xml:space="preserve">上限</t>
    </r>
  </si>
  <si>
    <r>
      <rPr>
        <sz val="10"/>
        <color rgb="FF000000"/>
        <rFont val="WenQuanYi Zen Hei"/>
        <family val="2"/>
      </rPr>
      <t xml:space="preserve">今回の貸付の毎月償還額の上限</t>
    </r>
    <r>
      <rPr>
        <sz val="10"/>
        <color rgb="FF000000"/>
        <rFont val="ＭＳ 明朝"/>
        <family val="0"/>
        <charset val="1"/>
      </rPr>
      <t xml:space="preserve">(D)</t>
    </r>
  </si>
  <si>
    <r>
      <rPr>
        <sz val="9"/>
        <color rgb="FF595959"/>
        <rFont val="WenQuanYi Zen Hei"/>
        <family val="2"/>
      </rPr>
      <t xml:space="preserve">計算</t>
    </r>
    <r>
      <rPr>
        <sz val="9"/>
        <color rgb="FF595959"/>
        <rFont val="ＭＳ 明朝"/>
        <family val="0"/>
        <charset val="1"/>
      </rPr>
      <t xml:space="preserve">_D</t>
    </r>
    <r>
      <rPr>
        <sz val="9"/>
        <color rgb="FF595959"/>
        <rFont val="WenQuanYi Zen Hei"/>
        <family val="2"/>
      </rPr>
      <t xml:space="preserve">上限</t>
    </r>
  </si>
  <si>
    <t xml:space="preserve">償還回数未入力のときは上限回数で試算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</si>
  <si>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試算回数</t>
    </r>
  </si>
  <si>
    <r>
      <rPr>
        <sz val="10"/>
        <color rgb="FF000000"/>
        <rFont val="WenQuanYi Zen Hei"/>
        <family val="2"/>
      </rPr>
      <t xml:space="preserve">返済能力から見た借入上限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</si>
  <si>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毎月償還額の上限で元利均等返済できる元金</t>
    </r>
    <r>
      <rPr>
        <i val="true"/>
        <sz val="10"/>
        <color rgb="FF595959"/>
        <rFont val="ＭＳ 明朝"/>
        <family val="0"/>
        <charset val="1"/>
      </rPr>
      <t xml:space="preserve">(</t>
    </r>
    <r>
      <rPr>
        <i val="true"/>
        <sz val="10"/>
        <color rgb="FF595959"/>
        <rFont val="WenQuanYi Zen Hei"/>
        <family val="2"/>
      </rPr>
      <t xml:space="preserve">基本利率で試算</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</si>
  <si>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返済能力上限</t>
    </r>
  </si>
  <si>
    <r>
      <rPr>
        <sz val="10"/>
        <color rgb="FF000000"/>
        <rFont val="WenQuanYi Zen Hei"/>
        <family val="2"/>
      </rPr>
      <t xml:space="preserve">①②の小さい方</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</si>
  <si>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① 貸付限度額</t>
    </r>
    <r>
      <rPr>
        <i val="true"/>
        <sz val="10"/>
        <color rgb="FF595959"/>
        <rFont val="ＭＳ 明朝"/>
        <family val="0"/>
        <charset val="1"/>
      </rPr>
      <t xml:space="preserve">(</t>
    </r>
    <r>
      <rPr>
        <i val="true"/>
        <sz val="10"/>
        <color rgb="FF595959"/>
        <rFont val="WenQuanYi Zen Hei"/>
        <family val="2"/>
      </rPr>
      <t xml:space="preserve">合計</t>
    </r>
    <r>
      <rPr>
        <i val="true"/>
        <sz val="10"/>
        <color rgb="FF595959"/>
        <rFont val="ＭＳ 明朝"/>
        <family val="0"/>
        <charset val="1"/>
      </rPr>
      <t xml:space="preserve">)</t>
    </r>
    <r>
      <rPr>
        <i val="true"/>
        <sz val="10"/>
        <color rgb="FF595959"/>
        <rFont val="WenQuanYi Zen Hei"/>
        <family val="2"/>
      </rPr>
      <t xml:space="preserve">と ② 返済能力から見た上限の小さい方</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</si>
  <si>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t>
    </r>
    <r>
      <rPr>
        <sz val="9"/>
        <color rgb="FF595959"/>
        <rFont val="ＭＳ 明朝"/>
        <family val="0"/>
        <charset val="1"/>
      </rPr>
      <t xml:space="preserve">_</t>
    </r>
    <r>
      <rPr>
        <sz val="9"/>
        <color rgb="FF595959"/>
        <rFont val="WenQuanYi Zen Hei"/>
        <family val="2"/>
      </rPr>
      <t xml:space="preserve">小さい方</t>
    </r>
  </si>
  <si>
    <r>
      <rPr>
        <sz val="10"/>
        <color rgb="FF000000"/>
        <rFont val="WenQuanYi Zen Hei"/>
        <family val="2"/>
      </rPr>
      <t xml:space="preserve">申込単位で切り捨て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</si>
  <si>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万円単位などに切り捨て</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</si>
  <si>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t>
    </r>
    <r>
      <rPr>
        <sz val="9"/>
        <color rgb="FF595959"/>
        <rFont val="ＭＳ 明朝"/>
        <family val="0"/>
        <charset val="1"/>
      </rPr>
      <t xml:space="preserve">_</t>
    </r>
    <r>
      <rPr>
        <sz val="9"/>
        <color rgb="FF595959"/>
        <rFont val="WenQuanYi Zen Hei"/>
        <family val="2"/>
      </rPr>
      <t xml:space="preserve">切捨て後</t>
    </r>
  </si>
  <si>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</si>
  <si>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下限</t>
    </r>
    <r>
      <rPr>
        <i val="true"/>
        <sz val="10"/>
        <color rgb="FF595959"/>
        <rFont val="ＭＳ 明朝"/>
        <family val="0"/>
        <charset val="1"/>
      </rPr>
      <t xml:space="preserve">(10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未満のときは</t>
    </r>
    <r>
      <rPr>
        <i val="true"/>
        <sz val="10"/>
        <color rgb="FF595959"/>
        <rFont val="ＭＳ 明朝"/>
        <family val="0"/>
        <charset val="1"/>
      </rPr>
      <t xml:space="preserve">0</t>
    </r>
    <r>
      <rPr>
        <i val="true"/>
        <sz val="10"/>
        <color rgb="FF595959"/>
        <rFont val="WenQuanYi Zen Hei"/>
        <family val="2"/>
      </rPr>
      <t xml:space="preserve">円</t>
    </r>
    <r>
      <rPr>
        <i val="true"/>
        <sz val="10"/>
        <color rgb="FF595959"/>
        <rFont val="ＭＳ 明朝"/>
        <family val="0"/>
        <charset val="1"/>
      </rPr>
      <t xml:space="preserve">(</t>
    </r>
    <r>
      <rPr>
        <i val="true"/>
        <sz val="10"/>
        <color rgb="FF595959"/>
        <rFont val="WenQuanYi Zen Hei"/>
        <family val="2"/>
      </rPr>
      <t xml:space="preserve">申込不可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</si>
  <si>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申込可能額</t>
    </r>
  </si>
  <si>
    <t xml:space="preserve">画面の「決まった要因」に出す文</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</si>
  <si>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決定要因</t>
    </r>
  </si>
  <si>
    <r>
      <rPr>
        <b val="true"/>
        <sz val="10"/>
        <color rgb="FF000000"/>
        <rFont val="ＭＳ 明朝"/>
        <family val="0"/>
        <charset val="1"/>
      </rPr>
      <t xml:space="preserve">E. </t>
    </r>
    <r>
      <rPr>
        <b val="true"/>
        <sz val="10"/>
        <color rgb="FF000000"/>
        <rFont val="WenQuanYi Zen Hei"/>
        <family val="2"/>
      </rPr>
      <t xml:space="preserve">申込額・償還回数・毎月償還額・返済総額</t>
    </r>
  </si>
  <si>
    <r>
      <rPr>
        <sz val="10"/>
        <color rgb="FF000000"/>
        <rFont val="WenQuanYi Zen Hei"/>
        <family val="2"/>
      </rPr>
      <t xml:space="preserve">算定に用いる申込額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</si>
  <si>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申込希望金額が空欄のときは申込可能額で試算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</si>
  <si>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</si>
  <si>
    <r>
      <rPr>
        <sz val="10"/>
        <color rgb="FF000000"/>
        <rFont val="WenQuanYi Zen Hei"/>
        <family val="2"/>
      </rPr>
      <t xml:space="preserve">うち在宅介護対応部分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</si>
  <si>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申込額のうち在宅介護対応の加算部分</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</si>
  <si>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</si>
  <si>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うち基本部分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</si>
  <si>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申込額のうち基本部分</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</si>
  <si>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</si>
  <si>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</si>
  <si>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基本部分に充てるものとして計算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</si>
  <si>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賞与元金</t>
    </r>
  </si>
  <si>
    <t xml:space="preserve">ボーナス償還の回数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</si>
  <si>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賞与回数</t>
    </r>
  </si>
  <si>
    <r>
      <rPr>
        <i val="true"/>
        <sz val="10"/>
        <color rgb="FF595959"/>
        <rFont val="WenQuanYi Zen Hei"/>
        <family val="2"/>
      </rPr>
      <t xml:space="preserve">希望の毎月償還額で返済し終わるまでの回数</t>
    </r>
    <r>
      <rPr>
        <i val="true"/>
        <sz val="10"/>
        <color rgb="FF595959"/>
        <rFont val="ＭＳ 明朝"/>
        <family val="0"/>
        <charset val="1"/>
      </rPr>
      <t xml:space="preserve">(</t>
    </r>
    <r>
      <rPr>
        <i val="true"/>
        <sz val="10"/>
        <color rgb="FF595959"/>
        <rFont val="WenQuanYi Zen Hei"/>
        <family val="2"/>
      </rPr>
      <t xml:space="preserve">切り上げ</t>
    </r>
    <r>
      <rPr>
        <i val="true"/>
        <sz val="10"/>
        <color rgb="FF595959"/>
        <rFont val="ＭＳ 明朝"/>
        <family val="0"/>
        <charset val="1"/>
      </rPr>
      <t xml:space="preserve">)</t>
    </r>
    <r>
      <rPr>
        <i val="true"/>
        <sz val="10"/>
        <color rgb="FF595959"/>
        <rFont val="WenQuanYi Zen Hei"/>
        <family val="2"/>
      </rPr>
      <t xml:space="preserve">。返済できないときは</t>
    </r>
    <r>
      <rPr>
        <i val="true"/>
        <sz val="10"/>
        <color rgb="FF595959"/>
        <rFont val="ＭＳ 明朝"/>
        <family val="0"/>
        <charset val="1"/>
      </rPr>
      <t xml:space="preserve">0</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</si>
  <si>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回数</t>
    </r>
    <r>
      <rPr>
        <sz val="9"/>
        <color rgb="FF595959"/>
        <rFont val="ＭＳ 明朝"/>
        <family val="0"/>
        <charset val="1"/>
      </rPr>
      <t xml:space="preserve">_</t>
    </r>
    <r>
      <rPr>
        <sz val="9"/>
        <color rgb="FF595959"/>
        <rFont val="WenQuanYi Zen Hei"/>
        <family val="2"/>
      </rPr>
      <t xml:space="preserve">月額から逆算</t>
    </r>
  </si>
  <si>
    <r>
      <rPr>
        <sz val="10"/>
        <color rgb="FF000000"/>
        <rFont val="WenQuanYi Zen Hei"/>
        <family val="2"/>
      </rPr>
      <t xml:space="preserve">毎月償還の回数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</si>
  <si>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WenQuanYi Zen Hei"/>
        <family val="2"/>
      </rPr>
      <t xml:space="preserve">回数を入力→その回数 </t>
    </r>
    <r>
      <rPr>
        <i val="true"/>
        <sz val="10"/>
        <color rgb="FF595959"/>
        <rFont val="ＭＳ 明朝"/>
        <family val="0"/>
        <charset val="1"/>
      </rPr>
      <t xml:space="preserve">/ </t>
    </r>
    <r>
      <rPr>
        <i val="true"/>
        <sz val="10"/>
        <color rgb="FF595959"/>
        <rFont val="WenQuanYi Zen Hei"/>
        <family val="2"/>
      </rPr>
      <t xml:space="preserve">回数が空欄で毎月額を入力→逆算した回数 </t>
    </r>
    <r>
      <rPr>
        <i val="true"/>
        <sz val="10"/>
        <color rgb="FF595959"/>
        <rFont val="ＭＳ 明朝"/>
        <family val="0"/>
        <charset val="1"/>
      </rPr>
      <t xml:space="preserve">/ </t>
    </r>
    <r>
      <rPr>
        <i val="true"/>
        <sz val="10"/>
        <color rgb="FF595959"/>
        <rFont val="WenQuanYi Zen Hei"/>
        <family val="2"/>
      </rPr>
      <t xml:space="preserve">両方空欄→上限回数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</si>
  <si>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償還回数</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</si>
  <si>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基本部分・円未満含む</t>
    </r>
    <r>
      <rPr>
        <sz val="10"/>
        <color rgb="FF000000"/>
        <rFont val="ＭＳ 明朝"/>
        <family val="0"/>
        <charset val="1"/>
      </rPr>
      <t xml:space="preserve">)</t>
    </r>
  </si>
  <si>
    <t xml:space="preserve">元利均等</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</si>
  <si>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</si>
  <si>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在宅介護部分・円未満含む</t>
    </r>
    <r>
      <rPr>
        <sz val="10"/>
        <color rgb="FF000000"/>
        <rFont val="ＭＳ 明朝"/>
        <family val="0"/>
        <charset val="1"/>
      </rPr>
      <t xml:space="preserve">)</t>
    </r>
  </si>
  <si>
    <r>
      <rPr>
        <i val="true"/>
        <sz val="10"/>
        <color rgb="FF595959"/>
        <rFont val="WenQuanYi Zen Hei"/>
        <family val="2"/>
      </rPr>
      <t xml:space="preserve">元利均等の毎月償還額</t>
    </r>
    <r>
      <rPr>
        <i val="true"/>
        <sz val="10"/>
        <color rgb="FF595959"/>
        <rFont val="ＭＳ 明朝"/>
        <family val="0"/>
        <charset val="1"/>
      </rPr>
      <t xml:space="preserve">(</t>
    </r>
    <r>
      <rPr>
        <i val="true"/>
        <sz val="10"/>
        <color rgb="FF595959"/>
        <rFont val="WenQuanYi Zen Hei"/>
        <family val="2"/>
      </rPr>
      <t xml:space="preserve">在宅介護部分</t>
    </r>
    <r>
      <rPr>
        <i val="true"/>
        <sz val="10"/>
        <color rgb="FF595959"/>
        <rFont val="ＭＳ 明朝"/>
        <family val="0"/>
        <charset val="1"/>
      </rPr>
      <t xml:space="preserve">)</t>
    </r>
    <r>
      <rPr>
        <i val="true"/>
        <sz val="10"/>
        <color rgb="FF595959"/>
        <rFont val="WenQuanYi Zen Hei"/>
        <family val="2"/>
      </rPr>
      <t xml:space="preserve">。</t>
    </r>
    <r>
      <rPr>
        <i val="true"/>
        <sz val="10"/>
        <color rgb="FF595959"/>
        <rFont val="ＭＳ 明朝"/>
        <family val="0"/>
        <charset val="1"/>
      </rPr>
      <t xml:space="preserve">PMT</t>
    </r>
    <r>
      <rPr>
        <i val="true"/>
        <sz val="10"/>
        <color rgb="FF595959"/>
        <rFont val="WenQuanYi Zen Hei"/>
        <family val="2"/>
      </rPr>
      <t xml:space="preserve">関数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</si>
  <si>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</si>
  <si>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毎月償還額</t>
    </r>
    <r>
      <rPr>
        <sz val="10"/>
        <color rgb="FF000000"/>
        <rFont val="ＭＳ 明朝"/>
        <family val="0"/>
        <charset val="1"/>
      </rPr>
      <t xml:space="preserve">(D)</t>
    </r>
  </si>
  <si>
    <r>
      <rPr>
        <i val="true"/>
        <sz val="10"/>
        <color rgb="FF595959"/>
        <rFont val="WenQuanYi Zen Hei"/>
        <family val="2"/>
      </rPr>
      <t xml:space="preserve">円未満は四捨五入。元金の端数は最後の回で調整</t>
    </r>
    <r>
      <rPr>
        <i val="true"/>
        <sz val="10"/>
        <color rgb="FF595959"/>
        <rFont val="ＭＳ 明朝"/>
        <family val="0"/>
        <charset val="1"/>
      </rPr>
      <t xml:space="preserve">(</t>
    </r>
    <r>
      <rPr>
        <i val="true"/>
        <sz val="10"/>
        <color rgb="FF595959"/>
        <rFont val="WenQuanYi Zen Hei"/>
        <family val="2"/>
      </rPr>
      <t xml:space="preserve">償還表</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</si>
  <si>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毎月償還額</t>
    </r>
  </si>
  <si>
    <r>
      <rPr>
        <sz val="10"/>
        <color rgb="FF000000"/>
        <rFont val="WenQuanYi Zen Hei"/>
        <family val="2"/>
      </rPr>
      <t xml:space="preserve">ボーナス償還の期間利率</t>
    </r>
    <r>
      <rPr>
        <sz val="10"/>
        <color rgb="FF000000"/>
        <rFont val="ＭＳ 明朝"/>
        <family val="0"/>
        <charset val="1"/>
      </rPr>
      <t xml:space="preserve">(</t>
    </r>
    <r>
      <rPr>
        <sz val="10"/>
        <color rgb="FF000000"/>
        <rFont val="WenQuanYi Zen Hei"/>
        <family val="2"/>
      </rPr>
      <t xml:space="preserve">半年</t>
    </r>
    <r>
      <rPr>
        <sz val="10"/>
        <color rgb="FF000000"/>
        <rFont val="ＭＳ 明朝"/>
        <family val="0"/>
        <charset val="1"/>
      </rPr>
      <t xml:space="preserve">)</t>
    </r>
  </si>
  <si>
    <t xml:space="preserve">月利を半年分に複利換算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</si>
  <si>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賞与期間利率</t>
    </r>
  </si>
  <si>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回・円未満含む</t>
    </r>
    <r>
      <rPr>
        <sz val="10"/>
        <color rgb="FF000000"/>
        <rFont val="ＭＳ 明朝"/>
        <family val="0"/>
        <charset val="1"/>
      </rPr>
      <t xml:space="preserve">)</t>
    </r>
  </si>
  <si>
    <r>
      <rPr>
        <i val="true"/>
        <sz val="10"/>
        <color rgb="FF595959"/>
        <rFont val="WenQuanYi Zen Hei"/>
        <family val="2"/>
      </rPr>
      <t xml:space="preserve">ボーナス</t>
    </r>
    <r>
      <rPr>
        <i val="true"/>
        <sz val="10"/>
        <color rgb="FF595959"/>
        <rFont val="ＭＳ 明朝"/>
        <family val="0"/>
        <charset val="1"/>
      </rPr>
      <t xml:space="preserve">1</t>
    </r>
    <r>
      <rPr>
        <i val="true"/>
        <sz val="10"/>
        <color rgb="FF595959"/>
        <rFont val="WenQuanYi Zen Hei"/>
        <family val="2"/>
      </rPr>
      <t xml:space="preserve">回の償還額</t>
    </r>
    <r>
      <rPr>
        <i val="true"/>
        <sz val="10"/>
        <color rgb="FF595959"/>
        <rFont val="ＭＳ 明朝"/>
        <family val="0"/>
        <charset val="1"/>
      </rPr>
      <t xml:space="preserve">(PMT</t>
    </r>
    <r>
      <rPr>
        <i val="true"/>
        <sz val="10"/>
        <color rgb="FF595959"/>
        <rFont val="WenQuanYi Zen Hei"/>
        <family val="2"/>
      </rPr>
      <t xml:space="preserve">関数</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</si>
  <si>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賞与額</t>
    </r>
    <r>
      <rPr>
        <sz val="9"/>
        <color rgb="FF595959"/>
        <rFont val="ＭＳ 明朝"/>
        <family val="0"/>
        <charset val="1"/>
      </rPr>
      <t xml:space="preserve">_</t>
    </r>
    <r>
      <rPr>
        <sz val="9"/>
        <color rgb="FF595959"/>
        <rFont val="WenQuanYi Zen Hei"/>
        <family val="2"/>
      </rPr>
      <t xml:space="preserve">円未満</t>
    </r>
  </si>
  <si>
    <r>
      <rPr>
        <sz val="10"/>
        <color rgb="FF000000"/>
        <rFont val="WenQuanYi Zen Hei"/>
        <family val="2"/>
      </rPr>
      <t xml:space="preserve">ボーナス償還額</t>
    </r>
    <r>
      <rPr>
        <sz val="10"/>
        <color rgb="FF000000"/>
        <rFont val="ＭＳ 明朝"/>
        <family val="0"/>
        <charset val="1"/>
      </rPr>
      <t xml:space="preserve">(I)</t>
    </r>
  </si>
  <si>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月の</t>
    </r>
    <r>
      <rPr>
        <i val="true"/>
        <sz val="10"/>
        <color rgb="FF595959"/>
        <rFont val="ＭＳ 明朝"/>
        <family val="0"/>
        <charset val="1"/>
      </rPr>
      <t xml:space="preserve">1</t>
    </r>
    <r>
      <rPr>
        <i val="true"/>
        <sz val="10"/>
        <color rgb="FF595959"/>
        <rFont val="WenQuanYi Zen Hei"/>
        <family val="2"/>
      </rPr>
      <t xml:space="preserve">回あたり</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</si>
  <si>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賞与償還額</t>
    </r>
  </si>
  <si>
    <r>
      <rPr>
        <sz val="10"/>
        <color rgb="FF000000"/>
        <rFont val="WenQuanYi Zen Hei"/>
        <family val="2"/>
      </rPr>
      <t xml:space="preserve">最終回の毎月償還額</t>
    </r>
    <r>
      <rPr>
        <sz val="10"/>
        <color rgb="FF000000"/>
        <rFont val="ＭＳ 明朝"/>
        <family val="0"/>
        <charset val="1"/>
      </rPr>
      <t xml:space="preserve">(</t>
    </r>
    <r>
      <rPr>
        <sz val="10"/>
        <color rgb="FF000000"/>
        <rFont val="WenQuanYi Zen Hei"/>
        <family val="2"/>
      </rPr>
      <t xml:space="preserve">端数調整後</t>
    </r>
    <r>
      <rPr>
        <sz val="10"/>
        <color rgb="FF000000"/>
        <rFont val="ＭＳ 明朝"/>
        <family val="0"/>
        <charset val="1"/>
      </rPr>
      <t xml:space="preserve">)</t>
    </r>
  </si>
  <si>
    <t xml:space="preserve">元金の端数を最終回で調整した額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</si>
  <si>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最終回償還額</t>
    </r>
  </si>
  <si>
    <r>
      <rPr>
        <sz val="10"/>
        <color rgb="FF000000"/>
        <rFont val="WenQuanYi Zen Hei"/>
        <family val="2"/>
      </rPr>
      <t xml:space="preserve">返済総額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</si>
  <si>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償還表の合計</t>
    </r>
    <r>
      <rPr>
        <i val="true"/>
        <sz val="10"/>
        <color rgb="FF595959"/>
        <rFont val="ＭＳ 明朝"/>
        <family val="0"/>
        <charset val="1"/>
      </rPr>
      <t xml:space="preserve">(</t>
    </r>
    <r>
      <rPr>
        <i val="true"/>
        <sz val="10"/>
        <color rgb="FF595959"/>
        <rFont val="WenQuanYi Zen Hei"/>
        <family val="2"/>
      </rPr>
      <t xml:space="preserve">最後の回の端数調整を含む</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</si>
  <si>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返済総額</t>
    </r>
  </si>
  <si>
    <r>
      <rPr>
        <sz val="10"/>
        <color rgb="FF000000"/>
        <rFont val="WenQuanYi Zen Hei"/>
        <family val="2"/>
      </rPr>
      <t xml:space="preserve">利息総額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</si>
  <si>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返済総額 − 申込額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</si>
  <si>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利息総額</t>
    </r>
  </si>
  <si>
    <r>
      <rPr>
        <b val="true"/>
        <sz val="10"/>
        <color rgb="FF000000"/>
        <rFont val="ＭＳ 明朝"/>
        <family val="0"/>
        <charset val="1"/>
      </rPr>
      <t xml:space="preserve">F. </t>
    </r>
    <r>
      <rPr>
        <b val="true"/>
        <sz val="10"/>
        <color rgb="FF000000"/>
        <rFont val="WenQuanYi Zen Hei"/>
        <family val="2"/>
      </rPr>
      <t xml:space="preserve">借入状況等申告書の計算</t>
    </r>
    <r>
      <rPr>
        <b val="true"/>
        <sz val="10"/>
        <color rgb="FF000000"/>
        <rFont val="ＭＳ 明朝"/>
        <family val="0"/>
        <charset val="1"/>
      </rPr>
      <t xml:space="preserve">(E÷K</t>
    </r>
    <r>
      <rPr>
        <b val="true"/>
        <sz val="10"/>
        <color rgb="FF000000"/>
        <rFont val="WenQuanYi Zen Hei"/>
        <family val="2"/>
      </rPr>
      <t xml:space="preserve">、</t>
    </r>
    <r>
      <rPr>
        <b val="true"/>
        <sz val="10"/>
        <color rgb="FF000000"/>
        <rFont val="ＭＳ 明朝"/>
        <family val="0"/>
        <charset val="1"/>
      </rPr>
      <t xml:space="preserve">L÷M </t>
    </r>
    <r>
      <rPr>
        <b val="true"/>
        <sz val="10"/>
        <color rgb="FF000000"/>
        <rFont val="WenQuanYi Zen Hei"/>
        <family val="2"/>
      </rPr>
      <t xml:space="preserve">の</t>
    </r>
    <r>
      <rPr>
        <b val="true"/>
        <sz val="10"/>
        <color rgb="FF000000"/>
        <rFont val="ＭＳ 明朝"/>
        <family val="0"/>
        <charset val="1"/>
      </rPr>
      <t xml:space="preserve">30%</t>
    </r>
    <r>
      <rPr>
        <b val="true"/>
        <sz val="10"/>
        <color rgb="FF000000"/>
        <rFont val="WenQuanYi Zen Hei"/>
        <family val="2"/>
      </rPr>
      <t xml:space="preserve">チェック</t>
    </r>
    <r>
      <rPr>
        <b val="true"/>
        <sz val="10"/>
        <color rgb="FF000000"/>
        <rFont val="ＭＳ 明朝"/>
        <family val="0"/>
        <charset val="1"/>
      </rPr>
      <t xml:space="preserve">)</t>
    </r>
  </si>
  <si>
    <r>
      <rPr>
        <i val="true"/>
        <sz val="10"/>
        <color rgb="FF595959"/>
        <rFont val="WenQuanYi Zen Hei"/>
        <family val="2"/>
      </rPr>
      <t xml:space="preserve">借入状況等申告書の</t>
    </r>
    <r>
      <rPr>
        <i val="true"/>
        <sz val="10"/>
        <color rgb="FF595959"/>
        <rFont val="ＭＳ 明朝"/>
        <family val="0"/>
        <charset val="1"/>
      </rPr>
      <t xml:space="preserve">(E)</t>
    </r>
  </si>
  <si>
    <r>
      <rPr>
        <sz val="9"/>
        <color rgb="FF595959"/>
        <rFont val="WenQuanYi Zen Hei"/>
        <family val="2"/>
      </rPr>
      <t xml:space="preserve">計算</t>
    </r>
    <r>
      <rPr>
        <sz val="9"/>
        <color rgb="FF595959"/>
        <rFont val="ＭＳ 明朝"/>
        <family val="0"/>
        <charset val="1"/>
      </rPr>
      <t xml:space="preserve">_E</t>
    </r>
    <r>
      <rPr>
        <sz val="9"/>
        <color rgb="FF595959"/>
        <rFont val="WenQuanYi Zen Hei"/>
        <family val="2"/>
      </rPr>
      <t xml:space="preserve">毎月償還計</t>
    </r>
  </si>
  <si>
    <r>
      <rPr>
        <i val="true"/>
        <sz val="10"/>
        <color rgb="FF595959"/>
        <rFont val="WenQuanYi Zen Hei"/>
        <family val="2"/>
      </rPr>
      <t xml:space="preserve">借入状況等申告書の</t>
    </r>
    <r>
      <rPr>
        <i val="true"/>
        <sz val="10"/>
        <color rgb="FF595959"/>
        <rFont val="ＭＳ 明朝"/>
        <family val="0"/>
        <charset val="1"/>
      </rPr>
      <t xml:space="preserve">(J)</t>
    </r>
  </si>
  <si>
    <r>
      <rPr>
        <sz val="9"/>
        <color rgb="FF595959"/>
        <rFont val="WenQuanYi Zen Hei"/>
        <family val="2"/>
      </rPr>
      <t xml:space="preserve">計算</t>
    </r>
    <r>
      <rPr>
        <sz val="9"/>
        <color rgb="FF595959"/>
        <rFont val="ＭＳ 明朝"/>
        <family val="0"/>
        <charset val="1"/>
      </rPr>
      <t xml:space="preserve">_J</t>
    </r>
    <r>
      <rPr>
        <sz val="9"/>
        <color rgb="FF595959"/>
        <rFont val="WenQuanYi Zen Hei"/>
        <family val="2"/>
      </rPr>
      <t xml:space="preserve">賞与償還計</t>
    </r>
  </si>
  <si>
    <r>
      <rPr>
        <i val="true"/>
        <sz val="10"/>
        <color rgb="FF595959"/>
        <rFont val="WenQuanYi Zen Hei"/>
        <family val="2"/>
      </rPr>
      <t xml:space="preserve">借入状況等申告書の</t>
    </r>
    <r>
      <rPr>
        <i val="true"/>
        <sz val="10"/>
        <color rgb="FF595959"/>
        <rFont val="ＭＳ 明朝"/>
        <family val="0"/>
        <charset val="1"/>
      </rPr>
      <t xml:space="preserve">(K)</t>
    </r>
  </si>
  <si>
    <r>
      <rPr>
        <sz val="9"/>
        <color rgb="FF595959"/>
        <rFont val="WenQuanYi Zen Hei"/>
        <family val="2"/>
      </rPr>
      <t xml:space="preserve">計算</t>
    </r>
    <r>
      <rPr>
        <sz val="9"/>
        <color rgb="FF595959"/>
        <rFont val="ＭＳ 明朝"/>
        <family val="0"/>
        <charset val="1"/>
      </rPr>
      <t xml:space="preserve">_K</t>
    </r>
    <r>
      <rPr>
        <sz val="9"/>
        <color rgb="FF595959"/>
        <rFont val="WenQuanYi Zen Hei"/>
        <family val="2"/>
      </rPr>
      <t xml:space="preserve">給料月額</t>
    </r>
  </si>
  <si>
    <r>
      <rPr>
        <sz val="10"/>
        <color rgb="FF000000"/>
        <rFont val="WenQuanYi Zen Hei"/>
        <family val="2"/>
      </rPr>
      <t xml:space="preserve">毎月償還額の割合</t>
    </r>
    <r>
      <rPr>
        <sz val="10"/>
        <color rgb="FF000000"/>
        <rFont val="ＭＳ 明朝"/>
        <family val="0"/>
        <charset val="1"/>
      </rPr>
      <t xml:space="preserve">(E÷K)</t>
    </r>
  </si>
  <si>
    <r>
      <rPr>
        <i val="true"/>
        <sz val="10"/>
        <color rgb="FF595959"/>
        <rFont val="WenQuanYi Zen Hei"/>
        <family val="2"/>
      </rPr>
      <t xml:space="preserve">毎月償還額の割合</t>
    </r>
    <r>
      <rPr>
        <i val="true"/>
        <sz val="10"/>
        <color rgb="FF595959"/>
        <rFont val="ＭＳ 明朝"/>
        <family val="0"/>
        <charset val="1"/>
      </rPr>
      <t xml:space="preserve">(30%</t>
    </r>
    <r>
      <rPr>
        <i val="true"/>
        <sz val="10"/>
        <color rgb="FF595959"/>
        <rFont val="WenQuanYi Zen Hei"/>
        <family val="2"/>
      </rPr>
      <t xml:space="preserve">以内か判定する</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</si>
  <si>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月額割合</t>
    </r>
  </si>
  <si>
    <r>
      <rPr>
        <i val="true"/>
        <sz val="10"/>
        <color rgb="FF595959"/>
        <rFont val="WenQuanYi Zen Hei"/>
        <family val="2"/>
      </rPr>
      <t xml:space="preserve">借入状況等申告書の</t>
    </r>
    <r>
      <rPr>
        <i val="true"/>
        <sz val="10"/>
        <color rgb="FF595959"/>
        <rFont val="ＭＳ 明朝"/>
        <family val="0"/>
        <charset val="1"/>
      </rPr>
      <t xml:space="preserve">(L)=E×12+J×2</t>
    </r>
  </si>
  <si>
    <r>
      <rPr>
        <sz val="9"/>
        <color rgb="FF595959"/>
        <rFont val="WenQuanYi Zen Hei"/>
        <family val="2"/>
      </rPr>
      <t xml:space="preserve">計算</t>
    </r>
    <r>
      <rPr>
        <sz val="9"/>
        <color rgb="FF595959"/>
        <rFont val="ＭＳ 明朝"/>
        <family val="0"/>
        <charset val="1"/>
      </rPr>
      <t xml:space="preserve">_L</t>
    </r>
    <r>
      <rPr>
        <sz val="9"/>
        <color rgb="FF595959"/>
        <rFont val="WenQuanYi Zen Hei"/>
        <family val="2"/>
      </rPr>
      <t xml:space="preserve">年間償還額</t>
    </r>
  </si>
  <si>
    <r>
      <rPr>
        <i val="true"/>
        <sz val="10"/>
        <color rgb="FF595959"/>
        <rFont val="WenQuanYi Zen Hei"/>
        <family val="2"/>
      </rPr>
      <t xml:space="preserve">借入状況等申告書の</t>
    </r>
    <r>
      <rPr>
        <i val="true"/>
        <sz val="10"/>
        <color rgb="FF595959"/>
        <rFont val="ＭＳ 明朝"/>
        <family val="0"/>
        <charset val="1"/>
      </rPr>
      <t xml:space="preserve">(M)=K×(12+4)</t>
    </r>
  </si>
  <si>
    <r>
      <rPr>
        <sz val="9"/>
        <color rgb="FF595959"/>
        <rFont val="WenQuanYi Zen Hei"/>
        <family val="2"/>
      </rPr>
      <t xml:space="preserve">計算</t>
    </r>
    <r>
      <rPr>
        <sz val="9"/>
        <color rgb="FF595959"/>
        <rFont val="ＭＳ 明朝"/>
        <family val="0"/>
        <charset val="1"/>
      </rPr>
      <t xml:space="preserve">_M</t>
    </r>
    <r>
      <rPr>
        <sz val="9"/>
        <color rgb="FF595959"/>
        <rFont val="WenQuanYi Zen Hei"/>
        <family val="2"/>
      </rPr>
      <t xml:space="preserve">年収額</t>
    </r>
  </si>
  <si>
    <r>
      <rPr>
        <sz val="10"/>
        <color rgb="FF000000"/>
        <rFont val="WenQuanYi Zen Hei"/>
        <family val="2"/>
      </rPr>
      <t xml:space="preserve">年間償還額の割合</t>
    </r>
    <r>
      <rPr>
        <sz val="10"/>
        <color rgb="FF000000"/>
        <rFont val="ＭＳ 明朝"/>
        <family val="0"/>
        <charset val="1"/>
      </rPr>
      <t xml:space="preserve">(L÷M)</t>
    </r>
  </si>
  <si>
    <r>
      <rPr>
        <i val="true"/>
        <sz val="10"/>
        <color rgb="FF595959"/>
        <rFont val="WenQuanYi Zen Hei"/>
        <family val="2"/>
      </rPr>
      <t xml:space="preserve">年間償還額の割合</t>
    </r>
    <r>
      <rPr>
        <i val="true"/>
        <sz val="10"/>
        <color rgb="FF595959"/>
        <rFont val="ＭＳ 明朝"/>
        <family val="0"/>
        <charset val="1"/>
      </rPr>
      <t xml:space="preserve">(30%</t>
    </r>
    <r>
      <rPr>
        <i val="true"/>
        <sz val="10"/>
        <color rgb="FF595959"/>
        <rFont val="WenQuanYi Zen Hei"/>
        <family val="2"/>
      </rPr>
      <t xml:space="preserve">以内か判定する</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</si>
  <si>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年額割合</t>
    </r>
  </si>
  <si>
    <r>
      <rPr>
        <b val="true"/>
        <sz val="10"/>
        <color rgb="FF000000"/>
        <rFont val="ＭＳ 明朝"/>
        <family val="0"/>
        <charset val="1"/>
      </rPr>
      <t xml:space="preserve">G.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締切日・交付日・償還開始</t>
    </r>
    <r>
      <rPr>
        <b val="true"/>
        <sz val="10"/>
        <color rgb="FF000000"/>
        <rFont val="ＭＳ 明朝"/>
        <family val="0"/>
        <charset val="1"/>
      </rPr>
      <t xml:space="preserve">/</t>
    </r>
    <r>
      <rPr>
        <b val="true"/>
        <sz val="10"/>
        <color rgb="FF000000"/>
        <rFont val="WenQuanYi Zen Hei"/>
        <family val="2"/>
      </rPr>
      <t xml:space="preserve">終了・交付後の提出期限</t>
    </r>
    <r>
      <rPr>
        <b val="true"/>
        <sz val="10"/>
        <color rgb="FF000000"/>
        <rFont val="ＭＳ 明朝"/>
        <family val="0"/>
        <charset val="1"/>
      </rPr>
      <t xml:space="preserve">)</t>
    </r>
  </si>
  <si>
    <t xml:space="preserve">休日・祝日の場合は翌開庁日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</si>
  <si>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今月締切</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</si>
  <si>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翌月締切</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</si>
  <si>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申込予定日に対する</t>
    </r>
    <r>
      <rPr>
        <sz val="10"/>
        <color rgb="FF000000"/>
        <rFont val="ＭＳ 明朝"/>
        <family val="0"/>
        <charset val="1"/>
      </rPr>
      <t xml:space="preserve">)</t>
    </r>
  </si>
  <si>
    <t xml:space="preserve">申込予定日が今月の締切日を過ぎていれば翌月の締切日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</si>
  <si>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申込締切日</t>
    </r>
  </si>
  <si>
    <r>
      <rPr>
        <i val="true"/>
        <sz val="10"/>
        <color rgb="FF595959"/>
        <rFont val="WenQuanYi Zen Hei"/>
        <family val="2"/>
      </rPr>
      <t xml:space="preserve">締切日の同月末日</t>
    </r>
    <r>
      <rPr>
        <i val="true"/>
        <sz val="10"/>
        <color rgb="FF595959"/>
        <rFont val="ＭＳ 明朝"/>
        <family val="0"/>
        <charset val="1"/>
      </rPr>
      <t xml:space="preserve">(</t>
    </r>
    <r>
      <rPr>
        <i val="true"/>
        <sz val="10"/>
        <color rgb="FF595959"/>
        <rFont val="WenQuanYi Zen Hei"/>
        <family val="2"/>
      </rPr>
      <t xml:space="preserve">休日・祝日の場合は前日</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</si>
  <si>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交付日</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</si>
  <si>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償還開始</t>
    </r>
  </si>
  <si>
    <t xml:space="preserve">償還開始から、償還回数分あとの月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</si>
  <si>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償還終了</t>
    </r>
  </si>
  <si>
    <r>
      <rPr>
        <sz val="10"/>
        <color rgb="FF000000"/>
        <rFont val="WenQuanYi Zen Hei"/>
        <family val="2"/>
      </rPr>
      <t xml:space="preserve">償還期間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</si>
  <si>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償還期間表示</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</si>
  <si>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交付日から</t>
    </r>
  </si>
  <si>
    <r>
      <rPr>
        <i val="true"/>
        <sz val="10"/>
        <color rgb="FF595959"/>
        <rFont val="WenQuanYi Zen Hei"/>
        <family val="2"/>
      </rPr>
      <t xml:space="preserve">貸付金交付日 </t>
    </r>
    <r>
      <rPr>
        <i val="true"/>
        <sz val="10"/>
        <color rgb="FF595959"/>
        <rFont val="ＭＳ 明朝"/>
        <family val="0"/>
        <charset val="1"/>
      </rPr>
      <t xml:space="preserve">+ </t>
    </r>
    <r>
      <rPr>
        <i val="true"/>
        <sz val="10"/>
        <color rgb="FF595959"/>
        <rFont val="WenQuanYi Zen Hei"/>
        <family val="2"/>
      </rPr>
      <t xml:space="preserve">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</si>
  <si>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交付日起算</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</si>
  <si>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事由発生日から</t>
    </r>
  </si>
  <si>
    <r>
      <rPr>
        <i val="true"/>
        <sz val="10"/>
        <color rgb="FF595959"/>
        <rFont val="WenQuanYi Zen Hei"/>
        <family val="2"/>
      </rPr>
      <t xml:space="preserve">事由発生日</t>
    </r>
    <r>
      <rPr>
        <i val="true"/>
        <sz val="10"/>
        <color rgb="FF595959"/>
        <rFont val="ＭＳ 明朝"/>
        <family val="0"/>
        <charset val="1"/>
      </rPr>
      <t xml:space="preserve">(</t>
    </r>
    <r>
      <rPr>
        <i val="true"/>
        <sz val="10"/>
        <color rgb="FF595959"/>
        <rFont val="WenQuanYi Zen Hei"/>
        <family val="2"/>
      </rPr>
      <t xml:space="preserve">婚姻日など</t>
    </r>
    <r>
      <rPr>
        <i val="true"/>
        <sz val="10"/>
        <color rgb="FF595959"/>
        <rFont val="ＭＳ 明朝"/>
        <family val="0"/>
        <charset val="1"/>
      </rPr>
      <t xml:space="preserve">) + </t>
    </r>
    <r>
      <rPr>
        <i val="true"/>
        <sz val="10"/>
        <color rgb="FF595959"/>
        <rFont val="WenQuanYi Zen Hei"/>
        <family val="2"/>
      </rPr>
      <t xml:space="preserve">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</si>
  <si>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事由日起算</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</si>
  <si>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入学</t>
    </r>
  </si>
  <si>
    <t xml:space="preserve">入学後に申込んだときは交付日から、入学前に申込んだときは入学日から</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</si>
  <si>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入学</t>
    </r>
  </si>
  <si>
    <t xml:space="preserve">交付日・事由日・入学のどれで起算するかは、マスタ区分表の「期限の起算」で決まる</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</si>
  <si>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</si>
  <si>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適用</t>
    </r>
    <r>
      <rPr>
        <sz val="10"/>
        <color rgb="FF000000"/>
        <rFont val="ＭＳ 明朝"/>
        <family val="0"/>
        <charset val="1"/>
      </rPr>
      <t xml:space="preserve">)</t>
    </r>
  </si>
  <si>
    <t xml:space="preserve">災害住宅・災害再貸付は『住宅書類の区分』の選択で決定</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</si>
  <si>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住宅書類列適用</t>
    </r>
  </si>
  <si>
    <r>
      <rPr>
        <b val="true"/>
        <sz val="10"/>
        <color rgb="FF000000"/>
        <rFont val="ＭＳ 明朝"/>
        <family val="0"/>
        <charset val="1"/>
      </rPr>
      <t xml:space="preserve">H. </t>
    </r>
    <r>
      <rPr>
        <b val="true"/>
        <sz val="10"/>
        <color rgb="FF000000"/>
        <rFont val="WenQuanYi Zen Hei"/>
        <family val="2"/>
      </rPr>
      <t xml:space="preserve">判定の補助</t>
    </r>
    <r>
      <rPr>
        <b val="true"/>
        <sz val="10"/>
        <color rgb="FF000000"/>
        <rFont val="ＭＳ 明朝"/>
        <family val="0"/>
        <charset val="1"/>
      </rPr>
      <t xml:space="preserve">(</t>
    </r>
    <r>
      <rPr>
        <b val="true"/>
        <sz val="10"/>
        <color rgb="FF000000"/>
        <rFont val="WenQuanYi Zen Hei"/>
        <family val="2"/>
      </rPr>
      <t xml:space="preserve">他の借入の合計、申込可能期間、</t>
    </r>
    <r>
      <rPr>
        <b val="true"/>
        <sz val="10"/>
        <color rgb="FF000000"/>
        <rFont val="ＭＳ 明朝"/>
        <family val="0"/>
        <charset val="1"/>
      </rPr>
      <t xml:space="preserve">30%</t>
    </r>
    <r>
      <rPr>
        <b val="true"/>
        <sz val="10"/>
        <color rgb="FF000000"/>
        <rFont val="WenQuanYi Zen Hei"/>
        <family val="2"/>
      </rPr>
      <t xml:space="preserve">に収まる回数・金額</t>
    </r>
    <r>
      <rPr>
        <b val="true"/>
        <sz val="10"/>
        <color rgb="FF000000"/>
        <rFont val="ＭＳ 明朝"/>
        <family val="0"/>
        <charset val="1"/>
      </rPr>
      <t xml:space="preserve">)</t>
    </r>
  </si>
  <si>
    <r>
      <rPr>
        <sz val="10"/>
        <color rgb="FF000000"/>
        <rFont val="WenQuanYi Zen Hei"/>
        <family val="2"/>
      </rPr>
      <t xml:space="preserve">他の金融機関等の償還額の合計</t>
    </r>
    <r>
      <rPr>
        <sz val="10"/>
        <color rgb="FF000000"/>
        <rFont val="ＭＳ 明朝"/>
        <family val="0"/>
        <charset val="1"/>
      </rPr>
      <t xml:space="preserve">(A+B+F+G)</t>
    </r>
  </si>
  <si>
    <t xml:space="preserve">他の金融機関等の償還額の合計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</si>
  <si>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他機関償還計</t>
    </r>
  </si>
  <si>
    <r>
      <rPr>
        <sz val="10"/>
        <color rgb="FF000000"/>
        <rFont val="WenQuanYi Zen Hei"/>
        <family val="2"/>
      </rPr>
      <t xml:space="preserve">共済組合の既貸付の償還額の合計</t>
    </r>
    <r>
      <rPr>
        <sz val="10"/>
        <color rgb="FF000000"/>
        <rFont val="ＭＳ 明朝"/>
        <family val="0"/>
        <charset val="1"/>
      </rPr>
      <t xml:space="preserve">(C+H)</t>
    </r>
  </si>
  <si>
    <t xml:space="preserve">共済組合の既貸付の償還額の合計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</si>
  <si>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共済既貸付償還計</t>
    </r>
  </si>
  <si>
    <t xml:space="preserve">申込できる期間の開始日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</si>
  <si>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申込可能開始</t>
    </r>
  </si>
  <si>
    <t xml:space="preserve">申込できる期間の終了日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</si>
  <si>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申込可能終了</t>
    </r>
  </si>
  <si>
    <r>
      <rPr>
        <sz val="10"/>
        <color rgb="FF000000"/>
        <rFont val="ＭＳ 明朝"/>
        <family val="0"/>
        <charset val="1"/>
      </rPr>
      <t xml:space="preserve">30%</t>
    </r>
    <r>
      <rPr>
        <sz val="10"/>
        <color rgb="FF000000"/>
        <rFont val="WenQuanYi Zen Hei"/>
        <family val="2"/>
      </rPr>
      <t xml:space="preserve">以内となる償還回数</t>
    </r>
    <r>
      <rPr>
        <sz val="10"/>
        <color rgb="FF000000"/>
        <rFont val="ＭＳ 明朝"/>
        <family val="0"/>
        <charset val="1"/>
      </rPr>
      <t xml:space="preserve">(</t>
    </r>
    <r>
      <rPr>
        <sz val="10"/>
        <color rgb="FF000000"/>
        <rFont val="WenQuanYi Zen Hei"/>
        <family val="2"/>
      </rPr>
      <t xml:space="preserve">今回の申込額のまま</t>
    </r>
    <r>
      <rPr>
        <sz val="10"/>
        <color rgb="FF000000"/>
        <rFont val="ＭＳ 明朝"/>
        <family val="0"/>
        <charset val="1"/>
      </rPr>
      <t xml:space="preserve">)</t>
    </r>
  </si>
  <si>
    <r>
      <rPr>
        <i val="true"/>
        <sz val="10"/>
        <color rgb="FF595959"/>
        <rFont val="WenQuanYi Zen Hei"/>
        <family val="2"/>
      </rPr>
      <t xml:space="preserve">毎月償還額が</t>
    </r>
    <r>
      <rPr>
        <i val="true"/>
        <sz val="10"/>
        <color rgb="FF595959"/>
        <rFont val="ＭＳ 明朝"/>
        <family val="0"/>
        <charset val="1"/>
      </rPr>
      <t xml:space="preserve">30%</t>
    </r>
    <r>
      <rPr>
        <i val="true"/>
        <sz val="10"/>
        <color rgb="FF595959"/>
        <rFont val="WenQuanYi Zen Hei"/>
        <family val="2"/>
      </rPr>
      <t xml:space="preserve">以内に収まる最小の償還回数</t>
    </r>
    <r>
      <rPr>
        <i val="true"/>
        <sz val="10"/>
        <color rgb="FF595959"/>
        <rFont val="ＭＳ 明朝"/>
        <family val="0"/>
        <charset val="1"/>
      </rPr>
      <t xml:space="preserve">(</t>
    </r>
    <r>
      <rPr>
        <i val="true"/>
        <sz val="10"/>
        <color rgb="FF595959"/>
        <rFont val="WenQuanYi Zen Hei"/>
        <family val="2"/>
      </rPr>
      <t xml:space="preserve">今の申込額のまま</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</si>
  <si>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必要回数</t>
    </r>
  </si>
  <si>
    <r>
      <rPr>
        <sz val="10"/>
        <color rgb="FF000000"/>
        <rFont val="ＭＳ 明朝"/>
        <family val="0"/>
        <charset val="1"/>
      </rPr>
      <t xml:space="preserve">30%</t>
    </r>
    <r>
      <rPr>
        <sz val="10"/>
        <color rgb="FF000000"/>
        <rFont val="WenQuanYi Zen Hei"/>
        <family val="2"/>
      </rPr>
      <t xml:space="preserve">以内となる申込額</t>
    </r>
    <r>
      <rPr>
        <sz val="10"/>
        <color rgb="FF000000"/>
        <rFont val="ＭＳ 明朝"/>
        <family val="0"/>
        <charset val="1"/>
      </rPr>
      <t xml:space="preserve">(</t>
    </r>
    <r>
      <rPr>
        <sz val="10"/>
        <color rgb="FF000000"/>
        <rFont val="WenQuanYi Zen Hei"/>
        <family val="2"/>
      </rPr>
      <t xml:space="preserve">万円・現在の償還回数のまま</t>
    </r>
    <r>
      <rPr>
        <sz val="10"/>
        <color rgb="FF000000"/>
        <rFont val="ＭＳ 明朝"/>
        <family val="0"/>
        <charset val="1"/>
      </rPr>
      <t xml:space="preserve">)</t>
    </r>
  </si>
  <si>
    <r>
      <rPr>
        <i val="true"/>
        <sz val="10"/>
        <color rgb="FF595959"/>
        <rFont val="WenQuanYi Zen Hei"/>
        <family val="2"/>
      </rPr>
      <t xml:space="preserve">毎月償還額が</t>
    </r>
    <r>
      <rPr>
        <i val="true"/>
        <sz val="10"/>
        <color rgb="FF595959"/>
        <rFont val="ＭＳ 明朝"/>
        <family val="0"/>
        <charset val="1"/>
      </rPr>
      <t xml:space="preserve">30%</t>
    </r>
    <r>
      <rPr>
        <i val="true"/>
        <sz val="10"/>
        <color rgb="FF595959"/>
        <rFont val="WenQuanYi Zen Hei"/>
        <family val="2"/>
      </rPr>
      <t xml:space="preserve">以内に収まる最大の申込額</t>
    </r>
    <r>
      <rPr>
        <i val="true"/>
        <sz val="10"/>
        <color rgb="FF595959"/>
        <rFont val="ＭＳ 明朝"/>
        <family val="0"/>
        <charset val="1"/>
      </rPr>
      <t xml:space="preserve">(</t>
    </r>
    <r>
      <rPr>
        <i val="true"/>
        <sz val="10"/>
        <color rgb="FF595959"/>
        <rFont val="WenQuanYi Zen Hei"/>
        <family val="2"/>
      </rPr>
      <t xml:space="preserve">今の償還回数のまま</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</si>
  <si>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上限額万円</t>
    </r>
    <r>
      <rPr>
        <sz val="9"/>
        <color rgb="FF595959"/>
        <rFont val="ＭＳ 明朝"/>
        <family val="0"/>
        <charset val="1"/>
      </rPr>
      <t xml:space="preserve">_</t>
    </r>
    <r>
      <rPr>
        <sz val="9"/>
        <color rgb="FF595959"/>
        <rFont val="WenQuanYi Zen Hei"/>
        <family val="2"/>
      </rPr>
      <t xml:space="preserve">現回数</t>
    </r>
  </si>
  <si>
    <r>
      <rPr>
        <b val="true"/>
        <sz val="10"/>
        <color rgb="FF000000"/>
        <rFont val="ＭＳ 明朝"/>
        <family val="0"/>
        <charset val="1"/>
      </rPr>
      <t xml:space="preserve">I. </t>
    </r>
    <r>
      <rPr>
        <b val="true"/>
        <sz val="10"/>
        <color rgb="FF000000"/>
        <rFont val="WenQuanYi Zen Hei"/>
        <family val="2"/>
      </rPr>
      <t xml:space="preserve">判定</t>
    </r>
    <r>
      <rPr>
        <b val="true"/>
        <sz val="10"/>
        <color rgb="FF000000"/>
        <rFont val="ＭＳ 明朝"/>
        <family val="0"/>
        <charset val="1"/>
      </rPr>
      <t xml:space="preserve">(○=1 ×=0 △=2 </t>
    </r>
    <r>
      <rPr>
        <b val="true"/>
        <sz val="10"/>
        <color rgb="FF000000"/>
        <rFont val="WenQuanYi Zen Hei"/>
        <family val="2"/>
      </rPr>
      <t xml:space="preserve">対象外</t>
    </r>
    <r>
      <rPr>
        <b val="true"/>
        <sz val="10"/>
        <color rgb="FF000000"/>
        <rFont val="ＭＳ 明朝"/>
        <family val="0"/>
        <charset val="1"/>
      </rPr>
      <t xml:space="preserve">=3)</t>
    </r>
    <r>
      <rPr>
        <b val="true"/>
        <sz val="10"/>
        <color rgb="FF000000"/>
        <rFont val="WenQuanYi Zen Hei"/>
        <family val="2"/>
      </rPr>
      <t xml:space="preserve">と、画面に出す説明文</t>
    </r>
    <r>
      <rPr>
        <b val="true"/>
        <sz val="10"/>
        <color rgb="FF000000"/>
        <rFont val="ＭＳ 明朝"/>
        <family val="0"/>
        <charset val="1"/>
      </rPr>
      <t xml:space="preserve">(_</t>
    </r>
    <r>
      <rPr>
        <b val="true"/>
        <sz val="10"/>
        <color rgb="FF000000"/>
        <rFont val="WenQuanYi Zen Hei"/>
        <family val="2"/>
      </rPr>
      <t xml:space="preserve">説明</t>
    </r>
    <r>
      <rPr>
        <b val="true"/>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</si>
  <si>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貸付区分の選択</t>
    </r>
  </si>
  <si>
    <r>
      <rPr>
        <i val="true"/>
        <sz val="10"/>
        <color rgb="FF595959"/>
        <rFont val="ＭＳ 明朝"/>
        <family val="0"/>
        <charset val="1"/>
      </rPr>
      <t xml:space="preserve">1=</t>
    </r>
    <r>
      <rPr>
        <i val="true"/>
        <sz val="10"/>
        <color rgb="FF595959"/>
        <rFont val="WenQuanYi Zen Hei"/>
        <family val="2"/>
      </rPr>
      <t xml:space="preserve">適合 </t>
    </r>
    <r>
      <rPr>
        <i val="true"/>
        <sz val="10"/>
        <color rgb="FF595959"/>
        <rFont val="ＭＳ 明朝"/>
        <family val="0"/>
        <charset val="1"/>
      </rPr>
      <t xml:space="preserve">0=</t>
    </r>
    <r>
      <rPr>
        <i val="true"/>
        <sz val="10"/>
        <color rgb="FF595959"/>
        <rFont val="WenQuanYi Zen Hei"/>
        <family val="2"/>
      </rPr>
      <t xml:space="preserve">不適合 </t>
    </r>
    <r>
      <rPr>
        <i val="true"/>
        <sz val="10"/>
        <color rgb="FF595959"/>
        <rFont val="ＭＳ 明朝"/>
        <family val="0"/>
        <charset val="1"/>
      </rPr>
      <t xml:space="preserve">2=</t>
    </r>
    <r>
      <rPr>
        <i val="true"/>
        <sz val="10"/>
        <color rgb="FF595959"/>
        <rFont val="WenQuanYi Zen Hei"/>
        <family val="2"/>
      </rPr>
      <t xml:space="preserve">要確認 </t>
    </r>
    <r>
      <rPr>
        <i val="true"/>
        <sz val="10"/>
        <color rgb="FF595959"/>
        <rFont val="ＭＳ 明朝"/>
        <family val="0"/>
        <charset val="1"/>
      </rPr>
      <t xml:space="preserve">3=</t>
    </r>
    <r>
      <rPr>
        <i val="true"/>
        <sz val="10"/>
        <color rgb="FF595959"/>
        <rFont val="WenQuanYi Zen Hei"/>
        <family val="2"/>
      </rPr>
      <t xml:space="preserve">対象外</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</si>
  <si>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貸付区分</t>
    </r>
  </si>
  <si>
    <t xml:space="preserve">画面の「判定の内訳」に出す説明文</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</si>
  <si>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貸付区分</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</si>
  <si>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給料月額の入力</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</si>
  <si>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給料月額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</si>
  <si>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給料月額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</si>
  <si>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</si>
  <si>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組合員期間</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</si>
  <si>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組合員期間</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</si>
  <si>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給与の差押さえ等の貸付制限</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</si>
  <si>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差押さえ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</si>
  <si>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差押さえ</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</si>
  <si>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無給休職でないこと</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</si>
  <si>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無給休職</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</si>
  <si>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無給休職</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</si>
  <si>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借入状況の入力</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</si>
  <si>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借入状況</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</si>
  <si>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借入状況</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</si>
  <si>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申込時期</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</si>
  <si>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申込時期</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</si>
  <si>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申込時期</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</si>
  <si>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修学月数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</si>
  <si>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修学月数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</si>
  <si>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修学月数</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</si>
  <si>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申込金額の下限・単位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</si>
  <si>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申込額下限単位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</si>
  <si>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申込額下限単位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</si>
  <si>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貸付限度額以内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</si>
  <si>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限度額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</si>
  <si>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</si>
  <si>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償還回数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</si>
  <si>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償還回数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</si>
  <si>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償還回数</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</si>
  <si>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毎月償還額の割合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</si>
  <si>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月額割合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</si>
  <si>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月額割合</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</si>
  <si>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年間償還額の割合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</si>
  <si>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年額割合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</si>
  <si>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年額割合</t>
    </r>
    <r>
      <rPr>
        <sz val="9"/>
        <color rgb="FF595959"/>
        <rFont val="ＭＳ 明朝"/>
        <family val="0"/>
        <charset val="1"/>
      </rPr>
      <t xml:space="preserve">_</t>
    </r>
    <r>
      <rPr>
        <sz val="9"/>
        <color rgb="FF595959"/>
        <rFont val="WenQuanYi Zen Hei"/>
        <family val="2"/>
      </rPr>
      <t xml:space="preserve">説明</t>
    </r>
  </si>
  <si>
    <r>
      <rPr>
        <sz val="10"/>
        <color rgb="FF000000"/>
        <rFont val="WenQuanYi Zen Hei"/>
        <family val="2"/>
      </rPr>
      <t xml:space="preserve">ボーナス条件</t>
    </r>
    <r>
      <rPr>
        <sz val="10"/>
        <color rgb="FF000000"/>
        <rFont val="ＭＳ 明朝"/>
        <family val="0"/>
        <charset val="1"/>
      </rPr>
      <t xml:space="preserve">1:</t>
    </r>
    <r>
      <rPr>
        <sz val="10"/>
        <color rgb="FF000000"/>
        <rFont val="WenQuanYi Zen Hei"/>
        <family val="2"/>
      </rPr>
      <t xml:space="preserve">住宅系の貸付</t>
    </r>
  </si>
  <si>
    <t xml:space="preserve">住宅・災害住宅・災害再貸付のみ</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</si>
  <si>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1</t>
    </r>
  </si>
  <si>
    <r>
      <rPr>
        <sz val="10"/>
        <color rgb="FF000000"/>
        <rFont val="WenQuanYi Zen Hei"/>
        <family val="2"/>
      </rPr>
      <t xml:space="preserve">ボーナス条件</t>
    </r>
    <r>
      <rPr>
        <sz val="10"/>
        <color rgb="FF000000"/>
        <rFont val="ＭＳ 明朝"/>
        <family val="0"/>
        <charset val="1"/>
      </rPr>
      <t xml:space="preserve">2:</t>
    </r>
    <r>
      <rPr>
        <sz val="10"/>
        <color rgb="FF000000"/>
        <rFont val="WenQuanYi Zen Hei"/>
        <family val="2"/>
      </rPr>
      <t xml:space="preserve">申込額が下限以上</t>
    </r>
  </si>
  <si>
    <r>
      <rPr>
        <i val="true"/>
        <sz val="10"/>
        <color rgb="FF595959"/>
        <rFont val="WenQuanYi Zen Hei"/>
        <family val="2"/>
      </rPr>
      <t xml:space="preserve">申込金額</t>
    </r>
    <r>
      <rPr>
        <i val="true"/>
        <sz val="10"/>
        <color rgb="FF595959"/>
        <rFont val="ＭＳ 明朝"/>
        <family val="0"/>
        <charset val="1"/>
      </rPr>
      <t xml:space="preserve">300</t>
    </r>
    <r>
      <rPr>
        <i val="true"/>
        <sz val="10"/>
        <color rgb="FF595959"/>
        <rFont val="WenQuanYi Zen Hei"/>
        <family val="2"/>
      </rPr>
      <t xml:space="preserve">万円以上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</si>
  <si>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2</t>
    </r>
  </si>
  <si>
    <r>
      <rPr>
        <sz val="10"/>
        <color rgb="FF000000"/>
        <rFont val="WenQuanYi Zen Hei"/>
        <family val="2"/>
      </rPr>
      <t xml:space="preserve">ボーナス条件</t>
    </r>
    <r>
      <rPr>
        <sz val="10"/>
        <color rgb="FF000000"/>
        <rFont val="ＭＳ 明朝"/>
        <family val="0"/>
        <charset val="1"/>
      </rPr>
      <t xml:space="preserve">3:</t>
    </r>
    <r>
      <rPr>
        <sz val="10"/>
        <color rgb="FF000000"/>
        <rFont val="WenQuanYi Zen Hei"/>
        <family val="2"/>
      </rPr>
      <t xml:space="preserve">賞与分が下限以上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</si>
  <si>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3</t>
    </r>
  </si>
  <si>
    <r>
      <rPr>
        <sz val="10"/>
        <color rgb="FF000000"/>
        <rFont val="WenQuanYi Zen Hei"/>
        <family val="2"/>
      </rPr>
      <t xml:space="preserve">ボーナス条件</t>
    </r>
    <r>
      <rPr>
        <sz val="10"/>
        <color rgb="FF000000"/>
        <rFont val="ＭＳ 明朝"/>
        <family val="0"/>
        <charset val="1"/>
      </rPr>
      <t xml:space="preserve">4:</t>
    </r>
    <r>
      <rPr>
        <sz val="10"/>
        <color rgb="FF000000"/>
        <rFont val="WenQuanYi Zen Hei"/>
        <family val="2"/>
      </rPr>
      <t xml:space="preserve">賞与分が貸付額の</t>
    </r>
    <r>
      <rPr>
        <sz val="10"/>
        <color rgb="FF000000"/>
        <rFont val="ＭＳ 明朝"/>
        <family val="0"/>
        <charset val="1"/>
      </rPr>
      <t xml:space="preserve">1/2</t>
    </r>
    <r>
      <rPr>
        <sz val="10"/>
        <color rgb="FF000000"/>
        <rFont val="WenQuanYi Zen Hei"/>
        <family val="2"/>
      </rPr>
      <t xml:space="preserve">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</si>
  <si>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4</t>
    </r>
  </si>
  <si>
    <r>
      <rPr>
        <sz val="10"/>
        <color rgb="FF000000"/>
        <rFont val="WenQuanYi Zen Hei"/>
        <family val="2"/>
      </rPr>
      <t xml:space="preserve">ボーナス条件</t>
    </r>
    <r>
      <rPr>
        <sz val="10"/>
        <color rgb="FF000000"/>
        <rFont val="ＭＳ 明朝"/>
        <family val="0"/>
        <charset val="1"/>
      </rPr>
      <t xml:space="preserve">5:</t>
    </r>
    <r>
      <rPr>
        <sz val="10"/>
        <color rgb="FF000000"/>
        <rFont val="WenQuanYi Zen Hei"/>
        <family val="2"/>
      </rPr>
      <t xml:space="preserve">賞与分が単位どおり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</si>
  <si>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5</t>
    </r>
  </si>
  <si>
    <r>
      <rPr>
        <sz val="10"/>
        <color rgb="FF000000"/>
        <rFont val="WenQuanYi Zen Hei"/>
        <family val="2"/>
      </rPr>
      <t xml:space="preserve">ボーナス条件</t>
    </r>
    <r>
      <rPr>
        <sz val="10"/>
        <color rgb="FF000000"/>
        <rFont val="ＭＳ 明朝"/>
        <family val="0"/>
        <charset val="1"/>
      </rPr>
      <t xml:space="preserve">6:</t>
    </r>
    <r>
      <rPr>
        <sz val="10"/>
        <color rgb="FF000000"/>
        <rFont val="WenQuanYi Zen Hei"/>
        <family val="2"/>
      </rPr>
      <t xml:space="preserve">賞与回数が</t>
    </r>
    <r>
      <rPr>
        <sz val="10"/>
        <color rgb="FF000000"/>
        <rFont val="ＭＳ 明朝"/>
        <family val="0"/>
        <charset val="1"/>
      </rPr>
      <t xml:space="preserve">1</t>
    </r>
    <r>
      <rPr>
        <sz val="10"/>
        <color rgb="FF000000"/>
        <rFont val="WenQuanYi Zen Hei"/>
        <family val="2"/>
      </rPr>
      <t xml:space="preserve">回以上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</si>
  <si>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6</t>
    </r>
  </si>
  <si>
    <r>
      <rPr>
        <sz val="10"/>
        <color rgb="FF000000"/>
        <rFont val="WenQuanYi Zen Hei"/>
        <family val="2"/>
      </rPr>
      <t xml:space="preserve">ボーナス条件</t>
    </r>
    <r>
      <rPr>
        <sz val="10"/>
        <color rgb="FF000000"/>
        <rFont val="ＭＳ 明朝"/>
        <family val="0"/>
        <charset val="1"/>
      </rPr>
      <t xml:space="preserve">7:</t>
    </r>
    <r>
      <rPr>
        <sz val="10"/>
        <color rgb="FF000000"/>
        <rFont val="WenQuanYi Zen Hei"/>
        <family val="2"/>
      </rPr>
      <t xml:space="preserve">賞与回数が上限以内</t>
    </r>
  </si>
  <si>
    <r>
      <rPr>
        <i val="true"/>
        <sz val="10"/>
        <color rgb="FF595959"/>
        <rFont val="ＭＳ 明朝"/>
        <family val="0"/>
        <charset val="1"/>
      </rPr>
      <t xml:space="preserve">60</t>
    </r>
    <r>
      <rPr>
        <i val="true"/>
        <sz val="10"/>
        <color rgb="FF595959"/>
        <rFont val="WenQuanYi Zen Hei"/>
        <family val="2"/>
      </rPr>
      <t xml:space="preserve">回以内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</si>
  <si>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7</t>
    </r>
  </si>
  <si>
    <r>
      <rPr>
        <sz val="10"/>
        <color rgb="FF000000"/>
        <rFont val="WenQuanYi Zen Hei"/>
        <family val="2"/>
      </rPr>
      <t xml:space="preserve">ボーナス条件</t>
    </r>
    <r>
      <rPr>
        <sz val="10"/>
        <color rgb="FF000000"/>
        <rFont val="ＭＳ 明朝"/>
        <family val="0"/>
        <charset val="1"/>
      </rPr>
      <t xml:space="preserve">8:</t>
    </r>
    <r>
      <rPr>
        <sz val="10"/>
        <color rgb="FF000000"/>
        <rFont val="WenQuanYi Zen Hei"/>
        <family val="2"/>
      </rPr>
      <t xml:space="preserve">賞与の期間が毎月償還の期間以内</t>
    </r>
  </si>
  <si>
    <r>
      <rPr>
        <i val="true"/>
        <sz val="10"/>
        <color rgb="FF595959"/>
        <rFont val="WenQuanYi Zen Hei"/>
        <family val="2"/>
      </rPr>
      <t xml:space="preserve">賞与は年</t>
    </r>
    <r>
      <rPr>
        <i val="true"/>
        <sz val="10"/>
        <color rgb="FF595959"/>
        <rFont val="ＭＳ 明朝"/>
        <family val="0"/>
        <charset val="1"/>
      </rPr>
      <t xml:space="preserve">2</t>
    </r>
    <r>
      <rPr>
        <i val="true"/>
        <sz val="10"/>
        <color rgb="FF595959"/>
        <rFont val="WenQuanYi Zen Hei"/>
        <family val="2"/>
      </rPr>
      <t xml:space="preserve">回</t>
    </r>
    <r>
      <rPr>
        <i val="true"/>
        <sz val="10"/>
        <color rgb="FF595959"/>
        <rFont val="ＭＳ 明朝"/>
        <family val="0"/>
        <charset val="1"/>
      </rPr>
      <t xml:space="preserve">(6</t>
    </r>
    <r>
      <rPr>
        <i val="true"/>
        <sz val="10"/>
        <color rgb="FF595959"/>
        <rFont val="WenQuanYi Zen Hei"/>
        <family val="2"/>
      </rPr>
      <t xml:space="preserve">か月ごと</t>
    </r>
    <r>
      <rPr>
        <i val="true"/>
        <sz val="10"/>
        <color rgb="FF595959"/>
        <rFont val="ＭＳ 明朝"/>
        <family val="0"/>
        <charset val="1"/>
      </rPr>
      <t xml:space="preserve">)</t>
    </r>
    <r>
      <rPr>
        <i val="true"/>
        <sz val="10"/>
        <color rgb="FF595959"/>
        <rFont val="WenQuanYi Zen Hei"/>
        <family val="2"/>
      </rPr>
      <t xml:space="preserve">なので、回数</t>
    </r>
    <r>
      <rPr>
        <i val="true"/>
        <sz val="10"/>
        <color rgb="FF595959"/>
        <rFont val="ＭＳ 明朝"/>
        <family val="0"/>
        <charset val="1"/>
      </rPr>
      <t xml:space="preserve">×6</t>
    </r>
    <r>
      <rPr>
        <i val="true"/>
        <sz val="10"/>
        <color rgb="FF595959"/>
        <rFont val="WenQuanYi Zen Hei"/>
        <family val="2"/>
      </rPr>
      <t xml:space="preserve">か月が毎月償還の回数以内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</si>
  <si>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8</t>
    </r>
  </si>
  <si>
    <r>
      <rPr>
        <sz val="10"/>
        <color rgb="FF000000"/>
        <rFont val="WenQuanYi Zen Hei"/>
        <family val="2"/>
      </rPr>
      <t xml:space="preserve">ボーナス条件</t>
    </r>
    <r>
      <rPr>
        <sz val="10"/>
        <color rgb="FF000000"/>
        <rFont val="ＭＳ 明朝"/>
        <family val="0"/>
        <charset val="1"/>
      </rPr>
      <t xml:space="preserve">9:1</t>
    </r>
    <r>
      <rPr>
        <sz val="10"/>
        <color rgb="FF000000"/>
        <rFont val="WenQuanYi Zen Hei"/>
        <family val="2"/>
      </rPr>
      <t xml:space="preserve">回の賞与額が給料月額以内</t>
    </r>
  </si>
  <si>
    <r>
      <rPr>
        <i val="true"/>
        <sz val="10"/>
        <color rgb="FF595959"/>
        <rFont val="ＭＳ 明朝"/>
        <family val="0"/>
        <charset val="1"/>
      </rPr>
      <t xml:space="preserve">1</t>
    </r>
    <r>
      <rPr>
        <i val="true"/>
        <sz val="10"/>
        <color rgb="FF595959"/>
        <rFont val="WenQuanYi Zen Hei"/>
        <family val="2"/>
      </rPr>
      <t xml:space="preserve">回の償還額が給料月額の</t>
    </r>
    <r>
      <rPr>
        <i val="true"/>
        <sz val="10"/>
        <color rgb="FF595959"/>
        <rFont val="ＭＳ 明朝"/>
        <family val="0"/>
        <charset val="1"/>
      </rPr>
      <t xml:space="preserve">1</t>
    </r>
    <r>
      <rPr>
        <i val="true"/>
        <sz val="10"/>
        <color rgb="FF595959"/>
        <rFont val="WenQuanYi Zen Hei"/>
        <family val="2"/>
      </rPr>
      <t xml:space="preserve">か月分以内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</si>
  <si>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9</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</si>
  <si>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ボーナス併用償還の条件</t>
    </r>
  </si>
  <si>
    <r>
      <rPr>
        <i val="true"/>
        <sz val="10"/>
        <color rgb="FF595959"/>
        <rFont val="WenQuanYi Zen Hei"/>
        <family val="2"/>
      </rPr>
      <t xml:space="preserve">併用なし</t>
    </r>
    <r>
      <rPr>
        <i val="true"/>
        <sz val="10"/>
        <color rgb="FF595959"/>
        <rFont val="ＭＳ 明朝"/>
        <family val="0"/>
        <charset val="1"/>
      </rPr>
      <t xml:space="preserve">=3 / </t>
    </r>
    <r>
      <rPr>
        <i val="true"/>
        <sz val="10"/>
        <color rgb="FF595959"/>
        <rFont val="WenQuanYi Zen Hei"/>
        <family val="2"/>
      </rPr>
      <t xml:space="preserve">条件</t>
    </r>
    <r>
      <rPr>
        <i val="true"/>
        <sz val="10"/>
        <color rgb="FF595959"/>
        <rFont val="ＭＳ 明朝"/>
        <family val="0"/>
        <charset val="1"/>
      </rPr>
      <t xml:space="preserve">1</t>
    </r>
    <r>
      <rPr>
        <i val="true"/>
        <sz val="10"/>
        <color rgb="FF595959"/>
        <rFont val="WenQuanYi Zen Hei"/>
        <family val="2"/>
      </rPr>
      <t xml:space="preserve">〜</t>
    </r>
    <r>
      <rPr>
        <i val="true"/>
        <sz val="10"/>
        <color rgb="FF595959"/>
        <rFont val="ＭＳ 明朝"/>
        <family val="0"/>
        <charset val="1"/>
      </rPr>
      <t xml:space="preserve">9</t>
    </r>
    <r>
      <rPr>
        <i val="true"/>
        <sz val="10"/>
        <color rgb="FF595959"/>
        <rFont val="WenQuanYi Zen Hei"/>
        <family val="2"/>
      </rPr>
      <t xml:space="preserve">がすべて○</t>
    </r>
    <r>
      <rPr>
        <i val="true"/>
        <sz val="10"/>
        <color rgb="FF595959"/>
        <rFont val="ＭＳ 明朝"/>
        <family val="0"/>
        <charset val="1"/>
      </rPr>
      <t xml:space="preserve">=1 / </t>
    </r>
    <r>
      <rPr>
        <i val="true"/>
        <sz val="10"/>
        <color rgb="FF595959"/>
        <rFont val="WenQuanYi Zen Hei"/>
        <family val="2"/>
      </rPr>
      <t xml:space="preserve">どれかが</t>
    </r>
    <r>
      <rPr>
        <i val="true"/>
        <sz val="10"/>
        <color rgb="FF595959"/>
        <rFont val="ＭＳ 明朝"/>
        <family val="0"/>
        <charset val="1"/>
      </rPr>
      <t xml:space="preserve">×=0</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</si>
  <si>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ボーナス併用</t>
    </r>
  </si>
  <si>
    <r>
      <rPr>
        <i val="true"/>
        <sz val="10"/>
        <color rgb="FF595959"/>
        <rFont val="ＭＳ 明朝"/>
        <family val="0"/>
        <charset val="1"/>
      </rPr>
      <t xml:space="preserve">×</t>
    </r>
    <r>
      <rPr>
        <i val="true"/>
        <sz val="10"/>
        <color rgb="FF595959"/>
        <rFont val="WenQuanYi Zen Hei"/>
        <family val="2"/>
      </rPr>
      <t xml:space="preserve">のとき、最初に満たさない条件を表示</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</si>
  <si>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ボーナス併用</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</si>
  <si>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住宅書類の区分</t>
    </r>
    <r>
      <rPr>
        <sz val="10"/>
        <color rgb="FF000000"/>
        <rFont val="ＭＳ 明朝"/>
        <family val="0"/>
        <charset val="1"/>
      </rPr>
      <t xml:space="preserve">(</t>
    </r>
    <r>
      <rPr>
        <sz val="10"/>
        <color rgb="FF000000"/>
        <rFont val="WenQuanYi Zen Hei"/>
        <family val="2"/>
      </rPr>
      <t xml:space="preserve">災害住宅・災害再貸付</t>
    </r>
    <r>
      <rPr>
        <sz val="10"/>
        <color rgb="FF000000"/>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</si>
  <si>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住宅書類区分</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</si>
  <si>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住宅書類区分</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</si>
  <si>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在宅介護対応住宅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</si>
  <si>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在宅介護</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</si>
  <si>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在宅介護</t>
    </r>
    <r>
      <rPr>
        <sz val="9"/>
        <color rgb="FF595959"/>
        <rFont val="ＭＳ 明朝"/>
        <family val="0"/>
        <charset val="1"/>
      </rPr>
      <t xml:space="preserve">_</t>
    </r>
    <r>
      <rPr>
        <sz val="9"/>
        <color rgb="FF595959"/>
        <rFont val="WenQuanYi Zen Hei"/>
        <family val="2"/>
      </rPr>
      <t xml:space="preserve">説明</t>
    </r>
  </si>
  <si>
    <r>
      <rPr>
        <b val="true"/>
        <sz val="10"/>
        <color rgb="FF000000"/>
        <rFont val="ＭＳ 明朝"/>
        <family val="0"/>
        <charset val="1"/>
      </rPr>
      <t xml:space="preserve">J. </t>
    </r>
    <r>
      <rPr>
        <b val="true"/>
        <sz val="10"/>
        <color rgb="FF000000"/>
        <rFont val="WenQuanYi Zen Hei"/>
        <family val="2"/>
      </rPr>
      <t xml:space="preserve">判定のまとめ</t>
    </r>
  </si>
  <si>
    <r>
      <rPr>
        <sz val="10"/>
        <color rgb="FF000000"/>
        <rFont val="ＭＳ 明朝"/>
        <family val="0"/>
        <charset val="1"/>
      </rPr>
      <t xml:space="preserve">×</t>
    </r>
    <r>
      <rPr>
        <sz val="10"/>
        <color rgb="FF000000"/>
        <rFont val="WenQuanYi Zen Hei"/>
        <family val="2"/>
      </rPr>
      <t xml:space="preserve">の件数</t>
    </r>
  </si>
  <si>
    <r>
      <rPr>
        <i val="true"/>
        <sz val="10"/>
        <color rgb="FF595959"/>
        <rFont val="WenQuanYi Zen Hei"/>
        <family val="2"/>
      </rPr>
      <t xml:space="preserve">判定が</t>
    </r>
    <r>
      <rPr>
        <i val="true"/>
        <sz val="10"/>
        <color rgb="FF595959"/>
        <rFont val="ＭＳ 明朝"/>
        <family val="0"/>
        <charset val="1"/>
      </rPr>
      <t xml:space="preserve">0(×)</t>
    </r>
    <r>
      <rPr>
        <i val="true"/>
        <sz val="10"/>
        <color rgb="FF595959"/>
        <rFont val="WenQuanYi Zen Hei"/>
        <family val="2"/>
      </rPr>
      <t xml:space="preserve">の件数</t>
    </r>
  </si>
  <si>
    <r>
      <rPr>
        <sz val="9"/>
        <color rgb="FF595959"/>
        <rFont val="WenQuanYi Zen Hei"/>
        <family val="2"/>
      </rPr>
      <t xml:space="preserve">判定</t>
    </r>
    <r>
      <rPr>
        <sz val="9"/>
        <color rgb="FF595959"/>
        <rFont val="ＭＳ 明朝"/>
        <family val="0"/>
        <charset val="1"/>
      </rPr>
      <t xml:space="preserve">_NG</t>
    </r>
    <r>
      <rPr>
        <sz val="9"/>
        <color rgb="FF595959"/>
        <rFont val="WenQuanYi Zen Hei"/>
        <family val="2"/>
      </rPr>
      <t xml:space="preserve">件数</t>
    </r>
  </si>
  <si>
    <r>
      <rPr>
        <i val="true"/>
        <sz val="10"/>
        <color rgb="FF595959"/>
        <rFont val="WenQuanYi Zen Hei"/>
        <family val="2"/>
      </rPr>
      <t xml:space="preserve">判定が</t>
    </r>
    <r>
      <rPr>
        <i val="true"/>
        <sz val="10"/>
        <color rgb="FF595959"/>
        <rFont val="ＭＳ 明朝"/>
        <family val="0"/>
        <charset val="1"/>
      </rPr>
      <t xml:space="preserve">2(△)</t>
    </r>
    <r>
      <rPr>
        <i val="true"/>
        <sz val="10"/>
        <color rgb="FF595959"/>
        <rFont val="WenQuanYi Zen Hei"/>
        <family val="2"/>
      </rPr>
      <t xml:space="preserve">の件数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</si>
  <si>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要確認件数</t>
    </r>
  </si>
  <si>
    <r>
      <rPr>
        <sz val="10"/>
        <color rgb="FF000000"/>
        <rFont val="WenQuanYi Zen Hei"/>
        <family val="2"/>
      </rPr>
      <t xml:space="preserve">入力不足の項目</t>
    </r>
    <r>
      <rPr>
        <sz val="10"/>
        <color rgb="FF000000"/>
        <rFont val="ＭＳ 明朝"/>
        <family val="0"/>
        <charset val="1"/>
      </rPr>
      <t xml:space="preserve">(</t>
    </r>
    <r>
      <rPr>
        <sz val="10"/>
        <color rgb="FF000000"/>
        <rFont val="WenQuanYi Zen Hei"/>
        <family val="2"/>
      </rPr>
      <t xml:space="preserve">末尾に区切りあり</t>
    </r>
    <r>
      <rPr>
        <sz val="10"/>
        <color rgb="FF000000"/>
        <rFont val="ＭＳ 明朝"/>
        <family val="0"/>
        <charset val="1"/>
      </rPr>
      <t xml:space="preserve">)</t>
    </r>
  </si>
  <si>
    <t xml:space="preserve">未入力の項目を「、」でつないだ文字列</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</si>
  <si>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不足項目</t>
    </r>
    <r>
      <rPr>
        <sz val="9"/>
        <color rgb="FF595959"/>
        <rFont val="ＭＳ 明朝"/>
        <family val="0"/>
        <charset val="1"/>
      </rPr>
      <t xml:space="preserve">_</t>
    </r>
    <r>
      <rPr>
        <sz val="9"/>
        <color rgb="FF595959"/>
        <rFont val="WenQuanYi Zen Hei"/>
        <family val="2"/>
      </rPr>
      <t xml:space="preserve">素</t>
    </r>
  </si>
  <si>
    <r>
      <rPr>
        <i val="true"/>
        <sz val="10"/>
        <color rgb="FF595959"/>
        <rFont val="WenQuanYi Zen Hei"/>
        <family val="2"/>
      </rPr>
      <t xml:space="preserve">未入力の項目</t>
    </r>
    <r>
      <rPr>
        <i val="true"/>
        <sz val="10"/>
        <color rgb="FF595959"/>
        <rFont val="ＭＳ 明朝"/>
        <family val="0"/>
        <charset val="1"/>
      </rPr>
      <t xml:space="preserve">(</t>
    </r>
    <r>
      <rPr>
        <i val="true"/>
        <sz val="10"/>
        <color rgb="FF595959"/>
        <rFont val="WenQuanYi Zen Hei"/>
        <family val="2"/>
      </rPr>
      <t xml:space="preserve">最後の「、」を除く</t>
    </r>
    <r>
      <rPr>
        <i val="true"/>
        <sz val="10"/>
        <color rgb="FF595959"/>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</si>
  <si>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不足項目</t>
    </r>
  </si>
  <si>
    <t xml:space="preserve">画面の総合判定に出す文</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</si>
  <si>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総合</t>
    </r>
  </si>
  <si>
    <r>
      <rPr>
        <b val="true"/>
        <sz val="10"/>
        <color rgb="FF000000"/>
        <rFont val="ＭＳ 明朝"/>
        <family val="0"/>
        <charset val="1"/>
      </rPr>
      <t xml:space="preserve">K. Word</t>
    </r>
    <r>
      <rPr>
        <b val="true"/>
        <sz val="10"/>
        <color rgb="FF000000"/>
        <rFont val="WenQuanYi Zen Hei"/>
        <family val="2"/>
      </rPr>
      <t xml:space="preserve">出力用</t>
    </r>
    <r>
      <rPr>
        <b val="true"/>
        <sz val="10"/>
        <color rgb="FF000000"/>
        <rFont val="ＭＳ 明朝"/>
        <family val="0"/>
        <charset val="1"/>
      </rPr>
      <t xml:space="preserve">(</t>
    </r>
    <r>
      <rPr>
        <b val="true"/>
        <sz val="10"/>
        <color rgb="FF000000"/>
        <rFont val="WenQuanYi Zen Hei"/>
        <family val="2"/>
      </rPr>
      <t xml:space="preserve">借用証書の利率の全角表記・金額</t>
    </r>
    <r>
      <rPr>
        <b val="true"/>
        <sz val="10"/>
        <color rgb="FF000000"/>
        <rFont val="ＭＳ 明朝"/>
        <family val="0"/>
        <charset val="1"/>
      </rPr>
      <t xml:space="preserve">)</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</si>
  <si>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</si>
  <si>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借用証書の利率を全角にしたもの</t>
    </r>
    <r>
      <rPr>
        <i val="true"/>
        <sz val="10"/>
        <color rgb="FF595959"/>
        <rFont val="ＭＳ 明朝"/>
        <family val="0"/>
        <charset val="1"/>
      </rPr>
      <t xml:space="preserve">(</t>
    </r>
    <r>
      <rPr>
        <i val="true"/>
        <sz val="10"/>
        <color rgb="FF595959"/>
        <rFont val="WenQuanYi Zen Hei"/>
        <family val="2"/>
      </rPr>
      <t xml:space="preserve">例 １．２６</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</si>
  <si>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普通特別</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</si>
  <si>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</si>
  <si>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災害</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</si>
  <si>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災害</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</si>
  <si>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</si>
  <si>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在宅介護対応住宅</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</si>
  <si>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</si>
  <si>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借用証書の金額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</si>
  <si>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借用証書の金額欄に入れる万円の額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</si>
  <si>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借用証書金額万円</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</si>
  <si>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</si>
  <si>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必要</t>
    </r>
    <r>
      <rPr>
        <b val="true"/>
        <sz val="10"/>
        <color rgb="FF000000"/>
        <rFont val="ＭＳ 明朝"/>
        <family val="0"/>
        <charset val="1"/>
      </rPr>
      <t xml:space="preserve">=1</t>
    </r>
  </si>
  <si>
    <t xml:space="preserve">連番</t>
  </si>
  <si>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</si>
  <si>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</si>
  <si>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</si>
  <si>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4"/>
        <color rgb="FF000000"/>
        <rFont val="ＭＳ 明朝"/>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</si>
  <si>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ＭＳ 明朝"/>
        <family val="0"/>
        <charset val="1"/>
      </rPr>
      <t xml:space="preserve">Word</t>
    </r>
    <r>
      <rPr>
        <sz val="9"/>
        <color rgb="FF595959"/>
        <rFont val="WenQuanYi Zen Hei"/>
        <family val="2"/>
      </rPr>
      <t xml:space="preserve">テンプレート内の </t>
    </r>
    <r>
      <rPr>
        <sz val="9"/>
        <color rgb="FF595959"/>
        <rFont val="ＭＳ 明朝"/>
        <family val="0"/>
        <charset val="1"/>
      </rPr>
      <t xml:space="preserve">{{</t>
    </r>
    <r>
      <rPr>
        <sz val="9"/>
        <color rgb="FF595959"/>
        <rFont val="WenQuanYi Zen Hei"/>
        <family val="2"/>
      </rPr>
      <t xml:space="preserve">項目</t>
    </r>
    <r>
      <rPr>
        <sz val="9"/>
        <color rgb="FF595959"/>
        <rFont val="ＭＳ 明朝"/>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</si>
  <si>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</si>
  <si>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</si>
  <si>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</si>
  <si>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ＭＳ 明朝"/>
        <family val="0"/>
        <charset val="1"/>
      </rPr>
      <t xml:space="preserve">{{</t>
    </r>
    <r>
      <rPr>
        <sz val="10"/>
        <color rgb="FF000000"/>
        <rFont val="WenQuanYi Zen Hei"/>
        <family val="2"/>
      </rPr>
      <t xml:space="preserve">金額千</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</si>
  <si>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</si>
  <si>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金額十</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</si>
  <si>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</si>
  <si>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</si>
  <si>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</si>
  <si>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種別住宅災害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</si>
  <si>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種別在宅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</si>
  <si>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種別普通特別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</si>
  <si>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</si>
  <si>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</si>
  <si>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利率在宅</t>
    </r>
    <r>
      <rPr>
        <sz val="10"/>
        <color rgb="FF000000"/>
        <rFont val="ＭＳ 明朝"/>
        <family val="0"/>
        <charset val="1"/>
      </rPr>
      <t xml:space="preserve">}}</t>
    </r>
  </si>
  <si>
    <t xml:space="preserve">添書</t>
  </si>
  <si>
    <r>
      <rPr>
        <sz val="10"/>
        <color rgb="FF000000"/>
        <rFont val="ＭＳ 明朝"/>
        <family val="0"/>
        <charset val="1"/>
      </rPr>
      <t xml:space="preserve">{{</t>
    </r>
    <r>
      <rPr>
        <sz val="10"/>
        <color rgb="FF000000"/>
        <rFont val="WenQuanYi Zen Hei"/>
        <family val="2"/>
      </rPr>
      <t xml:space="preserve">日付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</si>
  <si>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宛名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</si>
  <si>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件名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</si>
  <si>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貸付区分</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</si>
  <si>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申込金額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</si>
  <si>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適用利率</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</si>
  <si>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</si>
  <si>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毎月償還額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</si>
  <si>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償還開始</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</si>
  <si>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締切日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</si>
  <si>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</si>
  <si>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</si>
  <si>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</si>
  <si>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</si>
  <si>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交付後期限</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</si>
  <si>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償還回数</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</si>
  <si>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一回の償還額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</si>
  <si>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事由自動車</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</si>
  <si>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事由出産</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</si>
  <si>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事由医療</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</si>
  <si>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事由入学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</si>
  <si>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事由結婚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</si>
  <si>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事由葬祭</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</si>
  <si>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事由修学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</si>
  <si>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登録予定日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</si>
  <si>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</si>
  <si>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</si>
  <si>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職名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</si>
  <si>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</si>
  <si>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</si>
  <si>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</si>
  <si>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</si>
  <si>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</si>
  <si>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</si>
  <si>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</si>
  <si>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ふりがな</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</si>
  <si>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氏名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</si>
  <si>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</si>
  <si>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</si>
  <si>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生年月日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</si>
  <si>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</si>
  <si>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</si>
  <si>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R}}</t>
    </r>
  </si>
  <si>
    <r>
      <rPr>
        <sz val="10"/>
        <color rgb="FF000000"/>
        <rFont val="ＭＳ 明朝"/>
        <family val="0"/>
        <charset val="1"/>
      </rPr>
      <t xml:space="preserve">{{</t>
    </r>
    <r>
      <rPr>
        <sz val="10"/>
        <color rgb="FF000000"/>
        <rFont val="WenQuanYi Zen Hei"/>
        <family val="2"/>
      </rPr>
      <t xml:space="preserve">加入年月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</si>
  <si>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</si>
  <si>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</si>
  <si>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金融機関</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</si>
  <si>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支店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</si>
  <si>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</si>
  <si>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</si>
  <si>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</si>
  <si>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</si>
  <si>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</si>
  <si>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</si>
  <si>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</si>
  <si>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現在住宅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</si>
  <si>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</si>
  <si>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</si>
  <si>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</si>
  <si>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</si>
  <si>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</si>
  <si>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</si>
  <si>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</si>
  <si>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</si>
  <si>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</si>
  <si>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申込日</t>
    </r>
    <r>
      <rPr>
        <sz val="10"/>
        <color rgb="FF000000"/>
        <rFont val="ＭＳ 明朝"/>
        <family val="0"/>
        <charset val="1"/>
      </rPr>
      <t xml:space="preserve">}}</t>
    </r>
  </si>
</sst>
</file>

<file path=xl/styles.xml><?xml version="1.0" encoding="utf-8"?>
<styleSheet xmlns="http://schemas.openxmlformats.org/spreadsheetml/2006/main">
  <numFmts count="29">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quot;か月以上&quot;"/>
    <numFmt numFmtId="188" formatCode="0&quot;か月分&quot;"/>
    <numFmt numFmtId="189" formatCode="0"/>
    <numFmt numFmtId="190" formatCode="0.0000000"/>
    <numFmt numFmtId="191" formatCode="#,##0.00"/>
    <numFmt numFmtId="192" formatCode="0.0000%"/>
  </numFmts>
  <fonts count="63">
    <font>
      <sz val="11"/>
      <name val="ＭＳ 明朝"/>
      <family val="1"/>
      <charset val="128"/>
    </font>
    <font>
      <sz val="10"/>
      <name val="ＭＳ 明朝"/>
      <family val="0"/>
    </font>
    <font>
      <sz val="10"/>
      <name val="ＭＳ 明朝"/>
      <family val="0"/>
    </font>
    <font>
      <sz val="10"/>
      <name val="ＭＳ 明朝"/>
      <family val="0"/>
    </font>
    <font>
      <sz val="11"/>
      <color rgb="FF000000"/>
      <name val="ＭＳ 明朝"/>
      <family val="3"/>
      <charset val="128"/>
    </font>
    <font>
      <sz val="11"/>
      <color rgb="FFFFFFFF"/>
      <name val="ＭＳ 明朝"/>
      <family val="3"/>
      <charset val="128"/>
    </font>
    <font>
      <sz val="11"/>
      <color rgb="FF993300"/>
      <name val="ＭＳ 明朝"/>
      <family val="3"/>
      <charset val="128"/>
    </font>
    <font>
      <b val="true"/>
      <sz val="18"/>
      <color rgb="FF003366"/>
      <name val="ＭＳ 明朝"/>
      <family val="3"/>
      <charset val="128"/>
    </font>
    <font>
      <b val="true"/>
      <sz val="11"/>
      <color rgb="FFFFFFFF"/>
      <name val="ＭＳ 明朝"/>
      <family val="3"/>
      <charset val="128"/>
    </font>
    <font>
      <sz val="11"/>
      <color rgb="FFFF9900"/>
      <name val="ＭＳ 明朝"/>
      <family val="3"/>
      <charset val="128"/>
    </font>
    <font>
      <sz val="11"/>
      <color rgb="FF333399"/>
      <name val="ＭＳ 明朝"/>
      <family val="3"/>
      <charset val="128"/>
    </font>
    <font>
      <b val="true"/>
      <sz val="11"/>
      <color rgb="FF333333"/>
      <name val="ＭＳ 明朝"/>
      <family val="3"/>
      <charset val="128"/>
    </font>
    <font>
      <sz val="11"/>
      <color rgb="FF800080"/>
      <name val="ＭＳ 明朝"/>
      <family val="3"/>
      <charset val="128"/>
    </font>
    <font>
      <sz val="11"/>
      <color rgb="FF008000"/>
      <name val="ＭＳ 明朝"/>
      <family val="3"/>
      <charset val="128"/>
    </font>
    <font>
      <b val="true"/>
      <sz val="15"/>
      <color rgb="FF003366"/>
      <name val="ＭＳ 明朝"/>
      <family val="3"/>
      <charset val="128"/>
    </font>
    <font>
      <b val="true"/>
      <sz val="13"/>
      <color rgb="FF003366"/>
      <name val="ＭＳ 明朝"/>
      <family val="3"/>
      <charset val="128"/>
    </font>
    <font>
      <b val="true"/>
      <sz val="11"/>
      <color rgb="FF003366"/>
      <name val="ＭＳ 明朝"/>
      <family val="3"/>
      <charset val="128"/>
    </font>
    <font>
      <b val="true"/>
      <sz val="11"/>
      <color rgb="FFFF9900"/>
      <name val="ＭＳ 明朝"/>
      <family val="3"/>
      <charset val="128"/>
    </font>
    <font>
      <i val="true"/>
      <sz val="11"/>
      <color rgb="FF808080"/>
      <name val="ＭＳ 明朝"/>
      <family val="3"/>
      <charset val="128"/>
    </font>
    <font>
      <sz val="11"/>
      <color rgb="FFFF0000"/>
      <name val="ＭＳ 明朝"/>
      <family val="3"/>
      <charset val="128"/>
    </font>
    <font>
      <b val="true"/>
      <sz val="11"/>
      <color rgb="FF000000"/>
      <name val="ＭＳ 明朝"/>
      <family val="3"/>
      <charset val="128"/>
    </font>
    <font>
      <b val="true"/>
      <sz val="14"/>
      <color rgb="FF000000"/>
      <name val="ＭＳ 明朝"/>
      <family val="2"/>
    </font>
    <font>
      <b val="true"/>
      <sz val="10"/>
      <color rgb="FF000000"/>
      <name val="ＭＳ 明朝"/>
      <family val="2"/>
    </font>
    <font>
      <sz val="10"/>
      <color rgb="FF000000"/>
      <name val="ＭＳ 明朝"/>
      <family val="2"/>
    </font>
    <font>
      <sz val="10"/>
      <color rgb="FF000000"/>
      <name val="ＭＳ 明朝"/>
      <family val="0"/>
      <charset val="1"/>
    </font>
    <font>
      <b val="true"/>
      <sz val="10"/>
      <color rgb="FF000000"/>
      <name val="ＭＳ 明朝"/>
      <family val="0"/>
      <charset val="1"/>
    </font>
    <font>
      <b val="true"/>
      <sz val="14"/>
      <color rgb="FF000000"/>
      <name val="ＭＳ 明朝"/>
      <family val="0"/>
      <charset val="1"/>
    </font>
    <font>
      <sz val="10"/>
      <color rgb="FF595959"/>
      <name val="ＭＳ 明朝"/>
      <family val="2"/>
    </font>
    <font>
      <i val="true"/>
      <sz val="10"/>
      <color rgb="FF595959"/>
      <name val="ＭＳ 明朝"/>
      <family val="2"/>
    </font>
    <font>
      <i val="true"/>
      <sz val="9"/>
      <color rgb="FF595959"/>
      <name val="ＭＳ 明朝"/>
      <family val="2"/>
    </font>
    <font>
      <i val="true"/>
      <sz val="9"/>
      <color rgb="FF595959"/>
      <name val="ＭＳ 明朝"/>
      <family val="0"/>
      <charset val="1"/>
    </font>
    <font>
      <sz val="10"/>
      <color rgb="FF0000FF"/>
      <name val="ＭＳ 明朝"/>
      <family val="2"/>
    </font>
    <font>
      <sz val="10"/>
      <color rgb="FF0000FF"/>
      <name val="ＭＳ 明朝"/>
      <family val="0"/>
      <charset val="1"/>
    </font>
    <font>
      <b val="true"/>
      <sz val="12"/>
      <color rgb="FF000000"/>
      <name val="ＭＳ 明朝"/>
      <family val="2"/>
    </font>
    <font>
      <b val="true"/>
      <sz val="12"/>
      <color rgb="FF000000"/>
      <name val="ＭＳ 明朝"/>
      <family val="0"/>
      <charset val="1"/>
    </font>
    <font>
      <sz val="9"/>
      <color rgb="FF000000"/>
      <name val="ＭＳ 明朝"/>
      <family val="2"/>
    </font>
    <font>
      <sz val="9"/>
      <color rgb="FF595959"/>
      <name val="ＭＳ 明朝"/>
      <family val="2"/>
    </font>
    <font>
      <sz val="9"/>
      <color rgb="FF595959"/>
      <name val="ＭＳ 明朝"/>
      <family val="0"/>
      <charset val="1"/>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val="true"/>
      <sz val="9"/>
      <name val="ＭＳ 明朝"/>
      <family val="1"/>
      <charset val="128"/>
    </font>
    <font>
      <b val="true"/>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sz val="7"/>
      <name val="ＭＳ 明朝"/>
      <family val="2"/>
    </font>
    <font>
      <u val="single"/>
      <sz val="8"/>
      <name val="ＭＳ 明朝"/>
      <family val="2"/>
    </font>
    <font>
      <u val="single"/>
      <sz val="8"/>
      <name val="ＭＳ 明朝"/>
      <family val="2"/>
      <charset val="1"/>
    </font>
    <font>
      <b val="true"/>
      <sz val="13"/>
      <color rgb="FF000000"/>
      <name val="ＭＳ 明朝"/>
      <family val="2"/>
    </font>
    <font>
      <b val="true"/>
      <sz val="13"/>
      <color rgb="FF000000"/>
      <name val="ＭＳ 明朝"/>
      <family val="0"/>
      <charset val="1"/>
    </font>
    <font>
      <b val="true"/>
      <sz val="11"/>
      <color rgb="FF000000"/>
      <name val="ＭＳ 明朝"/>
      <family val="2"/>
    </font>
    <font>
      <b val="true"/>
      <sz val="10"/>
      <color rgb="FF0000FF"/>
      <name val="ＭＳ 明朝"/>
      <family val="0"/>
      <charset val="1"/>
    </font>
    <font>
      <sz val="9"/>
      <color rgb="FF000000"/>
      <name val="ＭＳ 明朝"/>
      <family val="0"/>
      <charset val="1"/>
    </font>
    <font>
      <i val="true"/>
      <sz val="10"/>
      <color rgb="FF595959"/>
      <name val="ＭＳ 明朝"/>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F8080"/>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D9D9D9"/>
      </patternFill>
    </fill>
    <fill>
      <patternFill patternType="solid">
        <fgColor rgb="FF99CCFF"/>
        <bgColor rgb="FFCCCCFF"/>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08080"/>
      </patternFill>
    </fill>
    <fill>
      <patternFill patternType="solid">
        <fgColor rgb="FF800080"/>
        <bgColor rgb="FF800080"/>
      </patternFill>
    </fill>
    <fill>
      <patternFill patternType="solid">
        <fgColor rgb="FF33CCCC"/>
        <bgColor rgb="FF00CC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0">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213">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4" fillId="0"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3" fillId="0" borderId="10" xfId="0" applyFont="true" applyBorder="true" applyAlignment="true" applyProtection="false">
      <alignment horizontal="center" vertical="center" textRotation="0" wrapText="false" indent="0" shrinkToFit="false"/>
      <protection locked="true" hidden="false"/>
    </xf>
    <xf numFmtId="164" fontId="33" fillId="0" borderId="10" xfId="0" applyFont="true" applyBorder="true" applyAlignment="true" applyProtection="false">
      <alignment horizontal="right" vertical="center" textRotation="0" wrapText="false" indent="0" shrinkToFit="false"/>
      <protection locked="true" hidden="false"/>
    </xf>
    <xf numFmtId="164" fontId="24" fillId="0" borderId="10" xfId="0" applyFont="true" applyBorder="true" applyAlignment="true" applyProtection="false">
      <alignment horizontal="left" vertical="center" textRotation="0" wrapText="fals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6" fontId="32"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7" fontId="32"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31"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2"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2" fillId="26" borderId="10" xfId="0" applyFont="true" applyBorder="true" applyAlignment="true" applyProtection="false">
      <alignment horizontal="right" vertical="center" textRotation="0" wrapText="false" indent="0" shrinkToFit="false"/>
      <protection locked="true" hidden="false"/>
    </xf>
    <xf numFmtId="168" fontId="32"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2"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false" indent="0" shrinkToFit="false"/>
      <protection locked="true" hidden="false"/>
    </xf>
    <xf numFmtId="164" fontId="29" fillId="0" borderId="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74" fontId="32" fillId="26" borderId="10" xfId="0" applyFont="true" applyBorder="true" applyAlignment="true" applyProtection="false">
      <alignment horizontal="left" vertical="center" textRotation="0" wrapText="false" indent="0" shrinkToFit="false"/>
      <protection locked="true" hidden="false"/>
    </xf>
    <xf numFmtId="166" fontId="32" fillId="26" borderId="10" xfId="0" applyFont="true" applyBorder="true" applyAlignment="true" applyProtection="false">
      <alignment horizontal="lef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4" fontId="32" fillId="26" borderId="10" xfId="0" applyFont="true" applyBorder="true" applyAlignment="true" applyProtection="false">
      <alignment horizontal="center" vertical="center" textRotation="0" wrapText="fals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0" fillId="24" borderId="10"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true" applyAlignment="true" applyProtection="false">
      <alignment horizontal="general" vertical="top" textRotation="0" wrapText="true" indent="0" shrinkToFit="false"/>
      <protection locked="true" hidden="false"/>
    </xf>
    <xf numFmtId="164" fontId="22"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top" textRotation="0" wrapText="true" indent="0" shrinkToFit="false"/>
      <protection locked="true" hidden="false"/>
    </xf>
    <xf numFmtId="164" fontId="24" fillId="24" borderId="10" xfId="0" applyFont="true" applyBorder="true" applyAlignment="true" applyProtection="false">
      <alignment horizontal="general" vertical="top" textRotation="0" wrapText="true" indent="0" shrinkToFit="false"/>
      <protection locked="true" hidden="false"/>
    </xf>
    <xf numFmtId="164" fontId="61" fillId="0" borderId="10" xfId="0" applyFont="true" applyBorder="true" applyAlignment="true" applyProtection="false">
      <alignment horizontal="general" vertical="center" textRotation="0" wrapText="false" indent="0" shrinkToFit="false"/>
      <protection locked="true" hidden="false"/>
    </xf>
    <xf numFmtId="165" fontId="32" fillId="26" borderId="10" xfId="0" applyFont="true" applyBorder="true" applyAlignment="true" applyProtection="false">
      <alignment horizontal="general" vertical="center" textRotation="0" wrapText="false" indent="0" shrinkToFit="false"/>
      <protection locked="true" hidden="false"/>
    </xf>
    <xf numFmtId="172" fontId="32" fillId="26" borderId="10" xfId="0" applyFont="true" applyBorder="true" applyAlignment="true" applyProtection="false">
      <alignment horizontal="general" vertical="center" textRotation="0" wrapText="false" indent="0" shrinkToFit="false"/>
      <protection locked="true" hidden="false"/>
    </xf>
    <xf numFmtId="169" fontId="32" fillId="26" borderId="10" xfId="0" applyFont="true" applyBorder="true" applyAlignment="true" applyProtection="false">
      <alignment horizontal="general" vertical="center" textRotation="0" wrapText="false" indent="0" shrinkToFit="false"/>
      <protection locked="true" hidden="false"/>
    </xf>
    <xf numFmtId="170" fontId="32" fillId="26" borderId="10" xfId="0" applyFont="true" applyBorder="true" applyAlignment="true" applyProtection="false">
      <alignment horizontal="general" vertical="center" textRotation="0" wrapText="false" indent="0" shrinkToFit="false"/>
      <protection locked="true" hidden="false"/>
    </xf>
    <xf numFmtId="164" fontId="62" fillId="0" borderId="0" xfId="0" applyFont="true" applyBorder="false" applyAlignment="true" applyProtection="false">
      <alignment horizontal="general" vertical="center" textRotation="0" wrapText="false" indent="0" shrinkToFit="false"/>
      <protection locked="true" hidden="false"/>
    </xf>
    <xf numFmtId="168" fontId="32"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true" indent="0" shrinkToFit="false"/>
      <protection locked="true" hidden="false"/>
    </xf>
    <xf numFmtId="164" fontId="32" fillId="0" borderId="10" xfId="0" applyFont="true" applyBorder="true" applyAlignment="true" applyProtection="false">
      <alignment horizontal="general" vertical="center" textRotation="0" wrapText="true" indent="0" shrinkToFit="false"/>
      <protection locked="true" hidden="false"/>
    </xf>
    <xf numFmtId="187"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88"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center" vertical="center" textRotation="0" wrapText="true" indent="0" shrinkToFit="false"/>
      <protection locked="true" hidden="false"/>
    </xf>
    <xf numFmtId="164" fontId="32"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2"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4" fillId="26" borderId="10" xfId="0" applyFont="true" applyBorder="true" applyAlignment="true" applyProtection="false">
      <alignment horizontal="general" vertical="center" textRotation="0" wrapText="false" indent="0" shrinkToFit="false"/>
      <protection locked="true" hidden="false"/>
    </xf>
    <xf numFmtId="164" fontId="25" fillId="25" borderId="10" xfId="0" applyFont="true" applyBorder="true" applyAlignment="true" applyProtection="false">
      <alignment horizontal="general" vertical="center" textRotation="0" wrapText="false" indent="0" shrinkToFit="false"/>
      <protection locked="true" hidden="false"/>
    </xf>
    <xf numFmtId="164" fontId="0" fillId="25" borderId="10" xfId="0" applyFont="false" applyBorder="true" applyAlignment="false" applyProtection="false">
      <alignment horizontal="general" vertical="bottom"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89" fontId="24" fillId="0" borderId="10" xfId="0" applyFont="true" applyBorder="true" applyAlignment="true" applyProtection="false">
      <alignment horizontal="right" vertical="center" textRotation="0" wrapText="false" indent="0" shrinkToFit="false"/>
      <protection locked="true" hidden="false"/>
    </xf>
    <xf numFmtId="190"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92" fontId="24"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ＭＳ 明朝"/>
        <charset val="1"/>
        <family val="0"/>
        <b val="1"/>
        <color rgb="FF9C0006"/>
      </font>
    </dxf>
    <dxf>
      <font>
        <name val="ＭＳ 明朝"/>
        <charset val="1"/>
        <family val="0"/>
        <b val="1"/>
      </font>
    </dxf>
    <dxf>
      <font>
        <name val="ＭＳ 明朝"/>
        <charset val="1"/>
        <family val="0"/>
        <b val="1"/>
        <color rgb="FF9C0006"/>
        <sz val="12"/>
      </font>
    </dxf>
    <dxf>
      <font>
        <name val="ＭＳ 明朝"/>
        <charset val="1"/>
        <family val="0"/>
        <b val="1"/>
        <sz val="12"/>
      </font>
    </dxf>
  </dxfs>
  <colors>
    <indexedColors>
      <rgbColor rgb="FF000000"/>
      <rgbColor rgb="FFFFFFFF"/>
      <rgbColor rgb="FFFF0000"/>
      <rgbColor rgb="FF00FF00"/>
      <rgbColor rgb="FF0000FF"/>
      <rgbColor rgb="FFFFF2CC"/>
      <rgbColor rgb="FFFF00FF"/>
      <rgbColor rgb="FF00FFFF"/>
      <rgbColor rgb="FF9C0006"/>
      <rgbColor rgb="FF008000"/>
      <rgbColor rgb="FF000080"/>
      <rgbColor rgb="FF808000"/>
      <rgbColor rgb="FF800080"/>
      <rgbColor rgb="FF008080"/>
      <rgbColor rgb="FFC0C0C0"/>
      <rgbColor rgb="FF808080"/>
      <rgbColor rgb="FFBFBFBF"/>
      <rgbColor rgb="FF993366"/>
      <rgbColor rgb="FFFFFFCC"/>
      <rgbColor rgb="FFCCFFFF"/>
      <rgbColor rgb="FF660066"/>
      <rgbColor rgb="FFFF8080"/>
      <rgbColor rgb="FF0066CC"/>
      <rgbColor rgb="FFCCCCFF"/>
      <rgbColor rgb="FF000080"/>
      <rgbColor rgb="FFFF00FF"/>
      <rgbColor rgb="FFD9D9D9"/>
      <rgbColor rgb="FF00FFFF"/>
      <rgbColor rgb="FF800080"/>
      <rgbColor rgb="FF800000"/>
      <rgbColor rgb="FF008080"/>
      <rgbColor rgb="FF0000FF"/>
      <rgbColor rgb="FF00CCFF"/>
      <rgbColor rgb="FFF2F2F2"/>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sharedStrings" Target="sharedStrings.xml"/>
<Relationship Id="rId15"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pageSetUpPr fitToPage="false"/>
  </sheetPr>
  <dimension ref="B1:C1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67.5" hidden="false" customHeight="true" outlineLevel="0" collapsed="false">
      <c r="B8" s="4" t="s">
        <v>11</v>
      </c>
      <c r="C8" s="5" t="s">
        <v>12</v>
      </c>
    </row>
    <row r="9" customFormat="false" ht="36" hidden="false" customHeight="true" outlineLevel="0" collapsed="false">
      <c r="B9" s="2" t="s">
        <v>13</v>
      </c>
      <c r="C9" s="3" t="s">
        <v>14</v>
      </c>
    </row>
    <row r="10" customFormat="false" ht="84" hidden="false" customHeight="true" outlineLevel="0" collapsed="false">
      <c r="B10" s="2" t="s">
        <v>15</v>
      </c>
      <c r="C10" s="3" t="s">
        <v>16</v>
      </c>
    </row>
    <row r="11" customFormat="false" ht="19.5" hidden="false" customHeight="true" outlineLevel="0" collapsed="false">
      <c r="B11" s="2" t="s">
        <v>17</v>
      </c>
      <c r="C11" s="3" t="s">
        <v>18</v>
      </c>
    </row>
    <row r="12" customFormat="false" ht="36" hidden="false" customHeight="true" outlineLevel="0" collapsed="false">
      <c r="B12" s="2" t="s">
        <v>19</v>
      </c>
      <c r="C12" s="3" t="s">
        <v>20</v>
      </c>
    </row>
    <row r="13" customFormat="false" ht="51.75" hidden="false" customHeight="true" outlineLevel="0" collapsed="false">
      <c r="B13" s="2" t="s">
        <v>21</v>
      </c>
      <c r="C13" s="3" t="s">
        <v>22</v>
      </c>
    </row>
    <row r="14" customFormat="false" ht="36" hidden="false" customHeight="true" outlineLevel="0" collapsed="false">
      <c r="B14" s="2" t="s">
        <v>23</v>
      </c>
      <c r="C14" s="3" t="s">
        <v>24</v>
      </c>
    </row>
    <row r="15" customFormat="false" ht="67.5" hidden="false" customHeight="true" outlineLevel="0" collapsed="false">
      <c r="B15" s="2" t="s">
        <v>25</v>
      </c>
      <c r="C15" s="3" t="s">
        <v>26</v>
      </c>
    </row>
    <row r="16" customFormat="false" ht="36" hidden="false" customHeight="true" outlineLevel="0" collapsed="false">
      <c r="B16" s="2" t="s">
        <v>27</v>
      </c>
      <c r="C16" s="3" t="s">
        <v>28</v>
      </c>
    </row>
    <row r="17" customFormat="false" ht="19.5" hidden="false" customHeight="true" outlineLevel="0" collapsed="false">
      <c r="B17" s="2" t="s">
        <v>29</v>
      </c>
      <c r="C17" s="3"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pageSetUpPr fitToPage="true"/>
  </sheetPr>
  <dimension ref="B1:H65"/>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31</v>
      </c>
    </row>
    <row r="2" customFormat="false" ht="30" hidden="false" customHeight="true" outlineLevel="0" collapsed="false">
      <c r="B2" s="6" t="s">
        <v>32</v>
      </c>
    </row>
    <row r="3" customFormat="false" ht="15" hidden="false" customHeight="false" outlineLevel="0" collapsed="false">
      <c r="B3" s="7" t="s">
        <v>33</v>
      </c>
      <c r="F3" s="8" t="s">
        <v>34</v>
      </c>
    </row>
    <row r="5" customFormat="false" ht="15" hidden="false" customHeight="false" outlineLevel="0" collapsed="false">
      <c r="B5" s="9" t="s">
        <v>35</v>
      </c>
      <c r="C5" s="9"/>
      <c r="D5" s="9"/>
      <c r="F5" s="9" t="s">
        <v>36</v>
      </c>
      <c r="G5" s="9"/>
      <c r="H5" s="9"/>
    </row>
    <row r="6" customFormat="false" ht="24" hidden="false" customHeight="true" outlineLevel="0" collapsed="false">
      <c r="B6" s="10" t="s">
        <v>37</v>
      </c>
      <c r="C6" s="11" t="s">
        <v>38</v>
      </c>
      <c r="D6" s="12"/>
      <c r="F6" s="13" t="s">
        <v>39</v>
      </c>
      <c r="G6" s="14" t="str">
        <f aca="false">判定_総合</f>
        <v>申込可能</v>
      </c>
      <c r="H6" s="14"/>
    </row>
    <row r="7" customFormat="false" ht="27.75" hidden="false" customHeight="true" outlineLevel="0" collapsed="false">
      <c r="B7" s="10" t="s">
        <v>40</v>
      </c>
      <c r="C7" s="11" t="s">
        <v>41</v>
      </c>
      <c r="D7" s="12"/>
      <c r="F7" s="13" t="s">
        <v>42</v>
      </c>
      <c r="G7" s="15" t="str">
        <f aca="false">"最大 "&amp;TEXT(計算_申込可能額/定数_万円,"#,##0")&amp;"万円まで"</f>
        <v>最大 174万円まで</v>
      </c>
      <c r="H7" s="12" t="str">
        <f aca="false">"償還"&amp;計算_試算回数&amp;"回の場合。下の ① と ② の小さい方です"</f>
        <v>償還60回の場合。下の ① と ② の小さい方です</v>
      </c>
    </row>
    <row r="8" customFormat="false" ht="15" hidden="false" customHeight="false" outlineLevel="0" collapsed="false">
      <c r="B8" s="10" t="s">
        <v>43</v>
      </c>
      <c r="C8" s="11" t="s">
        <v>44</v>
      </c>
      <c r="D8" s="12"/>
      <c r="F8" s="10" t="s">
        <v>45</v>
      </c>
      <c r="G8" s="16" t="str">
        <f aca="false">計算_組合員期間表示</f>
        <v>14年7か月</v>
      </c>
      <c r="H8" s="12" t="str">
        <f aca="false">"区分:"&amp;計算_区分群&amp;"　資格取得日〜申込予定日"</f>
        <v>区分:普通貸付　資格取得日〜申込予定日</v>
      </c>
    </row>
    <row r="9" customFormat="false" ht="15" hidden="false" customHeight="false" outlineLevel="0" collapsed="false">
      <c r="B9" s="10" t="s">
        <v>46</v>
      </c>
      <c r="C9" s="11" t="s">
        <v>47</v>
      </c>
      <c r="D9" s="12"/>
      <c r="F9" s="10" t="s">
        <v>48</v>
      </c>
      <c r="G9" s="17" t="n">
        <f aca="false">計算_利率</f>
        <v>0.0126</v>
      </c>
      <c r="H9" s="18" t="s">
        <v>49</v>
      </c>
    </row>
    <row r="10" customFormat="false" ht="27.75" hidden="false" customHeight="true" outlineLevel="0" collapsed="false">
      <c r="B10" s="10" t="s">
        <v>50</v>
      </c>
      <c r="C10" s="19" t="n">
        <v>46328</v>
      </c>
      <c r="D10" s="18"/>
      <c r="F10" s="10" t="s">
        <v>51</v>
      </c>
      <c r="G10" s="20" t="n">
        <f aca="false">計算_限度額_合計</f>
        <v>1740000</v>
      </c>
      <c r="H10" s="18" t="str">
        <f aca="false">計算_限度額内訳</f>
        <v>給料月額 290,000円 × 6か月 = 1,740,000円(上限 200万円)</v>
      </c>
    </row>
    <row r="11" customFormat="false" ht="15" hidden="false" customHeight="false" outlineLevel="0" collapsed="false">
      <c r="B11" s="10" t="s">
        <v>52</v>
      </c>
      <c r="C11" s="19" t="n">
        <v>41000</v>
      </c>
      <c r="D11" s="18"/>
      <c r="F11" s="10" t="s">
        <v>53</v>
      </c>
      <c r="G11" s="20" t="n">
        <f aca="false">計算_在宅介護加算</f>
        <v>0</v>
      </c>
      <c r="H11" s="18" t="s">
        <v>54</v>
      </c>
    </row>
    <row r="12" customFormat="false" ht="27.75" hidden="false" customHeight="true" outlineLevel="0" collapsed="false">
      <c r="B12" s="10" t="s">
        <v>55</v>
      </c>
      <c r="C12" s="21" t="n">
        <v>290000</v>
      </c>
      <c r="D12" s="18" t="s">
        <v>56</v>
      </c>
      <c r="F12" s="10" t="s">
        <v>57</v>
      </c>
      <c r="G12" s="20" t="n">
        <f aca="false">計算_返済能力上限</f>
        <v>3312812.42092399</v>
      </c>
      <c r="H12" s="18" t="str">
        <f aca="false">計算_返済能力内訳</f>
        <v>毎月償還額の上限 57,000円(給料月額の30% 87,000円 − 他の借入等 30,000円)を 60回で返済する場合</v>
      </c>
    </row>
    <row r="13" customFormat="false" ht="27.75" hidden="false" customHeight="true" outlineLevel="0" collapsed="false">
      <c r="B13" s="10" t="s">
        <v>58</v>
      </c>
      <c r="C13" s="19"/>
      <c r="D13" s="18" t="str">
        <f aca="false">IFERROR("基準日:"&amp;計算_基準日名&amp;"("&amp;計算_申込時期&amp;")","")</f>
        <v>基準日:自動車の登録(予定)日(自動車登録(名義変更)前で代金支払前)</v>
      </c>
      <c r="F13" s="13" t="s">
        <v>59</v>
      </c>
      <c r="G13" s="22" t="n">
        <f aca="false">計算_申込可能額</f>
        <v>1740000</v>
      </c>
      <c r="H13" s="18" t="str">
        <f aca="false">"申込単位("&amp;計算_単位万円&amp;"万円)で切り捨て。決まった要因:"&amp;計算_決定要因</f>
        <v>申込単位(1万円)で切り捨て。決まった要因:貸付限度額</v>
      </c>
    </row>
    <row r="14" customFormat="false" ht="15" hidden="false" customHeight="false" outlineLevel="0" collapsed="false">
      <c r="B14" s="10" t="s">
        <v>60</v>
      </c>
      <c r="C14" s="23" t="s">
        <v>61</v>
      </c>
      <c r="D14" s="18" t="s">
        <v>62</v>
      </c>
      <c r="F14" s="10" t="s">
        <v>63</v>
      </c>
      <c r="G14" s="20" t="n">
        <f aca="false">計算_申込額</f>
        <v>1500000</v>
      </c>
      <c r="H14" s="18" t="s">
        <v>64</v>
      </c>
    </row>
    <row r="15" customFormat="false" ht="15" hidden="false" customHeight="false" outlineLevel="0" collapsed="false">
      <c r="B15" s="10" t="s">
        <v>65</v>
      </c>
      <c r="C15" s="23" t="s">
        <v>61</v>
      </c>
      <c r="D15" s="18" t="s">
        <v>62</v>
      </c>
      <c r="F15" s="10" t="s">
        <v>66</v>
      </c>
      <c r="G15" s="24" t="n">
        <f aca="false">計算_償還回数</f>
        <v>60</v>
      </c>
      <c r="H15" s="18" t="str">
        <f aca="false">"償還期間 "&amp;計算_償還期間表示</f>
        <v>償還期間 5年0か月</v>
      </c>
    </row>
    <row r="16" customFormat="false" ht="15" hidden="false" customHeight="false" outlineLevel="0" collapsed="false">
      <c r="B16" s="10" t="s">
        <v>67</v>
      </c>
      <c r="C16" s="25"/>
      <c r="D16" s="18" t="s">
        <v>68</v>
      </c>
      <c r="F16" s="13" t="s">
        <v>69</v>
      </c>
      <c r="G16" s="26" t="n">
        <f aca="false">計算_毎月償還額</f>
        <v>25809</v>
      </c>
      <c r="H16" s="18" t="str">
        <f aca="false">"元利均等・給与控除(概算)。最終回は "&amp;TEXT(計算_最終回償還額,"#,##0")&amp;"円(元金の端数を調整)"</f>
        <v>元利均等・給与控除(概算)。最終回は 25,804円(元金の端数を調整)</v>
      </c>
    </row>
    <row r="17" customFormat="false" ht="15" hidden="false" customHeight="false" outlineLevel="0" collapsed="false">
      <c r="B17" s="10" t="s">
        <v>70</v>
      </c>
      <c r="C17" s="27" t="n">
        <v>150</v>
      </c>
      <c r="D17" s="18" t="s">
        <v>71</v>
      </c>
      <c r="F17" s="10" t="s">
        <v>72</v>
      </c>
      <c r="G17" s="20" t="n">
        <f aca="false">計算_賞与償還額</f>
        <v>0</v>
      </c>
      <c r="H17" s="12" t="s">
        <v>73</v>
      </c>
    </row>
    <row r="18" customFormat="false" ht="15" hidden="false" customHeight="false" outlineLevel="0" collapsed="false">
      <c r="B18" s="10" t="s">
        <v>74</v>
      </c>
      <c r="C18" s="28" t="n">
        <v>60</v>
      </c>
      <c r="D18" s="18" t="s">
        <v>75</v>
      </c>
      <c r="F18" s="10" t="s">
        <v>76</v>
      </c>
      <c r="G18" s="29" t="n">
        <f aca="false">計算_償還開始</f>
        <v>46357</v>
      </c>
      <c r="H18" s="18" t="s">
        <v>77</v>
      </c>
    </row>
    <row r="19" customFormat="false" ht="15" hidden="false" customHeight="false" outlineLevel="0" collapsed="false">
      <c r="B19" s="10" t="s">
        <v>78</v>
      </c>
      <c r="C19" s="21"/>
      <c r="D19" s="18" t="s">
        <v>79</v>
      </c>
      <c r="F19" s="10" t="s">
        <v>80</v>
      </c>
      <c r="G19" s="29" t="n">
        <f aca="false">計算_償還終了</f>
        <v>48153</v>
      </c>
    </row>
    <row r="20" customFormat="false" ht="15" hidden="false" customHeight="false" outlineLevel="0" collapsed="false">
      <c r="B20" s="10" t="s">
        <v>81</v>
      </c>
      <c r="C20" s="23" t="s">
        <v>61</v>
      </c>
      <c r="D20" s="18" t="s">
        <v>82</v>
      </c>
      <c r="F20" s="10" t="s">
        <v>83</v>
      </c>
      <c r="G20" s="20" t="n">
        <f aca="false">計算_返済総額</f>
        <v>1548535</v>
      </c>
    </row>
    <row r="21" customFormat="false" ht="15" hidden="false" customHeight="false" outlineLevel="0" collapsed="false">
      <c r="B21" s="10" t="s">
        <v>84</v>
      </c>
      <c r="C21" s="27"/>
      <c r="D21" s="12" t="s">
        <v>85</v>
      </c>
      <c r="F21" s="10" t="s">
        <v>86</v>
      </c>
      <c r="G21" s="20" t="n">
        <f aca="false">計算_利息総額</f>
        <v>48535</v>
      </c>
    </row>
    <row r="22" customFormat="false" ht="15" hidden="false" customHeight="false" outlineLevel="0" collapsed="false">
      <c r="B22" s="10" t="s">
        <v>87</v>
      </c>
      <c r="C22" s="28"/>
      <c r="D22" s="12" t="s">
        <v>88</v>
      </c>
    </row>
    <row r="23" customFormat="false" ht="15" hidden="false" customHeight="false" outlineLevel="0" collapsed="false">
      <c r="B23" s="10" t="s">
        <v>89</v>
      </c>
      <c r="C23" s="27"/>
      <c r="D23" s="18" t="s">
        <v>90</v>
      </c>
      <c r="F23" s="9" t="s">
        <v>91</v>
      </c>
      <c r="G23" s="9"/>
      <c r="H23" s="9"/>
    </row>
    <row r="24" customFormat="false" ht="15" hidden="false" customHeight="false" outlineLevel="0" collapsed="false">
      <c r="B24" s="10" t="s">
        <v>92</v>
      </c>
      <c r="C24" s="30"/>
      <c r="D24" s="18" t="s">
        <v>93</v>
      </c>
      <c r="F24" s="10" t="s">
        <v>94</v>
      </c>
      <c r="G24" s="20" t="n">
        <f aca="false">計算_E毎月償還計</f>
        <v>55809</v>
      </c>
      <c r="H24" s="12" t="s">
        <v>95</v>
      </c>
    </row>
    <row r="25" customFormat="false" ht="15" hidden="false" customHeight="false" outlineLevel="0" collapsed="false">
      <c r="B25" s="10" t="s">
        <v>96</v>
      </c>
      <c r="C25" s="11" t="s">
        <v>97</v>
      </c>
      <c r="D25" s="18" t="s">
        <v>98</v>
      </c>
      <c r="F25" s="10" t="s">
        <v>99</v>
      </c>
      <c r="G25" s="20" t="n">
        <f aca="false">計算_J賞与償還計</f>
        <v>0</v>
      </c>
    </row>
    <row r="26" customFormat="false" ht="15" hidden="false" customHeight="false" outlineLevel="0" collapsed="false">
      <c r="B26" s="9" t="s">
        <v>100</v>
      </c>
      <c r="C26" s="9"/>
      <c r="D26" s="9"/>
      <c r="F26" s="10" t="s">
        <v>101</v>
      </c>
      <c r="G26" s="20" t="n">
        <f aca="false">計算_K給料月額</f>
        <v>290000</v>
      </c>
    </row>
    <row r="27" customFormat="false" ht="25.5" hidden="false" customHeight="true" outlineLevel="0" collapsed="false">
      <c r="B27" s="10" t="s">
        <v>102</v>
      </c>
      <c r="C27" s="23" t="s">
        <v>103</v>
      </c>
      <c r="D27" s="18" t="s">
        <v>104</v>
      </c>
      <c r="F27" s="13" t="s">
        <v>105</v>
      </c>
      <c r="G27" s="31" t="n">
        <f aca="false">計算_月額割合</f>
        <v>0.192444827586207</v>
      </c>
      <c r="H27" s="18" t="str">
        <f aca="false">IF(判定_月額割合=1,"○ 30%以内","× 30%超")</f>
        <v>○ 30%以内</v>
      </c>
    </row>
    <row r="28" customFormat="false" ht="15" hidden="false" customHeight="false" outlineLevel="0" collapsed="false">
      <c r="B28" s="10" t="s">
        <v>106</v>
      </c>
      <c r="C28" s="23" t="s">
        <v>103</v>
      </c>
      <c r="D28" s="18" t="s">
        <v>107</v>
      </c>
      <c r="F28" s="10" t="s">
        <v>108</v>
      </c>
      <c r="G28" s="20" t="n">
        <f aca="false">計算_L年間償還額</f>
        <v>669708</v>
      </c>
    </row>
    <row r="29" customFormat="false" ht="15" hidden="false" customHeight="false" outlineLevel="0" collapsed="false">
      <c r="B29" s="10" t="s">
        <v>109</v>
      </c>
      <c r="C29" s="20" t="n">
        <f aca="false">N(申告_A他機関既借入_月額)+N(申告_B他機関新規_月額)</f>
        <v>18000</v>
      </c>
      <c r="F29" s="10" t="s">
        <v>110</v>
      </c>
      <c r="G29" s="20" t="n">
        <f aca="false">計算_M年収額</f>
        <v>4640000</v>
      </c>
    </row>
    <row r="30" customFormat="false" ht="15" hidden="false" customHeight="false" outlineLevel="0" collapsed="false">
      <c r="B30" s="10" t="s">
        <v>111</v>
      </c>
      <c r="C30" s="20" t="n">
        <f aca="false">N(申告_F他機関既借入_賞与)+N(申告_G他機関新規_賞与)</f>
        <v>0</v>
      </c>
      <c r="F30" s="13" t="s">
        <v>112</v>
      </c>
      <c r="G30" s="31" t="n">
        <f aca="false">計算_年額割合</f>
        <v>0.144333620689655</v>
      </c>
      <c r="H30" s="18" t="str">
        <f aca="false">IF(判定_年額割合=1,"○ 30%以内","× 30%超")</f>
        <v>○ 30%以内</v>
      </c>
    </row>
    <row r="31" customFormat="false" ht="15" hidden="false" customHeight="false" outlineLevel="0" collapsed="false">
      <c r="B31" s="10" t="s">
        <v>113</v>
      </c>
      <c r="C31" s="20" t="n">
        <f aca="false">N(申告_C共済既貸付_月額)</f>
        <v>12000</v>
      </c>
    </row>
    <row r="32" customFormat="false" ht="15" hidden="false" customHeight="false" outlineLevel="0" collapsed="false">
      <c r="B32" s="10" t="s">
        <v>114</v>
      </c>
      <c r="C32" s="20" t="n">
        <f aca="false">N(申告_H共済既貸付_賞与)</f>
        <v>0</v>
      </c>
      <c r="F32" s="9" t="s">
        <v>115</v>
      </c>
      <c r="G32" s="9"/>
      <c r="H32" s="9"/>
    </row>
    <row r="33" customFormat="false" ht="37.5" hidden="false" customHeight="true" outlineLevel="0" collapsed="false">
      <c r="F33" s="10" t="s">
        <v>116</v>
      </c>
      <c r="G33" s="32" t="str">
        <f aca="false">CHOOSE(判定_貸付区分+1,"×","○","△","－")</f>
        <v>○</v>
      </c>
      <c r="H33" s="33" t="str">
        <f aca="false">判定_貸付区分_説明</f>
        <v>貸付区分: 普通貸付:自動車購入</v>
      </c>
    </row>
    <row r="34" customFormat="false" ht="37.5" hidden="false" customHeight="true" outlineLevel="0" collapsed="false">
      <c r="B34" s="9" t="s">
        <v>117</v>
      </c>
      <c r="C34" s="9"/>
      <c r="D34" s="9"/>
      <c r="F34" s="10" t="s">
        <v>118</v>
      </c>
      <c r="G34" s="32" t="str">
        <f aca="false">CHOOSE(判定_給料月額+1,"×","○","△","－")</f>
        <v>○</v>
      </c>
      <c r="H34" s="33" t="str">
        <f aca="false">判定_給料月額_説明</f>
        <v>給料月額 290,000円(手当等を除く・部分休業等は減額後)</v>
      </c>
    </row>
    <row r="35" customFormat="false" ht="27.75" hidden="false" customHeight="true" outlineLevel="0" collapsed="false">
      <c r="B35" s="34" t="str">
        <f aca="false">IF(計算過程!$A$181="","","□ "&amp;計算過程!$A$181)</f>
        <v>□ 貸付申込書</v>
      </c>
      <c r="C35" s="34"/>
      <c r="D35" s="34"/>
      <c r="F35" s="10" t="s">
        <v>119</v>
      </c>
      <c r="G35" s="32" t="str">
        <f aca="false">CHOOSE(判定_組合員期間+1,"×","○","△","－")</f>
        <v>○</v>
      </c>
      <c r="H35" s="33" t="str">
        <f aca="false">判定_組合員期間_説明</f>
        <v>組合員期間 14年7か月(資格取得日から借受可)</v>
      </c>
    </row>
    <row r="36" customFormat="false" ht="27.75" hidden="false" customHeight="true" outlineLevel="0" collapsed="false">
      <c r="B36" s="34" t="str">
        <f aca="false">IF(計算過程!$A$182="","","□ "&amp;計算過程!$A$182)</f>
        <v>□ 貸付金借用証書(様式第4号・共済組合で配布)</v>
      </c>
      <c r="C36" s="34"/>
      <c r="D36" s="34"/>
      <c r="F36" s="10" t="s">
        <v>60</v>
      </c>
      <c r="G36" s="32" t="str">
        <f aca="false">CHOOSE(判定_差押さえ+1,"×","○","△","－")</f>
        <v>○</v>
      </c>
      <c r="H36" s="33" t="str">
        <f aca="false">判定_差押さえ_説明</f>
        <v>貸付制限に該当しません</v>
      </c>
    </row>
    <row r="37" customFormat="false" ht="27.75" hidden="false" customHeight="true" outlineLevel="0" collapsed="false">
      <c r="B37" s="34" t="str">
        <f aca="false">IF(計算過程!$A$183="","","□ "&amp;計算過程!$A$183)</f>
        <v>□ 印鑑登録証明書(貸付金交付日前3か月以内に発行されたもの)</v>
      </c>
      <c r="C37" s="34"/>
      <c r="D37" s="34"/>
      <c r="F37" s="10" t="s">
        <v>120</v>
      </c>
      <c r="G37" s="32" t="str">
        <f aca="false">CHOOSE(判定_無給休職+1,"×","○","△","－")</f>
        <v>○</v>
      </c>
      <c r="H37" s="33" t="str">
        <f aca="false">判定_無給休職_説明</f>
        <v>無給休職ではありません(育児休業は除く)</v>
      </c>
    </row>
    <row r="38" customFormat="false" ht="27.75" hidden="false" customHeight="true" outlineLevel="0" collapsed="false">
      <c r="B38" s="34" t="str">
        <f aca="false">IF(計算過程!$A$184="","","□ "&amp;計算過程!$A$184)</f>
        <v>□ 給与支払明細書(直近のもの)</v>
      </c>
      <c r="C38" s="34"/>
      <c r="D38" s="34"/>
      <c r="F38" s="10" t="s">
        <v>121</v>
      </c>
      <c r="G38" s="32" t="str">
        <f aca="false">CHOOSE(判定_借入状況+1,"×","○","△","－")</f>
        <v>○</v>
      </c>
      <c r="H38" s="33" t="str">
        <f aca="false">判定_借入状況_説明</f>
        <v>借入状況は借入状況等申告書の入力と一致しています</v>
      </c>
    </row>
    <row r="39" customFormat="false" ht="27.75" hidden="false" customHeight="true" outlineLevel="0" collapsed="false">
      <c r="B39" s="34" t="str">
        <f aca="false">IF(計算過程!$A$185="","","□ "&amp;計算過程!$A$185)</f>
        <v>□ 借入状況等申告書</v>
      </c>
      <c r="C39" s="34"/>
      <c r="D39" s="34"/>
      <c r="F39" s="10" t="s">
        <v>122</v>
      </c>
      <c r="G39" s="32" t="str">
        <f aca="false">CHOOSE(判定_申込時期+1,"×","○","△","－")</f>
        <v>－</v>
      </c>
      <c r="H39" s="33" t="str">
        <f aca="false">判定_申込時期_説明</f>
        <v>申込時期: 自動車登録(名義変更)前で代金支払前</v>
      </c>
    </row>
    <row r="40" customFormat="false" ht="27.75" hidden="false" customHeight="true" outlineLevel="0" collapsed="false">
      <c r="B40" s="34" t="str">
        <f aca="false">IF(計算過程!$A$186="","","□ "&amp;計算過程!$A$186)</f>
        <v>□ 【事由別】注文書(写)又は発注書(写)(見積書は不可)</v>
      </c>
      <c r="C40" s="34"/>
      <c r="D40" s="34"/>
      <c r="F40" s="10" t="s">
        <v>123</v>
      </c>
      <c r="G40" s="32" t="str">
        <f aca="false">CHOOSE(判定_修学月数+1,"×","○","△","－")</f>
        <v>－</v>
      </c>
      <c r="H40" s="33" t="str">
        <f aca="false">判定_修学月数_説明</f>
        <v>修学貸付のみ対象</v>
      </c>
    </row>
    <row r="41" customFormat="false" ht="27.75" hidden="false" customHeight="true" outlineLevel="0" collapsed="false">
      <c r="B41" s="34" t="str">
        <f aca="false">IF(計算過程!$A$187="","","□ "&amp;計算過程!$A$187)</f>
        <v/>
      </c>
      <c r="C41" s="34"/>
      <c r="D41" s="34"/>
      <c r="F41" s="10" t="s">
        <v>124</v>
      </c>
      <c r="G41" s="32" t="str">
        <f aca="false">CHOOSE(判定_申込額下限単位+1,"×","○","△","－")</f>
        <v>○</v>
      </c>
      <c r="H41" s="33" t="str">
        <f aca="false">判定_申込額下限単位_説明</f>
        <v>申込金額 1,500,000円(10万円以上・1万円単位)</v>
      </c>
    </row>
    <row r="42" customFormat="false" ht="27.75" hidden="false" customHeight="true" outlineLevel="0" collapsed="false">
      <c r="B42" s="34" t="str">
        <f aca="false">IF(計算過程!$A$188="","","□ "&amp;計算過程!$A$188)</f>
        <v/>
      </c>
      <c r="C42" s="34"/>
      <c r="D42" s="34"/>
      <c r="F42" s="10" t="s">
        <v>125</v>
      </c>
      <c r="G42" s="32" t="str">
        <f aca="false">CHOOSE(判定_限度額+1,"×","○","△","－")</f>
        <v>○</v>
      </c>
      <c r="H42" s="33" t="str">
        <f aca="false">判定_限度額_説明</f>
        <v>貸付限度額 1,740,000円以内です</v>
      </c>
    </row>
    <row r="43" customFormat="false" ht="27.75" hidden="false" customHeight="true" outlineLevel="0" collapsed="false">
      <c r="B43" s="34" t="str">
        <f aca="false">IF(計算過程!$A$189="","","□ "&amp;計算過程!$A$189)</f>
        <v/>
      </c>
      <c r="C43" s="34"/>
      <c r="D43" s="34"/>
      <c r="F43" s="10" t="s">
        <v>66</v>
      </c>
      <c r="G43" s="32" t="str">
        <f aca="false">CHOOSE(判定_償還回数+1,"×","○","△","－")</f>
        <v>○</v>
      </c>
      <c r="H43" s="33" t="str">
        <f aca="false">判定_償還回数_説明</f>
        <v>償還回数 60回(上限120回)</v>
      </c>
    </row>
    <row r="44" customFormat="false" ht="27.75" hidden="false" customHeight="true" outlineLevel="0" collapsed="false">
      <c r="B44" s="34" t="str">
        <f aca="false">IF(計算過程!$A$190="","","□ "&amp;計算過程!$A$190)</f>
        <v/>
      </c>
      <c r="C44" s="34"/>
      <c r="D44" s="34"/>
      <c r="F44" s="10" t="s">
        <v>126</v>
      </c>
      <c r="G44" s="32" t="str">
        <f aca="false">CHOOSE(判定_月額割合+1,"×","○","△","－")</f>
        <v>○</v>
      </c>
      <c r="H44" s="33" t="str">
        <f aca="false">判定_月額割合_説明</f>
        <v>毎月償還額÷給料月額 = 19.2%(30%以内)</v>
      </c>
    </row>
    <row r="45" customFormat="false" ht="27.75" hidden="false" customHeight="true" outlineLevel="0" collapsed="false">
      <c r="B45" s="34" t="str">
        <f aca="false">IF(計算過程!$A$191="","","□ "&amp;計算過程!$A$191)</f>
        <v/>
      </c>
      <c r="C45" s="34"/>
      <c r="D45" s="34"/>
      <c r="F45" s="10" t="s">
        <v>127</v>
      </c>
      <c r="G45" s="32" t="str">
        <f aca="false">CHOOSE(判定_年額割合+1,"×","○","△","－")</f>
        <v>○</v>
      </c>
      <c r="H45" s="33" t="str">
        <f aca="false">判定_年額割合_説明</f>
        <v>年間償還額÷年収額 = 14.4%(30%以内)</v>
      </c>
    </row>
    <row r="46" customFormat="false" ht="27.75" hidden="false" customHeight="true" outlineLevel="0" collapsed="false">
      <c r="B46" s="34" t="str">
        <f aca="false">IF(計算過程!$A$192="","","□ "&amp;計算過程!$A$192)</f>
        <v/>
      </c>
      <c r="C46" s="34"/>
      <c r="D46" s="34"/>
      <c r="F46" s="10" t="s">
        <v>128</v>
      </c>
      <c r="G46" s="32" t="str">
        <f aca="false">CHOOSE(判定_ボーナス併用+1,"×","○","△","－")</f>
        <v>－</v>
      </c>
      <c r="H46" s="33" t="str">
        <f aca="false">判定_ボーナス併用_説明</f>
        <v>ボーナス併用なし</v>
      </c>
    </row>
    <row r="47" customFormat="false" ht="27.75" hidden="false" customHeight="true" outlineLevel="0" collapsed="false">
      <c r="B47" s="34" t="str">
        <f aca="false">IF(計算過程!$A$193="","","□ "&amp;計算過程!$A$193)</f>
        <v/>
      </c>
      <c r="C47" s="34"/>
      <c r="D47" s="34"/>
      <c r="F47" s="10" t="s">
        <v>129</v>
      </c>
      <c r="G47" s="32" t="str">
        <f aca="false">CHOOSE(判定_住宅書類区分+1,"×","○","△","－")</f>
        <v>－</v>
      </c>
      <c r="H47" s="33" t="str">
        <f aca="false">判定_住宅書類区分_説明</f>
        <v>住宅書類の区分: 選択済み/対象外</v>
      </c>
    </row>
    <row r="48" customFormat="false" ht="27.75" hidden="false" customHeight="true" outlineLevel="0" collapsed="false">
      <c r="B48" s="34" t="str">
        <f aca="false">IF(計算過程!$A$194="","","□ "&amp;計算過程!$A$194)</f>
        <v/>
      </c>
      <c r="C48" s="34"/>
      <c r="D48" s="34"/>
      <c r="F48" s="10" t="s">
        <v>130</v>
      </c>
      <c r="G48" s="32" t="str">
        <f aca="false">CHOOSE(判定_在宅介護+1,"×","○","△","－")</f>
        <v>－</v>
      </c>
      <c r="H48" s="33" t="str">
        <f aca="false">判定_在宅介護_説明</f>
        <v>在宅介護対応の加算なし</v>
      </c>
    </row>
    <row r="49" customFormat="false" ht="27.75" hidden="false" customHeight="true" outlineLevel="0" collapsed="false">
      <c r="B49" s="34" t="str">
        <f aca="false">IF(計算過程!$A$195="","","□ "&amp;計算過程!$A$195)</f>
        <v/>
      </c>
      <c r="C49" s="34"/>
      <c r="D49" s="34"/>
    </row>
    <row r="50" customFormat="false" ht="27.75" hidden="false" customHeight="true" outlineLevel="0" collapsed="false">
      <c r="B50" s="34" t="str">
        <f aca="false">IF(計算過程!$A$196="","","□ "&amp;計算過程!$A$196)</f>
        <v/>
      </c>
      <c r="C50" s="34"/>
      <c r="D50" s="34"/>
      <c r="F50" s="9" t="s">
        <v>131</v>
      </c>
      <c r="G50" s="9"/>
      <c r="H50" s="9"/>
    </row>
    <row r="51" customFormat="false" ht="27.75" hidden="false" customHeight="true" outlineLevel="0" collapsed="false">
      <c r="F51" s="10" t="s">
        <v>132</v>
      </c>
      <c r="G51" s="35" t="n">
        <f aca="false">計算_申込締切日</f>
        <v>46331</v>
      </c>
      <c r="H51" s="18" t="s">
        <v>133</v>
      </c>
    </row>
    <row r="52" customFormat="false" ht="27.75" hidden="false" customHeight="true" outlineLevel="0" collapsed="false">
      <c r="B52" s="9" t="s">
        <v>134</v>
      </c>
      <c r="C52" s="9"/>
      <c r="D52" s="9"/>
      <c r="F52" s="10" t="s">
        <v>135</v>
      </c>
      <c r="G52" s="36" t="str">
        <f aca="false">IFERROR(INDEX(表_提出先,MATCH(入力_所属区分,表_所属区分,0)),"所属区分を選択してください")</f>
        <v>共済組合(庶務係)へ直接提出してください。</v>
      </c>
      <c r="H52" s="36"/>
    </row>
    <row r="53" customFormat="false" ht="27.75" hidden="false" customHeight="true" outlineLevel="0" collapsed="false">
      <c r="B53" s="34" t="str">
        <f aca="false">IF(計算過程!$A$209="","","□ "&amp;計算過程!$A$209)</f>
        <v>□ 完了届(自動車検査証(写)及び自動車検査証記録事項(写)を添付)</v>
      </c>
      <c r="C53" s="34"/>
      <c r="D53" s="34"/>
      <c r="F53" s="10" t="s">
        <v>136</v>
      </c>
      <c r="G53" s="36" t="str">
        <f aca="false">計算_決定目安</f>
        <v>締切日の同月10日頃</v>
      </c>
      <c r="H53" s="36"/>
    </row>
    <row r="54" customFormat="false" ht="27.75" hidden="false" customHeight="true" outlineLevel="0" collapsed="false">
      <c r="B54" s="34" t="str">
        <f aca="false">IF(計算過程!$A$210="","","□ "&amp;計算過程!$A$210)</f>
        <v/>
      </c>
      <c r="C54" s="34"/>
      <c r="D54" s="34"/>
      <c r="F54" s="10" t="s">
        <v>137</v>
      </c>
      <c r="G54" s="35" t="n">
        <f aca="false">計算_交付日</f>
        <v>46356</v>
      </c>
      <c r="H54" s="18" t="s">
        <v>138</v>
      </c>
    </row>
    <row r="55" customFormat="false" ht="27.75" hidden="false" customHeight="true" outlineLevel="0" collapsed="false">
      <c r="B55" s="34" t="str">
        <f aca="false">IF(計算過程!$A$211="","","□ "&amp;計算過程!$A$211)</f>
        <v/>
      </c>
      <c r="C55" s="34"/>
      <c r="D55" s="34"/>
      <c r="F55" s="10" t="s">
        <v>139</v>
      </c>
      <c r="G55" s="35" t="n">
        <f aca="false">計算_交付後期限</f>
        <v>46417</v>
      </c>
      <c r="H55" s="18" t="s">
        <v>140</v>
      </c>
    </row>
    <row r="56" customFormat="false" ht="27.75" hidden="false" customHeight="true" outlineLevel="0" collapsed="false">
      <c r="B56" s="34" t="str">
        <f aca="false">IF(計算過程!$A$212="","","□ "&amp;計算過程!$A$212)</f>
        <v/>
      </c>
      <c r="C56" s="34"/>
      <c r="D56" s="34"/>
    </row>
    <row r="57" customFormat="false" ht="27.75" hidden="false" customHeight="true" outlineLevel="0" collapsed="false">
      <c r="B57" s="34" t="str">
        <f aca="false">IF(計算過程!$A$213="","","□ "&amp;計算過程!$A$213)</f>
        <v/>
      </c>
      <c r="C57" s="34"/>
      <c r="D57" s="34"/>
      <c r="F57" s="9" t="s">
        <v>141</v>
      </c>
      <c r="G57" s="9"/>
      <c r="H57" s="9"/>
    </row>
    <row r="58" customFormat="false" ht="27.75" hidden="false" customHeight="true" outlineLevel="0" collapsed="false">
      <c r="B58" s="34" t="str">
        <f aca="false">IF(計算過程!$A$214="","","□ "&amp;計算過程!$A$214)</f>
        <v/>
      </c>
      <c r="C58" s="34"/>
      <c r="D58" s="34"/>
      <c r="F58" s="37" t="s">
        <v>142</v>
      </c>
      <c r="G58" s="37" t="s">
        <v>42</v>
      </c>
      <c r="H58" s="37" t="s">
        <v>143</v>
      </c>
    </row>
    <row r="59" customFormat="false" ht="27.75" hidden="false" customHeight="true" outlineLevel="0" collapsed="false">
      <c r="B59" s="34" t="str">
        <f aca="false">IF(計算過程!$A$215="","","□ "&amp;計算過程!$A$215)</f>
        <v/>
      </c>
      <c r="C59" s="34"/>
      <c r="D59" s="34"/>
      <c r="F59" s="10" t="str">
        <f aca="false">ROUND(計算_回数上限*1/6,0)&amp;"回("&amp;INT(ROUND(計算_回数上限*1/6,0)/定数_年月数)&amp;"年"&amp;MOD(ROUND(計算_回数上限*1/6,0),定数_年月数)&amp;"か月)"</f>
        <v>20回(1年8か月)</v>
      </c>
      <c r="G59" s="20" t="n">
        <f aca="false">IF(OR(計算_D上限&lt;=0,計算_限度額_合計&lt;=0),0,IF(ROUNDDOWN(MIN(計算_限度額_合計,PV(計算_利率/定数_年月数,ROUND(計算_回数上限*1/6,0),-計算_D上限))/計算_単位円,0)*計算_単位円&lt;計算_下限円,0,ROUNDDOWN(MIN(計算_限度額_合計,PV(計算_利率/定数_年月数,ROUND(計算_回数上限*1/6,0),-計算_D上限))/計算_単位円,0)*計算_単位円))</f>
        <v>1120000</v>
      </c>
      <c r="H59" s="38" t="str">
        <f aca="false">IF(G59&gt;0,"毎月 "&amp;TEXT(PMT(計算_利率/定数_年月数,ROUND(計算_回数上限*1/6,0),-G59),"#,##0")&amp;"円(給与控除・概算)","―")</f>
        <v>毎月 56,619円(給与控除・概算)</v>
      </c>
    </row>
    <row r="60" customFormat="false" ht="27.75" hidden="false" customHeight="true" outlineLevel="0" collapsed="false">
      <c r="B60" s="34" t="str">
        <f aca="false">IF(計算過程!$A$216="","","□ "&amp;計算過程!$A$216)</f>
        <v/>
      </c>
      <c r="C60" s="34"/>
      <c r="D60" s="34"/>
      <c r="F60" s="10" t="str">
        <f aca="false">ROUND(計算_回数上限*2/6,0)&amp;"回("&amp;INT(ROUND(計算_回数上限*2/6,0)/定数_年月数)&amp;"年"&amp;MOD(ROUND(計算_回数上限*2/6,0),定数_年月数)&amp;"か月)"</f>
        <v>40回(3年4か月)</v>
      </c>
      <c r="G60" s="20" t="n">
        <f aca="false">IF(OR(計算_D上限&lt;=0,計算_限度額_合計&lt;=0),0,IF(ROUNDDOWN(MIN(計算_限度額_合計,PV(計算_利率/定数_年月数,ROUND(計算_回数上限*2/6,0),-計算_D上限))/計算_単位円,0)*計算_単位円&lt;計算_下限円,0,ROUNDDOWN(MIN(計算_限度額_合計,PV(計算_利率/定数_年月数,ROUND(計算_回数上限*2/6,0),-計算_D上限))/計算_単位円,0)*計算_単位円))</f>
        <v>1740000</v>
      </c>
      <c r="H60" s="38" t="str">
        <f aca="false">IF(G60&gt;0,"毎月 "&amp;TEXT(PMT(計算_利率/定数_年月数,ROUND(計算_回数上限*2/6,0),-G60),"#,##0")&amp;"円(給与控除・概算)","―")</f>
        <v>毎月 44,443円(給与控除・概算)</v>
      </c>
    </row>
    <row r="61" customFormat="false" ht="15" hidden="false" customHeight="false" outlineLevel="0" collapsed="false">
      <c r="F61" s="10" t="str">
        <f aca="false">ROUND(計算_回数上限*3/6,0)&amp;"回("&amp;INT(ROUND(計算_回数上限*3/6,0)/定数_年月数)&amp;"年"&amp;MOD(ROUND(計算_回数上限*3/6,0),定数_年月数)&amp;"か月)"</f>
        <v>60回(5年0か月)</v>
      </c>
      <c r="G61" s="20" t="n">
        <f aca="false">IF(OR(計算_D上限&lt;=0,計算_限度額_合計&lt;=0),0,IF(ROUNDDOWN(MIN(計算_限度額_合計,PV(計算_利率/定数_年月数,ROUND(計算_回数上限*3/6,0),-計算_D上限))/計算_単位円,0)*計算_単位円&lt;計算_下限円,0,ROUNDDOWN(MIN(計算_限度額_合計,PV(計算_利率/定数_年月数,ROUND(計算_回数上限*3/6,0),-計算_D上限))/計算_単位円,0)*計算_単位円))</f>
        <v>1740000</v>
      </c>
      <c r="H61" s="38" t="str">
        <f aca="false">IF(G61&gt;0,"毎月 "&amp;TEXT(PMT(計算_利率/定数_年月数,ROUND(計算_回数上限*3/6,0),-G61),"#,##0")&amp;"円(給与控除・概算)","―")</f>
        <v>毎月 29,938円(給与控除・概算)</v>
      </c>
    </row>
    <row r="62" customFormat="false" ht="15" hidden="false" customHeight="false" outlineLevel="0" collapsed="false">
      <c r="F62" s="10" t="str">
        <f aca="false">ROUND(計算_回数上限*4/6,0)&amp;"回("&amp;INT(ROUND(計算_回数上限*4/6,0)/定数_年月数)&amp;"年"&amp;MOD(ROUND(計算_回数上限*4/6,0),定数_年月数)&amp;"か月)"</f>
        <v>80回(6年8か月)</v>
      </c>
      <c r="G62" s="20" t="n">
        <f aca="false">IF(OR(計算_D上限&lt;=0,計算_限度額_合計&lt;=0),0,IF(ROUNDDOWN(MIN(計算_限度額_合計,PV(計算_利率/定数_年月数,ROUND(計算_回数上限*4/6,0),-計算_D上限))/計算_単位円,0)*計算_単位円&lt;計算_下限円,0,ROUNDDOWN(MIN(計算_限度額_合計,PV(計算_利率/定数_年月数,ROUND(計算_回数上限*4/6,0),-計算_D上限))/計算_単位円,0)*計算_単位円))</f>
        <v>1740000</v>
      </c>
      <c r="H62" s="38" t="str">
        <f aca="false">IF(G62&gt;0,"毎月 "&amp;TEXT(PMT(計算_利率/定数_年月数,ROUND(計算_回数上限*4/6,0),-G62),"#,##0")&amp;"円(給与控除・概算)","―")</f>
        <v>毎月 22,688円(給与控除・概算)</v>
      </c>
    </row>
    <row r="63" customFormat="false" ht="15" hidden="false" customHeight="false" outlineLevel="0" collapsed="false">
      <c r="F63" s="10" t="str">
        <f aca="false">ROUND(計算_回数上限*5/6,0)&amp;"回("&amp;INT(ROUND(計算_回数上限*5/6,0)/定数_年月数)&amp;"年"&amp;MOD(ROUND(計算_回数上限*5/6,0),定数_年月数)&amp;"か月)"</f>
        <v>100回(8年4か月)</v>
      </c>
      <c r="G63" s="20" t="n">
        <f aca="false">IF(OR(計算_D上限&lt;=0,計算_限度額_合計&lt;=0),0,IF(ROUNDDOWN(MIN(計算_限度額_合計,PV(計算_利率/定数_年月数,ROUND(計算_回数上限*5/6,0),-計算_D上限))/計算_単位円,0)*計算_単位円&lt;計算_下限円,0,ROUNDDOWN(MIN(計算_限度額_合計,PV(計算_利率/定数_年月数,ROUND(計算_回数上限*5/6,0),-計算_D上限))/計算_単位円,0)*計算_単位円))</f>
        <v>1740000</v>
      </c>
      <c r="H63" s="38" t="str">
        <f aca="false">IF(G63&gt;0,"毎月 "&amp;TEXT(PMT(計算_利率/定数_年月数,ROUND(計算_回数上限*5/6,0),-G63),"#,##0")&amp;"円(給与控除・概算)","―")</f>
        <v>毎月 18,339円(給与控除・概算)</v>
      </c>
    </row>
    <row r="64" customFormat="false" ht="15" hidden="false" customHeight="false" outlineLevel="0" collapsed="false">
      <c r="F64" s="10" t="str">
        <f aca="false">ROUND(計算_回数上限*6/6,0)&amp;"回("&amp;INT(ROUND(計算_回数上限*6/6,0)/定数_年月数)&amp;"年"&amp;MOD(ROUND(計算_回数上限*6/6,0),定数_年月数)&amp;"か月)"</f>
        <v>120回(10年0か月)</v>
      </c>
      <c r="G64" s="20" t="n">
        <f aca="false">IF(OR(計算_D上限&lt;=0,計算_限度額_合計&lt;=0),0,IF(ROUNDDOWN(MIN(計算_限度額_合計,PV(計算_利率/定数_年月数,ROUND(計算_回数上限*6/6,0),-計算_D上限))/計算_単位円,0)*計算_単位円&lt;計算_下限円,0,ROUNDDOWN(MIN(計算_限度額_合計,PV(計算_利率/定数_年月数,ROUND(計算_回数上限*6/6,0),-計算_D上限))/計算_単位円,0)*計算_単位円))</f>
        <v>1740000</v>
      </c>
      <c r="H64" s="38" t="str">
        <f aca="false">IF(G64&gt;0,"毎月 "&amp;TEXT(PMT(計算_利率/定数_年月数,ROUND(計算_回数上限*6/6,0),-G64),"#,##0")&amp;"円(給与控除・概算)","―")</f>
        <v>毎月 15,440円(給与控除・概算)</v>
      </c>
    </row>
    <row r="65" customFormat="false" ht="25.5" hidden="false" customHeight="true" outlineLevel="0" collapsed="false">
      <c r="F65" s="39" t="s">
        <v>144</v>
      </c>
      <c r="G65" s="39"/>
      <c r="H65" s="39"/>
    </row>
  </sheetData>
  <mergeCells count="37">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F57:H57"/>
    <mergeCell ref="B58:D58"/>
    <mergeCell ref="B59:D59"/>
    <mergeCell ref="B60:D60"/>
    <mergeCell ref="F65:H65"/>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1</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1</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1</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pageSetUpPr fitToPage="false"/>
  </sheetPr>
  <dimension ref="B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145</v>
      </c>
    </row>
    <row r="2" customFormat="false" ht="15" hidden="false" customHeight="false" outlineLevel="0" collapsed="false">
      <c r="B2" s="40" t="s">
        <v>146</v>
      </c>
    </row>
    <row r="4" customFormat="false" ht="15" hidden="false" customHeight="false" outlineLevel="0" collapsed="false">
      <c r="B4" s="10" t="s">
        <v>147</v>
      </c>
      <c r="C4" s="11" t="s">
        <v>148</v>
      </c>
      <c r="D4" s="8" t="s">
        <v>149</v>
      </c>
    </row>
    <row r="5" customFormat="false" ht="15" hidden="false" customHeight="false" outlineLevel="0" collapsed="false">
      <c r="B5" s="10" t="s">
        <v>150</v>
      </c>
      <c r="C5" s="11" t="s">
        <v>151</v>
      </c>
      <c r="D5" s="8"/>
    </row>
    <row r="6" customFormat="false" ht="15" hidden="false" customHeight="false" outlineLevel="0" collapsed="false">
      <c r="B6" s="10" t="s">
        <v>152</v>
      </c>
      <c r="C6" s="41" t="s">
        <v>153</v>
      </c>
      <c r="D6" s="8" t="s">
        <v>154</v>
      </c>
    </row>
    <row r="7" customFormat="false" ht="15" hidden="false" customHeight="false" outlineLevel="0" collapsed="false">
      <c r="B7" s="10" t="s">
        <v>155</v>
      </c>
      <c r="C7" s="42" t="n">
        <v>32964</v>
      </c>
      <c r="D7" s="8" t="s">
        <v>156</v>
      </c>
    </row>
    <row r="8" customFormat="false" ht="15" hidden="false" customHeight="false" outlineLevel="0" collapsed="false">
      <c r="B8" s="10" t="s">
        <v>157</v>
      </c>
      <c r="C8" s="41" t="s">
        <v>158</v>
      </c>
      <c r="D8" s="8"/>
    </row>
    <row r="9" customFormat="false" ht="15" hidden="false" customHeight="false" outlineLevel="0" collapsed="false">
      <c r="B9" s="10" t="s">
        <v>159</v>
      </c>
      <c r="C9" s="41" t="s">
        <v>160</v>
      </c>
      <c r="D9" s="8"/>
    </row>
    <row r="10" customFormat="false" ht="15" hidden="false" customHeight="false" outlineLevel="0" collapsed="false">
      <c r="B10" s="10" t="s">
        <v>161</v>
      </c>
      <c r="C10" s="11" t="s">
        <v>162</v>
      </c>
      <c r="D10" s="8" t="s">
        <v>163</v>
      </c>
    </row>
    <row r="11" customFormat="false" ht="15" hidden="false" customHeight="false" outlineLevel="0" collapsed="false">
      <c r="B11" s="10" t="s">
        <v>164</v>
      </c>
      <c r="C11" s="11" t="s">
        <v>165</v>
      </c>
      <c r="D11" s="8" t="s">
        <v>166</v>
      </c>
    </row>
    <row r="12" customFormat="false" ht="15" hidden="false" customHeight="false" outlineLevel="0" collapsed="false">
      <c r="B12" s="10" t="s">
        <v>167</v>
      </c>
      <c r="C12" s="41" t="s">
        <v>153</v>
      </c>
      <c r="D12" s="8" t="s">
        <v>168</v>
      </c>
    </row>
    <row r="14" customFormat="false" ht="15" hidden="false" customHeight="false" outlineLevel="0" collapsed="false">
      <c r="B14" s="8" t="s">
        <v>169</v>
      </c>
    </row>
    <row r="16" customFormat="false" ht="15" hidden="false" customHeight="false" outlineLevel="0" collapsed="false">
      <c r="B16" s="13" t="s">
        <v>170</v>
      </c>
      <c r="C16" s="37" t="s">
        <v>171</v>
      </c>
      <c r="D16" s="37" t="s">
        <v>172</v>
      </c>
    </row>
    <row r="17" customFormat="false" ht="15" hidden="false" customHeight="false" outlineLevel="0" collapsed="false">
      <c r="B17" s="43" t="s">
        <v>173</v>
      </c>
      <c r="C17" s="44"/>
      <c r="D17" s="44"/>
    </row>
    <row r="18" customFormat="false" ht="15" hidden="false" customHeight="false" outlineLevel="0" collapsed="false">
      <c r="B18" s="43" t="s">
        <v>174</v>
      </c>
      <c r="C18" s="44"/>
      <c r="D18" s="44"/>
    </row>
    <row r="19" customFormat="false" ht="15" hidden="false" customHeight="false" outlineLevel="0" collapsed="false">
      <c r="B19" s="43" t="s">
        <v>175</v>
      </c>
      <c r="C19" s="44" t="s">
        <v>176</v>
      </c>
      <c r="D19" s="44"/>
    </row>
    <row r="20" customFormat="false" ht="15" hidden="false" customHeight="false" outlineLevel="0" collapsed="false">
      <c r="B20" s="43" t="s">
        <v>177</v>
      </c>
      <c r="C20" s="44"/>
      <c r="D20" s="44"/>
    </row>
    <row r="21" customFormat="false" ht="15" hidden="false" customHeight="false" outlineLevel="0" collapsed="false">
      <c r="B21" s="43" t="s">
        <v>178</v>
      </c>
      <c r="C21" s="45" t="str">
        <f aca="false">IF(AND(COUNTIF(C17:C20,"○")=0,入力_共済既貸付有無&lt;&gt;"有"),"○","")</f>
        <v/>
      </c>
      <c r="D21" s="45" t="str">
        <f aca="false">IF(COUNTIF(D17:D20,"○")=0,"○","")</f>
        <v>○</v>
      </c>
    </row>
    <row r="22" customFormat="false" ht="15" hidden="false" customHeight="false" outlineLevel="0" collapsed="false">
      <c r="B22" s="8" t="s">
        <v>179</v>
      </c>
    </row>
  </sheetData>
  <dataValidations count="1">
    <dataValidation allowBlank="true" error="「○」を選ぶか、空欄にしてください。" errorStyle="stop" errorTitle="貸付の選択" operator="between" prompt="該当する場合は「○」を選びます。該当しない場合は空欄にします。" promptTitle="貸付の選択" showDropDown="false" showErrorMessage="true" showInputMessage="true" sqref="C17:D20" type="list">
      <formula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46" width="2.22"/>
  </cols>
  <sheetData>
    <row r="1" customFormat="false" ht="15.75" hidden="false" customHeight="true" outlineLevel="0" collapsed="false">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8"/>
      <c r="AJ1" s="48"/>
      <c r="AK1" s="48"/>
      <c r="AL1" s="48"/>
      <c r="AM1" s="48"/>
      <c r="AN1" s="48"/>
      <c r="AO1" s="49" t="s">
        <v>180</v>
      </c>
    </row>
    <row r="2" customFormat="false" ht="24" hidden="false" customHeight="true" outlineLevel="0" collapsed="false">
      <c r="A2" s="50" t="s">
        <v>5</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customFormat="false" ht="15" hidden="false" customHeight="true" outlineLevel="0" collapsed="false">
      <c r="A3" s="51" t="s">
        <v>181</v>
      </c>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row>
    <row r="4" customFormat="false" ht="14.25" hidden="false" customHeight="true" outlineLevel="0" collapsed="false">
      <c r="A4" s="53" t="s">
        <v>182</v>
      </c>
      <c r="B4" s="54"/>
      <c r="C4" s="55"/>
      <c r="D4" s="55"/>
      <c r="E4" s="55"/>
      <c r="F4" s="55"/>
      <c r="G4" s="55"/>
      <c r="H4" s="55"/>
      <c r="I4" s="55"/>
      <c r="J4" s="55"/>
      <c r="K4" s="55"/>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6"/>
    </row>
    <row r="5" customFormat="false" ht="5.25" hidden="false" customHeight="true" outlineLevel="0" collapsed="false">
      <c r="A5" s="57"/>
      <c r="B5" s="58"/>
      <c r="C5" s="59"/>
      <c r="D5" s="59"/>
      <c r="E5" s="59"/>
      <c r="F5" s="59"/>
      <c r="G5" s="59"/>
      <c r="H5" s="59"/>
      <c r="I5" s="59"/>
      <c r="J5" s="59"/>
      <c r="K5" s="59"/>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60"/>
    </row>
    <row r="6" s="62" customFormat="true" ht="25.5" hidden="false" customHeight="true" outlineLevel="0" collapsed="false">
      <c r="A6" s="61" t="s">
        <v>183</v>
      </c>
      <c r="B6" s="61"/>
      <c r="C6" s="61"/>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row>
    <row r="7" s="62" customFormat="true" ht="15" hidden="false" customHeight="true" outlineLevel="0" collapsed="false">
      <c r="A7" s="63" t="s">
        <v>184</v>
      </c>
      <c r="B7" s="63"/>
      <c r="C7" s="63"/>
      <c r="D7" s="63"/>
      <c r="E7" s="63"/>
      <c r="F7" s="63"/>
      <c r="G7" s="63"/>
      <c r="H7" s="63"/>
      <c r="I7" s="64" t="s">
        <v>62</v>
      </c>
      <c r="J7" s="64"/>
      <c r="K7" s="64"/>
      <c r="L7" s="65" t="s">
        <v>185</v>
      </c>
      <c r="M7" s="65"/>
      <c r="N7" s="65"/>
      <c r="O7" s="65"/>
      <c r="P7" s="65"/>
      <c r="Q7" s="65"/>
      <c r="R7" s="65"/>
      <c r="S7" s="64" t="s">
        <v>62</v>
      </c>
      <c r="T7" s="64"/>
      <c r="U7" s="64"/>
      <c r="V7" s="65" t="s">
        <v>186</v>
      </c>
      <c r="W7" s="65"/>
      <c r="X7" s="65"/>
      <c r="Y7" s="65"/>
      <c r="Z7" s="65"/>
      <c r="AA7" s="65"/>
      <c r="AB7" s="65"/>
      <c r="AC7" s="64" t="s">
        <v>62</v>
      </c>
      <c r="AD7" s="64"/>
      <c r="AE7" s="64"/>
      <c r="AF7" s="65" t="s">
        <v>187</v>
      </c>
      <c r="AG7" s="65"/>
      <c r="AH7" s="65"/>
      <c r="AI7" s="65"/>
      <c r="AJ7" s="65"/>
      <c r="AK7" s="65"/>
      <c r="AL7" s="65"/>
      <c r="AM7" s="66" t="s">
        <v>62</v>
      </c>
      <c r="AN7" s="66"/>
      <c r="AO7" s="66"/>
    </row>
    <row r="8" s="62" customFormat="true" ht="15" hidden="false" customHeight="true" outlineLevel="0" collapsed="false">
      <c r="A8" s="67" t="s">
        <v>188</v>
      </c>
      <c r="B8" s="67"/>
      <c r="C8" s="67"/>
      <c r="D8" s="67"/>
      <c r="E8" s="67"/>
      <c r="F8" s="67"/>
      <c r="G8" s="67"/>
      <c r="H8" s="67"/>
      <c r="I8" s="68" t="s">
        <v>62</v>
      </c>
      <c r="J8" s="68"/>
      <c r="K8" s="68"/>
      <c r="L8" s="69" t="s">
        <v>189</v>
      </c>
      <c r="M8" s="69"/>
      <c r="N8" s="69"/>
      <c r="O8" s="69"/>
      <c r="P8" s="69"/>
      <c r="Q8" s="69"/>
      <c r="R8" s="69"/>
      <c r="S8" s="68" t="s">
        <v>62</v>
      </c>
      <c r="T8" s="68"/>
      <c r="U8" s="68"/>
      <c r="V8" s="69" t="s">
        <v>190</v>
      </c>
      <c r="W8" s="69"/>
      <c r="X8" s="69"/>
      <c r="Y8" s="69"/>
      <c r="Z8" s="69"/>
      <c r="AA8" s="69"/>
      <c r="AB8" s="69"/>
      <c r="AC8" s="68" t="s">
        <v>62</v>
      </c>
      <c r="AD8" s="68"/>
      <c r="AE8" s="68"/>
      <c r="AF8" s="69" t="s">
        <v>191</v>
      </c>
      <c r="AG8" s="69"/>
      <c r="AH8" s="69"/>
      <c r="AI8" s="69"/>
      <c r="AJ8" s="69"/>
      <c r="AK8" s="69"/>
      <c r="AL8" s="69"/>
      <c r="AM8" s="70" t="s">
        <v>62</v>
      </c>
      <c r="AN8" s="70"/>
      <c r="AO8" s="70"/>
    </row>
    <row r="9" s="62" customFormat="true" ht="15" hidden="false" customHeight="true" outlineLevel="0" collapsed="false">
      <c r="A9" s="71" t="s">
        <v>192</v>
      </c>
      <c r="B9" s="71"/>
      <c r="C9" s="71"/>
      <c r="D9" s="71"/>
      <c r="E9" s="71"/>
      <c r="F9" s="71"/>
      <c r="G9" s="71"/>
      <c r="H9" s="71"/>
      <c r="I9" s="72" t="s">
        <v>62</v>
      </c>
      <c r="J9" s="72"/>
      <c r="K9" s="72"/>
      <c r="L9" s="73" t="s">
        <v>193</v>
      </c>
      <c r="M9" s="73"/>
      <c r="N9" s="73"/>
      <c r="O9" s="73"/>
      <c r="P9" s="73"/>
      <c r="Q9" s="73"/>
      <c r="R9" s="73"/>
      <c r="S9" s="72" t="s">
        <v>62</v>
      </c>
      <c r="T9" s="72"/>
      <c r="U9" s="72"/>
      <c r="V9" s="74" t="s">
        <v>194</v>
      </c>
      <c r="W9" s="74"/>
      <c r="X9" s="74"/>
      <c r="Y9" s="74"/>
      <c r="Z9" s="74"/>
      <c r="AA9" s="74"/>
      <c r="AB9" s="74"/>
      <c r="AC9" s="72" t="s">
        <v>62</v>
      </c>
      <c r="AD9" s="72"/>
      <c r="AE9" s="72"/>
      <c r="AF9" s="75"/>
      <c r="AG9" s="75"/>
      <c r="AH9" s="75"/>
      <c r="AI9" s="75"/>
      <c r="AJ9" s="75"/>
      <c r="AK9" s="75"/>
      <c r="AL9" s="75"/>
      <c r="AM9" s="75"/>
      <c r="AN9" s="75"/>
      <c r="AO9" s="75"/>
    </row>
    <row r="10" s="62" customFormat="true" ht="5.25" hidden="false" customHeight="true" outlineLevel="0" collapsed="false">
      <c r="A10" s="76"/>
      <c r="B10" s="77"/>
      <c r="C10" s="77"/>
      <c r="D10" s="77"/>
      <c r="E10" s="77"/>
      <c r="F10" s="77"/>
      <c r="G10" s="77"/>
      <c r="H10" s="77"/>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9"/>
    </row>
    <row r="11" s="62" customFormat="true" ht="15" hidden="false" customHeight="true" outlineLevel="0" collapsed="false">
      <c r="A11" s="80" t="s">
        <v>195</v>
      </c>
      <c r="B11" s="81"/>
      <c r="C11" s="81"/>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2"/>
    </row>
    <row r="12" customFormat="false" ht="12" hidden="false" customHeight="true" outlineLevel="0" collapsed="false">
      <c r="A12" s="83" t="s">
        <v>196</v>
      </c>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4"/>
    </row>
    <row r="13" customFormat="false" ht="12" hidden="false" customHeight="true" outlineLevel="0" collapsed="false">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4"/>
    </row>
    <row r="14" customFormat="false" ht="12" hidden="false" customHeight="true" outlineLevel="0" collapsed="false">
      <c r="A14" s="85" t="s">
        <v>197</v>
      </c>
      <c r="B14" s="85"/>
      <c r="C14" s="85"/>
      <c r="D14" s="85"/>
      <c r="E14" s="86" t="s">
        <v>198</v>
      </c>
      <c r="F14" s="86"/>
      <c r="G14" s="86"/>
      <c r="H14" s="86"/>
      <c r="I14" s="86"/>
      <c r="J14" s="86"/>
      <c r="K14" s="86"/>
      <c r="L14" s="86"/>
      <c r="M14" s="86"/>
      <c r="N14" s="86"/>
      <c r="O14" s="86"/>
      <c r="P14" s="86"/>
      <c r="Q14" s="86"/>
      <c r="R14" s="86"/>
      <c r="S14" s="86"/>
      <c r="T14" s="86"/>
      <c r="U14" s="86"/>
      <c r="V14" s="86"/>
      <c r="W14" s="86"/>
      <c r="X14" s="86"/>
      <c r="Y14" s="86"/>
      <c r="Z14" s="87" t="s">
        <v>199</v>
      </c>
      <c r="AA14" s="87"/>
      <c r="AB14" s="87"/>
      <c r="AC14" s="87"/>
      <c r="AD14" s="87"/>
      <c r="AE14" s="87"/>
      <c r="AF14" s="87"/>
      <c r="AG14" s="87"/>
      <c r="AH14" s="87"/>
      <c r="AI14" s="87"/>
      <c r="AJ14" s="87"/>
      <c r="AK14" s="87"/>
      <c r="AL14" s="87"/>
      <c r="AM14" s="87"/>
      <c r="AN14" s="87"/>
      <c r="AO14" s="87"/>
    </row>
    <row r="15" customFormat="false" ht="12" hidden="false" customHeight="true" outlineLevel="0" collapsed="false">
      <c r="A15" s="85"/>
      <c r="B15" s="85"/>
      <c r="C15" s="85"/>
      <c r="D15" s="85"/>
      <c r="E15" s="88" t="s">
        <v>200</v>
      </c>
      <c r="F15" s="88"/>
      <c r="G15" s="88"/>
      <c r="H15" s="89" t="s">
        <v>201</v>
      </c>
      <c r="I15" s="89"/>
      <c r="J15" s="89"/>
      <c r="K15" s="89"/>
      <c r="L15" s="89" t="s">
        <v>202</v>
      </c>
      <c r="M15" s="89"/>
      <c r="N15" s="89"/>
      <c r="O15" s="89"/>
      <c r="P15" s="89" t="s">
        <v>203</v>
      </c>
      <c r="Q15" s="89"/>
      <c r="R15" s="89"/>
      <c r="S15" s="89"/>
      <c r="T15" s="89"/>
      <c r="U15" s="90" t="s">
        <v>204</v>
      </c>
      <c r="V15" s="90"/>
      <c r="W15" s="90"/>
      <c r="X15" s="90"/>
      <c r="Y15" s="90"/>
      <c r="Z15" s="91" t="s">
        <v>205</v>
      </c>
      <c r="AA15" s="91"/>
      <c r="AB15" s="91"/>
      <c r="AC15" s="89" t="s">
        <v>201</v>
      </c>
      <c r="AD15" s="89"/>
      <c r="AE15" s="89"/>
      <c r="AF15" s="89"/>
      <c r="AG15" s="89" t="s">
        <v>203</v>
      </c>
      <c r="AH15" s="89"/>
      <c r="AI15" s="89"/>
      <c r="AJ15" s="89"/>
      <c r="AK15" s="89"/>
      <c r="AL15" s="92" t="s">
        <v>206</v>
      </c>
      <c r="AM15" s="92"/>
      <c r="AN15" s="92"/>
      <c r="AO15" s="92"/>
    </row>
    <row r="16" customFormat="false" ht="12" hidden="false" customHeight="true" outlineLevel="0" collapsed="false">
      <c r="A16" s="85"/>
      <c r="B16" s="85"/>
      <c r="C16" s="85"/>
      <c r="D16" s="85"/>
      <c r="E16" s="88"/>
      <c r="F16" s="88"/>
      <c r="G16" s="88"/>
      <c r="H16" s="89"/>
      <c r="I16" s="89"/>
      <c r="J16" s="89"/>
      <c r="K16" s="89"/>
      <c r="L16" s="89"/>
      <c r="M16" s="89"/>
      <c r="N16" s="89"/>
      <c r="O16" s="89"/>
      <c r="P16" s="89"/>
      <c r="Q16" s="89"/>
      <c r="R16" s="89"/>
      <c r="S16" s="89"/>
      <c r="T16" s="89"/>
      <c r="U16" s="90"/>
      <c r="V16" s="90"/>
      <c r="W16" s="90"/>
      <c r="X16" s="90"/>
      <c r="Y16" s="90"/>
      <c r="Z16" s="91"/>
      <c r="AA16" s="91"/>
      <c r="AB16" s="91"/>
      <c r="AC16" s="89"/>
      <c r="AD16" s="89"/>
      <c r="AE16" s="89"/>
      <c r="AF16" s="89"/>
      <c r="AG16" s="89"/>
      <c r="AH16" s="89"/>
      <c r="AI16" s="89"/>
      <c r="AJ16" s="89"/>
      <c r="AK16" s="89"/>
      <c r="AL16" s="92"/>
      <c r="AM16" s="92"/>
      <c r="AN16" s="92"/>
      <c r="AO16" s="92"/>
    </row>
    <row r="17" customFormat="false" ht="9.75" hidden="false" customHeight="true" outlineLevel="0" collapsed="false">
      <c r="A17" s="93" t="s">
        <v>207</v>
      </c>
      <c r="B17" s="93"/>
      <c r="C17" s="93"/>
      <c r="D17" s="93"/>
      <c r="E17" s="94" t="n">
        <v>45383</v>
      </c>
      <c r="F17" s="94"/>
      <c r="G17" s="94"/>
      <c r="H17" s="95" t="n">
        <v>300</v>
      </c>
      <c r="I17" s="95"/>
      <c r="J17" s="95"/>
      <c r="K17" s="95"/>
      <c r="L17" s="95" t="n">
        <v>1200000</v>
      </c>
      <c r="M17" s="95"/>
      <c r="N17" s="95"/>
      <c r="O17" s="95"/>
      <c r="P17" s="95" t="n">
        <v>18000</v>
      </c>
      <c r="Q17" s="95"/>
      <c r="R17" s="95"/>
      <c r="S17" s="95"/>
      <c r="T17" s="95"/>
      <c r="U17" s="96" t="n">
        <v>0</v>
      </c>
      <c r="V17" s="96"/>
      <c r="W17" s="96"/>
      <c r="X17" s="96"/>
      <c r="Y17" s="96"/>
      <c r="Z17" s="97"/>
      <c r="AA17" s="97"/>
      <c r="AB17" s="97"/>
      <c r="AC17" s="95"/>
      <c r="AD17" s="95"/>
      <c r="AE17" s="95"/>
      <c r="AF17" s="95"/>
      <c r="AG17" s="95"/>
      <c r="AH17" s="95"/>
      <c r="AI17" s="95"/>
      <c r="AJ17" s="95"/>
      <c r="AK17" s="95"/>
      <c r="AL17" s="98"/>
      <c r="AM17" s="98"/>
      <c r="AN17" s="98"/>
      <c r="AO17" s="98"/>
    </row>
    <row r="18" customFormat="false" ht="9.75" hidden="false" customHeight="true" outlineLevel="0" collapsed="false">
      <c r="A18" s="93"/>
      <c r="B18" s="93"/>
      <c r="C18" s="93"/>
      <c r="D18" s="93"/>
      <c r="E18" s="94"/>
      <c r="F18" s="94"/>
      <c r="G18" s="94"/>
      <c r="H18" s="95"/>
      <c r="I18" s="95"/>
      <c r="J18" s="95"/>
      <c r="K18" s="95"/>
      <c r="L18" s="95"/>
      <c r="M18" s="95"/>
      <c r="N18" s="95"/>
      <c r="O18" s="95"/>
      <c r="P18" s="95"/>
      <c r="Q18" s="95"/>
      <c r="R18" s="95"/>
      <c r="S18" s="95"/>
      <c r="T18" s="95"/>
      <c r="U18" s="96"/>
      <c r="V18" s="96"/>
      <c r="W18" s="96"/>
      <c r="X18" s="96"/>
      <c r="Y18" s="96"/>
      <c r="Z18" s="97"/>
      <c r="AA18" s="97"/>
      <c r="AB18" s="97"/>
      <c r="AC18" s="95"/>
      <c r="AD18" s="95"/>
      <c r="AE18" s="95"/>
      <c r="AF18" s="95"/>
      <c r="AG18" s="95"/>
      <c r="AH18" s="95"/>
      <c r="AI18" s="95"/>
      <c r="AJ18" s="95"/>
      <c r="AK18" s="95"/>
      <c r="AL18" s="98"/>
      <c r="AM18" s="98"/>
      <c r="AN18" s="98"/>
      <c r="AO18" s="98"/>
    </row>
    <row r="19" customFormat="false" ht="9.75" hidden="false" customHeight="true" outlineLevel="0" collapsed="false">
      <c r="A19" s="93"/>
      <c r="B19" s="93"/>
      <c r="C19" s="93"/>
      <c r="D19" s="93"/>
      <c r="E19" s="94"/>
      <c r="F19" s="94"/>
      <c r="G19" s="94"/>
      <c r="H19" s="95"/>
      <c r="I19" s="95"/>
      <c r="J19" s="95"/>
      <c r="K19" s="95"/>
      <c r="L19" s="95"/>
      <c r="M19" s="95"/>
      <c r="N19" s="95"/>
      <c r="O19" s="95"/>
      <c r="P19" s="95"/>
      <c r="Q19" s="95"/>
      <c r="R19" s="95"/>
      <c r="S19" s="95"/>
      <c r="T19" s="95"/>
      <c r="U19" s="96"/>
      <c r="V19" s="96"/>
      <c r="W19" s="96"/>
      <c r="X19" s="96"/>
      <c r="Y19" s="96"/>
      <c r="Z19" s="97"/>
      <c r="AA19" s="97"/>
      <c r="AB19" s="97"/>
      <c r="AC19" s="95"/>
      <c r="AD19" s="95"/>
      <c r="AE19" s="95"/>
      <c r="AF19" s="95"/>
      <c r="AG19" s="95"/>
      <c r="AH19" s="95"/>
      <c r="AI19" s="95"/>
      <c r="AJ19" s="95"/>
      <c r="AK19" s="95"/>
      <c r="AL19" s="98"/>
      <c r="AM19" s="98"/>
      <c r="AN19" s="98"/>
      <c r="AO19" s="98"/>
    </row>
    <row r="20" customFormat="false" ht="9.75" hidden="false" customHeight="true" outlineLevel="0" collapsed="false">
      <c r="A20" s="93"/>
      <c r="B20" s="93"/>
      <c r="C20" s="93"/>
      <c r="D20" s="93"/>
      <c r="E20" s="94"/>
      <c r="F20" s="94"/>
      <c r="G20" s="94"/>
      <c r="H20" s="95"/>
      <c r="I20" s="95"/>
      <c r="J20" s="95"/>
      <c r="K20" s="95"/>
      <c r="L20" s="95"/>
      <c r="M20" s="95"/>
      <c r="N20" s="95"/>
      <c r="O20" s="95"/>
      <c r="P20" s="95"/>
      <c r="Q20" s="95"/>
      <c r="R20" s="95"/>
      <c r="S20" s="95"/>
      <c r="T20" s="95"/>
      <c r="U20" s="96"/>
      <c r="V20" s="96"/>
      <c r="W20" s="96"/>
      <c r="X20" s="96"/>
      <c r="Y20" s="96"/>
      <c r="Z20" s="97"/>
      <c r="AA20" s="97"/>
      <c r="AB20" s="97"/>
      <c r="AC20" s="95"/>
      <c r="AD20" s="95"/>
      <c r="AE20" s="95"/>
      <c r="AF20" s="95"/>
      <c r="AG20" s="95"/>
      <c r="AH20" s="95"/>
      <c r="AI20" s="95"/>
      <c r="AJ20" s="95"/>
      <c r="AK20" s="95"/>
      <c r="AL20" s="98"/>
      <c r="AM20" s="98"/>
      <c r="AN20" s="98"/>
      <c r="AO20" s="98"/>
    </row>
    <row r="21" customFormat="false" ht="9.75" hidden="false" customHeight="true" outlineLevel="0" collapsed="false">
      <c r="A21" s="99"/>
      <c r="B21" s="99"/>
      <c r="C21" s="99"/>
      <c r="D21" s="99"/>
      <c r="E21" s="94"/>
      <c r="F21" s="94"/>
      <c r="G21" s="94"/>
      <c r="H21" s="95"/>
      <c r="I21" s="95"/>
      <c r="J21" s="95"/>
      <c r="K21" s="95"/>
      <c r="L21" s="95"/>
      <c r="M21" s="95"/>
      <c r="N21" s="95"/>
      <c r="O21" s="95"/>
      <c r="P21" s="95"/>
      <c r="Q21" s="95"/>
      <c r="R21" s="95"/>
      <c r="S21" s="95"/>
      <c r="T21" s="95"/>
      <c r="U21" s="96"/>
      <c r="V21" s="96"/>
      <c r="W21" s="96"/>
      <c r="X21" s="96"/>
      <c r="Y21" s="96"/>
      <c r="Z21" s="97"/>
      <c r="AA21" s="97"/>
      <c r="AB21" s="97"/>
      <c r="AC21" s="95"/>
      <c r="AD21" s="95"/>
      <c r="AE21" s="95"/>
      <c r="AF21" s="95"/>
      <c r="AG21" s="95"/>
      <c r="AH21" s="95"/>
      <c r="AI21" s="95"/>
      <c r="AJ21" s="95"/>
      <c r="AK21" s="95"/>
      <c r="AL21" s="98"/>
      <c r="AM21" s="98"/>
      <c r="AN21" s="98"/>
      <c r="AO21" s="98"/>
    </row>
    <row r="22" customFormat="false" ht="9.75" hidden="false" customHeight="true" outlineLevel="0" collapsed="false">
      <c r="A22" s="99"/>
      <c r="B22" s="99"/>
      <c r="C22" s="99"/>
      <c r="D22" s="99"/>
      <c r="E22" s="94"/>
      <c r="F22" s="94"/>
      <c r="G22" s="94"/>
      <c r="H22" s="95"/>
      <c r="I22" s="95"/>
      <c r="J22" s="95"/>
      <c r="K22" s="95"/>
      <c r="L22" s="95"/>
      <c r="M22" s="95"/>
      <c r="N22" s="95"/>
      <c r="O22" s="95"/>
      <c r="P22" s="95"/>
      <c r="Q22" s="95"/>
      <c r="R22" s="95"/>
      <c r="S22" s="95"/>
      <c r="T22" s="95"/>
      <c r="U22" s="96"/>
      <c r="V22" s="96"/>
      <c r="W22" s="96"/>
      <c r="X22" s="96"/>
      <c r="Y22" s="96"/>
      <c r="Z22" s="97"/>
      <c r="AA22" s="97"/>
      <c r="AB22" s="97"/>
      <c r="AC22" s="95"/>
      <c r="AD22" s="95"/>
      <c r="AE22" s="95"/>
      <c r="AF22" s="95"/>
      <c r="AG22" s="95"/>
      <c r="AH22" s="95"/>
      <c r="AI22" s="95"/>
      <c r="AJ22" s="95"/>
      <c r="AK22" s="95"/>
      <c r="AL22" s="98"/>
      <c r="AM22" s="98"/>
      <c r="AN22" s="98"/>
      <c r="AO22" s="98"/>
    </row>
    <row r="23" customFormat="false" ht="9.75" hidden="false" customHeight="true" outlineLevel="0" collapsed="false">
      <c r="A23" s="93"/>
      <c r="B23" s="93"/>
      <c r="C23" s="93"/>
      <c r="D23" s="93"/>
      <c r="E23" s="94"/>
      <c r="F23" s="94"/>
      <c r="G23" s="94"/>
      <c r="H23" s="95"/>
      <c r="I23" s="95"/>
      <c r="J23" s="95"/>
      <c r="K23" s="95"/>
      <c r="L23" s="95"/>
      <c r="M23" s="95"/>
      <c r="N23" s="95"/>
      <c r="O23" s="95"/>
      <c r="P23" s="95"/>
      <c r="Q23" s="95"/>
      <c r="R23" s="95"/>
      <c r="S23" s="95"/>
      <c r="T23" s="95"/>
      <c r="U23" s="96"/>
      <c r="V23" s="96"/>
      <c r="W23" s="96"/>
      <c r="X23" s="96"/>
      <c r="Y23" s="96"/>
      <c r="Z23" s="97"/>
      <c r="AA23" s="97"/>
      <c r="AB23" s="97"/>
      <c r="AC23" s="95"/>
      <c r="AD23" s="95"/>
      <c r="AE23" s="95"/>
      <c r="AF23" s="95"/>
      <c r="AG23" s="95"/>
      <c r="AH23" s="95"/>
      <c r="AI23" s="95"/>
      <c r="AJ23" s="95"/>
      <c r="AK23" s="95"/>
      <c r="AL23" s="98"/>
      <c r="AM23" s="98"/>
      <c r="AN23" s="98"/>
      <c r="AO23" s="98"/>
    </row>
    <row r="24" customFormat="false" ht="9.75" hidden="false" customHeight="true" outlineLevel="0" collapsed="false">
      <c r="A24" s="93"/>
      <c r="B24" s="93"/>
      <c r="C24" s="93"/>
      <c r="D24" s="93"/>
      <c r="E24" s="94"/>
      <c r="F24" s="94"/>
      <c r="G24" s="94"/>
      <c r="H24" s="95"/>
      <c r="I24" s="95"/>
      <c r="J24" s="95"/>
      <c r="K24" s="95"/>
      <c r="L24" s="95"/>
      <c r="M24" s="95"/>
      <c r="N24" s="95"/>
      <c r="O24" s="95"/>
      <c r="P24" s="95"/>
      <c r="Q24" s="95"/>
      <c r="R24" s="95"/>
      <c r="S24" s="95"/>
      <c r="T24" s="95"/>
      <c r="U24" s="96"/>
      <c r="V24" s="96"/>
      <c r="W24" s="96"/>
      <c r="X24" s="96"/>
      <c r="Y24" s="96"/>
      <c r="Z24" s="97"/>
      <c r="AA24" s="97"/>
      <c r="AB24" s="97"/>
      <c r="AC24" s="95"/>
      <c r="AD24" s="95"/>
      <c r="AE24" s="95"/>
      <c r="AF24" s="95"/>
      <c r="AG24" s="95"/>
      <c r="AH24" s="95"/>
      <c r="AI24" s="95"/>
      <c r="AJ24" s="95"/>
      <c r="AK24" s="95"/>
      <c r="AL24" s="98"/>
      <c r="AM24" s="98"/>
      <c r="AN24" s="98"/>
      <c r="AO24" s="98"/>
    </row>
    <row r="25" customFormat="false" ht="9.75" hidden="false" customHeight="true" outlineLevel="0" collapsed="false">
      <c r="A25" s="99"/>
      <c r="B25" s="99"/>
      <c r="C25" s="99"/>
      <c r="D25" s="99"/>
      <c r="E25" s="94"/>
      <c r="F25" s="94"/>
      <c r="G25" s="94"/>
      <c r="H25" s="95"/>
      <c r="I25" s="95"/>
      <c r="J25" s="95"/>
      <c r="K25" s="95"/>
      <c r="L25" s="95"/>
      <c r="M25" s="95"/>
      <c r="N25" s="95"/>
      <c r="O25" s="95"/>
      <c r="P25" s="95"/>
      <c r="Q25" s="95"/>
      <c r="R25" s="95"/>
      <c r="S25" s="95"/>
      <c r="T25" s="95"/>
      <c r="U25" s="96"/>
      <c r="V25" s="96"/>
      <c r="W25" s="96"/>
      <c r="X25" s="96"/>
      <c r="Y25" s="96"/>
      <c r="Z25" s="97"/>
      <c r="AA25" s="97"/>
      <c r="AB25" s="97"/>
      <c r="AC25" s="95"/>
      <c r="AD25" s="95"/>
      <c r="AE25" s="95"/>
      <c r="AF25" s="95"/>
      <c r="AG25" s="95"/>
      <c r="AH25" s="95"/>
      <c r="AI25" s="95"/>
      <c r="AJ25" s="95"/>
      <c r="AK25" s="95"/>
      <c r="AL25" s="98"/>
      <c r="AM25" s="98"/>
      <c r="AN25" s="98"/>
      <c r="AO25" s="98"/>
    </row>
    <row r="26" customFormat="false" ht="9.75" hidden="false" customHeight="true" outlineLevel="0" collapsed="false">
      <c r="A26" s="99"/>
      <c r="B26" s="99"/>
      <c r="C26" s="99"/>
      <c r="D26" s="99"/>
      <c r="E26" s="94"/>
      <c r="F26" s="94"/>
      <c r="G26" s="94"/>
      <c r="H26" s="95"/>
      <c r="I26" s="95"/>
      <c r="J26" s="95"/>
      <c r="K26" s="95"/>
      <c r="L26" s="95"/>
      <c r="M26" s="95"/>
      <c r="N26" s="95"/>
      <c r="O26" s="95"/>
      <c r="P26" s="95"/>
      <c r="Q26" s="95"/>
      <c r="R26" s="95"/>
      <c r="S26" s="95"/>
      <c r="T26" s="95"/>
      <c r="U26" s="96"/>
      <c r="V26" s="96"/>
      <c r="W26" s="96"/>
      <c r="X26" s="96"/>
      <c r="Y26" s="96"/>
      <c r="Z26" s="97"/>
      <c r="AA26" s="97"/>
      <c r="AB26" s="97"/>
      <c r="AC26" s="95"/>
      <c r="AD26" s="95"/>
      <c r="AE26" s="95"/>
      <c r="AF26" s="95"/>
      <c r="AG26" s="95"/>
      <c r="AH26" s="95"/>
      <c r="AI26" s="95"/>
      <c r="AJ26" s="95"/>
      <c r="AK26" s="95"/>
      <c r="AL26" s="98"/>
      <c r="AM26" s="98"/>
      <c r="AN26" s="98"/>
      <c r="AO26" s="98"/>
    </row>
    <row r="27" customFormat="false" ht="9.75" hidden="false" customHeight="true" outlineLevel="0" collapsed="false">
      <c r="A27" s="100"/>
      <c r="B27" s="100"/>
      <c r="C27" s="100"/>
      <c r="D27" s="100"/>
      <c r="E27" s="94"/>
      <c r="F27" s="94"/>
      <c r="G27" s="94"/>
      <c r="H27" s="95"/>
      <c r="I27" s="95"/>
      <c r="J27" s="95"/>
      <c r="K27" s="95"/>
      <c r="L27" s="95"/>
      <c r="M27" s="95"/>
      <c r="N27" s="95"/>
      <c r="O27" s="95"/>
      <c r="P27" s="95"/>
      <c r="Q27" s="95"/>
      <c r="R27" s="95"/>
      <c r="S27" s="95"/>
      <c r="T27" s="95"/>
      <c r="U27" s="96"/>
      <c r="V27" s="96"/>
      <c r="W27" s="96"/>
      <c r="X27" s="96"/>
      <c r="Y27" s="96"/>
      <c r="Z27" s="97"/>
      <c r="AA27" s="97"/>
      <c r="AB27" s="97"/>
      <c r="AC27" s="95"/>
      <c r="AD27" s="95"/>
      <c r="AE27" s="95"/>
      <c r="AF27" s="95"/>
      <c r="AG27" s="95"/>
      <c r="AH27" s="95"/>
      <c r="AI27" s="95"/>
      <c r="AJ27" s="95"/>
      <c r="AK27" s="95"/>
      <c r="AL27" s="98"/>
      <c r="AM27" s="98"/>
      <c r="AN27" s="98"/>
      <c r="AO27" s="98"/>
    </row>
    <row r="28" customFormat="false" ht="9.75" hidden="false" customHeight="true" outlineLevel="0" collapsed="false">
      <c r="A28" s="100"/>
      <c r="B28" s="100"/>
      <c r="C28" s="100"/>
      <c r="D28" s="100"/>
      <c r="E28" s="94"/>
      <c r="F28" s="94"/>
      <c r="G28" s="94"/>
      <c r="H28" s="95"/>
      <c r="I28" s="95"/>
      <c r="J28" s="95"/>
      <c r="K28" s="95"/>
      <c r="L28" s="95"/>
      <c r="M28" s="95"/>
      <c r="N28" s="95"/>
      <c r="O28" s="95"/>
      <c r="P28" s="95"/>
      <c r="Q28" s="95"/>
      <c r="R28" s="95"/>
      <c r="S28" s="95"/>
      <c r="T28" s="95"/>
      <c r="U28" s="96"/>
      <c r="V28" s="96"/>
      <c r="W28" s="96"/>
      <c r="X28" s="96"/>
      <c r="Y28" s="96"/>
      <c r="Z28" s="97"/>
      <c r="AA28" s="97"/>
      <c r="AB28" s="97"/>
      <c r="AC28" s="95"/>
      <c r="AD28" s="95"/>
      <c r="AE28" s="95"/>
      <c r="AF28" s="95"/>
      <c r="AG28" s="95"/>
      <c r="AH28" s="95"/>
      <c r="AI28" s="95"/>
      <c r="AJ28" s="95"/>
      <c r="AK28" s="95"/>
      <c r="AL28" s="98"/>
      <c r="AM28" s="98"/>
      <c r="AN28" s="98"/>
      <c r="AO28" s="98"/>
    </row>
    <row r="29" customFormat="false" ht="9.75" hidden="false" customHeight="true" outlineLevel="0" collapsed="false">
      <c r="A29" s="99"/>
      <c r="B29" s="99"/>
      <c r="C29" s="99"/>
      <c r="D29" s="99"/>
      <c r="E29" s="94"/>
      <c r="F29" s="94"/>
      <c r="G29" s="94"/>
      <c r="H29" s="95"/>
      <c r="I29" s="95"/>
      <c r="J29" s="95"/>
      <c r="K29" s="95"/>
      <c r="L29" s="95"/>
      <c r="M29" s="95"/>
      <c r="N29" s="95"/>
      <c r="O29" s="95"/>
      <c r="P29" s="95"/>
      <c r="Q29" s="95"/>
      <c r="R29" s="95"/>
      <c r="S29" s="95"/>
      <c r="T29" s="95"/>
      <c r="U29" s="96"/>
      <c r="V29" s="96"/>
      <c r="W29" s="96"/>
      <c r="X29" s="96"/>
      <c r="Y29" s="96"/>
      <c r="Z29" s="97"/>
      <c r="AA29" s="97"/>
      <c r="AB29" s="97"/>
      <c r="AC29" s="95"/>
      <c r="AD29" s="95"/>
      <c r="AE29" s="95"/>
      <c r="AF29" s="95"/>
      <c r="AG29" s="95"/>
      <c r="AH29" s="95"/>
      <c r="AI29" s="95"/>
      <c r="AJ29" s="95"/>
      <c r="AK29" s="95"/>
      <c r="AL29" s="98"/>
      <c r="AM29" s="98"/>
      <c r="AN29" s="98"/>
      <c r="AO29" s="98"/>
    </row>
    <row r="30" customFormat="false" ht="9.75" hidden="false" customHeight="true" outlineLevel="0" collapsed="false">
      <c r="A30" s="99"/>
      <c r="B30" s="99"/>
      <c r="C30" s="99"/>
      <c r="D30" s="99"/>
      <c r="E30" s="94"/>
      <c r="F30" s="94"/>
      <c r="G30" s="94"/>
      <c r="H30" s="95"/>
      <c r="I30" s="95"/>
      <c r="J30" s="95"/>
      <c r="K30" s="95"/>
      <c r="L30" s="95"/>
      <c r="M30" s="95"/>
      <c r="N30" s="95"/>
      <c r="O30" s="95"/>
      <c r="P30" s="95"/>
      <c r="Q30" s="95"/>
      <c r="R30" s="95"/>
      <c r="S30" s="95"/>
      <c r="T30" s="95"/>
      <c r="U30" s="96"/>
      <c r="V30" s="96"/>
      <c r="W30" s="96"/>
      <c r="X30" s="96"/>
      <c r="Y30" s="96"/>
      <c r="Z30" s="97"/>
      <c r="AA30" s="97"/>
      <c r="AB30" s="97"/>
      <c r="AC30" s="95"/>
      <c r="AD30" s="95"/>
      <c r="AE30" s="95"/>
      <c r="AF30" s="95"/>
      <c r="AG30" s="95"/>
      <c r="AH30" s="95"/>
      <c r="AI30" s="95"/>
      <c r="AJ30" s="95"/>
      <c r="AK30" s="95"/>
      <c r="AL30" s="98"/>
      <c r="AM30" s="98"/>
      <c r="AN30" s="98"/>
      <c r="AO30" s="98"/>
    </row>
    <row r="31" customFormat="false" ht="9.75" hidden="false" customHeight="true" outlineLevel="0" collapsed="false">
      <c r="A31" s="101"/>
      <c r="B31" s="101"/>
      <c r="C31" s="101"/>
      <c r="D31" s="101"/>
      <c r="E31" s="102"/>
      <c r="F31" s="102"/>
      <c r="G31" s="102"/>
      <c r="H31" s="103"/>
      <c r="I31" s="103"/>
      <c r="J31" s="103"/>
      <c r="K31" s="103"/>
      <c r="L31" s="103"/>
      <c r="M31" s="103"/>
      <c r="N31" s="103"/>
      <c r="O31" s="103"/>
      <c r="P31" s="95"/>
      <c r="Q31" s="95"/>
      <c r="R31" s="95"/>
      <c r="S31" s="95"/>
      <c r="T31" s="95"/>
      <c r="U31" s="96"/>
      <c r="V31" s="96"/>
      <c r="W31" s="96"/>
      <c r="X31" s="96"/>
      <c r="Y31" s="96"/>
      <c r="Z31" s="104"/>
      <c r="AA31" s="104"/>
      <c r="AB31" s="104"/>
      <c r="AC31" s="103"/>
      <c r="AD31" s="103"/>
      <c r="AE31" s="103"/>
      <c r="AF31" s="103"/>
      <c r="AG31" s="95"/>
      <c r="AH31" s="95"/>
      <c r="AI31" s="95"/>
      <c r="AJ31" s="95"/>
      <c r="AK31" s="95"/>
      <c r="AL31" s="105"/>
      <c r="AM31" s="105"/>
      <c r="AN31" s="105"/>
      <c r="AO31" s="105"/>
    </row>
    <row r="32" customFormat="false" ht="9.75" hidden="false" customHeight="true" outlineLevel="0" collapsed="false">
      <c r="A32" s="101"/>
      <c r="B32" s="101"/>
      <c r="C32" s="101"/>
      <c r="D32" s="101"/>
      <c r="E32" s="102"/>
      <c r="F32" s="102"/>
      <c r="G32" s="102"/>
      <c r="H32" s="103"/>
      <c r="I32" s="103"/>
      <c r="J32" s="103"/>
      <c r="K32" s="103"/>
      <c r="L32" s="103"/>
      <c r="M32" s="103"/>
      <c r="N32" s="103"/>
      <c r="O32" s="103"/>
      <c r="P32" s="95"/>
      <c r="Q32" s="95"/>
      <c r="R32" s="95"/>
      <c r="S32" s="95"/>
      <c r="T32" s="95"/>
      <c r="U32" s="96"/>
      <c r="V32" s="96"/>
      <c r="W32" s="96"/>
      <c r="X32" s="96"/>
      <c r="Y32" s="96"/>
      <c r="Z32" s="104"/>
      <c r="AA32" s="104"/>
      <c r="AB32" s="104"/>
      <c r="AC32" s="103"/>
      <c r="AD32" s="103"/>
      <c r="AE32" s="103"/>
      <c r="AF32" s="103"/>
      <c r="AG32" s="95"/>
      <c r="AH32" s="95"/>
      <c r="AI32" s="95"/>
      <c r="AJ32" s="95"/>
      <c r="AK32" s="95"/>
      <c r="AL32" s="105"/>
      <c r="AM32" s="105"/>
      <c r="AN32" s="105"/>
      <c r="AO32" s="105"/>
    </row>
    <row r="33" customFormat="false" ht="9.75" hidden="false" customHeight="true" outlineLevel="0" collapsed="false">
      <c r="A33" s="106" t="s">
        <v>208</v>
      </c>
      <c r="B33" s="106"/>
      <c r="C33" s="106"/>
      <c r="D33" s="106"/>
      <c r="E33" s="106"/>
      <c r="F33" s="106"/>
      <c r="G33" s="106"/>
      <c r="H33" s="106"/>
      <c r="I33" s="106"/>
      <c r="J33" s="106"/>
      <c r="K33" s="106"/>
      <c r="L33" s="106"/>
      <c r="M33" s="106"/>
      <c r="N33" s="106"/>
      <c r="O33" s="106"/>
      <c r="P33" s="107" t="n">
        <f aca="false">SUM(P17:P32)</f>
        <v>18000</v>
      </c>
      <c r="Q33" s="107"/>
      <c r="R33" s="107"/>
      <c r="S33" s="107"/>
      <c r="T33" s="107"/>
      <c r="U33" s="108" t="n">
        <f aca="false">SUM(U17:U32)</f>
        <v>0</v>
      </c>
      <c r="V33" s="108"/>
      <c r="W33" s="108"/>
      <c r="X33" s="108"/>
      <c r="Y33" s="108"/>
      <c r="Z33" s="109" t="s">
        <v>209</v>
      </c>
      <c r="AA33" s="109"/>
      <c r="AB33" s="109"/>
      <c r="AC33" s="109"/>
      <c r="AD33" s="109"/>
      <c r="AE33" s="109"/>
      <c r="AF33" s="109"/>
      <c r="AG33" s="110" t="n">
        <f aca="false">SUM(AG17:AG32)</f>
        <v>0</v>
      </c>
      <c r="AH33" s="110"/>
      <c r="AI33" s="110"/>
      <c r="AJ33" s="110"/>
      <c r="AK33" s="110"/>
      <c r="AL33" s="111" t="n">
        <f aca="false">SUM(AL17:AL32)</f>
        <v>0</v>
      </c>
      <c r="AM33" s="111"/>
      <c r="AN33" s="111"/>
      <c r="AO33" s="111"/>
    </row>
    <row r="34" customFormat="false" ht="9.75" hidden="false" customHeight="true" outlineLevel="0" collapsed="false">
      <c r="A34" s="106"/>
      <c r="B34" s="106"/>
      <c r="C34" s="106"/>
      <c r="D34" s="106"/>
      <c r="E34" s="106"/>
      <c r="F34" s="106"/>
      <c r="G34" s="106"/>
      <c r="H34" s="106"/>
      <c r="I34" s="106"/>
      <c r="J34" s="106"/>
      <c r="K34" s="106"/>
      <c r="L34" s="106"/>
      <c r="M34" s="106"/>
      <c r="N34" s="106"/>
      <c r="O34" s="106"/>
      <c r="P34" s="107"/>
      <c r="Q34" s="107"/>
      <c r="R34" s="107"/>
      <c r="S34" s="107"/>
      <c r="T34" s="107"/>
      <c r="U34" s="108"/>
      <c r="V34" s="108"/>
      <c r="W34" s="108"/>
      <c r="X34" s="108"/>
      <c r="Y34" s="108"/>
      <c r="Z34" s="109"/>
      <c r="AA34" s="109"/>
      <c r="AB34" s="109"/>
      <c r="AC34" s="109"/>
      <c r="AD34" s="109"/>
      <c r="AE34" s="109"/>
      <c r="AF34" s="109"/>
      <c r="AG34" s="110"/>
      <c r="AH34" s="110"/>
      <c r="AI34" s="110"/>
      <c r="AJ34" s="110"/>
      <c r="AK34" s="110"/>
      <c r="AL34" s="111"/>
      <c r="AM34" s="111"/>
      <c r="AN34" s="111"/>
      <c r="AO34" s="111"/>
    </row>
    <row r="35" s="62" customFormat="true" ht="5.25" hidden="false" customHeight="true" outlineLevel="0" collapsed="false">
      <c r="A35" s="112"/>
      <c r="B35" s="113"/>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4"/>
    </row>
    <row r="36" customFormat="false" ht="12" hidden="false" customHeight="true" outlineLevel="0" collapsed="false">
      <c r="A36" s="115" t="s">
        <v>210</v>
      </c>
      <c r="B36" s="116"/>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8"/>
      <c r="AA36" s="118"/>
      <c r="AB36" s="118"/>
      <c r="AC36" s="118"/>
      <c r="AD36" s="118"/>
      <c r="AE36" s="58"/>
      <c r="AF36" s="58"/>
      <c r="AG36" s="58"/>
      <c r="AH36" s="58"/>
      <c r="AI36" s="58"/>
      <c r="AJ36" s="58"/>
      <c r="AK36" s="58"/>
      <c r="AL36" s="58"/>
      <c r="AM36" s="58"/>
      <c r="AN36" s="58"/>
      <c r="AO36" s="60"/>
      <c r="AP36" s="58"/>
    </row>
    <row r="37" customFormat="false" ht="12" hidden="false" customHeight="true" outlineLevel="0" collapsed="false">
      <c r="A37" s="115"/>
      <c r="B37" s="116"/>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8"/>
      <c r="AA37" s="118"/>
      <c r="AB37" s="118"/>
      <c r="AC37" s="118"/>
      <c r="AD37" s="118"/>
      <c r="AE37" s="58"/>
      <c r="AF37" s="58"/>
      <c r="AG37" s="58"/>
      <c r="AH37" s="58"/>
      <c r="AI37" s="58"/>
      <c r="AJ37" s="58"/>
      <c r="AK37" s="58"/>
      <c r="AL37" s="58"/>
      <c r="AM37" s="58"/>
      <c r="AN37" s="58"/>
      <c r="AO37" s="60"/>
      <c r="AP37" s="58"/>
    </row>
    <row r="38" customFormat="false" ht="12" hidden="false" customHeight="true" outlineLevel="0" collapsed="false">
      <c r="A38" s="115" t="s">
        <v>211</v>
      </c>
      <c r="B38" s="116"/>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8"/>
      <c r="AA38" s="118"/>
      <c r="AB38" s="118"/>
      <c r="AC38" s="118"/>
      <c r="AD38" s="118"/>
      <c r="AE38" s="58"/>
      <c r="AF38" s="58"/>
      <c r="AG38" s="58"/>
      <c r="AH38" s="58"/>
      <c r="AI38" s="58"/>
      <c r="AJ38" s="58"/>
      <c r="AK38" s="58"/>
      <c r="AL38" s="58"/>
      <c r="AM38" s="58"/>
      <c r="AN38" s="58"/>
      <c r="AO38" s="60"/>
      <c r="AP38" s="58"/>
    </row>
    <row r="39" customFormat="false" ht="12" hidden="false" customHeight="true" outlineLevel="0" collapsed="false">
      <c r="A39" s="115" t="s">
        <v>212</v>
      </c>
      <c r="B39" s="116"/>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8"/>
      <c r="AA39" s="118"/>
      <c r="AB39" s="118"/>
      <c r="AC39" s="118"/>
      <c r="AD39" s="118"/>
      <c r="AE39" s="58"/>
      <c r="AF39" s="58"/>
      <c r="AG39" s="58"/>
      <c r="AH39" s="58"/>
      <c r="AI39" s="58"/>
      <c r="AJ39" s="58"/>
      <c r="AK39" s="58"/>
      <c r="AL39" s="58"/>
      <c r="AM39" s="58"/>
      <c r="AN39" s="58"/>
      <c r="AO39" s="60"/>
      <c r="AP39" s="58"/>
    </row>
    <row r="40" customFormat="false" ht="12" hidden="false" customHeight="true" outlineLevel="0" collapsed="false">
      <c r="A40" s="115"/>
      <c r="B40" s="116"/>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8"/>
      <c r="AA40" s="118"/>
      <c r="AB40" s="118"/>
      <c r="AC40" s="118"/>
      <c r="AD40" s="118"/>
      <c r="AE40" s="58"/>
      <c r="AF40" s="58"/>
      <c r="AG40" s="58"/>
      <c r="AH40" s="58"/>
      <c r="AI40" s="58"/>
      <c r="AJ40" s="58"/>
      <c r="AK40" s="58"/>
      <c r="AL40" s="58"/>
      <c r="AM40" s="58"/>
      <c r="AN40" s="58"/>
      <c r="AO40" s="60"/>
      <c r="AP40" s="58"/>
    </row>
    <row r="41" customFormat="false" ht="12" hidden="false" customHeight="true" outlineLevel="0" collapsed="false">
      <c r="A41" s="115"/>
      <c r="B41" s="116"/>
      <c r="C41" s="119" t="str">
        <f aca="false">IF(入力_申込予定日="","　　年　　月　　日","令和"&amp;(YEAR(入力_申込予定日)-2018)&amp;"年"&amp;MONTH(入力_申込予定日)&amp;"月"&amp;DAY(入力_申込予定日)&amp;"日")</f>
        <v>令和8年11月2日</v>
      </c>
      <c r="D41" s="116"/>
      <c r="E41" s="120"/>
      <c r="F41" s="120"/>
      <c r="G41" s="120"/>
      <c r="H41" s="120"/>
      <c r="I41" s="120"/>
      <c r="J41" s="120"/>
      <c r="K41" s="120"/>
      <c r="L41" s="120"/>
      <c r="M41" s="120"/>
      <c r="N41" s="120"/>
      <c r="O41" s="120"/>
      <c r="P41" s="120"/>
      <c r="Q41" s="120"/>
      <c r="R41" s="120"/>
      <c r="S41" s="120"/>
      <c r="T41" s="120"/>
      <c r="U41" s="120"/>
      <c r="V41" s="120"/>
      <c r="W41" s="120"/>
      <c r="X41" s="120"/>
      <c r="Y41" s="58"/>
      <c r="Z41" s="58"/>
      <c r="AA41" s="58"/>
      <c r="AB41" s="58"/>
      <c r="AC41" s="58"/>
      <c r="AD41" s="58"/>
      <c r="AE41" s="58"/>
      <c r="AF41" s="58"/>
      <c r="AG41" s="58"/>
      <c r="AH41" s="58"/>
      <c r="AI41" s="58"/>
      <c r="AJ41" s="58"/>
      <c r="AK41" s="58"/>
      <c r="AL41" s="58"/>
      <c r="AM41" s="58"/>
      <c r="AN41" s="58"/>
      <c r="AO41" s="60"/>
    </row>
    <row r="42" customFormat="false" ht="12" hidden="false" customHeight="true" outlineLevel="0" collapsed="false">
      <c r="A42" s="115"/>
      <c r="B42" s="120"/>
      <c r="C42" s="120"/>
      <c r="D42" s="120"/>
      <c r="E42" s="120"/>
      <c r="F42" s="120"/>
      <c r="G42" s="120"/>
      <c r="H42" s="120"/>
      <c r="I42" s="120"/>
      <c r="J42" s="120"/>
      <c r="K42" s="120"/>
      <c r="L42" s="120"/>
      <c r="M42" s="120"/>
      <c r="N42" s="120"/>
      <c r="O42" s="120"/>
      <c r="P42" s="120"/>
      <c r="Q42" s="120"/>
      <c r="R42" s="120"/>
      <c r="S42" s="120"/>
      <c r="T42" s="120"/>
      <c r="U42" s="120"/>
      <c r="V42" s="120"/>
      <c r="W42" s="120"/>
      <c r="X42" s="120"/>
      <c r="Y42" s="58"/>
      <c r="Z42" s="58"/>
      <c r="AA42" s="58"/>
      <c r="AB42" s="58"/>
      <c r="AC42" s="58"/>
      <c r="AD42" s="58"/>
      <c r="AE42" s="58"/>
      <c r="AF42" s="58"/>
      <c r="AG42" s="58"/>
      <c r="AH42" s="58"/>
      <c r="AI42" s="58"/>
      <c r="AJ42" s="58"/>
      <c r="AK42" s="58"/>
      <c r="AL42" s="58"/>
      <c r="AM42" s="58"/>
      <c r="AN42" s="58"/>
      <c r="AO42" s="60"/>
    </row>
    <row r="43" customFormat="false" ht="12" hidden="false" customHeight="true" outlineLevel="0" collapsed="false">
      <c r="A43" s="115"/>
      <c r="B43" s="120"/>
      <c r="C43" s="120"/>
      <c r="D43" s="121" t="s">
        <v>213</v>
      </c>
      <c r="E43" s="121"/>
      <c r="F43" s="121"/>
      <c r="G43" s="121"/>
      <c r="H43" s="121"/>
      <c r="I43" s="121"/>
      <c r="J43" s="121"/>
      <c r="K43" s="121"/>
      <c r="L43" s="121"/>
      <c r="M43" s="121"/>
      <c r="N43" s="121"/>
      <c r="O43" s="121"/>
      <c r="P43" s="121"/>
      <c r="Q43" s="121"/>
      <c r="R43" s="121"/>
      <c r="S43" s="121"/>
      <c r="T43" s="121"/>
      <c r="U43" s="121"/>
      <c r="V43" s="121"/>
      <c r="W43" s="121"/>
      <c r="X43" s="121"/>
      <c r="Y43" s="58"/>
      <c r="Z43" s="58"/>
      <c r="AA43" s="58"/>
      <c r="AB43" s="58"/>
      <c r="AC43" s="58"/>
      <c r="AD43" s="58"/>
      <c r="AE43" s="58"/>
      <c r="AF43" s="58"/>
      <c r="AG43" s="58"/>
      <c r="AH43" s="58"/>
      <c r="AI43" s="58"/>
      <c r="AJ43" s="58"/>
      <c r="AK43" s="58"/>
      <c r="AL43" s="58"/>
      <c r="AM43" s="58"/>
      <c r="AN43" s="58"/>
      <c r="AO43" s="60"/>
    </row>
    <row r="44" customFormat="false" ht="14.25" hidden="false" customHeight="true" outlineLevel="0" collapsed="false">
      <c r="A44" s="122"/>
      <c r="B44" s="58"/>
      <c r="C44" s="58"/>
      <c r="D44" s="58"/>
      <c r="E44" s="58"/>
      <c r="F44" s="58"/>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123" t="s">
        <v>214</v>
      </c>
      <c r="AN44" s="123"/>
      <c r="AO44" s="123"/>
    </row>
    <row r="45" customFormat="false" ht="12" hidden="false" customHeight="true" outlineLevel="0" collapsed="false">
      <c r="A45" s="122"/>
      <c r="B45" s="58"/>
      <c r="C45" s="58"/>
      <c r="D45" s="58"/>
      <c r="E45" s="58"/>
      <c r="F45" s="58"/>
      <c r="G45" s="58"/>
      <c r="H45" s="58"/>
      <c r="I45" s="58"/>
      <c r="J45" s="58"/>
      <c r="K45" s="58"/>
      <c r="L45" s="58"/>
      <c r="M45" s="58"/>
      <c r="N45" s="58"/>
      <c r="O45" s="58"/>
      <c r="P45" s="58"/>
      <c r="Q45" s="58"/>
      <c r="R45" s="58"/>
      <c r="S45" s="124" t="str">
        <f aca="false">"申込人氏名　"&amp;IF(入力_氏名="","",入力_氏名)</f>
        <v>申込人氏名　広島 太郎</v>
      </c>
      <c r="T45" s="124"/>
      <c r="U45" s="124"/>
      <c r="V45" s="124"/>
      <c r="W45" s="124"/>
      <c r="X45" s="124"/>
      <c r="Y45" s="124"/>
      <c r="Z45" s="124"/>
      <c r="AA45" s="124"/>
      <c r="AB45" s="124"/>
      <c r="AC45" s="124"/>
      <c r="AD45" s="124"/>
      <c r="AE45" s="124"/>
      <c r="AF45" s="124"/>
      <c r="AG45" s="124"/>
      <c r="AH45" s="124"/>
      <c r="AI45" s="124"/>
      <c r="AJ45" s="124"/>
      <c r="AK45" s="124"/>
      <c r="AL45" s="124"/>
      <c r="AM45" s="123"/>
      <c r="AN45" s="123"/>
      <c r="AO45" s="123"/>
    </row>
    <row r="46" customFormat="false" ht="12" hidden="false" customHeight="true" outlineLevel="0" collapsed="false">
      <c r="A46" s="125"/>
      <c r="B46" s="126"/>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6"/>
      <c r="AN46" s="126"/>
      <c r="AO46" s="127"/>
    </row>
    <row r="47" s="62" customFormat="true" ht="5.25" hidden="false" customHeight="true" outlineLevel="0" collapsed="false">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row>
    <row r="48" s="62" customFormat="true" ht="15.75" hidden="false" customHeight="true" outlineLevel="0" collapsed="false">
      <c r="A48" s="128" t="s">
        <v>215</v>
      </c>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row>
    <row r="49" s="62" customFormat="true" ht="15" hidden="false" customHeight="true" outlineLevel="0" collapsed="false">
      <c r="A49" s="129" t="s">
        <v>216</v>
      </c>
      <c r="B49" s="129"/>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129"/>
      <c r="AB49" s="129"/>
      <c r="AC49" s="130"/>
      <c r="AD49" s="130"/>
      <c r="AE49" s="130"/>
      <c r="AF49" s="113"/>
      <c r="AG49" s="113"/>
      <c r="AH49" s="113"/>
      <c r="AI49" s="113"/>
      <c r="AJ49" s="113"/>
      <c r="AK49" s="113"/>
      <c r="AL49" s="113"/>
      <c r="AM49" s="113"/>
    </row>
    <row r="50" s="62" customFormat="true" ht="15" hidden="false" customHeight="true" outlineLevel="0" collapsed="false">
      <c r="A50" s="129" t="s">
        <v>198</v>
      </c>
      <c r="B50" s="129"/>
      <c r="C50" s="129"/>
      <c r="D50" s="129"/>
      <c r="E50" s="129"/>
      <c r="F50" s="129"/>
      <c r="G50" s="129"/>
      <c r="H50" s="129"/>
      <c r="I50" s="129"/>
      <c r="J50" s="129"/>
      <c r="K50" s="129"/>
      <c r="L50" s="129"/>
      <c r="M50" s="129"/>
      <c r="N50" s="129"/>
      <c r="O50" s="131" t="s">
        <v>199</v>
      </c>
      <c r="P50" s="131"/>
      <c r="Q50" s="131"/>
      <c r="R50" s="131"/>
      <c r="S50" s="131"/>
      <c r="T50" s="131"/>
      <c r="U50" s="131"/>
      <c r="V50" s="131"/>
      <c r="W50" s="131"/>
      <c r="X50" s="131"/>
      <c r="Y50" s="131"/>
      <c r="Z50" s="131"/>
      <c r="AA50" s="131"/>
      <c r="AB50" s="131"/>
      <c r="AC50" s="130"/>
      <c r="AD50" s="130"/>
      <c r="AE50" s="130"/>
      <c r="AF50" s="113"/>
      <c r="AG50" s="113"/>
      <c r="AH50" s="113"/>
      <c r="AI50" s="113"/>
      <c r="AJ50" s="113"/>
      <c r="AK50" s="113"/>
      <c r="AL50" s="113"/>
      <c r="AM50" s="113"/>
    </row>
    <row r="51" s="62" customFormat="true" ht="9.75" hidden="false" customHeight="true" outlineLevel="0" collapsed="false">
      <c r="A51" s="132" t="s">
        <v>203</v>
      </c>
      <c r="B51" s="132"/>
      <c r="C51" s="132"/>
      <c r="D51" s="132"/>
      <c r="E51" s="132"/>
      <c r="F51" s="132"/>
      <c r="G51" s="132"/>
      <c r="H51" s="133" t="s">
        <v>204</v>
      </c>
      <c r="I51" s="133"/>
      <c r="J51" s="133"/>
      <c r="K51" s="133"/>
      <c r="L51" s="133"/>
      <c r="M51" s="133"/>
      <c r="N51" s="133"/>
      <c r="O51" s="134" t="s">
        <v>203</v>
      </c>
      <c r="P51" s="134"/>
      <c r="Q51" s="134"/>
      <c r="R51" s="134"/>
      <c r="S51" s="134"/>
      <c r="T51" s="134"/>
      <c r="U51" s="134"/>
      <c r="V51" s="133" t="s">
        <v>204</v>
      </c>
      <c r="W51" s="133"/>
      <c r="X51" s="133"/>
      <c r="Y51" s="133"/>
      <c r="Z51" s="133"/>
      <c r="AA51" s="133"/>
      <c r="AB51" s="133"/>
      <c r="AC51" s="130"/>
      <c r="AD51" s="130"/>
      <c r="AE51" s="130"/>
      <c r="AF51" s="113"/>
      <c r="AG51" s="113"/>
      <c r="AH51" s="113"/>
      <c r="AI51" s="113"/>
      <c r="AJ51" s="113"/>
      <c r="AK51" s="113"/>
      <c r="AL51" s="113"/>
      <c r="AM51" s="113"/>
    </row>
    <row r="52" s="62" customFormat="true" ht="9.75" hidden="false" customHeight="true" outlineLevel="0" collapsed="false">
      <c r="A52" s="132"/>
      <c r="B52" s="132"/>
      <c r="C52" s="132"/>
      <c r="D52" s="132"/>
      <c r="E52" s="132"/>
      <c r="F52" s="132"/>
      <c r="G52" s="132"/>
      <c r="H52" s="133"/>
      <c r="I52" s="133"/>
      <c r="J52" s="133"/>
      <c r="K52" s="133"/>
      <c r="L52" s="133"/>
      <c r="M52" s="133"/>
      <c r="N52" s="133"/>
      <c r="O52" s="134"/>
      <c r="P52" s="134"/>
      <c r="Q52" s="134"/>
      <c r="R52" s="134"/>
      <c r="S52" s="134"/>
      <c r="T52" s="134"/>
      <c r="U52" s="134"/>
      <c r="V52" s="133"/>
      <c r="W52" s="133"/>
      <c r="X52" s="133"/>
      <c r="Y52" s="133"/>
      <c r="Z52" s="133"/>
      <c r="AA52" s="133"/>
      <c r="AB52" s="133"/>
      <c r="AC52" s="130"/>
      <c r="AD52" s="130"/>
      <c r="AE52" s="130"/>
      <c r="AF52" s="113"/>
      <c r="AG52" s="113"/>
      <c r="AH52" s="113"/>
      <c r="AI52" s="113"/>
      <c r="AJ52" s="113"/>
      <c r="AK52" s="113"/>
      <c r="AL52" s="113"/>
      <c r="AM52" s="113"/>
    </row>
    <row r="53" s="62" customFormat="true" ht="9.75" hidden="false" customHeight="true" outlineLevel="0" collapsed="false">
      <c r="A53" s="135" t="n">
        <v>12000</v>
      </c>
      <c r="B53" s="135"/>
      <c r="C53" s="135"/>
      <c r="D53" s="135"/>
      <c r="E53" s="135"/>
      <c r="F53" s="135"/>
      <c r="G53" s="135"/>
      <c r="H53" s="136" t="n">
        <v>0</v>
      </c>
      <c r="I53" s="136"/>
      <c r="J53" s="136"/>
      <c r="K53" s="136"/>
      <c r="L53" s="136"/>
      <c r="M53" s="136"/>
      <c r="N53" s="136"/>
      <c r="O53" s="137" t="n">
        <f aca="false">計算_毎月償還額</f>
        <v>25809</v>
      </c>
      <c r="P53" s="137"/>
      <c r="Q53" s="137"/>
      <c r="R53" s="137"/>
      <c r="S53" s="137"/>
      <c r="T53" s="137"/>
      <c r="U53" s="137"/>
      <c r="V53" s="138" t="n">
        <f aca="false">計算_賞与償還額</f>
        <v>0</v>
      </c>
      <c r="W53" s="138"/>
      <c r="X53" s="138"/>
      <c r="Y53" s="138"/>
      <c r="Z53" s="138"/>
      <c r="AA53" s="138"/>
      <c r="AB53" s="138"/>
      <c r="AC53" s="130"/>
      <c r="AD53" s="130"/>
      <c r="AE53" s="130"/>
      <c r="AF53" s="113"/>
      <c r="AG53" s="113"/>
      <c r="AH53" s="113"/>
      <c r="AI53" s="113"/>
      <c r="AJ53" s="113"/>
      <c r="AK53" s="113"/>
      <c r="AL53" s="113"/>
      <c r="AM53" s="113"/>
    </row>
    <row r="54" s="62" customFormat="true" ht="9.75" hidden="false" customHeight="true" outlineLevel="0" collapsed="false">
      <c r="A54" s="135"/>
      <c r="B54" s="135"/>
      <c r="C54" s="135"/>
      <c r="D54" s="135"/>
      <c r="E54" s="135"/>
      <c r="F54" s="135"/>
      <c r="G54" s="135"/>
      <c r="H54" s="136"/>
      <c r="I54" s="136"/>
      <c r="J54" s="136"/>
      <c r="K54" s="136"/>
      <c r="L54" s="136"/>
      <c r="M54" s="136"/>
      <c r="N54" s="136"/>
      <c r="O54" s="137"/>
      <c r="P54" s="137"/>
      <c r="Q54" s="137"/>
      <c r="R54" s="137"/>
      <c r="S54" s="137"/>
      <c r="T54" s="137"/>
      <c r="U54" s="137"/>
      <c r="V54" s="138"/>
      <c r="W54" s="138"/>
      <c r="X54" s="138"/>
      <c r="Y54" s="138"/>
      <c r="Z54" s="138"/>
      <c r="AA54" s="138"/>
      <c r="AB54" s="138"/>
      <c r="AC54" s="130"/>
      <c r="AD54" s="130"/>
      <c r="AE54" s="130"/>
      <c r="AF54" s="113"/>
      <c r="AG54" s="113"/>
      <c r="AH54" s="113"/>
      <c r="AI54" s="113"/>
      <c r="AJ54" s="113"/>
      <c r="AK54" s="113"/>
      <c r="AL54" s="113"/>
      <c r="AM54" s="113"/>
    </row>
    <row r="55" s="62" customFormat="true" ht="9.75" hidden="false" customHeight="true" outlineLevel="0" collapsed="false">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row>
    <row r="56" customFormat="false" ht="12" hidden="false" customHeight="true" outlineLevel="0" collapsed="false">
      <c r="A56" s="139" t="s">
        <v>217</v>
      </c>
      <c r="B56" s="139"/>
      <c r="C56" s="139"/>
      <c r="D56" s="139"/>
      <c r="E56" s="139"/>
      <c r="F56" s="139"/>
      <c r="G56" s="139"/>
      <c r="H56" s="140" t="str">
        <f aca="false">"（Ａ）＋（Ｂ）＋（Ｃ）＋（Ｄ）＝　"&amp;TEXT(計算_E毎月償還計,"#,##0")&amp;"　円（Ｅ）"</f>
        <v>（Ａ）＋（Ｂ）＋（Ｃ）＋（Ｄ）＝　55,809　円（Ｅ）</v>
      </c>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1"/>
      <c r="AL56" s="130"/>
      <c r="AM56" s="130"/>
      <c r="AN56" s="130"/>
      <c r="AO56" s="130"/>
    </row>
    <row r="57" customFormat="false" ht="12" hidden="false" customHeight="true" outlineLevel="0" collapsed="false">
      <c r="A57" s="139"/>
      <c r="B57" s="139"/>
      <c r="C57" s="139"/>
      <c r="D57" s="139"/>
      <c r="E57" s="139"/>
      <c r="F57" s="139"/>
      <c r="G57" s="139"/>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1"/>
      <c r="AL57" s="130"/>
      <c r="AM57" s="130"/>
      <c r="AN57" s="130"/>
      <c r="AO57" s="130"/>
    </row>
    <row r="58" customFormat="false" ht="12" hidden="false" customHeight="true" outlineLevel="0" collapsed="false">
      <c r="A58" s="139" t="s">
        <v>218</v>
      </c>
      <c r="B58" s="139"/>
      <c r="C58" s="139"/>
      <c r="D58" s="139"/>
      <c r="E58" s="139"/>
      <c r="F58" s="139"/>
      <c r="G58" s="139"/>
      <c r="H58" s="140" t="str">
        <f aca="false">"（Ｆ）＋（Ｇ）＋（Ｈ）＋（Ｉ）＝　"&amp;TEXT(計算_J賞与償還計,"#,##0")&amp;"　円（Ｊ）"</f>
        <v>（Ｆ）＋（Ｇ）＋（Ｈ）＋（Ｉ）＝　0　円（Ｊ）</v>
      </c>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1"/>
      <c r="AL58" s="130"/>
      <c r="AM58" s="130"/>
      <c r="AN58" s="130"/>
      <c r="AO58" s="130"/>
    </row>
    <row r="59" customFormat="false" ht="12" hidden="false" customHeight="true" outlineLevel="0" collapsed="false">
      <c r="A59" s="139"/>
      <c r="B59" s="139"/>
      <c r="C59" s="139"/>
      <c r="D59" s="139"/>
      <c r="E59" s="139"/>
      <c r="F59" s="139"/>
      <c r="G59" s="139"/>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1"/>
      <c r="AL59" s="130"/>
      <c r="AM59" s="130"/>
      <c r="AN59" s="130"/>
      <c r="AO59" s="130"/>
    </row>
    <row r="60" customFormat="false" ht="8.25" hidden="false" customHeight="true" outlineLevel="0" collapsed="false">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row>
    <row r="61" customFormat="false" ht="12" hidden="false" customHeight="true" outlineLevel="0" collapsed="false">
      <c r="A61" s="142" t="s">
        <v>219</v>
      </c>
      <c r="B61" s="58"/>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row>
    <row r="62" customFormat="false" ht="12" hidden="false" customHeight="true" outlineLevel="0" collapsed="false">
      <c r="A62" s="143" t="s">
        <v>220</v>
      </c>
      <c r="B62" s="143"/>
      <c r="C62" s="143"/>
      <c r="D62" s="143"/>
      <c r="E62" s="143"/>
      <c r="F62" s="143"/>
      <c r="G62" s="143"/>
      <c r="H62" s="143"/>
      <c r="I62" s="143"/>
      <c r="J62" s="143"/>
      <c r="K62" s="143"/>
      <c r="L62" s="144" t="s">
        <v>221</v>
      </c>
      <c r="M62" s="144"/>
      <c r="N62" s="144"/>
      <c r="O62" s="144"/>
      <c r="P62" s="144"/>
      <c r="Q62" s="144"/>
      <c r="R62" s="144"/>
      <c r="S62" s="144"/>
      <c r="T62" s="144"/>
      <c r="U62" s="144"/>
      <c r="V62" s="144"/>
      <c r="W62" s="145" t="s">
        <v>222</v>
      </c>
      <c r="X62" s="145"/>
      <c r="Y62" s="145"/>
      <c r="Z62" s="145"/>
      <c r="AA62" s="145"/>
      <c r="AB62" s="145"/>
      <c r="AC62" s="145"/>
      <c r="AD62" s="145"/>
      <c r="AE62" s="145"/>
      <c r="AF62" s="145"/>
      <c r="AG62" s="145"/>
      <c r="AH62" s="146" t="s">
        <v>223</v>
      </c>
      <c r="AI62" s="146"/>
      <c r="AJ62" s="146"/>
      <c r="AK62" s="146"/>
      <c r="AL62" s="146"/>
    </row>
    <row r="63" customFormat="false" ht="15" hidden="false" customHeight="true" outlineLevel="0" collapsed="false">
      <c r="A63" s="143"/>
      <c r="B63" s="143"/>
      <c r="C63" s="143"/>
      <c r="D63" s="143"/>
      <c r="E63" s="143"/>
      <c r="F63" s="143"/>
      <c r="G63" s="143"/>
      <c r="H63" s="143"/>
      <c r="I63" s="143"/>
      <c r="J63" s="143"/>
      <c r="K63" s="143"/>
      <c r="L63" s="144"/>
      <c r="M63" s="144"/>
      <c r="N63" s="144"/>
      <c r="O63" s="144"/>
      <c r="P63" s="144"/>
      <c r="Q63" s="144"/>
      <c r="R63" s="144"/>
      <c r="S63" s="144"/>
      <c r="T63" s="144"/>
      <c r="U63" s="144"/>
      <c r="V63" s="144"/>
      <c r="W63" s="147" t="s">
        <v>224</v>
      </c>
      <c r="X63" s="147"/>
      <c r="Y63" s="147"/>
      <c r="Z63" s="147"/>
      <c r="AA63" s="147"/>
      <c r="AB63" s="147"/>
      <c r="AC63" s="147"/>
      <c r="AD63" s="147"/>
      <c r="AE63" s="147"/>
      <c r="AF63" s="147"/>
      <c r="AG63" s="147"/>
      <c r="AH63" s="146"/>
      <c r="AI63" s="146"/>
      <c r="AJ63" s="146"/>
      <c r="AK63" s="146"/>
      <c r="AL63" s="146"/>
    </row>
    <row r="64" customFormat="false" ht="12" hidden="false" customHeight="true" outlineLevel="0" collapsed="false">
      <c r="A64" s="148" t="n">
        <f aca="false">計算_E毎月償還計</f>
        <v>55809</v>
      </c>
      <c r="B64" s="148"/>
      <c r="C64" s="148"/>
      <c r="D64" s="148"/>
      <c r="E64" s="148"/>
      <c r="F64" s="148"/>
      <c r="G64" s="148"/>
      <c r="H64" s="148"/>
      <c r="I64" s="148"/>
      <c r="J64" s="148"/>
      <c r="K64" s="148"/>
      <c r="L64" s="149" t="n">
        <f aca="false">計算_K給料月額</f>
        <v>290000</v>
      </c>
      <c r="M64" s="149"/>
      <c r="N64" s="149"/>
      <c r="O64" s="149"/>
      <c r="P64" s="149"/>
      <c r="Q64" s="149"/>
      <c r="R64" s="149"/>
      <c r="S64" s="149"/>
      <c r="T64" s="149"/>
      <c r="U64" s="149"/>
      <c r="V64" s="149"/>
      <c r="W64" s="150" t="n">
        <f aca="false">計算_月額割合*100</f>
        <v>19.2444827586207</v>
      </c>
      <c r="X64" s="150"/>
      <c r="Y64" s="150"/>
      <c r="Z64" s="150"/>
      <c r="AA64" s="150"/>
      <c r="AB64" s="150"/>
      <c r="AC64" s="150"/>
      <c r="AD64" s="150"/>
      <c r="AE64" s="150"/>
      <c r="AF64" s="150"/>
      <c r="AG64" s="150"/>
      <c r="AH64" s="151" t="str">
        <f aca="false">IF(判定_月額割合=1,"○","×")</f>
        <v>○</v>
      </c>
      <c r="AI64" s="151"/>
      <c r="AJ64" s="151"/>
      <c r="AK64" s="151"/>
      <c r="AL64" s="151"/>
    </row>
    <row r="65" customFormat="false" ht="12" hidden="false" customHeight="true" outlineLevel="0" collapsed="false">
      <c r="A65" s="148"/>
      <c r="B65" s="148"/>
      <c r="C65" s="148"/>
      <c r="D65" s="148"/>
      <c r="E65" s="148"/>
      <c r="F65" s="148"/>
      <c r="G65" s="148"/>
      <c r="H65" s="148"/>
      <c r="I65" s="148"/>
      <c r="J65" s="148"/>
      <c r="K65" s="148"/>
      <c r="L65" s="149"/>
      <c r="M65" s="149"/>
      <c r="N65" s="149"/>
      <c r="O65" s="149"/>
      <c r="P65" s="149"/>
      <c r="Q65" s="149"/>
      <c r="R65" s="149"/>
      <c r="S65" s="149"/>
      <c r="T65" s="149"/>
      <c r="U65" s="149"/>
      <c r="V65" s="149"/>
      <c r="W65" s="150"/>
      <c r="X65" s="150"/>
      <c r="Y65" s="150"/>
      <c r="Z65" s="150"/>
      <c r="AA65" s="150"/>
      <c r="AB65" s="150"/>
      <c r="AC65" s="150"/>
      <c r="AD65" s="150"/>
      <c r="AE65" s="150"/>
      <c r="AF65" s="150"/>
      <c r="AG65" s="150"/>
      <c r="AH65" s="151"/>
      <c r="AI65" s="151"/>
      <c r="AJ65" s="151"/>
      <c r="AK65" s="151"/>
      <c r="AL65" s="151"/>
    </row>
    <row r="66" customFormat="false" ht="7.5" hidden="false" customHeight="true" outlineLevel="0" collapsed="false">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row>
    <row r="67" customFormat="false" ht="12" hidden="false" customHeight="true" outlineLevel="0" collapsed="false">
      <c r="A67" s="142" t="s">
        <v>225</v>
      </c>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row>
    <row r="68" customFormat="false" ht="12" hidden="false" customHeight="true" outlineLevel="0" collapsed="false">
      <c r="A68" s="152" t="s">
        <v>226</v>
      </c>
      <c r="B68" s="152"/>
      <c r="C68" s="152"/>
      <c r="D68" s="152"/>
      <c r="E68" s="152"/>
      <c r="F68" s="152"/>
      <c r="G68" s="152"/>
      <c r="H68" s="152"/>
      <c r="I68" s="152"/>
      <c r="J68" s="152"/>
      <c r="K68" s="152"/>
      <c r="L68" s="153" t="s">
        <v>227</v>
      </c>
      <c r="M68" s="153"/>
      <c r="N68" s="153"/>
      <c r="O68" s="153"/>
      <c r="P68" s="153"/>
      <c r="Q68" s="153"/>
      <c r="R68" s="153"/>
      <c r="S68" s="153"/>
      <c r="T68" s="153"/>
      <c r="U68" s="153"/>
      <c r="V68" s="153"/>
      <c r="W68" s="154" t="s">
        <v>222</v>
      </c>
      <c r="X68" s="154"/>
      <c r="Y68" s="154"/>
      <c r="Z68" s="154"/>
      <c r="AA68" s="154"/>
      <c r="AB68" s="154"/>
      <c r="AC68" s="154"/>
      <c r="AD68" s="154"/>
      <c r="AE68" s="154"/>
      <c r="AF68" s="154"/>
      <c r="AG68" s="154"/>
      <c r="AH68" s="155" t="s">
        <v>223</v>
      </c>
      <c r="AI68" s="155"/>
      <c r="AJ68" s="155"/>
      <c r="AK68" s="155"/>
      <c r="AL68" s="155"/>
      <c r="AM68" s="156"/>
      <c r="AN68" s="156"/>
      <c r="AO68" s="156"/>
      <c r="AP68" s="58"/>
    </row>
    <row r="69" customFormat="false" ht="12" hidden="false" customHeight="true" outlineLevel="0" collapsed="false">
      <c r="A69" s="157" t="s">
        <v>228</v>
      </c>
      <c r="B69" s="157"/>
      <c r="C69" s="157"/>
      <c r="D69" s="157"/>
      <c r="E69" s="157"/>
      <c r="F69" s="157"/>
      <c r="G69" s="157"/>
      <c r="H69" s="157"/>
      <c r="I69" s="157"/>
      <c r="J69" s="157"/>
      <c r="K69" s="157"/>
      <c r="L69" s="158" t="s">
        <v>229</v>
      </c>
      <c r="M69" s="158"/>
      <c r="N69" s="158"/>
      <c r="O69" s="158"/>
      <c r="P69" s="158"/>
      <c r="Q69" s="158"/>
      <c r="R69" s="158"/>
      <c r="S69" s="158"/>
      <c r="T69" s="158"/>
      <c r="U69" s="158"/>
      <c r="V69" s="158"/>
      <c r="W69" s="159" t="s">
        <v>230</v>
      </c>
      <c r="X69" s="159"/>
      <c r="Y69" s="159"/>
      <c r="Z69" s="159"/>
      <c r="AA69" s="159"/>
      <c r="AB69" s="159"/>
      <c r="AC69" s="159"/>
      <c r="AD69" s="159"/>
      <c r="AE69" s="159"/>
      <c r="AF69" s="159"/>
      <c r="AG69" s="159"/>
      <c r="AH69" s="155"/>
      <c r="AI69" s="155"/>
      <c r="AJ69" s="155"/>
      <c r="AK69" s="155"/>
      <c r="AL69" s="155"/>
      <c r="AM69" s="156"/>
      <c r="AN69" s="156"/>
      <c r="AO69" s="156"/>
      <c r="AP69" s="58"/>
    </row>
    <row r="70" customFormat="false" ht="12" hidden="false" customHeight="true" outlineLevel="0" collapsed="false">
      <c r="A70" s="148" t="n">
        <f aca="false">計算_L年間償還額</f>
        <v>669708</v>
      </c>
      <c r="B70" s="148"/>
      <c r="C70" s="148"/>
      <c r="D70" s="148"/>
      <c r="E70" s="148"/>
      <c r="F70" s="148"/>
      <c r="G70" s="148"/>
      <c r="H70" s="148"/>
      <c r="I70" s="148"/>
      <c r="J70" s="148"/>
      <c r="K70" s="148"/>
      <c r="L70" s="149" t="n">
        <f aca="false">計算_M年収額</f>
        <v>4640000</v>
      </c>
      <c r="M70" s="149"/>
      <c r="N70" s="149"/>
      <c r="O70" s="149"/>
      <c r="P70" s="149"/>
      <c r="Q70" s="149"/>
      <c r="R70" s="149"/>
      <c r="S70" s="149"/>
      <c r="T70" s="149"/>
      <c r="U70" s="149"/>
      <c r="V70" s="149"/>
      <c r="W70" s="160" t="n">
        <f aca="false">計算_年額割合*100</f>
        <v>14.4333620689655</v>
      </c>
      <c r="X70" s="160"/>
      <c r="Y70" s="160"/>
      <c r="Z70" s="160"/>
      <c r="AA70" s="160"/>
      <c r="AB70" s="160"/>
      <c r="AC70" s="160"/>
      <c r="AD70" s="160"/>
      <c r="AE70" s="160"/>
      <c r="AF70" s="160"/>
      <c r="AG70" s="160"/>
      <c r="AH70" s="161" t="str">
        <f aca="false">IF(判定_年額割合=1,"○","×")</f>
        <v>○</v>
      </c>
      <c r="AI70" s="161"/>
      <c r="AJ70" s="161"/>
      <c r="AK70" s="161"/>
      <c r="AL70" s="161"/>
      <c r="AM70" s="162"/>
      <c r="AN70" s="162"/>
      <c r="AO70" s="162"/>
      <c r="AP70" s="58"/>
    </row>
    <row r="71" customFormat="false" ht="12" hidden="false" customHeight="true" outlineLevel="0" collapsed="false">
      <c r="A71" s="148"/>
      <c r="B71" s="148"/>
      <c r="C71" s="148"/>
      <c r="D71" s="148"/>
      <c r="E71" s="148"/>
      <c r="F71" s="148"/>
      <c r="G71" s="148"/>
      <c r="H71" s="148"/>
      <c r="I71" s="148"/>
      <c r="J71" s="148"/>
      <c r="K71" s="148"/>
      <c r="L71" s="149"/>
      <c r="M71" s="149"/>
      <c r="N71" s="149"/>
      <c r="O71" s="149"/>
      <c r="P71" s="149"/>
      <c r="Q71" s="149"/>
      <c r="R71" s="149"/>
      <c r="S71" s="149"/>
      <c r="T71" s="149"/>
      <c r="U71" s="149"/>
      <c r="V71" s="149"/>
      <c r="W71" s="160"/>
      <c r="X71" s="160"/>
      <c r="Y71" s="160"/>
      <c r="Z71" s="160"/>
      <c r="AA71" s="160"/>
      <c r="AB71" s="160"/>
      <c r="AC71" s="160"/>
      <c r="AD71" s="160"/>
      <c r="AE71" s="160"/>
      <c r="AF71" s="160"/>
      <c r="AG71" s="160"/>
      <c r="AH71" s="161"/>
      <c r="AI71" s="161"/>
      <c r="AJ71" s="161"/>
      <c r="AK71" s="161"/>
      <c r="AL71" s="161"/>
      <c r="AM71" s="62"/>
      <c r="AN71" s="62"/>
      <c r="AO71" s="62"/>
      <c r="AP71" s="58"/>
    </row>
    <row r="72" s="62" customFormat="true" ht="15" hidden="false" customHeight="true" outlineLevel="0" collapsed="false"/>
    <row r="73" s="62" customFormat="true" ht="15" hidden="false" customHeight="true" outlineLevel="0" collapsed="false"/>
    <row r="74" s="62" customFormat="true" ht="15" hidden="false" customHeight="true" outlineLevel="0" collapsed="false"/>
    <row r="75" s="62" customFormat="true" ht="15" hidden="false" customHeight="true" outlineLevel="0" collapsed="false"/>
    <row r="76" s="62" customFormat="true" ht="15" hidden="false" customHeight="true" outlineLevel="0" collapsed="false"/>
    <row r="77" s="62" customFormat="true" ht="15" hidden="false" customHeight="true" outlineLevel="0" collapsed="false"/>
    <row r="78" s="62" customFormat="true" ht="15" hidden="false" customHeight="true" outlineLevel="0" collapsed="false"/>
    <row r="79" s="62" customFormat="true" ht="15" hidden="false" customHeight="true" outlineLevel="0" collapsed="false"/>
    <row r="80" s="62" customFormat="true" ht="15" hidden="false" customHeight="true" outlineLevel="0" collapsed="false"/>
    <row r="81" s="62" customFormat="true" ht="15" hidden="false" customHeight="true" outlineLevel="0" collapsed="false"/>
    <row r="82" s="62" customFormat="true" ht="15" hidden="false" customHeight="true" outlineLevel="0" collapsed="false"/>
    <row r="83" s="62" customFormat="true" ht="15" hidden="false" customHeight="true" outlineLevel="0" collapsed="false"/>
    <row r="84" s="62" customFormat="true" ht="15" hidden="false" customHeight="true" outlineLevel="0" collapsed="false"/>
    <row r="85" s="62" customFormat="true" ht="15" hidden="false" customHeight="true" outlineLevel="0" collapsed="false">
      <c r="AM85" s="46"/>
      <c r="AN85" s="46"/>
      <c r="AO85" s="46"/>
    </row>
    <row r="86" s="62" customFormat="true" ht="15" hidden="false" customHeight="true" outlineLevel="0" collapsed="false">
      <c r="AM86" s="46"/>
      <c r="AN86" s="46"/>
      <c r="AO86" s="46"/>
    </row>
    <row r="87" s="62" customFormat="true" ht="15" hidden="false" customHeight="true" outlineLevel="0" collapsed="false">
      <c r="AM87" s="46"/>
      <c r="AN87" s="46"/>
      <c r="AO87" s="46"/>
    </row>
    <row r="88" s="62" customFormat="true" ht="15" hidden="false" customHeight="true" outlineLevel="0" collapsed="false">
      <c r="AM88" s="46"/>
      <c r="AN88" s="46"/>
      <c r="AO88" s="46"/>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1</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pageSetUpPr fitToPage="false"/>
  </sheetPr>
  <dimension ref="A1:O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s>
  <sheetData>
    <row r="1" customFormat="false" ht="17.15" hidden="false" customHeight="false" outlineLevel="0" collapsed="false">
      <c r="A1" s="163" t="s">
        <v>231</v>
      </c>
    </row>
    <row r="2" customFormat="false" ht="15" hidden="false" customHeight="false" outlineLevel="0" collapsed="false">
      <c r="A2" s="164" t="str">
        <f aca="false">"貸付区分:"&amp;入力_貸付区分&amp;"　申込額:"&amp;TEXT(計算_申込額,"#,##0")&amp;"円　利率:"&amp;TEXT(計算_利率,"0.00%")&amp;"　毎月償還:"&amp;計算_償還回数&amp;"回"</f>
        <v>貸付区分:普通貸付:自動車購入　申込額:1,500,000円　利率:1.26%　毎月償還:60回</v>
      </c>
    </row>
    <row r="3" customFormat="false" ht="15" hidden="false" customHeight="false" outlineLevel="0" collapsed="false">
      <c r="A3" s="8" t="s">
        <v>232</v>
      </c>
    </row>
    <row r="5" customFormat="false" ht="15" hidden="false" customHeight="false" outlineLevel="0" collapsed="false">
      <c r="A5" s="13" t="s">
        <v>233</v>
      </c>
      <c r="B5" s="165"/>
      <c r="C5" s="166" t="n">
        <f aca="false">SUM(C8:C367)</f>
        <v>1548535</v>
      </c>
      <c r="D5" s="166" t="n">
        <f aca="false">SUM(D8:D367)</f>
        <v>48535</v>
      </c>
      <c r="E5" s="166" t="n">
        <f aca="false">SUM(E8:E367)</f>
        <v>1500000</v>
      </c>
      <c r="F5" s="165"/>
      <c r="G5" s="165"/>
      <c r="H5" s="165"/>
      <c r="I5" s="165"/>
      <c r="J5" s="166" t="n">
        <f aca="false">SUM(J8:J367)</f>
        <v>0</v>
      </c>
      <c r="K5" s="166" t="n">
        <f aca="false">SUM(K8:K367)</f>
        <v>0</v>
      </c>
      <c r="L5" s="166" t="n">
        <f aca="false">SUM(L8:L367)</f>
        <v>0</v>
      </c>
      <c r="M5" s="165"/>
      <c r="N5" s="166" t="n">
        <f aca="false">SUM(N8:N367)</f>
        <v>1548535</v>
      </c>
      <c r="O5" s="165"/>
    </row>
    <row r="6" customFormat="false" ht="31.5" hidden="false" customHeight="true" outlineLevel="0" collapsed="false">
      <c r="A6" s="167" t="s">
        <v>234</v>
      </c>
      <c r="B6" s="167" t="s">
        <v>235</v>
      </c>
      <c r="C6" s="167" t="s">
        <v>69</v>
      </c>
      <c r="D6" s="167" t="s">
        <v>86</v>
      </c>
      <c r="E6" s="167" t="s">
        <v>236</v>
      </c>
      <c r="F6" s="167" t="s">
        <v>237</v>
      </c>
      <c r="G6" s="167" t="s">
        <v>238</v>
      </c>
      <c r="H6" s="167" t="s">
        <v>239</v>
      </c>
      <c r="I6" s="167" t="s">
        <v>240</v>
      </c>
      <c r="J6" s="167" t="s">
        <v>218</v>
      </c>
      <c r="K6" s="167" t="s">
        <v>86</v>
      </c>
      <c r="L6" s="167" t="s">
        <v>236</v>
      </c>
      <c r="M6" s="167" t="s">
        <v>241</v>
      </c>
      <c r="N6" s="167" t="s">
        <v>242</v>
      </c>
      <c r="O6" s="167" t="s">
        <v>243</v>
      </c>
    </row>
    <row r="7" customFormat="false" ht="15" hidden="false" customHeight="false" outlineLevel="0" collapsed="false">
      <c r="A7" s="45" t="n">
        <v>0</v>
      </c>
      <c r="B7" s="168" t="s">
        <v>244</v>
      </c>
      <c r="F7" s="169" t="n">
        <f aca="false">計算_申込額_基本-計算_賞与元金</f>
        <v>1500000</v>
      </c>
      <c r="G7" s="169" t="n">
        <f aca="false">計算_申込額_在宅介護</f>
        <v>0</v>
      </c>
      <c r="H7" s="169" t="n">
        <f aca="false">F7+G7</f>
        <v>1500000</v>
      </c>
      <c r="I7" s="168" t="n">
        <v>0</v>
      </c>
      <c r="M7" s="169" t="n">
        <f aca="false">計算_賞与元金</f>
        <v>0</v>
      </c>
      <c r="O7" s="169" t="n">
        <f aca="false">H7+M7</f>
        <v>1500000</v>
      </c>
    </row>
    <row r="8" customFormat="false" ht="15" hidden="false" customHeight="false" outlineLevel="0" collapsed="false">
      <c r="A8" s="168" t="n">
        <f aca="false">IF(OR(計算_償還開始="",ROWS($A$8:A8)&gt;計算_償還回数),"",ROWS($A$8:A8))</f>
        <v>1</v>
      </c>
      <c r="B8" s="170" t="n">
        <f aca="false">IF(A8="","",EDATE(計算_償還開始,A8-1))</f>
        <v>46357</v>
      </c>
      <c r="C8" s="169" t="n">
        <f aca="false">IF(A8="","",IF(A8=計算_償還回数,D8+F7+G7,計算_毎月償還額))</f>
        <v>25809</v>
      </c>
      <c r="D8" s="169" t="n">
        <f aca="false">IF(A8="","",ROUND(F7*計算_利率/定数_年月数,0)+ROUND(G7*計算_利率_在宅介護/定数_年月数,0))</f>
        <v>1575</v>
      </c>
      <c r="E8" s="169" t="n">
        <f aca="false">IF(A8="","",C8-D8)</f>
        <v>24234</v>
      </c>
      <c r="F8" s="169" t="n">
        <f aca="false">IF(A8="","",IF(A8=計算_償還回数,0,MAX(0,F7-(ROUND(計算_月額_基本,0)-ROUND(F7*計算_利率/定数_年月数,0)))))</f>
        <v>1475766</v>
      </c>
      <c r="G8" s="169" t="n">
        <f aca="false">IF(A8="","",IF(A8=計算_償還回数,0,MAX(0,G7-(ROUND(計算_月額_在宅介護,0)-ROUND(G7*計算_利率_在宅介護/定数_年月数,0)))))</f>
        <v>0</v>
      </c>
      <c r="H8" s="169" t="n">
        <f aca="false">IF(A8="","",F8+G8)</f>
        <v>1475766</v>
      </c>
      <c r="I8" s="168" t="n">
        <f aca="false">IF(A8="","",IF(AND(OR(MONTH(B8)=6,MONTH(B8)=12),I7&lt;計算_賞与回数),I7+1,I7))</f>
        <v>0</v>
      </c>
      <c r="J8" s="169" t="n">
        <f aca="false">IF(A8="","",IF(I8&gt;I7,IF(I8=計算_賞与回数,M7+K8,計算_賞与償還額),0))</f>
        <v>0</v>
      </c>
      <c r="K8" s="169" t="n">
        <f aca="false">IF(A8="","",IF(I8&gt;I7,ROUND(M7*計算_賞与期間利率,0),0))</f>
        <v>0</v>
      </c>
      <c r="L8" s="169" t="n">
        <f aca="false">IF(A8="","",J8-K8)</f>
        <v>0</v>
      </c>
      <c r="M8" s="169" t="n">
        <f aca="false">IF(A8="","",IF(I8&gt;I7,M7-L8,M7))</f>
        <v>0</v>
      </c>
      <c r="N8" s="169" t="n">
        <f aca="false">IF(A8="","",C8+J8)</f>
        <v>25809</v>
      </c>
      <c r="O8" s="169" t="n">
        <f aca="false">IF(A8="","",H8+M8)</f>
        <v>1475766</v>
      </c>
    </row>
    <row r="9" customFormat="false" ht="15" hidden="false" customHeight="false" outlineLevel="0" collapsed="false">
      <c r="A9" s="168" t="n">
        <f aca="false">IF(OR(計算_償還開始="",ROWS($A$8:A9)&gt;計算_償還回数),"",ROWS($A$8:A9))</f>
        <v>2</v>
      </c>
      <c r="B9" s="170" t="n">
        <f aca="false">IF(A9="","",EDATE(計算_償還開始,A9-1))</f>
        <v>46388</v>
      </c>
      <c r="C9" s="169" t="n">
        <f aca="false">IF(A9="","",IF(A9=計算_償還回数,D9+F8+G8,計算_毎月償還額))</f>
        <v>25809</v>
      </c>
      <c r="D9" s="169" t="n">
        <f aca="false">IF(A9="","",ROUND(F8*計算_利率/定数_年月数,0)+ROUND(G8*計算_利率_在宅介護/定数_年月数,0))</f>
        <v>1550</v>
      </c>
      <c r="E9" s="169" t="n">
        <f aca="false">IF(A9="","",C9-D9)</f>
        <v>24259</v>
      </c>
      <c r="F9" s="169" t="n">
        <f aca="false">IF(A9="","",IF(A9=計算_償還回数,0,MAX(0,F8-(ROUND(計算_月額_基本,0)-ROUND(F8*計算_利率/定数_年月数,0)))))</f>
        <v>1451507</v>
      </c>
      <c r="G9" s="169" t="n">
        <f aca="false">IF(A9="","",IF(A9=計算_償還回数,0,MAX(0,G8-(ROUND(計算_月額_在宅介護,0)-ROUND(G8*計算_利率_在宅介護/定数_年月数,0)))))</f>
        <v>0</v>
      </c>
      <c r="H9" s="169" t="n">
        <f aca="false">IF(A9="","",F9+G9)</f>
        <v>1451507</v>
      </c>
      <c r="I9" s="168" t="n">
        <f aca="false">IF(A9="","",IF(AND(OR(MONTH(B9)=6,MONTH(B9)=12),I8&lt;計算_賞与回数),I8+1,I8))</f>
        <v>0</v>
      </c>
      <c r="J9" s="169" t="n">
        <f aca="false">IF(A9="","",IF(I9&gt;I8,IF(I9=計算_賞与回数,M8+K9,計算_賞与償還額),0))</f>
        <v>0</v>
      </c>
      <c r="K9" s="169" t="n">
        <f aca="false">IF(A9="","",IF(I9&gt;I8,ROUND(M8*計算_賞与期間利率,0),0))</f>
        <v>0</v>
      </c>
      <c r="L9" s="169" t="n">
        <f aca="false">IF(A9="","",J9-K9)</f>
        <v>0</v>
      </c>
      <c r="M9" s="169" t="n">
        <f aca="false">IF(A9="","",IF(I9&gt;I8,M8-L9,M8))</f>
        <v>0</v>
      </c>
      <c r="N9" s="169" t="n">
        <f aca="false">IF(A9="","",C9+J9)</f>
        <v>25809</v>
      </c>
      <c r="O9" s="169" t="n">
        <f aca="false">IF(A9="","",H9+M9)</f>
        <v>1451507</v>
      </c>
    </row>
    <row r="10" customFormat="false" ht="15" hidden="false" customHeight="false" outlineLevel="0" collapsed="false">
      <c r="A10" s="168" t="n">
        <f aca="false">IF(OR(計算_償還開始="",ROWS($A$8:A10)&gt;計算_償還回数),"",ROWS($A$8:A10))</f>
        <v>3</v>
      </c>
      <c r="B10" s="170" t="n">
        <f aca="false">IF(A10="","",EDATE(計算_償還開始,A10-1))</f>
        <v>46419</v>
      </c>
      <c r="C10" s="169" t="n">
        <f aca="false">IF(A10="","",IF(A10=計算_償還回数,D10+F9+G9,計算_毎月償還額))</f>
        <v>25809</v>
      </c>
      <c r="D10" s="169" t="n">
        <f aca="false">IF(A10="","",ROUND(F9*計算_利率/定数_年月数,0)+ROUND(G9*計算_利率_在宅介護/定数_年月数,0))</f>
        <v>1524</v>
      </c>
      <c r="E10" s="169" t="n">
        <f aca="false">IF(A10="","",C10-D10)</f>
        <v>24285</v>
      </c>
      <c r="F10" s="169" t="n">
        <f aca="false">IF(A10="","",IF(A10=計算_償還回数,0,MAX(0,F9-(ROUND(計算_月額_基本,0)-ROUND(F9*計算_利率/定数_年月数,0)))))</f>
        <v>1427222</v>
      </c>
      <c r="G10" s="169" t="n">
        <f aca="false">IF(A10="","",IF(A10=計算_償還回数,0,MAX(0,G9-(ROUND(計算_月額_在宅介護,0)-ROUND(G9*計算_利率_在宅介護/定数_年月数,0)))))</f>
        <v>0</v>
      </c>
      <c r="H10" s="169" t="n">
        <f aca="false">IF(A10="","",F10+G10)</f>
        <v>1427222</v>
      </c>
      <c r="I10" s="168" t="n">
        <f aca="false">IF(A10="","",IF(AND(OR(MONTH(B10)=6,MONTH(B10)=12),I9&lt;計算_賞与回数),I9+1,I9))</f>
        <v>0</v>
      </c>
      <c r="J10" s="169" t="n">
        <f aca="false">IF(A10="","",IF(I10&gt;I9,IF(I10=計算_賞与回数,M9+K10,計算_賞与償還額),0))</f>
        <v>0</v>
      </c>
      <c r="K10" s="169" t="n">
        <f aca="false">IF(A10="","",IF(I10&gt;I9,ROUND(M9*計算_賞与期間利率,0),0))</f>
        <v>0</v>
      </c>
      <c r="L10" s="169" t="n">
        <f aca="false">IF(A10="","",J10-K10)</f>
        <v>0</v>
      </c>
      <c r="M10" s="169" t="n">
        <f aca="false">IF(A10="","",IF(I10&gt;I9,M9-L10,M9))</f>
        <v>0</v>
      </c>
      <c r="N10" s="169" t="n">
        <f aca="false">IF(A10="","",C10+J10)</f>
        <v>25809</v>
      </c>
      <c r="O10" s="169" t="n">
        <f aca="false">IF(A10="","",H10+M10)</f>
        <v>1427222</v>
      </c>
    </row>
    <row r="11" customFormat="false" ht="15" hidden="false" customHeight="false" outlineLevel="0" collapsed="false">
      <c r="A11" s="168" t="n">
        <f aca="false">IF(OR(計算_償還開始="",ROWS($A$8:A11)&gt;計算_償還回数),"",ROWS($A$8:A11))</f>
        <v>4</v>
      </c>
      <c r="B11" s="170" t="n">
        <f aca="false">IF(A11="","",EDATE(計算_償還開始,A11-1))</f>
        <v>46447</v>
      </c>
      <c r="C11" s="169" t="n">
        <f aca="false">IF(A11="","",IF(A11=計算_償還回数,D11+F10+G10,計算_毎月償還額))</f>
        <v>25809</v>
      </c>
      <c r="D11" s="169" t="n">
        <f aca="false">IF(A11="","",ROUND(F10*計算_利率/定数_年月数,0)+ROUND(G10*計算_利率_在宅介護/定数_年月数,0))</f>
        <v>1499</v>
      </c>
      <c r="E11" s="169" t="n">
        <f aca="false">IF(A11="","",C11-D11)</f>
        <v>24310</v>
      </c>
      <c r="F11" s="169" t="n">
        <f aca="false">IF(A11="","",IF(A11=計算_償還回数,0,MAX(0,F10-(ROUND(計算_月額_基本,0)-ROUND(F10*計算_利率/定数_年月数,0)))))</f>
        <v>1402912</v>
      </c>
      <c r="G11" s="169" t="n">
        <f aca="false">IF(A11="","",IF(A11=計算_償還回数,0,MAX(0,G10-(ROUND(計算_月額_在宅介護,0)-ROUND(G10*計算_利率_在宅介護/定数_年月数,0)))))</f>
        <v>0</v>
      </c>
      <c r="H11" s="169" t="n">
        <f aca="false">IF(A11="","",F11+G11)</f>
        <v>1402912</v>
      </c>
      <c r="I11" s="168" t="n">
        <f aca="false">IF(A11="","",IF(AND(OR(MONTH(B11)=6,MONTH(B11)=12),I10&lt;計算_賞与回数),I10+1,I10))</f>
        <v>0</v>
      </c>
      <c r="J11" s="169" t="n">
        <f aca="false">IF(A11="","",IF(I11&gt;I10,IF(I11=計算_賞与回数,M10+K11,計算_賞与償還額),0))</f>
        <v>0</v>
      </c>
      <c r="K11" s="169" t="n">
        <f aca="false">IF(A11="","",IF(I11&gt;I10,ROUND(M10*計算_賞与期間利率,0),0))</f>
        <v>0</v>
      </c>
      <c r="L11" s="169" t="n">
        <f aca="false">IF(A11="","",J11-K11)</f>
        <v>0</v>
      </c>
      <c r="M11" s="169" t="n">
        <f aca="false">IF(A11="","",IF(I11&gt;I10,M10-L11,M10))</f>
        <v>0</v>
      </c>
      <c r="N11" s="169" t="n">
        <f aca="false">IF(A11="","",C11+J11)</f>
        <v>25809</v>
      </c>
      <c r="O11" s="169" t="n">
        <f aca="false">IF(A11="","",H11+M11)</f>
        <v>1402912</v>
      </c>
    </row>
    <row r="12" customFormat="false" ht="15" hidden="false" customHeight="false" outlineLevel="0" collapsed="false">
      <c r="A12" s="168" t="n">
        <f aca="false">IF(OR(計算_償還開始="",ROWS($A$8:A12)&gt;計算_償還回数),"",ROWS($A$8:A12))</f>
        <v>5</v>
      </c>
      <c r="B12" s="170" t="n">
        <f aca="false">IF(A12="","",EDATE(計算_償還開始,A12-1))</f>
        <v>46478</v>
      </c>
      <c r="C12" s="169" t="n">
        <f aca="false">IF(A12="","",IF(A12=計算_償還回数,D12+F11+G11,計算_毎月償還額))</f>
        <v>25809</v>
      </c>
      <c r="D12" s="169" t="n">
        <f aca="false">IF(A12="","",ROUND(F11*計算_利率/定数_年月数,0)+ROUND(G11*計算_利率_在宅介護/定数_年月数,0))</f>
        <v>1473</v>
      </c>
      <c r="E12" s="169" t="n">
        <f aca="false">IF(A12="","",C12-D12)</f>
        <v>24336</v>
      </c>
      <c r="F12" s="169" t="n">
        <f aca="false">IF(A12="","",IF(A12=計算_償還回数,0,MAX(0,F11-(ROUND(計算_月額_基本,0)-ROUND(F11*計算_利率/定数_年月数,0)))))</f>
        <v>1378576</v>
      </c>
      <c r="G12" s="169" t="n">
        <f aca="false">IF(A12="","",IF(A12=計算_償還回数,0,MAX(0,G11-(ROUND(計算_月額_在宅介護,0)-ROUND(G11*計算_利率_在宅介護/定数_年月数,0)))))</f>
        <v>0</v>
      </c>
      <c r="H12" s="169" t="n">
        <f aca="false">IF(A12="","",F12+G12)</f>
        <v>1378576</v>
      </c>
      <c r="I12" s="168" t="n">
        <f aca="false">IF(A12="","",IF(AND(OR(MONTH(B12)=6,MONTH(B12)=12),I11&lt;計算_賞与回数),I11+1,I11))</f>
        <v>0</v>
      </c>
      <c r="J12" s="169" t="n">
        <f aca="false">IF(A12="","",IF(I12&gt;I11,IF(I12=計算_賞与回数,M11+K12,計算_賞与償還額),0))</f>
        <v>0</v>
      </c>
      <c r="K12" s="169" t="n">
        <f aca="false">IF(A12="","",IF(I12&gt;I11,ROUND(M11*計算_賞与期間利率,0),0))</f>
        <v>0</v>
      </c>
      <c r="L12" s="169" t="n">
        <f aca="false">IF(A12="","",J12-K12)</f>
        <v>0</v>
      </c>
      <c r="M12" s="169" t="n">
        <f aca="false">IF(A12="","",IF(I12&gt;I11,M11-L12,M11))</f>
        <v>0</v>
      </c>
      <c r="N12" s="169" t="n">
        <f aca="false">IF(A12="","",C12+J12)</f>
        <v>25809</v>
      </c>
      <c r="O12" s="169" t="n">
        <f aca="false">IF(A12="","",H12+M12)</f>
        <v>1378576</v>
      </c>
    </row>
    <row r="13" customFormat="false" ht="15" hidden="false" customHeight="false" outlineLevel="0" collapsed="false">
      <c r="A13" s="168" t="n">
        <f aca="false">IF(OR(計算_償還開始="",ROWS($A$8:A13)&gt;計算_償還回数),"",ROWS($A$8:A13))</f>
        <v>6</v>
      </c>
      <c r="B13" s="170" t="n">
        <f aca="false">IF(A13="","",EDATE(計算_償還開始,A13-1))</f>
        <v>46508</v>
      </c>
      <c r="C13" s="169" t="n">
        <f aca="false">IF(A13="","",IF(A13=計算_償還回数,D13+F12+G12,計算_毎月償還額))</f>
        <v>25809</v>
      </c>
      <c r="D13" s="169" t="n">
        <f aca="false">IF(A13="","",ROUND(F12*計算_利率/定数_年月数,0)+ROUND(G12*計算_利率_在宅介護/定数_年月数,0))</f>
        <v>1448</v>
      </c>
      <c r="E13" s="169" t="n">
        <f aca="false">IF(A13="","",C13-D13)</f>
        <v>24361</v>
      </c>
      <c r="F13" s="169" t="n">
        <f aca="false">IF(A13="","",IF(A13=計算_償還回数,0,MAX(0,F12-(ROUND(計算_月額_基本,0)-ROUND(F12*計算_利率/定数_年月数,0)))))</f>
        <v>1354215</v>
      </c>
      <c r="G13" s="169" t="n">
        <f aca="false">IF(A13="","",IF(A13=計算_償還回数,0,MAX(0,G12-(ROUND(計算_月額_在宅介護,0)-ROUND(G12*計算_利率_在宅介護/定数_年月数,0)))))</f>
        <v>0</v>
      </c>
      <c r="H13" s="169" t="n">
        <f aca="false">IF(A13="","",F13+G13)</f>
        <v>1354215</v>
      </c>
      <c r="I13" s="168" t="n">
        <f aca="false">IF(A13="","",IF(AND(OR(MONTH(B13)=6,MONTH(B13)=12),I12&lt;計算_賞与回数),I12+1,I12))</f>
        <v>0</v>
      </c>
      <c r="J13" s="169" t="n">
        <f aca="false">IF(A13="","",IF(I13&gt;I12,IF(I13=計算_賞与回数,M12+K13,計算_賞与償還額),0))</f>
        <v>0</v>
      </c>
      <c r="K13" s="169" t="n">
        <f aca="false">IF(A13="","",IF(I13&gt;I12,ROUND(M12*計算_賞与期間利率,0),0))</f>
        <v>0</v>
      </c>
      <c r="L13" s="169" t="n">
        <f aca="false">IF(A13="","",J13-K13)</f>
        <v>0</v>
      </c>
      <c r="M13" s="169" t="n">
        <f aca="false">IF(A13="","",IF(I13&gt;I12,M12-L13,M12))</f>
        <v>0</v>
      </c>
      <c r="N13" s="169" t="n">
        <f aca="false">IF(A13="","",C13+J13)</f>
        <v>25809</v>
      </c>
      <c r="O13" s="169" t="n">
        <f aca="false">IF(A13="","",H13+M13)</f>
        <v>1354215</v>
      </c>
    </row>
    <row r="14" customFormat="false" ht="15" hidden="false" customHeight="false" outlineLevel="0" collapsed="false">
      <c r="A14" s="168" t="n">
        <f aca="false">IF(OR(計算_償還開始="",ROWS($A$8:A14)&gt;計算_償還回数),"",ROWS($A$8:A14))</f>
        <v>7</v>
      </c>
      <c r="B14" s="170" t="n">
        <f aca="false">IF(A14="","",EDATE(計算_償還開始,A14-1))</f>
        <v>46539</v>
      </c>
      <c r="C14" s="169" t="n">
        <f aca="false">IF(A14="","",IF(A14=計算_償還回数,D14+F13+G13,計算_毎月償還額))</f>
        <v>25809</v>
      </c>
      <c r="D14" s="169" t="n">
        <f aca="false">IF(A14="","",ROUND(F13*計算_利率/定数_年月数,0)+ROUND(G13*計算_利率_在宅介護/定数_年月数,0))</f>
        <v>1422</v>
      </c>
      <c r="E14" s="169" t="n">
        <f aca="false">IF(A14="","",C14-D14)</f>
        <v>24387</v>
      </c>
      <c r="F14" s="169" t="n">
        <f aca="false">IF(A14="","",IF(A14=計算_償還回数,0,MAX(0,F13-(ROUND(計算_月額_基本,0)-ROUND(F13*計算_利率/定数_年月数,0)))))</f>
        <v>1329828</v>
      </c>
      <c r="G14" s="169" t="n">
        <f aca="false">IF(A14="","",IF(A14=計算_償還回数,0,MAX(0,G13-(ROUND(計算_月額_在宅介護,0)-ROUND(G13*計算_利率_在宅介護/定数_年月数,0)))))</f>
        <v>0</v>
      </c>
      <c r="H14" s="169" t="n">
        <f aca="false">IF(A14="","",F14+G14)</f>
        <v>1329828</v>
      </c>
      <c r="I14" s="168" t="n">
        <f aca="false">IF(A14="","",IF(AND(OR(MONTH(B14)=6,MONTH(B14)=12),I13&lt;計算_賞与回数),I13+1,I13))</f>
        <v>0</v>
      </c>
      <c r="J14" s="169" t="n">
        <f aca="false">IF(A14="","",IF(I14&gt;I13,IF(I14=計算_賞与回数,M13+K14,計算_賞与償還額),0))</f>
        <v>0</v>
      </c>
      <c r="K14" s="169" t="n">
        <f aca="false">IF(A14="","",IF(I14&gt;I13,ROUND(M13*計算_賞与期間利率,0),0))</f>
        <v>0</v>
      </c>
      <c r="L14" s="169" t="n">
        <f aca="false">IF(A14="","",J14-K14)</f>
        <v>0</v>
      </c>
      <c r="M14" s="169" t="n">
        <f aca="false">IF(A14="","",IF(I14&gt;I13,M13-L14,M13))</f>
        <v>0</v>
      </c>
      <c r="N14" s="169" t="n">
        <f aca="false">IF(A14="","",C14+J14)</f>
        <v>25809</v>
      </c>
      <c r="O14" s="169" t="n">
        <f aca="false">IF(A14="","",H14+M14)</f>
        <v>1329828</v>
      </c>
    </row>
    <row r="15" customFormat="false" ht="15" hidden="false" customHeight="false" outlineLevel="0" collapsed="false">
      <c r="A15" s="168" t="n">
        <f aca="false">IF(OR(計算_償還開始="",ROWS($A$8:A15)&gt;計算_償還回数),"",ROWS($A$8:A15))</f>
        <v>8</v>
      </c>
      <c r="B15" s="170" t="n">
        <f aca="false">IF(A15="","",EDATE(計算_償還開始,A15-1))</f>
        <v>46569</v>
      </c>
      <c r="C15" s="169" t="n">
        <f aca="false">IF(A15="","",IF(A15=計算_償還回数,D15+F14+G14,計算_毎月償還額))</f>
        <v>25809</v>
      </c>
      <c r="D15" s="169" t="n">
        <f aca="false">IF(A15="","",ROUND(F14*計算_利率/定数_年月数,0)+ROUND(G14*計算_利率_在宅介護/定数_年月数,0))</f>
        <v>1396</v>
      </c>
      <c r="E15" s="169" t="n">
        <f aca="false">IF(A15="","",C15-D15)</f>
        <v>24413</v>
      </c>
      <c r="F15" s="169" t="n">
        <f aca="false">IF(A15="","",IF(A15=計算_償還回数,0,MAX(0,F14-(ROUND(計算_月額_基本,0)-ROUND(F14*計算_利率/定数_年月数,0)))))</f>
        <v>1305415</v>
      </c>
      <c r="G15" s="169" t="n">
        <f aca="false">IF(A15="","",IF(A15=計算_償還回数,0,MAX(0,G14-(ROUND(計算_月額_在宅介護,0)-ROUND(G14*計算_利率_在宅介護/定数_年月数,0)))))</f>
        <v>0</v>
      </c>
      <c r="H15" s="169" t="n">
        <f aca="false">IF(A15="","",F15+G15)</f>
        <v>1305415</v>
      </c>
      <c r="I15" s="168" t="n">
        <f aca="false">IF(A15="","",IF(AND(OR(MONTH(B15)=6,MONTH(B15)=12),I14&lt;計算_賞与回数),I14+1,I14))</f>
        <v>0</v>
      </c>
      <c r="J15" s="169" t="n">
        <f aca="false">IF(A15="","",IF(I15&gt;I14,IF(I15=計算_賞与回数,M14+K15,計算_賞与償還額),0))</f>
        <v>0</v>
      </c>
      <c r="K15" s="169" t="n">
        <f aca="false">IF(A15="","",IF(I15&gt;I14,ROUND(M14*計算_賞与期間利率,0),0))</f>
        <v>0</v>
      </c>
      <c r="L15" s="169" t="n">
        <f aca="false">IF(A15="","",J15-K15)</f>
        <v>0</v>
      </c>
      <c r="M15" s="169" t="n">
        <f aca="false">IF(A15="","",IF(I15&gt;I14,M14-L15,M14))</f>
        <v>0</v>
      </c>
      <c r="N15" s="169" t="n">
        <f aca="false">IF(A15="","",C15+J15)</f>
        <v>25809</v>
      </c>
      <c r="O15" s="169" t="n">
        <f aca="false">IF(A15="","",H15+M15)</f>
        <v>1305415</v>
      </c>
    </row>
    <row r="16" customFormat="false" ht="15" hidden="false" customHeight="false" outlineLevel="0" collapsed="false">
      <c r="A16" s="168" t="n">
        <f aca="false">IF(OR(計算_償還開始="",ROWS($A$8:A16)&gt;計算_償還回数),"",ROWS($A$8:A16))</f>
        <v>9</v>
      </c>
      <c r="B16" s="170" t="n">
        <f aca="false">IF(A16="","",EDATE(計算_償還開始,A16-1))</f>
        <v>46600</v>
      </c>
      <c r="C16" s="169" t="n">
        <f aca="false">IF(A16="","",IF(A16=計算_償還回数,D16+F15+G15,計算_毎月償還額))</f>
        <v>25809</v>
      </c>
      <c r="D16" s="169" t="n">
        <f aca="false">IF(A16="","",ROUND(F15*計算_利率/定数_年月数,0)+ROUND(G15*計算_利率_在宅介護/定数_年月数,0))</f>
        <v>1371</v>
      </c>
      <c r="E16" s="169" t="n">
        <f aca="false">IF(A16="","",C16-D16)</f>
        <v>24438</v>
      </c>
      <c r="F16" s="169" t="n">
        <f aca="false">IF(A16="","",IF(A16=計算_償還回数,0,MAX(0,F15-(ROUND(計算_月額_基本,0)-ROUND(F15*計算_利率/定数_年月数,0)))))</f>
        <v>1280977</v>
      </c>
      <c r="G16" s="169" t="n">
        <f aca="false">IF(A16="","",IF(A16=計算_償還回数,0,MAX(0,G15-(ROUND(計算_月額_在宅介護,0)-ROUND(G15*計算_利率_在宅介護/定数_年月数,0)))))</f>
        <v>0</v>
      </c>
      <c r="H16" s="169" t="n">
        <f aca="false">IF(A16="","",F16+G16)</f>
        <v>1280977</v>
      </c>
      <c r="I16" s="168" t="n">
        <f aca="false">IF(A16="","",IF(AND(OR(MONTH(B16)=6,MONTH(B16)=12),I15&lt;計算_賞与回数),I15+1,I15))</f>
        <v>0</v>
      </c>
      <c r="J16" s="169" t="n">
        <f aca="false">IF(A16="","",IF(I16&gt;I15,IF(I16=計算_賞与回数,M15+K16,計算_賞与償還額),0))</f>
        <v>0</v>
      </c>
      <c r="K16" s="169" t="n">
        <f aca="false">IF(A16="","",IF(I16&gt;I15,ROUND(M15*計算_賞与期間利率,0),0))</f>
        <v>0</v>
      </c>
      <c r="L16" s="169" t="n">
        <f aca="false">IF(A16="","",J16-K16)</f>
        <v>0</v>
      </c>
      <c r="M16" s="169" t="n">
        <f aca="false">IF(A16="","",IF(I16&gt;I15,M15-L16,M15))</f>
        <v>0</v>
      </c>
      <c r="N16" s="169" t="n">
        <f aca="false">IF(A16="","",C16+J16)</f>
        <v>25809</v>
      </c>
      <c r="O16" s="169" t="n">
        <f aca="false">IF(A16="","",H16+M16)</f>
        <v>1280977</v>
      </c>
    </row>
    <row r="17" customFormat="false" ht="15" hidden="false" customHeight="false" outlineLevel="0" collapsed="false">
      <c r="A17" s="168" t="n">
        <f aca="false">IF(OR(計算_償還開始="",ROWS($A$8:A17)&gt;計算_償還回数),"",ROWS($A$8:A17))</f>
        <v>10</v>
      </c>
      <c r="B17" s="170" t="n">
        <f aca="false">IF(A17="","",EDATE(計算_償還開始,A17-1))</f>
        <v>46631</v>
      </c>
      <c r="C17" s="169" t="n">
        <f aca="false">IF(A17="","",IF(A17=計算_償還回数,D17+F16+G16,計算_毎月償還額))</f>
        <v>25809</v>
      </c>
      <c r="D17" s="169" t="n">
        <f aca="false">IF(A17="","",ROUND(F16*計算_利率/定数_年月数,0)+ROUND(G16*計算_利率_在宅介護/定数_年月数,0))</f>
        <v>1345</v>
      </c>
      <c r="E17" s="169" t="n">
        <f aca="false">IF(A17="","",C17-D17)</f>
        <v>24464</v>
      </c>
      <c r="F17" s="169" t="n">
        <f aca="false">IF(A17="","",IF(A17=計算_償還回数,0,MAX(0,F16-(ROUND(計算_月額_基本,0)-ROUND(F16*計算_利率/定数_年月数,0)))))</f>
        <v>1256513</v>
      </c>
      <c r="G17" s="169" t="n">
        <f aca="false">IF(A17="","",IF(A17=計算_償還回数,0,MAX(0,G16-(ROUND(計算_月額_在宅介護,0)-ROUND(G16*計算_利率_在宅介護/定数_年月数,0)))))</f>
        <v>0</v>
      </c>
      <c r="H17" s="169" t="n">
        <f aca="false">IF(A17="","",F17+G17)</f>
        <v>1256513</v>
      </c>
      <c r="I17" s="168" t="n">
        <f aca="false">IF(A17="","",IF(AND(OR(MONTH(B17)=6,MONTH(B17)=12),I16&lt;計算_賞与回数),I16+1,I16))</f>
        <v>0</v>
      </c>
      <c r="J17" s="169" t="n">
        <f aca="false">IF(A17="","",IF(I17&gt;I16,IF(I17=計算_賞与回数,M16+K17,計算_賞与償還額),0))</f>
        <v>0</v>
      </c>
      <c r="K17" s="169" t="n">
        <f aca="false">IF(A17="","",IF(I17&gt;I16,ROUND(M16*計算_賞与期間利率,0),0))</f>
        <v>0</v>
      </c>
      <c r="L17" s="169" t="n">
        <f aca="false">IF(A17="","",J17-K17)</f>
        <v>0</v>
      </c>
      <c r="M17" s="169" t="n">
        <f aca="false">IF(A17="","",IF(I17&gt;I16,M16-L17,M16))</f>
        <v>0</v>
      </c>
      <c r="N17" s="169" t="n">
        <f aca="false">IF(A17="","",C17+J17)</f>
        <v>25809</v>
      </c>
      <c r="O17" s="169" t="n">
        <f aca="false">IF(A17="","",H17+M17)</f>
        <v>1256513</v>
      </c>
    </row>
    <row r="18" customFormat="false" ht="15" hidden="false" customHeight="false" outlineLevel="0" collapsed="false">
      <c r="A18" s="168" t="n">
        <f aca="false">IF(OR(計算_償還開始="",ROWS($A$8:A18)&gt;計算_償還回数),"",ROWS($A$8:A18))</f>
        <v>11</v>
      </c>
      <c r="B18" s="170" t="n">
        <f aca="false">IF(A18="","",EDATE(計算_償還開始,A18-1))</f>
        <v>46661</v>
      </c>
      <c r="C18" s="169" t="n">
        <f aca="false">IF(A18="","",IF(A18=計算_償還回数,D18+F17+G17,計算_毎月償還額))</f>
        <v>25809</v>
      </c>
      <c r="D18" s="169" t="n">
        <f aca="false">IF(A18="","",ROUND(F17*計算_利率/定数_年月数,0)+ROUND(G17*計算_利率_在宅介護/定数_年月数,0))</f>
        <v>1319</v>
      </c>
      <c r="E18" s="169" t="n">
        <f aca="false">IF(A18="","",C18-D18)</f>
        <v>24490</v>
      </c>
      <c r="F18" s="169" t="n">
        <f aca="false">IF(A18="","",IF(A18=計算_償還回数,0,MAX(0,F17-(ROUND(計算_月額_基本,0)-ROUND(F17*計算_利率/定数_年月数,0)))))</f>
        <v>1232023</v>
      </c>
      <c r="G18" s="169" t="n">
        <f aca="false">IF(A18="","",IF(A18=計算_償還回数,0,MAX(0,G17-(ROUND(計算_月額_在宅介護,0)-ROUND(G17*計算_利率_在宅介護/定数_年月数,0)))))</f>
        <v>0</v>
      </c>
      <c r="H18" s="169" t="n">
        <f aca="false">IF(A18="","",F18+G18)</f>
        <v>1232023</v>
      </c>
      <c r="I18" s="168" t="n">
        <f aca="false">IF(A18="","",IF(AND(OR(MONTH(B18)=6,MONTH(B18)=12),I17&lt;計算_賞与回数),I17+1,I17))</f>
        <v>0</v>
      </c>
      <c r="J18" s="169" t="n">
        <f aca="false">IF(A18="","",IF(I18&gt;I17,IF(I18=計算_賞与回数,M17+K18,計算_賞与償還額),0))</f>
        <v>0</v>
      </c>
      <c r="K18" s="169" t="n">
        <f aca="false">IF(A18="","",IF(I18&gt;I17,ROUND(M17*計算_賞与期間利率,0),0))</f>
        <v>0</v>
      </c>
      <c r="L18" s="169" t="n">
        <f aca="false">IF(A18="","",J18-K18)</f>
        <v>0</v>
      </c>
      <c r="M18" s="169" t="n">
        <f aca="false">IF(A18="","",IF(I18&gt;I17,M17-L18,M17))</f>
        <v>0</v>
      </c>
      <c r="N18" s="169" t="n">
        <f aca="false">IF(A18="","",C18+J18)</f>
        <v>25809</v>
      </c>
      <c r="O18" s="169" t="n">
        <f aca="false">IF(A18="","",H18+M18)</f>
        <v>1232023</v>
      </c>
    </row>
    <row r="19" customFormat="false" ht="15" hidden="false" customHeight="false" outlineLevel="0" collapsed="false">
      <c r="A19" s="168" t="n">
        <f aca="false">IF(OR(計算_償還開始="",ROWS($A$8:A19)&gt;計算_償還回数),"",ROWS($A$8:A19))</f>
        <v>12</v>
      </c>
      <c r="B19" s="170" t="n">
        <f aca="false">IF(A19="","",EDATE(計算_償還開始,A19-1))</f>
        <v>46692</v>
      </c>
      <c r="C19" s="169" t="n">
        <f aca="false">IF(A19="","",IF(A19=計算_償還回数,D19+F18+G18,計算_毎月償還額))</f>
        <v>25809</v>
      </c>
      <c r="D19" s="169" t="n">
        <f aca="false">IF(A19="","",ROUND(F18*計算_利率/定数_年月数,0)+ROUND(G18*計算_利率_在宅介護/定数_年月数,0))</f>
        <v>1294</v>
      </c>
      <c r="E19" s="169" t="n">
        <f aca="false">IF(A19="","",C19-D19)</f>
        <v>24515</v>
      </c>
      <c r="F19" s="169" t="n">
        <f aca="false">IF(A19="","",IF(A19=計算_償還回数,0,MAX(0,F18-(ROUND(計算_月額_基本,0)-ROUND(F18*計算_利率/定数_年月数,0)))))</f>
        <v>1207508</v>
      </c>
      <c r="G19" s="169" t="n">
        <f aca="false">IF(A19="","",IF(A19=計算_償還回数,0,MAX(0,G18-(ROUND(計算_月額_在宅介護,0)-ROUND(G18*計算_利率_在宅介護/定数_年月数,0)))))</f>
        <v>0</v>
      </c>
      <c r="H19" s="169" t="n">
        <f aca="false">IF(A19="","",F19+G19)</f>
        <v>1207508</v>
      </c>
      <c r="I19" s="168" t="n">
        <f aca="false">IF(A19="","",IF(AND(OR(MONTH(B19)=6,MONTH(B19)=12),I18&lt;計算_賞与回数),I18+1,I18))</f>
        <v>0</v>
      </c>
      <c r="J19" s="169" t="n">
        <f aca="false">IF(A19="","",IF(I19&gt;I18,IF(I19=計算_賞与回数,M18+K19,計算_賞与償還額),0))</f>
        <v>0</v>
      </c>
      <c r="K19" s="169" t="n">
        <f aca="false">IF(A19="","",IF(I19&gt;I18,ROUND(M18*計算_賞与期間利率,0),0))</f>
        <v>0</v>
      </c>
      <c r="L19" s="169" t="n">
        <f aca="false">IF(A19="","",J19-K19)</f>
        <v>0</v>
      </c>
      <c r="M19" s="169" t="n">
        <f aca="false">IF(A19="","",IF(I19&gt;I18,M18-L19,M18))</f>
        <v>0</v>
      </c>
      <c r="N19" s="169" t="n">
        <f aca="false">IF(A19="","",C19+J19)</f>
        <v>25809</v>
      </c>
      <c r="O19" s="169" t="n">
        <f aca="false">IF(A19="","",H19+M19)</f>
        <v>1207508</v>
      </c>
    </row>
    <row r="20" customFormat="false" ht="15" hidden="false" customHeight="false" outlineLevel="0" collapsed="false">
      <c r="A20" s="168" t="n">
        <f aca="false">IF(OR(計算_償還開始="",ROWS($A$8:A20)&gt;計算_償還回数),"",ROWS($A$8:A20))</f>
        <v>13</v>
      </c>
      <c r="B20" s="170" t="n">
        <f aca="false">IF(A20="","",EDATE(計算_償還開始,A20-1))</f>
        <v>46722</v>
      </c>
      <c r="C20" s="169" t="n">
        <f aca="false">IF(A20="","",IF(A20=計算_償還回数,D20+F19+G19,計算_毎月償還額))</f>
        <v>25809</v>
      </c>
      <c r="D20" s="169" t="n">
        <f aca="false">IF(A20="","",ROUND(F19*計算_利率/定数_年月数,0)+ROUND(G19*計算_利率_在宅介護/定数_年月数,0))</f>
        <v>1268</v>
      </c>
      <c r="E20" s="169" t="n">
        <f aca="false">IF(A20="","",C20-D20)</f>
        <v>24541</v>
      </c>
      <c r="F20" s="169" t="n">
        <f aca="false">IF(A20="","",IF(A20=計算_償還回数,0,MAX(0,F19-(ROUND(計算_月額_基本,0)-ROUND(F19*計算_利率/定数_年月数,0)))))</f>
        <v>1182967</v>
      </c>
      <c r="G20" s="169" t="n">
        <f aca="false">IF(A20="","",IF(A20=計算_償還回数,0,MAX(0,G19-(ROUND(計算_月額_在宅介護,0)-ROUND(G19*計算_利率_在宅介護/定数_年月数,0)))))</f>
        <v>0</v>
      </c>
      <c r="H20" s="169" t="n">
        <f aca="false">IF(A20="","",F20+G20)</f>
        <v>1182967</v>
      </c>
      <c r="I20" s="168" t="n">
        <f aca="false">IF(A20="","",IF(AND(OR(MONTH(B20)=6,MONTH(B20)=12),I19&lt;計算_賞与回数),I19+1,I19))</f>
        <v>0</v>
      </c>
      <c r="J20" s="169" t="n">
        <f aca="false">IF(A20="","",IF(I20&gt;I19,IF(I20=計算_賞与回数,M19+K20,計算_賞与償還額),0))</f>
        <v>0</v>
      </c>
      <c r="K20" s="169" t="n">
        <f aca="false">IF(A20="","",IF(I20&gt;I19,ROUND(M19*計算_賞与期間利率,0),0))</f>
        <v>0</v>
      </c>
      <c r="L20" s="169" t="n">
        <f aca="false">IF(A20="","",J20-K20)</f>
        <v>0</v>
      </c>
      <c r="M20" s="169" t="n">
        <f aca="false">IF(A20="","",IF(I20&gt;I19,M19-L20,M19))</f>
        <v>0</v>
      </c>
      <c r="N20" s="169" t="n">
        <f aca="false">IF(A20="","",C20+J20)</f>
        <v>25809</v>
      </c>
      <c r="O20" s="169" t="n">
        <f aca="false">IF(A20="","",H20+M20)</f>
        <v>1182967</v>
      </c>
    </row>
    <row r="21" customFormat="false" ht="15" hidden="false" customHeight="false" outlineLevel="0" collapsed="false">
      <c r="A21" s="168" t="n">
        <f aca="false">IF(OR(計算_償還開始="",ROWS($A$8:A21)&gt;計算_償還回数),"",ROWS($A$8:A21))</f>
        <v>14</v>
      </c>
      <c r="B21" s="170" t="n">
        <f aca="false">IF(A21="","",EDATE(計算_償還開始,A21-1))</f>
        <v>46753</v>
      </c>
      <c r="C21" s="169" t="n">
        <f aca="false">IF(A21="","",IF(A21=計算_償還回数,D21+F20+G20,計算_毎月償還額))</f>
        <v>25809</v>
      </c>
      <c r="D21" s="169" t="n">
        <f aca="false">IF(A21="","",ROUND(F20*計算_利率/定数_年月数,0)+ROUND(G20*計算_利率_在宅介護/定数_年月数,0))</f>
        <v>1242</v>
      </c>
      <c r="E21" s="169" t="n">
        <f aca="false">IF(A21="","",C21-D21)</f>
        <v>24567</v>
      </c>
      <c r="F21" s="169" t="n">
        <f aca="false">IF(A21="","",IF(A21=計算_償還回数,0,MAX(0,F20-(ROUND(計算_月額_基本,0)-ROUND(F20*計算_利率/定数_年月数,0)))))</f>
        <v>1158400</v>
      </c>
      <c r="G21" s="169" t="n">
        <f aca="false">IF(A21="","",IF(A21=計算_償還回数,0,MAX(0,G20-(ROUND(計算_月額_在宅介護,0)-ROUND(G20*計算_利率_在宅介護/定数_年月数,0)))))</f>
        <v>0</v>
      </c>
      <c r="H21" s="169" t="n">
        <f aca="false">IF(A21="","",F21+G21)</f>
        <v>1158400</v>
      </c>
      <c r="I21" s="168" t="n">
        <f aca="false">IF(A21="","",IF(AND(OR(MONTH(B21)=6,MONTH(B21)=12),I20&lt;計算_賞与回数),I20+1,I20))</f>
        <v>0</v>
      </c>
      <c r="J21" s="169" t="n">
        <f aca="false">IF(A21="","",IF(I21&gt;I20,IF(I21=計算_賞与回数,M20+K21,計算_賞与償還額),0))</f>
        <v>0</v>
      </c>
      <c r="K21" s="169" t="n">
        <f aca="false">IF(A21="","",IF(I21&gt;I20,ROUND(M20*計算_賞与期間利率,0),0))</f>
        <v>0</v>
      </c>
      <c r="L21" s="169" t="n">
        <f aca="false">IF(A21="","",J21-K21)</f>
        <v>0</v>
      </c>
      <c r="M21" s="169" t="n">
        <f aca="false">IF(A21="","",IF(I21&gt;I20,M20-L21,M20))</f>
        <v>0</v>
      </c>
      <c r="N21" s="169" t="n">
        <f aca="false">IF(A21="","",C21+J21)</f>
        <v>25809</v>
      </c>
      <c r="O21" s="169" t="n">
        <f aca="false">IF(A21="","",H21+M21)</f>
        <v>1158400</v>
      </c>
    </row>
    <row r="22" customFormat="false" ht="15" hidden="false" customHeight="false" outlineLevel="0" collapsed="false">
      <c r="A22" s="168" t="n">
        <f aca="false">IF(OR(計算_償還開始="",ROWS($A$8:A22)&gt;計算_償還回数),"",ROWS($A$8:A22))</f>
        <v>15</v>
      </c>
      <c r="B22" s="170" t="n">
        <f aca="false">IF(A22="","",EDATE(計算_償還開始,A22-1))</f>
        <v>46784</v>
      </c>
      <c r="C22" s="169" t="n">
        <f aca="false">IF(A22="","",IF(A22=計算_償還回数,D22+F21+G21,計算_毎月償還額))</f>
        <v>25809</v>
      </c>
      <c r="D22" s="169" t="n">
        <f aca="false">IF(A22="","",ROUND(F21*計算_利率/定数_年月数,0)+ROUND(G21*計算_利率_在宅介護/定数_年月数,0))</f>
        <v>1216</v>
      </c>
      <c r="E22" s="169" t="n">
        <f aca="false">IF(A22="","",C22-D22)</f>
        <v>24593</v>
      </c>
      <c r="F22" s="169" t="n">
        <f aca="false">IF(A22="","",IF(A22=計算_償還回数,0,MAX(0,F21-(ROUND(計算_月額_基本,0)-ROUND(F21*計算_利率/定数_年月数,0)))))</f>
        <v>1133807</v>
      </c>
      <c r="G22" s="169" t="n">
        <f aca="false">IF(A22="","",IF(A22=計算_償還回数,0,MAX(0,G21-(ROUND(計算_月額_在宅介護,0)-ROUND(G21*計算_利率_在宅介護/定数_年月数,0)))))</f>
        <v>0</v>
      </c>
      <c r="H22" s="169" t="n">
        <f aca="false">IF(A22="","",F22+G22)</f>
        <v>1133807</v>
      </c>
      <c r="I22" s="168" t="n">
        <f aca="false">IF(A22="","",IF(AND(OR(MONTH(B22)=6,MONTH(B22)=12),I21&lt;計算_賞与回数),I21+1,I21))</f>
        <v>0</v>
      </c>
      <c r="J22" s="169" t="n">
        <f aca="false">IF(A22="","",IF(I22&gt;I21,IF(I22=計算_賞与回数,M21+K22,計算_賞与償還額),0))</f>
        <v>0</v>
      </c>
      <c r="K22" s="169" t="n">
        <f aca="false">IF(A22="","",IF(I22&gt;I21,ROUND(M21*計算_賞与期間利率,0),0))</f>
        <v>0</v>
      </c>
      <c r="L22" s="169" t="n">
        <f aca="false">IF(A22="","",J22-K22)</f>
        <v>0</v>
      </c>
      <c r="M22" s="169" t="n">
        <f aca="false">IF(A22="","",IF(I22&gt;I21,M21-L22,M21))</f>
        <v>0</v>
      </c>
      <c r="N22" s="169" t="n">
        <f aca="false">IF(A22="","",C22+J22)</f>
        <v>25809</v>
      </c>
      <c r="O22" s="169" t="n">
        <f aca="false">IF(A22="","",H22+M22)</f>
        <v>1133807</v>
      </c>
    </row>
    <row r="23" customFormat="false" ht="15" hidden="false" customHeight="false" outlineLevel="0" collapsed="false">
      <c r="A23" s="168" t="n">
        <f aca="false">IF(OR(計算_償還開始="",ROWS($A$8:A23)&gt;計算_償還回数),"",ROWS($A$8:A23))</f>
        <v>16</v>
      </c>
      <c r="B23" s="170" t="n">
        <f aca="false">IF(A23="","",EDATE(計算_償還開始,A23-1))</f>
        <v>46813</v>
      </c>
      <c r="C23" s="169" t="n">
        <f aca="false">IF(A23="","",IF(A23=計算_償還回数,D23+F22+G22,計算_毎月償還額))</f>
        <v>25809</v>
      </c>
      <c r="D23" s="169" t="n">
        <f aca="false">IF(A23="","",ROUND(F22*計算_利率/定数_年月数,0)+ROUND(G22*計算_利率_在宅介護/定数_年月数,0))</f>
        <v>1190</v>
      </c>
      <c r="E23" s="169" t="n">
        <f aca="false">IF(A23="","",C23-D23)</f>
        <v>24619</v>
      </c>
      <c r="F23" s="169" t="n">
        <f aca="false">IF(A23="","",IF(A23=計算_償還回数,0,MAX(0,F22-(ROUND(計算_月額_基本,0)-ROUND(F22*計算_利率/定数_年月数,0)))))</f>
        <v>1109188</v>
      </c>
      <c r="G23" s="169" t="n">
        <f aca="false">IF(A23="","",IF(A23=計算_償還回数,0,MAX(0,G22-(ROUND(計算_月額_在宅介護,0)-ROUND(G22*計算_利率_在宅介護/定数_年月数,0)))))</f>
        <v>0</v>
      </c>
      <c r="H23" s="169" t="n">
        <f aca="false">IF(A23="","",F23+G23)</f>
        <v>1109188</v>
      </c>
      <c r="I23" s="168" t="n">
        <f aca="false">IF(A23="","",IF(AND(OR(MONTH(B23)=6,MONTH(B23)=12),I22&lt;計算_賞与回数),I22+1,I22))</f>
        <v>0</v>
      </c>
      <c r="J23" s="169" t="n">
        <f aca="false">IF(A23="","",IF(I23&gt;I22,IF(I23=計算_賞与回数,M22+K23,計算_賞与償還額),0))</f>
        <v>0</v>
      </c>
      <c r="K23" s="169" t="n">
        <f aca="false">IF(A23="","",IF(I23&gt;I22,ROUND(M22*計算_賞与期間利率,0),0))</f>
        <v>0</v>
      </c>
      <c r="L23" s="169" t="n">
        <f aca="false">IF(A23="","",J23-K23)</f>
        <v>0</v>
      </c>
      <c r="M23" s="169" t="n">
        <f aca="false">IF(A23="","",IF(I23&gt;I22,M22-L23,M22))</f>
        <v>0</v>
      </c>
      <c r="N23" s="169" t="n">
        <f aca="false">IF(A23="","",C23+J23)</f>
        <v>25809</v>
      </c>
      <c r="O23" s="169" t="n">
        <f aca="false">IF(A23="","",H23+M23)</f>
        <v>1109188</v>
      </c>
    </row>
    <row r="24" customFormat="false" ht="15" hidden="false" customHeight="false" outlineLevel="0" collapsed="false">
      <c r="A24" s="168" t="n">
        <f aca="false">IF(OR(計算_償還開始="",ROWS($A$8:A24)&gt;計算_償還回数),"",ROWS($A$8:A24))</f>
        <v>17</v>
      </c>
      <c r="B24" s="170" t="n">
        <f aca="false">IF(A24="","",EDATE(計算_償還開始,A24-1))</f>
        <v>46844</v>
      </c>
      <c r="C24" s="169" t="n">
        <f aca="false">IF(A24="","",IF(A24=計算_償還回数,D24+F23+G23,計算_毎月償還額))</f>
        <v>25809</v>
      </c>
      <c r="D24" s="169" t="n">
        <f aca="false">IF(A24="","",ROUND(F23*計算_利率/定数_年月数,0)+ROUND(G23*計算_利率_在宅介護/定数_年月数,0))</f>
        <v>1165</v>
      </c>
      <c r="E24" s="169" t="n">
        <f aca="false">IF(A24="","",C24-D24)</f>
        <v>24644</v>
      </c>
      <c r="F24" s="169" t="n">
        <f aca="false">IF(A24="","",IF(A24=計算_償還回数,0,MAX(0,F23-(ROUND(計算_月額_基本,0)-ROUND(F23*計算_利率/定数_年月数,0)))))</f>
        <v>1084544</v>
      </c>
      <c r="G24" s="169" t="n">
        <f aca="false">IF(A24="","",IF(A24=計算_償還回数,0,MAX(0,G23-(ROUND(計算_月額_在宅介護,0)-ROUND(G23*計算_利率_在宅介護/定数_年月数,0)))))</f>
        <v>0</v>
      </c>
      <c r="H24" s="169" t="n">
        <f aca="false">IF(A24="","",F24+G24)</f>
        <v>1084544</v>
      </c>
      <c r="I24" s="168" t="n">
        <f aca="false">IF(A24="","",IF(AND(OR(MONTH(B24)=6,MONTH(B24)=12),I23&lt;計算_賞与回数),I23+1,I23))</f>
        <v>0</v>
      </c>
      <c r="J24" s="169" t="n">
        <f aca="false">IF(A24="","",IF(I24&gt;I23,IF(I24=計算_賞与回数,M23+K24,計算_賞与償還額),0))</f>
        <v>0</v>
      </c>
      <c r="K24" s="169" t="n">
        <f aca="false">IF(A24="","",IF(I24&gt;I23,ROUND(M23*計算_賞与期間利率,0),0))</f>
        <v>0</v>
      </c>
      <c r="L24" s="169" t="n">
        <f aca="false">IF(A24="","",J24-K24)</f>
        <v>0</v>
      </c>
      <c r="M24" s="169" t="n">
        <f aca="false">IF(A24="","",IF(I24&gt;I23,M23-L24,M23))</f>
        <v>0</v>
      </c>
      <c r="N24" s="169" t="n">
        <f aca="false">IF(A24="","",C24+J24)</f>
        <v>25809</v>
      </c>
      <c r="O24" s="169" t="n">
        <f aca="false">IF(A24="","",H24+M24)</f>
        <v>1084544</v>
      </c>
    </row>
    <row r="25" customFormat="false" ht="15" hidden="false" customHeight="false" outlineLevel="0" collapsed="false">
      <c r="A25" s="168" t="n">
        <f aca="false">IF(OR(計算_償還開始="",ROWS($A$8:A25)&gt;計算_償還回数),"",ROWS($A$8:A25))</f>
        <v>18</v>
      </c>
      <c r="B25" s="170" t="n">
        <f aca="false">IF(A25="","",EDATE(計算_償還開始,A25-1))</f>
        <v>46874</v>
      </c>
      <c r="C25" s="169" t="n">
        <f aca="false">IF(A25="","",IF(A25=計算_償還回数,D25+F24+G24,計算_毎月償還額))</f>
        <v>25809</v>
      </c>
      <c r="D25" s="169" t="n">
        <f aca="false">IF(A25="","",ROUND(F24*計算_利率/定数_年月数,0)+ROUND(G24*計算_利率_在宅介護/定数_年月数,0))</f>
        <v>1139</v>
      </c>
      <c r="E25" s="169" t="n">
        <f aca="false">IF(A25="","",C25-D25)</f>
        <v>24670</v>
      </c>
      <c r="F25" s="169" t="n">
        <f aca="false">IF(A25="","",IF(A25=計算_償還回数,0,MAX(0,F24-(ROUND(計算_月額_基本,0)-ROUND(F24*計算_利率/定数_年月数,0)))))</f>
        <v>1059874</v>
      </c>
      <c r="G25" s="169" t="n">
        <f aca="false">IF(A25="","",IF(A25=計算_償還回数,0,MAX(0,G24-(ROUND(計算_月額_在宅介護,0)-ROUND(G24*計算_利率_在宅介護/定数_年月数,0)))))</f>
        <v>0</v>
      </c>
      <c r="H25" s="169" t="n">
        <f aca="false">IF(A25="","",F25+G25)</f>
        <v>1059874</v>
      </c>
      <c r="I25" s="168" t="n">
        <f aca="false">IF(A25="","",IF(AND(OR(MONTH(B25)=6,MONTH(B25)=12),I24&lt;計算_賞与回数),I24+1,I24))</f>
        <v>0</v>
      </c>
      <c r="J25" s="169" t="n">
        <f aca="false">IF(A25="","",IF(I25&gt;I24,IF(I25=計算_賞与回数,M24+K25,計算_賞与償還額),0))</f>
        <v>0</v>
      </c>
      <c r="K25" s="169" t="n">
        <f aca="false">IF(A25="","",IF(I25&gt;I24,ROUND(M24*計算_賞与期間利率,0),0))</f>
        <v>0</v>
      </c>
      <c r="L25" s="169" t="n">
        <f aca="false">IF(A25="","",J25-K25)</f>
        <v>0</v>
      </c>
      <c r="M25" s="169" t="n">
        <f aca="false">IF(A25="","",IF(I25&gt;I24,M24-L25,M24))</f>
        <v>0</v>
      </c>
      <c r="N25" s="169" t="n">
        <f aca="false">IF(A25="","",C25+J25)</f>
        <v>25809</v>
      </c>
      <c r="O25" s="169" t="n">
        <f aca="false">IF(A25="","",H25+M25)</f>
        <v>1059874</v>
      </c>
    </row>
    <row r="26" customFormat="false" ht="15" hidden="false" customHeight="false" outlineLevel="0" collapsed="false">
      <c r="A26" s="168" t="n">
        <f aca="false">IF(OR(計算_償還開始="",ROWS($A$8:A26)&gt;計算_償還回数),"",ROWS($A$8:A26))</f>
        <v>19</v>
      </c>
      <c r="B26" s="170" t="n">
        <f aca="false">IF(A26="","",EDATE(計算_償還開始,A26-1))</f>
        <v>46905</v>
      </c>
      <c r="C26" s="169" t="n">
        <f aca="false">IF(A26="","",IF(A26=計算_償還回数,D26+F25+G25,計算_毎月償還額))</f>
        <v>25809</v>
      </c>
      <c r="D26" s="169" t="n">
        <f aca="false">IF(A26="","",ROUND(F25*計算_利率/定数_年月数,0)+ROUND(G25*計算_利率_在宅介護/定数_年月数,0))</f>
        <v>1113</v>
      </c>
      <c r="E26" s="169" t="n">
        <f aca="false">IF(A26="","",C26-D26)</f>
        <v>24696</v>
      </c>
      <c r="F26" s="169" t="n">
        <f aca="false">IF(A26="","",IF(A26=計算_償還回数,0,MAX(0,F25-(ROUND(計算_月額_基本,0)-ROUND(F25*計算_利率/定数_年月数,0)))))</f>
        <v>1035178</v>
      </c>
      <c r="G26" s="169" t="n">
        <f aca="false">IF(A26="","",IF(A26=計算_償還回数,0,MAX(0,G25-(ROUND(計算_月額_在宅介護,0)-ROUND(G25*計算_利率_在宅介護/定数_年月数,0)))))</f>
        <v>0</v>
      </c>
      <c r="H26" s="169" t="n">
        <f aca="false">IF(A26="","",F26+G26)</f>
        <v>1035178</v>
      </c>
      <c r="I26" s="168" t="n">
        <f aca="false">IF(A26="","",IF(AND(OR(MONTH(B26)=6,MONTH(B26)=12),I25&lt;計算_賞与回数),I25+1,I25))</f>
        <v>0</v>
      </c>
      <c r="J26" s="169" t="n">
        <f aca="false">IF(A26="","",IF(I26&gt;I25,IF(I26=計算_賞与回数,M25+K26,計算_賞与償還額),0))</f>
        <v>0</v>
      </c>
      <c r="K26" s="169" t="n">
        <f aca="false">IF(A26="","",IF(I26&gt;I25,ROUND(M25*計算_賞与期間利率,0),0))</f>
        <v>0</v>
      </c>
      <c r="L26" s="169" t="n">
        <f aca="false">IF(A26="","",J26-K26)</f>
        <v>0</v>
      </c>
      <c r="M26" s="169" t="n">
        <f aca="false">IF(A26="","",IF(I26&gt;I25,M25-L26,M25))</f>
        <v>0</v>
      </c>
      <c r="N26" s="169" t="n">
        <f aca="false">IF(A26="","",C26+J26)</f>
        <v>25809</v>
      </c>
      <c r="O26" s="169" t="n">
        <f aca="false">IF(A26="","",H26+M26)</f>
        <v>1035178</v>
      </c>
    </row>
    <row r="27" customFormat="false" ht="15" hidden="false" customHeight="false" outlineLevel="0" collapsed="false">
      <c r="A27" s="168" t="n">
        <f aca="false">IF(OR(計算_償還開始="",ROWS($A$8:A27)&gt;計算_償還回数),"",ROWS($A$8:A27))</f>
        <v>20</v>
      </c>
      <c r="B27" s="170" t="n">
        <f aca="false">IF(A27="","",EDATE(計算_償還開始,A27-1))</f>
        <v>46935</v>
      </c>
      <c r="C27" s="169" t="n">
        <f aca="false">IF(A27="","",IF(A27=計算_償還回数,D27+F26+G26,計算_毎月償還額))</f>
        <v>25809</v>
      </c>
      <c r="D27" s="169" t="n">
        <f aca="false">IF(A27="","",ROUND(F26*計算_利率/定数_年月数,0)+ROUND(G26*計算_利率_在宅介護/定数_年月数,0))</f>
        <v>1087</v>
      </c>
      <c r="E27" s="169" t="n">
        <f aca="false">IF(A27="","",C27-D27)</f>
        <v>24722</v>
      </c>
      <c r="F27" s="169" t="n">
        <f aca="false">IF(A27="","",IF(A27=計算_償還回数,0,MAX(0,F26-(ROUND(計算_月額_基本,0)-ROUND(F26*計算_利率/定数_年月数,0)))))</f>
        <v>1010456</v>
      </c>
      <c r="G27" s="169" t="n">
        <f aca="false">IF(A27="","",IF(A27=計算_償還回数,0,MAX(0,G26-(ROUND(計算_月額_在宅介護,0)-ROUND(G26*計算_利率_在宅介護/定数_年月数,0)))))</f>
        <v>0</v>
      </c>
      <c r="H27" s="169" t="n">
        <f aca="false">IF(A27="","",F27+G27)</f>
        <v>1010456</v>
      </c>
      <c r="I27" s="168" t="n">
        <f aca="false">IF(A27="","",IF(AND(OR(MONTH(B27)=6,MONTH(B27)=12),I26&lt;計算_賞与回数),I26+1,I26))</f>
        <v>0</v>
      </c>
      <c r="J27" s="169" t="n">
        <f aca="false">IF(A27="","",IF(I27&gt;I26,IF(I27=計算_賞与回数,M26+K27,計算_賞与償還額),0))</f>
        <v>0</v>
      </c>
      <c r="K27" s="169" t="n">
        <f aca="false">IF(A27="","",IF(I27&gt;I26,ROUND(M26*計算_賞与期間利率,0),0))</f>
        <v>0</v>
      </c>
      <c r="L27" s="169" t="n">
        <f aca="false">IF(A27="","",J27-K27)</f>
        <v>0</v>
      </c>
      <c r="M27" s="169" t="n">
        <f aca="false">IF(A27="","",IF(I27&gt;I26,M26-L27,M26))</f>
        <v>0</v>
      </c>
      <c r="N27" s="169" t="n">
        <f aca="false">IF(A27="","",C27+J27)</f>
        <v>25809</v>
      </c>
      <c r="O27" s="169" t="n">
        <f aca="false">IF(A27="","",H27+M27)</f>
        <v>1010456</v>
      </c>
    </row>
    <row r="28" customFormat="false" ht="15" hidden="false" customHeight="false" outlineLevel="0" collapsed="false">
      <c r="A28" s="168" t="n">
        <f aca="false">IF(OR(計算_償還開始="",ROWS($A$8:A28)&gt;計算_償還回数),"",ROWS($A$8:A28))</f>
        <v>21</v>
      </c>
      <c r="B28" s="170" t="n">
        <f aca="false">IF(A28="","",EDATE(計算_償還開始,A28-1))</f>
        <v>46966</v>
      </c>
      <c r="C28" s="169" t="n">
        <f aca="false">IF(A28="","",IF(A28=計算_償還回数,D28+F27+G27,計算_毎月償還額))</f>
        <v>25809</v>
      </c>
      <c r="D28" s="169" t="n">
        <f aca="false">IF(A28="","",ROUND(F27*計算_利率/定数_年月数,0)+ROUND(G27*計算_利率_在宅介護/定数_年月数,0))</f>
        <v>1061</v>
      </c>
      <c r="E28" s="169" t="n">
        <f aca="false">IF(A28="","",C28-D28)</f>
        <v>24748</v>
      </c>
      <c r="F28" s="169" t="n">
        <f aca="false">IF(A28="","",IF(A28=計算_償還回数,0,MAX(0,F27-(ROUND(計算_月額_基本,0)-ROUND(F27*計算_利率/定数_年月数,0)))))</f>
        <v>985708</v>
      </c>
      <c r="G28" s="169" t="n">
        <f aca="false">IF(A28="","",IF(A28=計算_償還回数,0,MAX(0,G27-(ROUND(計算_月額_在宅介護,0)-ROUND(G27*計算_利率_在宅介護/定数_年月数,0)))))</f>
        <v>0</v>
      </c>
      <c r="H28" s="169" t="n">
        <f aca="false">IF(A28="","",F28+G28)</f>
        <v>985708</v>
      </c>
      <c r="I28" s="168" t="n">
        <f aca="false">IF(A28="","",IF(AND(OR(MONTH(B28)=6,MONTH(B28)=12),I27&lt;計算_賞与回数),I27+1,I27))</f>
        <v>0</v>
      </c>
      <c r="J28" s="169" t="n">
        <f aca="false">IF(A28="","",IF(I28&gt;I27,IF(I28=計算_賞与回数,M27+K28,計算_賞与償還額),0))</f>
        <v>0</v>
      </c>
      <c r="K28" s="169" t="n">
        <f aca="false">IF(A28="","",IF(I28&gt;I27,ROUND(M27*計算_賞与期間利率,0),0))</f>
        <v>0</v>
      </c>
      <c r="L28" s="169" t="n">
        <f aca="false">IF(A28="","",J28-K28)</f>
        <v>0</v>
      </c>
      <c r="M28" s="169" t="n">
        <f aca="false">IF(A28="","",IF(I28&gt;I27,M27-L28,M27))</f>
        <v>0</v>
      </c>
      <c r="N28" s="169" t="n">
        <f aca="false">IF(A28="","",C28+J28)</f>
        <v>25809</v>
      </c>
      <c r="O28" s="169" t="n">
        <f aca="false">IF(A28="","",H28+M28)</f>
        <v>985708</v>
      </c>
    </row>
    <row r="29" customFormat="false" ht="15" hidden="false" customHeight="false" outlineLevel="0" collapsed="false">
      <c r="A29" s="168" t="n">
        <f aca="false">IF(OR(計算_償還開始="",ROWS($A$8:A29)&gt;計算_償還回数),"",ROWS($A$8:A29))</f>
        <v>22</v>
      </c>
      <c r="B29" s="170" t="n">
        <f aca="false">IF(A29="","",EDATE(計算_償還開始,A29-1))</f>
        <v>46997</v>
      </c>
      <c r="C29" s="169" t="n">
        <f aca="false">IF(A29="","",IF(A29=計算_償還回数,D29+F28+G28,計算_毎月償還額))</f>
        <v>25809</v>
      </c>
      <c r="D29" s="169" t="n">
        <f aca="false">IF(A29="","",ROUND(F28*計算_利率/定数_年月数,0)+ROUND(G28*計算_利率_在宅介護/定数_年月数,0))</f>
        <v>1035</v>
      </c>
      <c r="E29" s="169" t="n">
        <f aca="false">IF(A29="","",C29-D29)</f>
        <v>24774</v>
      </c>
      <c r="F29" s="169" t="n">
        <f aca="false">IF(A29="","",IF(A29=計算_償還回数,0,MAX(0,F28-(ROUND(計算_月額_基本,0)-ROUND(F28*計算_利率/定数_年月数,0)))))</f>
        <v>960934</v>
      </c>
      <c r="G29" s="169" t="n">
        <f aca="false">IF(A29="","",IF(A29=計算_償還回数,0,MAX(0,G28-(ROUND(計算_月額_在宅介護,0)-ROUND(G28*計算_利率_在宅介護/定数_年月数,0)))))</f>
        <v>0</v>
      </c>
      <c r="H29" s="169" t="n">
        <f aca="false">IF(A29="","",F29+G29)</f>
        <v>960934</v>
      </c>
      <c r="I29" s="168" t="n">
        <f aca="false">IF(A29="","",IF(AND(OR(MONTH(B29)=6,MONTH(B29)=12),I28&lt;計算_賞与回数),I28+1,I28))</f>
        <v>0</v>
      </c>
      <c r="J29" s="169" t="n">
        <f aca="false">IF(A29="","",IF(I29&gt;I28,IF(I29=計算_賞与回数,M28+K29,計算_賞与償還額),0))</f>
        <v>0</v>
      </c>
      <c r="K29" s="169" t="n">
        <f aca="false">IF(A29="","",IF(I29&gt;I28,ROUND(M28*計算_賞与期間利率,0),0))</f>
        <v>0</v>
      </c>
      <c r="L29" s="169" t="n">
        <f aca="false">IF(A29="","",J29-K29)</f>
        <v>0</v>
      </c>
      <c r="M29" s="169" t="n">
        <f aca="false">IF(A29="","",IF(I29&gt;I28,M28-L29,M28))</f>
        <v>0</v>
      </c>
      <c r="N29" s="169" t="n">
        <f aca="false">IF(A29="","",C29+J29)</f>
        <v>25809</v>
      </c>
      <c r="O29" s="169" t="n">
        <f aca="false">IF(A29="","",H29+M29)</f>
        <v>960934</v>
      </c>
    </row>
    <row r="30" customFormat="false" ht="15" hidden="false" customHeight="false" outlineLevel="0" collapsed="false">
      <c r="A30" s="168" t="n">
        <f aca="false">IF(OR(計算_償還開始="",ROWS($A$8:A30)&gt;計算_償還回数),"",ROWS($A$8:A30))</f>
        <v>23</v>
      </c>
      <c r="B30" s="170" t="n">
        <f aca="false">IF(A30="","",EDATE(計算_償還開始,A30-1))</f>
        <v>47027</v>
      </c>
      <c r="C30" s="169" t="n">
        <f aca="false">IF(A30="","",IF(A30=計算_償還回数,D30+F29+G29,計算_毎月償還額))</f>
        <v>25809</v>
      </c>
      <c r="D30" s="169" t="n">
        <f aca="false">IF(A30="","",ROUND(F29*計算_利率/定数_年月数,0)+ROUND(G29*計算_利率_在宅介護/定数_年月数,0))</f>
        <v>1009</v>
      </c>
      <c r="E30" s="169" t="n">
        <f aca="false">IF(A30="","",C30-D30)</f>
        <v>24800</v>
      </c>
      <c r="F30" s="169" t="n">
        <f aca="false">IF(A30="","",IF(A30=計算_償還回数,0,MAX(0,F29-(ROUND(計算_月額_基本,0)-ROUND(F29*計算_利率/定数_年月数,0)))))</f>
        <v>936134</v>
      </c>
      <c r="G30" s="169" t="n">
        <f aca="false">IF(A30="","",IF(A30=計算_償還回数,0,MAX(0,G29-(ROUND(計算_月額_在宅介護,0)-ROUND(G29*計算_利率_在宅介護/定数_年月数,0)))))</f>
        <v>0</v>
      </c>
      <c r="H30" s="169" t="n">
        <f aca="false">IF(A30="","",F30+G30)</f>
        <v>936134</v>
      </c>
      <c r="I30" s="168" t="n">
        <f aca="false">IF(A30="","",IF(AND(OR(MONTH(B30)=6,MONTH(B30)=12),I29&lt;計算_賞与回数),I29+1,I29))</f>
        <v>0</v>
      </c>
      <c r="J30" s="169" t="n">
        <f aca="false">IF(A30="","",IF(I30&gt;I29,IF(I30=計算_賞与回数,M29+K30,計算_賞与償還額),0))</f>
        <v>0</v>
      </c>
      <c r="K30" s="169" t="n">
        <f aca="false">IF(A30="","",IF(I30&gt;I29,ROUND(M29*計算_賞与期間利率,0),0))</f>
        <v>0</v>
      </c>
      <c r="L30" s="169" t="n">
        <f aca="false">IF(A30="","",J30-K30)</f>
        <v>0</v>
      </c>
      <c r="M30" s="169" t="n">
        <f aca="false">IF(A30="","",IF(I30&gt;I29,M29-L30,M29))</f>
        <v>0</v>
      </c>
      <c r="N30" s="169" t="n">
        <f aca="false">IF(A30="","",C30+J30)</f>
        <v>25809</v>
      </c>
      <c r="O30" s="169" t="n">
        <f aca="false">IF(A30="","",H30+M30)</f>
        <v>936134</v>
      </c>
    </row>
    <row r="31" customFormat="false" ht="15" hidden="false" customHeight="false" outlineLevel="0" collapsed="false">
      <c r="A31" s="168" t="n">
        <f aca="false">IF(OR(計算_償還開始="",ROWS($A$8:A31)&gt;計算_償還回数),"",ROWS($A$8:A31))</f>
        <v>24</v>
      </c>
      <c r="B31" s="170" t="n">
        <f aca="false">IF(A31="","",EDATE(計算_償還開始,A31-1))</f>
        <v>47058</v>
      </c>
      <c r="C31" s="169" t="n">
        <f aca="false">IF(A31="","",IF(A31=計算_償還回数,D31+F30+G30,計算_毎月償還額))</f>
        <v>25809</v>
      </c>
      <c r="D31" s="169" t="n">
        <f aca="false">IF(A31="","",ROUND(F30*計算_利率/定数_年月数,0)+ROUND(G30*計算_利率_在宅介護/定数_年月数,0))</f>
        <v>983</v>
      </c>
      <c r="E31" s="169" t="n">
        <f aca="false">IF(A31="","",C31-D31)</f>
        <v>24826</v>
      </c>
      <c r="F31" s="169" t="n">
        <f aca="false">IF(A31="","",IF(A31=計算_償還回数,0,MAX(0,F30-(ROUND(計算_月額_基本,0)-ROUND(F30*計算_利率/定数_年月数,0)))))</f>
        <v>911308</v>
      </c>
      <c r="G31" s="169" t="n">
        <f aca="false">IF(A31="","",IF(A31=計算_償還回数,0,MAX(0,G30-(ROUND(計算_月額_在宅介護,0)-ROUND(G30*計算_利率_在宅介護/定数_年月数,0)))))</f>
        <v>0</v>
      </c>
      <c r="H31" s="169" t="n">
        <f aca="false">IF(A31="","",F31+G31)</f>
        <v>911308</v>
      </c>
      <c r="I31" s="168" t="n">
        <f aca="false">IF(A31="","",IF(AND(OR(MONTH(B31)=6,MONTH(B31)=12),I30&lt;計算_賞与回数),I30+1,I30))</f>
        <v>0</v>
      </c>
      <c r="J31" s="169" t="n">
        <f aca="false">IF(A31="","",IF(I31&gt;I30,IF(I31=計算_賞与回数,M30+K31,計算_賞与償還額),0))</f>
        <v>0</v>
      </c>
      <c r="K31" s="169" t="n">
        <f aca="false">IF(A31="","",IF(I31&gt;I30,ROUND(M30*計算_賞与期間利率,0),0))</f>
        <v>0</v>
      </c>
      <c r="L31" s="169" t="n">
        <f aca="false">IF(A31="","",J31-K31)</f>
        <v>0</v>
      </c>
      <c r="M31" s="169" t="n">
        <f aca="false">IF(A31="","",IF(I31&gt;I30,M30-L31,M30))</f>
        <v>0</v>
      </c>
      <c r="N31" s="169" t="n">
        <f aca="false">IF(A31="","",C31+J31)</f>
        <v>25809</v>
      </c>
      <c r="O31" s="169" t="n">
        <f aca="false">IF(A31="","",H31+M31)</f>
        <v>911308</v>
      </c>
    </row>
    <row r="32" customFormat="false" ht="15" hidden="false" customHeight="false" outlineLevel="0" collapsed="false">
      <c r="A32" s="168" t="n">
        <f aca="false">IF(OR(計算_償還開始="",ROWS($A$8:A32)&gt;計算_償還回数),"",ROWS($A$8:A32))</f>
        <v>25</v>
      </c>
      <c r="B32" s="170" t="n">
        <f aca="false">IF(A32="","",EDATE(計算_償還開始,A32-1))</f>
        <v>47088</v>
      </c>
      <c r="C32" s="169" t="n">
        <f aca="false">IF(A32="","",IF(A32=計算_償還回数,D32+F31+G31,計算_毎月償還額))</f>
        <v>25809</v>
      </c>
      <c r="D32" s="169" t="n">
        <f aca="false">IF(A32="","",ROUND(F31*計算_利率/定数_年月数,0)+ROUND(G31*計算_利率_在宅介護/定数_年月数,0))</f>
        <v>957</v>
      </c>
      <c r="E32" s="169" t="n">
        <f aca="false">IF(A32="","",C32-D32)</f>
        <v>24852</v>
      </c>
      <c r="F32" s="169" t="n">
        <f aca="false">IF(A32="","",IF(A32=計算_償還回数,0,MAX(0,F31-(ROUND(計算_月額_基本,0)-ROUND(F31*計算_利率/定数_年月数,0)))))</f>
        <v>886456</v>
      </c>
      <c r="G32" s="169" t="n">
        <f aca="false">IF(A32="","",IF(A32=計算_償還回数,0,MAX(0,G31-(ROUND(計算_月額_在宅介護,0)-ROUND(G31*計算_利率_在宅介護/定数_年月数,0)))))</f>
        <v>0</v>
      </c>
      <c r="H32" s="169" t="n">
        <f aca="false">IF(A32="","",F32+G32)</f>
        <v>886456</v>
      </c>
      <c r="I32" s="168" t="n">
        <f aca="false">IF(A32="","",IF(AND(OR(MONTH(B32)=6,MONTH(B32)=12),I31&lt;計算_賞与回数),I31+1,I31))</f>
        <v>0</v>
      </c>
      <c r="J32" s="169" t="n">
        <f aca="false">IF(A32="","",IF(I32&gt;I31,IF(I32=計算_賞与回数,M31+K32,計算_賞与償還額),0))</f>
        <v>0</v>
      </c>
      <c r="K32" s="169" t="n">
        <f aca="false">IF(A32="","",IF(I32&gt;I31,ROUND(M31*計算_賞与期間利率,0),0))</f>
        <v>0</v>
      </c>
      <c r="L32" s="169" t="n">
        <f aca="false">IF(A32="","",J32-K32)</f>
        <v>0</v>
      </c>
      <c r="M32" s="169" t="n">
        <f aca="false">IF(A32="","",IF(I32&gt;I31,M31-L32,M31))</f>
        <v>0</v>
      </c>
      <c r="N32" s="169" t="n">
        <f aca="false">IF(A32="","",C32+J32)</f>
        <v>25809</v>
      </c>
      <c r="O32" s="169" t="n">
        <f aca="false">IF(A32="","",H32+M32)</f>
        <v>886456</v>
      </c>
    </row>
    <row r="33" customFormat="false" ht="15" hidden="false" customHeight="false" outlineLevel="0" collapsed="false">
      <c r="A33" s="168" t="n">
        <f aca="false">IF(OR(計算_償還開始="",ROWS($A$8:A33)&gt;計算_償還回数),"",ROWS($A$8:A33))</f>
        <v>26</v>
      </c>
      <c r="B33" s="170" t="n">
        <f aca="false">IF(A33="","",EDATE(計算_償還開始,A33-1))</f>
        <v>47119</v>
      </c>
      <c r="C33" s="169" t="n">
        <f aca="false">IF(A33="","",IF(A33=計算_償還回数,D33+F32+G32,計算_毎月償還額))</f>
        <v>25809</v>
      </c>
      <c r="D33" s="169" t="n">
        <f aca="false">IF(A33="","",ROUND(F32*計算_利率/定数_年月数,0)+ROUND(G32*計算_利率_在宅介護/定数_年月数,0))</f>
        <v>931</v>
      </c>
      <c r="E33" s="169" t="n">
        <f aca="false">IF(A33="","",C33-D33)</f>
        <v>24878</v>
      </c>
      <c r="F33" s="169" t="n">
        <f aca="false">IF(A33="","",IF(A33=計算_償還回数,0,MAX(0,F32-(ROUND(計算_月額_基本,0)-ROUND(F32*計算_利率/定数_年月数,0)))))</f>
        <v>861578</v>
      </c>
      <c r="G33" s="169" t="n">
        <f aca="false">IF(A33="","",IF(A33=計算_償還回数,0,MAX(0,G32-(ROUND(計算_月額_在宅介護,0)-ROUND(G32*計算_利率_在宅介護/定数_年月数,0)))))</f>
        <v>0</v>
      </c>
      <c r="H33" s="169" t="n">
        <f aca="false">IF(A33="","",F33+G33)</f>
        <v>861578</v>
      </c>
      <c r="I33" s="168" t="n">
        <f aca="false">IF(A33="","",IF(AND(OR(MONTH(B33)=6,MONTH(B33)=12),I32&lt;計算_賞与回数),I32+1,I32))</f>
        <v>0</v>
      </c>
      <c r="J33" s="169" t="n">
        <f aca="false">IF(A33="","",IF(I33&gt;I32,IF(I33=計算_賞与回数,M32+K33,計算_賞与償還額),0))</f>
        <v>0</v>
      </c>
      <c r="K33" s="169" t="n">
        <f aca="false">IF(A33="","",IF(I33&gt;I32,ROUND(M32*計算_賞与期間利率,0),0))</f>
        <v>0</v>
      </c>
      <c r="L33" s="169" t="n">
        <f aca="false">IF(A33="","",J33-K33)</f>
        <v>0</v>
      </c>
      <c r="M33" s="169" t="n">
        <f aca="false">IF(A33="","",IF(I33&gt;I32,M32-L33,M32))</f>
        <v>0</v>
      </c>
      <c r="N33" s="169" t="n">
        <f aca="false">IF(A33="","",C33+J33)</f>
        <v>25809</v>
      </c>
      <c r="O33" s="169" t="n">
        <f aca="false">IF(A33="","",H33+M33)</f>
        <v>861578</v>
      </c>
    </row>
    <row r="34" customFormat="false" ht="15" hidden="false" customHeight="false" outlineLevel="0" collapsed="false">
      <c r="A34" s="168" t="n">
        <f aca="false">IF(OR(計算_償還開始="",ROWS($A$8:A34)&gt;計算_償還回数),"",ROWS($A$8:A34))</f>
        <v>27</v>
      </c>
      <c r="B34" s="170" t="n">
        <f aca="false">IF(A34="","",EDATE(計算_償還開始,A34-1))</f>
        <v>47150</v>
      </c>
      <c r="C34" s="169" t="n">
        <f aca="false">IF(A34="","",IF(A34=計算_償還回数,D34+F33+G33,計算_毎月償還額))</f>
        <v>25809</v>
      </c>
      <c r="D34" s="169" t="n">
        <f aca="false">IF(A34="","",ROUND(F33*計算_利率/定数_年月数,0)+ROUND(G33*計算_利率_在宅介護/定数_年月数,0))</f>
        <v>905</v>
      </c>
      <c r="E34" s="169" t="n">
        <f aca="false">IF(A34="","",C34-D34)</f>
        <v>24904</v>
      </c>
      <c r="F34" s="169" t="n">
        <f aca="false">IF(A34="","",IF(A34=計算_償還回数,0,MAX(0,F33-(ROUND(計算_月額_基本,0)-ROUND(F33*計算_利率/定数_年月数,0)))))</f>
        <v>836674</v>
      </c>
      <c r="G34" s="169" t="n">
        <f aca="false">IF(A34="","",IF(A34=計算_償還回数,0,MAX(0,G33-(ROUND(計算_月額_在宅介護,0)-ROUND(G33*計算_利率_在宅介護/定数_年月数,0)))))</f>
        <v>0</v>
      </c>
      <c r="H34" s="169" t="n">
        <f aca="false">IF(A34="","",F34+G34)</f>
        <v>836674</v>
      </c>
      <c r="I34" s="168" t="n">
        <f aca="false">IF(A34="","",IF(AND(OR(MONTH(B34)=6,MONTH(B34)=12),I33&lt;計算_賞与回数),I33+1,I33))</f>
        <v>0</v>
      </c>
      <c r="J34" s="169" t="n">
        <f aca="false">IF(A34="","",IF(I34&gt;I33,IF(I34=計算_賞与回数,M33+K34,計算_賞与償還額),0))</f>
        <v>0</v>
      </c>
      <c r="K34" s="169" t="n">
        <f aca="false">IF(A34="","",IF(I34&gt;I33,ROUND(M33*計算_賞与期間利率,0),0))</f>
        <v>0</v>
      </c>
      <c r="L34" s="169" t="n">
        <f aca="false">IF(A34="","",J34-K34)</f>
        <v>0</v>
      </c>
      <c r="M34" s="169" t="n">
        <f aca="false">IF(A34="","",IF(I34&gt;I33,M33-L34,M33))</f>
        <v>0</v>
      </c>
      <c r="N34" s="169" t="n">
        <f aca="false">IF(A34="","",C34+J34)</f>
        <v>25809</v>
      </c>
      <c r="O34" s="169" t="n">
        <f aca="false">IF(A34="","",H34+M34)</f>
        <v>836674</v>
      </c>
    </row>
    <row r="35" customFormat="false" ht="15" hidden="false" customHeight="false" outlineLevel="0" collapsed="false">
      <c r="A35" s="168" t="n">
        <f aca="false">IF(OR(計算_償還開始="",ROWS($A$8:A35)&gt;計算_償還回数),"",ROWS($A$8:A35))</f>
        <v>28</v>
      </c>
      <c r="B35" s="170" t="n">
        <f aca="false">IF(A35="","",EDATE(計算_償還開始,A35-1))</f>
        <v>47178</v>
      </c>
      <c r="C35" s="169" t="n">
        <f aca="false">IF(A35="","",IF(A35=計算_償還回数,D35+F34+G34,計算_毎月償還額))</f>
        <v>25809</v>
      </c>
      <c r="D35" s="169" t="n">
        <f aca="false">IF(A35="","",ROUND(F34*計算_利率/定数_年月数,0)+ROUND(G34*計算_利率_在宅介護/定数_年月数,0))</f>
        <v>879</v>
      </c>
      <c r="E35" s="169" t="n">
        <f aca="false">IF(A35="","",C35-D35)</f>
        <v>24930</v>
      </c>
      <c r="F35" s="169" t="n">
        <f aca="false">IF(A35="","",IF(A35=計算_償還回数,0,MAX(0,F34-(ROUND(計算_月額_基本,0)-ROUND(F34*計算_利率/定数_年月数,0)))))</f>
        <v>811744</v>
      </c>
      <c r="G35" s="169" t="n">
        <f aca="false">IF(A35="","",IF(A35=計算_償還回数,0,MAX(0,G34-(ROUND(計算_月額_在宅介護,0)-ROUND(G34*計算_利率_在宅介護/定数_年月数,0)))))</f>
        <v>0</v>
      </c>
      <c r="H35" s="169" t="n">
        <f aca="false">IF(A35="","",F35+G35)</f>
        <v>811744</v>
      </c>
      <c r="I35" s="168" t="n">
        <f aca="false">IF(A35="","",IF(AND(OR(MONTH(B35)=6,MONTH(B35)=12),I34&lt;計算_賞与回数),I34+1,I34))</f>
        <v>0</v>
      </c>
      <c r="J35" s="169" t="n">
        <f aca="false">IF(A35="","",IF(I35&gt;I34,IF(I35=計算_賞与回数,M34+K35,計算_賞与償還額),0))</f>
        <v>0</v>
      </c>
      <c r="K35" s="169" t="n">
        <f aca="false">IF(A35="","",IF(I35&gt;I34,ROUND(M34*計算_賞与期間利率,0),0))</f>
        <v>0</v>
      </c>
      <c r="L35" s="169" t="n">
        <f aca="false">IF(A35="","",J35-K35)</f>
        <v>0</v>
      </c>
      <c r="M35" s="169" t="n">
        <f aca="false">IF(A35="","",IF(I35&gt;I34,M34-L35,M34))</f>
        <v>0</v>
      </c>
      <c r="N35" s="169" t="n">
        <f aca="false">IF(A35="","",C35+J35)</f>
        <v>25809</v>
      </c>
      <c r="O35" s="169" t="n">
        <f aca="false">IF(A35="","",H35+M35)</f>
        <v>811744</v>
      </c>
    </row>
    <row r="36" customFormat="false" ht="15" hidden="false" customHeight="false" outlineLevel="0" collapsed="false">
      <c r="A36" s="168" t="n">
        <f aca="false">IF(OR(計算_償還開始="",ROWS($A$8:A36)&gt;計算_償還回数),"",ROWS($A$8:A36))</f>
        <v>29</v>
      </c>
      <c r="B36" s="170" t="n">
        <f aca="false">IF(A36="","",EDATE(計算_償還開始,A36-1))</f>
        <v>47209</v>
      </c>
      <c r="C36" s="169" t="n">
        <f aca="false">IF(A36="","",IF(A36=計算_償還回数,D36+F35+G35,計算_毎月償還額))</f>
        <v>25809</v>
      </c>
      <c r="D36" s="169" t="n">
        <f aca="false">IF(A36="","",ROUND(F35*計算_利率/定数_年月数,0)+ROUND(G35*計算_利率_在宅介護/定数_年月数,0))</f>
        <v>852</v>
      </c>
      <c r="E36" s="169" t="n">
        <f aca="false">IF(A36="","",C36-D36)</f>
        <v>24957</v>
      </c>
      <c r="F36" s="169" t="n">
        <f aca="false">IF(A36="","",IF(A36=計算_償還回数,0,MAX(0,F35-(ROUND(計算_月額_基本,0)-ROUND(F35*計算_利率/定数_年月数,0)))))</f>
        <v>786787</v>
      </c>
      <c r="G36" s="169" t="n">
        <f aca="false">IF(A36="","",IF(A36=計算_償還回数,0,MAX(0,G35-(ROUND(計算_月額_在宅介護,0)-ROUND(G35*計算_利率_在宅介護/定数_年月数,0)))))</f>
        <v>0</v>
      </c>
      <c r="H36" s="169" t="n">
        <f aca="false">IF(A36="","",F36+G36)</f>
        <v>786787</v>
      </c>
      <c r="I36" s="168" t="n">
        <f aca="false">IF(A36="","",IF(AND(OR(MONTH(B36)=6,MONTH(B36)=12),I35&lt;計算_賞与回数),I35+1,I35))</f>
        <v>0</v>
      </c>
      <c r="J36" s="169" t="n">
        <f aca="false">IF(A36="","",IF(I36&gt;I35,IF(I36=計算_賞与回数,M35+K36,計算_賞与償還額),0))</f>
        <v>0</v>
      </c>
      <c r="K36" s="169" t="n">
        <f aca="false">IF(A36="","",IF(I36&gt;I35,ROUND(M35*計算_賞与期間利率,0),0))</f>
        <v>0</v>
      </c>
      <c r="L36" s="169" t="n">
        <f aca="false">IF(A36="","",J36-K36)</f>
        <v>0</v>
      </c>
      <c r="M36" s="169" t="n">
        <f aca="false">IF(A36="","",IF(I36&gt;I35,M35-L36,M35))</f>
        <v>0</v>
      </c>
      <c r="N36" s="169" t="n">
        <f aca="false">IF(A36="","",C36+J36)</f>
        <v>25809</v>
      </c>
      <c r="O36" s="169" t="n">
        <f aca="false">IF(A36="","",H36+M36)</f>
        <v>786787</v>
      </c>
    </row>
    <row r="37" customFormat="false" ht="15" hidden="false" customHeight="false" outlineLevel="0" collapsed="false">
      <c r="A37" s="168" t="n">
        <f aca="false">IF(OR(計算_償還開始="",ROWS($A$8:A37)&gt;計算_償還回数),"",ROWS($A$8:A37))</f>
        <v>30</v>
      </c>
      <c r="B37" s="170" t="n">
        <f aca="false">IF(A37="","",EDATE(計算_償還開始,A37-1))</f>
        <v>47239</v>
      </c>
      <c r="C37" s="169" t="n">
        <f aca="false">IF(A37="","",IF(A37=計算_償還回数,D37+F36+G36,計算_毎月償還額))</f>
        <v>25809</v>
      </c>
      <c r="D37" s="169" t="n">
        <f aca="false">IF(A37="","",ROUND(F36*計算_利率/定数_年月数,0)+ROUND(G36*計算_利率_在宅介護/定数_年月数,0))</f>
        <v>826</v>
      </c>
      <c r="E37" s="169" t="n">
        <f aca="false">IF(A37="","",C37-D37)</f>
        <v>24983</v>
      </c>
      <c r="F37" s="169" t="n">
        <f aca="false">IF(A37="","",IF(A37=計算_償還回数,0,MAX(0,F36-(ROUND(計算_月額_基本,0)-ROUND(F36*計算_利率/定数_年月数,0)))))</f>
        <v>761804</v>
      </c>
      <c r="G37" s="169" t="n">
        <f aca="false">IF(A37="","",IF(A37=計算_償還回数,0,MAX(0,G36-(ROUND(計算_月額_在宅介護,0)-ROUND(G36*計算_利率_在宅介護/定数_年月数,0)))))</f>
        <v>0</v>
      </c>
      <c r="H37" s="169" t="n">
        <f aca="false">IF(A37="","",F37+G37)</f>
        <v>761804</v>
      </c>
      <c r="I37" s="168" t="n">
        <f aca="false">IF(A37="","",IF(AND(OR(MONTH(B37)=6,MONTH(B37)=12),I36&lt;計算_賞与回数),I36+1,I36))</f>
        <v>0</v>
      </c>
      <c r="J37" s="169" t="n">
        <f aca="false">IF(A37="","",IF(I37&gt;I36,IF(I37=計算_賞与回数,M36+K37,計算_賞与償還額),0))</f>
        <v>0</v>
      </c>
      <c r="K37" s="169" t="n">
        <f aca="false">IF(A37="","",IF(I37&gt;I36,ROUND(M36*計算_賞与期間利率,0),0))</f>
        <v>0</v>
      </c>
      <c r="L37" s="169" t="n">
        <f aca="false">IF(A37="","",J37-K37)</f>
        <v>0</v>
      </c>
      <c r="M37" s="169" t="n">
        <f aca="false">IF(A37="","",IF(I37&gt;I36,M36-L37,M36))</f>
        <v>0</v>
      </c>
      <c r="N37" s="169" t="n">
        <f aca="false">IF(A37="","",C37+J37)</f>
        <v>25809</v>
      </c>
      <c r="O37" s="169" t="n">
        <f aca="false">IF(A37="","",H37+M37)</f>
        <v>761804</v>
      </c>
    </row>
    <row r="38" customFormat="false" ht="15" hidden="false" customHeight="false" outlineLevel="0" collapsed="false">
      <c r="A38" s="168" t="n">
        <f aca="false">IF(OR(計算_償還開始="",ROWS($A$8:A38)&gt;計算_償還回数),"",ROWS($A$8:A38))</f>
        <v>31</v>
      </c>
      <c r="B38" s="170" t="n">
        <f aca="false">IF(A38="","",EDATE(計算_償還開始,A38-1))</f>
        <v>47270</v>
      </c>
      <c r="C38" s="169" t="n">
        <f aca="false">IF(A38="","",IF(A38=計算_償還回数,D38+F37+G37,計算_毎月償還額))</f>
        <v>25809</v>
      </c>
      <c r="D38" s="169" t="n">
        <f aca="false">IF(A38="","",ROUND(F37*計算_利率/定数_年月数,0)+ROUND(G37*計算_利率_在宅介護/定数_年月数,0))</f>
        <v>800</v>
      </c>
      <c r="E38" s="169" t="n">
        <f aca="false">IF(A38="","",C38-D38)</f>
        <v>25009</v>
      </c>
      <c r="F38" s="169" t="n">
        <f aca="false">IF(A38="","",IF(A38=計算_償還回数,0,MAX(0,F37-(ROUND(計算_月額_基本,0)-ROUND(F37*計算_利率/定数_年月数,0)))))</f>
        <v>736795</v>
      </c>
      <c r="G38" s="169" t="n">
        <f aca="false">IF(A38="","",IF(A38=計算_償還回数,0,MAX(0,G37-(ROUND(計算_月額_在宅介護,0)-ROUND(G37*計算_利率_在宅介護/定数_年月数,0)))))</f>
        <v>0</v>
      </c>
      <c r="H38" s="169" t="n">
        <f aca="false">IF(A38="","",F38+G38)</f>
        <v>736795</v>
      </c>
      <c r="I38" s="168" t="n">
        <f aca="false">IF(A38="","",IF(AND(OR(MONTH(B38)=6,MONTH(B38)=12),I37&lt;計算_賞与回数),I37+1,I37))</f>
        <v>0</v>
      </c>
      <c r="J38" s="169" t="n">
        <f aca="false">IF(A38="","",IF(I38&gt;I37,IF(I38=計算_賞与回数,M37+K38,計算_賞与償還額),0))</f>
        <v>0</v>
      </c>
      <c r="K38" s="169" t="n">
        <f aca="false">IF(A38="","",IF(I38&gt;I37,ROUND(M37*計算_賞与期間利率,0),0))</f>
        <v>0</v>
      </c>
      <c r="L38" s="169" t="n">
        <f aca="false">IF(A38="","",J38-K38)</f>
        <v>0</v>
      </c>
      <c r="M38" s="169" t="n">
        <f aca="false">IF(A38="","",IF(I38&gt;I37,M37-L38,M37))</f>
        <v>0</v>
      </c>
      <c r="N38" s="169" t="n">
        <f aca="false">IF(A38="","",C38+J38)</f>
        <v>25809</v>
      </c>
      <c r="O38" s="169" t="n">
        <f aca="false">IF(A38="","",H38+M38)</f>
        <v>736795</v>
      </c>
    </row>
    <row r="39" customFormat="false" ht="15" hidden="false" customHeight="false" outlineLevel="0" collapsed="false">
      <c r="A39" s="168" t="n">
        <f aca="false">IF(OR(計算_償還開始="",ROWS($A$8:A39)&gt;計算_償還回数),"",ROWS($A$8:A39))</f>
        <v>32</v>
      </c>
      <c r="B39" s="170" t="n">
        <f aca="false">IF(A39="","",EDATE(計算_償還開始,A39-1))</f>
        <v>47300</v>
      </c>
      <c r="C39" s="169" t="n">
        <f aca="false">IF(A39="","",IF(A39=計算_償還回数,D39+F38+G38,計算_毎月償還額))</f>
        <v>25809</v>
      </c>
      <c r="D39" s="169" t="n">
        <f aca="false">IF(A39="","",ROUND(F38*計算_利率/定数_年月数,0)+ROUND(G38*計算_利率_在宅介護/定数_年月数,0))</f>
        <v>774</v>
      </c>
      <c r="E39" s="169" t="n">
        <f aca="false">IF(A39="","",C39-D39)</f>
        <v>25035</v>
      </c>
      <c r="F39" s="169" t="n">
        <f aca="false">IF(A39="","",IF(A39=計算_償還回数,0,MAX(0,F38-(ROUND(計算_月額_基本,0)-ROUND(F38*計算_利率/定数_年月数,0)))))</f>
        <v>711760</v>
      </c>
      <c r="G39" s="169" t="n">
        <f aca="false">IF(A39="","",IF(A39=計算_償還回数,0,MAX(0,G38-(ROUND(計算_月額_在宅介護,0)-ROUND(G38*計算_利率_在宅介護/定数_年月数,0)))))</f>
        <v>0</v>
      </c>
      <c r="H39" s="169" t="n">
        <f aca="false">IF(A39="","",F39+G39)</f>
        <v>711760</v>
      </c>
      <c r="I39" s="168" t="n">
        <f aca="false">IF(A39="","",IF(AND(OR(MONTH(B39)=6,MONTH(B39)=12),I38&lt;計算_賞与回数),I38+1,I38))</f>
        <v>0</v>
      </c>
      <c r="J39" s="169" t="n">
        <f aca="false">IF(A39="","",IF(I39&gt;I38,IF(I39=計算_賞与回数,M38+K39,計算_賞与償還額),0))</f>
        <v>0</v>
      </c>
      <c r="K39" s="169" t="n">
        <f aca="false">IF(A39="","",IF(I39&gt;I38,ROUND(M38*計算_賞与期間利率,0),0))</f>
        <v>0</v>
      </c>
      <c r="L39" s="169" t="n">
        <f aca="false">IF(A39="","",J39-K39)</f>
        <v>0</v>
      </c>
      <c r="M39" s="169" t="n">
        <f aca="false">IF(A39="","",IF(I39&gt;I38,M38-L39,M38))</f>
        <v>0</v>
      </c>
      <c r="N39" s="169" t="n">
        <f aca="false">IF(A39="","",C39+J39)</f>
        <v>25809</v>
      </c>
      <c r="O39" s="169" t="n">
        <f aca="false">IF(A39="","",H39+M39)</f>
        <v>711760</v>
      </c>
    </row>
    <row r="40" customFormat="false" ht="15" hidden="false" customHeight="false" outlineLevel="0" collapsed="false">
      <c r="A40" s="168" t="n">
        <f aca="false">IF(OR(計算_償還開始="",ROWS($A$8:A40)&gt;計算_償還回数),"",ROWS($A$8:A40))</f>
        <v>33</v>
      </c>
      <c r="B40" s="170" t="n">
        <f aca="false">IF(A40="","",EDATE(計算_償還開始,A40-1))</f>
        <v>47331</v>
      </c>
      <c r="C40" s="169" t="n">
        <f aca="false">IF(A40="","",IF(A40=計算_償還回数,D40+F39+G39,計算_毎月償還額))</f>
        <v>25809</v>
      </c>
      <c r="D40" s="169" t="n">
        <f aca="false">IF(A40="","",ROUND(F39*計算_利率/定数_年月数,0)+ROUND(G39*計算_利率_在宅介護/定数_年月数,0))</f>
        <v>747</v>
      </c>
      <c r="E40" s="169" t="n">
        <f aca="false">IF(A40="","",C40-D40)</f>
        <v>25062</v>
      </c>
      <c r="F40" s="169" t="n">
        <f aca="false">IF(A40="","",IF(A40=計算_償還回数,0,MAX(0,F39-(ROUND(計算_月額_基本,0)-ROUND(F39*計算_利率/定数_年月数,0)))))</f>
        <v>686698</v>
      </c>
      <c r="G40" s="169" t="n">
        <f aca="false">IF(A40="","",IF(A40=計算_償還回数,0,MAX(0,G39-(ROUND(計算_月額_在宅介護,0)-ROUND(G39*計算_利率_在宅介護/定数_年月数,0)))))</f>
        <v>0</v>
      </c>
      <c r="H40" s="169" t="n">
        <f aca="false">IF(A40="","",F40+G40)</f>
        <v>686698</v>
      </c>
      <c r="I40" s="168" t="n">
        <f aca="false">IF(A40="","",IF(AND(OR(MONTH(B40)=6,MONTH(B40)=12),I39&lt;計算_賞与回数),I39+1,I39))</f>
        <v>0</v>
      </c>
      <c r="J40" s="169" t="n">
        <f aca="false">IF(A40="","",IF(I40&gt;I39,IF(I40=計算_賞与回数,M39+K40,計算_賞与償還額),0))</f>
        <v>0</v>
      </c>
      <c r="K40" s="169" t="n">
        <f aca="false">IF(A40="","",IF(I40&gt;I39,ROUND(M39*計算_賞与期間利率,0),0))</f>
        <v>0</v>
      </c>
      <c r="L40" s="169" t="n">
        <f aca="false">IF(A40="","",J40-K40)</f>
        <v>0</v>
      </c>
      <c r="M40" s="169" t="n">
        <f aca="false">IF(A40="","",IF(I40&gt;I39,M39-L40,M39))</f>
        <v>0</v>
      </c>
      <c r="N40" s="169" t="n">
        <f aca="false">IF(A40="","",C40+J40)</f>
        <v>25809</v>
      </c>
      <c r="O40" s="169" t="n">
        <f aca="false">IF(A40="","",H40+M40)</f>
        <v>686698</v>
      </c>
    </row>
    <row r="41" customFormat="false" ht="15" hidden="false" customHeight="false" outlineLevel="0" collapsed="false">
      <c r="A41" s="168" t="n">
        <f aca="false">IF(OR(計算_償還開始="",ROWS($A$8:A41)&gt;計算_償還回数),"",ROWS($A$8:A41))</f>
        <v>34</v>
      </c>
      <c r="B41" s="170" t="n">
        <f aca="false">IF(A41="","",EDATE(計算_償還開始,A41-1))</f>
        <v>47362</v>
      </c>
      <c r="C41" s="169" t="n">
        <f aca="false">IF(A41="","",IF(A41=計算_償還回数,D41+F40+G40,計算_毎月償還額))</f>
        <v>25809</v>
      </c>
      <c r="D41" s="169" t="n">
        <f aca="false">IF(A41="","",ROUND(F40*計算_利率/定数_年月数,0)+ROUND(G40*計算_利率_在宅介護/定数_年月数,0))</f>
        <v>721</v>
      </c>
      <c r="E41" s="169" t="n">
        <f aca="false">IF(A41="","",C41-D41)</f>
        <v>25088</v>
      </c>
      <c r="F41" s="169" t="n">
        <f aca="false">IF(A41="","",IF(A41=計算_償還回数,0,MAX(0,F40-(ROUND(計算_月額_基本,0)-ROUND(F40*計算_利率/定数_年月数,0)))))</f>
        <v>661610</v>
      </c>
      <c r="G41" s="169" t="n">
        <f aca="false">IF(A41="","",IF(A41=計算_償還回数,0,MAX(0,G40-(ROUND(計算_月額_在宅介護,0)-ROUND(G40*計算_利率_在宅介護/定数_年月数,0)))))</f>
        <v>0</v>
      </c>
      <c r="H41" s="169" t="n">
        <f aca="false">IF(A41="","",F41+G41)</f>
        <v>661610</v>
      </c>
      <c r="I41" s="168" t="n">
        <f aca="false">IF(A41="","",IF(AND(OR(MONTH(B41)=6,MONTH(B41)=12),I40&lt;計算_賞与回数),I40+1,I40))</f>
        <v>0</v>
      </c>
      <c r="J41" s="169" t="n">
        <f aca="false">IF(A41="","",IF(I41&gt;I40,IF(I41=計算_賞与回数,M40+K41,計算_賞与償還額),0))</f>
        <v>0</v>
      </c>
      <c r="K41" s="169" t="n">
        <f aca="false">IF(A41="","",IF(I41&gt;I40,ROUND(M40*計算_賞与期間利率,0),0))</f>
        <v>0</v>
      </c>
      <c r="L41" s="169" t="n">
        <f aca="false">IF(A41="","",J41-K41)</f>
        <v>0</v>
      </c>
      <c r="M41" s="169" t="n">
        <f aca="false">IF(A41="","",IF(I41&gt;I40,M40-L41,M40))</f>
        <v>0</v>
      </c>
      <c r="N41" s="169" t="n">
        <f aca="false">IF(A41="","",C41+J41)</f>
        <v>25809</v>
      </c>
      <c r="O41" s="169" t="n">
        <f aca="false">IF(A41="","",H41+M41)</f>
        <v>661610</v>
      </c>
    </row>
    <row r="42" customFormat="false" ht="15" hidden="false" customHeight="false" outlineLevel="0" collapsed="false">
      <c r="A42" s="168" t="n">
        <f aca="false">IF(OR(計算_償還開始="",ROWS($A$8:A42)&gt;計算_償還回数),"",ROWS($A$8:A42))</f>
        <v>35</v>
      </c>
      <c r="B42" s="170" t="n">
        <f aca="false">IF(A42="","",EDATE(計算_償還開始,A42-1))</f>
        <v>47392</v>
      </c>
      <c r="C42" s="169" t="n">
        <f aca="false">IF(A42="","",IF(A42=計算_償還回数,D42+F41+G41,計算_毎月償還額))</f>
        <v>25809</v>
      </c>
      <c r="D42" s="169" t="n">
        <f aca="false">IF(A42="","",ROUND(F41*計算_利率/定数_年月数,0)+ROUND(G41*計算_利率_在宅介護/定数_年月数,0))</f>
        <v>695</v>
      </c>
      <c r="E42" s="169" t="n">
        <f aca="false">IF(A42="","",C42-D42)</f>
        <v>25114</v>
      </c>
      <c r="F42" s="169" t="n">
        <f aca="false">IF(A42="","",IF(A42=計算_償還回数,0,MAX(0,F41-(ROUND(計算_月額_基本,0)-ROUND(F41*計算_利率/定数_年月数,0)))))</f>
        <v>636496</v>
      </c>
      <c r="G42" s="169" t="n">
        <f aca="false">IF(A42="","",IF(A42=計算_償還回数,0,MAX(0,G41-(ROUND(計算_月額_在宅介護,0)-ROUND(G41*計算_利率_在宅介護/定数_年月数,0)))))</f>
        <v>0</v>
      </c>
      <c r="H42" s="169" t="n">
        <f aca="false">IF(A42="","",F42+G42)</f>
        <v>636496</v>
      </c>
      <c r="I42" s="168" t="n">
        <f aca="false">IF(A42="","",IF(AND(OR(MONTH(B42)=6,MONTH(B42)=12),I41&lt;計算_賞与回数),I41+1,I41))</f>
        <v>0</v>
      </c>
      <c r="J42" s="169" t="n">
        <f aca="false">IF(A42="","",IF(I42&gt;I41,IF(I42=計算_賞与回数,M41+K42,計算_賞与償還額),0))</f>
        <v>0</v>
      </c>
      <c r="K42" s="169" t="n">
        <f aca="false">IF(A42="","",IF(I42&gt;I41,ROUND(M41*計算_賞与期間利率,0),0))</f>
        <v>0</v>
      </c>
      <c r="L42" s="169" t="n">
        <f aca="false">IF(A42="","",J42-K42)</f>
        <v>0</v>
      </c>
      <c r="M42" s="169" t="n">
        <f aca="false">IF(A42="","",IF(I42&gt;I41,M41-L42,M41))</f>
        <v>0</v>
      </c>
      <c r="N42" s="169" t="n">
        <f aca="false">IF(A42="","",C42+J42)</f>
        <v>25809</v>
      </c>
      <c r="O42" s="169" t="n">
        <f aca="false">IF(A42="","",H42+M42)</f>
        <v>636496</v>
      </c>
    </row>
    <row r="43" customFormat="false" ht="15" hidden="false" customHeight="false" outlineLevel="0" collapsed="false">
      <c r="A43" s="168" t="n">
        <f aca="false">IF(OR(計算_償還開始="",ROWS($A$8:A43)&gt;計算_償還回数),"",ROWS($A$8:A43))</f>
        <v>36</v>
      </c>
      <c r="B43" s="170" t="n">
        <f aca="false">IF(A43="","",EDATE(計算_償還開始,A43-1))</f>
        <v>47423</v>
      </c>
      <c r="C43" s="169" t="n">
        <f aca="false">IF(A43="","",IF(A43=計算_償還回数,D43+F42+G42,計算_毎月償還額))</f>
        <v>25809</v>
      </c>
      <c r="D43" s="169" t="n">
        <f aca="false">IF(A43="","",ROUND(F42*計算_利率/定数_年月数,0)+ROUND(G42*計算_利率_在宅介護/定数_年月数,0))</f>
        <v>668</v>
      </c>
      <c r="E43" s="169" t="n">
        <f aca="false">IF(A43="","",C43-D43)</f>
        <v>25141</v>
      </c>
      <c r="F43" s="169" t="n">
        <f aca="false">IF(A43="","",IF(A43=計算_償還回数,0,MAX(0,F42-(ROUND(計算_月額_基本,0)-ROUND(F42*計算_利率/定数_年月数,0)))))</f>
        <v>611355</v>
      </c>
      <c r="G43" s="169" t="n">
        <f aca="false">IF(A43="","",IF(A43=計算_償還回数,0,MAX(0,G42-(ROUND(計算_月額_在宅介護,0)-ROUND(G42*計算_利率_在宅介護/定数_年月数,0)))))</f>
        <v>0</v>
      </c>
      <c r="H43" s="169" t="n">
        <f aca="false">IF(A43="","",F43+G43)</f>
        <v>611355</v>
      </c>
      <c r="I43" s="168" t="n">
        <f aca="false">IF(A43="","",IF(AND(OR(MONTH(B43)=6,MONTH(B43)=12),I42&lt;計算_賞与回数),I42+1,I42))</f>
        <v>0</v>
      </c>
      <c r="J43" s="169" t="n">
        <f aca="false">IF(A43="","",IF(I43&gt;I42,IF(I43=計算_賞与回数,M42+K43,計算_賞与償還額),0))</f>
        <v>0</v>
      </c>
      <c r="K43" s="169" t="n">
        <f aca="false">IF(A43="","",IF(I43&gt;I42,ROUND(M42*計算_賞与期間利率,0),0))</f>
        <v>0</v>
      </c>
      <c r="L43" s="169" t="n">
        <f aca="false">IF(A43="","",J43-K43)</f>
        <v>0</v>
      </c>
      <c r="M43" s="169" t="n">
        <f aca="false">IF(A43="","",IF(I43&gt;I42,M42-L43,M42))</f>
        <v>0</v>
      </c>
      <c r="N43" s="169" t="n">
        <f aca="false">IF(A43="","",C43+J43)</f>
        <v>25809</v>
      </c>
      <c r="O43" s="169" t="n">
        <f aca="false">IF(A43="","",H43+M43)</f>
        <v>611355</v>
      </c>
    </row>
    <row r="44" customFormat="false" ht="15" hidden="false" customHeight="false" outlineLevel="0" collapsed="false">
      <c r="A44" s="168" t="n">
        <f aca="false">IF(OR(計算_償還開始="",ROWS($A$8:A44)&gt;計算_償還回数),"",ROWS($A$8:A44))</f>
        <v>37</v>
      </c>
      <c r="B44" s="170" t="n">
        <f aca="false">IF(A44="","",EDATE(計算_償還開始,A44-1))</f>
        <v>47453</v>
      </c>
      <c r="C44" s="169" t="n">
        <f aca="false">IF(A44="","",IF(A44=計算_償還回数,D44+F43+G43,計算_毎月償還額))</f>
        <v>25809</v>
      </c>
      <c r="D44" s="169" t="n">
        <f aca="false">IF(A44="","",ROUND(F43*計算_利率/定数_年月数,0)+ROUND(G43*計算_利率_在宅介護/定数_年月数,0))</f>
        <v>642</v>
      </c>
      <c r="E44" s="169" t="n">
        <f aca="false">IF(A44="","",C44-D44)</f>
        <v>25167</v>
      </c>
      <c r="F44" s="169" t="n">
        <f aca="false">IF(A44="","",IF(A44=計算_償還回数,0,MAX(0,F43-(ROUND(計算_月額_基本,0)-ROUND(F43*計算_利率/定数_年月数,0)))))</f>
        <v>586188</v>
      </c>
      <c r="G44" s="169" t="n">
        <f aca="false">IF(A44="","",IF(A44=計算_償還回数,0,MAX(0,G43-(ROUND(計算_月額_在宅介護,0)-ROUND(G43*計算_利率_在宅介護/定数_年月数,0)))))</f>
        <v>0</v>
      </c>
      <c r="H44" s="169" t="n">
        <f aca="false">IF(A44="","",F44+G44)</f>
        <v>586188</v>
      </c>
      <c r="I44" s="168" t="n">
        <f aca="false">IF(A44="","",IF(AND(OR(MONTH(B44)=6,MONTH(B44)=12),I43&lt;計算_賞与回数),I43+1,I43))</f>
        <v>0</v>
      </c>
      <c r="J44" s="169" t="n">
        <f aca="false">IF(A44="","",IF(I44&gt;I43,IF(I44=計算_賞与回数,M43+K44,計算_賞与償還額),0))</f>
        <v>0</v>
      </c>
      <c r="K44" s="169" t="n">
        <f aca="false">IF(A44="","",IF(I44&gt;I43,ROUND(M43*計算_賞与期間利率,0),0))</f>
        <v>0</v>
      </c>
      <c r="L44" s="169" t="n">
        <f aca="false">IF(A44="","",J44-K44)</f>
        <v>0</v>
      </c>
      <c r="M44" s="169" t="n">
        <f aca="false">IF(A44="","",IF(I44&gt;I43,M43-L44,M43))</f>
        <v>0</v>
      </c>
      <c r="N44" s="169" t="n">
        <f aca="false">IF(A44="","",C44+J44)</f>
        <v>25809</v>
      </c>
      <c r="O44" s="169" t="n">
        <f aca="false">IF(A44="","",H44+M44)</f>
        <v>586188</v>
      </c>
    </row>
    <row r="45" customFormat="false" ht="15" hidden="false" customHeight="false" outlineLevel="0" collapsed="false">
      <c r="A45" s="168" t="n">
        <f aca="false">IF(OR(計算_償還開始="",ROWS($A$8:A45)&gt;計算_償還回数),"",ROWS($A$8:A45))</f>
        <v>38</v>
      </c>
      <c r="B45" s="170" t="n">
        <f aca="false">IF(A45="","",EDATE(計算_償還開始,A45-1))</f>
        <v>47484</v>
      </c>
      <c r="C45" s="169" t="n">
        <f aca="false">IF(A45="","",IF(A45=計算_償還回数,D45+F44+G44,計算_毎月償還額))</f>
        <v>25809</v>
      </c>
      <c r="D45" s="169" t="n">
        <f aca="false">IF(A45="","",ROUND(F44*計算_利率/定数_年月数,0)+ROUND(G44*計算_利率_在宅介護/定数_年月数,0))</f>
        <v>615</v>
      </c>
      <c r="E45" s="169" t="n">
        <f aca="false">IF(A45="","",C45-D45)</f>
        <v>25194</v>
      </c>
      <c r="F45" s="169" t="n">
        <f aca="false">IF(A45="","",IF(A45=計算_償還回数,0,MAX(0,F44-(ROUND(計算_月額_基本,0)-ROUND(F44*計算_利率/定数_年月数,0)))))</f>
        <v>560994</v>
      </c>
      <c r="G45" s="169" t="n">
        <f aca="false">IF(A45="","",IF(A45=計算_償還回数,0,MAX(0,G44-(ROUND(計算_月額_在宅介護,0)-ROUND(G44*計算_利率_在宅介護/定数_年月数,0)))))</f>
        <v>0</v>
      </c>
      <c r="H45" s="169" t="n">
        <f aca="false">IF(A45="","",F45+G45)</f>
        <v>560994</v>
      </c>
      <c r="I45" s="168" t="n">
        <f aca="false">IF(A45="","",IF(AND(OR(MONTH(B45)=6,MONTH(B45)=12),I44&lt;計算_賞与回数),I44+1,I44))</f>
        <v>0</v>
      </c>
      <c r="J45" s="169" t="n">
        <f aca="false">IF(A45="","",IF(I45&gt;I44,IF(I45=計算_賞与回数,M44+K45,計算_賞与償還額),0))</f>
        <v>0</v>
      </c>
      <c r="K45" s="169" t="n">
        <f aca="false">IF(A45="","",IF(I45&gt;I44,ROUND(M44*計算_賞与期間利率,0),0))</f>
        <v>0</v>
      </c>
      <c r="L45" s="169" t="n">
        <f aca="false">IF(A45="","",J45-K45)</f>
        <v>0</v>
      </c>
      <c r="M45" s="169" t="n">
        <f aca="false">IF(A45="","",IF(I45&gt;I44,M44-L45,M44))</f>
        <v>0</v>
      </c>
      <c r="N45" s="169" t="n">
        <f aca="false">IF(A45="","",C45+J45)</f>
        <v>25809</v>
      </c>
      <c r="O45" s="169" t="n">
        <f aca="false">IF(A45="","",H45+M45)</f>
        <v>560994</v>
      </c>
    </row>
    <row r="46" customFormat="false" ht="15" hidden="false" customHeight="false" outlineLevel="0" collapsed="false">
      <c r="A46" s="168" t="n">
        <f aca="false">IF(OR(計算_償還開始="",ROWS($A$8:A46)&gt;計算_償還回数),"",ROWS($A$8:A46))</f>
        <v>39</v>
      </c>
      <c r="B46" s="170" t="n">
        <f aca="false">IF(A46="","",EDATE(計算_償還開始,A46-1))</f>
        <v>47515</v>
      </c>
      <c r="C46" s="169" t="n">
        <f aca="false">IF(A46="","",IF(A46=計算_償還回数,D46+F45+G45,計算_毎月償還額))</f>
        <v>25809</v>
      </c>
      <c r="D46" s="169" t="n">
        <f aca="false">IF(A46="","",ROUND(F45*計算_利率/定数_年月数,0)+ROUND(G45*計算_利率_在宅介護/定数_年月数,0))</f>
        <v>589</v>
      </c>
      <c r="E46" s="169" t="n">
        <f aca="false">IF(A46="","",C46-D46)</f>
        <v>25220</v>
      </c>
      <c r="F46" s="169" t="n">
        <f aca="false">IF(A46="","",IF(A46=計算_償還回数,0,MAX(0,F45-(ROUND(計算_月額_基本,0)-ROUND(F45*計算_利率/定数_年月数,0)))))</f>
        <v>535774</v>
      </c>
      <c r="G46" s="169" t="n">
        <f aca="false">IF(A46="","",IF(A46=計算_償還回数,0,MAX(0,G45-(ROUND(計算_月額_在宅介護,0)-ROUND(G45*計算_利率_在宅介護/定数_年月数,0)))))</f>
        <v>0</v>
      </c>
      <c r="H46" s="169" t="n">
        <f aca="false">IF(A46="","",F46+G46)</f>
        <v>535774</v>
      </c>
      <c r="I46" s="168" t="n">
        <f aca="false">IF(A46="","",IF(AND(OR(MONTH(B46)=6,MONTH(B46)=12),I45&lt;計算_賞与回数),I45+1,I45))</f>
        <v>0</v>
      </c>
      <c r="J46" s="169" t="n">
        <f aca="false">IF(A46="","",IF(I46&gt;I45,IF(I46=計算_賞与回数,M45+K46,計算_賞与償還額),0))</f>
        <v>0</v>
      </c>
      <c r="K46" s="169" t="n">
        <f aca="false">IF(A46="","",IF(I46&gt;I45,ROUND(M45*計算_賞与期間利率,0),0))</f>
        <v>0</v>
      </c>
      <c r="L46" s="169" t="n">
        <f aca="false">IF(A46="","",J46-K46)</f>
        <v>0</v>
      </c>
      <c r="M46" s="169" t="n">
        <f aca="false">IF(A46="","",IF(I46&gt;I45,M45-L46,M45))</f>
        <v>0</v>
      </c>
      <c r="N46" s="169" t="n">
        <f aca="false">IF(A46="","",C46+J46)</f>
        <v>25809</v>
      </c>
      <c r="O46" s="169" t="n">
        <f aca="false">IF(A46="","",H46+M46)</f>
        <v>535774</v>
      </c>
    </row>
    <row r="47" customFormat="false" ht="15" hidden="false" customHeight="false" outlineLevel="0" collapsed="false">
      <c r="A47" s="168" t="n">
        <f aca="false">IF(OR(計算_償還開始="",ROWS($A$8:A47)&gt;計算_償還回数),"",ROWS($A$8:A47))</f>
        <v>40</v>
      </c>
      <c r="B47" s="170" t="n">
        <f aca="false">IF(A47="","",EDATE(計算_償還開始,A47-1))</f>
        <v>47543</v>
      </c>
      <c r="C47" s="169" t="n">
        <f aca="false">IF(A47="","",IF(A47=計算_償還回数,D47+F46+G46,計算_毎月償還額))</f>
        <v>25809</v>
      </c>
      <c r="D47" s="169" t="n">
        <f aca="false">IF(A47="","",ROUND(F46*計算_利率/定数_年月数,0)+ROUND(G46*計算_利率_在宅介護/定数_年月数,0))</f>
        <v>563</v>
      </c>
      <c r="E47" s="169" t="n">
        <f aca="false">IF(A47="","",C47-D47)</f>
        <v>25246</v>
      </c>
      <c r="F47" s="169" t="n">
        <f aca="false">IF(A47="","",IF(A47=計算_償還回数,0,MAX(0,F46-(ROUND(計算_月額_基本,0)-ROUND(F46*計算_利率/定数_年月数,0)))))</f>
        <v>510528</v>
      </c>
      <c r="G47" s="169" t="n">
        <f aca="false">IF(A47="","",IF(A47=計算_償還回数,0,MAX(0,G46-(ROUND(計算_月額_在宅介護,0)-ROUND(G46*計算_利率_在宅介護/定数_年月数,0)))))</f>
        <v>0</v>
      </c>
      <c r="H47" s="169" t="n">
        <f aca="false">IF(A47="","",F47+G47)</f>
        <v>510528</v>
      </c>
      <c r="I47" s="168" t="n">
        <f aca="false">IF(A47="","",IF(AND(OR(MONTH(B47)=6,MONTH(B47)=12),I46&lt;計算_賞与回数),I46+1,I46))</f>
        <v>0</v>
      </c>
      <c r="J47" s="169" t="n">
        <f aca="false">IF(A47="","",IF(I47&gt;I46,IF(I47=計算_賞与回数,M46+K47,計算_賞与償還額),0))</f>
        <v>0</v>
      </c>
      <c r="K47" s="169" t="n">
        <f aca="false">IF(A47="","",IF(I47&gt;I46,ROUND(M46*計算_賞与期間利率,0),0))</f>
        <v>0</v>
      </c>
      <c r="L47" s="169" t="n">
        <f aca="false">IF(A47="","",J47-K47)</f>
        <v>0</v>
      </c>
      <c r="M47" s="169" t="n">
        <f aca="false">IF(A47="","",IF(I47&gt;I46,M46-L47,M46))</f>
        <v>0</v>
      </c>
      <c r="N47" s="169" t="n">
        <f aca="false">IF(A47="","",C47+J47)</f>
        <v>25809</v>
      </c>
      <c r="O47" s="169" t="n">
        <f aca="false">IF(A47="","",H47+M47)</f>
        <v>510528</v>
      </c>
    </row>
    <row r="48" customFormat="false" ht="15" hidden="false" customHeight="false" outlineLevel="0" collapsed="false">
      <c r="A48" s="168" t="n">
        <f aca="false">IF(OR(計算_償還開始="",ROWS($A$8:A48)&gt;計算_償還回数),"",ROWS($A$8:A48))</f>
        <v>41</v>
      </c>
      <c r="B48" s="170" t="n">
        <f aca="false">IF(A48="","",EDATE(計算_償還開始,A48-1))</f>
        <v>47574</v>
      </c>
      <c r="C48" s="169" t="n">
        <f aca="false">IF(A48="","",IF(A48=計算_償還回数,D48+F47+G47,計算_毎月償還額))</f>
        <v>25809</v>
      </c>
      <c r="D48" s="169" t="n">
        <f aca="false">IF(A48="","",ROUND(F47*計算_利率/定数_年月数,0)+ROUND(G47*計算_利率_在宅介護/定数_年月数,0))</f>
        <v>536</v>
      </c>
      <c r="E48" s="169" t="n">
        <f aca="false">IF(A48="","",C48-D48)</f>
        <v>25273</v>
      </c>
      <c r="F48" s="169" t="n">
        <f aca="false">IF(A48="","",IF(A48=計算_償還回数,0,MAX(0,F47-(ROUND(計算_月額_基本,0)-ROUND(F47*計算_利率/定数_年月数,0)))))</f>
        <v>485255</v>
      </c>
      <c r="G48" s="169" t="n">
        <f aca="false">IF(A48="","",IF(A48=計算_償還回数,0,MAX(0,G47-(ROUND(計算_月額_在宅介護,0)-ROUND(G47*計算_利率_在宅介護/定数_年月数,0)))))</f>
        <v>0</v>
      </c>
      <c r="H48" s="169" t="n">
        <f aca="false">IF(A48="","",F48+G48)</f>
        <v>485255</v>
      </c>
      <c r="I48" s="168" t="n">
        <f aca="false">IF(A48="","",IF(AND(OR(MONTH(B48)=6,MONTH(B48)=12),I47&lt;計算_賞与回数),I47+1,I47))</f>
        <v>0</v>
      </c>
      <c r="J48" s="169" t="n">
        <f aca="false">IF(A48="","",IF(I48&gt;I47,IF(I48=計算_賞与回数,M47+K48,計算_賞与償還額),0))</f>
        <v>0</v>
      </c>
      <c r="K48" s="169" t="n">
        <f aca="false">IF(A48="","",IF(I48&gt;I47,ROUND(M47*計算_賞与期間利率,0),0))</f>
        <v>0</v>
      </c>
      <c r="L48" s="169" t="n">
        <f aca="false">IF(A48="","",J48-K48)</f>
        <v>0</v>
      </c>
      <c r="M48" s="169" t="n">
        <f aca="false">IF(A48="","",IF(I48&gt;I47,M47-L48,M47))</f>
        <v>0</v>
      </c>
      <c r="N48" s="169" t="n">
        <f aca="false">IF(A48="","",C48+J48)</f>
        <v>25809</v>
      </c>
      <c r="O48" s="169" t="n">
        <f aca="false">IF(A48="","",H48+M48)</f>
        <v>485255</v>
      </c>
    </row>
    <row r="49" customFormat="false" ht="15" hidden="false" customHeight="false" outlineLevel="0" collapsed="false">
      <c r="A49" s="168" t="n">
        <f aca="false">IF(OR(計算_償還開始="",ROWS($A$8:A49)&gt;計算_償還回数),"",ROWS($A$8:A49))</f>
        <v>42</v>
      </c>
      <c r="B49" s="170" t="n">
        <f aca="false">IF(A49="","",EDATE(計算_償還開始,A49-1))</f>
        <v>47604</v>
      </c>
      <c r="C49" s="169" t="n">
        <f aca="false">IF(A49="","",IF(A49=計算_償還回数,D49+F48+G48,計算_毎月償還額))</f>
        <v>25809</v>
      </c>
      <c r="D49" s="169" t="n">
        <f aca="false">IF(A49="","",ROUND(F48*計算_利率/定数_年月数,0)+ROUND(G48*計算_利率_在宅介護/定数_年月数,0))</f>
        <v>510</v>
      </c>
      <c r="E49" s="169" t="n">
        <f aca="false">IF(A49="","",C49-D49)</f>
        <v>25299</v>
      </c>
      <c r="F49" s="169" t="n">
        <f aca="false">IF(A49="","",IF(A49=計算_償還回数,0,MAX(0,F48-(ROUND(計算_月額_基本,0)-ROUND(F48*計算_利率/定数_年月数,0)))))</f>
        <v>459956</v>
      </c>
      <c r="G49" s="169" t="n">
        <f aca="false">IF(A49="","",IF(A49=計算_償還回数,0,MAX(0,G48-(ROUND(計算_月額_在宅介護,0)-ROUND(G48*計算_利率_在宅介護/定数_年月数,0)))))</f>
        <v>0</v>
      </c>
      <c r="H49" s="169" t="n">
        <f aca="false">IF(A49="","",F49+G49)</f>
        <v>459956</v>
      </c>
      <c r="I49" s="168" t="n">
        <f aca="false">IF(A49="","",IF(AND(OR(MONTH(B49)=6,MONTH(B49)=12),I48&lt;計算_賞与回数),I48+1,I48))</f>
        <v>0</v>
      </c>
      <c r="J49" s="169" t="n">
        <f aca="false">IF(A49="","",IF(I49&gt;I48,IF(I49=計算_賞与回数,M48+K49,計算_賞与償還額),0))</f>
        <v>0</v>
      </c>
      <c r="K49" s="169" t="n">
        <f aca="false">IF(A49="","",IF(I49&gt;I48,ROUND(M48*計算_賞与期間利率,0),0))</f>
        <v>0</v>
      </c>
      <c r="L49" s="169" t="n">
        <f aca="false">IF(A49="","",J49-K49)</f>
        <v>0</v>
      </c>
      <c r="M49" s="169" t="n">
        <f aca="false">IF(A49="","",IF(I49&gt;I48,M48-L49,M48))</f>
        <v>0</v>
      </c>
      <c r="N49" s="169" t="n">
        <f aca="false">IF(A49="","",C49+J49)</f>
        <v>25809</v>
      </c>
      <c r="O49" s="169" t="n">
        <f aca="false">IF(A49="","",H49+M49)</f>
        <v>459956</v>
      </c>
    </row>
    <row r="50" customFormat="false" ht="15" hidden="false" customHeight="false" outlineLevel="0" collapsed="false">
      <c r="A50" s="168" t="n">
        <f aca="false">IF(OR(計算_償還開始="",ROWS($A$8:A50)&gt;計算_償還回数),"",ROWS($A$8:A50))</f>
        <v>43</v>
      </c>
      <c r="B50" s="170" t="n">
        <f aca="false">IF(A50="","",EDATE(計算_償還開始,A50-1))</f>
        <v>47635</v>
      </c>
      <c r="C50" s="169" t="n">
        <f aca="false">IF(A50="","",IF(A50=計算_償還回数,D50+F49+G49,計算_毎月償還額))</f>
        <v>25809</v>
      </c>
      <c r="D50" s="169" t="n">
        <f aca="false">IF(A50="","",ROUND(F49*計算_利率/定数_年月数,0)+ROUND(G49*計算_利率_在宅介護/定数_年月数,0))</f>
        <v>483</v>
      </c>
      <c r="E50" s="169" t="n">
        <f aca="false">IF(A50="","",C50-D50)</f>
        <v>25326</v>
      </c>
      <c r="F50" s="169" t="n">
        <f aca="false">IF(A50="","",IF(A50=計算_償還回数,0,MAX(0,F49-(ROUND(計算_月額_基本,0)-ROUND(F49*計算_利率/定数_年月数,0)))))</f>
        <v>434630</v>
      </c>
      <c r="G50" s="169" t="n">
        <f aca="false">IF(A50="","",IF(A50=計算_償還回数,0,MAX(0,G49-(ROUND(計算_月額_在宅介護,0)-ROUND(G49*計算_利率_在宅介護/定数_年月数,0)))))</f>
        <v>0</v>
      </c>
      <c r="H50" s="169" t="n">
        <f aca="false">IF(A50="","",F50+G50)</f>
        <v>434630</v>
      </c>
      <c r="I50" s="168" t="n">
        <f aca="false">IF(A50="","",IF(AND(OR(MONTH(B50)=6,MONTH(B50)=12),I49&lt;計算_賞与回数),I49+1,I49))</f>
        <v>0</v>
      </c>
      <c r="J50" s="169" t="n">
        <f aca="false">IF(A50="","",IF(I50&gt;I49,IF(I50=計算_賞与回数,M49+K50,計算_賞与償還額),0))</f>
        <v>0</v>
      </c>
      <c r="K50" s="169" t="n">
        <f aca="false">IF(A50="","",IF(I50&gt;I49,ROUND(M49*計算_賞与期間利率,0),0))</f>
        <v>0</v>
      </c>
      <c r="L50" s="169" t="n">
        <f aca="false">IF(A50="","",J50-K50)</f>
        <v>0</v>
      </c>
      <c r="M50" s="169" t="n">
        <f aca="false">IF(A50="","",IF(I50&gt;I49,M49-L50,M49))</f>
        <v>0</v>
      </c>
      <c r="N50" s="169" t="n">
        <f aca="false">IF(A50="","",C50+J50)</f>
        <v>25809</v>
      </c>
      <c r="O50" s="169" t="n">
        <f aca="false">IF(A50="","",H50+M50)</f>
        <v>434630</v>
      </c>
    </row>
    <row r="51" customFormat="false" ht="15" hidden="false" customHeight="false" outlineLevel="0" collapsed="false">
      <c r="A51" s="168" t="n">
        <f aca="false">IF(OR(計算_償還開始="",ROWS($A$8:A51)&gt;計算_償還回数),"",ROWS($A$8:A51))</f>
        <v>44</v>
      </c>
      <c r="B51" s="170" t="n">
        <f aca="false">IF(A51="","",EDATE(計算_償還開始,A51-1))</f>
        <v>47665</v>
      </c>
      <c r="C51" s="169" t="n">
        <f aca="false">IF(A51="","",IF(A51=計算_償還回数,D51+F50+G50,計算_毎月償還額))</f>
        <v>25809</v>
      </c>
      <c r="D51" s="169" t="n">
        <f aca="false">IF(A51="","",ROUND(F50*計算_利率/定数_年月数,0)+ROUND(G50*計算_利率_在宅介護/定数_年月数,0))</f>
        <v>456</v>
      </c>
      <c r="E51" s="169" t="n">
        <f aca="false">IF(A51="","",C51-D51)</f>
        <v>25353</v>
      </c>
      <c r="F51" s="169" t="n">
        <f aca="false">IF(A51="","",IF(A51=計算_償還回数,0,MAX(0,F50-(ROUND(計算_月額_基本,0)-ROUND(F50*計算_利率/定数_年月数,0)))))</f>
        <v>409277</v>
      </c>
      <c r="G51" s="169" t="n">
        <f aca="false">IF(A51="","",IF(A51=計算_償還回数,0,MAX(0,G50-(ROUND(計算_月額_在宅介護,0)-ROUND(G50*計算_利率_在宅介護/定数_年月数,0)))))</f>
        <v>0</v>
      </c>
      <c r="H51" s="169" t="n">
        <f aca="false">IF(A51="","",F51+G51)</f>
        <v>409277</v>
      </c>
      <c r="I51" s="168" t="n">
        <f aca="false">IF(A51="","",IF(AND(OR(MONTH(B51)=6,MONTH(B51)=12),I50&lt;計算_賞与回数),I50+1,I50))</f>
        <v>0</v>
      </c>
      <c r="J51" s="169" t="n">
        <f aca="false">IF(A51="","",IF(I51&gt;I50,IF(I51=計算_賞与回数,M50+K51,計算_賞与償還額),0))</f>
        <v>0</v>
      </c>
      <c r="K51" s="169" t="n">
        <f aca="false">IF(A51="","",IF(I51&gt;I50,ROUND(M50*計算_賞与期間利率,0),0))</f>
        <v>0</v>
      </c>
      <c r="L51" s="169" t="n">
        <f aca="false">IF(A51="","",J51-K51)</f>
        <v>0</v>
      </c>
      <c r="M51" s="169" t="n">
        <f aca="false">IF(A51="","",IF(I51&gt;I50,M50-L51,M50))</f>
        <v>0</v>
      </c>
      <c r="N51" s="169" t="n">
        <f aca="false">IF(A51="","",C51+J51)</f>
        <v>25809</v>
      </c>
      <c r="O51" s="169" t="n">
        <f aca="false">IF(A51="","",H51+M51)</f>
        <v>409277</v>
      </c>
    </row>
    <row r="52" customFormat="false" ht="15" hidden="false" customHeight="false" outlineLevel="0" collapsed="false">
      <c r="A52" s="168" t="n">
        <f aca="false">IF(OR(計算_償還開始="",ROWS($A$8:A52)&gt;計算_償還回数),"",ROWS($A$8:A52))</f>
        <v>45</v>
      </c>
      <c r="B52" s="170" t="n">
        <f aca="false">IF(A52="","",EDATE(計算_償還開始,A52-1))</f>
        <v>47696</v>
      </c>
      <c r="C52" s="169" t="n">
        <f aca="false">IF(A52="","",IF(A52=計算_償還回数,D52+F51+G51,計算_毎月償還額))</f>
        <v>25809</v>
      </c>
      <c r="D52" s="169" t="n">
        <f aca="false">IF(A52="","",ROUND(F51*計算_利率/定数_年月数,0)+ROUND(G51*計算_利率_在宅介護/定数_年月数,0))</f>
        <v>430</v>
      </c>
      <c r="E52" s="169" t="n">
        <f aca="false">IF(A52="","",C52-D52)</f>
        <v>25379</v>
      </c>
      <c r="F52" s="169" t="n">
        <f aca="false">IF(A52="","",IF(A52=計算_償還回数,0,MAX(0,F51-(ROUND(計算_月額_基本,0)-ROUND(F51*計算_利率/定数_年月数,0)))))</f>
        <v>383898</v>
      </c>
      <c r="G52" s="169" t="n">
        <f aca="false">IF(A52="","",IF(A52=計算_償還回数,0,MAX(0,G51-(ROUND(計算_月額_在宅介護,0)-ROUND(G51*計算_利率_在宅介護/定数_年月数,0)))))</f>
        <v>0</v>
      </c>
      <c r="H52" s="169" t="n">
        <f aca="false">IF(A52="","",F52+G52)</f>
        <v>383898</v>
      </c>
      <c r="I52" s="168" t="n">
        <f aca="false">IF(A52="","",IF(AND(OR(MONTH(B52)=6,MONTH(B52)=12),I51&lt;計算_賞与回数),I51+1,I51))</f>
        <v>0</v>
      </c>
      <c r="J52" s="169" t="n">
        <f aca="false">IF(A52="","",IF(I52&gt;I51,IF(I52=計算_賞与回数,M51+K52,計算_賞与償還額),0))</f>
        <v>0</v>
      </c>
      <c r="K52" s="169" t="n">
        <f aca="false">IF(A52="","",IF(I52&gt;I51,ROUND(M51*計算_賞与期間利率,0),0))</f>
        <v>0</v>
      </c>
      <c r="L52" s="169" t="n">
        <f aca="false">IF(A52="","",J52-K52)</f>
        <v>0</v>
      </c>
      <c r="M52" s="169" t="n">
        <f aca="false">IF(A52="","",IF(I52&gt;I51,M51-L52,M51))</f>
        <v>0</v>
      </c>
      <c r="N52" s="169" t="n">
        <f aca="false">IF(A52="","",C52+J52)</f>
        <v>25809</v>
      </c>
      <c r="O52" s="169" t="n">
        <f aca="false">IF(A52="","",H52+M52)</f>
        <v>383898</v>
      </c>
    </row>
    <row r="53" customFormat="false" ht="15" hidden="false" customHeight="false" outlineLevel="0" collapsed="false">
      <c r="A53" s="168" t="n">
        <f aca="false">IF(OR(計算_償還開始="",ROWS($A$8:A53)&gt;計算_償還回数),"",ROWS($A$8:A53))</f>
        <v>46</v>
      </c>
      <c r="B53" s="170" t="n">
        <f aca="false">IF(A53="","",EDATE(計算_償還開始,A53-1))</f>
        <v>47727</v>
      </c>
      <c r="C53" s="169" t="n">
        <f aca="false">IF(A53="","",IF(A53=計算_償還回数,D53+F52+G52,計算_毎月償還額))</f>
        <v>25809</v>
      </c>
      <c r="D53" s="169" t="n">
        <f aca="false">IF(A53="","",ROUND(F52*計算_利率/定数_年月数,0)+ROUND(G52*計算_利率_在宅介護/定数_年月数,0))</f>
        <v>403</v>
      </c>
      <c r="E53" s="169" t="n">
        <f aca="false">IF(A53="","",C53-D53)</f>
        <v>25406</v>
      </c>
      <c r="F53" s="169" t="n">
        <f aca="false">IF(A53="","",IF(A53=計算_償還回数,0,MAX(0,F52-(ROUND(計算_月額_基本,0)-ROUND(F52*計算_利率/定数_年月数,0)))))</f>
        <v>358492</v>
      </c>
      <c r="G53" s="169" t="n">
        <f aca="false">IF(A53="","",IF(A53=計算_償還回数,0,MAX(0,G52-(ROUND(計算_月額_在宅介護,0)-ROUND(G52*計算_利率_在宅介護/定数_年月数,0)))))</f>
        <v>0</v>
      </c>
      <c r="H53" s="169" t="n">
        <f aca="false">IF(A53="","",F53+G53)</f>
        <v>358492</v>
      </c>
      <c r="I53" s="168" t="n">
        <f aca="false">IF(A53="","",IF(AND(OR(MONTH(B53)=6,MONTH(B53)=12),I52&lt;計算_賞与回数),I52+1,I52))</f>
        <v>0</v>
      </c>
      <c r="J53" s="169" t="n">
        <f aca="false">IF(A53="","",IF(I53&gt;I52,IF(I53=計算_賞与回数,M52+K53,計算_賞与償還額),0))</f>
        <v>0</v>
      </c>
      <c r="K53" s="169" t="n">
        <f aca="false">IF(A53="","",IF(I53&gt;I52,ROUND(M52*計算_賞与期間利率,0),0))</f>
        <v>0</v>
      </c>
      <c r="L53" s="169" t="n">
        <f aca="false">IF(A53="","",J53-K53)</f>
        <v>0</v>
      </c>
      <c r="M53" s="169" t="n">
        <f aca="false">IF(A53="","",IF(I53&gt;I52,M52-L53,M52))</f>
        <v>0</v>
      </c>
      <c r="N53" s="169" t="n">
        <f aca="false">IF(A53="","",C53+J53)</f>
        <v>25809</v>
      </c>
      <c r="O53" s="169" t="n">
        <f aca="false">IF(A53="","",H53+M53)</f>
        <v>358492</v>
      </c>
    </row>
    <row r="54" customFormat="false" ht="15" hidden="false" customHeight="false" outlineLevel="0" collapsed="false">
      <c r="A54" s="168" t="n">
        <f aca="false">IF(OR(計算_償還開始="",ROWS($A$8:A54)&gt;計算_償還回数),"",ROWS($A$8:A54))</f>
        <v>47</v>
      </c>
      <c r="B54" s="170" t="n">
        <f aca="false">IF(A54="","",EDATE(計算_償還開始,A54-1))</f>
        <v>47757</v>
      </c>
      <c r="C54" s="169" t="n">
        <f aca="false">IF(A54="","",IF(A54=計算_償還回数,D54+F53+G53,計算_毎月償還額))</f>
        <v>25809</v>
      </c>
      <c r="D54" s="169" t="n">
        <f aca="false">IF(A54="","",ROUND(F53*計算_利率/定数_年月数,0)+ROUND(G53*計算_利率_在宅介護/定数_年月数,0))</f>
        <v>376</v>
      </c>
      <c r="E54" s="169" t="n">
        <f aca="false">IF(A54="","",C54-D54)</f>
        <v>25433</v>
      </c>
      <c r="F54" s="169" t="n">
        <f aca="false">IF(A54="","",IF(A54=計算_償還回数,0,MAX(0,F53-(ROUND(計算_月額_基本,0)-ROUND(F53*計算_利率/定数_年月数,0)))))</f>
        <v>333059</v>
      </c>
      <c r="G54" s="169" t="n">
        <f aca="false">IF(A54="","",IF(A54=計算_償還回数,0,MAX(0,G53-(ROUND(計算_月額_在宅介護,0)-ROUND(G53*計算_利率_在宅介護/定数_年月数,0)))))</f>
        <v>0</v>
      </c>
      <c r="H54" s="169" t="n">
        <f aca="false">IF(A54="","",F54+G54)</f>
        <v>333059</v>
      </c>
      <c r="I54" s="168" t="n">
        <f aca="false">IF(A54="","",IF(AND(OR(MONTH(B54)=6,MONTH(B54)=12),I53&lt;計算_賞与回数),I53+1,I53))</f>
        <v>0</v>
      </c>
      <c r="J54" s="169" t="n">
        <f aca="false">IF(A54="","",IF(I54&gt;I53,IF(I54=計算_賞与回数,M53+K54,計算_賞与償還額),0))</f>
        <v>0</v>
      </c>
      <c r="K54" s="169" t="n">
        <f aca="false">IF(A54="","",IF(I54&gt;I53,ROUND(M53*計算_賞与期間利率,0),0))</f>
        <v>0</v>
      </c>
      <c r="L54" s="169" t="n">
        <f aca="false">IF(A54="","",J54-K54)</f>
        <v>0</v>
      </c>
      <c r="M54" s="169" t="n">
        <f aca="false">IF(A54="","",IF(I54&gt;I53,M53-L54,M53))</f>
        <v>0</v>
      </c>
      <c r="N54" s="169" t="n">
        <f aca="false">IF(A54="","",C54+J54)</f>
        <v>25809</v>
      </c>
      <c r="O54" s="169" t="n">
        <f aca="false">IF(A54="","",H54+M54)</f>
        <v>333059</v>
      </c>
    </row>
    <row r="55" customFormat="false" ht="15" hidden="false" customHeight="false" outlineLevel="0" collapsed="false">
      <c r="A55" s="168" t="n">
        <f aca="false">IF(OR(計算_償還開始="",ROWS($A$8:A55)&gt;計算_償還回数),"",ROWS($A$8:A55))</f>
        <v>48</v>
      </c>
      <c r="B55" s="170" t="n">
        <f aca="false">IF(A55="","",EDATE(計算_償還開始,A55-1))</f>
        <v>47788</v>
      </c>
      <c r="C55" s="169" t="n">
        <f aca="false">IF(A55="","",IF(A55=計算_償還回数,D55+F54+G54,計算_毎月償還額))</f>
        <v>25809</v>
      </c>
      <c r="D55" s="169" t="n">
        <f aca="false">IF(A55="","",ROUND(F54*計算_利率/定数_年月数,0)+ROUND(G54*計算_利率_在宅介護/定数_年月数,0))</f>
        <v>350</v>
      </c>
      <c r="E55" s="169" t="n">
        <f aca="false">IF(A55="","",C55-D55)</f>
        <v>25459</v>
      </c>
      <c r="F55" s="169" t="n">
        <f aca="false">IF(A55="","",IF(A55=計算_償還回数,0,MAX(0,F54-(ROUND(計算_月額_基本,0)-ROUND(F54*計算_利率/定数_年月数,0)))))</f>
        <v>307600</v>
      </c>
      <c r="G55" s="169" t="n">
        <f aca="false">IF(A55="","",IF(A55=計算_償還回数,0,MAX(0,G54-(ROUND(計算_月額_在宅介護,0)-ROUND(G54*計算_利率_在宅介護/定数_年月数,0)))))</f>
        <v>0</v>
      </c>
      <c r="H55" s="169" t="n">
        <f aca="false">IF(A55="","",F55+G55)</f>
        <v>307600</v>
      </c>
      <c r="I55" s="168" t="n">
        <f aca="false">IF(A55="","",IF(AND(OR(MONTH(B55)=6,MONTH(B55)=12),I54&lt;計算_賞与回数),I54+1,I54))</f>
        <v>0</v>
      </c>
      <c r="J55" s="169" t="n">
        <f aca="false">IF(A55="","",IF(I55&gt;I54,IF(I55=計算_賞与回数,M54+K55,計算_賞与償還額),0))</f>
        <v>0</v>
      </c>
      <c r="K55" s="169" t="n">
        <f aca="false">IF(A55="","",IF(I55&gt;I54,ROUND(M54*計算_賞与期間利率,0),0))</f>
        <v>0</v>
      </c>
      <c r="L55" s="169" t="n">
        <f aca="false">IF(A55="","",J55-K55)</f>
        <v>0</v>
      </c>
      <c r="M55" s="169" t="n">
        <f aca="false">IF(A55="","",IF(I55&gt;I54,M54-L55,M54))</f>
        <v>0</v>
      </c>
      <c r="N55" s="169" t="n">
        <f aca="false">IF(A55="","",C55+J55)</f>
        <v>25809</v>
      </c>
      <c r="O55" s="169" t="n">
        <f aca="false">IF(A55="","",H55+M55)</f>
        <v>307600</v>
      </c>
    </row>
    <row r="56" customFormat="false" ht="15" hidden="false" customHeight="false" outlineLevel="0" collapsed="false">
      <c r="A56" s="168" t="n">
        <f aca="false">IF(OR(計算_償還開始="",ROWS($A$8:A56)&gt;計算_償還回数),"",ROWS($A$8:A56))</f>
        <v>49</v>
      </c>
      <c r="B56" s="170" t="n">
        <f aca="false">IF(A56="","",EDATE(計算_償還開始,A56-1))</f>
        <v>47818</v>
      </c>
      <c r="C56" s="169" t="n">
        <f aca="false">IF(A56="","",IF(A56=計算_償還回数,D56+F55+G55,計算_毎月償還額))</f>
        <v>25809</v>
      </c>
      <c r="D56" s="169" t="n">
        <f aca="false">IF(A56="","",ROUND(F55*計算_利率/定数_年月数,0)+ROUND(G55*計算_利率_在宅介護/定数_年月数,0))</f>
        <v>323</v>
      </c>
      <c r="E56" s="169" t="n">
        <f aca="false">IF(A56="","",C56-D56)</f>
        <v>25486</v>
      </c>
      <c r="F56" s="169" t="n">
        <f aca="false">IF(A56="","",IF(A56=計算_償還回数,0,MAX(0,F55-(ROUND(計算_月額_基本,0)-ROUND(F55*計算_利率/定数_年月数,0)))))</f>
        <v>282114</v>
      </c>
      <c r="G56" s="169" t="n">
        <f aca="false">IF(A56="","",IF(A56=計算_償還回数,0,MAX(0,G55-(ROUND(計算_月額_在宅介護,0)-ROUND(G55*計算_利率_在宅介護/定数_年月数,0)))))</f>
        <v>0</v>
      </c>
      <c r="H56" s="169" t="n">
        <f aca="false">IF(A56="","",F56+G56)</f>
        <v>282114</v>
      </c>
      <c r="I56" s="168" t="n">
        <f aca="false">IF(A56="","",IF(AND(OR(MONTH(B56)=6,MONTH(B56)=12),I55&lt;計算_賞与回数),I55+1,I55))</f>
        <v>0</v>
      </c>
      <c r="J56" s="169" t="n">
        <f aca="false">IF(A56="","",IF(I56&gt;I55,IF(I56=計算_賞与回数,M55+K56,計算_賞与償還額),0))</f>
        <v>0</v>
      </c>
      <c r="K56" s="169" t="n">
        <f aca="false">IF(A56="","",IF(I56&gt;I55,ROUND(M55*計算_賞与期間利率,0),0))</f>
        <v>0</v>
      </c>
      <c r="L56" s="169" t="n">
        <f aca="false">IF(A56="","",J56-K56)</f>
        <v>0</v>
      </c>
      <c r="M56" s="169" t="n">
        <f aca="false">IF(A56="","",IF(I56&gt;I55,M55-L56,M55))</f>
        <v>0</v>
      </c>
      <c r="N56" s="169" t="n">
        <f aca="false">IF(A56="","",C56+J56)</f>
        <v>25809</v>
      </c>
      <c r="O56" s="169" t="n">
        <f aca="false">IF(A56="","",H56+M56)</f>
        <v>282114</v>
      </c>
    </row>
    <row r="57" customFormat="false" ht="15" hidden="false" customHeight="false" outlineLevel="0" collapsed="false">
      <c r="A57" s="168" t="n">
        <f aca="false">IF(OR(計算_償還開始="",ROWS($A$8:A57)&gt;計算_償還回数),"",ROWS($A$8:A57))</f>
        <v>50</v>
      </c>
      <c r="B57" s="170" t="n">
        <f aca="false">IF(A57="","",EDATE(計算_償還開始,A57-1))</f>
        <v>47849</v>
      </c>
      <c r="C57" s="169" t="n">
        <f aca="false">IF(A57="","",IF(A57=計算_償還回数,D57+F56+G56,計算_毎月償還額))</f>
        <v>25809</v>
      </c>
      <c r="D57" s="169" t="n">
        <f aca="false">IF(A57="","",ROUND(F56*計算_利率/定数_年月数,0)+ROUND(G56*計算_利率_在宅介護/定数_年月数,0))</f>
        <v>296</v>
      </c>
      <c r="E57" s="169" t="n">
        <f aca="false">IF(A57="","",C57-D57)</f>
        <v>25513</v>
      </c>
      <c r="F57" s="169" t="n">
        <f aca="false">IF(A57="","",IF(A57=計算_償還回数,0,MAX(0,F56-(ROUND(計算_月額_基本,0)-ROUND(F56*計算_利率/定数_年月数,0)))))</f>
        <v>256601</v>
      </c>
      <c r="G57" s="169" t="n">
        <f aca="false">IF(A57="","",IF(A57=計算_償還回数,0,MAX(0,G56-(ROUND(計算_月額_在宅介護,0)-ROUND(G56*計算_利率_在宅介護/定数_年月数,0)))))</f>
        <v>0</v>
      </c>
      <c r="H57" s="169" t="n">
        <f aca="false">IF(A57="","",F57+G57)</f>
        <v>256601</v>
      </c>
      <c r="I57" s="168" t="n">
        <f aca="false">IF(A57="","",IF(AND(OR(MONTH(B57)=6,MONTH(B57)=12),I56&lt;計算_賞与回数),I56+1,I56))</f>
        <v>0</v>
      </c>
      <c r="J57" s="169" t="n">
        <f aca="false">IF(A57="","",IF(I57&gt;I56,IF(I57=計算_賞与回数,M56+K57,計算_賞与償還額),0))</f>
        <v>0</v>
      </c>
      <c r="K57" s="169" t="n">
        <f aca="false">IF(A57="","",IF(I57&gt;I56,ROUND(M56*計算_賞与期間利率,0),0))</f>
        <v>0</v>
      </c>
      <c r="L57" s="169" t="n">
        <f aca="false">IF(A57="","",J57-K57)</f>
        <v>0</v>
      </c>
      <c r="M57" s="169" t="n">
        <f aca="false">IF(A57="","",IF(I57&gt;I56,M56-L57,M56))</f>
        <v>0</v>
      </c>
      <c r="N57" s="169" t="n">
        <f aca="false">IF(A57="","",C57+J57)</f>
        <v>25809</v>
      </c>
      <c r="O57" s="169" t="n">
        <f aca="false">IF(A57="","",H57+M57)</f>
        <v>256601</v>
      </c>
    </row>
    <row r="58" customFormat="false" ht="15" hidden="false" customHeight="false" outlineLevel="0" collapsed="false">
      <c r="A58" s="168" t="n">
        <f aca="false">IF(OR(計算_償還開始="",ROWS($A$8:A58)&gt;計算_償還回数),"",ROWS($A$8:A58))</f>
        <v>51</v>
      </c>
      <c r="B58" s="170" t="n">
        <f aca="false">IF(A58="","",EDATE(計算_償還開始,A58-1))</f>
        <v>47880</v>
      </c>
      <c r="C58" s="169" t="n">
        <f aca="false">IF(A58="","",IF(A58=計算_償還回数,D58+F57+G57,計算_毎月償還額))</f>
        <v>25809</v>
      </c>
      <c r="D58" s="169" t="n">
        <f aca="false">IF(A58="","",ROUND(F57*計算_利率/定数_年月数,0)+ROUND(G57*計算_利率_在宅介護/定数_年月数,0))</f>
        <v>269</v>
      </c>
      <c r="E58" s="169" t="n">
        <f aca="false">IF(A58="","",C58-D58)</f>
        <v>25540</v>
      </c>
      <c r="F58" s="169" t="n">
        <f aca="false">IF(A58="","",IF(A58=計算_償還回数,0,MAX(0,F57-(ROUND(計算_月額_基本,0)-ROUND(F57*計算_利率/定数_年月数,0)))))</f>
        <v>231061</v>
      </c>
      <c r="G58" s="169" t="n">
        <f aca="false">IF(A58="","",IF(A58=計算_償還回数,0,MAX(0,G57-(ROUND(計算_月額_在宅介護,0)-ROUND(G57*計算_利率_在宅介護/定数_年月数,0)))))</f>
        <v>0</v>
      </c>
      <c r="H58" s="169" t="n">
        <f aca="false">IF(A58="","",F58+G58)</f>
        <v>231061</v>
      </c>
      <c r="I58" s="168" t="n">
        <f aca="false">IF(A58="","",IF(AND(OR(MONTH(B58)=6,MONTH(B58)=12),I57&lt;計算_賞与回数),I57+1,I57))</f>
        <v>0</v>
      </c>
      <c r="J58" s="169" t="n">
        <f aca="false">IF(A58="","",IF(I58&gt;I57,IF(I58=計算_賞与回数,M57+K58,計算_賞与償還額),0))</f>
        <v>0</v>
      </c>
      <c r="K58" s="169" t="n">
        <f aca="false">IF(A58="","",IF(I58&gt;I57,ROUND(M57*計算_賞与期間利率,0),0))</f>
        <v>0</v>
      </c>
      <c r="L58" s="169" t="n">
        <f aca="false">IF(A58="","",J58-K58)</f>
        <v>0</v>
      </c>
      <c r="M58" s="169" t="n">
        <f aca="false">IF(A58="","",IF(I58&gt;I57,M57-L58,M57))</f>
        <v>0</v>
      </c>
      <c r="N58" s="169" t="n">
        <f aca="false">IF(A58="","",C58+J58)</f>
        <v>25809</v>
      </c>
      <c r="O58" s="169" t="n">
        <f aca="false">IF(A58="","",H58+M58)</f>
        <v>231061</v>
      </c>
    </row>
    <row r="59" customFormat="false" ht="15" hidden="false" customHeight="false" outlineLevel="0" collapsed="false">
      <c r="A59" s="168" t="n">
        <f aca="false">IF(OR(計算_償還開始="",ROWS($A$8:A59)&gt;計算_償還回数),"",ROWS($A$8:A59))</f>
        <v>52</v>
      </c>
      <c r="B59" s="170" t="n">
        <f aca="false">IF(A59="","",EDATE(計算_償還開始,A59-1))</f>
        <v>47908</v>
      </c>
      <c r="C59" s="169" t="n">
        <f aca="false">IF(A59="","",IF(A59=計算_償還回数,D59+F58+G58,計算_毎月償還額))</f>
        <v>25809</v>
      </c>
      <c r="D59" s="169" t="n">
        <f aca="false">IF(A59="","",ROUND(F58*計算_利率/定数_年月数,0)+ROUND(G58*計算_利率_在宅介護/定数_年月数,0))</f>
        <v>243</v>
      </c>
      <c r="E59" s="169" t="n">
        <f aca="false">IF(A59="","",C59-D59)</f>
        <v>25566</v>
      </c>
      <c r="F59" s="169" t="n">
        <f aca="false">IF(A59="","",IF(A59=計算_償還回数,0,MAX(0,F58-(ROUND(計算_月額_基本,0)-ROUND(F58*計算_利率/定数_年月数,0)))))</f>
        <v>205495</v>
      </c>
      <c r="G59" s="169" t="n">
        <f aca="false">IF(A59="","",IF(A59=計算_償還回数,0,MAX(0,G58-(ROUND(計算_月額_在宅介護,0)-ROUND(G58*計算_利率_在宅介護/定数_年月数,0)))))</f>
        <v>0</v>
      </c>
      <c r="H59" s="169" t="n">
        <f aca="false">IF(A59="","",F59+G59)</f>
        <v>205495</v>
      </c>
      <c r="I59" s="168" t="n">
        <f aca="false">IF(A59="","",IF(AND(OR(MONTH(B59)=6,MONTH(B59)=12),I58&lt;計算_賞与回数),I58+1,I58))</f>
        <v>0</v>
      </c>
      <c r="J59" s="169" t="n">
        <f aca="false">IF(A59="","",IF(I59&gt;I58,IF(I59=計算_賞与回数,M58+K59,計算_賞与償還額),0))</f>
        <v>0</v>
      </c>
      <c r="K59" s="169" t="n">
        <f aca="false">IF(A59="","",IF(I59&gt;I58,ROUND(M58*計算_賞与期間利率,0),0))</f>
        <v>0</v>
      </c>
      <c r="L59" s="169" t="n">
        <f aca="false">IF(A59="","",J59-K59)</f>
        <v>0</v>
      </c>
      <c r="M59" s="169" t="n">
        <f aca="false">IF(A59="","",IF(I59&gt;I58,M58-L59,M58))</f>
        <v>0</v>
      </c>
      <c r="N59" s="169" t="n">
        <f aca="false">IF(A59="","",C59+J59)</f>
        <v>25809</v>
      </c>
      <c r="O59" s="169" t="n">
        <f aca="false">IF(A59="","",H59+M59)</f>
        <v>205495</v>
      </c>
    </row>
    <row r="60" customFormat="false" ht="15" hidden="false" customHeight="false" outlineLevel="0" collapsed="false">
      <c r="A60" s="168" t="n">
        <f aca="false">IF(OR(計算_償還開始="",ROWS($A$8:A60)&gt;計算_償還回数),"",ROWS($A$8:A60))</f>
        <v>53</v>
      </c>
      <c r="B60" s="170" t="n">
        <f aca="false">IF(A60="","",EDATE(計算_償還開始,A60-1))</f>
        <v>47939</v>
      </c>
      <c r="C60" s="169" t="n">
        <f aca="false">IF(A60="","",IF(A60=計算_償還回数,D60+F59+G59,計算_毎月償還額))</f>
        <v>25809</v>
      </c>
      <c r="D60" s="169" t="n">
        <f aca="false">IF(A60="","",ROUND(F59*計算_利率/定数_年月数,0)+ROUND(G59*計算_利率_在宅介護/定数_年月数,0))</f>
        <v>216</v>
      </c>
      <c r="E60" s="169" t="n">
        <f aca="false">IF(A60="","",C60-D60)</f>
        <v>25593</v>
      </c>
      <c r="F60" s="169" t="n">
        <f aca="false">IF(A60="","",IF(A60=計算_償還回数,0,MAX(0,F59-(ROUND(計算_月額_基本,0)-ROUND(F59*計算_利率/定数_年月数,0)))))</f>
        <v>179902</v>
      </c>
      <c r="G60" s="169" t="n">
        <f aca="false">IF(A60="","",IF(A60=計算_償還回数,0,MAX(0,G59-(ROUND(計算_月額_在宅介護,0)-ROUND(G59*計算_利率_在宅介護/定数_年月数,0)))))</f>
        <v>0</v>
      </c>
      <c r="H60" s="169" t="n">
        <f aca="false">IF(A60="","",F60+G60)</f>
        <v>179902</v>
      </c>
      <c r="I60" s="168" t="n">
        <f aca="false">IF(A60="","",IF(AND(OR(MONTH(B60)=6,MONTH(B60)=12),I59&lt;計算_賞与回数),I59+1,I59))</f>
        <v>0</v>
      </c>
      <c r="J60" s="169" t="n">
        <f aca="false">IF(A60="","",IF(I60&gt;I59,IF(I60=計算_賞与回数,M59+K60,計算_賞与償還額),0))</f>
        <v>0</v>
      </c>
      <c r="K60" s="169" t="n">
        <f aca="false">IF(A60="","",IF(I60&gt;I59,ROUND(M59*計算_賞与期間利率,0),0))</f>
        <v>0</v>
      </c>
      <c r="L60" s="169" t="n">
        <f aca="false">IF(A60="","",J60-K60)</f>
        <v>0</v>
      </c>
      <c r="M60" s="169" t="n">
        <f aca="false">IF(A60="","",IF(I60&gt;I59,M59-L60,M59))</f>
        <v>0</v>
      </c>
      <c r="N60" s="169" t="n">
        <f aca="false">IF(A60="","",C60+J60)</f>
        <v>25809</v>
      </c>
      <c r="O60" s="169" t="n">
        <f aca="false">IF(A60="","",H60+M60)</f>
        <v>179902</v>
      </c>
    </row>
    <row r="61" customFormat="false" ht="15" hidden="false" customHeight="false" outlineLevel="0" collapsed="false">
      <c r="A61" s="168" t="n">
        <f aca="false">IF(OR(計算_償還開始="",ROWS($A$8:A61)&gt;計算_償還回数),"",ROWS($A$8:A61))</f>
        <v>54</v>
      </c>
      <c r="B61" s="170" t="n">
        <f aca="false">IF(A61="","",EDATE(計算_償還開始,A61-1))</f>
        <v>47969</v>
      </c>
      <c r="C61" s="169" t="n">
        <f aca="false">IF(A61="","",IF(A61=計算_償還回数,D61+F60+G60,計算_毎月償還額))</f>
        <v>25809</v>
      </c>
      <c r="D61" s="169" t="n">
        <f aca="false">IF(A61="","",ROUND(F60*計算_利率/定数_年月数,0)+ROUND(G60*計算_利率_在宅介護/定数_年月数,0))</f>
        <v>189</v>
      </c>
      <c r="E61" s="169" t="n">
        <f aca="false">IF(A61="","",C61-D61)</f>
        <v>25620</v>
      </c>
      <c r="F61" s="169" t="n">
        <f aca="false">IF(A61="","",IF(A61=計算_償還回数,0,MAX(0,F60-(ROUND(計算_月額_基本,0)-ROUND(F60*計算_利率/定数_年月数,0)))))</f>
        <v>154282</v>
      </c>
      <c r="G61" s="169" t="n">
        <f aca="false">IF(A61="","",IF(A61=計算_償還回数,0,MAX(0,G60-(ROUND(計算_月額_在宅介護,0)-ROUND(G60*計算_利率_在宅介護/定数_年月数,0)))))</f>
        <v>0</v>
      </c>
      <c r="H61" s="169" t="n">
        <f aca="false">IF(A61="","",F61+G61)</f>
        <v>154282</v>
      </c>
      <c r="I61" s="168" t="n">
        <f aca="false">IF(A61="","",IF(AND(OR(MONTH(B61)=6,MONTH(B61)=12),I60&lt;計算_賞与回数),I60+1,I60))</f>
        <v>0</v>
      </c>
      <c r="J61" s="169" t="n">
        <f aca="false">IF(A61="","",IF(I61&gt;I60,IF(I61=計算_賞与回数,M60+K61,計算_賞与償還額),0))</f>
        <v>0</v>
      </c>
      <c r="K61" s="169" t="n">
        <f aca="false">IF(A61="","",IF(I61&gt;I60,ROUND(M60*計算_賞与期間利率,0),0))</f>
        <v>0</v>
      </c>
      <c r="L61" s="169" t="n">
        <f aca="false">IF(A61="","",J61-K61)</f>
        <v>0</v>
      </c>
      <c r="M61" s="169" t="n">
        <f aca="false">IF(A61="","",IF(I61&gt;I60,M60-L61,M60))</f>
        <v>0</v>
      </c>
      <c r="N61" s="169" t="n">
        <f aca="false">IF(A61="","",C61+J61)</f>
        <v>25809</v>
      </c>
      <c r="O61" s="169" t="n">
        <f aca="false">IF(A61="","",H61+M61)</f>
        <v>154282</v>
      </c>
    </row>
    <row r="62" customFormat="false" ht="15" hidden="false" customHeight="false" outlineLevel="0" collapsed="false">
      <c r="A62" s="168" t="n">
        <f aca="false">IF(OR(計算_償還開始="",ROWS($A$8:A62)&gt;計算_償還回数),"",ROWS($A$8:A62))</f>
        <v>55</v>
      </c>
      <c r="B62" s="170" t="n">
        <f aca="false">IF(A62="","",EDATE(計算_償還開始,A62-1))</f>
        <v>48000</v>
      </c>
      <c r="C62" s="169" t="n">
        <f aca="false">IF(A62="","",IF(A62=計算_償還回数,D62+F61+G61,計算_毎月償還額))</f>
        <v>25809</v>
      </c>
      <c r="D62" s="169" t="n">
        <f aca="false">IF(A62="","",ROUND(F61*計算_利率/定数_年月数,0)+ROUND(G61*計算_利率_在宅介護/定数_年月数,0))</f>
        <v>162</v>
      </c>
      <c r="E62" s="169" t="n">
        <f aca="false">IF(A62="","",C62-D62)</f>
        <v>25647</v>
      </c>
      <c r="F62" s="169" t="n">
        <f aca="false">IF(A62="","",IF(A62=計算_償還回数,0,MAX(0,F61-(ROUND(計算_月額_基本,0)-ROUND(F61*計算_利率/定数_年月数,0)))))</f>
        <v>128635</v>
      </c>
      <c r="G62" s="169" t="n">
        <f aca="false">IF(A62="","",IF(A62=計算_償還回数,0,MAX(0,G61-(ROUND(計算_月額_在宅介護,0)-ROUND(G61*計算_利率_在宅介護/定数_年月数,0)))))</f>
        <v>0</v>
      </c>
      <c r="H62" s="169" t="n">
        <f aca="false">IF(A62="","",F62+G62)</f>
        <v>128635</v>
      </c>
      <c r="I62" s="168" t="n">
        <f aca="false">IF(A62="","",IF(AND(OR(MONTH(B62)=6,MONTH(B62)=12),I61&lt;計算_賞与回数),I61+1,I61))</f>
        <v>0</v>
      </c>
      <c r="J62" s="169" t="n">
        <f aca="false">IF(A62="","",IF(I62&gt;I61,IF(I62=計算_賞与回数,M61+K62,計算_賞与償還額),0))</f>
        <v>0</v>
      </c>
      <c r="K62" s="169" t="n">
        <f aca="false">IF(A62="","",IF(I62&gt;I61,ROUND(M61*計算_賞与期間利率,0),0))</f>
        <v>0</v>
      </c>
      <c r="L62" s="169" t="n">
        <f aca="false">IF(A62="","",J62-K62)</f>
        <v>0</v>
      </c>
      <c r="M62" s="169" t="n">
        <f aca="false">IF(A62="","",IF(I62&gt;I61,M61-L62,M61))</f>
        <v>0</v>
      </c>
      <c r="N62" s="169" t="n">
        <f aca="false">IF(A62="","",C62+J62)</f>
        <v>25809</v>
      </c>
      <c r="O62" s="169" t="n">
        <f aca="false">IF(A62="","",H62+M62)</f>
        <v>128635</v>
      </c>
    </row>
    <row r="63" customFormat="false" ht="15" hidden="false" customHeight="false" outlineLevel="0" collapsed="false">
      <c r="A63" s="168" t="n">
        <f aca="false">IF(OR(計算_償還開始="",ROWS($A$8:A63)&gt;計算_償還回数),"",ROWS($A$8:A63))</f>
        <v>56</v>
      </c>
      <c r="B63" s="170" t="n">
        <f aca="false">IF(A63="","",EDATE(計算_償還開始,A63-1))</f>
        <v>48030</v>
      </c>
      <c r="C63" s="169" t="n">
        <f aca="false">IF(A63="","",IF(A63=計算_償還回数,D63+F62+G62,計算_毎月償還額))</f>
        <v>25809</v>
      </c>
      <c r="D63" s="169" t="n">
        <f aca="false">IF(A63="","",ROUND(F62*計算_利率/定数_年月数,0)+ROUND(G62*計算_利率_在宅介護/定数_年月数,0))</f>
        <v>135</v>
      </c>
      <c r="E63" s="169" t="n">
        <f aca="false">IF(A63="","",C63-D63)</f>
        <v>25674</v>
      </c>
      <c r="F63" s="169" t="n">
        <f aca="false">IF(A63="","",IF(A63=計算_償還回数,0,MAX(0,F62-(ROUND(計算_月額_基本,0)-ROUND(F62*計算_利率/定数_年月数,0)))))</f>
        <v>102961</v>
      </c>
      <c r="G63" s="169" t="n">
        <f aca="false">IF(A63="","",IF(A63=計算_償還回数,0,MAX(0,G62-(ROUND(計算_月額_在宅介護,0)-ROUND(G62*計算_利率_在宅介護/定数_年月数,0)))))</f>
        <v>0</v>
      </c>
      <c r="H63" s="169" t="n">
        <f aca="false">IF(A63="","",F63+G63)</f>
        <v>102961</v>
      </c>
      <c r="I63" s="168" t="n">
        <f aca="false">IF(A63="","",IF(AND(OR(MONTH(B63)=6,MONTH(B63)=12),I62&lt;計算_賞与回数),I62+1,I62))</f>
        <v>0</v>
      </c>
      <c r="J63" s="169" t="n">
        <f aca="false">IF(A63="","",IF(I63&gt;I62,IF(I63=計算_賞与回数,M62+K63,計算_賞与償還額),0))</f>
        <v>0</v>
      </c>
      <c r="K63" s="169" t="n">
        <f aca="false">IF(A63="","",IF(I63&gt;I62,ROUND(M62*計算_賞与期間利率,0),0))</f>
        <v>0</v>
      </c>
      <c r="L63" s="169" t="n">
        <f aca="false">IF(A63="","",J63-K63)</f>
        <v>0</v>
      </c>
      <c r="M63" s="169" t="n">
        <f aca="false">IF(A63="","",IF(I63&gt;I62,M62-L63,M62))</f>
        <v>0</v>
      </c>
      <c r="N63" s="169" t="n">
        <f aca="false">IF(A63="","",C63+J63)</f>
        <v>25809</v>
      </c>
      <c r="O63" s="169" t="n">
        <f aca="false">IF(A63="","",H63+M63)</f>
        <v>102961</v>
      </c>
    </row>
    <row r="64" customFormat="false" ht="15" hidden="false" customHeight="false" outlineLevel="0" collapsed="false">
      <c r="A64" s="168" t="n">
        <f aca="false">IF(OR(計算_償還開始="",ROWS($A$8:A64)&gt;計算_償還回数),"",ROWS($A$8:A64))</f>
        <v>57</v>
      </c>
      <c r="B64" s="170" t="n">
        <f aca="false">IF(A64="","",EDATE(計算_償還開始,A64-1))</f>
        <v>48061</v>
      </c>
      <c r="C64" s="169" t="n">
        <f aca="false">IF(A64="","",IF(A64=計算_償還回数,D64+F63+G63,計算_毎月償還額))</f>
        <v>25809</v>
      </c>
      <c r="D64" s="169" t="n">
        <f aca="false">IF(A64="","",ROUND(F63*計算_利率/定数_年月数,0)+ROUND(G63*計算_利率_在宅介護/定数_年月数,0))</f>
        <v>108</v>
      </c>
      <c r="E64" s="169" t="n">
        <f aca="false">IF(A64="","",C64-D64)</f>
        <v>25701</v>
      </c>
      <c r="F64" s="169" t="n">
        <f aca="false">IF(A64="","",IF(A64=計算_償還回数,0,MAX(0,F63-(ROUND(計算_月額_基本,0)-ROUND(F63*計算_利率/定数_年月数,0)))))</f>
        <v>77260</v>
      </c>
      <c r="G64" s="169" t="n">
        <f aca="false">IF(A64="","",IF(A64=計算_償還回数,0,MAX(0,G63-(ROUND(計算_月額_在宅介護,0)-ROUND(G63*計算_利率_在宅介護/定数_年月数,0)))))</f>
        <v>0</v>
      </c>
      <c r="H64" s="169" t="n">
        <f aca="false">IF(A64="","",F64+G64)</f>
        <v>77260</v>
      </c>
      <c r="I64" s="168" t="n">
        <f aca="false">IF(A64="","",IF(AND(OR(MONTH(B64)=6,MONTH(B64)=12),I63&lt;計算_賞与回数),I63+1,I63))</f>
        <v>0</v>
      </c>
      <c r="J64" s="169" t="n">
        <f aca="false">IF(A64="","",IF(I64&gt;I63,IF(I64=計算_賞与回数,M63+K64,計算_賞与償還額),0))</f>
        <v>0</v>
      </c>
      <c r="K64" s="169" t="n">
        <f aca="false">IF(A64="","",IF(I64&gt;I63,ROUND(M63*計算_賞与期間利率,0),0))</f>
        <v>0</v>
      </c>
      <c r="L64" s="169" t="n">
        <f aca="false">IF(A64="","",J64-K64)</f>
        <v>0</v>
      </c>
      <c r="M64" s="169" t="n">
        <f aca="false">IF(A64="","",IF(I64&gt;I63,M63-L64,M63))</f>
        <v>0</v>
      </c>
      <c r="N64" s="169" t="n">
        <f aca="false">IF(A64="","",C64+J64)</f>
        <v>25809</v>
      </c>
      <c r="O64" s="169" t="n">
        <f aca="false">IF(A64="","",H64+M64)</f>
        <v>77260</v>
      </c>
    </row>
    <row r="65" customFormat="false" ht="15" hidden="false" customHeight="false" outlineLevel="0" collapsed="false">
      <c r="A65" s="168" t="n">
        <f aca="false">IF(OR(計算_償還開始="",ROWS($A$8:A65)&gt;計算_償還回数),"",ROWS($A$8:A65))</f>
        <v>58</v>
      </c>
      <c r="B65" s="170" t="n">
        <f aca="false">IF(A65="","",EDATE(計算_償還開始,A65-1))</f>
        <v>48092</v>
      </c>
      <c r="C65" s="169" t="n">
        <f aca="false">IF(A65="","",IF(A65=計算_償還回数,D65+F64+G64,計算_毎月償還額))</f>
        <v>25809</v>
      </c>
      <c r="D65" s="169" t="n">
        <f aca="false">IF(A65="","",ROUND(F64*計算_利率/定数_年月数,0)+ROUND(G64*計算_利率_在宅介護/定数_年月数,0))</f>
        <v>81</v>
      </c>
      <c r="E65" s="169" t="n">
        <f aca="false">IF(A65="","",C65-D65)</f>
        <v>25728</v>
      </c>
      <c r="F65" s="169" t="n">
        <f aca="false">IF(A65="","",IF(A65=計算_償還回数,0,MAX(0,F64-(ROUND(計算_月額_基本,0)-ROUND(F64*計算_利率/定数_年月数,0)))))</f>
        <v>51532</v>
      </c>
      <c r="G65" s="169" t="n">
        <f aca="false">IF(A65="","",IF(A65=計算_償還回数,0,MAX(0,G64-(ROUND(計算_月額_在宅介護,0)-ROUND(G64*計算_利率_在宅介護/定数_年月数,0)))))</f>
        <v>0</v>
      </c>
      <c r="H65" s="169" t="n">
        <f aca="false">IF(A65="","",F65+G65)</f>
        <v>51532</v>
      </c>
      <c r="I65" s="168" t="n">
        <f aca="false">IF(A65="","",IF(AND(OR(MONTH(B65)=6,MONTH(B65)=12),I64&lt;計算_賞与回数),I64+1,I64))</f>
        <v>0</v>
      </c>
      <c r="J65" s="169" t="n">
        <f aca="false">IF(A65="","",IF(I65&gt;I64,IF(I65=計算_賞与回数,M64+K65,計算_賞与償還額),0))</f>
        <v>0</v>
      </c>
      <c r="K65" s="169" t="n">
        <f aca="false">IF(A65="","",IF(I65&gt;I64,ROUND(M64*計算_賞与期間利率,0),0))</f>
        <v>0</v>
      </c>
      <c r="L65" s="169" t="n">
        <f aca="false">IF(A65="","",J65-K65)</f>
        <v>0</v>
      </c>
      <c r="M65" s="169" t="n">
        <f aca="false">IF(A65="","",IF(I65&gt;I64,M64-L65,M64))</f>
        <v>0</v>
      </c>
      <c r="N65" s="169" t="n">
        <f aca="false">IF(A65="","",C65+J65)</f>
        <v>25809</v>
      </c>
      <c r="O65" s="169" t="n">
        <f aca="false">IF(A65="","",H65+M65)</f>
        <v>51532</v>
      </c>
    </row>
    <row r="66" customFormat="false" ht="15" hidden="false" customHeight="false" outlineLevel="0" collapsed="false">
      <c r="A66" s="168" t="n">
        <f aca="false">IF(OR(計算_償還開始="",ROWS($A$8:A66)&gt;計算_償還回数),"",ROWS($A$8:A66))</f>
        <v>59</v>
      </c>
      <c r="B66" s="170" t="n">
        <f aca="false">IF(A66="","",EDATE(計算_償還開始,A66-1))</f>
        <v>48122</v>
      </c>
      <c r="C66" s="169" t="n">
        <f aca="false">IF(A66="","",IF(A66=計算_償還回数,D66+F65+G65,計算_毎月償還額))</f>
        <v>25809</v>
      </c>
      <c r="D66" s="169" t="n">
        <f aca="false">IF(A66="","",ROUND(F65*計算_利率/定数_年月数,0)+ROUND(G65*計算_利率_在宅介護/定数_年月数,0))</f>
        <v>54</v>
      </c>
      <c r="E66" s="169" t="n">
        <f aca="false">IF(A66="","",C66-D66)</f>
        <v>25755</v>
      </c>
      <c r="F66" s="169" t="n">
        <f aca="false">IF(A66="","",IF(A66=計算_償還回数,0,MAX(0,F65-(ROUND(計算_月額_基本,0)-ROUND(F65*計算_利率/定数_年月数,0)))))</f>
        <v>25777</v>
      </c>
      <c r="G66" s="169" t="n">
        <f aca="false">IF(A66="","",IF(A66=計算_償還回数,0,MAX(0,G65-(ROUND(計算_月額_在宅介護,0)-ROUND(G65*計算_利率_在宅介護/定数_年月数,0)))))</f>
        <v>0</v>
      </c>
      <c r="H66" s="169" t="n">
        <f aca="false">IF(A66="","",F66+G66)</f>
        <v>25777</v>
      </c>
      <c r="I66" s="168" t="n">
        <f aca="false">IF(A66="","",IF(AND(OR(MONTH(B66)=6,MONTH(B66)=12),I65&lt;計算_賞与回数),I65+1,I65))</f>
        <v>0</v>
      </c>
      <c r="J66" s="169" t="n">
        <f aca="false">IF(A66="","",IF(I66&gt;I65,IF(I66=計算_賞与回数,M65+K66,計算_賞与償還額),0))</f>
        <v>0</v>
      </c>
      <c r="K66" s="169" t="n">
        <f aca="false">IF(A66="","",IF(I66&gt;I65,ROUND(M65*計算_賞与期間利率,0),0))</f>
        <v>0</v>
      </c>
      <c r="L66" s="169" t="n">
        <f aca="false">IF(A66="","",J66-K66)</f>
        <v>0</v>
      </c>
      <c r="M66" s="169" t="n">
        <f aca="false">IF(A66="","",IF(I66&gt;I65,M65-L66,M65))</f>
        <v>0</v>
      </c>
      <c r="N66" s="169" t="n">
        <f aca="false">IF(A66="","",C66+J66)</f>
        <v>25809</v>
      </c>
      <c r="O66" s="169" t="n">
        <f aca="false">IF(A66="","",H66+M66)</f>
        <v>25777</v>
      </c>
    </row>
    <row r="67" customFormat="false" ht="15" hidden="false" customHeight="false" outlineLevel="0" collapsed="false">
      <c r="A67" s="168" t="n">
        <f aca="false">IF(OR(計算_償還開始="",ROWS($A$8:A67)&gt;計算_償還回数),"",ROWS($A$8:A67))</f>
        <v>60</v>
      </c>
      <c r="B67" s="170" t="n">
        <f aca="false">IF(A67="","",EDATE(計算_償還開始,A67-1))</f>
        <v>48153</v>
      </c>
      <c r="C67" s="169" t="n">
        <f aca="false">IF(A67="","",IF(A67=計算_償還回数,D67+F66+G66,計算_毎月償還額))</f>
        <v>25804</v>
      </c>
      <c r="D67" s="169" t="n">
        <f aca="false">IF(A67="","",ROUND(F66*計算_利率/定数_年月数,0)+ROUND(G66*計算_利率_在宅介護/定数_年月数,0))</f>
        <v>27</v>
      </c>
      <c r="E67" s="169" t="n">
        <f aca="false">IF(A67="","",C67-D67)</f>
        <v>25777</v>
      </c>
      <c r="F67" s="169" t="n">
        <f aca="false">IF(A67="","",IF(A67=計算_償還回数,0,MAX(0,F66-(ROUND(計算_月額_基本,0)-ROUND(F66*計算_利率/定数_年月数,0)))))</f>
        <v>0</v>
      </c>
      <c r="G67" s="169" t="n">
        <f aca="false">IF(A67="","",IF(A67=計算_償還回数,0,MAX(0,G66-(ROUND(計算_月額_在宅介護,0)-ROUND(G66*計算_利率_在宅介護/定数_年月数,0)))))</f>
        <v>0</v>
      </c>
      <c r="H67" s="169" t="n">
        <f aca="false">IF(A67="","",F67+G67)</f>
        <v>0</v>
      </c>
      <c r="I67" s="168" t="n">
        <f aca="false">IF(A67="","",IF(AND(OR(MONTH(B67)=6,MONTH(B67)=12),I66&lt;計算_賞与回数),I66+1,I66))</f>
        <v>0</v>
      </c>
      <c r="J67" s="169" t="n">
        <f aca="false">IF(A67="","",IF(I67&gt;I66,IF(I67=計算_賞与回数,M66+K67,計算_賞与償還額),0))</f>
        <v>0</v>
      </c>
      <c r="K67" s="169" t="n">
        <f aca="false">IF(A67="","",IF(I67&gt;I66,ROUND(M66*計算_賞与期間利率,0),0))</f>
        <v>0</v>
      </c>
      <c r="L67" s="169" t="n">
        <f aca="false">IF(A67="","",J67-K67)</f>
        <v>0</v>
      </c>
      <c r="M67" s="169" t="n">
        <f aca="false">IF(A67="","",IF(I67&gt;I66,M66-L67,M66))</f>
        <v>0</v>
      </c>
      <c r="N67" s="169" t="n">
        <f aca="false">IF(A67="","",C67+J67)</f>
        <v>25804</v>
      </c>
      <c r="O67" s="169" t="n">
        <f aca="false">IF(A67="","",H67+M67)</f>
        <v>0</v>
      </c>
    </row>
    <row r="68" customFormat="false" ht="15" hidden="false" customHeight="false" outlineLevel="0" collapsed="false">
      <c r="A68" s="168" t="str">
        <f aca="false">IF(OR(計算_償還開始="",ROWS($A$8:A68)&gt;計算_償還回数),"",ROWS($A$8:A68))</f>
        <v/>
      </c>
      <c r="B68" s="170" t="str">
        <f aca="false">IF(A68="","",EDATE(計算_償還開始,A68-1))</f>
        <v/>
      </c>
      <c r="C68" s="169" t="str">
        <f aca="false">IF(A68="","",IF(A68=計算_償還回数,D68+F67+G67,計算_毎月償還額))</f>
        <v/>
      </c>
      <c r="D68" s="169" t="str">
        <f aca="false">IF(A68="","",ROUND(F67*計算_利率/定数_年月数,0)+ROUND(G67*計算_利率_在宅介護/定数_年月数,0))</f>
        <v/>
      </c>
      <c r="E68" s="169" t="str">
        <f aca="false">IF(A68="","",C68-D68)</f>
        <v/>
      </c>
      <c r="F68" s="169" t="str">
        <f aca="false">IF(A68="","",IF(A68=計算_償還回数,0,MAX(0,F67-(ROUND(計算_月額_基本,0)-ROUND(F67*計算_利率/定数_年月数,0)))))</f>
        <v/>
      </c>
      <c r="G68" s="169" t="str">
        <f aca="false">IF(A68="","",IF(A68=計算_償還回数,0,MAX(0,G67-(ROUND(計算_月額_在宅介護,0)-ROUND(G67*計算_利率_在宅介護/定数_年月数,0)))))</f>
        <v/>
      </c>
      <c r="H68" s="169" t="str">
        <f aca="false">IF(A68="","",F68+G68)</f>
        <v/>
      </c>
      <c r="I68" s="168" t="str">
        <f aca="false">IF(A68="","",IF(AND(OR(MONTH(B68)=6,MONTH(B68)=12),I67&lt;計算_賞与回数),I67+1,I67))</f>
        <v/>
      </c>
      <c r="J68" s="169" t="str">
        <f aca="false">IF(A68="","",IF(I68&gt;I67,IF(I68=計算_賞与回数,M67+K68,計算_賞与償還額),0))</f>
        <v/>
      </c>
      <c r="K68" s="169" t="str">
        <f aca="false">IF(A68="","",IF(I68&gt;I67,ROUND(M67*計算_賞与期間利率,0),0))</f>
        <v/>
      </c>
      <c r="L68" s="169" t="str">
        <f aca="false">IF(A68="","",J68-K68)</f>
        <v/>
      </c>
      <c r="M68" s="169" t="str">
        <f aca="false">IF(A68="","",IF(I68&gt;I67,M67-L68,M67))</f>
        <v/>
      </c>
      <c r="N68" s="169" t="str">
        <f aca="false">IF(A68="","",C68+J68)</f>
        <v/>
      </c>
      <c r="O68" s="169" t="str">
        <f aca="false">IF(A68="","",H68+M68)</f>
        <v/>
      </c>
    </row>
    <row r="69" customFormat="false" ht="15" hidden="false" customHeight="false" outlineLevel="0" collapsed="false">
      <c r="A69" s="168" t="str">
        <f aca="false">IF(OR(計算_償還開始="",ROWS($A$8:A69)&gt;計算_償還回数),"",ROWS($A$8:A69))</f>
        <v/>
      </c>
      <c r="B69" s="170" t="str">
        <f aca="false">IF(A69="","",EDATE(計算_償還開始,A69-1))</f>
        <v/>
      </c>
      <c r="C69" s="169" t="str">
        <f aca="false">IF(A69="","",IF(A69=計算_償還回数,D69+F68+G68,計算_毎月償還額))</f>
        <v/>
      </c>
      <c r="D69" s="169" t="str">
        <f aca="false">IF(A69="","",ROUND(F68*計算_利率/定数_年月数,0)+ROUND(G68*計算_利率_在宅介護/定数_年月数,0))</f>
        <v/>
      </c>
      <c r="E69" s="169" t="str">
        <f aca="false">IF(A69="","",C69-D69)</f>
        <v/>
      </c>
      <c r="F69" s="169" t="str">
        <f aca="false">IF(A69="","",IF(A69=計算_償還回数,0,MAX(0,F68-(ROUND(計算_月額_基本,0)-ROUND(F68*計算_利率/定数_年月数,0)))))</f>
        <v/>
      </c>
      <c r="G69" s="169" t="str">
        <f aca="false">IF(A69="","",IF(A69=計算_償還回数,0,MAX(0,G68-(ROUND(計算_月額_在宅介護,0)-ROUND(G68*計算_利率_在宅介護/定数_年月数,0)))))</f>
        <v/>
      </c>
      <c r="H69" s="169" t="str">
        <f aca="false">IF(A69="","",F69+G69)</f>
        <v/>
      </c>
      <c r="I69" s="168" t="str">
        <f aca="false">IF(A69="","",IF(AND(OR(MONTH(B69)=6,MONTH(B69)=12),I68&lt;計算_賞与回数),I68+1,I68))</f>
        <v/>
      </c>
      <c r="J69" s="169" t="str">
        <f aca="false">IF(A69="","",IF(I69&gt;I68,IF(I69=計算_賞与回数,M68+K69,計算_賞与償還額),0))</f>
        <v/>
      </c>
      <c r="K69" s="169" t="str">
        <f aca="false">IF(A69="","",IF(I69&gt;I68,ROUND(M68*計算_賞与期間利率,0),0))</f>
        <v/>
      </c>
      <c r="L69" s="169" t="str">
        <f aca="false">IF(A69="","",J69-K69)</f>
        <v/>
      </c>
      <c r="M69" s="169" t="str">
        <f aca="false">IF(A69="","",IF(I69&gt;I68,M68-L69,M68))</f>
        <v/>
      </c>
      <c r="N69" s="169" t="str">
        <f aca="false">IF(A69="","",C69+J69)</f>
        <v/>
      </c>
      <c r="O69" s="169" t="str">
        <f aca="false">IF(A69="","",H69+M69)</f>
        <v/>
      </c>
    </row>
    <row r="70" customFormat="false" ht="15" hidden="false" customHeight="false" outlineLevel="0" collapsed="false">
      <c r="A70" s="168" t="str">
        <f aca="false">IF(OR(計算_償還開始="",ROWS($A$8:A70)&gt;計算_償還回数),"",ROWS($A$8:A70))</f>
        <v/>
      </c>
      <c r="B70" s="170" t="str">
        <f aca="false">IF(A70="","",EDATE(計算_償還開始,A70-1))</f>
        <v/>
      </c>
      <c r="C70" s="169" t="str">
        <f aca="false">IF(A70="","",IF(A70=計算_償還回数,D70+F69+G69,計算_毎月償還額))</f>
        <v/>
      </c>
      <c r="D70" s="169" t="str">
        <f aca="false">IF(A70="","",ROUND(F69*計算_利率/定数_年月数,0)+ROUND(G69*計算_利率_在宅介護/定数_年月数,0))</f>
        <v/>
      </c>
      <c r="E70" s="169" t="str">
        <f aca="false">IF(A70="","",C70-D70)</f>
        <v/>
      </c>
      <c r="F70" s="169" t="str">
        <f aca="false">IF(A70="","",IF(A70=計算_償還回数,0,MAX(0,F69-(ROUND(計算_月額_基本,0)-ROUND(F69*計算_利率/定数_年月数,0)))))</f>
        <v/>
      </c>
      <c r="G70" s="169" t="str">
        <f aca="false">IF(A70="","",IF(A70=計算_償還回数,0,MAX(0,G69-(ROUND(計算_月額_在宅介護,0)-ROUND(G69*計算_利率_在宅介護/定数_年月数,0)))))</f>
        <v/>
      </c>
      <c r="H70" s="169" t="str">
        <f aca="false">IF(A70="","",F70+G70)</f>
        <v/>
      </c>
      <c r="I70" s="168" t="str">
        <f aca="false">IF(A70="","",IF(AND(OR(MONTH(B70)=6,MONTH(B70)=12),I69&lt;計算_賞与回数),I69+1,I69))</f>
        <v/>
      </c>
      <c r="J70" s="169" t="str">
        <f aca="false">IF(A70="","",IF(I70&gt;I69,IF(I70=計算_賞与回数,M69+K70,計算_賞与償還額),0))</f>
        <v/>
      </c>
      <c r="K70" s="169" t="str">
        <f aca="false">IF(A70="","",IF(I70&gt;I69,ROUND(M69*計算_賞与期間利率,0),0))</f>
        <v/>
      </c>
      <c r="L70" s="169" t="str">
        <f aca="false">IF(A70="","",J70-K70)</f>
        <v/>
      </c>
      <c r="M70" s="169" t="str">
        <f aca="false">IF(A70="","",IF(I70&gt;I69,M69-L70,M69))</f>
        <v/>
      </c>
      <c r="N70" s="169" t="str">
        <f aca="false">IF(A70="","",C70+J70)</f>
        <v/>
      </c>
      <c r="O70" s="169" t="str">
        <f aca="false">IF(A70="","",H70+M70)</f>
        <v/>
      </c>
    </row>
    <row r="71" customFormat="false" ht="15" hidden="false" customHeight="false" outlineLevel="0" collapsed="false">
      <c r="A71" s="168" t="str">
        <f aca="false">IF(OR(計算_償還開始="",ROWS($A$8:A71)&gt;計算_償還回数),"",ROWS($A$8:A71))</f>
        <v/>
      </c>
      <c r="B71" s="170" t="str">
        <f aca="false">IF(A71="","",EDATE(計算_償還開始,A71-1))</f>
        <v/>
      </c>
      <c r="C71" s="169" t="str">
        <f aca="false">IF(A71="","",IF(A71=計算_償還回数,D71+F70+G70,計算_毎月償還額))</f>
        <v/>
      </c>
      <c r="D71" s="169" t="str">
        <f aca="false">IF(A71="","",ROUND(F70*計算_利率/定数_年月数,0)+ROUND(G70*計算_利率_在宅介護/定数_年月数,0))</f>
        <v/>
      </c>
      <c r="E71" s="169" t="str">
        <f aca="false">IF(A71="","",C71-D71)</f>
        <v/>
      </c>
      <c r="F71" s="169" t="str">
        <f aca="false">IF(A71="","",IF(A71=計算_償還回数,0,MAX(0,F70-(ROUND(計算_月額_基本,0)-ROUND(F70*計算_利率/定数_年月数,0)))))</f>
        <v/>
      </c>
      <c r="G71" s="169" t="str">
        <f aca="false">IF(A71="","",IF(A71=計算_償還回数,0,MAX(0,G70-(ROUND(計算_月額_在宅介護,0)-ROUND(G70*計算_利率_在宅介護/定数_年月数,0)))))</f>
        <v/>
      </c>
      <c r="H71" s="169" t="str">
        <f aca="false">IF(A71="","",F71+G71)</f>
        <v/>
      </c>
      <c r="I71" s="168" t="str">
        <f aca="false">IF(A71="","",IF(AND(OR(MONTH(B71)=6,MONTH(B71)=12),I70&lt;計算_賞与回数),I70+1,I70))</f>
        <v/>
      </c>
      <c r="J71" s="169" t="str">
        <f aca="false">IF(A71="","",IF(I71&gt;I70,IF(I71=計算_賞与回数,M70+K71,計算_賞与償還額),0))</f>
        <v/>
      </c>
      <c r="K71" s="169" t="str">
        <f aca="false">IF(A71="","",IF(I71&gt;I70,ROUND(M70*計算_賞与期間利率,0),0))</f>
        <v/>
      </c>
      <c r="L71" s="169" t="str">
        <f aca="false">IF(A71="","",J71-K71)</f>
        <v/>
      </c>
      <c r="M71" s="169" t="str">
        <f aca="false">IF(A71="","",IF(I71&gt;I70,M70-L71,M70))</f>
        <v/>
      </c>
      <c r="N71" s="169" t="str">
        <f aca="false">IF(A71="","",C71+J71)</f>
        <v/>
      </c>
      <c r="O71" s="169" t="str">
        <f aca="false">IF(A71="","",H71+M71)</f>
        <v/>
      </c>
    </row>
    <row r="72" customFormat="false" ht="15" hidden="false" customHeight="false" outlineLevel="0" collapsed="false">
      <c r="A72" s="168" t="str">
        <f aca="false">IF(OR(計算_償還開始="",ROWS($A$8:A72)&gt;計算_償還回数),"",ROWS($A$8:A72))</f>
        <v/>
      </c>
      <c r="B72" s="170" t="str">
        <f aca="false">IF(A72="","",EDATE(計算_償還開始,A72-1))</f>
        <v/>
      </c>
      <c r="C72" s="169" t="str">
        <f aca="false">IF(A72="","",IF(A72=計算_償還回数,D72+F71+G71,計算_毎月償還額))</f>
        <v/>
      </c>
      <c r="D72" s="169" t="str">
        <f aca="false">IF(A72="","",ROUND(F71*計算_利率/定数_年月数,0)+ROUND(G71*計算_利率_在宅介護/定数_年月数,0))</f>
        <v/>
      </c>
      <c r="E72" s="169" t="str">
        <f aca="false">IF(A72="","",C72-D72)</f>
        <v/>
      </c>
      <c r="F72" s="169" t="str">
        <f aca="false">IF(A72="","",IF(A72=計算_償還回数,0,MAX(0,F71-(ROUND(計算_月額_基本,0)-ROUND(F71*計算_利率/定数_年月数,0)))))</f>
        <v/>
      </c>
      <c r="G72" s="169" t="str">
        <f aca="false">IF(A72="","",IF(A72=計算_償還回数,0,MAX(0,G71-(ROUND(計算_月額_在宅介護,0)-ROUND(G71*計算_利率_在宅介護/定数_年月数,0)))))</f>
        <v/>
      </c>
      <c r="H72" s="169" t="str">
        <f aca="false">IF(A72="","",F72+G72)</f>
        <v/>
      </c>
      <c r="I72" s="168" t="str">
        <f aca="false">IF(A72="","",IF(AND(OR(MONTH(B72)=6,MONTH(B72)=12),I71&lt;計算_賞与回数),I71+1,I71))</f>
        <v/>
      </c>
      <c r="J72" s="169" t="str">
        <f aca="false">IF(A72="","",IF(I72&gt;I71,IF(I72=計算_賞与回数,M71+K72,計算_賞与償還額),0))</f>
        <v/>
      </c>
      <c r="K72" s="169" t="str">
        <f aca="false">IF(A72="","",IF(I72&gt;I71,ROUND(M71*計算_賞与期間利率,0),0))</f>
        <v/>
      </c>
      <c r="L72" s="169" t="str">
        <f aca="false">IF(A72="","",J72-K72)</f>
        <v/>
      </c>
      <c r="M72" s="169" t="str">
        <f aca="false">IF(A72="","",IF(I72&gt;I71,M71-L72,M71))</f>
        <v/>
      </c>
      <c r="N72" s="169" t="str">
        <f aca="false">IF(A72="","",C72+J72)</f>
        <v/>
      </c>
      <c r="O72" s="169" t="str">
        <f aca="false">IF(A72="","",H72+M72)</f>
        <v/>
      </c>
    </row>
    <row r="73" customFormat="false" ht="15" hidden="false" customHeight="false" outlineLevel="0" collapsed="false">
      <c r="A73" s="168" t="str">
        <f aca="false">IF(OR(計算_償還開始="",ROWS($A$8:A73)&gt;計算_償還回数),"",ROWS($A$8:A73))</f>
        <v/>
      </c>
      <c r="B73" s="170" t="str">
        <f aca="false">IF(A73="","",EDATE(計算_償還開始,A73-1))</f>
        <v/>
      </c>
      <c r="C73" s="169" t="str">
        <f aca="false">IF(A73="","",IF(A73=計算_償還回数,D73+F72+G72,計算_毎月償還額))</f>
        <v/>
      </c>
      <c r="D73" s="169" t="str">
        <f aca="false">IF(A73="","",ROUND(F72*計算_利率/定数_年月数,0)+ROUND(G72*計算_利率_在宅介護/定数_年月数,0))</f>
        <v/>
      </c>
      <c r="E73" s="169" t="str">
        <f aca="false">IF(A73="","",C73-D73)</f>
        <v/>
      </c>
      <c r="F73" s="169" t="str">
        <f aca="false">IF(A73="","",IF(A73=計算_償還回数,0,MAX(0,F72-(ROUND(計算_月額_基本,0)-ROUND(F72*計算_利率/定数_年月数,0)))))</f>
        <v/>
      </c>
      <c r="G73" s="169" t="str">
        <f aca="false">IF(A73="","",IF(A73=計算_償還回数,0,MAX(0,G72-(ROUND(計算_月額_在宅介護,0)-ROUND(G72*計算_利率_在宅介護/定数_年月数,0)))))</f>
        <v/>
      </c>
      <c r="H73" s="169" t="str">
        <f aca="false">IF(A73="","",F73+G73)</f>
        <v/>
      </c>
      <c r="I73" s="168" t="str">
        <f aca="false">IF(A73="","",IF(AND(OR(MONTH(B73)=6,MONTH(B73)=12),I72&lt;計算_賞与回数),I72+1,I72))</f>
        <v/>
      </c>
      <c r="J73" s="169" t="str">
        <f aca="false">IF(A73="","",IF(I73&gt;I72,IF(I73=計算_賞与回数,M72+K73,計算_賞与償還額),0))</f>
        <v/>
      </c>
      <c r="K73" s="169" t="str">
        <f aca="false">IF(A73="","",IF(I73&gt;I72,ROUND(M72*計算_賞与期間利率,0),0))</f>
        <v/>
      </c>
      <c r="L73" s="169" t="str">
        <f aca="false">IF(A73="","",J73-K73)</f>
        <v/>
      </c>
      <c r="M73" s="169" t="str">
        <f aca="false">IF(A73="","",IF(I73&gt;I72,M72-L73,M72))</f>
        <v/>
      </c>
      <c r="N73" s="169" t="str">
        <f aca="false">IF(A73="","",C73+J73)</f>
        <v/>
      </c>
      <c r="O73" s="169" t="str">
        <f aca="false">IF(A73="","",H73+M73)</f>
        <v/>
      </c>
    </row>
    <row r="74" customFormat="false" ht="15" hidden="false" customHeight="false" outlineLevel="0" collapsed="false">
      <c r="A74" s="168" t="str">
        <f aca="false">IF(OR(計算_償還開始="",ROWS($A$8:A74)&gt;計算_償還回数),"",ROWS($A$8:A74))</f>
        <v/>
      </c>
      <c r="B74" s="170" t="str">
        <f aca="false">IF(A74="","",EDATE(計算_償還開始,A74-1))</f>
        <v/>
      </c>
      <c r="C74" s="169" t="str">
        <f aca="false">IF(A74="","",IF(A74=計算_償還回数,D74+F73+G73,計算_毎月償還額))</f>
        <v/>
      </c>
      <c r="D74" s="169" t="str">
        <f aca="false">IF(A74="","",ROUND(F73*計算_利率/定数_年月数,0)+ROUND(G73*計算_利率_在宅介護/定数_年月数,0))</f>
        <v/>
      </c>
      <c r="E74" s="169" t="str">
        <f aca="false">IF(A74="","",C74-D74)</f>
        <v/>
      </c>
      <c r="F74" s="169" t="str">
        <f aca="false">IF(A74="","",IF(A74=計算_償還回数,0,MAX(0,F73-(ROUND(計算_月額_基本,0)-ROUND(F73*計算_利率/定数_年月数,0)))))</f>
        <v/>
      </c>
      <c r="G74" s="169" t="str">
        <f aca="false">IF(A74="","",IF(A74=計算_償還回数,0,MAX(0,G73-(ROUND(計算_月額_在宅介護,0)-ROUND(G73*計算_利率_在宅介護/定数_年月数,0)))))</f>
        <v/>
      </c>
      <c r="H74" s="169" t="str">
        <f aca="false">IF(A74="","",F74+G74)</f>
        <v/>
      </c>
      <c r="I74" s="168" t="str">
        <f aca="false">IF(A74="","",IF(AND(OR(MONTH(B74)=6,MONTH(B74)=12),I73&lt;計算_賞与回数),I73+1,I73))</f>
        <v/>
      </c>
      <c r="J74" s="169" t="str">
        <f aca="false">IF(A74="","",IF(I74&gt;I73,IF(I74=計算_賞与回数,M73+K74,計算_賞与償還額),0))</f>
        <v/>
      </c>
      <c r="K74" s="169" t="str">
        <f aca="false">IF(A74="","",IF(I74&gt;I73,ROUND(M73*計算_賞与期間利率,0),0))</f>
        <v/>
      </c>
      <c r="L74" s="169" t="str">
        <f aca="false">IF(A74="","",J74-K74)</f>
        <v/>
      </c>
      <c r="M74" s="169" t="str">
        <f aca="false">IF(A74="","",IF(I74&gt;I73,M73-L74,M73))</f>
        <v/>
      </c>
      <c r="N74" s="169" t="str">
        <f aca="false">IF(A74="","",C74+J74)</f>
        <v/>
      </c>
      <c r="O74" s="169" t="str">
        <f aca="false">IF(A74="","",H74+M74)</f>
        <v/>
      </c>
    </row>
    <row r="75" customFormat="false" ht="15" hidden="false" customHeight="false" outlineLevel="0" collapsed="false">
      <c r="A75" s="168" t="str">
        <f aca="false">IF(OR(計算_償還開始="",ROWS($A$8:A75)&gt;計算_償還回数),"",ROWS($A$8:A75))</f>
        <v/>
      </c>
      <c r="B75" s="170" t="str">
        <f aca="false">IF(A75="","",EDATE(計算_償還開始,A75-1))</f>
        <v/>
      </c>
      <c r="C75" s="169" t="str">
        <f aca="false">IF(A75="","",IF(A75=計算_償還回数,D75+F74+G74,計算_毎月償還額))</f>
        <v/>
      </c>
      <c r="D75" s="169" t="str">
        <f aca="false">IF(A75="","",ROUND(F74*計算_利率/定数_年月数,0)+ROUND(G74*計算_利率_在宅介護/定数_年月数,0))</f>
        <v/>
      </c>
      <c r="E75" s="169" t="str">
        <f aca="false">IF(A75="","",C75-D75)</f>
        <v/>
      </c>
      <c r="F75" s="169" t="str">
        <f aca="false">IF(A75="","",IF(A75=計算_償還回数,0,MAX(0,F74-(ROUND(計算_月額_基本,0)-ROUND(F74*計算_利率/定数_年月数,0)))))</f>
        <v/>
      </c>
      <c r="G75" s="169" t="str">
        <f aca="false">IF(A75="","",IF(A75=計算_償還回数,0,MAX(0,G74-(ROUND(計算_月額_在宅介護,0)-ROUND(G74*計算_利率_在宅介護/定数_年月数,0)))))</f>
        <v/>
      </c>
      <c r="H75" s="169" t="str">
        <f aca="false">IF(A75="","",F75+G75)</f>
        <v/>
      </c>
      <c r="I75" s="168" t="str">
        <f aca="false">IF(A75="","",IF(AND(OR(MONTH(B75)=6,MONTH(B75)=12),I74&lt;計算_賞与回数),I74+1,I74))</f>
        <v/>
      </c>
      <c r="J75" s="169" t="str">
        <f aca="false">IF(A75="","",IF(I75&gt;I74,IF(I75=計算_賞与回数,M74+K75,計算_賞与償還額),0))</f>
        <v/>
      </c>
      <c r="K75" s="169" t="str">
        <f aca="false">IF(A75="","",IF(I75&gt;I74,ROUND(M74*計算_賞与期間利率,0),0))</f>
        <v/>
      </c>
      <c r="L75" s="169" t="str">
        <f aca="false">IF(A75="","",J75-K75)</f>
        <v/>
      </c>
      <c r="M75" s="169" t="str">
        <f aca="false">IF(A75="","",IF(I75&gt;I74,M74-L75,M74))</f>
        <v/>
      </c>
      <c r="N75" s="169" t="str">
        <f aca="false">IF(A75="","",C75+J75)</f>
        <v/>
      </c>
      <c r="O75" s="169" t="str">
        <f aca="false">IF(A75="","",H75+M75)</f>
        <v/>
      </c>
    </row>
    <row r="76" customFormat="false" ht="15" hidden="false" customHeight="false" outlineLevel="0" collapsed="false">
      <c r="A76" s="168" t="str">
        <f aca="false">IF(OR(計算_償還開始="",ROWS($A$8:A76)&gt;計算_償還回数),"",ROWS($A$8:A76))</f>
        <v/>
      </c>
      <c r="B76" s="170" t="str">
        <f aca="false">IF(A76="","",EDATE(計算_償還開始,A76-1))</f>
        <v/>
      </c>
      <c r="C76" s="169" t="str">
        <f aca="false">IF(A76="","",IF(A76=計算_償還回数,D76+F75+G75,計算_毎月償還額))</f>
        <v/>
      </c>
      <c r="D76" s="169" t="str">
        <f aca="false">IF(A76="","",ROUND(F75*計算_利率/定数_年月数,0)+ROUND(G75*計算_利率_在宅介護/定数_年月数,0))</f>
        <v/>
      </c>
      <c r="E76" s="169" t="str">
        <f aca="false">IF(A76="","",C76-D76)</f>
        <v/>
      </c>
      <c r="F76" s="169" t="str">
        <f aca="false">IF(A76="","",IF(A76=計算_償還回数,0,MAX(0,F75-(ROUND(計算_月額_基本,0)-ROUND(F75*計算_利率/定数_年月数,0)))))</f>
        <v/>
      </c>
      <c r="G76" s="169" t="str">
        <f aca="false">IF(A76="","",IF(A76=計算_償還回数,0,MAX(0,G75-(ROUND(計算_月額_在宅介護,0)-ROUND(G75*計算_利率_在宅介護/定数_年月数,0)))))</f>
        <v/>
      </c>
      <c r="H76" s="169" t="str">
        <f aca="false">IF(A76="","",F76+G76)</f>
        <v/>
      </c>
      <c r="I76" s="168" t="str">
        <f aca="false">IF(A76="","",IF(AND(OR(MONTH(B76)=6,MONTH(B76)=12),I75&lt;計算_賞与回数),I75+1,I75))</f>
        <v/>
      </c>
      <c r="J76" s="169" t="str">
        <f aca="false">IF(A76="","",IF(I76&gt;I75,IF(I76=計算_賞与回数,M75+K76,計算_賞与償還額),0))</f>
        <v/>
      </c>
      <c r="K76" s="169" t="str">
        <f aca="false">IF(A76="","",IF(I76&gt;I75,ROUND(M75*計算_賞与期間利率,0),0))</f>
        <v/>
      </c>
      <c r="L76" s="169" t="str">
        <f aca="false">IF(A76="","",J76-K76)</f>
        <v/>
      </c>
      <c r="M76" s="169" t="str">
        <f aca="false">IF(A76="","",IF(I76&gt;I75,M75-L76,M75))</f>
        <v/>
      </c>
      <c r="N76" s="169" t="str">
        <f aca="false">IF(A76="","",C76+J76)</f>
        <v/>
      </c>
      <c r="O76" s="169" t="str">
        <f aca="false">IF(A76="","",H76+M76)</f>
        <v/>
      </c>
    </row>
    <row r="77" customFormat="false" ht="15" hidden="false" customHeight="false" outlineLevel="0" collapsed="false">
      <c r="A77" s="168" t="str">
        <f aca="false">IF(OR(計算_償還開始="",ROWS($A$8:A77)&gt;計算_償還回数),"",ROWS($A$8:A77))</f>
        <v/>
      </c>
      <c r="B77" s="170" t="str">
        <f aca="false">IF(A77="","",EDATE(計算_償還開始,A77-1))</f>
        <v/>
      </c>
      <c r="C77" s="169" t="str">
        <f aca="false">IF(A77="","",IF(A77=計算_償還回数,D77+F76+G76,計算_毎月償還額))</f>
        <v/>
      </c>
      <c r="D77" s="169" t="str">
        <f aca="false">IF(A77="","",ROUND(F76*計算_利率/定数_年月数,0)+ROUND(G76*計算_利率_在宅介護/定数_年月数,0))</f>
        <v/>
      </c>
      <c r="E77" s="169" t="str">
        <f aca="false">IF(A77="","",C77-D77)</f>
        <v/>
      </c>
      <c r="F77" s="169" t="str">
        <f aca="false">IF(A77="","",IF(A77=計算_償還回数,0,MAX(0,F76-(ROUND(計算_月額_基本,0)-ROUND(F76*計算_利率/定数_年月数,0)))))</f>
        <v/>
      </c>
      <c r="G77" s="169" t="str">
        <f aca="false">IF(A77="","",IF(A77=計算_償還回数,0,MAX(0,G76-(ROUND(計算_月額_在宅介護,0)-ROUND(G76*計算_利率_在宅介護/定数_年月数,0)))))</f>
        <v/>
      </c>
      <c r="H77" s="169" t="str">
        <f aca="false">IF(A77="","",F77+G77)</f>
        <v/>
      </c>
      <c r="I77" s="168" t="str">
        <f aca="false">IF(A77="","",IF(AND(OR(MONTH(B77)=6,MONTH(B77)=12),I76&lt;計算_賞与回数),I76+1,I76))</f>
        <v/>
      </c>
      <c r="J77" s="169" t="str">
        <f aca="false">IF(A77="","",IF(I77&gt;I76,IF(I77=計算_賞与回数,M76+K77,計算_賞与償還額),0))</f>
        <v/>
      </c>
      <c r="K77" s="169" t="str">
        <f aca="false">IF(A77="","",IF(I77&gt;I76,ROUND(M76*計算_賞与期間利率,0),0))</f>
        <v/>
      </c>
      <c r="L77" s="169" t="str">
        <f aca="false">IF(A77="","",J77-K77)</f>
        <v/>
      </c>
      <c r="M77" s="169" t="str">
        <f aca="false">IF(A77="","",IF(I77&gt;I76,M76-L77,M76))</f>
        <v/>
      </c>
      <c r="N77" s="169" t="str">
        <f aca="false">IF(A77="","",C77+J77)</f>
        <v/>
      </c>
      <c r="O77" s="169" t="str">
        <f aca="false">IF(A77="","",H77+M77)</f>
        <v/>
      </c>
    </row>
    <row r="78" customFormat="false" ht="15" hidden="false" customHeight="false" outlineLevel="0" collapsed="false">
      <c r="A78" s="168" t="str">
        <f aca="false">IF(OR(計算_償還開始="",ROWS($A$8:A78)&gt;計算_償還回数),"",ROWS($A$8:A78))</f>
        <v/>
      </c>
      <c r="B78" s="170" t="str">
        <f aca="false">IF(A78="","",EDATE(計算_償還開始,A78-1))</f>
        <v/>
      </c>
      <c r="C78" s="169" t="str">
        <f aca="false">IF(A78="","",IF(A78=計算_償還回数,D78+F77+G77,計算_毎月償還額))</f>
        <v/>
      </c>
      <c r="D78" s="169" t="str">
        <f aca="false">IF(A78="","",ROUND(F77*計算_利率/定数_年月数,0)+ROUND(G77*計算_利率_在宅介護/定数_年月数,0))</f>
        <v/>
      </c>
      <c r="E78" s="169" t="str">
        <f aca="false">IF(A78="","",C78-D78)</f>
        <v/>
      </c>
      <c r="F78" s="169" t="str">
        <f aca="false">IF(A78="","",IF(A78=計算_償還回数,0,MAX(0,F77-(ROUND(計算_月額_基本,0)-ROUND(F77*計算_利率/定数_年月数,0)))))</f>
        <v/>
      </c>
      <c r="G78" s="169" t="str">
        <f aca="false">IF(A78="","",IF(A78=計算_償還回数,0,MAX(0,G77-(ROUND(計算_月額_在宅介護,0)-ROUND(G77*計算_利率_在宅介護/定数_年月数,0)))))</f>
        <v/>
      </c>
      <c r="H78" s="169" t="str">
        <f aca="false">IF(A78="","",F78+G78)</f>
        <v/>
      </c>
      <c r="I78" s="168" t="str">
        <f aca="false">IF(A78="","",IF(AND(OR(MONTH(B78)=6,MONTH(B78)=12),I77&lt;計算_賞与回数),I77+1,I77))</f>
        <v/>
      </c>
      <c r="J78" s="169" t="str">
        <f aca="false">IF(A78="","",IF(I78&gt;I77,IF(I78=計算_賞与回数,M77+K78,計算_賞与償還額),0))</f>
        <v/>
      </c>
      <c r="K78" s="169" t="str">
        <f aca="false">IF(A78="","",IF(I78&gt;I77,ROUND(M77*計算_賞与期間利率,0),0))</f>
        <v/>
      </c>
      <c r="L78" s="169" t="str">
        <f aca="false">IF(A78="","",J78-K78)</f>
        <v/>
      </c>
      <c r="M78" s="169" t="str">
        <f aca="false">IF(A78="","",IF(I78&gt;I77,M77-L78,M77))</f>
        <v/>
      </c>
      <c r="N78" s="169" t="str">
        <f aca="false">IF(A78="","",C78+J78)</f>
        <v/>
      </c>
      <c r="O78" s="169" t="str">
        <f aca="false">IF(A78="","",H78+M78)</f>
        <v/>
      </c>
    </row>
    <row r="79" customFormat="false" ht="15" hidden="false" customHeight="false" outlineLevel="0" collapsed="false">
      <c r="A79" s="168" t="str">
        <f aca="false">IF(OR(計算_償還開始="",ROWS($A$8:A79)&gt;計算_償還回数),"",ROWS($A$8:A79))</f>
        <v/>
      </c>
      <c r="B79" s="170" t="str">
        <f aca="false">IF(A79="","",EDATE(計算_償還開始,A79-1))</f>
        <v/>
      </c>
      <c r="C79" s="169" t="str">
        <f aca="false">IF(A79="","",IF(A79=計算_償還回数,D79+F78+G78,計算_毎月償還額))</f>
        <v/>
      </c>
      <c r="D79" s="169" t="str">
        <f aca="false">IF(A79="","",ROUND(F78*計算_利率/定数_年月数,0)+ROUND(G78*計算_利率_在宅介護/定数_年月数,0))</f>
        <v/>
      </c>
      <c r="E79" s="169" t="str">
        <f aca="false">IF(A79="","",C79-D79)</f>
        <v/>
      </c>
      <c r="F79" s="169" t="str">
        <f aca="false">IF(A79="","",IF(A79=計算_償還回数,0,MAX(0,F78-(ROUND(計算_月額_基本,0)-ROUND(F78*計算_利率/定数_年月数,0)))))</f>
        <v/>
      </c>
      <c r="G79" s="169" t="str">
        <f aca="false">IF(A79="","",IF(A79=計算_償還回数,0,MAX(0,G78-(ROUND(計算_月額_在宅介護,0)-ROUND(G78*計算_利率_在宅介護/定数_年月数,0)))))</f>
        <v/>
      </c>
      <c r="H79" s="169" t="str">
        <f aca="false">IF(A79="","",F79+G79)</f>
        <v/>
      </c>
      <c r="I79" s="168" t="str">
        <f aca="false">IF(A79="","",IF(AND(OR(MONTH(B79)=6,MONTH(B79)=12),I78&lt;計算_賞与回数),I78+1,I78))</f>
        <v/>
      </c>
      <c r="J79" s="169" t="str">
        <f aca="false">IF(A79="","",IF(I79&gt;I78,IF(I79=計算_賞与回数,M78+K79,計算_賞与償還額),0))</f>
        <v/>
      </c>
      <c r="K79" s="169" t="str">
        <f aca="false">IF(A79="","",IF(I79&gt;I78,ROUND(M78*計算_賞与期間利率,0),0))</f>
        <v/>
      </c>
      <c r="L79" s="169" t="str">
        <f aca="false">IF(A79="","",J79-K79)</f>
        <v/>
      </c>
      <c r="M79" s="169" t="str">
        <f aca="false">IF(A79="","",IF(I79&gt;I78,M78-L79,M78))</f>
        <v/>
      </c>
      <c r="N79" s="169" t="str">
        <f aca="false">IF(A79="","",C79+J79)</f>
        <v/>
      </c>
      <c r="O79" s="169" t="str">
        <f aca="false">IF(A79="","",H79+M79)</f>
        <v/>
      </c>
    </row>
    <row r="80" customFormat="false" ht="15" hidden="false" customHeight="false" outlineLevel="0" collapsed="false">
      <c r="A80" s="168" t="str">
        <f aca="false">IF(OR(計算_償還開始="",ROWS($A$8:A80)&gt;計算_償還回数),"",ROWS($A$8:A80))</f>
        <v/>
      </c>
      <c r="B80" s="170" t="str">
        <f aca="false">IF(A80="","",EDATE(計算_償還開始,A80-1))</f>
        <v/>
      </c>
      <c r="C80" s="169" t="str">
        <f aca="false">IF(A80="","",IF(A80=計算_償還回数,D80+F79+G79,計算_毎月償還額))</f>
        <v/>
      </c>
      <c r="D80" s="169" t="str">
        <f aca="false">IF(A80="","",ROUND(F79*計算_利率/定数_年月数,0)+ROUND(G79*計算_利率_在宅介護/定数_年月数,0))</f>
        <v/>
      </c>
      <c r="E80" s="169" t="str">
        <f aca="false">IF(A80="","",C80-D80)</f>
        <v/>
      </c>
      <c r="F80" s="169" t="str">
        <f aca="false">IF(A80="","",IF(A80=計算_償還回数,0,MAX(0,F79-(ROUND(計算_月額_基本,0)-ROUND(F79*計算_利率/定数_年月数,0)))))</f>
        <v/>
      </c>
      <c r="G80" s="169" t="str">
        <f aca="false">IF(A80="","",IF(A80=計算_償還回数,0,MAX(0,G79-(ROUND(計算_月額_在宅介護,0)-ROUND(G79*計算_利率_在宅介護/定数_年月数,0)))))</f>
        <v/>
      </c>
      <c r="H80" s="169" t="str">
        <f aca="false">IF(A80="","",F80+G80)</f>
        <v/>
      </c>
      <c r="I80" s="168" t="str">
        <f aca="false">IF(A80="","",IF(AND(OR(MONTH(B80)=6,MONTH(B80)=12),I79&lt;計算_賞与回数),I79+1,I79))</f>
        <v/>
      </c>
      <c r="J80" s="169" t="str">
        <f aca="false">IF(A80="","",IF(I80&gt;I79,IF(I80=計算_賞与回数,M79+K80,計算_賞与償還額),0))</f>
        <v/>
      </c>
      <c r="K80" s="169" t="str">
        <f aca="false">IF(A80="","",IF(I80&gt;I79,ROUND(M79*計算_賞与期間利率,0),0))</f>
        <v/>
      </c>
      <c r="L80" s="169" t="str">
        <f aca="false">IF(A80="","",J80-K80)</f>
        <v/>
      </c>
      <c r="M80" s="169" t="str">
        <f aca="false">IF(A80="","",IF(I80&gt;I79,M79-L80,M79))</f>
        <v/>
      </c>
      <c r="N80" s="169" t="str">
        <f aca="false">IF(A80="","",C80+J80)</f>
        <v/>
      </c>
      <c r="O80" s="169" t="str">
        <f aca="false">IF(A80="","",H80+M80)</f>
        <v/>
      </c>
    </row>
    <row r="81" customFormat="false" ht="15" hidden="false" customHeight="false" outlineLevel="0" collapsed="false">
      <c r="A81" s="168" t="str">
        <f aca="false">IF(OR(計算_償還開始="",ROWS($A$8:A81)&gt;計算_償還回数),"",ROWS($A$8:A81))</f>
        <v/>
      </c>
      <c r="B81" s="170" t="str">
        <f aca="false">IF(A81="","",EDATE(計算_償還開始,A81-1))</f>
        <v/>
      </c>
      <c r="C81" s="169" t="str">
        <f aca="false">IF(A81="","",IF(A81=計算_償還回数,D81+F80+G80,計算_毎月償還額))</f>
        <v/>
      </c>
      <c r="D81" s="169" t="str">
        <f aca="false">IF(A81="","",ROUND(F80*計算_利率/定数_年月数,0)+ROUND(G80*計算_利率_在宅介護/定数_年月数,0))</f>
        <v/>
      </c>
      <c r="E81" s="169" t="str">
        <f aca="false">IF(A81="","",C81-D81)</f>
        <v/>
      </c>
      <c r="F81" s="169" t="str">
        <f aca="false">IF(A81="","",IF(A81=計算_償還回数,0,MAX(0,F80-(ROUND(計算_月額_基本,0)-ROUND(F80*計算_利率/定数_年月数,0)))))</f>
        <v/>
      </c>
      <c r="G81" s="169" t="str">
        <f aca="false">IF(A81="","",IF(A81=計算_償還回数,0,MAX(0,G80-(ROUND(計算_月額_在宅介護,0)-ROUND(G80*計算_利率_在宅介護/定数_年月数,0)))))</f>
        <v/>
      </c>
      <c r="H81" s="169" t="str">
        <f aca="false">IF(A81="","",F81+G81)</f>
        <v/>
      </c>
      <c r="I81" s="168" t="str">
        <f aca="false">IF(A81="","",IF(AND(OR(MONTH(B81)=6,MONTH(B81)=12),I80&lt;計算_賞与回数),I80+1,I80))</f>
        <v/>
      </c>
      <c r="J81" s="169" t="str">
        <f aca="false">IF(A81="","",IF(I81&gt;I80,IF(I81=計算_賞与回数,M80+K81,計算_賞与償還額),0))</f>
        <v/>
      </c>
      <c r="K81" s="169" t="str">
        <f aca="false">IF(A81="","",IF(I81&gt;I80,ROUND(M80*計算_賞与期間利率,0),0))</f>
        <v/>
      </c>
      <c r="L81" s="169" t="str">
        <f aca="false">IF(A81="","",J81-K81)</f>
        <v/>
      </c>
      <c r="M81" s="169" t="str">
        <f aca="false">IF(A81="","",IF(I81&gt;I80,M80-L81,M80))</f>
        <v/>
      </c>
      <c r="N81" s="169" t="str">
        <f aca="false">IF(A81="","",C81+J81)</f>
        <v/>
      </c>
      <c r="O81" s="169" t="str">
        <f aca="false">IF(A81="","",H81+M81)</f>
        <v/>
      </c>
    </row>
    <row r="82" customFormat="false" ht="15" hidden="false" customHeight="false" outlineLevel="0" collapsed="false">
      <c r="A82" s="168" t="str">
        <f aca="false">IF(OR(計算_償還開始="",ROWS($A$8:A82)&gt;計算_償還回数),"",ROWS($A$8:A82))</f>
        <v/>
      </c>
      <c r="B82" s="170" t="str">
        <f aca="false">IF(A82="","",EDATE(計算_償還開始,A82-1))</f>
        <v/>
      </c>
      <c r="C82" s="169" t="str">
        <f aca="false">IF(A82="","",IF(A82=計算_償還回数,D82+F81+G81,計算_毎月償還額))</f>
        <v/>
      </c>
      <c r="D82" s="169" t="str">
        <f aca="false">IF(A82="","",ROUND(F81*計算_利率/定数_年月数,0)+ROUND(G81*計算_利率_在宅介護/定数_年月数,0))</f>
        <v/>
      </c>
      <c r="E82" s="169" t="str">
        <f aca="false">IF(A82="","",C82-D82)</f>
        <v/>
      </c>
      <c r="F82" s="169" t="str">
        <f aca="false">IF(A82="","",IF(A82=計算_償還回数,0,MAX(0,F81-(ROUND(計算_月額_基本,0)-ROUND(F81*計算_利率/定数_年月数,0)))))</f>
        <v/>
      </c>
      <c r="G82" s="169" t="str">
        <f aca="false">IF(A82="","",IF(A82=計算_償還回数,0,MAX(0,G81-(ROUND(計算_月額_在宅介護,0)-ROUND(G81*計算_利率_在宅介護/定数_年月数,0)))))</f>
        <v/>
      </c>
      <c r="H82" s="169" t="str">
        <f aca="false">IF(A82="","",F82+G82)</f>
        <v/>
      </c>
      <c r="I82" s="168" t="str">
        <f aca="false">IF(A82="","",IF(AND(OR(MONTH(B82)=6,MONTH(B82)=12),I81&lt;計算_賞与回数),I81+1,I81))</f>
        <v/>
      </c>
      <c r="J82" s="169" t="str">
        <f aca="false">IF(A82="","",IF(I82&gt;I81,IF(I82=計算_賞与回数,M81+K82,計算_賞与償還額),0))</f>
        <v/>
      </c>
      <c r="K82" s="169" t="str">
        <f aca="false">IF(A82="","",IF(I82&gt;I81,ROUND(M81*計算_賞与期間利率,0),0))</f>
        <v/>
      </c>
      <c r="L82" s="169" t="str">
        <f aca="false">IF(A82="","",J82-K82)</f>
        <v/>
      </c>
      <c r="M82" s="169" t="str">
        <f aca="false">IF(A82="","",IF(I82&gt;I81,M81-L82,M81))</f>
        <v/>
      </c>
      <c r="N82" s="169" t="str">
        <f aca="false">IF(A82="","",C82+J82)</f>
        <v/>
      </c>
      <c r="O82" s="169" t="str">
        <f aca="false">IF(A82="","",H82+M82)</f>
        <v/>
      </c>
    </row>
    <row r="83" customFormat="false" ht="15" hidden="false" customHeight="false" outlineLevel="0" collapsed="false">
      <c r="A83" s="168" t="str">
        <f aca="false">IF(OR(計算_償還開始="",ROWS($A$8:A83)&gt;計算_償還回数),"",ROWS($A$8:A83))</f>
        <v/>
      </c>
      <c r="B83" s="170" t="str">
        <f aca="false">IF(A83="","",EDATE(計算_償還開始,A83-1))</f>
        <v/>
      </c>
      <c r="C83" s="169" t="str">
        <f aca="false">IF(A83="","",IF(A83=計算_償還回数,D83+F82+G82,計算_毎月償還額))</f>
        <v/>
      </c>
      <c r="D83" s="169" t="str">
        <f aca="false">IF(A83="","",ROUND(F82*計算_利率/定数_年月数,0)+ROUND(G82*計算_利率_在宅介護/定数_年月数,0))</f>
        <v/>
      </c>
      <c r="E83" s="169" t="str">
        <f aca="false">IF(A83="","",C83-D83)</f>
        <v/>
      </c>
      <c r="F83" s="169" t="str">
        <f aca="false">IF(A83="","",IF(A83=計算_償還回数,0,MAX(0,F82-(ROUND(計算_月額_基本,0)-ROUND(F82*計算_利率/定数_年月数,0)))))</f>
        <v/>
      </c>
      <c r="G83" s="169" t="str">
        <f aca="false">IF(A83="","",IF(A83=計算_償還回数,0,MAX(0,G82-(ROUND(計算_月額_在宅介護,0)-ROUND(G82*計算_利率_在宅介護/定数_年月数,0)))))</f>
        <v/>
      </c>
      <c r="H83" s="169" t="str">
        <f aca="false">IF(A83="","",F83+G83)</f>
        <v/>
      </c>
      <c r="I83" s="168" t="str">
        <f aca="false">IF(A83="","",IF(AND(OR(MONTH(B83)=6,MONTH(B83)=12),I82&lt;計算_賞与回数),I82+1,I82))</f>
        <v/>
      </c>
      <c r="J83" s="169" t="str">
        <f aca="false">IF(A83="","",IF(I83&gt;I82,IF(I83=計算_賞与回数,M82+K83,計算_賞与償還額),0))</f>
        <v/>
      </c>
      <c r="K83" s="169" t="str">
        <f aca="false">IF(A83="","",IF(I83&gt;I82,ROUND(M82*計算_賞与期間利率,0),0))</f>
        <v/>
      </c>
      <c r="L83" s="169" t="str">
        <f aca="false">IF(A83="","",J83-K83)</f>
        <v/>
      </c>
      <c r="M83" s="169" t="str">
        <f aca="false">IF(A83="","",IF(I83&gt;I82,M82-L83,M82))</f>
        <v/>
      </c>
      <c r="N83" s="169" t="str">
        <f aca="false">IF(A83="","",C83+J83)</f>
        <v/>
      </c>
      <c r="O83" s="169" t="str">
        <f aca="false">IF(A83="","",H83+M83)</f>
        <v/>
      </c>
    </row>
    <row r="84" customFormat="false" ht="15" hidden="false" customHeight="false" outlineLevel="0" collapsed="false">
      <c r="A84" s="168" t="str">
        <f aca="false">IF(OR(計算_償還開始="",ROWS($A$8:A84)&gt;計算_償還回数),"",ROWS($A$8:A84))</f>
        <v/>
      </c>
      <c r="B84" s="170" t="str">
        <f aca="false">IF(A84="","",EDATE(計算_償還開始,A84-1))</f>
        <v/>
      </c>
      <c r="C84" s="169" t="str">
        <f aca="false">IF(A84="","",IF(A84=計算_償還回数,D84+F83+G83,計算_毎月償還額))</f>
        <v/>
      </c>
      <c r="D84" s="169" t="str">
        <f aca="false">IF(A84="","",ROUND(F83*計算_利率/定数_年月数,0)+ROUND(G83*計算_利率_在宅介護/定数_年月数,0))</f>
        <v/>
      </c>
      <c r="E84" s="169" t="str">
        <f aca="false">IF(A84="","",C84-D84)</f>
        <v/>
      </c>
      <c r="F84" s="169" t="str">
        <f aca="false">IF(A84="","",IF(A84=計算_償還回数,0,MAX(0,F83-(ROUND(計算_月額_基本,0)-ROUND(F83*計算_利率/定数_年月数,0)))))</f>
        <v/>
      </c>
      <c r="G84" s="169" t="str">
        <f aca="false">IF(A84="","",IF(A84=計算_償還回数,0,MAX(0,G83-(ROUND(計算_月額_在宅介護,0)-ROUND(G83*計算_利率_在宅介護/定数_年月数,0)))))</f>
        <v/>
      </c>
      <c r="H84" s="169" t="str">
        <f aca="false">IF(A84="","",F84+G84)</f>
        <v/>
      </c>
      <c r="I84" s="168" t="str">
        <f aca="false">IF(A84="","",IF(AND(OR(MONTH(B84)=6,MONTH(B84)=12),I83&lt;計算_賞与回数),I83+1,I83))</f>
        <v/>
      </c>
      <c r="J84" s="169" t="str">
        <f aca="false">IF(A84="","",IF(I84&gt;I83,IF(I84=計算_賞与回数,M83+K84,計算_賞与償還額),0))</f>
        <v/>
      </c>
      <c r="K84" s="169" t="str">
        <f aca="false">IF(A84="","",IF(I84&gt;I83,ROUND(M83*計算_賞与期間利率,0),0))</f>
        <v/>
      </c>
      <c r="L84" s="169" t="str">
        <f aca="false">IF(A84="","",J84-K84)</f>
        <v/>
      </c>
      <c r="M84" s="169" t="str">
        <f aca="false">IF(A84="","",IF(I84&gt;I83,M83-L84,M83))</f>
        <v/>
      </c>
      <c r="N84" s="169" t="str">
        <f aca="false">IF(A84="","",C84+J84)</f>
        <v/>
      </c>
      <c r="O84" s="169" t="str">
        <f aca="false">IF(A84="","",H84+M84)</f>
        <v/>
      </c>
    </row>
    <row r="85" customFormat="false" ht="15" hidden="false" customHeight="false" outlineLevel="0" collapsed="false">
      <c r="A85" s="168" t="str">
        <f aca="false">IF(OR(計算_償還開始="",ROWS($A$8:A85)&gt;計算_償還回数),"",ROWS($A$8:A85))</f>
        <v/>
      </c>
      <c r="B85" s="170" t="str">
        <f aca="false">IF(A85="","",EDATE(計算_償還開始,A85-1))</f>
        <v/>
      </c>
      <c r="C85" s="169" t="str">
        <f aca="false">IF(A85="","",IF(A85=計算_償還回数,D85+F84+G84,計算_毎月償還額))</f>
        <v/>
      </c>
      <c r="D85" s="169" t="str">
        <f aca="false">IF(A85="","",ROUND(F84*計算_利率/定数_年月数,0)+ROUND(G84*計算_利率_在宅介護/定数_年月数,0))</f>
        <v/>
      </c>
      <c r="E85" s="169" t="str">
        <f aca="false">IF(A85="","",C85-D85)</f>
        <v/>
      </c>
      <c r="F85" s="169" t="str">
        <f aca="false">IF(A85="","",IF(A85=計算_償還回数,0,MAX(0,F84-(ROUND(計算_月額_基本,0)-ROUND(F84*計算_利率/定数_年月数,0)))))</f>
        <v/>
      </c>
      <c r="G85" s="169" t="str">
        <f aca="false">IF(A85="","",IF(A85=計算_償還回数,0,MAX(0,G84-(ROUND(計算_月額_在宅介護,0)-ROUND(G84*計算_利率_在宅介護/定数_年月数,0)))))</f>
        <v/>
      </c>
      <c r="H85" s="169" t="str">
        <f aca="false">IF(A85="","",F85+G85)</f>
        <v/>
      </c>
      <c r="I85" s="168" t="str">
        <f aca="false">IF(A85="","",IF(AND(OR(MONTH(B85)=6,MONTH(B85)=12),I84&lt;計算_賞与回数),I84+1,I84))</f>
        <v/>
      </c>
      <c r="J85" s="169" t="str">
        <f aca="false">IF(A85="","",IF(I85&gt;I84,IF(I85=計算_賞与回数,M84+K85,計算_賞与償還額),0))</f>
        <v/>
      </c>
      <c r="K85" s="169" t="str">
        <f aca="false">IF(A85="","",IF(I85&gt;I84,ROUND(M84*計算_賞与期間利率,0),0))</f>
        <v/>
      </c>
      <c r="L85" s="169" t="str">
        <f aca="false">IF(A85="","",J85-K85)</f>
        <v/>
      </c>
      <c r="M85" s="169" t="str">
        <f aca="false">IF(A85="","",IF(I85&gt;I84,M84-L85,M84))</f>
        <v/>
      </c>
      <c r="N85" s="169" t="str">
        <f aca="false">IF(A85="","",C85+J85)</f>
        <v/>
      </c>
      <c r="O85" s="169" t="str">
        <f aca="false">IF(A85="","",H85+M85)</f>
        <v/>
      </c>
    </row>
    <row r="86" customFormat="false" ht="15" hidden="false" customHeight="false" outlineLevel="0" collapsed="false">
      <c r="A86" s="168" t="str">
        <f aca="false">IF(OR(計算_償還開始="",ROWS($A$8:A86)&gt;計算_償還回数),"",ROWS($A$8:A86))</f>
        <v/>
      </c>
      <c r="B86" s="170" t="str">
        <f aca="false">IF(A86="","",EDATE(計算_償還開始,A86-1))</f>
        <v/>
      </c>
      <c r="C86" s="169" t="str">
        <f aca="false">IF(A86="","",IF(A86=計算_償還回数,D86+F85+G85,計算_毎月償還額))</f>
        <v/>
      </c>
      <c r="D86" s="169" t="str">
        <f aca="false">IF(A86="","",ROUND(F85*計算_利率/定数_年月数,0)+ROUND(G85*計算_利率_在宅介護/定数_年月数,0))</f>
        <v/>
      </c>
      <c r="E86" s="169" t="str">
        <f aca="false">IF(A86="","",C86-D86)</f>
        <v/>
      </c>
      <c r="F86" s="169" t="str">
        <f aca="false">IF(A86="","",IF(A86=計算_償還回数,0,MAX(0,F85-(ROUND(計算_月額_基本,0)-ROUND(F85*計算_利率/定数_年月数,0)))))</f>
        <v/>
      </c>
      <c r="G86" s="169" t="str">
        <f aca="false">IF(A86="","",IF(A86=計算_償還回数,0,MAX(0,G85-(ROUND(計算_月額_在宅介護,0)-ROUND(G85*計算_利率_在宅介護/定数_年月数,0)))))</f>
        <v/>
      </c>
      <c r="H86" s="169" t="str">
        <f aca="false">IF(A86="","",F86+G86)</f>
        <v/>
      </c>
      <c r="I86" s="168" t="str">
        <f aca="false">IF(A86="","",IF(AND(OR(MONTH(B86)=6,MONTH(B86)=12),I85&lt;計算_賞与回数),I85+1,I85))</f>
        <v/>
      </c>
      <c r="J86" s="169" t="str">
        <f aca="false">IF(A86="","",IF(I86&gt;I85,IF(I86=計算_賞与回数,M85+K86,計算_賞与償還額),0))</f>
        <v/>
      </c>
      <c r="K86" s="169" t="str">
        <f aca="false">IF(A86="","",IF(I86&gt;I85,ROUND(M85*計算_賞与期間利率,0),0))</f>
        <v/>
      </c>
      <c r="L86" s="169" t="str">
        <f aca="false">IF(A86="","",J86-K86)</f>
        <v/>
      </c>
      <c r="M86" s="169" t="str">
        <f aca="false">IF(A86="","",IF(I86&gt;I85,M85-L86,M85))</f>
        <v/>
      </c>
      <c r="N86" s="169" t="str">
        <f aca="false">IF(A86="","",C86+J86)</f>
        <v/>
      </c>
      <c r="O86" s="169" t="str">
        <f aca="false">IF(A86="","",H86+M86)</f>
        <v/>
      </c>
    </row>
    <row r="87" customFormat="false" ht="15" hidden="false" customHeight="false" outlineLevel="0" collapsed="false">
      <c r="A87" s="168" t="str">
        <f aca="false">IF(OR(計算_償還開始="",ROWS($A$8:A87)&gt;計算_償還回数),"",ROWS($A$8:A87))</f>
        <v/>
      </c>
      <c r="B87" s="170" t="str">
        <f aca="false">IF(A87="","",EDATE(計算_償還開始,A87-1))</f>
        <v/>
      </c>
      <c r="C87" s="169" t="str">
        <f aca="false">IF(A87="","",IF(A87=計算_償還回数,D87+F86+G86,計算_毎月償還額))</f>
        <v/>
      </c>
      <c r="D87" s="169" t="str">
        <f aca="false">IF(A87="","",ROUND(F86*計算_利率/定数_年月数,0)+ROUND(G86*計算_利率_在宅介護/定数_年月数,0))</f>
        <v/>
      </c>
      <c r="E87" s="169" t="str">
        <f aca="false">IF(A87="","",C87-D87)</f>
        <v/>
      </c>
      <c r="F87" s="169" t="str">
        <f aca="false">IF(A87="","",IF(A87=計算_償還回数,0,MAX(0,F86-(ROUND(計算_月額_基本,0)-ROUND(F86*計算_利率/定数_年月数,0)))))</f>
        <v/>
      </c>
      <c r="G87" s="169" t="str">
        <f aca="false">IF(A87="","",IF(A87=計算_償還回数,0,MAX(0,G86-(ROUND(計算_月額_在宅介護,0)-ROUND(G86*計算_利率_在宅介護/定数_年月数,0)))))</f>
        <v/>
      </c>
      <c r="H87" s="169" t="str">
        <f aca="false">IF(A87="","",F87+G87)</f>
        <v/>
      </c>
      <c r="I87" s="168" t="str">
        <f aca="false">IF(A87="","",IF(AND(OR(MONTH(B87)=6,MONTH(B87)=12),I86&lt;計算_賞与回数),I86+1,I86))</f>
        <v/>
      </c>
      <c r="J87" s="169" t="str">
        <f aca="false">IF(A87="","",IF(I87&gt;I86,IF(I87=計算_賞与回数,M86+K87,計算_賞与償還額),0))</f>
        <v/>
      </c>
      <c r="K87" s="169" t="str">
        <f aca="false">IF(A87="","",IF(I87&gt;I86,ROUND(M86*計算_賞与期間利率,0),0))</f>
        <v/>
      </c>
      <c r="L87" s="169" t="str">
        <f aca="false">IF(A87="","",J87-K87)</f>
        <v/>
      </c>
      <c r="M87" s="169" t="str">
        <f aca="false">IF(A87="","",IF(I87&gt;I86,M86-L87,M86))</f>
        <v/>
      </c>
      <c r="N87" s="169" t="str">
        <f aca="false">IF(A87="","",C87+J87)</f>
        <v/>
      </c>
      <c r="O87" s="169" t="str">
        <f aca="false">IF(A87="","",H87+M87)</f>
        <v/>
      </c>
    </row>
    <row r="88" customFormat="false" ht="15" hidden="false" customHeight="false" outlineLevel="0" collapsed="false">
      <c r="A88" s="168" t="str">
        <f aca="false">IF(OR(計算_償還開始="",ROWS($A$8:A88)&gt;計算_償還回数),"",ROWS($A$8:A88))</f>
        <v/>
      </c>
      <c r="B88" s="170" t="str">
        <f aca="false">IF(A88="","",EDATE(計算_償還開始,A88-1))</f>
        <v/>
      </c>
      <c r="C88" s="169" t="str">
        <f aca="false">IF(A88="","",IF(A88=計算_償還回数,D88+F87+G87,計算_毎月償還額))</f>
        <v/>
      </c>
      <c r="D88" s="169" t="str">
        <f aca="false">IF(A88="","",ROUND(F87*計算_利率/定数_年月数,0)+ROUND(G87*計算_利率_在宅介護/定数_年月数,0))</f>
        <v/>
      </c>
      <c r="E88" s="169" t="str">
        <f aca="false">IF(A88="","",C88-D88)</f>
        <v/>
      </c>
      <c r="F88" s="169" t="str">
        <f aca="false">IF(A88="","",IF(A88=計算_償還回数,0,MAX(0,F87-(ROUND(計算_月額_基本,0)-ROUND(F87*計算_利率/定数_年月数,0)))))</f>
        <v/>
      </c>
      <c r="G88" s="169" t="str">
        <f aca="false">IF(A88="","",IF(A88=計算_償還回数,0,MAX(0,G87-(ROUND(計算_月額_在宅介護,0)-ROUND(G87*計算_利率_在宅介護/定数_年月数,0)))))</f>
        <v/>
      </c>
      <c r="H88" s="169" t="str">
        <f aca="false">IF(A88="","",F88+G88)</f>
        <v/>
      </c>
      <c r="I88" s="168" t="str">
        <f aca="false">IF(A88="","",IF(AND(OR(MONTH(B88)=6,MONTH(B88)=12),I87&lt;計算_賞与回数),I87+1,I87))</f>
        <v/>
      </c>
      <c r="J88" s="169" t="str">
        <f aca="false">IF(A88="","",IF(I88&gt;I87,IF(I88=計算_賞与回数,M87+K88,計算_賞与償還額),0))</f>
        <v/>
      </c>
      <c r="K88" s="169" t="str">
        <f aca="false">IF(A88="","",IF(I88&gt;I87,ROUND(M87*計算_賞与期間利率,0),0))</f>
        <v/>
      </c>
      <c r="L88" s="169" t="str">
        <f aca="false">IF(A88="","",J88-K88)</f>
        <v/>
      </c>
      <c r="M88" s="169" t="str">
        <f aca="false">IF(A88="","",IF(I88&gt;I87,M87-L88,M87))</f>
        <v/>
      </c>
      <c r="N88" s="169" t="str">
        <f aca="false">IF(A88="","",C88+J88)</f>
        <v/>
      </c>
      <c r="O88" s="169" t="str">
        <f aca="false">IF(A88="","",H88+M88)</f>
        <v/>
      </c>
    </row>
    <row r="89" customFormat="false" ht="15" hidden="false" customHeight="false" outlineLevel="0" collapsed="false">
      <c r="A89" s="168" t="str">
        <f aca="false">IF(OR(計算_償還開始="",ROWS($A$8:A89)&gt;計算_償還回数),"",ROWS($A$8:A89))</f>
        <v/>
      </c>
      <c r="B89" s="170" t="str">
        <f aca="false">IF(A89="","",EDATE(計算_償還開始,A89-1))</f>
        <v/>
      </c>
      <c r="C89" s="169" t="str">
        <f aca="false">IF(A89="","",IF(A89=計算_償還回数,D89+F88+G88,計算_毎月償還額))</f>
        <v/>
      </c>
      <c r="D89" s="169" t="str">
        <f aca="false">IF(A89="","",ROUND(F88*計算_利率/定数_年月数,0)+ROUND(G88*計算_利率_在宅介護/定数_年月数,0))</f>
        <v/>
      </c>
      <c r="E89" s="169" t="str">
        <f aca="false">IF(A89="","",C89-D89)</f>
        <v/>
      </c>
      <c r="F89" s="169" t="str">
        <f aca="false">IF(A89="","",IF(A89=計算_償還回数,0,MAX(0,F88-(ROUND(計算_月額_基本,0)-ROUND(F88*計算_利率/定数_年月数,0)))))</f>
        <v/>
      </c>
      <c r="G89" s="169" t="str">
        <f aca="false">IF(A89="","",IF(A89=計算_償還回数,0,MAX(0,G88-(ROUND(計算_月額_在宅介護,0)-ROUND(G88*計算_利率_在宅介護/定数_年月数,0)))))</f>
        <v/>
      </c>
      <c r="H89" s="169" t="str">
        <f aca="false">IF(A89="","",F89+G89)</f>
        <v/>
      </c>
      <c r="I89" s="168" t="str">
        <f aca="false">IF(A89="","",IF(AND(OR(MONTH(B89)=6,MONTH(B89)=12),I88&lt;計算_賞与回数),I88+1,I88))</f>
        <v/>
      </c>
      <c r="J89" s="169" t="str">
        <f aca="false">IF(A89="","",IF(I89&gt;I88,IF(I89=計算_賞与回数,M88+K89,計算_賞与償還額),0))</f>
        <v/>
      </c>
      <c r="K89" s="169" t="str">
        <f aca="false">IF(A89="","",IF(I89&gt;I88,ROUND(M88*計算_賞与期間利率,0),0))</f>
        <v/>
      </c>
      <c r="L89" s="169" t="str">
        <f aca="false">IF(A89="","",J89-K89)</f>
        <v/>
      </c>
      <c r="M89" s="169" t="str">
        <f aca="false">IF(A89="","",IF(I89&gt;I88,M88-L89,M88))</f>
        <v/>
      </c>
      <c r="N89" s="169" t="str">
        <f aca="false">IF(A89="","",C89+J89)</f>
        <v/>
      </c>
      <c r="O89" s="169" t="str">
        <f aca="false">IF(A89="","",H89+M89)</f>
        <v/>
      </c>
    </row>
    <row r="90" customFormat="false" ht="15" hidden="false" customHeight="false" outlineLevel="0" collapsed="false">
      <c r="A90" s="168" t="str">
        <f aca="false">IF(OR(計算_償還開始="",ROWS($A$8:A90)&gt;計算_償還回数),"",ROWS($A$8:A90))</f>
        <v/>
      </c>
      <c r="B90" s="170" t="str">
        <f aca="false">IF(A90="","",EDATE(計算_償還開始,A90-1))</f>
        <v/>
      </c>
      <c r="C90" s="169" t="str">
        <f aca="false">IF(A90="","",IF(A90=計算_償還回数,D90+F89+G89,計算_毎月償還額))</f>
        <v/>
      </c>
      <c r="D90" s="169" t="str">
        <f aca="false">IF(A90="","",ROUND(F89*計算_利率/定数_年月数,0)+ROUND(G89*計算_利率_在宅介護/定数_年月数,0))</f>
        <v/>
      </c>
      <c r="E90" s="169" t="str">
        <f aca="false">IF(A90="","",C90-D90)</f>
        <v/>
      </c>
      <c r="F90" s="169" t="str">
        <f aca="false">IF(A90="","",IF(A90=計算_償還回数,0,MAX(0,F89-(ROUND(計算_月額_基本,0)-ROUND(F89*計算_利率/定数_年月数,0)))))</f>
        <v/>
      </c>
      <c r="G90" s="169" t="str">
        <f aca="false">IF(A90="","",IF(A90=計算_償還回数,0,MAX(0,G89-(ROUND(計算_月額_在宅介護,0)-ROUND(G89*計算_利率_在宅介護/定数_年月数,0)))))</f>
        <v/>
      </c>
      <c r="H90" s="169" t="str">
        <f aca="false">IF(A90="","",F90+G90)</f>
        <v/>
      </c>
      <c r="I90" s="168" t="str">
        <f aca="false">IF(A90="","",IF(AND(OR(MONTH(B90)=6,MONTH(B90)=12),I89&lt;計算_賞与回数),I89+1,I89))</f>
        <v/>
      </c>
      <c r="J90" s="169" t="str">
        <f aca="false">IF(A90="","",IF(I90&gt;I89,IF(I90=計算_賞与回数,M89+K90,計算_賞与償還額),0))</f>
        <v/>
      </c>
      <c r="K90" s="169" t="str">
        <f aca="false">IF(A90="","",IF(I90&gt;I89,ROUND(M89*計算_賞与期間利率,0),0))</f>
        <v/>
      </c>
      <c r="L90" s="169" t="str">
        <f aca="false">IF(A90="","",J90-K90)</f>
        <v/>
      </c>
      <c r="M90" s="169" t="str">
        <f aca="false">IF(A90="","",IF(I90&gt;I89,M89-L90,M89))</f>
        <v/>
      </c>
      <c r="N90" s="169" t="str">
        <f aca="false">IF(A90="","",C90+J90)</f>
        <v/>
      </c>
      <c r="O90" s="169" t="str">
        <f aca="false">IF(A90="","",H90+M90)</f>
        <v/>
      </c>
    </row>
    <row r="91" customFormat="false" ht="15" hidden="false" customHeight="false" outlineLevel="0" collapsed="false">
      <c r="A91" s="168" t="str">
        <f aca="false">IF(OR(計算_償還開始="",ROWS($A$8:A91)&gt;計算_償還回数),"",ROWS($A$8:A91))</f>
        <v/>
      </c>
      <c r="B91" s="170" t="str">
        <f aca="false">IF(A91="","",EDATE(計算_償還開始,A91-1))</f>
        <v/>
      </c>
      <c r="C91" s="169" t="str">
        <f aca="false">IF(A91="","",IF(A91=計算_償還回数,D91+F90+G90,計算_毎月償還額))</f>
        <v/>
      </c>
      <c r="D91" s="169" t="str">
        <f aca="false">IF(A91="","",ROUND(F90*計算_利率/定数_年月数,0)+ROUND(G90*計算_利率_在宅介護/定数_年月数,0))</f>
        <v/>
      </c>
      <c r="E91" s="169" t="str">
        <f aca="false">IF(A91="","",C91-D91)</f>
        <v/>
      </c>
      <c r="F91" s="169" t="str">
        <f aca="false">IF(A91="","",IF(A91=計算_償還回数,0,MAX(0,F90-(ROUND(計算_月額_基本,0)-ROUND(F90*計算_利率/定数_年月数,0)))))</f>
        <v/>
      </c>
      <c r="G91" s="169" t="str">
        <f aca="false">IF(A91="","",IF(A91=計算_償還回数,0,MAX(0,G90-(ROUND(計算_月額_在宅介護,0)-ROUND(G90*計算_利率_在宅介護/定数_年月数,0)))))</f>
        <v/>
      </c>
      <c r="H91" s="169" t="str">
        <f aca="false">IF(A91="","",F91+G91)</f>
        <v/>
      </c>
      <c r="I91" s="168" t="str">
        <f aca="false">IF(A91="","",IF(AND(OR(MONTH(B91)=6,MONTH(B91)=12),I90&lt;計算_賞与回数),I90+1,I90))</f>
        <v/>
      </c>
      <c r="J91" s="169" t="str">
        <f aca="false">IF(A91="","",IF(I91&gt;I90,IF(I91=計算_賞与回数,M90+K91,計算_賞与償還額),0))</f>
        <v/>
      </c>
      <c r="K91" s="169" t="str">
        <f aca="false">IF(A91="","",IF(I91&gt;I90,ROUND(M90*計算_賞与期間利率,0),0))</f>
        <v/>
      </c>
      <c r="L91" s="169" t="str">
        <f aca="false">IF(A91="","",J91-K91)</f>
        <v/>
      </c>
      <c r="M91" s="169" t="str">
        <f aca="false">IF(A91="","",IF(I91&gt;I90,M90-L91,M90))</f>
        <v/>
      </c>
      <c r="N91" s="169" t="str">
        <f aca="false">IF(A91="","",C91+J91)</f>
        <v/>
      </c>
      <c r="O91" s="169" t="str">
        <f aca="false">IF(A91="","",H91+M91)</f>
        <v/>
      </c>
    </row>
    <row r="92" customFormat="false" ht="15" hidden="false" customHeight="false" outlineLevel="0" collapsed="false">
      <c r="A92" s="168" t="str">
        <f aca="false">IF(OR(計算_償還開始="",ROWS($A$8:A92)&gt;計算_償還回数),"",ROWS($A$8:A92))</f>
        <v/>
      </c>
      <c r="B92" s="170" t="str">
        <f aca="false">IF(A92="","",EDATE(計算_償還開始,A92-1))</f>
        <v/>
      </c>
      <c r="C92" s="169" t="str">
        <f aca="false">IF(A92="","",IF(A92=計算_償還回数,D92+F91+G91,計算_毎月償還額))</f>
        <v/>
      </c>
      <c r="D92" s="169" t="str">
        <f aca="false">IF(A92="","",ROUND(F91*計算_利率/定数_年月数,0)+ROUND(G91*計算_利率_在宅介護/定数_年月数,0))</f>
        <v/>
      </c>
      <c r="E92" s="169" t="str">
        <f aca="false">IF(A92="","",C92-D92)</f>
        <v/>
      </c>
      <c r="F92" s="169" t="str">
        <f aca="false">IF(A92="","",IF(A92=計算_償還回数,0,MAX(0,F91-(ROUND(計算_月額_基本,0)-ROUND(F91*計算_利率/定数_年月数,0)))))</f>
        <v/>
      </c>
      <c r="G92" s="169" t="str">
        <f aca="false">IF(A92="","",IF(A92=計算_償還回数,0,MAX(0,G91-(ROUND(計算_月額_在宅介護,0)-ROUND(G91*計算_利率_在宅介護/定数_年月数,0)))))</f>
        <v/>
      </c>
      <c r="H92" s="169" t="str">
        <f aca="false">IF(A92="","",F92+G92)</f>
        <v/>
      </c>
      <c r="I92" s="168" t="str">
        <f aca="false">IF(A92="","",IF(AND(OR(MONTH(B92)=6,MONTH(B92)=12),I91&lt;計算_賞与回数),I91+1,I91))</f>
        <v/>
      </c>
      <c r="J92" s="169" t="str">
        <f aca="false">IF(A92="","",IF(I92&gt;I91,IF(I92=計算_賞与回数,M91+K92,計算_賞与償還額),0))</f>
        <v/>
      </c>
      <c r="K92" s="169" t="str">
        <f aca="false">IF(A92="","",IF(I92&gt;I91,ROUND(M91*計算_賞与期間利率,0),0))</f>
        <v/>
      </c>
      <c r="L92" s="169" t="str">
        <f aca="false">IF(A92="","",J92-K92)</f>
        <v/>
      </c>
      <c r="M92" s="169" t="str">
        <f aca="false">IF(A92="","",IF(I92&gt;I91,M91-L92,M91))</f>
        <v/>
      </c>
      <c r="N92" s="169" t="str">
        <f aca="false">IF(A92="","",C92+J92)</f>
        <v/>
      </c>
      <c r="O92" s="169" t="str">
        <f aca="false">IF(A92="","",H92+M92)</f>
        <v/>
      </c>
    </row>
    <row r="93" customFormat="false" ht="15" hidden="false" customHeight="false" outlineLevel="0" collapsed="false">
      <c r="A93" s="168" t="str">
        <f aca="false">IF(OR(計算_償還開始="",ROWS($A$8:A93)&gt;計算_償還回数),"",ROWS($A$8:A93))</f>
        <v/>
      </c>
      <c r="B93" s="170" t="str">
        <f aca="false">IF(A93="","",EDATE(計算_償還開始,A93-1))</f>
        <v/>
      </c>
      <c r="C93" s="169" t="str">
        <f aca="false">IF(A93="","",IF(A93=計算_償還回数,D93+F92+G92,計算_毎月償還額))</f>
        <v/>
      </c>
      <c r="D93" s="169" t="str">
        <f aca="false">IF(A93="","",ROUND(F92*計算_利率/定数_年月数,0)+ROUND(G92*計算_利率_在宅介護/定数_年月数,0))</f>
        <v/>
      </c>
      <c r="E93" s="169" t="str">
        <f aca="false">IF(A93="","",C93-D93)</f>
        <v/>
      </c>
      <c r="F93" s="169" t="str">
        <f aca="false">IF(A93="","",IF(A93=計算_償還回数,0,MAX(0,F92-(ROUND(計算_月額_基本,0)-ROUND(F92*計算_利率/定数_年月数,0)))))</f>
        <v/>
      </c>
      <c r="G93" s="169" t="str">
        <f aca="false">IF(A93="","",IF(A93=計算_償還回数,0,MAX(0,G92-(ROUND(計算_月額_在宅介護,0)-ROUND(G92*計算_利率_在宅介護/定数_年月数,0)))))</f>
        <v/>
      </c>
      <c r="H93" s="169" t="str">
        <f aca="false">IF(A93="","",F93+G93)</f>
        <v/>
      </c>
      <c r="I93" s="168" t="str">
        <f aca="false">IF(A93="","",IF(AND(OR(MONTH(B93)=6,MONTH(B93)=12),I92&lt;計算_賞与回数),I92+1,I92))</f>
        <v/>
      </c>
      <c r="J93" s="169" t="str">
        <f aca="false">IF(A93="","",IF(I93&gt;I92,IF(I93=計算_賞与回数,M92+K93,計算_賞与償還額),0))</f>
        <v/>
      </c>
      <c r="K93" s="169" t="str">
        <f aca="false">IF(A93="","",IF(I93&gt;I92,ROUND(M92*計算_賞与期間利率,0),0))</f>
        <v/>
      </c>
      <c r="L93" s="169" t="str">
        <f aca="false">IF(A93="","",J93-K93)</f>
        <v/>
      </c>
      <c r="M93" s="169" t="str">
        <f aca="false">IF(A93="","",IF(I93&gt;I92,M92-L93,M92))</f>
        <v/>
      </c>
      <c r="N93" s="169" t="str">
        <f aca="false">IF(A93="","",C93+J93)</f>
        <v/>
      </c>
      <c r="O93" s="169" t="str">
        <f aca="false">IF(A93="","",H93+M93)</f>
        <v/>
      </c>
    </row>
    <row r="94" customFormat="false" ht="15" hidden="false" customHeight="false" outlineLevel="0" collapsed="false">
      <c r="A94" s="168" t="str">
        <f aca="false">IF(OR(計算_償還開始="",ROWS($A$8:A94)&gt;計算_償還回数),"",ROWS($A$8:A94))</f>
        <v/>
      </c>
      <c r="B94" s="170" t="str">
        <f aca="false">IF(A94="","",EDATE(計算_償還開始,A94-1))</f>
        <v/>
      </c>
      <c r="C94" s="169" t="str">
        <f aca="false">IF(A94="","",IF(A94=計算_償還回数,D94+F93+G93,計算_毎月償還額))</f>
        <v/>
      </c>
      <c r="D94" s="169" t="str">
        <f aca="false">IF(A94="","",ROUND(F93*計算_利率/定数_年月数,0)+ROUND(G93*計算_利率_在宅介護/定数_年月数,0))</f>
        <v/>
      </c>
      <c r="E94" s="169" t="str">
        <f aca="false">IF(A94="","",C94-D94)</f>
        <v/>
      </c>
      <c r="F94" s="169" t="str">
        <f aca="false">IF(A94="","",IF(A94=計算_償還回数,0,MAX(0,F93-(ROUND(計算_月額_基本,0)-ROUND(F93*計算_利率/定数_年月数,0)))))</f>
        <v/>
      </c>
      <c r="G94" s="169" t="str">
        <f aca="false">IF(A94="","",IF(A94=計算_償還回数,0,MAX(0,G93-(ROUND(計算_月額_在宅介護,0)-ROUND(G93*計算_利率_在宅介護/定数_年月数,0)))))</f>
        <v/>
      </c>
      <c r="H94" s="169" t="str">
        <f aca="false">IF(A94="","",F94+G94)</f>
        <v/>
      </c>
      <c r="I94" s="168" t="str">
        <f aca="false">IF(A94="","",IF(AND(OR(MONTH(B94)=6,MONTH(B94)=12),I93&lt;計算_賞与回数),I93+1,I93))</f>
        <v/>
      </c>
      <c r="J94" s="169" t="str">
        <f aca="false">IF(A94="","",IF(I94&gt;I93,IF(I94=計算_賞与回数,M93+K94,計算_賞与償還額),0))</f>
        <v/>
      </c>
      <c r="K94" s="169" t="str">
        <f aca="false">IF(A94="","",IF(I94&gt;I93,ROUND(M93*計算_賞与期間利率,0),0))</f>
        <v/>
      </c>
      <c r="L94" s="169" t="str">
        <f aca="false">IF(A94="","",J94-K94)</f>
        <v/>
      </c>
      <c r="M94" s="169" t="str">
        <f aca="false">IF(A94="","",IF(I94&gt;I93,M93-L94,M93))</f>
        <v/>
      </c>
      <c r="N94" s="169" t="str">
        <f aca="false">IF(A94="","",C94+J94)</f>
        <v/>
      </c>
      <c r="O94" s="169" t="str">
        <f aca="false">IF(A94="","",H94+M94)</f>
        <v/>
      </c>
    </row>
    <row r="95" customFormat="false" ht="15" hidden="false" customHeight="false" outlineLevel="0" collapsed="false">
      <c r="A95" s="168" t="str">
        <f aca="false">IF(OR(計算_償還開始="",ROWS($A$8:A95)&gt;計算_償還回数),"",ROWS($A$8:A95))</f>
        <v/>
      </c>
      <c r="B95" s="170" t="str">
        <f aca="false">IF(A95="","",EDATE(計算_償還開始,A95-1))</f>
        <v/>
      </c>
      <c r="C95" s="169" t="str">
        <f aca="false">IF(A95="","",IF(A95=計算_償還回数,D95+F94+G94,計算_毎月償還額))</f>
        <v/>
      </c>
      <c r="D95" s="169" t="str">
        <f aca="false">IF(A95="","",ROUND(F94*計算_利率/定数_年月数,0)+ROUND(G94*計算_利率_在宅介護/定数_年月数,0))</f>
        <v/>
      </c>
      <c r="E95" s="169" t="str">
        <f aca="false">IF(A95="","",C95-D95)</f>
        <v/>
      </c>
      <c r="F95" s="169" t="str">
        <f aca="false">IF(A95="","",IF(A95=計算_償還回数,0,MAX(0,F94-(ROUND(計算_月額_基本,0)-ROUND(F94*計算_利率/定数_年月数,0)))))</f>
        <v/>
      </c>
      <c r="G95" s="169" t="str">
        <f aca="false">IF(A95="","",IF(A95=計算_償還回数,0,MAX(0,G94-(ROUND(計算_月額_在宅介護,0)-ROUND(G94*計算_利率_在宅介護/定数_年月数,0)))))</f>
        <v/>
      </c>
      <c r="H95" s="169" t="str">
        <f aca="false">IF(A95="","",F95+G95)</f>
        <v/>
      </c>
      <c r="I95" s="168" t="str">
        <f aca="false">IF(A95="","",IF(AND(OR(MONTH(B95)=6,MONTH(B95)=12),I94&lt;計算_賞与回数),I94+1,I94))</f>
        <v/>
      </c>
      <c r="J95" s="169" t="str">
        <f aca="false">IF(A95="","",IF(I95&gt;I94,IF(I95=計算_賞与回数,M94+K95,計算_賞与償還額),0))</f>
        <v/>
      </c>
      <c r="K95" s="169" t="str">
        <f aca="false">IF(A95="","",IF(I95&gt;I94,ROUND(M94*計算_賞与期間利率,0),0))</f>
        <v/>
      </c>
      <c r="L95" s="169" t="str">
        <f aca="false">IF(A95="","",J95-K95)</f>
        <v/>
      </c>
      <c r="M95" s="169" t="str">
        <f aca="false">IF(A95="","",IF(I95&gt;I94,M94-L95,M94))</f>
        <v/>
      </c>
      <c r="N95" s="169" t="str">
        <f aca="false">IF(A95="","",C95+J95)</f>
        <v/>
      </c>
      <c r="O95" s="169" t="str">
        <f aca="false">IF(A95="","",H95+M95)</f>
        <v/>
      </c>
    </row>
    <row r="96" customFormat="false" ht="15" hidden="false" customHeight="false" outlineLevel="0" collapsed="false">
      <c r="A96" s="168" t="str">
        <f aca="false">IF(OR(計算_償還開始="",ROWS($A$8:A96)&gt;計算_償還回数),"",ROWS($A$8:A96))</f>
        <v/>
      </c>
      <c r="B96" s="170" t="str">
        <f aca="false">IF(A96="","",EDATE(計算_償還開始,A96-1))</f>
        <v/>
      </c>
      <c r="C96" s="169" t="str">
        <f aca="false">IF(A96="","",IF(A96=計算_償還回数,D96+F95+G95,計算_毎月償還額))</f>
        <v/>
      </c>
      <c r="D96" s="169" t="str">
        <f aca="false">IF(A96="","",ROUND(F95*計算_利率/定数_年月数,0)+ROUND(G95*計算_利率_在宅介護/定数_年月数,0))</f>
        <v/>
      </c>
      <c r="E96" s="169" t="str">
        <f aca="false">IF(A96="","",C96-D96)</f>
        <v/>
      </c>
      <c r="F96" s="169" t="str">
        <f aca="false">IF(A96="","",IF(A96=計算_償還回数,0,MAX(0,F95-(ROUND(計算_月額_基本,0)-ROUND(F95*計算_利率/定数_年月数,0)))))</f>
        <v/>
      </c>
      <c r="G96" s="169" t="str">
        <f aca="false">IF(A96="","",IF(A96=計算_償還回数,0,MAX(0,G95-(ROUND(計算_月額_在宅介護,0)-ROUND(G95*計算_利率_在宅介護/定数_年月数,0)))))</f>
        <v/>
      </c>
      <c r="H96" s="169" t="str">
        <f aca="false">IF(A96="","",F96+G96)</f>
        <v/>
      </c>
      <c r="I96" s="168" t="str">
        <f aca="false">IF(A96="","",IF(AND(OR(MONTH(B96)=6,MONTH(B96)=12),I95&lt;計算_賞与回数),I95+1,I95))</f>
        <v/>
      </c>
      <c r="J96" s="169" t="str">
        <f aca="false">IF(A96="","",IF(I96&gt;I95,IF(I96=計算_賞与回数,M95+K96,計算_賞与償還額),0))</f>
        <v/>
      </c>
      <c r="K96" s="169" t="str">
        <f aca="false">IF(A96="","",IF(I96&gt;I95,ROUND(M95*計算_賞与期間利率,0),0))</f>
        <v/>
      </c>
      <c r="L96" s="169" t="str">
        <f aca="false">IF(A96="","",J96-K96)</f>
        <v/>
      </c>
      <c r="M96" s="169" t="str">
        <f aca="false">IF(A96="","",IF(I96&gt;I95,M95-L96,M95))</f>
        <v/>
      </c>
      <c r="N96" s="169" t="str">
        <f aca="false">IF(A96="","",C96+J96)</f>
        <v/>
      </c>
      <c r="O96" s="169" t="str">
        <f aca="false">IF(A96="","",H96+M96)</f>
        <v/>
      </c>
    </row>
    <row r="97" customFormat="false" ht="15" hidden="false" customHeight="false" outlineLevel="0" collapsed="false">
      <c r="A97" s="168" t="str">
        <f aca="false">IF(OR(計算_償還開始="",ROWS($A$8:A97)&gt;計算_償還回数),"",ROWS($A$8:A97))</f>
        <v/>
      </c>
      <c r="B97" s="170" t="str">
        <f aca="false">IF(A97="","",EDATE(計算_償還開始,A97-1))</f>
        <v/>
      </c>
      <c r="C97" s="169" t="str">
        <f aca="false">IF(A97="","",IF(A97=計算_償還回数,D97+F96+G96,計算_毎月償還額))</f>
        <v/>
      </c>
      <c r="D97" s="169" t="str">
        <f aca="false">IF(A97="","",ROUND(F96*計算_利率/定数_年月数,0)+ROUND(G96*計算_利率_在宅介護/定数_年月数,0))</f>
        <v/>
      </c>
      <c r="E97" s="169" t="str">
        <f aca="false">IF(A97="","",C97-D97)</f>
        <v/>
      </c>
      <c r="F97" s="169" t="str">
        <f aca="false">IF(A97="","",IF(A97=計算_償還回数,0,MAX(0,F96-(ROUND(計算_月額_基本,0)-ROUND(F96*計算_利率/定数_年月数,0)))))</f>
        <v/>
      </c>
      <c r="G97" s="169" t="str">
        <f aca="false">IF(A97="","",IF(A97=計算_償還回数,0,MAX(0,G96-(ROUND(計算_月額_在宅介護,0)-ROUND(G96*計算_利率_在宅介護/定数_年月数,0)))))</f>
        <v/>
      </c>
      <c r="H97" s="169" t="str">
        <f aca="false">IF(A97="","",F97+G97)</f>
        <v/>
      </c>
      <c r="I97" s="168" t="str">
        <f aca="false">IF(A97="","",IF(AND(OR(MONTH(B97)=6,MONTH(B97)=12),I96&lt;計算_賞与回数),I96+1,I96))</f>
        <v/>
      </c>
      <c r="J97" s="169" t="str">
        <f aca="false">IF(A97="","",IF(I97&gt;I96,IF(I97=計算_賞与回数,M96+K97,計算_賞与償還額),0))</f>
        <v/>
      </c>
      <c r="K97" s="169" t="str">
        <f aca="false">IF(A97="","",IF(I97&gt;I96,ROUND(M96*計算_賞与期間利率,0),0))</f>
        <v/>
      </c>
      <c r="L97" s="169" t="str">
        <f aca="false">IF(A97="","",J97-K97)</f>
        <v/>
      </c>
      <c r="M97" s="169" t="str">
        <f aca="false">IF(A97="","",IF(I97&gt;I96,M96-L97,M96))</f>
        <v/>
      </c>
      <c r="N97" s="169" t="str">
        <f aca="false">IF(A97="","",C97+J97)</f>
        <v/>
      </c>
      <c r="O97" s="169" t="str">
        <f aca="false">IF(A97="","",H97+M97)</f>
        <v/>
      </c>
    </row>
    <row r="98" customFormat="false" ht="15" hidden="false" customHeight="false" outlineLevel="0" collapsed="false">
      <c r="A98" s="168" t="str">
        <f aca="false">IF(OR(計算_償還開始="",ROWS($A$8:A98)&gt;計算_償還回数),"",ROWS($A$8:A98))</f>
        <v/>
      </c>
      <c r="B98" s="170" t="str">
        <f aca="false">IF(A98="","",EDATE(計算_償還開始,A98-1))</f>
        <v/>
      </c>
      <c r="C98" s="169" t="str">
        <f aca="false">IF(A98="","",IF(A98=計算_償還回数,D98+F97+G97,計算_毎月償還額))</f>
        <v/>
      </c>
      <c r="D98" s="169" t="str">
        <f aca="false">IF(A98="","",ROUND(F97*計算_利率/定数_年月数,0)+ROUND(G97*計算_利率_在宅介護/定数_年月数,0))</f>
        <v/>
      </c>
      <c r="E98" s="169" t="str">
        <f aca="false">IF(A98="","",C98-D98)</f>
        <v/>
      </c>
      <c r="F98" s="169" t="str">
        <f aca="false">IF(A98="","",IF(A98=計算_償還回数,0,MAX(0,F97-(ROUND(計算_月額_基本,0)-ROUND(F97*計算_利率/定数_年月数,0)))))</f>
        <v/>
      </c>
      <c r="G98" s="169" t="str">
        <f aca="false">IF(A98="","",IF(A98=計算_償還回数,0,MAX(0,G97-(ROUND(計算_月額_在宅介護,0)-ROUND(G97*計算_利率_在宅介護/定数_年月数,0)))))</f>
        <v/>
      </c>
      <c r="H98" s="169" t="str">
        <f aca="false">IF(A98="","",F98+G98)</f>
        <v/>
      </c>
      <c r="I98" s="168" t="str">
        <f aca="false">IF(A98="","",IF(AND(OR(MONTH(B98)=6,MONTH(B98)=12),I97&lt;計算_賞与回数),I97+1,I97))</f>
        <v/>
      </c>
      <c r="J98" s="169" t="str">
        <f aca="false">IF(A98="","",IF(I98&gt;I97,IF(I98=計算_賞与回数,M97+K98,計算_賞与償還額),0))</f>
        <v/>
      </c>
      <c r="K98" s="169" t="str">
        <f aca="false">IF(A98="","",IF(I98&gt;I97,ROUND(M97*計算_賞与期間利率,0),0))</f>
        <v/>
      </c>
      <c r="L98" s="169" t="str">
        <f aca="false">IF(A98="","",J98-K98)</f>
        <v/>
      </c>
      <c r="M98" s="169" t="str">
        <f aca="false">IF(A98="","",IF(I98&gt;I97,M97-L98,M97))</f>
        <v/>
      </c>
      <c r="N98" s="169" t="str">
        <f aca="false">IF(A98="","",C98+J98)</f>
        <v/>
      </c>
      <c r="O98" s="169" t="str">
        <f aca="false">IF(A98="","",H98+M98)</f>
        <v/>
      </c>
    </row>
    <row r="99" customFormat="false" ht="15" hidden="false" customHeight="false" outlineLevel="0" collapsed="false">
      <c r="A99" s="168" t="str">
        <f aca="false">IF(OR(計算_償還開始="",ROWS($A$8:A99)&gt;計算_償還回数),"",ROWS($A$8:A99))</f>
        <v/>
      </c>
      <c r="B99" s="170" t="str">
        <f aca="false">IF(A99="","",EDATE(計算_償還開始,A99-1))</f>
        <v/>
      </c>
      <c r="C99" s="169" t="str">
        <f aca="false">IF(A99="","",IF(A99=計算_償還回数,D99+F98+G98,計算_毎月償還額))</f>
        <v/>
      </c>
      <c r="D99" s="169" t="str">
        <f aca="false">IF(A99="","",ROUND(F98*計算_利率/定数_年月数,0)+ROUND(G98*計算_利率_在宅介護/定数_年月数,0))</f>
        <v/>
      </c>
      <c r="E99" s="169" t="str">
        <f aca="false">IF(A99="","",C99-D99)</f>
        <v/>
      </c>
      <c r="F99" s="169" t="str">
        <f aca="false">IF(A99="","",IF(A99=計算_償還回数,0,MAX(0,F98-(ROUND(計算_月額_基本,0)-ROUND(F98*計算_利率/定数_年月数,0)))))</f>
        <v/>
      </c>
      <c r="G99" s="169" t="str">
        <f aca="false">IF(A99="","",IF(A99=計算_償還回数,0,MAX(0,G98-(ROUND(計算_月額_在宅介護,0)-ROUND(G98*計算_利率_在宅介護/定数_年月数,0)))))</f>
        <v/>
      </c>
      <c r="H99" s="169" t="str">
        <f aca="false">IF(A99="","",F99+G99)</f>
        <v/>
      </c>
      <c r="I99" s="168" t="str">
        <f aca="false">IF(A99="","",IF(AND(OR(MONTH(B99)=6,MONTH(B99)=12),I98&lt;計算_賞与回数),I98+1,I98))</f>
        <v/>
      </c>
      <c r="J99" s="169" t="str">
        <f aca="false">IF(A99="","",IF(I99&gt;I98,IF(I99=計算_賞与回数,M98+K99,計算_賞与償還額),0))</f>
        <v/>
      </c>
      <c r="K99" s="169" t="str">
        <f aca="false">IF(A99="","",IF(I99&gt;I98,ROUND(M98*計算_賞与期間利率,0),0))</f>
        <v/>
      </c>
      <c r="L99" s="169" t="str">
        <f aca="false">IF(A99="","",J99-K99)</f>
        <v/>
      </c>
      <c r="M99" s="169" t="str">
        <f aca="false">IF(A99="","",IF(I99&gt;I98,M98-L99,M98))</f>
        <v/>
      </c>
      <c r="N99" s="169" t="str">
        <f aca="false">IF(A99="","",C99+J99)</f>
        <v/>
      </c>
      <c r="O99" s="169" t="str">
        <f aca="false">IF(A99="","",H99+M99)</f>
        <v/>
      </c>
    </row>
    <row r="100" customFormat="false" ht="15" hidden="false" customHeight="false" outlineLevel="0" collapsed="false">
      <c r="A100" s="168" t="str">
        <f aca="false">IF(OR(計算_償還開始="",ROWS($A$8:A100)&gt;計算_償還回数),"",ROWS($A$8:A100))</f>
        <v/>
      </c>
      <c r="B100" s="170" t="str">
        <f aca="false">IF(A100="","",EDATE(計算_償還開始,A100-1))</f>
        <v/>
      </c>
      <c r="C100" s="169" t="str">
        <f aca="false">IF(A100="","",IF(A100=計算_償還回数,D100+F99+G99,計算_毎月償還額))</f>
        <v/>
      </c>
      <c r="D100" s="169" t="str">
        <f aca="false">IF(A100="","",ROUND(F99*計算_利率/定数_年月数,0)+ROUND(G99*計算_利率_在宅介護/定数_年月数,0))</f>
        <v/>
      </c>
      <c r="E100" s="169" t="str">
        <f aca="false">IF(A100="","",C100-D100)</f>
        <v/>
      </c>
      <c r="F100" s="169" t="str">
        <f aca="false">IF(A100="","",IF(A100=計算_償還回数,0,MAX(0,F99-(ROUND(計算_月額_基本,0)-ROUND(F99*計算_利率/定数_年月数,0)))))</f>
        <v/>
      </c>
      <c r="G100" s="169" t="str">
        <f aca="false">IF(A100="","",IF(A100=計算_償還回数,0,MAX(0,G99-(ROUND(計算_月額_在宅介護,0)-ROUND(G99*計算_利率_在宅介護/定数_年月数,0)))))</f>
        <v/>
      </c>
      <c r="H100" s="169" t="str">
        <f aca="false">IF(A100="","",F100+G100)</f>
        <v/>
      </c>
      <c r="I100" s="168" t="str">
        <f aca="false">IF(A100="","",IF(AND(OR(MONTH(B100)=6,MONTH(B100)=12),I99&lt;計算_賞与回数),I99+1,I99))</f>
        <v/>
      </c>
      <c r="J100" s="169" t="str">
        <f aca="false">IF(A100="","",IF(I100&gt;I99,IF(I100=計算_賞与回数,M99+K100,計算_賞与償還額),0))</f>
        <v/>
      </c>
      <c r="K100" s="169" t="str">
        <f aca="false">IF(A100="","",IF(I100&gt;I99,ROUND(M99*計算_賞与期間利率,0),0))</f>
        <v/>
      </c>
      <c r="L100" s="169" t="str">
        <f aca="false">IF(A100="","",J100-K100)</f>
        <v/>
      </c>
      <c r="M100" s="169" t="str">
        <f aca="false">IF(A100="","",IF(I100&gt;I99,M99-L100,M99))</f>
        <v/>
      </c>
      <c r="N100" s="169" t="str">
        <f aca="false">IF(A100="","",C100+J100)</f>
        <v/>
      </c>
      <c r="O100" s="169" t="str">
        <f aca="false">IF(A100="","",H100+M100)</f>
        <v/>
      </c>
    </row>
    <row r="101" customFormat="false" ht="15" hidden="false" customHeight="false" outlineLevel="0" collapsed="false">
      <c r="A101" s="168" t="str">
        <f aca="false">IF(OR(計算_償還開始="",ROWS($A$8:A101)&gt;計算_償還回数),"",ROWS($A$8:A101))</f>
        <v/>
      </c>
      <c r="B101" s="170" t="str">
        <f aca="false">IF(A101="","",EDATE(計算_償還開始,A101-1))</f>
        <v/>
      </c>
      <c r="C101" s="169" t="str">
        <f aca="false">IF(A101="","",IF(A101=計算_償還回数,D101+F100+G100,計算_毎月償還額))</f>
        <v/>
      </c>
      <c r="D101" s="169" t="str">
        <f aca="false">IF(A101="","",ROUND(F100*計算_利率/定数_年月数,0)+ROUND(G100*計算_利率_在宅介護/定数_年月数,0))</f>
        <v/>
      </c>
      <c r="E101" s="169" t="str">
        <f aca="false">IF(A101="","",C101-D101)</f>
        <v/>
      </c>
      <c r="F101" s="169" t="str">
        <f aca="false">IF(A101="","",IF(A101=計算_償還回数,0,MAX(0,F100-(ROUND(計算_月額_基本,0)-ROUND(F100*計算_利率/定数_年月数,0)))))</f>
        <v/>
      </c>
      <c r="G101" s="169" t="str">
        <f aca="false">IF(A101="","",IF(A101=計算_償還回数,0,MAX(0,G100-(ROUND(計算_月額_在宅介護,0)-ROUND(G100*計算_利率_在宅介護/定数_年月数,0)))))</f>
        <v/>
      </c>
      <c r="H101" s="169" t="str">
        <f aca="false">IF(A101="","",F101+G101)</f>
        <v/>
      </c>
      <c r="I101" s="168" t="str">
        <f aca="false">IF(A101="","",IF(AND(OR(MONTH(B101)=6,MONTH(B101)=12),I100&lt;計算_賞与回数),I100+1,I100))</f>
        <v/>
      </c>
      <c r="J101" s="169" t="str">
        <f aca="false">IF(A101="","",IF(I101&gt;I100,IF(I101=計算_賞与回数,M100+K101,計算_賞与償還額),0))</f>
        <v/>
      </c>
      <c r="K101" s="169" t="str">
        <f aca="false">IF(A101="","",IF(I101&gt;I100,ROUND(M100*計算_賞与期間利率,0),0))</f>
        <v/>
      </c>
      <c r="L101" s="169" t="str">
        <f aca="false">IF(A101="","",J101-K101)</f>
        <v/>
      </c>
      <c r="M101" s="169" t="str">
        <f aca="false">IF(A101="","",IF(I101&gt;I100,M100-L101,M100))</f>
        <v/>
      </c>
      <c r="N101" s="169" t="str">
        <f aca="false">IF(A101="","",C101+J101)</f>
        <v/>
      </c>
      <c r="O101" s="169" t="str">
        <f aca="false">IF(A101="","",H101+M101)</f>
        <v/>
      </c>
    </row>
    <row r="102" customFormat="false" ht="15" hidden="false" customHeight="false" outlineLevel="0" collapsed="false">
      <c r="A102" s="168" t="str">
        <f aca="false">IF(OR(計算_償還開始="",ROWS($A$8:A102)&gt;計算_償還回数),"",ROWS($A$8:A102))</f>
        <v/>
      </c>
      <c r="B102" s="170" t="str">
        <f aca="false">IF(A102="","",EDATE(計算_償還開始,A102-1))</f>
        <v/>
      </c>
      <c r="C102" s="169" t="str">
        <f aca="false">IF(A102="","",IF(A102=計算_償還回数,D102+F101+G101,計算_毎月償還額))</f>
        <v/>
      </c>
      <c r="D102" s="169" t="str">
        <f aca="false">IF(A102="","",ROUND(F101*計算_利率/定数_年月数,0)+ROUND(G101*計算_利率_在宅介護/定数_年月数,0))</f>
        <v/>
      </c>
      <c r="E102" s="169" t="str">
        <f aca="false">IF(A102="","",C102-D102)</f>
        <v/>
      </c>
      <c r="F102" s="169" t="str">
        <f aca="false">IF(A102="","",IF(A102=計算_償還回数,0,MAX(0,F101-(ROUND(計算_月額_基本,0)-ROUND(F101*計算_利率/定数_年月数,0)))))</f>
        <v/>
      </c>
      <c r="G102" s="169" t="str">
        <f aca="false">IF(A102="","",IF(A102=計算_償還回数,0,MAX(0,G101-(ROUND(計算_月額_在宅介護,0)-ROUND(G101*計算_利率_在宅介護/定数_年月数,0)))))</f>
        <v/>
      </c>
      <c r="H102" s="169" t="str">
        <f aca="false">IF(A102="","",F102+G102)</f>
        <v/>
      </c>
      <c r="I102" s="168" t="str">
        <f aca="false">IF(A102="","",IF(AND(OR(MONTH(B102)=6,MONTH(B102)=12),I101&lt;計算_賞与回数),I101+1,I101))</f>
        <v/>
      </c>
      <c r="J102" s="169" t="str">
        <f aca="false">IF(A102="","",IF(I102&gt;I101,IF(I102=計算_賞与回数,M101+K102,計算_賞与償還額),0))</f>
        <v/>
      </c>
      <c r="K102" s="169" t="str">
        <f aca="false">IF(A102="","",IF(I102&gt;I101,ROUND(M101*計算_賞与期間利率,0),0))</f>
        <v/>
      </c>
      <c r="L102" s="169" t="str">
        <f aca="false">IF(A102="","",J102-K102)</f>
        <v/>
      </c>
      <c r="M102" s="169" t="str">
        <f aca="false">IF(A102="","",IF(I102&gt;I101,M101-L102,M101))</f>
        <v/>
      </c>
      <c r="N102" s="169" t="str">
        <f aca="false">IF(A102="","",C102+J102)</f>
        <v/>
      </c>
      <c r="O102" s="169" t="str">
        <f aca="false">IF(A102="","",H102+M102)</f>
        <v/>
      </c>
    </row>
    <row r="103" customFormat="false" ht="15" hidden="false" customHeight="false" outlineLevel="0" collapsed="false">
      <c r="A103" s="168" t="str">
        <f aca="false">IF(OR(計算_償還開始="",ROWS($A$8:A103)&gt;計算_償還回数),"",ROWS($A$8:A103))</f>
        <v/>
      </c>
      <c r="B103" s="170" t="str">
        <f aca="false">IF(A103="","",EDATE(計算_償還開始,A103-1))</f>
        <v/>
      </c>
      <c r="C103" s="169" t="str">
        <f aca="false">IF(A103="","",IF(A103=計算_償還回数,D103+F102+G102,計算_毎月償還額))</f>
        <v/>
      </c>
      <c r="D103" s="169" t="str">
        <f aca="false">IF(A103="","",ROUND(F102*計算_利率/定数_年月数,0)+ROUND(G102*計算_利率_在宅介護/定数_年月数,0))</f>
        <v/>
      </c>
      <c r="E103" s="169" t="str">
        <f aca="false">IF(A103="","",C103-D103)</f>
        <v/>
      </c>
      <c r="F103" s="169" t="str">
        <f aca="false">IF(A103="","",IF(A103=計算_償還回数,0,MAX(0,F102-(ROUND(計算_月額_基本,0)-ROUND(F102*計算_利率/定数_年月数,0)))))</f>
        <v/>
      </c>
      <c r="G103" s="169" t="str">
        <f aca="false">IF(A103="","",IF(A103=計算_償還回数,0,MAX(0,G102-(ROUND(計算_月額_在宅介護,0)-ROUND(G102*計算_利率_在宅介護/定数_年月数,0)))))</f>
        <v/>
      </c>
      <c r="H103" s="169" t="str">
        <f aca="false">IF(A103="","",F103+G103)</f>
        <v/>
      </c>
      <c r="I103" s="168" t="str">
        <f aca="false">IF(A103="","",IF(AND(OR(MONTH(B103)=6,MONTH(B103)=12),I102&lt;計算_賞与回数),I102+1,I102))</f>
        <v/>
      </c>
      <c r="J103" s="169" t="str">
        <f aca="false">IF(A103="","",IF(I103&gt;I102,IF(I103=計算_賞与回数,M102+K103,計算_賞与償還額),0))</f>
        <v/>
      </c>
      <c r="K103" s="169" t="str">
        <f aca="false">IF(A103="","",IF(I103&gt;I102,ROUND(M102*計算_賞与期間利率,0),0))</f>
        <v/>
      </c>
      <c r="L103" s="169" t="str">
        <f aca="false">IF(A103="","",J103-K103)</f>
        <v/>
      </c>
      <c r="M103" s="169" t="str">
        <f aca="false">IF(A103="","",IF(I103&gt;I102,M102-L103,M102))</f>
        <v/>
      </c>
      <c r="N103" s="169" t="str">
        <f aca="false">IF(A103="","",C103+J103)</f>
        <v/>
      </c>
      <c r="O103" s="169" t="str">
        <f aca="false">IF(A103="","",H103+M103)</f>
        <v/>
      </c>
    </row>
    <row r="104" customFormat="false" ht="15" hidden="false" customHeight="false" outlineLevel="0" collapsed="false">
      <c r="A104" s="168" t="str">
        <f aca="false">IF(OR(計算_償還開始="",ROWS($A$8:A104)&gt;計算_償還回数),"",ROWS($A$8:A104))</f>
        <v/>
      </c>
      <c r="B104" s="170" t="str">
        <f aca="false">IF(A104="","",EDATE(計算_償還開始,A104-1))</f>
        <v/>
      </c>
      <c r="C104" s="169" t="str">
        <f aca="false">IF(A104="","",IF(A104=計算_償還回数,D104+F103+G103,計算_毎月償還額))</f>
        <v/>
      </c>
      <c r="D104" s="169" t="str">
        <f aca="false">IF(A104="","",ROUND(F103*計算_利率/定数_年月数,0)+ROUND(G103*計算_利率_在宅介護/定数_年月数,0))</f>
        <v/>
      </c>
      <c r="E104" s="169" t="str">
        <f aca="false">IF(A104="","",C104-D104)</f>
        <v/>
      </c>
      <c r="F104" s="169" t="str">
        <f aca="false">IF(A104="","",IF(A104=計算_償還回数,0,MAX(0,F103-(ROUND(計算_月額_基本,0)-ROUND(F103*計算_利率/定数_年月数,0)))))</f>
        <v/>
      </c>
      <c r="G104" s="169" t="str">
        <f aca="false">IF(A104="","",IF(A104=計算_償還回数,0,MAX(0,G103-(ROUND(計算_月額_在宅介護,0)-ROUND(G103*計算_利率_在宅介護/定数_年月数,0)))))</f>
        <v/>
      </c>
      <c r="H104" s="169" t="str">
        <f aca="false">IF(A104="","",F104+G104)</f>
        <v/>
      </c>
      <c r="I104" s="168" t="str">
        <f aca="false">IF(A104="","",IF(AND(OR(MONTH(B104)=6,MONTH(B104)=12),I103&lt;計算_賞与回数),I103+1,I103))</f>
        <v/>
      </c>
      <c r="J104" s="169" t="str">
        <f aca="false">IF(A104="","",IF(I104&gt;I103,IF(I104=計算_賞与回数,M103+K104,計算_賞与償還額),0))</f>
        <v/>
      </c>
      <c r="K104" s="169" t="str">
        <f aca="false">IF(A104="","",IF(I104&gt;I103,ROUND(M103*計算_賞与期間利率,0),0))</f>
        <v/>
      </c>
      <c r="L104" s="169" t="str">
        <f aca="false">IF(A104="","",J104-K104)</f>
        <v/>
      </c>
      <c r="M104" s="169" t="str">
        <f aca="false">IF(A104="","",IF(I104&gt;I103,M103-L104,M103))</f>
        <v/>
      </c>
      <c r="N104" s="169" t="str">
        <f aca="false">IF(A104="","",C104+J104)</f>
        <v/>
      </c>
      <c r="O104" s="169" t="str">
        <f aca="false">IF(A104="","",H104+M104)</f>
        <v/>
      </c>
    </row>
    <row r="105" customFormat="false" ht="15" hidden="false" customHeight="false" outlineLevel="0" collapsed="false">
      <c r="A105" s="168" t="str">
        <f aca="false">IF(OR(計算_償還開始="",ROWS($A$8:A105)&gt;計算_償還回数),"",ROWS($A$8:A105))</f>
        <v/>
      </c>
      <c r="B105" s="170" t="str">
        <f aca="false">IF(A105="","",EDATE(計算_償還開始,A105-1))</f>
        <v/>
      </c>
      <c r="C105" s="169" t="str">
        <f aca="false">IF(A105="","",IF(A105=計算_償還回数,D105+F104+G104,計算_毎月償還額))</f>
        <v/>
      </c>
      <c r="D105" s="169" t="str">
        <f aca="false">IF(A105="","",ROUND(F104*計算_利率/定数_年月数,0)+ROUND(G104*計算_利率_在宅介護/定数_年月数,0))</f>
        <v/>
      </c>
      <c r="E105" s="169" t="str">
        <f aca="false">IF(A105="","",C105-D105)</f>
        <v/>
      </c>
      <c r="F105" s="169" t="str">
        <f aca="false">IF(A105="","",IF(A105=計算_償還回数,0,MAX(0,F104-(ROUND(計算_月額_基本,0)-ROUND(F104*計算_利率/定数_年月数,0)))))</f>
        <v/>
      </c>
      <c r="G105" s="169" t="str">
        <f aca="false">IF(A105="","",IF(A105=計算_償還回数,0,MAX(0,G104-(ROUND(計算_月額_在宅介護,0)-ROUND(G104*計算_利率_在宅介護/定数_年月数,0)))))</f>
        <v/>
      </c>
      <c r="H105" s="169" t="str">
        <f aca="false">IF(A105="","",F105+G105)</f>
        <v/>
      </c>
      <c r="I105" s="168" t="str">
        <f aca="false">IF(A105="","",IF(AND(OR(MONTH(B105)=6,MONTH(B105)=12),I104&lt;計算_賞与回数),I104+1,I104))</f>
        <v/>
      </c>
      <c r="J105" s="169" t="str">
        <f aca="false">IF(A105="","",IF(I105&gt;I104,IF(I105=計算_賞与回数,M104+K105,計算_賞与償還額),0))</f>
        <v/>
      </c>
      <c r="K105" s="169" t="str">
        <f aca="false">IF(A105="","",IF(I105&gt;I104,ROUND(M104*計算_賞与期間利率,0),0))</f>
        <v/>
      </c>
      <c r="L105" s="169" t="str">
        <f aca="false">IF(A105="","",J105-K105)</f>
        <v/>
      </c>
      <c r="M105" s="169" t="str">
        <f aca="false">IF(A105="","",IF(I105&gt;I104,M104-L105,M104))</f>
        <v/>
      </c>
      <c r="N105" s="169" t="str">
        <f aca="false">IF(A105="","",C105+J105)</f>
        <v/>
      </c>
      <c r="O105" s="169" t="str">
        <f aca="false">IF(A105="","",H105+M105)</f>
        <v/>
      </c>
    </row>
    <row r="106" customFormat="false" ht="15" hidden="false" customHeight="false" outlineLevel="0" collapsed="false">
      <c r="A106" s="168" t="str">
        <f aca="false">IF(OR(計算_償還開始="",ROWS($A$8:A106)&gt;計算_償還回数),"",ROWS($A$8:A106))</f>
        <v/>
      </c>
      <c r="B106" s="170" t="str">
        <f aca="false">IF(A106="","",EDATE(計算_償還開始,A106-1))</f>
        <v/>
      </c>
      <c r="C106" s="169" t="str">
        <f aca="false">IF(A106="","",IF(A106=計算_償還回数,D106+F105+G105,計算_毎月償還額))</f>
        <v/>
      </c>
      <c r="D106" s="169" t="str">
        <f aca="false">IF(A106="","",ROUND(F105*計算_利率/定数_年月数,0)+ROUND(G105*計算_利率_在宅介護/定数_年月数,0))</f>
        <v/>
      </c>
      <c r="E106" s="169" t="str">
        <f aca="false">IF(A106="","",C106-D106)</f>
        <v/>
      </c>
      <c r="F106" s="169" t="str">
        <f aca="false">IF(A106="","",IF(A106=計算_償還回数,0,MAX(0,F105-(ROUND(計算_月額_基本,0)-ROUND(F105*計算_利率/定数_年月数,0)))))</f>
        <v/>
      </c>
      <c r="G106" s="169" t="str">
        <f aca="false">IF(A106="","",IF(A106=計算_償還回数,0,MAX(0,G105-(ROUND(計算_月額_在宅介護,0)-ROUND(G105*計算_利率_在宅介護/定数_年月数,0)))))</f>
        <v/>
      </c>
      <c r="H106" s="169" t="str">
        <f aca="false">IF(A106="","",F106+G106)</f>
        <v/>
      </c>
      <c r="I106" s="168" t="str">
        <f aca="false">IF(A106="","",IF(AND(OR(MONTH(B106)=6,MONTH(B106)=12),I105&lt;計算_賞与回数),I105+1,I105))</f>
        <v/>
      </c>
      <c r="J106" s="169" t="str">
        <f aca="false">IF(A106="","",IF(I106&gt;I105,IF(I106=計算_賞与回数,M105+K106,計算_賞与償還額),0))</f>
        <v/>
      </c>
      <c r="K106" s="169" t="str">
        <f aca="false">IF(A106="","",IF(I106&gt;I105,ROUND(M105*計算_賞与期間利率,0),0))</f>
        <v/>
      </c>
      <c r="L106" s="169" t="str">
        <f aca="false">IF(A106="","",J106-K106)</f>
        <v/>
      </c>
      <c r="M106" s="169" t="str">
        <f aca="false">IF(A106="","",IF(I106&gt;I105,M105-L106,M105))</f>
        <v/>
      </c>
      <c r="N106" s="169" t="str">
        <f aca="false">IF(A106="","",C106+J106)</f>
        <v/>
      </c>
      <c r="O106" s="169" t="str">
        <f aca="false">IF(A106="","",H106+M106)</f>
        <v/>
      </c>
    </row>
    <row r="107" customFormat="false" ht="15" hidden="false" customHeight="false" outlineLevel="0" collapsed="false">
      <c r="A107" s="168" t="str">
        <f aca="false">IF(OR(計算_償還開始="",ROWS($A$8:A107)&gt;計算_償還回数),"",ROWS($A$8:A107))</f>
        <v/>
      </c>
      <c r="B107" s="170" t="str">
        <f aca="false">IF(A107="","",EDATE(計算_償還開始,A107-1))</f>
        <v/>
      </c>
      <c r="C107" s="169" t="str">
        <f aca="false">IF(A107="","",IF(A107=計算_償還回数,D107+F106+G106,計算_毎月償還額))</f>
        <v/>
      </c>
      <c r="D107" s="169" t="str">
        <f aca="false">IF(A107="","",ROUND(F106*計算_利率/定数_年月数,0)+ROUND(G106*計算_利率_在宅介護/定数_年月数,0))</f>
        <v/>
      </c>
      <c r="E107" s="169" t="str">
        <f aca="false">IF(A107="","",C107-D107)</f>
        <v/>
      </c>
      <c r="F107" s="169" t="str">
        <f aca="false">IF(A107="","",IF(A107=計算_償還回数,0,MAX(0,F106-(ROUND(計算_月額_基本,0)-ROUND(F106*計算_利率/定数_年月数,0)))))</f>
        <v/>
      </c>
      <c r="G107" s="169" t="str">
        <f aca="false">IF(A107="","",IF(A107=計算_償還回数,0,MAX(0,G106-(ROUND(計算_月額_在宅介護,0)-ROUND(G106*計算_利率_在宅介護/定数_年月数,0)))))</f>
        <v/>
      </c>
      <c r="H107" s="169" t="str">
        <f aca="false">IF(A107="","",F107+G107)</f>
        <v/>
      </c>
      <c r="I107" s="168" t="str">
        <f aca="false">IF(A107="","",IF(AND(OR(MONTH(B107)=6,MONTH(B107)=12),I106&lt;計算_賞与回数),I106+1,I106))</f>
        <v/>
      </c>
      <c r="J107" s="169" t="str">
        <f aca="false">IF(A107="","",IF(I107&gt;I106,IF(I107=計算_賞与回数,M106+K107,計算_賞与償還額),0))</f>
        <v/>
      </c>
      <c r="K107" s="169" t="str">
        <f aca="false">IF(A107="","",IF(I107&gt;I106,ROUND(M106*計算_賞与期間利率,0),0))</f>
        <v/>
      </c>
      <c r="L107" s="169" t="str">
        <f aca="false">IF(A107="","",J107-K107)</f>
        <v/>
      </c>
      <c r="M107" s="169" t="str">
        <f aca="false">IF(A107="","",IF(I107&gt;I106,M106-L107,M106))</f>
        <v/>
      </c>
      <c r="N107" s="169" t="str">
        <f aca="false">IF(A107="","",C107+J107)</f>
        <v/>
      </c>
      <c r="O107" s="169" t="str">
        <f aca="false">IF(A107="","",H107+M107)</f>
        <v/>
      </c>
    </row>
    <row r="108" customFormat="false" ht="15" hidden="false" customHeight="false" outlineLevel="0" collapsed="false">
      <c r="A108" s="168" t="str">
        <f aca="false">IF(OR(計算_償還開始="",ROWS($A$8:A108)&gt;計算_償還回数),"",ROWS($A$8:A108))</f>
        <v/>
      </c>
      <c r="B108" s="170" t="str">
        <f aca="false">IF(A108="","",EDATE(計算_償還開始,A108-1))</f>
        <v/>
      </c>
      <c r="C108" s="169" t="str">
        <f aca="false">IF(A108="","",IF(A108=計算_償還回数,D108+F107+G107,計算_毎月償還額))</f>
        <v/>
      </c>
      <c r="D108" s="169" t="str">
        <f aca="false">IF(A108="","",ROUND(F107*計算_利率/定数_年月数,0)+ROUND(G107*計算_利率_在宅介護/定数_年月数,0))</f>
        <v/>
      </c>
      <c r="E108" s="169" t="str">
        <f aca="false">IF(A108="","",C108-D108)</f>
        <v/>
      </c>
      <c r="F108" s="169" t="str">
        <f aca="false">IF(A108="","",IF(A108=計算_償還回数,0,MAX(0,F107-(ROUND(計算_月額_基本,0)-ROUND(F107*計算_利率/定数_年月数,0)))))</f>
        <v/>
      </c>
      <c r="G108" s="169" t="str">
        <f aca="false">IF(A108="","",IF(A108=計算_償還回数,0,MAX(0,G107-(ROUND(計算_月額_在宅介護,0)-ROUND(G107*計算_利率_在宅介護/定数_年月数,0)))))</f>
        <v/>
      </c>
      <c r="H108" s="169" t="str">
        <f aca="false">IF(A108="","",F108+G108)</f>
        <v/>
      </c>
      <c r="I108" s="168" t="str">
        <f aca="false">IF(A108="","",IF(AND(OR(MONTH(B108)=6,MONTH(B108)=12),I107&lt;計算_賞与回数),I107+1,I107))</f>
        <v/>
      </c>
      <c r="J108" s="169" t="str">
        <f aca="false">IF(A108="","",IF(I108&gt;I107,IF(I108=計算_賞与回数,M107+K108,計算_賞与償還額),0))</f>
        <v/>
      </c>
      <c r="K108" s="169" t="str">
        <f aca="false">IF(A108="","",IF(I108&gt;I107,ROUND(M107*計算_賞与期間利率,0),0))</f>
        <v/>
      </c>
      <c r="L108" s="169" t="str">
        <f aca="false">IF(A108="","",J108-K108)</f>
        <v/>
      </c>
      <c r="M108" s="169" t="str">
        <f aca="false">IF(A108="","",IF(I108&gt;I107,M107-L108,M107))</f>
        <v/>
      </c>
      <c r="N108" s="169" t="str">
        <f aca="false">IF(A108="","",C108+J108)</f>
        <v/>
      </c>
      <c r="O108" s="169" t="str">
        <f aca="false">IF(A108="","",H108+M108)</f>
        <v/>
      </c>
    </row>
    <row r="109" customFormat="false" ht="15" hidden="false" customHeight="false" outlineLevel="0" collapsed="false">
      <c r="A109" s="168" t="str">
        <f aca="false">IF(OR(計算_償還開始="",ROWS($A$8:A109)&gt;計算_償還回数),"",ROWS($A$8:A109))</f>
        <v/>
      </c>
      <c r="B109" s="170" t="str">
        <f aca="false">IF(A109="","",EDATE(計算_償還開始,A109-1))</f>
        <v/>
      </c>
      <c r="C109" s="169" t="str">
        <f aca="false">IF(A109="","",IF(A109=計算_償還回数,D109+F108+G108,計算_毎月償還額))</f>
        <v/>
      </c>
      <c r="D109" s="169" t="str">
        <f aca="false">IF(A109="","",ROUND(F108*計算_利率/定数_年月数,0)+ROUND(G108*計算_利率_在宅介護/定数_年月数,0))</f>
        <v/>
      </c>
      <c r="E109" s="169" t="str">
        <f aca="false">IF(A109="","",C109-D109)</f>
        <v/>
      </c>
      <c r="F109" s="169" t="str">
        <f aca="false">IF(A109="","",IF(A109=計算_償還回数,0,MAX(0,F108-(ROUND(計算_月額_基本,0)-ROUND(F108*計算_利率/定数_年月数,0)))))</f>
        <v/>
      </c>
      <c r="G109" s="169" t="str">
        <f aca="false">IF(A109="","",IF(A109=計算_償還回数,0,MAX(0,G108-(ROUND(計算_月額_在宅介護,0)-ROUND(G108*計算_利率_在宅介護/定数_年月数,0)))))</f>
        <v/>
      </c>
      <c r="H109" s="169" t="str">
        <f aca="false">IF(A109="","",F109+G109)</f>
        <v/>
      </c>
      <c r="I109" s="168" t="str">
        <f aca="false">IF(A109="","",IF(AND(OR(MONTH(B109)=6,MONTH(B109)=12),I108&lt;計算_賞与回数),I108+1,I108))</f>
        <v/>
      </c>
      <c r="J109" s="169" t="str">
        <f aca="false">IF(A109="","",IF(I109&gt;I108,IF(I109=計算_賞与回数,M108+K109,計算_賞与償還額),0))</f>
        <v/>
      </c>
      <c r="K109" s="169" t="str">
        <f aca="false">IF(A109="","",IF(I109&gt;I108,ROUND(M108*計算_賞与期間利率,0),0))</f>
        <v/>
      </c>
      <c r="L109" s="169" t="str">
        <f aca="false">IF(A109="","",J109-K109)</f>
        <v/>
      </c>
      <c r="M109" s="169" t="str">
        <f aca="false">IF(A109="","",IF(I109&gt;I108,M108-L109,M108))</f>
        <v/>
      </c>
      <c r="N109" s="169" t="str">
        <f aca="false">IF(A109="","",C109+J109)</f>
        <v/>
      </c>
      <c r="O109" s="169" t="str">
        <f aca="false">IF(A109="","",H109+M109)</f>
        <v/>
      </c>
    </row>
    <row r="110" customFormat="false" ht="15" hidden="false" customHeight="false" outlineLevel="0" collapsed="false">
      <c r="A110" s="168" t="str">
        <f aca="false">IF(OR(計算_償還開始="",ROWS($A$8:A110)&gt;計算_償還回数),"",ROWS($A$8:A110))</f>
        <v/>
      </c>
      <c r="B110" s="170" t="str">
        <f aca="false">IF(A110="","",EDATE(計算_償還開始,A110-1))</f>
        <v/>
      </c>
      <c r="C110" s="169" t="str">
        <f aca="false">IF(A110="","",IF(A110=計算_償還回数,D110+F109+G109,計算_毎月償還額))</f>
        <v/>
      </c>
      <c r="D110" s="169" t="str">
        <f aca="false">IF(A110="","",ROUND(F109*計算_利率/定数_年月数,0)+ROUND(G109*計算_利率_在宅介護/定数_年月数,0))</f>
        <v/>
      </c>
      <c r="E110" s="169" t="str">
        <f aca="false">IF(A110="","",C110-D110)</f>
        <v/>
      </c>
      <c r="F110" s="169" t="str">
        <f aca="false">IF(A110="","",IF(A110=計算_償還回数,0,MAX(0,F109-(ROUND(計算_月額_基本,0)-ROUND(F109*計算_利率/定数_年月数,0)))))</f>
        <v/>
      </c>
      <c r="G110" s="169" t="str">
        <f aca="false">IF(A110="","",IF(A110=計算_償還回数,0,MAX(0,G109-(ROUND(計算_月額_在宅介護,0)-ROUND(G109*計算_利率_在宅介護/定数_年月数,0)))))</f>
        <v/>
      </c>
      <c r="H110" s="169" t="str">
        <f aca="false">IF(A110="","",F110+G110)</f>
        <v/>
      </c>
      <c r="I110" s="168" t="str">
        <f aca="false">IF(A110="","",IF(AND(OR(MONTH(B110)=6,MONTH(B110)=12),I109&lt;計算_賞与回数),I109+1,I109))</f>
        <v/>
      </c>
      <c r="J110" s="169" t="str">
        <f aca="false">IF(A110="","",IF(I110&gt;I109,IF(I110=計算_賞与回数,M109+K110,計算_賞与償還額),0))</f>
        <v/>
      </c>
      <c r="K110" s="169" t="str">
        <f aca="false">IF(A110="","",IF(I110&gt;I109,ROUND(M109*計算_賞与期間利率,0),0))</f>
        <v/>
      </c>
      <c r="L110" s="169" t="str">
        <f aca="false">IF(A110="","",J110-K110)</f>
        <v/>
      </c>
      <c r="M110" s="169" t="str">
        <f aca="false">IF(A110="","",IF(I110&gt;I109,M109-L110,M109))</f>
        <v/>
      </c>
      <c r="N110" s="169" t="str">
        <f aca="false">IF(A110="","",C110+J110)</f>
        <v/>
      </c>
      <c r="O110" s="169" t="str">
        <f aca="false">IF(A110="","",H110+M110)</f>
        <v/>
      </c>
    </row>
    <row r="111" customFormat="false" ht="15" hidden="false" customHeight="false" outlineLevel="0" collapsed="false">
      <c r="A111" s="168" t="str">
        <f aca="false">IF(OR(計算_償還開始="",ROWS($A$8:A111)&gt;計算_償還回数),"",ROWS($A$8:A111))</f>
        <v/>
      </c>
      <c r="B111" s="170" t="str">
        <f aca="false">IF(A111="","",EDATE(計算_償還開始,A111-1))</f>
        <v/>
      </c>
      <c r="C111" s="169" t="str">
        <f aca="false">IF(A111="","",IF(A111=計算_償還回数,D111+F110+G110,計算_毎月償還額))</f>
        <v/>
      </c>
      <c r="D111" s="169" t="str">
        <f aca="false">IF(A111="","",ROUND(F110*計算_利率/定数_年月数,0)+ROUND(G110*計算_利率_在宅介護/定数_年月数,0))</f>
        <v/>
      </c>
      <c r="E111" s="169" t="str">
        <f aca="false">IF(A111="","",C111-D111)</f>
        <v/>
      </c>
      <c r="F111" s="169" t="str">
        <f aca="false">IF(A111="","",IF(A111=計算_償還回数,0,MAX(0,F110-(ROUND(計算_月額_基本,0)-ROUND(F110*計算_利率/定数_年月数,0)))))</f>
        <v/>
      </c>
      <c r="G111" s="169" t="str">
        <f aca="false">IF(A111="","",IF(A111=計算_償還回数,0,MAX(0,G110-(ROUND(計算_月額_在宅介護,0)-ROUND(G110*計算_利率_在宅介護/定数_年月数,0)))))</f>
        <v/>
      </c>
      <c r="H111" s="169" t="str">
        <f aca="false">IF(A111="","",F111+G111)</f>
        <v/>
      </c>
      <c r="I111" s="168" t="str">
        <f aca="false">IF(A111="","",IF(AND(OR(MONTH(B111)=6,MONTH(B111)=12),I110&lt;計算_賞与回数),I110+1,I110))</f>
        <v/>
      </c>
      <c r="J111" s="169" t="str">
        <f aca="false">IF(A111="","",IF(I111&gt;I110,IF(I111=計算_賞与回数,M110+K111,計算_賞与償還額),0))</f>
        <v/>
      </c>
      <c r="K111" s="169" t="str">
        <f aca="false">IF(A111="","",IF(I111&gt;I110,ROUND(M110*計算_賞与期間利率,0),0))</f>
        <v/>
      </c>
      <c r="L111" s="169" t="str">
        <f aca="false">IF(A111="","",J111-K111)</f>
        <v/>
      </c>
      <c r="M111" s="169" t="str">
        <f aca="false">IF(A111="","",IF(I111&gt;I110,M110-L111,M110))</f>
        <v/>
      </c>
      <c r="N111" s="169" t="str">
        <f aca="false">IF(A111="","",C111+J111)</f>
        <v/>
      </c>
      <c r="O111" s="169" t="str">
        <f aca="false">IF(A111="","",H111+M111)</f>
        <v/>
      </c>
    </row>
    <row r="112" customFormat="false" ht="15" hidden="false" customHeight="false" outlineLevel="0" collapsed="false">
      <c r="A112" s="168" t="str">
        <f aca="false">IF(OR(計算_償還開始="",ROWS($A$8:A112)&gt;計算_償還回数),"",ROWS($A$8:A112))</f>
        <v/>
      </c>
      <c r="B112" s="170" t="str">
        <f aca="false">IF(A112="","",EDATE(計算_償還開始,A112-1))</f>
        <v/>
      </c>
      <c r="C112" s="169" t="str">
        <f aca="false">IF(A112="","",IF(A112=計算_償還回数,D112+F111+G111,計算_毎月償還額))</f>
        <v/>
      </c>
      <c r="D112" s="169" t="str">
        <f aca="false">IF(A112="","",ROUND(F111*計算_利率/定数_年月数,0)+ROUND(G111*計算_利率_在宅介護/定数_年月数,0))</f>
        <v/>
      </c>
      <c r="E112" s="169" t="str">
        <f aca="false">IF(A112="","",C112-D112)</f>
        <v/>
      </c>
      <c r="F112" s="169" t="str">
        <f aca="false">IF(A112="","",IF(A112=計算_償還回数,0,MAX(0,F111-(ROUND(計算_月額_基本,0)-ROUND(F111*計算_利率/定数_年月数,0)))))</f>
        <v/>
      </c>
      <c r="G112" s="169" t="str">
        <f aca="false">IF(A112="","",IF(A112=計算_償還回数,0,MAX(0,G111-(ROUND(計算_月額_在宅介護,0)-ROUND(G111*計算_利率_在宅介護/定数_年月数,0)))))</f>
        <v/>
      </c>
      <c r="H112" s="169" t="str">
        <f aca="false">IF(A112="","",F112+G112)</f>
        <v/>
      </c>
      <c r="I112" s="168" t="str">
        <f aca="false">IF(A112="","",IF(AND(OR(MONTH(B112)=6,MONTH(B112)=12),I111&lt;計算_賞与回数),I111+1,I111))</f>
        <v/>
      </c>
      <c r="J112" s="169" t="str">
        <f aca="false">IF(A112="","",IF(I112&gt;I111,IF(I112=計算_賞与回数,M111+K112,計算_賞与償還額),0))</f>
        <v/>
      </c>
      <c r="K112" s="169" t="str">
        <f aca="false">IF(A112="","",IF(I112&gt;I111,ROUND(M111*計算_賞与期間利率,0),0))</f>
        <v/>
      </c>
      <c r="L112" s="169" t="str">
        <f aca="false">IF(A112="","",J112-K112)</f>
        <v/>
      </c>
      <c r="M112" s="169" t="str">
        <f aca="false">IF(A112="","",IF(I112&gt;I111,M111-L112,M111))</f>
        <v/>
      </c>
      <c r="N112" s="169" t="str">
        <f aca="false">IF(A112="","",C112+J112)</f>
        <v/>
      </c>
      <c r="O112" s="169" t="str">
        <f aca="false">IF(A112="","",H112+M112)</f>
        <v/>
      </c>
    </row>
    <row r="113" customFormat="false" ht="15" hidden="false" customHeight="false" outlineLevel="0" collapsed="false">
      <c r="A113" s="168" t="str">
        <f aca="false">IF(OR(計算_償還開始="",ROWS($A$8:A113)&gt;計算_償還回数),"",ROWS($A$8:A113))</f>
        <v/>
      </c>
      <c r="B113" s="170" t="str">
        <f aca="false">IF(A113="","",EDATE(計算_償還開始,A113-1))</f>
        <v/>
      </c>
      <c r="C113" s="169" t="str">
        <f aca="false">IF(A113="","",IF(A113=計算_償還回数,D113+F112+G112,計算_毎月償還額))</f>
        <v/>
      </c>
      <c r="D113" s="169" t="str">
        <f aca="false">IF(A113="","",ROUND(F112*計算_利率/定数_年月数,0)+ROUND(G112*計算_利率_在宅介護/定数_年月数,0))</f>
        <v/>
      </c>
      <c r="E113" s="169" t="str">
        <f aca="false">IF(A113="","",C113-D113)</f>
        <v/>
      </c>
      <c r="F113" s="169" t="str">
        <f aca="false">IF(A113="","",IF(A113=計算_償還回数,0,MAX(0,F112-(ROUND(計算_月額_基本,0)-ROUND(F112*計算_利率/定数_年月数,0)))))</f>
        <v/>
      </c>
      <c r="G113" s="169" t="str">
        <f aca="false">IF(A113="","",IF(A113=計算_償還回数,0,MAX(0,G112-(ROUND(計算_月額_在宅介護,0)-ROUND(G112*計算_利率_在宅介護/定数_年月数,0)))))</f>
        <v/>
      </c>
      <c r="H113" s="169" t="str">
        <f aca="false">IF(A113="","",F113+G113)</f>
        <v/>
      </c>
      <c r="I113" s="168" t="str">
        <f aca="false">IF(A113="","",IF(AND(OR(MONTH(B113)=6,MONTH(B113)=12),I112&lt;計算_賞与回数),I112+1,I112))</f>
        <v/>
      </c>
      <c r="J113" s="169" t="str">
        <f aca="false">IF(A113="","",IF(I113&gt;I112,IF(I113=計算_賞与回数,M112+K113,計算_賞与償還額),0))</f>
        <v/>
      </c>
      <c r="K113" s="169" t="str">
        <f aca="false">IF(A113="","",IF(I113&gt;I112,ROUND(M112*計算_賞与期間利率,0),0))</f>
        <v/>
      </c>
      <c r="L113" s="169" t="str">
        <f aca="false">IF(A113="","",J113-K113)</f>
        <v/>
      </c>
      <c r="M113" s="169" t="str">
        <f aca="false">IF(A113="","",IF(I113&gt;I112,M112-L113,M112))</f>
        <v/>
      </c>
      <c r="N113" s="169" t="str">
        <f aca="false">IF(A113="","",C113+J113)</f>
        <v/>
      </c>
      <c r="O113" s="169" t="str">
        <f aca="false">IF(A113="","",H113+M113)</f>
        <v/>
      </c>
    </row>
    <row r="114" customFormat="false" ht="15" hidden="false" customHeight="false" outlineLevel="0" collapsed="false">
      <c r="A114" s="168" t="str">
        <f aca="false">IF(OR(計算_償還開始="",ROWS($A$8:A114)&gt;計算_償還回数),"",ROWS($A$8:A114))</f>
        <v/>
      </c>
      <c r="B114" s="170" t="str">
        <f aca="false">IF(A114="","",EDATE(計算_償還開始,A114-1))</f>
        <v/>
      </c>
      <c r="C114" s="169" t="str">
        <f aca="false">IF(A114="","",IF(A114=計算_償還回数,D114+F113+G113,計算_毎月償還額))</f>
        <v/>
      </c>
      <c r="D114" s="169" t="str">
        <f aca="false">IF(A114="","",ROUND(F113*計算_利率/定数_年月数,0)+ROUND(G113*計算_利率_在宅介護/定数_年月数,0))</f>
        <v/>
      </c>
      <c r="E114" s="169" t="str">
        <f aca="false">IF(A114="","",C114-D114)</f>
        <v/>
      </c>
      <c r="F114" s="169" t="str">
        <f aca="false">IF(A114="","",IF(A114=計算_償還回数,0,MAX(0,F113-(ROUND(計算_月額_基本,0)-ROUND(F113*計算_利率/定数_年月数,0)))))</f>
        <v/>
      </c>
      <c r="G114" s="169" t="str">
        <f aca="false">IF(A114="","",IF(A114=計算_償還回数,0,MAX(0,G113-(ROUND(計算_月額_在宅介護,0)-ROUND(G113*計算_利率_在宅介護/定数_年月数,0)))))</f>
        <v/>
      </c>
      <c r="H114" s="169" t="str">
        <f aca="false">IF(A114="","",F114+G114)</f>
        <v/>
      </c>
      <c r="I114" s="168" t="str">
        <f aca="false">IF(A114="","",IF(AND(OR(MONTH(B114)=6,MONTH(B114)=12),I113&lt;計算_賞与回数),I113+1,I113))</f>
        <v/>
      </c>
      <c r="J114" s="169" t="str">
        <f aca="false">IF(A114="","",IF(I114&gt;I113,IF(I114=計算_賞与回数,M113+K114,計算_賞与償還額),0))</f>
        <v/>
      </c>
      <c r="K114" s="169" t="str">
        <f aca="false">IF(A114="","",IF(I114&gt;I113,ROUND(M113*計算_賞与期間利率,0),0))</f>
        <v/>
      </c>
      <c r="L114" s="169" t="str">
        <f aca="false">IF(A114="","",J114-K114)</f>
        <v/>
      </c>
      <c r="M114" s="169" t="str">
        <f aca="false">IF(A114="","",IF(I114&gt;I113,M113-L114,M113))</f>
        <v/>
      </c>
      <c r="N114" s="169" t="str">
        <f aca="false">IF(A114="","",C114+J114)</f>
        <v/>
      </c>
      <c r="O114" s="169" t="str">
        <f aca="false">IF(A114="","",H114+M114)</f>
        <v/>
      </c>
    </row>
    <row r="115" customFormat="false" ht="15" hidden="false" customHeight="false" outlineLevel="0" collapsed="false">
      <c r="A115" s="168" t="str">
        <f aca="false">IF(OR(計算_償還開始="",ROWS($A$8:A115)&gt;計算_償還回数),"",ROWS($A$8:A115))</f>
        <v/>
      </c>
      <c r="B115" s="170" t="str">
        <f aca="false">IF(A115="","",EDATE(計算_償還開始,A115-1))</f>
        <v/>
      </c>
      <c r="C115" s="169" t="str">
        <f aca="false">IF(A115="","",IF(A115=計算_償還回数,D115+F114+G114,計算_毎月償還額))</f>
        <v/>
      </c>
      <c r="D115" s="169" t="str">
        <f aca="false">IF(A115="","",ROUND(F114*計算_利率/定数_年月数,0)+ROUND(G114*計算_利率_在宅介護/定数_年月数,0))</f>
        <v/>
      </c>
      <c r="E115" s="169" t="str">
        <f aca="false">IF(A115="","",C115-D115)</f>
        <v/>
      </c>
      <c r="F115" s="169" t="str">
        <f aca="false">IF(A115="","",IF(A115=計算_償還回数,0,MAX(0,F114-(ROUND(計算_月額_基本,0)-ROUND(F114*計算_利率/定数_年月数,0)))))</f>
        <v/>
      </c>
      <c r="G115" s="169" t="str">
        <f aca="false">IF(A115="","",IF(A115=計算_償還回数,0,MAX(0,G114-(ROUND(計算_月額_在宅介護,0)-ROUND(G114*計算_利率_在宅介護/定数_年月数,0)))))</f>
        <v/>
      </c>
      <c r="H115" s="169" t="str">
        <f aca="false">IF(A115="","",F115+G115)</f>
        <v/>
      </c>
      <c r="I115" s="168" t="str">
        <f aca="false">IF(A115="","",IF(AND(OR(MONTH(B115)=6,MONTH(B115)=12),I114&lt;計算_賞与回数),I114+1,I114))</f>
        <v/>
      </c>
      <c r="J115" s="169" t="str">
        <f aca="false">IF(A115="","",IF(I115&gt;I114,IF(I115=計算_賞与回数,M114+K115,計算_賞与償還額),0))</f>
        <v/>
      </c>
      <c r="K115" s="169" t="str">
        <f aca="false">IF(A115="","",IF(I115&gt;I114,ROUND(M114*計算_賞与期間利率,0),0))</f>
        <v/>
      </c>
      <c r="L115" s="169" t="str">
        <f aca="false">IF(A115="","",J115-K115)</f>
        <v/>
      </c>
      <c r="M115" s="169" t="str">
        <f aca="false">IF(A115="","",IF(I115&gt;I114,M114-L115,M114))</f>
        <v/>
      </c>
      <c r="N115" s="169" t="str">
        <f aca="false">IF(A115="","",C115+J115)</f>
        <v/>
      </c>
      <c r="O115" s="169" t="str">
        <f aca="false">IF(A115="","",H115+M115)</f>
        <v/>
      </c>
    </row>
    <row r="116" customFormat="false" ht="15" hidden="false" customHeight="false" outlineLevel="0" collapsed="false">
      <c r="A116" s="168" t="str">
        <f aca="false">IF(OR(計算_償還開始="",ROWS($A$8:A116)&gt;計算_償還回数),"",ROWS($A$8:A116))</f>
        <v/>
      </c>
      <c r="B116" s="170" t="str">
        <f aca="false">IF(A116="","",EDATE(計算_償還開始,A116-1))</f>
        <v/>
      </c>
      <c r="C116" s="169" t="str">
        <f aca="false">IF(A116="","",IF(A116=計算_償還回数,D116+F115+G115,計算_毎月償還額))</f>
        <v/>
      </c>
      <c r="D116" s="169" t="str">
        <f aca="false">IF(A116="","",ROUND(F115*計算_利率/定数_年月数,0)+ROUND(G115*計算_利率_在宅介護/定数_年月数,0))</f>
        <v/>
      </c>
      <c r="E116" s="169" t="str">
        <f aca="false">IF(A116="","",C116-D116)</f>
        <v/>
      </c>
      <c r="F116" s="169" t="str">
        <f aca="false">IF(A116="","",IF(A116=計算_償還回数,0,MAX(0,F115-(ROUND(計算_月額_基本,0)-ROUND(F115*計算_利率/定数_年月数,0)))))</f>
        <v/>
      </c>
      <c r="G116" s="169" t="str">
        <f aca="false">IF(A116="","",IF(A116=計算_償還回数,0,MAX(0,G115-(ROUND(計算_月額_在宅介護,0)-ROUND(G115*計算_利率_在宅介護/定数_年月数,0)))))</f>
        <v/>
      </c>
      <c r="H116" s="169" t="str">
        <f aca="false">IF(A116="","",F116+G116)</f>
        <v/>
      </c>
      <c r="I116" s="168" t="str">
        <f aca="false">IF(A116="","",IF(AND(OR(MONTH(B116)=6,MONTH(B116)=12),I115&lt;計算_賞与回数),I115+1,I115))</f>
        <v/>
      </c>
      <c r="J116" s="169" t="str">
        <f aca="false">IF(A116="","",IF(I116&gt;I115,IF(I116=計算_賞与回数,M115+K116,計算_賞与償還額),0))</f>
        <v/>
      </c>
      <c r="K116" s="169" t="str">
        <f aca="false">IF(A116="","",IF(I116&gt;I115,ROUND(M115*計算_賞与期間利率,0),0))</f>
        <v/>
      </c>
      <c r="L116" s="169" t="str">
        <f aca="false">IF(A116="","",J116-K116)</f>
        <v/>
      </c>
      <c r="M116" s="169" t="str">
        <f aca="false">IF(A116="","",IF(I116&gt;I115,M115-L116,M115))</f>
        <v/>
      </c>
      <c r="N116" s="169" t="str">
        <f aca="false">IF(A116="","",C116+J116)</f>
        <v/>
      </c>
      <c r="O116" s="169" t="str">
        <f aca="false">IF(A116="","",H116+M116)</f>
        <v/>
      </c>
    </row>
    <row r="117" customFormat="false" ht="15" hidden="false" customHeight="false" outlineLevel="0" collapsed="false">
      <c r="A117" s="168" t="str">
        <f aca="false">IF(OR(計算_償還開始="",ROWS($A$8:A117)&gt;計算_償還回数),"",ROWS($A$8:A117))</f>
        <v/>
      </c>
      <c r="B117" s="170" t="str">
        <f aca="false">IF(A117="","",EDATE(計算_償還開始,A117-1))</f>
        <v/>
      </c>
      <c r="C117" s="169" t="str">
        <f aca="false">IF(A117="","",IF(A117=計算_償還回数,D117+F116+G116,計算_毎月償還額))</f>
        <v/>
      </c>
      <c r="D117" s="169" t="str">
        <f aca="false">IF(A117="","",ROUND(F116*計算_利率/定数_年月数,0)+ROUND(G116*計算_利率_在宅介護/定数_年月数,0))</f>
        <v/>
      </c>
      <c r="E117" s="169" t="str">
        <f aca="false">IF(A117="","",C117-D117)</f>
        <v/>
      </c>
      <c r="F117" s="169" t="str">
        <f aca="false">IF(A117="","",IF(A117=計算_償還回数,0,MAX(0,F116-(ROUND(計算_月額_基本,0)-ROUND(F116*計算_利率/定数_年月数,0)))))</f>
        <v/>
      </c>
      <c r="G117" s="169" t="str">
        <f aca="false">IF(A117="","",IF(A117=計算_償還回数,0,MAX(0,G116-(ROUND(計算_月額_在宅介護,0)-ROUND(G116*計算_利率_在宅介護/定数_年月数,0)))))</f>
        <v/>
      </c>
      <c r="H117" s="169" t="str">
        <f aca="false">IF(A117="","",F117+G117)</f>
        <v/>
      </c>
      <c r="I117" s="168" t="str">
        <f aca="false">IF(A117="","",IF(AND(OR(MONTH(B117)=6,MONTH(B117)=12),I116&lt;計算_賞与回数),I116+1,I116))</f>
        <v/>
      </c>
      <c r="J117" s="169" t="str">
        <f aca="false">IF(A117="","",IF(I117&gt;I116,IF(I117=計算_賞与回数,M116+K117,計算_賞与償還額),0))</f>
        <v/>
      </c>
      <c r="K117" s="169" t="str">
        <f aca="false">IF(A117="","",IF(I117&gt;I116,ROUND(M116*計算_賞与期間利率,0),0))</f>
        <v/>
      </c>
      <c r="L117" s="169" t="str">
        <f aca="false">IF(A117="","",J117-K117)</f>
        <v/>
      </c>
      <c r="M117" s="169" t="str">
        <f aca="false">IF(A117="","",IF(I117&gt;I116,M116-L117,M116))</f>
        <v/>
      </c>
      <c r="N117" s="169" t="str">
        <f aca="false">IF(A117="","",C117+J117)</f>
        <v/>
      </c>
      <c r="O117" s="169" t="str">
        <f aca="false">IF(A117="","",H117+M117)</f>
        <v/>
      </c>
    </row>
    <row r="118" customFormat="false" ht="15" hidden="false" customHeight="false" outlineLevel="0" collapsed="false">
      <c r="A118" s="168" t="str">
        <f aca="false">IF(OR(計算_償還開始="",ROWS($A$8:A118)&gt;計算_償還回数),"",ROWS($A$8:A118))</f>
        <v/>
      </c>
      <c r="B118" s="170" t="str">
        <f aca="false">IF(A118="","",EDATE(計算_償還開始,A118-1))</f>
        <v/>
      </c>
      <c r="C118" s="169" t="str">
        <f aca="false">IF(A118="","",IF(A118=計算_償還回数,D118+F117+G117,計算_毎月償還額))</f>
        <v/>
      </c>
      <c r="D118" s="169" t="str">
        <f aca="false">IF(A118="","",ROUND(F117*計算_利率/定数_年月数,0)+ROUND(G117*計算_利率_在宅介護/定数_年月数,0))</f>
        <v/>
      </c>
      <c r="E118" s="169" t="str">
        <f aca="false">IF(A118="","",C118-D118)</f>
        <v/>
      </c>
      <c r="F118" s="169" t="str">
        <f aca="false">IF(A118="","",IF(A118=計算_償還回数,0,MAX(0,F117-(ROUND(計算_月額_基本,0)-ROUND(F117*計算_利率/定数_年月数,0)))))</f>
        <v/>
      </c>
      <c r="G118" s="169" t="str">
        <f aca="false">IF(A118="","",IF(A118=計算_償還回数,0,MAX(0,G117-(ROUND(計算_月額_在宅介護,0)-ROUND(G117*計算_利率_在宅介護/定数_年月数,0)))))</f>
        <v/>
      </c>
      <c r="H118" s="169" t="str">
        <f aca="false">IF(A118="","",F118+G118)</f>
        <v/>
      </c>
      <c r="I118" s="168" t="str">
        <f aca="false">IF(A118="","",IF(AND(OR(MONTH(B118)=6,MONTH(B118)=12),I117&lt;計算_賞与回数),I117+1,I117))</f>
        <v/>
      </c>
      <c r="J118" s="169" t="str">
        <f aca="false">IF(A118="","",IF(I118&gt;I117,IF(I118=計算_賞与回数,M117+K118,計算_賞与償還額),0))</f>
        <v/>
      </c>
      <c r="K118" s="169" t="str">
        <f aca="false">IF(A118="","",IF(I118&gt;I117,ROUND(M117*計算_賞与期間利率,0),0))</f>
        <v/>
      </c>
      <c r="L118" s="169" t="str">
        <f aca="false">IF(A118="","",J118-K118)</f>
        <v/>
      </c>
      <c r="M118" s="169" t="str">
        <f aca="false">IF(A118="","",IF(I118&gt;I117,M117-L118,M117))</f>
        <v/>
      </c>
      <c r="N118" s="169" t="str">
        <f aca="false">IF(A118="","",C118+J118)</f>
        <v/>
      </c>
      <c r="O118" s="169" t="str">
        <f aca="false">IF(A118="","",H118+M118)</f>
        <v/>
      </c>
    </row>
    <row r="119" customFormat="false" ht="15" hidden="false" customHeight="false" outlineLevel="0" collapsed="false">
      <c r="A119" s="168" t="str">
        <f aca="false">IF(OR(計算_償還開始="",ROWS($A$8:A119)&gt;計算_償還回数),"",ROWS($A$8:A119))</f>
        <v/>
      </c>
      <c r="B119" s="170" t="str">
        <f aca="false">IF(A119="","",EDATE(計算_償還開始,A119-1))</f>
        <v/>
      </c>
      <c r="C119" s="169" t="str">
        <f aca="false">IF(A119="","",IF(A119=計算_償還回数,D119+F118+G118,計算_毎月償還額))</f>
        <v/>
      </c>
      <c r="D119" s="169" t="str">
        <f aca="false">IF(A119="","",ROUND(F118*計算_利率/定数_年月数,0)+ROUND(G118*計算_利率_在宅介護/定数_年月数,0))</f>
        <v/>
      </c>
      <c r="E119" s="169" t="str">
        <f aca="false">IF(A119="","",C119-D119)</f>
        <v/>
      </c>
      <c r="F119" s="169" t="str">
        <f aca="false">IF(A119="","",IF(A119=計算_償還回数,0,MAX(0,F118-(ROUND(計算_月額_基本,0)-ROUND(F118*計算_利率/定数_年月数,0)))))</f>
        <v/>
      </c>
      <c r="G119" s="169" t="str">
        <f aca="false">IF(A119="","",IF(A119=計算_償還回数,0,MAX(0,G118-(ROUND(計算_月額_在宅介護,0)-ROUND(G118*計算_利率_在宅介護/定数_年月数,0)))))</f>
        <v/>
      </c>
      <c r="H119" s="169" t="str">
        <f aca="false">IF(A119="","",F119+G119)</f>
        <v/>
      </c>
      <c r="I119" s="168" t="str">
        <f aca="false">IF(A119="","",IF(AND(OR(MONTH(B119)=6,MONTH(B119)=12),I118&lt;計算_賞与回数),I118+1,I118))</f>
        <v/>
      </c>
      <c r="J119" s="169" t="str">
        <f aca="false">IF(A119="","",IF(I119&gt;I118,IF(I119=計算_賞与回数,M118+K119,計算_賞与償還額),0))</f>
        <v/>
      </c>
      <c r="K119" s="169" t="str">
        <f aca="false">IF(A119="","",IF(I119&gt;I118,ROUND(M118*計算_賞与期間利率,0),0))</f>
        <v/>
      </c>
      <c r="L119" s="169" t="str">
        <f aca="false">IF(A119="","",J119-K119)</f>
        <v/>
      </c>
      <c r="M119" s="169" t="str">
        <f aca="false">IF(A119="","",IF(I119&gt;I118,M118-L119,M118))</f>
        <v/>
      </c>
      <c r="N119" s="169" t="str">
        <f aca="false">IF(A119="","",C119+J119)</f>
        <v/>
      </c>
      <c r="O119" s="169" t="str">
        <f aca="false">IF(A119="","",H119+M119)</f>
        <v/>
      </c>
    </row>
    <row r="120" customFormat="false" ht="15" hidden="false" customHeight="false" outlineLevel="0" collapsed="false">
      <c r="A120" s="168" t="str">
        <f aca="false">IF(OR(計算_償還開始="",ROWS($A$8:A120)&gt;計算_償還回数),"",ROWS($A$8:A120))</f>
        <v/>
      </c>
      <c r="B120" s="170" t="str">
        <f aca="false">IF(A120="","",EDATE(計算_償還開始,A120-1))</f>
        <v/>
      </c>
      <c r="C120" s="169" t="str">
        <f aca="false">IF(A120="","",IF(A120=計算_償還回数,D120+F119+G119,計算_毎月償還額))</f>
        <v/>
      </c>
      <c r="D120" s="169" t="str">
        <f aca="false">IF(A120="","",ROUND(F119*計算_利率/定数_年月数,0)+ROUND(G119*計算_利率_在宅介護/定数_年月数,0))</f>
        <v/>
      </c>
      <c r="E120" s="169" t="str">
        <f aca="false">IF(A120="","",C120-D120)</f>
        <v/>
      </c>
      <c r="F120" s="169" t="str">
        <f aca="false">IF(A120="","",IF(A120=計算_償還回数,0,MAX(0,F119-(ROUND(計算_月額_基本,0)-ROUND(F119*計算_利率/定数_年月数,0)))))</f>
        <v/>
      </c>
      <c r="G120" s="169" t="str">
        <f aca="false">IF(A120="","",IF(A120=計算_償還回数,0,MAX(0,G119-(ROUND(計算_月額_在宅介護,0)-ROUND(G119*計算_利率_在宅介護/定数_年月数,0)))))</f>
        <v/>
      </c>
      <c r="H120" s="169" t="str">
        <f aca="false">IF(A120="","",F120+G120)</f>
        <v/>
      </c>
      <c r="I120" s="168" t="str">
        <f aca="false">IF(A120="","",IF(AND(OR(MONTH(B120)=6,MONTH(B120)=12),I119&lt;計算_賞与回数),I119+1,I119))</f>
        <v/>
      </c>
      <c r="J120" s="169" t="str">
        <f aca="false">IF(A120="","",IF(I120&gt;I119,IF(I120=計算_賞与回数,M119+K120,計算_賞与償還額),0))</f>
        <v/>
      </c>
      <c r="K120" s="169" t="str">
        <f aca="false">IF(A120="","",IF(I120&gt;I119,ROUND(M119*計算_賞与期間利率,0),0))</f>
        <v/>
      </c>
      <c r="L120" s="169" t="str">
        <f aca="false">IF(A120="","",J120-K120)</f>
        <v/>
      </c>
      <c r="M120" s="169" t="str">
        <f aca="false">IF(A120="","",IF(I120&gt;I119,M119-L120,M119))</f>
        <v/>
      </c>
      <c r="N120" s="169" t="str">
        <f aca="false">IF(A120="","",C120+J120)</f>
        <v/>
      </c>
      <c r="O120" s="169" t="str">
        <f aca="false">IF(A120="","",H120+M120)</f>
        <v/>
      </c>
    </row>
    <row r="121" customFormat="false" ht="15" hidden="false" customHeight="false" outlineLevel="0" collapsed="false">
      <c r="A121" s="168" t="str">
        <f aca="false">IF(OR(計算_償還開始="",ROWS($A$8:A121)&gt;計算_償還回数),"",ROWS($A$8:A121))</f>
        <v/>
      </c>
      <c r="B121" s="170" t="str">
        <f aca="false">IF(A121="","",EDATE(計算_償還開始,A121-1))</f>
        <v/>
      </c>
      <c r="C121" s="169" t="str">
        <f aca="false">IF(A121="","",IF(A121=計算_償還回数,D121+F120+G120,計算_毎月償還額))</f>
        <v/>
      </c>
      <c r="D121" s="169" t="str">
        <f aca="false">IF(A121="","",ROUND(F120*計算_利率/定数_年月数,0)+ROUND(G120*計算_利率_在宅介護/定数_年月数,0))</f>
        <v/>
      </c>
      <c r="E121" s="169" t="str">
        <f aca="false">IF(A121="","",C121-D121)</f>
        <v/>
      </c>
      <c r="F121" s="169" t="str">
        <f aca="false">IF(A121="","",IF(A121=計算_償還回数,0,MAX(0,F120-(ROUND(計算_月額_基本,0)-ROUND(F120*計算_利率/定数_年月数,0)))))</f>
        <v/>
      </c>
      <c r="G121" s="169" t="str">
        <f aca="false">IF(A121="","",IF(A121=計算_償還回数,0,MAX(0,G120-(ROUND(計算_月額_在宅介護,0)-ROUND(G120*計算_利率_在宅介護/定数_年月数,0)))))</f>
        <v/>
      </c>
      <c r="H121" s="169" t="str">
        <f aca="false">IF(A121="","",F121+G121)</f>
        <v/>
      </c>
      <c r="I121" s="168" t="str">
        <f aca="false">IF(A121="","",IF(AND(OR(MONTH(B121)=6,MONTH(B121)=12),I120&lt;計算_賞与回数),I120+1,I120))</f>
        <v/>
      </c>
      <c r="J121" s="169" t="str">
        <f aca="false">IF(A121="","",IF(I121&gt;I120,IF(I121=計算_賞与回数,M120+K121,計算_賞与償還額),0))</f>
        <v/>
      </c>
      <c r="K121" s="169" t="str">
        <f aca="false">IF(A121="","",IF(I121&gt;I120,ROUND(M120*計算_賞与期間利率,0),0))</f>
        <v/>
      </c>
      <c r="L121" s="169" t="str">
        <f aca="false">IF(A121="","",J121-K121)</f>
        <v/>
      </c>
      <c r="M121" s="169" t="str">
        <f aca="false">IF(A121="","",IF(I121&gt;I120,M120-L121,M120))</f>
        <v/>
      </c>
      <c r="N121" s="169" t="str">
        <f aca="false">IF(A121="","",C121+J121)</f>
        <v/>
      </c>
      <c r="O121" s="169" t="str">
        <f aca="false">IF(A121="","",H121+M121)</f>
        <v/>
      </c>
    </row>
    <row r="122" customFormat="false" ht="15" hidden="false" customHeight="false" outlineLevel="0" collapsed="false">
      <c r="A122" s="168" t="str">
        <f aca="false">IF(OR(計算_償還開始="",ROWS($A$8:A122)&gt;計算_償還回数),"",ROWS($A$8:A122))</f>
        <v/>
      </c>
      <c r="B122" s="170" t="str">
        <f aca="false">IF(A122="","",EDATE(計算_償還開始,A122-1))</f>
        <v/>
      </c>
      <c r="C122" s="169" t="str">
        <f aca="false">IF(A122="","",IF(A122=計算_償還回数,D122+F121+G121,計算_毎月償還額))</f>
        <v/>
      </c>
      <c r="D122" s="169" t="str">
        <f aca="false">IF(A122="","",ROUND(F121*計算_利率/定数_年月数,0)+ROUND(G121*計算_利率_在宅介護/定数_年月数,0))</f>
        <v/>
      </c>
      <c r="E122" s="169" t="str">
        <f aca="false">IF(A122="","",C122-D122)</f>
        <v/>
      </c>
      <c r="F122" s="169" t="str">
        <f aca="false">IF(A122="","",IF(A122=計算_償還回数,0,MAX(0,F121-(ROUND(計算_月額_基本,0)-ROUND(F121*計算_利率/定数_年月数,0)))))</f>
        <v/>
      </c>
      <c r="G122" s="169" t="str">
        <f aca="false">IF(A122="","",IF(A122=計算_償還回数,0,MAX(0,G121-(ROUND(計算_月額_在宅介護,0)-ROUND(G121*計算_利率_在宅介護/定数_年月数,0)))))</f>
        <v/>
      </c>
      <c r="H122" s="169" t="str">
        <f aca="false">IF(A122="","",F122+G122)</f>
        <v/>
      </c>
      <c r="I122" s="168" t="str">
        <f aca="false">IF(A122="","",IF(AND(OR(MONTH(B122)=6,MONTH(B122)=12),I121&lt;計算_賞与回数),I121+1,I121))</f>
        <v/>
      </c>
      <c r="J122" s="169" t="str">
        <f aca="false">IF(A122="","",IF(I122&gt;I121,IF(I122=計算_賞与回数,M121+K122,計算_賞与償還額),0))</f>
        <v/>
      </c>
      <c r="K122" s="169" t="str">
        <f aca="false">IF(A122="","",IF(I122&gt;I121,ROUND(M121*計算_賞与期間利率,0),0))</f>
        <v/>
      </c>
      <c r="L122" s="169" t="str">
        <f aca="false">IF(A122="","",J122-K122)</f>
        <v/>
      </c>
      <c r="M122" s="169" t="str">
        <f aca="false">IF(A122="","",IF(I122&gt;I121,M121-L122,M121))</f>
        <v/>
      </c>
      <c r="N122" s="169" t="str">
        <f aca="false">IF(A122="","",C122+J122)</f>
        <v/>
      </c>
      <c r="O122" s="169" t="str">
        <f aca="false">IF(A122="","",H122+M122)</f>
        <v/>
      </c>
    </row>
    <row r="123" customFormat="false" ht="15" hidden="false" customHeight="false" outlineLevel="0" collapsed="false">
      <c r="A123" s="168" t="str">
        <f aca="false">IF(OR(計算_償還開始="",ROWS($A$8:A123)&gt;計算_償還回数),"",ROWS($A$8:A123))</f>
        <v/>
      </c>
      <c r="B123" s="170" t="str">
        <f aca="false">IF(A123="","",EDATE(計算_償還開始,A123-1))</f>
        <v/>
      </c>
      <c r="C123" s="169" t="str">
        <f aca="false">IF(A123="","",IF(A123=計算_償還回数,D123+F122+G122,計算_毎月償還額))</f>
        <v/>
      </c>
      <c r="D123" s="169" t="str">
        <f aca="false">IF(A123="","",ROUND(F122*計算_利率/定数_年月数,0)+ROUND(G122*計算_利率_在宅介護/定数_年月数,0))</f>
        <v/>
      </c>
      <c r="E123" s="169" t="str">
        <f aca="false">IF(A123="","",C123-D123)</f>
        <v/>
      </c>
      <c r="F123" s="169" t="str">
        <f aca="false">IF(A123="","",IF(A123=計算_償還回数,0,MAX(0,F122-(ROUND(計算_月額_基本,0)-ROUND(F122*計算_利率/定数_年月数,0)))))</f>
        <v/>
      </c>
      <c r="G123" s="169" t="str">
        <f aca="false">IF(A123="","",IF(A123=計算_償還回数,0,MAX(0,G122-(ROUND(計算_月額_在宅介護,0)-ROUND(G122*計算_利率_在宅介護/定数_年月数,0)))))</f>
        <v/>
      </c>
      <c r="H123" s="169" t="str">
        <f aca="false">IF(A123="","",F123+G123)</f>
        <v/>
      </c>
      <c r="I123" s="168" t="str">
        <f aca="false">IF(A123="","",IF(AND(OR(MONTH(B123)=6,MONTH(B123)=12),I122&lt;計算_賞与回数),I122+1,I122))</f>
        <v/>
      </c>
      <c r="J123" s="169" t="str">
        <f aca="false">IF(A123="","",IF(I123&gt;I122,IF(I123=計算_賞与回数,M122+K123,計算_賞与償還額),0))</f>
        <v/>
      </c>
      <c r="K123" s="169" t="str">
        <f aca="false">IF(A123="","",IF(I123&gt;I122,ROUND(M122*計算_賞与期間利率,0),0))</f>
        <v/>
      </c>
      <c r="L123" s="169" t="str">
        <f aca="false">IF(A123="","",J123-K123)</f>
        <v/>
      </c>
      <c r="M123" s="169" t="str">
        <f aca="false">IF(A123="","",IF(I123&gt;I122,M122-L123,M122))</f>
        <v/>
      </c>
      <c r="N123" s="169" t="str">
        <f aca="false">IF(A123="","",C123+J123)</f>
        <v/>
      </c>
      <c r="O123" s="169" t="str">
        <f aca="false">IF(A123="","",H123+M123)</f>
        <v/>
      </c>
    </row>
    <row r="124" customFormat="false" ht="15" hidden="false" customHeight="false" outlineLevel="0" collapsed="false">
      <c r="A124" s="168" t="str">
        <f aca="false">IF(OR(計算_償還開始="",ROWS($A$8:A124)&gt;計算_償還回数),"",ROWS($A$8:A124))</f>
        <v/>
      </c>
      <c r="B124" s="170" t="str">
        <f aca="false">IF(A124="","",EDATE(計算_償還開始,A124-1))</f>
        <v/>
      </c>
      <c r="C124" s="169" t="str">
        <f aca="false">IF(A124="","",IF(A124=計算_償還回数,D124+F123+G123,計算_毎月償還額))</f>
        <v/>
      </c>
      <c r="D124" s="169" t="str">
        <f aca="false">IF(A124="","",ROUND(F123*計算_利率/定数_年月数,0)+ROUND(G123*計算_利率_在宅介護/定数_年月数,0))</f>
        <v/>
      </c>
      <c r="E124" s="169" t="str">
        <f aca="false">IF(A124="","",C124-D124)</f>
        <v/>
      </c>
      <c r="F124" s="169" t="str">
        <f aca="false">IF(A124="","",IF(A124=計算_償還回数,0,MAX(0,F123-(ROUND(計算_月額_基本,0)-ROUND(F123*計算_利率/定数_年月数,0)))))</f>
        <v/>
      </c>
      <c r="G124" s="169" t="str">
        <f aca="false">IF(A124="","",IF(A124=計算_償還回数,0,MAX(0,G123-(ROUND(計算_月額_在宅介護,0)-ROUND(G123*計算_利率_在宅介護/定数_年月数,0)))))</f>
        <v/>
      </c>
      <c r="H124" s="169" t="str">
        <f aca="false">IF(A124="","",F124+G124)</f>
        <v/>
      </c>
      <c r="I124" s="168" t="str">
        <f aca="false">IF(A124="","",IF(AND(OR(MONTH(B124)=6,MONTH(B124)=12),I123&lt;計算_賞与回数),I123+1,I123))</f>
        <v/>
      </c>
      <c r="J124" s="169" t="str">
        <f aca="false">IF(A124="","",IF(I124&gt;I123,IF(I124=計算_賞与回数,M123+K124,計算_賞与償還額),0))</f>
        <v/>
      </c>
      <c r="K124" s="169" t="str">
        <f aca="false">IF(A124="","",IF(I124&gt;I123,ROUND(M123*計算_賞与期間利率,0),0))</f>
        <v/>
      </c>
      <c r="L124" s="169" t="str">
        <f aca="false">IF(A124="","",J124-K124)</f>
        <v/>
      </c>
      <c r="M124" s="169" t="str">
        <f aca="false">IF(A124="","",IF(I124&gt;I123,M123-L124,M123))</f>
        <v/>
      </c>
      <c r="N124" s="169" t="str">
        <f aca="false">IF(A124="","",C124+J124)</f>
        <v/>
      </c>
      <c r="O124" s="169" t="str">
        <f aca="false">IF(A124="","",H124+M124)</f>
        <v/>
      </c>
    </row>
    <row r="125" customFormat="false" ht="15" hidden="false" customHeight="false" outlineLevel="0" collapsed="false">
      <c r="A125" s="168" t="str">
        <f aca="false">IF(OR(計算_償還開始="",ROWS($A$8:A125)&gt;計算_償還回数),"",ROWS($A$8:A125))</f>
        <v/>
      </c>
      <c r="B125" s="170" t="str">
        <f aca="false">IF(A125="","",EDATE(計算_償還開始,A125-1))</f>
        <v/>
      </c>
      <c r="C125" s="169" t="str">
        <f aca="false">IF(A125="","",IF(A125=計算_償還回数,D125+F124+G124,計算_毎月償還額))</f>
        <v/>
      </c>
      <c r="D125" s="169" t="str">
        <f aca="false">IF(A125="","",ROUND(F124*計算_利率/定数_年月数,0)+ROUND(G124*計算_利率_在宅介護/定数_年月数,0))</f>
        <v/>
      </c>
      <c r="E125" s="169" t="str">
        <f aca="false">IF(A125="","",C125-D125)</f>
        <v/>
      </c>
      <c r="F125" s="169" t="str">
        <f aca="false">IF(A125="","",IF(A125=計算_償還回数,0,MAX(0,F124-(ROUND(計算_月額_基本,0)-ROUND(F124*計算_利率/定数_年月数,0)))))</f>
        <v/>
      </c>
      <c r="G125" s="169" t="str">
        <f aca="false">IF(A125="","",IF(A125=計算_償還回数,0,MAX(0,G124-(ROUND(計算_月額_在宅介護,0)-ROUND(G124*計算_利率_在宅介護/定数_年月数,0)))))</f>
        <v/>
      </c>
      <c r="H125" s="169" t="str">
        <f aca="false">IF(A125="","",F125+G125)</f>
        <v/>
      </c>
      <c r="I125" s="168" t="str">
        <f aca="false">IF(A125="","",IF(AND(OR(MONTH(B125)=6,MONTH(B125)=12),I124&lt;計算_賞与回数),I124+1,I124))</f>
        <v/>
      </c>
      <c r="J125" s="169" t="str">
        <f aca="false">IF(A125="","",IF(I125&gt;I124,IF(I125=計算_賞与回数,M124+K125,計算_賞与償還額),0))</f>
        <v/>
      </c>
      <c r="K125" s="169" t="str">
        <f aca="false">IF(A125="","",IF(I125&gt;I124,ROUND(M124*計算_賞与期間利率,0),0))</f>
        <v/>
      </c>
      <c r="L125" s="169" t="str">
        <f aca="false">IF(A125="","",J125-K125)</f>
        <v/>
      </c>
      <c r="M125" s="169" t="str">
        <f aca="false">IF(A125="","",IF(I125&gt;I124,M124-L125,M124))</f>
        <v/>
      </c>
      <c r="N125" s="169" t="str">
        <f aca="false">IF(A125="","",C125+J125)</f>
        <v/>
      </c>
      <c r="O125" s="169" t="str">
        <f aca="false">IF(A125="","",H125+M125)</f>
        <v/>
      </c>
    </row>
    <row r="126" customFormat="false" ht="15" hidden="false" customHeight="false" outlineLevel="0" collapsed="false">
      <c r="A126" s="168" t="str">
        <f aca="false">IF(OR(計算_償還開始="",ROWS($A$8:A126)&gt;計算_償還回数),"",ROWS($A$8:A126))</f>
        <v/>
      </c>
      <c r="B126" s="170" t="str">
        <f aca="false">IF(A126="","",EDATE(計算_償還開始,A126-1))</f>
        <v/>
      </c>
      <c r="C126" s="169" t="str">
        <f aca="false">IF(A126="","",IF(A126=計算_償還回数,D126+F125+G125,計算_毎月償還額))</f>
        <v/>
      </c>
      <c r="D126" s="169" t="str">
        <f aca="false">IF(A126="","",ROUND(F125*計算_利率/定数_年月数,0)+ROUND(G125*計算_利率_在宅介護/定数_年月数,0))</f>
        <v/>
      </c>
      <c r="E126" s="169" t="str">
        <f aca="false">IF(A126="","",C126-D126)</f>
        <v/>
      </c>
      <c r="F126" s="169" t="str">
        <f aca="false">IF(A126="","",IF(A126=計算_償還回数,0,MAX(0,F125-(ROUND(計算_月額_基本,0)-ROUND(F125*計算_利率/定数_年月数,0)))))</f>
        <v/>
      </c>
      <c r="G126" s="169" t="str">
        <f aca="false">IF(A126="","",IF(A126=計算_償還回数,0,MAX(0,G125-(ROUND(計算_月額_在宅介護,0)-ROUND(G125*計算_利率_在宅介護/定数_年月数,0)))))</f>
        <v/>
      </c>
      <c r="H126" s="169" t="str">
        <f aca="false">IF(A126="","",F126+G126)</f>
        <v/>
      </c>
      <c r="I126" s="168" t="str">
        <f aca="false">IF(A126="","",IF(AND(OR(MONTH(B126)=6,MONTH(B126)=12),I125&lt;計算_賞与回数),I125+1,I125))</f>
        <v/>
      </c>
      <c r="J126" s="169" t="str">
        <f aca="false">IF(A126="","",IF(I126&gt;I125,IF(I126=計算_賞与回数,M125+K126,計算_賞与償還額),0))</f>
        <v/>
      </c>
      <c r="K126" s="169" t="str">
        <f aca="false">IF(A126="","",IF(I126&gt;I125,ROUND(M125*計算_賞与期間利率,0),0))</f>
        <v/>
      </c>
      <c r="L126" s="169" t="str">
        <f aca="false">IF(A126="","",J126-K126)</f>
        <v/>
      </c>
      <c r="M126" s="169" t="str">
        <f aca="false">IF(A126="","",IF(I126&gt;I125,M125-L126,M125))</f>
        <v/>
      </c>
      <c r="N126" s="169" t="str">
        <f aca="false">IF(A126="","",C126+J126)</f>
        <v/>
      </c>
      <c r="O126" s="169" t="str">
        <f aca="false">IF(A126="","",H126+M126)</f>
        <v/>
      </c>
    </row>
    <row r="127" customFormat="false" ht="15" hidden="false" customHeight="false" outlineLevel="0" collapsed="false">
      <c r="A127" s="168" t="str">
        <f aca="false">IF(OR(計算_償還開始="",ROWS($A$8:A127)&gt;計算_償還回数),"",ROWS($A$8:A127))</f>
        <v/>
      </c>
      <c r="B127" s="170" t="str">
        <f aca="false">IF(A127="","",EDATE(計算_償還開始,A127-1))</f>
        <v/>
      </c>
      <c r="C127" s="169" t="str">
        <f aca="false">IF(A127="","",IF(A127=計算_償還回数,D127+F126+G126,計算_毎月償還額))</f>
        <v/>
      </c>
      <c r="D127" s="169" t="str">
        <f aca="false">IF(A127="","",ROUND(F126*計算_利率/定数_年月数,0)+ROUND(G126*計算_利率_在宅介護/定数_年月数,0))</f>
        <v/>
      </c>
      <c r="E127" s="169" t="str">
        <f aca="false">IF(A127="","",C127-D127)</f>
        <v/>
      </c>
      <c r="F127" s="169" t="str">
        <f aca="false">IF(A127="","",IF(A127=計算_償還回数,0,MAX(0,F126-(ROUND(計算_月額_基本,0)-ROUND(F126*計算_利率/定数_年月数,0)))))</f>
        <v/>
      </c>
      <c r="G127" s="169" t="str">
        <f aca="false">IF(A127="","",IF(A127=計算_償還回数,0,MAX(0,G126-(ROUND(計算_月額_在宅介護,0)-ROUND(G126*計算_利率_在宅介護/定数_年月数,0)))))</f>
        <v/>
      </c>
      <c r="H127" s="169" t="str">
        <f aca="false">IF(A127="","",F127+G127)</f>
        <v/>
      </c>
      <c r="I127" s="168" t="str">
        <f aca="false">IF(A127="","",IF(AND(OR(MONTH(B127)=6,MONTH(B127)=12),I126&lt;計算_賞与回数),I126+1,I126))</f>
        <v/>
      </c>
      <c r="J127" s="169" t="str">
        <f aca="false">IF(A127="","",IF(I127&gt;I126,IF(I127=計算_賞与回数,M126+K127,計算_賞与償還額),0))</f>
        <v/>
      </c>
      <c r="K127" s="169" t="str">
        <f aca="false">IF(A127="","",IF(I127&gt;I126,ROUND(M126*計算_賞与期間利率,0),0))</f>
        <v/>
      </c>
      <c r="L127" s="169" t="str">
        <f aca="false">IF(A127="","",J127-K127)</f>
        <v/>
      </c>
      <c r="M127" s="169" t="str">
        <f aca="false">IF(A127="","",IF(I127&gt;I126,M126-L127,M126))</f>
        <v/>
      </c>
      <c r="N127" s="169" t="str">
        <f aca="false">IF(A127="","",C127+J127)</f>
        <v/>
      </c>
      <c r="O127" s="169" t="str">
        <f aca="false">IF(A127="","",H127+M127)</f>
        <v/>
      </c>
    </row>
    <row r="128" customFormat="false" ht="15" hidden="false" customHeight="false" outlineLevel="0" collapsed="false">
      <c r="A128" s="168" t="str">
        <f aca="false">IF(OR(計算_償還開始="",ROWS($A$8:A128)&gt;計算_償還回数),"",ROWS($A$8:A128))</f>
        <v/>
      </c>
      <c r="B128" s="170" t="str">
        <f aca="false">IF(A128="","",EDATE(計算_償還開始,A128-1))</f>
        <v/>
      </c>
      <c r="C128" s="169" t="str">
        <f aca="false">IF(A128="","",IF(A128=計算_償還回数,D128+F127+G127,計算_毎月償還額))</f>
        <v/>
      </c>
      <c r="D128" s="169" t="str">
        <f aca="false">IF(A128="","",ROUND(F127*計算_利率/定数_年月数,0)+ROUND(G127*計算_利率_在宅介護/定数_年月数,0))</f>
        <v/>
      </c>
      <c r="E128" s="169" t="str">
        <f aca="false">IF(A128="","",C128-D128)</f>
        <v/>
      </c>
      <c r="F128" s="169" t="str">
        <f aca="false">IF(A128="","",IF(A128=計算_償還回数,0,MAX(0,F127-(ROUND(計算_月額_基本,0)-ROUND(F127*計算_利率/定数_年月数,0)))))</f>
        <v/>
      </c>
      <c r="G128" s="169" t="str">
        <f aca="false">IF(A128="","",IF(A128=計算_償還回数,0,MAX(0,G127-(ROUND(計算_月額_在宅介護,0)-ROUND(G127*計算_利率_在宅介護/定数_年月数,0)))))</f>
        <v/>
      </c>
      <c r="H128" s="169" t="str">
        <f aca="false">IF(A128="","",F128+G128)</f>
        <v/>
      </c>
      <c r="I128" s="168" t="str">
        <f aca="false">IF(A128="","",IF(AND(OR(MONTH(B128)=6,MONTH(B128)=12),I127&lt;計算_賞与回数),I127+1,I127))</f>
        <v/>
      </c>
      <c r="J128" s="169" t="str">
        <f aca="false">IF(A128="","",IF(I128&gt;I127,IF(I128=計算_賞与回数,M127+K128,計算_賞与償還額),0))</f>
        <v/>
      </c>
      <c r="K128" s="169" t="str">
        <f aca="false">IF(A128="","",IF(I128&gt;I127,ROUND(M127*計算_賞与期間利率,0),0))</f>
        <v/>
      </c>
      <c r="L128" s="169" t="str">
        <f aca="false">IF(A128="","",J128-K128)</f>
        <v/>
      </c>
      <c r="M128" s="169" t="str">
        <f aca="false">IF(A128="","",IF(I128&gt;I127,M127-L128,M127))</f>
        <v/>
      </c>
      <c r="N128" s="169" t="str">
        <f aca="false">IF(A128="","",C128+J128)</f>
        <v/>
      </c>
      <c r="O128" s="169" t="str">
        <f aca="false">IF(A128="","",H128+M128)</f>
        <v/>
      </c>
    </row>
    <row r="129" customFormat="false" ht="15" hidden="false" customHeight="false" outlineLevel="0" collapsed="false">
      <c r="A129" s="168" t="str">
        <f aca="false">IF(OR(計算_償還開始="",ROWS($A$8:A129)&gt;計算_償還回数),"",ROWS($A$8:A129))</f>
        <v/>
      </c>
      <c r="B129" s="170" t="str">
        <f aca="false">IF(A129="","",EDATE(計算_償還開始,A129-1))</f>
        <v/>
      </c>
      <c r="C129" s="169" t="str">
        <f aca="false">IF(A129="","",IF(A129=計算_償還回数,D129+F128+G128,計算_毎月償還額))</f>
        <v/>
      </c>
      <c r="D129" s="169" t="str">
        <f aca="false">IF(A129="","",ROUND(F128*計算_利率/定数_年月数,0)+ROUND(G128*計算_利率_在宅介護/定数_年月数,0))</f>
        <v/>
      </c>
      <c r="E129" s="169" t="str">
        <f aca="false">IF(A129="","",C129-D129)</f>
        <v/>
      </c>
      <c r="F129" s="169" t="str">
        <f aca="false">IF(A129="","",IF(A129=計算_償還回数,0,MAX(0,F128-(ROUND(計算_月額_基本,0)-ROUND(F128*計算_利率/定数_年月数,0)))))</f>
        <v/>
      </c>
      <c r="G129" s="169" t="str">
        <f aca="false">IF(A129="","",IF(A129=計算_償還回数,0,MAX(0,G128-(ROUND(計算_月額_在宅介護,0)-ROUND(G128*計算_利率_在宅介護/定数_年月数,0)))))</f>
        <v/>
      </c>
      <c r="H129" s="169" t="str">
        <f aca="false">IF(A129="","",F129+G129)</f>
        <v/>
      </c>
      <c r="I129" s="168" t="str">
        <f aca="false">IF(A129="","",IF(AND(OR(MONTH(B129)=6,MONTH(B129)=12),I128&lt;計算_賞与回数),I128+1,I128))</f>
        <v/>
      </c>
      <c r="J129" s="169" t="str">
        <f aca="false">IF(A129="","",IF(I129&gt;I128,IF(I129=計算_賞与回数,M128+K129,計算_賞与償還額),0))</f>
        <v/>
      </c>
      <c r="K129" s="169" t="str">
        <f aca="false">IF(A129="","",IF(I129&gt;I128,ROUND(M128*計算_賞与期間利率,0),0))</f>
        <v/>
      </c>
      <c r="L129" s="169" t="str">
        <f aca="false">IF(A129="","",J129-K129)</f>
        <v/>
      </c>
      <c r="M129" s="169" t="str">
        <f aca="false">IF(A129="","",IF(I129&gt;I128,M128-L129,M128))</f>
        <v/>
      </c>
      <c r="N129" s="169" t="str">
        <f aca="false">IF(A129="","",C129+J129)</f>
        <v/>
      </c>
      <c r="O129" s="169" t="str">
        <f aca="false">IF(A129="","",H129+M129)</f>
        <v/>
      </c>
    </row>
    <row r="130" customFormat="false" ht="15" hidden="false" customHeight="false" outlineLevel="0" collapsed="false">
      <c r="A130" s="168" t="str">
        <f aca="false">IF(OR(計算_償還開始="",ROWS($A$8:A130)&gt;計算_償還回数),"",ROWS($A$8:A130))</f>
        <v/>
      </c>
      <c r="B130" s="170" t="str">
        <f aca="false">IF(A130="","",EDATE(計算_償還開始,A130-1))</f>
        <v/>
      </c>
      <c r="C130" s="169" t="str">
        <f aca="false">IF(A130="","",IF(A130=計算_償還回数,D130+F129+G129,計算_毎月償還額))</f>
        <v/>
      </c>
      <c r="D130" s="169" t="str">
        <f aca="false">IF(A130="","",ROUND(F129*計算_利率/定数_年月数,0)+ROUND(G129*計算_利率_在宅介護/定数_年月数,0))</f>
        <v/>
      </c>
      <c r="E130" s="169" t="str">
        <f aca="false">IF(A130="","",C130-D130)</f>
        <v/>
      </c>
      <c r="F130" s="169" t="str">
        <f aca="false">IF(A130="","",IF(A130=計算_償還回数,0,MAX(0,F129-(ROUND(計算_月額_基本,0)-ROUND(F129*計算_利率/定数_年月数,0)))))</f>
        <v/>
      </c>
      <c r="G130" s="169" t="str">
        <f aca="false">IF(A130="","",IF(A130=計算_償還回数,0,MAX(0,G129-(ROUND(計算_月額_在宅介護,0)-ROUND(G129*計算_利率_在宅介護/定数_年月数,0)))))</f>
        <v/>
      </c>
      <c r="H130" s="169" t="str">
        <f aca="false">IF(A130="","",F130+G130)</f>
        <v/>
      </c>
      <c r="I130" s="168" t="str">
        <f aca="false">IF(A130="","",IF(AND(OR(MONTH(B130)=6,MONTH(B130)=12),I129&lt;計算_賞与回数),I129+1,I129))</f>
        <v/>
      </c>
      <c r="J130" s="169" t="str">
        <f aca="false">IF(A130="","",IF(I130&gt;I129,IF(I130=計算_賞与回数,M129+K130,計算_賞与償還額),0))</f>
        <v/>
      </c>
      <c r="K130" s="169" t="str">
        <f aca="false">IF(A130="","",IF(I130&gt;I129,ROUND(M129*計算_賞与期間利率,0),0))</f>
        <v/>
      </c>
      <c r="L130" s="169" t="str">
        <f aca="false">IF(A130="","",J130-K130)</f>
        <v/>
      </c>
      <c r="M130" s="169" t="str">
        <f aca="false">IF(A130="","",IF(I130&gt;I129,M129-L130,M129))</f>
        <v/>
      </c>
      <c r="N130" s="169" t="str">
        <f aca="false">IF(A130="","",C130+J130)</f>
        <v/>
      </c>
      <c r="O130" s="169" t="str">
        <f aca="false">IF(A130="","",H130+M130)</f>
        <v/>
      </c>
    </row>
    <row r="131" customFormat="false" ht="15" hidden="false" customHeight="false" outlineLevel="0" collapsed="false">
      <c r="A131" s="168" t="str">
        <f aca="false">IF(OR(計算_償還開始="",ROWS($A$8:A131)&gt;計算_償還回数),"",ROWS($A$8:A131))</f>
        <v/>
      </c>
      <c r="B131" s="170" t="str">
        <f aca="false">IF(A131="","",EDATE(計算_償還開始,A131-1))</f>
        <v/>
      </c>
      <c r="C131" s="169" t="str">
        <f aca="false">IF(A131="","",IF(A131=計算_償還回数,D131+F130+G130,計算_毎月償還額))</f>
        <v/>
      </c>
      <c r="D131" s="169" t="str">
        <f aca="false">IF(A131="","",ROUND(F130*計算_利率/定数_年月数,0)+ROUND(G130*計算_利率_在宅介護/定数_年月数,0))</f>
        <v/>
      </c>
      <c r="E131" s="169" t="str">
        <f aca="false">IF(A131="","",C131-D131)</f>
        <v/>
      </c>
      <c r="F131" s="169" t="str">
        <f aca="false">IF(A131="","",IF(A131=計算_償還回数,0,MAX(0,F130-(ROUND(計算_月額_基本,0)-ROUND(F130*計算_利率/定数_年月数,0)))))</f>
        <v/>
      </c>
      <c r="G131" s="169" t="str">
        <f aca="false">IF(A131="","",IF(A131=計算_償還回数,0,MAX(0,G130-(ROUND(計算_月額_在宅介護,0)-ROUND(G130*計算_利率_在宅介護/定数_年月数,0)))))</f>
        <v/>
      </c>
      <c r="H131" s="169" t="str">
        <f aca="false">IF(A131="","",F131+G131)</f>
        <v/>
      </c>
      <c r="I131" s="168" t="str">
        <f aca="false">IF(A131="","",IF(AND(OR(MONTH(B131)=6,MONTH(B131)=12),I130&lt;計算_賞与回数),I130+1,I130))</f>
        <v/>
      </c>
      <c r="J131" s="169" t="str">
        <f aca="false">IF(A131="","",IF(I131&gt;I130,IF(I131=計算_賞与回数,M130+K131,計算_賞与償還額),0))</f>
        <v/>
      </c>
      <c r="K131" s="169" t="str">
        <f aca="false">IF(A131="","",IF(I131&gt;I130,ROUND(M130*計算_賞与期間利率,0),0))</f>
        <v/>
      </c>
      <c r="L131" s="169" t="str">
        <f aca="false">IF(A131="","",J131-K131)</f>
        <v/>
      </c>
      <c r="M131" s="169" t="str">
        <f aca="false">IF(A131="","",IF(I131&gt;I130,M130-L131,M130))</f>
        <v/>
      </c>
      <c r="N131" s="169" t="str">
        <f aca="false">IF(A131="","",C131+J131)</f>
        <v/>
      </c>
      <c r="O131" s="169" t="str">
        <f aca="false">IF(A131="","",H131+M131)</f>
        <v/>
      </c>
    </row>
    <row r="132" customFormat="false" ht="15" hidden="false" customHeight="false" outlineLevel="0" collapsed="false">
      <c r="A132" s="168" t="str">
        <f aca="false">IF(OR(計算_償還開始="",ROWS($A$8:A132)&gt;計算_償還回数),"",ROWS($A$8:A132))</f>
        <v/>
      </c>
      <c r="B132" s="170" t="str">
        <f aca="false">IF(A132="","",EDATE(計算_償還開始,A132-1))</f>
        <v/>
      </c>
      <c r="C132" s="169" t="str">
        <f aca="false">IF(A132="","",IF(A132=計算_償還回数,D132+F131+G131,計算_毎月償還額))</f>
        <v/>
      </c>
      <c r="D132" s="169" t="str">
        <f aca="false">IF(A132="","",ROUND(F131*計算_利率/定数_年月数,0)+ROUND(G131*計算_利率_在宅介護/定数_年月数,0))</f>
        <v/>
      </c>
      <c r="E132" s="169" t="str">
        <f aca="false">IF(A132="","",C132-D132)</f>
        <v/>
      </c>
      <c r="F132" s="169" t="str">
        <f aca="false">IF(A132="","",IF(A132=計算_償還回数,0,MAX(0,F131-(ROUND(計算_月額_基本,0)-ROUND(F131*計算_利率/定数_年月数,0)))))</f>
        <v/>
      </c>
      <c r="G132" s="169" t="str">
        <f aca="false">IF(A132="","",IF(A132=計算_償還回数,0,MAX(0,G131-(ROUND(計算_月額_在宅介護,0)-ROUND(G131*計算_利率_在宅介護/定数_年月数,0)))))</f>
        <v/>
      </c>
      <c r="H132" s="169" t="str">
        <f aca="false">IF(A132="","",F132+G132)</f>
        <v/>
      </c>
      <c r="I132" s="168" t="str">
        <f aca="false">IF(A132="","",IF(AND(OR(MONTH(B132)=6,MONTH(B132)=12),I131&lt;計算_賞与回数),I131+1,I131))</f>
        <v/>
      </c>
      <c r="J132" s="169" t="str">
        <f aca="false">IF(A132="","",IF(I132&gt;I131,IF(I132=計算_賞与回数,M131+K132,計算_賞与償還額),0))</f>
        <v/>
      </c>
      <c r="K132" s="169" t="str">
        <f aca="false">IF(A132="","",IF(I132&gt;I131,ROUND(M131*計算_賞与期間利率,0),0))</f>
        <v/>
      </c>
      <c r="L132" s="169" t="str">
        <f aca="false">IF(A132="","",J132-K132)</f>
        <v/>
      </c>
      <c r="M132" s="169" t="str">
        <f aca="false">IF(A132="","",IF(I132&gt;I131,M131-L132,M131))</f>
        <v/>
      </c>
      <c r="N132" s="169" t="str">
        <f aca="false">IF(A132="","",C132+J132)</f>
        <v/>
      </c>
      <c r="O132" s="169" t="str">
        <f aca="false">IF(A132="","",H132+M132)</f>
        <v/>
      </c>
    </row>
    <row r="133" customFormat="false" ht="15" hidden="false" customHeight="false" outlineLevel="0" collapsed="false">
      <c r="A133" s="168" t="str">
        <f aca="false">IF(OR(計算_償還開始="",ROWS($A$8:A133)&gt;計算_償還回数),"",ROWS($A$8:A133))</f>
        <v/>
      </c>
      <c r="B133" s="170" t="str">
        <f aca="false">IF(A133="","",EDATE(計算_償還開始,A133-1))</f>
        <v/>
      </c>
      <c r="C133" s="169" t="str">
        <f aca="false">IF(A133="","",IF(A133=計算_償還回数,D133+F132+G132,計算_毎月償還額))</f>
        <v/>
      </c>
      <c r="D133" s="169" t="str">
        <f aca="false">IF(A133="","",ROUND(F132*計算_利率/定数_年月数,0)+ROUND(G132*計算_利率_在宅介護/定数_年月数,0))</f>
        <v/>
      </c>
      <c r="E133" s="169" t="str">
        <f aca="false">IF(A133="","",C133-D133)</f>
        <v/>
      </c>
      <c r="F133" s="169" t="str">
        <f aca="false">IF(A133="","",IF(A133=計算_償還回数,0,MAX(0,F132-(ROUND(計算_月額_基本,0)-ROUND(F132*計算_利率/定数_年月数,0)))))</f>
        <v/>
      </c>
      <c r="G133" s="169" t="str">
        <f aca="false">IF(A133="","",IF(A133=計算_償還回数,0,MAX(0,G132-(ROUND(計算_月額_在宅介護,0)-ROUND(G132*計算_利率_在宅介護/定数_年月数,0)))))</f>
        <v/>
      </c>
      <c r="H133" s="169" t="str">
        <f aca="false">IF(A133="","",F133+G133)</f>
        <v/>
      </c>
      <c r="I133" s="168" t="str">
        <f aca="false">IF(A133="","",IF(AND(OR(MONTH(B133)=6,MONTH(B133)=12),I132&lt;計算_賞与回数),I132+1,I132))</f>
        <v/>
      </c>
      <c r="J133" s="169" t="str">
        <f aca="false">IF(A133="","",IF(I133&gt;I132,IF(I133=計算_賞与回数,M132+K133,計算_賞与償還額),0))</f>
        <v/>
      </c>
      <c r="K133" s="169" t="str">
        <f aca="false">IF(A133="","",IF(I133&gt;I132,ROUND(M132*計算_賞与期間利率,0),0))</f>
        <v/>
      </c>
      <c r="L133" s="169" t="str">
        <f aca="false">IF(A133="","",J133-K133)</f>
        <v/>
      </c>
      <c r="M133" s="169" t="str">
        <f aca="false">IF(A133="","",IF(I133&gt;I132,M132-L133,M132))</f>
        <v/>
      </c>
      <c r="N133" s="169" t="str">
        <f aca="false">IF(A133="","",C133+J133)</f>
        <v/>
      </c>
      <c r="O133" s="169" t="str">
        <f aca="false">IF(A133="","",H133+M133)</f>
        <v/>
      </c>
    </row>
    <row r="134" customFormat="false" ht="15" hidden="false" customHeight="false" outlineLevel="0" collapsed="false">
      <c r="A134" s="168" t="str">
        <f aca="false">IF(OR(計算_償還開始="",ROWS($A$8:A134)&gt;計算_償還回数),"",ROWS($A$8:A134))</f>
        <v/>
      </c>
      <c r="B134" s="170" t="str">
        <f aca="false">IF(A134="","",EDATE(計算_償還開始,A134-1))</f>
        <v/>
      </c>
      <c r="C134" s="169" t="str">
        <f aca="false">IF(A134="","",IF(A134=計算_償還回数,D134+F133+G133,計算_毎月償還額))</f>
        <v/>
      </c>
      <c r="D134" s="169" t="str">
        <f aca="false">IF(A134="","",ROUND(F133*計算_利率/定数_年月数,0)+ROUND(G133*計算_利率_在宅介護/定数_年月数,0))</f>
        <v/>
      </c>
      <c r="E134" s="169" t="str">
        <f aca="false">IF(A134="","",C134-D134)</f>
        <v/>
      </c>
      <c r="F134" s="169" t="str">
        <f aca="false">IF(A134="","",IF(A134=計算_償還回数,0,MAX(0,F133-(ROUND(計算_月額_基本,0)-ROUND(F133*計算_利率/定数_年月数,0)))))</f>
        <v/>
      </c>
      <c r="G134" s="169" t="str">
        <f aca="false">IF(A134="","",IF(A134=計算_償還回数,0,MAX(0,G133-(ROUND(計算_月額_在宅介護,0)-ROUND(G133*計算_利率_在宅介護/定数_年月数,0)))))</f>
        <v/>
      </c>
      <c r="H134" s="169" t="str">
        <f aca="false">IF(A134="","",F134+G134)</f>
        <v/>
      </c>
      <c r="I134" s="168" t="str">
        <f aca="false">IF(A134="","",IF(AND(OR(MONTH(B134)=6,MONTH(B134)=12),I133&lt;計算_賞与回数),I133+1,I133))</f>
        <v/>
      </c>
      <c r="J134" s="169" t="str">
        <f aca="false">IF(A134="","",IF(I134&gt;I133,IF(I134=計算_賞与回数,M133+K134,計算_賞与償還額),0))</f>
        <v/>
      </c>
      <c r="K134" s="169" t="str">
        <f aca="false">IF(A134="","",IF(I134&gt;I133,ROUND(M133*計算_賞与期間利率,0),0))</f>
        <v/>
      </c>
      <c r="L134" s="169" t="str">
        <f aca="false">IF(A134="","",J134-K134)</f>
        <v/>
      </c>
      <c r="M134" s="169" t="str">
        <f aca="false">IF(A134="","",IF(I134&gt;I133,M133-L134,M133))</f>
        <v/>
      </c>
      <c r="N134" s="169" t="str">
        <f aca="false">IF(A134="","",C134+J134)</f>
        <v/>
      </c>
      <c r="O134" s="169" t="str">
        <f aca="false">IF(A134="","",H134+M134)</f>
        <v/>
      </c>
    </row>
    <row r="135" customFormat="false" ht="15" hidden="false" customHeight="false" outlineLevel="0" collapsed="false">
      <c r="A135" s="168" t="str">
        <f aca="false">IF(OR(計算_償還開始="",ROWS($A$8:A135)&gt;計算_償還回数),"",ROWS($A$8:A135))</f>
        <v/>
      </c>
      <c r="B135" s="170" t="str">
        <f aca="false">IF(A135="","",EDATE(計算_償還開始,A135-1))</f>
        <v/>
      </c>
      <c r="C135" s="169" t="str">
        <f aca="false">IF(A135="","",IF(A135=計算_償還回数,D135+F134+G134,計算_毎月償還額))</f>
        <v/>
      </c>
      <c r="D135" s="169" t="str">
        <f aca="false">IF(A135="","",ROUND(F134*計算_利率/定数_年月数,0)+ROUND(G134*計算_利率_在宅介護/定数_年月数,0))</f>
        <v/>
      </c>
      <c r="E135" s="169" t="str">
        <f aca="false">IF(A135="","",C135-D135)</f>
        <v/>
      </c>
      <c r="F135" s="169" t="str">
        <f aca="false">IF(A135="","",IF(A135=計算_償還回数,0,MAX(0,F134-(ROUND(計算_月額_基本,0)-ROUND(F134*計算_利率/定数_年月数,0)))))</f>
        <v/>
      </c>
      <c r="G135" s="169" t="str">
        <f aca="false">IF(A135="","",IF(A135=計算_償還回数,0,MAX(0,G134-(ROUND(計算_月額_在宅介護,0)-ROUND(G134*計算_利率_在宅介護/定数_年月数,0)))))</f>
        <v/>
      </c>
      <c r="H135" s="169" t="str">
        <f aca="false">IF(A135="","",F135+G135)</f>
        <v/>
      </c>
      <c r="I135" s="168" t="str">
        <f aca="false">IF(A135="","",IF(AND(OR(MONTH(B135)=6,MONTH(B135)=12),I134&lt;計算_賞与回数),I134+1,I134))</f>
        <v/>
      </c>
      <c r="J135" s="169" t="str">
        <f aca="false">IF(A135="","",IF(I135&gt;I134,IF(I135=計算_賞与回数,M134+K135,計算_賞与償還額),0))</f>
        <v/>
      </c>
      <c r="K135" s="169" t="str">
        <f aca="false">IF(A135="","",IF(I135&gt;I134,ROUND(M134*計算_賞与期間利率,0),0))</f>
        <v/>
      </c>
      <c r="L135" s="169" t="str">
        <f aca="false">IF(A135="","",J135-K135)</f>
        <v/>
      </c>
      <c r="M135" s="169" t="str">
        <f aca="false">IF(A135="","",IF(I135&gt;I134,M134-L135,M134))</f>
        <v/>
      </c>
      <c r="N135" s="169" t="str">
        <f aca="false">IF(A135="","",C135+J135)</f>
        <v/>
      </c>
      <c r="O135" s="169" t="str">
        <f aca="false">IF(A135="","",H135+M135)</f>
        <v/>
      </c>
    </row>
    <row r="136" customFormat="false" ht="15" hidden="false" customHeight="false" outlineLevel="0" collapsed="false">
      <c r="A136" s="168" t="str">
        <f aca="false">IF(OR(計算_償還開始="",ROWS($A$8:A136)&gt;計算_償還回数),"",ROWS($A$8:A136))</f>
        <v/>
      </c>
      <c r="B136" s="170" t="str">
        <f aca="false">IF(A136="","",EDATE(計算_償還開始,A136-1))</f>
        <v/>
      </c>
      <c r="C136" s="169" t="str">
        <f aca="false">IF(A136="","",IF(A136=計算_償還回数,D136+F135+G135,計算_毎月償還額))</f>
        <v/>
      </c>
      <c r="D136" s="169" t="str">
        <f aca="false">IF(A136="","",ROUND(F135*計算_利率/定数_年月数,0)+ROUND(G135*計算_利率_在宅介護/定数_年月数,0))</f>
        <v/>
      </c>
      <c r="E136" s="169" t="str">
        <f aca="false">IF(A136="","",C136-D136)</f>
        <v/>
      </c>
      <c r="F136" s="169" t="str">
        <f aca="false">IF(A136="","",IF(A136=計算_償還回数,0,MAX(0,F135-(ROUND(計算_月額_基本,0)-ROUND(F135*計算_利率/定数_年月数,0)))))</f>
        <v/>
      </c>
      <c r="G136" s="169" t="str">
        <f aca="false">IF(A136="","",IF(A136=計算_償還回数,0,MAX(0,G135-(ROUND(計算_月額_在宅介護,0)-ROUND(G135*計算_利率_在宅介護/定数_年月数,0)))))</f>
        <v/>
      </c>
      <c r="H136" s="169" t="str">
        <f aca="false">IF(A136="","",F136+G136)</f>
        <v/>
      </c>
      <c r="I136" s="168" t="str">
        <f aca="false">IF(A136="","",IF(AND(OR(MONTH(B136)=6,MONTH(B136)=12),I135&lt;計算_賞与回数),I135+1,I135))</f>
        <v/>
      </c>
      <c r="J136" s="169" t="str">
        <f aca="false">IF(A136="","",IF(I136&gt;I135,IF(I136=計算_賞与回数,M135+K136,計算_賞与償還額),0))</f>
        <v/>
      </c>
      <c r="K136" s="169" t="str">
        <f aca="false">IF(A136="","",IF(I136&gt;I135,ROUND(M135*計算_賞与期間利率,0),0))</f>
        <v/>
      </c>
      <c r="L136" s="169" t="str">
        <f aca="false">IF(A136="","",J136-K136)</f>
        <v/>
      </c>
      <c r="M136" s="169" t="str">
        <f aca="false">IF(A136="","",IF(I136&gt;I135,M135-L136,M135))</f>
        <v/>
      </c>
      <c r="N136" s="169" t="str">
        <f aca="false">IF(A136="","",C136+J136)</f>
        <v/>
      </c>
      <c r="O136" s="169" t="str">
        <f aca="false">IF(A136="","",H136+M136)</f>
        <v/>
      </c>
    </row>
    <row r="137" customFormat="false" ht="15" hidden="false" customHeight="false" outlineLevel="0" collapsed="false">
      <c r="A137" s="168" t="str">
        <f aca="false">IF(OR(計算_償還開始="",ROWS($A$8:A137)&gt;計算_償還回数),"",ROWS($A$8:A137))</f>
        <v/>
      </c>
      <c r="B137" s="170" t="str">
        <f aca="false">IF(A137="","",EDATE(計算_償還開始,A137-1))</f>
        <v/>
      </c>
      <c r="C137" s="169" t="str">
        <f aca="false">IF(A137="","",IF(A137=計算_償還回数,D137+F136+G136,計算_毎月償還額))</f>
        <v/>
      </c>
      <c r="D137" s="169" t="str">
        <f aca="false">IF(A137="","",ROUND(F136*計算_利率/定数_年月数,0)+ROUND(G136*計算_利率_在宅介護/定数_年月数,0))</f>
        <v/>
      </c>
      <c r="E137" s="169" t="str">
        <f aca="false">IF(A137="","",C137-D137)</f>
        <v/>
      </c>
      <c r="F137" s="169" t="str">
        <f aca="false">IF(A137="","",IF(A137=計算_償還回数,0,MAX(0,F136-(ROUND(計算_月額_基本,0)-ROUND(F136*計算_利率/定数_年月数,0)))))</f>
        <v/>
      </c>
      <c r="G137" s="169" t="str">
        <f aca="false">IF(A137="","",IF(A137=計算_償還回数,0,MAX(0,G136-(ROUND(計算_月額_在宅介護,0)-ROUND(G136*計算_利率_在宅介護/定数_年月数,0)))))</f>
        <v/>
      </c>
      <c r="H137" s="169" t="str">
        <f aca="false">IF(A137="","",F137+G137)</f>
        <v/>
      </c>
      <c r="I137" s="168" t="str">
        <f aca="false">IF(A137="","",IF(AND(OR(MONTH(B137)=6,MONTH(B137)=12),I136&lt;計算_賞与回数),I136+1,I136))</f>
        <v/>
      </c>
      <c r="J137" s="169" t="str">
        <f aca="false">IF(A137="","",IF(I137&gt;I136,IF(I137=計算_賞与回数,M136+K137,計算_賞与償還額),0))</f>
        <v/>
      </c>
      <c r="K137" s="169" t="str">
        <f aca="false">IF(A137="","",IF(I137&gt;I136,ROUND(M136*計算_賞与期間利率,0),0))</f>
        <v/>
      </c>
      <c r="L137" s="169" t="str">
        <f aca="false">IF(A137="","",J137-K137)</f>
        <v/>
      </c>
      <c r="M137" s="169" t="str">
        <f aca="false">IF(A137="","",IF(I137&gt;I136,M136-L137,M136))</f>
        <v/>
      </c>
      <c r="N137" s="169" t="str">
        <f aca="false">IF(A137="","",C137+J137)</f>
        <v/>
      </c>
      <c r="O137" s="169" t="str">
        <f aca="false">IF(A137="","",H137+M137)</f>
        <v/>
      </c>
    </row>
    <row r="138" customFormat="false" ht="15" hidden="false" customHeight="false" outlineLevel="0" collapsed="false">
      <c r="A138" s="168" t="str">
        <f aca="false">IF(OR(計算_償還開始="",ROWS($A$8:A138)&gt;計算_償還回数),"",ROWS($A$8:A138))</f>
        <v/>
      </c>
      <c r="B138" s="170" t="str">
        <f aca="false">IF(A138="","",EDATE(計算_償還開始,A138-1))</f>
        <v/>
      </c>
      <c r="C138" s="169" t="str">
        <f aca="false">IF(A138="","",IF(A138=計算_償還回数,D138+F137+G137,計算_毎月償還額))</f>
        <v/>
      </c>
      <c r="D138" s="169" t="str">
        <f aca="false">IF(A138="","",ROUND(F137*計算_利率/定数_年月数,0)+ROUND(G137*計算_利率_在宅介護/定数_年月数,0))</f>
        <v/>
      </c>
      <c r="E138" s="169" t="str">
        <f aca="false">IF(A138="","",C138-D138)</f>
        <v/>
      </c>
      <c r="F138" s="169" t="str">
        <f aca="false">IF(A138="","",IF(A138=計算_償還回数,0,MAX(0,F137-(ROUND(計算_月額_基本,0)-ROUND(F137*計算_利率/定数_年月数,0)))))</f>
        <v/>
      </c>
      <c r="G138" s="169" t="str">
        <f aca="false">IF(A138="","",IF(A138=計算_償還回数,0,MAX(0,G137-(ROUND(計算_月額_在宅介護,0)-ROUND(G137*計算_利率_在宅介護/定数_年月数,0)))))</f>
        <v/>
      </c>
      <c r="H138" s="169" t="str">
        <f aca="false">IF(A138="","",F138+G138)</f>
        <v/>
      </c>
      <c r="I138" s="168" t="str">
        <f aca="false">IF(A138="","",IF(AND(OR(MONTH(B138)=6,MONTH(B138)=12),I137&lt;計算_賞与回数),I137+1,I137))</f>
        <v/>
      </c>
      <c r="J138" s="169" t="str">
        <f aca="false">IF(A138="","",IF(I138&gt;I137,IF(I138=計算_賞与回数,M137+K138,計算_賞与償還額),0))</f>
        <v/>
      </c>
      <c r="K138" s="169" t="str">
        <f aca="false">IF(A138="","",IF(I138&gt;I137,ROUND(M137*計算_賞与期間利率,0),0))</f>
        <v/>
      </c>
      <c r="L138" s="169" t="str">
        <f aca="false">IF(A138="","",J138-K138)</f>
        <v/>
      </c>
      <c r="M138" s="169" t="str">
        <f aca="false">IF(A138="","",IF(I138&gt;I137,M137-L138,M137))</f>
        <v/>
      </c>
      <c r="N138" s="169" t="str">
        <f aca="false">IF(A138="","",C138+J138)</f>
        <v/>
      </c>
      <c r="O138" s="169" t="str">
        <f aca="false">IF(A138="","",H138+M138)</f>
        <v/>
      </c>
    </row>
    <row r="139" customFormat="false" ht="15" hidden="false" customHeight="false" outlineLevel="0" collapsed="false">
      <c r="A139" s="168" t="str">
        <f aca="false">IF(OR(計算_償還開始="",ROWS($A$8:A139)&gt;計算_償還回数),"",ROWS($A$8:A139))</f>
        <v/>
      </c>
      <c r="B139" s="170" t="str">
        <f aca="false">IF(A139="","",EDATE(計算_償還開始,A139-1))</f>
        <v/>
      </c>
      <c r="C139" s="169" t="str">
        <f aca="false">IF(A139="","",IF(A139=計算_償還回数,D139+F138+G138,計算_毎月償還額))</f>
        <v/>
      </c>
      <c r="D139" s="169" t="str">
        <f aca="false">IF(A139="","",ROUND(F138*計算_利率/定数_年月数,0)+ROUND(G138*計算_利率_在宅介護/定数_年月数,0))</f>
        <v/>
      </c>
      <c r="E139" s="169" t="str">
        <f aca="false">IF(A139="","",C139-D139)</f>
        <v/>
      </c>
      <c r="F139" s="169" t="str">
        <f aca="false">IF(A139="","",IF(A139=計算_償還回数,0,MAX(0,F138-(ROUND(計算_月額_基本,0)-ROUND(F138*計算_利率/定数_年月数,0)))))</f>
        <v/>
      </c>
      <c r="G139" s="169" t="str">
        <f aca="false">IF(A139="","",IF(A139=計算_償還回数,0,MAX(0,G138-(ROUND(計算_月額_在宅介護,0)-ROUND(G138*計算_利率_在宅介護/定数_年月数,0)))))</f>
        <v/>
      </c>
      <c r="H139" s="169" t="str">
        <f aca="false">IF(A139="","",F139+G139)</f>
        <v/>
      </c>
      <c r="I139" s="168" t="str">
        <f aca="false">IF(A139="","",IF(AND(OR(MONTH(B139)=6,MONTH(B139)=12),I138&lt;計算_賞与回数),I138+1,I138))</f>
        <v/>
      </c>
      <c r="J139" s="169" t="str">
        <f aca="false">IF(A139="","",IF(I139&gt;I138,IF(I139=計算_賞与回数,M138+K139,計算_賞与償還額),0))</f>
        <v/>
      </c>
      <c r="K139" s="169" t="str">
        <f aca="false">IF(A139="","",IF(I139&gt;I138,ROUND(M138*計算_賞与期間利率,0),0))</f>
        <v/>
      </c>
      <c r="L139" s="169" t="str">
        <f aca="false">IF(A139="","",J139-K139)</f>
        <v/>
      </c>
      <c r="M139" s="169" t="str">
        <f aca="false">IF(A139="","",IF(I139&gt;I138,M138-L139,M138))</f>
        <v/>
      </c>
      <c r="N139" s="169" t="str">
        <f aca="false">IF(A139="","",C139+J139)</f>
        <v/>
      </c>
      <c r="O139" s="169" t="str">
        <f aca="false">IF(A139="","",H139+M139)</f>
        <v/>
      </c>
    </row>
    <row r="140" customFormat="false" ht="15" hidden="false" customHeight="false" outlineLevel="0" collapsed="false">
      <c r="A140" s="168" t="str">
        <f aca="false">IF(OR(計算_償還開始="",ROWS($A$8:A140)&gt;計算_償還回数),"",ROWS($A$8:A140))</f>
        <v/>
      </c>
      <c r="B140" s="170" t="str">
        <f aca="false">IF(A140="","",EDATE(計算_償還開始,A140-1))</f>
        <v/>
      </c>
      <c r="C140" s="169" t="str">
        <f aca="false">IF(A140="","",IF(A140=計算_償還回数,D140+F139+G139,計算_毎月償還額))</f>
        <v/>
      </c>
      <c r="D140" s="169" t="str">
        <f aca="false">IF(A140="","",ROUND(F139*計算_利率/定数_年月数,0)+ROUND(G139*計算_利率_在宅介護/定数_年月数,0))</f>
        <v/>
      </c>
      <c r="E140" s="169" t="str">
        <f aca="false">IF(A140="","",C140-D140)</f>
        <v/>
      </c>
      <c r="F140" s="169" t="str">
        <f aca="false">IF(A140="","",IF(A140=計算_償還回数,0,MAX(0,F139-(ROUND(計算_月額_基本,0)-ROUND(F139*計算_利率/定数_年月数,0)))))</f>
        <v/>
      </c>
      <c r="G140" s="169" t="str">
        <f aca="false">IF(A140="","",IF(A140=計算_償還回数,0,MAX(0,G139-(ROUND(計算_月額_在宅介護,0)-ROUND(G139*計算_利率_在宅介護/定数_年月数,0)))))</f>
        <v/>
      </c>
      <c r="H140" s="169" t="str">
        <f aca="false">IF(A140="","",F140+G140)</f>
        <v/>
      </c>
      <c r="I140" s="168" t="str">
        <f aca="false">IF(A140="","",IF(AND(OR(MONTH(B140)=6,MONTH(B140)=12),I139&lt;計算_賞与回数),I139+1,I139))</f>
        <v/>
      </c>
      <c r="J140" s="169" t="str">
        <f aca="false">IF(A140="","",IF(I140&gt;I139,IF(I140=計算_賞与回数,M139+K140,計算_賞与償還額),0))</f>
        <v/>
      </c>
      <c r="K140" s="169" t="str">
        <f aca="false">IF(A140="","",IF(I140&gt;I139,ROUND(M139*計算_賞与期間利率,0),0))</f>
        <v/>
      </c>
      <c r="L140" s="169" t="str">
        <f aca="false">IF(A140="","",J140-K140)</f>
        <v/>
      </c>
      <c r="M140" s="169" t="str">
        <f aca="false">IF(A140="","",IF(I140&gt;I139,M139-L140,M139))</f>
        <v/>
      </c>
      <c r="N140" s="169" t="str">
        <f aca="false">IF(A140="","",C140+J140)</f>
        <v/>
      </c>
      <c r="O140" s="169" t="str">
        <f aca="false">IF(A140="","",H140+M140)</f>
        <v/>
      </c>
    </row>
    <row r="141" customFormat="false" ht="15" hidden="false" customHeight="false" outlineLevel="0" collapsed="false">
      <c r="A141" s="168" t="str">
        <f aca="false">IF(OR(計算_償還開始="",ROWS($A$8:A141)&gt;計算_償還回数),"",ROWS($A$8:A141))</f>
        <v/>
      </c>
      <c r="B141" s="170" t="str">
        <f aca="false">IF(A141="","",EDATE(計算_償還開始,A141-1))</f>
        <v/>
      </c>
      <c r="C141" s="169" t="str">
        <f aca="false">IF(A141="","",IF(A141=計算_償還回数,D141+F140+G140,計算_毎月償還額))</f>
        <v/>
      </c>
      <c r="D141" s="169" t="str">
        <f aca="false">IF(A141="","",ROUND(F140*計算_利率/定数_年月数,0)+ROUND(G140*計算_利率_在宅介護/定数_年月数,0))</f>
        <v/>
      </c>
      <c r="E141" s="169" t="str">
        <f aca="false">IF(A141="","",C141-D141)</f>
        <v/>
      </c>
      <c r="F141" s="169" t="str">
        <f aca="false">IF(A141="","",IF(A141=計算_償還回数,0,MAX(0,F140-(ROUND(計算_月額_基本,0)-ROUND(F140*計算_利率/定数_年月数,0)))))</f>
        <v/>
      </c>
      <c r="G141" s="169" t="str">
        <f aca="false">IF(A141="","",IF(A141=計算_償還回数,0,MAX(0,G140-(ROUND(計算_月額_在宅介護,0)-ROUND(G140*計算_利率_在宅介護/定数_年月数,0)))))</f>
        <v/>
      </c>
      <c r="H141" s="169" t="str">
        <f aca="false">IF(A141="","",F141+G141)</f>
        <v/>
      </c>
      <c r="I141" s="168" t="str">
        <f aca="false">IF(A141="","",IF(AND(OR(MONTH(B141)=6,MONTH(B141)=12),I140&lt;計算_賞与回数),I140+1,I140))</f>
        <v/>
      </c>
      <c r="J141" s="169" t="str">
        <f aca="false">IF(A141="","",IF(I141&gt;I140,IF(I141=計算_賞与回数,M140+K141,計算_賞与償還額),0))</f>
        <v/>
      </c>
      <c r="K141" s="169" t="str">
        <f aca="false">IF(A141="","",IF(I141&gt;I140,ROUND(M140*計算_賞与期間利率,0),0))</f>
        <v/>
      </c>
      <c r="L141" s="169" t="str">
        <f aca="false">IF(A141="","",J141-K141)</f>
        <v/>
      </c>
      <c r="M141" s="169" t="str">
        <f aca="false">IF(A141="","",IF(I141&gt;I140,M140-L141,M140))</f>
        <v/>
      </c>
      <c r="N141" s="169" t="str">
        <f aca="false">IF(A141="","",C141+J141)</f>
        <v/>
      </c>
      <c r="O141" s="169" t="str">
        <f aca="false">IF(A141="","",H141+M141)</f>
        <v/>
      </c>
    </row>
    <row r="142" customFormat="false" ht="15" hidden="false" customHeight="false" outlineLevel="0" collapsed="false">
      <c r="A142" s="168" t="str">
        <f aca="false">IF(OR(計算_償還開始="",ROWS($A$8:A142)&gt;計算_償還回数),"",ROWS($A$8:A142))</f>
        <v/>
      </c>
      <c r="B142" s="170" t="str">
        <f aca="false">IF(A142="","",EDATE(計算_償還開始,A142-1))</f>
        <v/>
      </c>
      <c r="C142" s="169" t="str">
        <f aca="false">IF(A142="","",IF(A142=計算_償還回数,D142+F141+G141,計算_毎月償還額))</f>
        <v/>
      </c>
      <c r="D142" s="169" t="str">
        <f aca="false">IF(A142="","",ROUND(F141*計算_利率/定数_年月数,0)+ROUND(G141*計算_利率_在宅介護/定数_年月数,0))</f>
        <v/>
      </c>
      <c r="E142" s="169" t="str">
        <f aca="false">IF(A142="","",C142-D142)</f>
        <v/>
      </c>
      <c r="F142" s="169" t="str">
        <f aca="false">IF(A142="","",IF(A142=計算_償還回数,0,MAX(0,F141-(ROUND(計算_月額_基本,0)-ROUND(F141*計算_利率/定数_年月数,0)))))</f>
        <v/>
      </c>
      <c r="G142" s="169" t="str">
        <f aca="false">IF(A142="","",IF(A142=計算_償還回数,0,MAX(0,G141-(ROUND(計算_月額_在宅介護,0)-ROUND(G141*計算_利率_在宅介護/定数_年月数,0)))))</f>
        <v/>
      </c>
      <c r="H142" s="169" t="str">
        <f aca="false">IF(A142="","",F142+G142)</f>
        <v/>
      </c>
      <c r="I142" s="168" t="str">
        <f aca="false">IF(A142="","",IF(AND(OR(MONTH(B142)=6,MONTH(B142)=12),I141&lt;計算_賞与回数),I141+1,I141))</f>
        <v/>
      </c>
      <c r="J142" s="169" t="str">
        <f aca="false">IF(A142="","",IF(I142&gt;I141,IF(I142=計算_賞与回数,M141+K142,計算_賞与償還額),0))</f>
        <v/>
      </c>
      <c r="K142" s="169" t="str">
        <f aca="false">IF(A142="","",IF(I142&gt;I141,ROUND(M141*計算_賞与期間利率,0),0))</f>
        <v/>
      </c>
      <c r="L142" s="169" t="str">
        <f aca="false">IF(A142="","",J142-K142)</f>
        <v/>
      </c>
      <c r="M142" s="169" t="str">
        <f aca="false">IF(A142="","",IF(I142&gt;I141,M141-L142,M141))</f>
        <v/>
      </c>
      <c r="N142" s="169" t="str">
        <f aca="false">IF(A142="","",C142+J142)</f>
        <v/>
      </c>
      <c r="O142" s="169" t="str">
        <f aca="false">IF(A142="","",H142+M142)</f>
        <v/>
      </c>
    </row>
    <row r="143" customFormat="false" ht="15" hidden="false" customHeight="false" outlineLevel="0" collapsed="false">
      <c r="A143" s="168" t="str">
        <f aca="false">IF(OR(計算_償還開始="",ROWS($A$8:A143)&gt;計算_償還回数),"",ROWS($A$8:A143))</f>
        <v/>
      </c>
      <c r="B143" s="170" t="str">
        <f aca="false">IF(A143="","",EDATE(計算_償還開始,A143-1))</f>
        <v/>
      </c>
      <c r="C143" s="169" t="str">
        <f aca="false">IF(A143="","",IF(A143=計算_償還回数,D143+F142+G142,計算_毎月償還額))</f>
        <v/>
      </c>
      <c r="D143" s="169" t="str">
        <f aca="false">IF(A143="","",ROUND(F142*計算_利率/定数_年月数,0)+ROUND(G142*計算_利率_在宅介護/定数_年月数,0))</f>
        <v/>
      </c>
      <c r="E143" s="169" t="str">
        <f aca="false">IF(A143="","",C143-D143)</f>
        <v/>
      </c>
      <c r="F143" s="169" t="str">
        <f aca="false">IF(A143="","",IF(A143=計算_償還回数,0,MAX(0,F142-(ROUND(計算_月額_基本,0)-ROUND(F142*計算_利率/定数_年月数,0)))))</f>
        <v/>
      </c>
      <c r="G143" s="169" t="str">
        <f aca="false">IF(A143="","",IF(A143=計算_償還回数,0,MAX(0,G142-(ROUND(計算_月額_在宅介護,0)-ROUND(G142*計算_利率_在宅介護/定数_年月数,0)))))</f>
        <v/>
      </c>
      <c r="H143" s="169" t="str">
        <f aca="false">IF(A143="","",F143+G143)</f>
        <v/>
      </c>
      <c r="I143" s="168" t="str">
        <f aca="false">IF(A143="","",IF(AND(OR(MONTH(B143)=6,MONTH(B143)=12),I142&lt;計算_賞与回数),I142+1,I142))</f>
        <v/>
      </c>
      <c r="J143" s="169" t="str">
        <f aca="false">IF(A143="","",IF(I143&gt;I142,IF(I143=計算_賞与回数,M142+K143,計算_賞与償還額),0))</f>
        <v/>
      </c>
      <c r="K143" s="169" t="str">
        <f aca="false">IF(A143="","",IF(I143&gt;I142,ROUND(M142*計算_賞与期間利率,0),0))</f>
        <v/>
      </c>
      <c r="L143" s="169" t="str">
        <f aca="false">IF(A143="","",J143-K143)</f>
        <v/>
      </c>
      <c r="M143" s="169" t="str">
        <f aca="false">IF(A143="","",IF(I143&gt;I142,M142-L143,M142))</f>
        <v/>
      </c>
      <c r="N143" s="169" t="str">
        <f aca="false">IF(A143="","",C143+J143)</f>
        <v/>
      </c>
      <c r="O143" s="169" t="str">
        <f aca="false">IF(A143="","",H143+M143)</f>
        <v/>
      </c>
    </row>
    <row r="144" customFormat="false" ht="15" hidden="false" customHeight="false" outlineLevel="0" collapsed="false">
      <c r="A144" s="168" t="str">
        <f aca="false">IF(OR(計算_償還開始="",ROWS($A$8:A144)&gt;計算_償還回数),"",ROWS($A$8:A144))</f>
        <v/>
      </c>
      <c r="B144" s="170" t="str">
        <f aca="false">IF(A144="","",EDATE(計算_償還開始,A144-1))</f>
        <v/>
      </c>
      <c r="C144" s="169" t="str">
        <f aca="false">IF(A144="","",IF(A144=計算_償還回数,D144+F143+G143,計算_毎月償還額))</f>
        <v/>
      </c>
      <c r="D144" s="169" t="str">
        <f aca="false">IF(A144="","",ROUND(F143*計算_利率/定数_年月数,0)+ROUND(G143*計算_利率_在宅介護/定数_年月数,0))</f>
        <v/>
      </c>
      <c r="E144" s="169" t="str">
        <f aca="false">IF(A144="","",C144-D144)</f>
        <v/>
      </c>
      <c r="F144" s="169" t="str">
        <f aca="false">IF(A144="","",IF(A144=計算_償還回数,0,MAX(0,F143-(ROUND(計算_月額_基本,0)-ROUND(F143*計算_利率/定数_年月数,0)))))</f>
        <v/>
      </c>
      <c r="G144" s="169" t="str">
        <f aca="false">IF(A144="","",IF(A144=計算_償還回数,0,MAX(0,G143-(ROUND(計算_月額_在宅介護,0)-ROUND(G143*計算_利率_在宅介護/定数_年月数,0)))))</f>
        <v/>
      </c>
      <c r="H144" s="169" t="str">
        <f aca="false">IF(A144="","",F144+G144)</f>
        <v/>
      </c>
      <c r="I144" s="168" t="str">
        <f aca="false">IF(A144="","",IF(AND(OR(MONTH(B144)=6,MONTH(B144)=12),I143&lt;計算_賞与回数),I143+1,I143))</f>
        <v/>
      </c>
      <c r="J144" s="169" t="str">
        <f aca="false">IF(A144="","",IF(I144&gt;I143,IF(I144=計算_賞与回数,M143+K144,計算_賞与償還額),0))</f>
        <v/>
      </c>
      <c r="K144" s="169" t="str">
        <f aca="false">IF(A144="","",IF(I144&gt;I143,ROUND(M143*計算_賞与期間利率,0),0))</f>
        <v/>
      </c>
      <c r="L144" s="169" t="str">
        <f aca="false">IF(A144="","",J144-K144)</f>
        <v/>
      </c>
      <c r="M144" s="169" t="str">
        <f aca="false">IF(A144="","",IF(I144&gt;I143,M143-L144,M143))</f>
        <v/>
      </c>
      <c r="N144" s="169" t="str">
        <f aca="false">IF(A144="","",C144+J144)</f>
        <v/>
      </c>
      <c r="O144" s="169" t="str">
        <f aca="false">IF(A144="","",H144+M144)</f>
        <v/>
      </c>
    </row>
    <row r="145" customFormat="false" ht="15" hidden="false" customHeight="false" outlineLevel="0" collapsed="false">
      <c r="A145" s="168" t="str">
        <f aca="false">IF(OR(計算_償還開始="",ROWS($A$8:A145)&gt;計算_償還回数),"",ROWS($A$8:A145))</f>
        <v/>
      </c>
      <c r="B145" s="170" t="str">
        <f aca="false">IF(A145="","",EDATE(計算_償還開始,A145-1))</f>
        <v/>
      </c>
      <c r="C145" s="169" t="str">
        <f aca="false">IF(A145="","",IF(A145=計算_償還回数,D145+F144+G144,計算_毎月償還額))</f>
        <v/>
      </c>
      <c r="D145" s="169" t="str">
        <f aca="false">IF(A145="","",ROUND(F144*計算_利率/定数_年月数,0)+ROUND(G144*計算_利率_在宅介護/定数_年月数,0))</f>
        <v/>
      </c>
      <c r="E145" s="169" t="str">
        <f aca="false">IF(A145="","",C145-D145)</f>
        <v/>
      </c>
      <c r="F145" s="169" t="str">
        <f aca="false">IF(A145="","",IF(A145=計算_償還回数,0,MAX(0,F144-(ROUND(計算_月額_基本,0)-ROUND(F144*計算_利率/定数_年月数,0)))))</f>
        <v/>
      </c>
      <c r="G145" s="169" t="str">
        <f aca="false">IF(A145="","",IF(A145=計算_償還回数,0,MAX(0,G144-(ROUND(計算_月額_在宅介護,0)-ROUND(G144*計算_利率_在宅介護/定数_年月数,0)))))</f>
        <v/>
      </c>
      <c r="H145" s="169" t="str">
        <f aca="false">IF(A145="","",F145+G145)</f>
        <v/>
      </c>
      <c r="I145" s="168" t="str">
        <f aca="false">IF(A145="","",IF(AND(OR(MONTH(B145)=6,MONTH(B145)=12),I144&lt;計算_賞与回数),I144+1,I144))</f>
        <v/>
      </c>
      <c r="J145" s="169" t="str">
        <f aca="false">IF(A145="","",IF(I145&gt;I144,IF(I145=計算_賞与回数,M144+K145,計算_賞与償還額),0))</f>
        <v/>
      </c>
      <c r="K145" s="169" t="str">
        <f aca="false">IF(A145="","",IF(I145&gt;I144,ROUND(M144*計算_賞与期間利率,0),0))</f>
        <v/>
      </c>
      <c r="L145" s="169" t="str">
        <f aca="false">IF(A145="","",J145-K145)</f>
        <v/>
      </c>
      <c r="M145" s="169" t="str">
        <f aca="false">IF(A145="","",IF(I145&gt;I144,M144-L145,M144))</f>
        <v/>
      </c>
      <c r="N145" s="169" t="str">
        <f aca="false">IF(A145="","",C145+J145)</f>
        <v/>
      </c>
      <c r="O145" s="169" t="str">
        <f aca="false">IF(A145="","",H145+M145)</f>
        <v/>
      </c>
    </row>
    <row r="146" customFormat="false" ht="15" hidden="false" customHeight="false" outlineLevel="0" collapsed="false">
      <c r="A146" s="168" t="str">
        <f aca="false">IF(OR(計算_償還開始="",ROWS($A$8:A146)&gt;計算_償還回数),"",ROWS($A$8:A146))</f>
        <v/>
      </c>
      <c r="B146" s="170" t="str">
        <f aca="false">IF(A146="","",EDATE(計算_償還開始,A146-1))</f>
        <v/>
      </c>
      <c r="C146" s="169" t="str">
        <f aca="false">IF(A146="","",IF(A146=計算_償還回数,D146+F145+G145,計算_毎月償還額))</f>
        <v/>
      </c>
      <c r="D146" s="169" t="str">
        <f aca="false">IF(A146="","",ROUND(F145*計算_利率/定数_年月数,0)+ROUND(G145*計算_利率_在宅介護/定数_年月数,0))</f>
        <v/>
      </c>
      <c r="E146" s="169" t="str">
        <f aca="false">IF(A146="","",C146-D146)</f>
        <v/>
      </c>
      <c r="F146" s="169" t="str">
        <f aca="false">IF(A146="","",IF(A146=計算_償還回数,0,MAX(0,F145-(ROUND(計算_月額_基本,0)-ROUND(F145*計算_利率/定数_年月数,0)))))</f>
        <v/>
      </c>
      <c r="G146" s="169" t="str">
        <f aca="false">IF(A146="","",IF(A146=計算_償還回数,0,MAX(0,G145-(ROUND(計算_月額_在宅介護,0)-ROUND(G145*計算_利率_在宅介護/定数_年月数,0)))))</f>
        <v/>
      </c>
      <c r="H146" s="169" t="str">
        <f aca="false">IF(A146="","",F146+G146)</f>
        <v/>
      </c>
      <c r="I146" s="168" t="str">
        <f aca="false">IF(A146="","",IF(AND(OR(MONTH(B146)=6,MONTH(B146)=12),I145&lt;計算_賞与回数),I145+1,I145))</f>
        <v/>
      </c>
      <c r="J146" s="169" t="str">
        <f aca="false">IF(A146="","",IF(I146&gt;I145,IF(I146=計算_賞与回数,M145+K146,計算_賞与償還額),0))</f>
        <v/>
      </c>
      <c r="K146" s="169" t="str">
        <f aca="false">IF(A146="","",IF(I146&gt;I145,ROUND(M145*計算_賞与期間利率,0),0))</f>
        <v/>
      </c>
      <c r="L146" s="169" t="str">
        <f aca="false">IF(A146="","",J146-K146)</f>
        <v/>
      </c>
      <c r="M146" s="169" t="str">
        <f aca="false">IF(A146="","",IF(I146&gt;I145,M145-L146,M145))</f>
        <v/>
      </c>
      <c r="N146" s="169" t="str">
        <f aca="false">IF(A146="","",C146+J146)</f>
        <v/>
      </c>
      <c r="O146" s="169" t="str">
        <f aca="false">IF(A146="","",H146+M146)</f>
        <v/>
      </c>
    </row>
    <row r="147" customFormat="false" ht="15" hidden="false" customHeight="false" outlineLevel="0" collapsed="false">
      <c r="A147" s="168" t="str">
        <f aca="false">IF(OR(計算_償還開始="",ROWS($A$8:A147)&gt;計算_償還回数),"",ROWS($A$8:A147))</f>
        <v/>
      </c>
      <c r="B147" s="170" t="str">
        <f aca="false">IF(A147="","",EDATE(計算_償還開始,A147-1))</f>
        <v/>
      </c>
      <c r="C147" s="169" t="str">
        <f aca="false">IF(A147="","",IF(A147=計算_償還回数,D147+F146+G146,計算_毎月償還額))</f>
        <v/>
      </c>
      <c r="D147" s="169" t="str">
        <f aca="false">IF(A147="","",ROUND(F146*計算_利率/定数_年月数,0)+ROUND(G146*計算_利率_在宅介護/定数_年月数,0))</f>
        <v/>
      </c>
      <c r="E147" s="169" t="str">
        <f aca="false">IF(A147="","",C147-D147)</f>
        <v/>
      </c>
      <c r="F147" s="169" t="str">
        <f aca="false">IF(A147="","",IF(A147=計算_償還回数,0,MAX(0,F146-(ROUND(計算_月額_基本,0)-ROUND(F146*計算_利率/定数_年月数,0)))))</f>
        <v/>
      </c>
      <c r="G147" s="169" t="str">
        <f aca="false">IF(A147="","",IF(A147=計算_償還回数,0,MAX(0,G146-(ROUND(計算_月額_在宅介護,0)-ROUND(G146*計算_利率_在宅介護/定数_年月数,0)))))</f>
        <v/>
      </c>
      <c r="H147" s="169" t="str">
        <f aca="false">IF(A147="","",F147+G147)</f>
        <v/>
      </c>
      <c r="I147" s="168" t="str">
        <f aca="false">IF(A147="","",IF(AND(OR(MONTH(B147)=6,MONTH(B147)=12),I146&lt;計算_賞与回数),I146+1,I146))</f>
        <v/>
      </c>
      <c r="J147" s="169" t="str">
        <f aca="false">IF(A147="","",IF(I147&gt;I146,IF(I147=計算_賞与回数,M146+K147,計算_賞与償還額),0))</f>
        <v/>
      </c>
      <c r="K147" s="169" t="str">
        <f aca="false">IF(A147="","",IF(I147&gt;I146,ROUND(M146*計算_賞与期間利率,0),0))</f>
        <v/>
      </c>
      <c r="L147" s="169" t="str">
        <f aca="false">IF(A147="","",J147-K147)</f>
        <v/>
      </c>
      <c r="M147" s="169" t="str">
        <f aca="false">IF(A147="","",IF(I147&gt;I146,M146-L147,M146))</f>
        <v/>
      </c>
      <c r="N147" s="169" t="str">
        <f aca="false">IF(A147="","",C147+J147)</f>
        <v/>
      </c>
      <c r="O147" s="169" t="str">
        <f aca="false">IF(A147="","",H147+M147)</f>
        <v/>
      </c>
    </row>
    <row r="148" customFormat="false" ht="15" hidden="false" customHeight="false" outlineLevel="0" collapsed="false">
      <c r="A148" s="168" t="str">
        <f aca="false">IF(OR(計算_償還開始="",ROWS($A$8:A148)&gt;計算_償還回数),"",ROWS($A$8:A148))</f>
        <v/>
      </c>
      <c r="B148" s="170" t="str">
        <f aca="false">IF(A148="","",EDATE(計算_償還開始,A148-1))</f>
        <v/>
      </c>
      <c r="C148" s="169" t="str">
        <f aca="false">IF(A148="","",IF(A148=計算_償還回数,D148+F147+G147,計算_毎月償還額))</f>
        <v/>
      </c>
      <c r="D148" s="169" t="str">
        <f aca="false">IF(A148="","",ROUND(F147*計算_利率/定数_年月数,0)+ROUND(G147*計算_利率_在宅介護/定数_年月数,0))</f>
        <v/>
      </c>
      <c r="E148" s="169" t="str">
        <f aca="false">IF(A148="","",C148-D148)</f>
        <v/>
      </c>
      <c r="F148" s="169" t="str">
        <f aca="false">IF(A148="","",IF(A148=計算_償還回数,0,MAX(0,F147-(ROUND(計算_月額_基本,0)-ROUND(F147*計算_利率/定数_年月数,0)))))</f>
        <v/>
      </c>
      <c r="G148" s="169" t="str">
        <f aca="false">IF(A148="","",IF(A148=計算_償還回数,0,MAX(0,G147-(ROUND(計算_月額_在宅介護,0)-ROUND(G147*計算_利率_在宅介護/定数_年月数,0)))))</f>
        <v/>
      </c>
      <c r="H148" s="169" t="str">
        <f aca="false">IF(A148="","",F148+G148)</f>
        <v/>
      </c>
      <c r="I148" s="168" t="str">
        <f aca="false">IF(A148="","",IF(AND(OR(MONTH(B148)=6,MONTH(B148)=12),I147&lt;計算_賞与回数),I147+1,I147))</f>
        <v/>
      </c>
      <c r="J148" s="169" t="str">
        <f aca="false">IF(A148="","",IF(I148&gt;I147,IF(I148=計算_賞与回数,M147+K148,計算_賞与償還額),0))</f>
        <v/>
      </c>
      <c r="K148" s="169" t="str">
        <f aca="false">IF(A148="","",IF(I148&gt;I147,ROUND(M147*計算_賞与期間利率,0),0))</f>
        <v/>
      </c>
      <c r="L148" s="169" t="str">
        <f aca="false">IF(A148="","",J148-K148)</f>
        <v/>
      </c>
      <c r="M148" s="169" t="str">
        <f aca="false">IF(A148="","",IF(I148&gt;I147,M147-L148,M147))</f>
        <v/>
      </c>
      <c r="N148" s="169" t="str">
        <f aca="false">IF(A148="","",C148+J148)</f>
        <v/>
      </c>
      <c r="O148" s="169" t="str">
        <f aca="false">IF(A148="","",H148+M148)</f>
        <v/>
      </c>
    </row>
    <row r="149" customFormat="false" ht="15" hidden="false" customHeight="false" outlineLevel="0" collapsed="false">
      <c r="A149" s="168" t="str">
        <f aca="false">IF(OR(計算_償還開始="",ROWS($A$8:A149)&gt;計算_償還回数),"",ROWS($A$8:A149))</f>
        <v/>
      </c>
      <c r="B149" s="170" t="str">
        <f aca="false">IF(A149="","",EDATE(計算_償還開始,A149-1))</f>
        <v/>
      </c>
      <c r="C149" s="169" t="str">
        <f aca="false">IF(A149="","",IF(A149=計算_償還回数,D149+F148+G148,計算_毎月償還額))</f>
        <v/>
      </c>
      <c r="D149" s="169" t="str">
        <f aca="false">IF(A149="","",ROUND(F148*計算_利率/定数_年月数,0)+ROUND(G148*計算_利率_在宅介護/定数_年月数,0))</f>
        <v/>
      </c>
      <c r="E149" s="169" t="str">
        <f aca="false">IF(A149="","",C149-D149)</f>
        <v/>
      </c>
      <c r="F149" s="169" t="str">
        <f aca="false">IF(A149="","",IF(A149=計算_償還回数,0,MAX(0,F148-(ROUND(計算_月額_基本,0)-ROUND(F148*計算_利率/定数_年月数,0)))))</f>
        <v/>
      </c>
      <c r="G149" s="169" t="str">
        <f aca="false">IF(A149="","",IF(A149=計算_償還回数,0,MAX(0,G148-(ROUND(計算_月額_在宅介護,0)-ROUND(G148*計算_利率_在宅介護/定数_年月数,0)))))</f>
        <v/>
      </c>
      <c r="H149" s="169" t="str">
        <f aca="false">IF(A149="","",F149+G149)</f>
        <v/>
      </c>
      <c r="I149" s="168" t="str">
        <f aca="false">IF(A149="","",IF(AND(OR(MONTH(B149)=6,MONTH(B149)=12),I148&lt;計算_賞与回数),I148+1,I148))</f>
        <v/>
      </c>
      <c r="J149" s="169" t="str">
        <f aca="false">IF(A149="","",IF(I149&gt;I148,IF(I149=計算_賞与回数,M148+K149,計算_賞与償還額),0))</f>
        <v/>
      </c>
      <c r="K149" s="169" t="str">
        <f aca="false">IF(A149="","",IF(I149&gt;I148,ROUND(M148*計算_賞与期間利率,0),0))</f>
        <v/>
      </c>
      <c r="L149" s="169" t="str">
        <f aca="false">IF(A149="","",J149-K149)</f>
        <v/>
      </c>
      <c r="M149" s="169" t="str">
        <f aca="false">IF(A149="","",IF(I149&gt;I148,M148-L149,M148))</f>
        <v/>
      </c>
      <c r="N149" s="169" t="str">
        <f aca="false">IF(A149="","",C149+J149)</f>
        <v/>
      </c>
      <c r="O149" s="169" t="str">
        <f aca="false">IF(A149="","",H149+M149)</f>
        <v/>
      </c>
    </row>
    <row r="150" customFormat="false" ht="15" hidden="false" customHeight="false" outlineLevel="0" collapsed="false">
      <c r="A150" s="168" t="str">
        <f aca="false">IF(OR(計算_償還開始="",ROWS($A$8:A150)&gt;計算_償還回数),"",ROWS($A$8:A150))</f>
        <v/>
      </c>
      <c r="B150" s="170" t="str">
        <f aca="false">IF(A150="","",EDATE(計算_償還開始,A150-1))</f>
        <v/>
      </c>
      <c r="C150" s="169" t="str">
        <f aca="false">IF(A150="","",IF(A150=計算_償還回数,D150+F149+G149,計算_毎月償還額))</f>
        <v/>
      </c>
      <c r="D150" s="169" t="str">
        <f aca="false">IF(A150="","",ROUND(F149*計算_利率/定数_年月数,0)+ROUND(G149*計算_利率_在宅介護/定数_年月数,0))</f>
        <v/>
      </c>
      <c r="E150" s="169" t="str">
        <f aca="false">IF(A150="","",C150-D150)</f>
        <v/>
      </c>
      <c r="F150" s="169" t="str">
        <f aca="false">IF(A150="","",IF(A150=計算_償還回数,0,MAX(0,F149-(ROUND(計算_月額_基本,0)-ROUND(F149*計算_利率/定数_年月数,0)))))</f>
        <v/>
      </c>
      <c r="G150" s="169" t="str">
        <f aca="false">IF(A150="","",IF(A150=計算_償還回数,0,MAX(0,G149-(ROUND(計算_月額_在宅介護,0)-ROUND(G149*計算_利率_在宅介護/定数_年月数,0)))))</f>
        <v/>
      </c>
      <c r="H150" s="169" t="str">
        <f aca="false">IF(A150="","",F150+G150)</f>
        <v/>
      </c>
      <c r="I150" s="168" t="str">
        <f aca="false">IF(A150="","",IF(AND(OR(MONTH(B150)=6,MONTH(B150)=12),I149&lt;計算_賞与回数),I149+1,I149))</f>
        <v/>
      </c>
      <c r="J150" s="169" t="str">
        <f aca="false">IF(A150="","",IF(I150&gt;I149,IF(I150=計算_賞与回数,M149+K150,計算_賞与償還額),0))</f>
        <v/>
      </c>
      <c r="K150" s="169" t="str">
        <f aca="false">IF(A150="","",IF(I150&gt;I149,ROUND(M149*計算_賞与期間利率,0),0))</f>
        <v/>
      </c>
      <c r="L150" s="169" t="str">
        <f aca="false">IF(A150="","",J150-K150)</f>
        <v/>
      </c>
      <c r="M150" s="169" t="str">
        <f aca="false">IF(A150="","",IF(I150&gt;I149,M149-L150,M149))</f>
        <v/>
      </c>
      <c r="N150" s="169" t="str">
        <f aca="false">IF(A150="","",C150+J150)</f>
        <v/>
      </c>
      <c r="O150" s="169" t="str">
        <f aca="false">IF(A150="","",H150+M150)</f>
        <v/>
      </c>
    </row>
    <row r="151" customFormat="false" ht="15" hidden="false" customHeight="false" outlineLevel="0" collapsed="false">
      <c r="A151" s="168" t="str">
        <f aca="false">IF(OR(計算_償還開始="",ROWS($A$8:A151)&gt;計算_償還回数),"",ROWS($A$8:A151))</f>
        <v/>
      </c>
      <c r="B151" s="170" t="str">
        <f aca="false">IF(A151="","",EDATE(計算_償還開始,A151-1))</f>
        <v/>
      </c>
      <c r="C151" s="169" t="str">
        <f aca="false">IF(A151="","",IF(A151=計算_償還回数,D151+F150+G150,計算_毎月償還額))</f>
        <v/>
      </c>
      <c r="D151" s="169" t="str">
        <f aca="false">IF(A151="","",ROUND(F150*計算_利率/定数_年月数,0)+ROUND(G150*計算_利率_在宅介護/定数_年月数,0))</f>
        <v/>
      </c>
      <c r="E151" s="169" t="str">
        <f aca="false">IF(A151="","",C151-D151)</f>
        <v/>
      </c>
      <c r="F151" s="169" t="str">
        <f aca="false">IF(A151="","",IF(A151=計算_償還回数,0,MAX(0,F150-(ROUND(計算_月額_基本,0)-ROUND(F150*計算_利率/定数_年月数,0)))))</f>
        <v/>
      </c>
      <c r="G151" s="169" t="str">
        <f aca="false">IF(A151="","",IF(A151=計算_償還回数,0,MAX(0,G150-(ROUND(計算_月額_在宅介護,0)-ROUND(G150*計算_利率_在宅介護/定数_年月数,0)))))</f>
        <v/>
      </c>
      <c r="H151" s="169" t="str">
        <f aca="false">IF(A151="","",F151+G151)</f>
        <v/>
      </c>
      <c r="I151" s="168" t="str">
        <f aca="false">IF(A151="","",IF(AND(OR(MONTH(B151)=6,MONTH(B151)=12),I150&lt;計算_賞与回数),I150+1,I150))</f>
        <v/>
      </c>
      <c r="J151" s="169" t="str">
        <f aca="false">IF(A151="","",IF(I151&gt;I150,IF(I151=計算_賞与回数,M150+K151,計算_賞与償還額),0))</f>
        <v/>
      </c>
      <c r="K151" s="169" t="str">
        <f aca="false">IF(A151="","",IF(I151&gt;I150,ROUND(M150*計算_賞与期間利率,0),0))</f>
        <v/>
      </c>
      <c r="L151" s="169" t="str">
        <f aca="false">IF(A151="","",J151-K151)</f>
        <v/>
      </c>
      <c r="M151" s="169" t="str">
        <f aca="false">IF(A151="","",IF(I151&gt;I150,M150-L151,M150))</f>
        <v/>
      </c>
      <c r="N151" s="169" t="str">
        <f aca="false">IF(A151="","",C151+J151)</f>
        <v/>
      </c>
      <c r="O151" s="169" t="str">
        <f aca="false">IF(A151="","",H151+M151)</f>
        <v/>
      </c>
    </row>
    <row r="152" customFormat="false" ht="15" hidden="false" customHeight="false" outlineLevel="0" collapsed="false">
      <c r="A152" s="168" t="str">
        <f aca="false">IF(OR(計算_償還開始="",ROWS($A$8:A152)&gt;計算_償還回数),"",ROWS($A$8:A152))</f>
        <v/>
      </c>
      <c r="B152" s="170" t="str">
        <f aca="false">IF(A152="","",EDATE(計算_償還開始,A152-1))</f>
        <v/>
      </c>
      <c r="C152" s="169" t="str">
        <f aca="false">IF(A152="","",IF(A152=計算_償還回数,D152+F151+G151,計算_毎月償還額))</f>
        <v/>
      </c>
      <c r="D152" s="169" t="str">
        <f aca="false">IF(A152="","",ROUND(F151*計算_利率/定数_年月数,0)+ROUND(G151*計算_利率_在宅介護/定数_年月数,0))</f>
        <v/>
      </c>
      <c r="E152" s="169" t="str">
        <f aca="false">IF(A152="","",C152-D152)</f>
        <v/>
      </c>
      <c r="F152" s="169" t="str">
        <f aca="false">IF(A152="","",IF(A152=計算_償還回数,0,MAX(0,F151-(ROUND(計算_月額_基本,0)-ROUND(F151*計算_利率/定数_年月数,0)))))</f>
        <v/>
      </c>
      <c r="G152" s="169" t="str">
        <f aca="false">IF(A152="","",IF(A152=計算_償還回数,0,MAX(0,G151-(ROUND(計算_月額_在宅介護,0)-ROUND(G151*計算_利率_在宅介護/定数_年月数,0)))))</f>
        <v/>
      </c>
      <c r="H152" s="169" t="str">
        <f aca="false">IF(A152="","",F152+G152)</f>
        <v/>
      </c>
      <c r="I152" s="168" t="str">
        <f aca="false">IF(A152="","",IF(AND(OR(MONTH(B152)=6,MONTH(B152)=12),I151&lt;計算_賞与回数),I151+1,I151))</f>
        <v/>
      </c>
      <c r="J152" s="169" t="str">
        <f aca="false">IF(A152="","",IF(I152&gt;I151,IF(I152=計算_賞与回数,M151+K152,計算_賞与償還額),0))</f>
        <v/>
      </c>
      <c r="K152" s="169" t="str">
        <f aca="false">IF(A152="","",IF(I152&gt;I151,ROUND(M151*計算_賞与期間利率,0),0))</f>
        <v/>
      </c>
      <c r="L152" s="169" t="str">
        <f aca="false">IF(A152="","",J152-K152)</f>
        <v/>
      </c>
      <c r="M152" s="169" t="str">
        <f aca="false">IF(A152="","",IF(I152&gt;I151,M151-L152,M151))</f>
        <v/>
      </c>
      <c r="N152" s="169" t="str">
        <f aca="false">IF(A152="","",C152+J152)</f>
        <v/>
      </c>
      <c r="O152" s="169" t="str">
        <f aca="false">IF(A152="","",H152+M152)</f>
        <v/>
      </c>
    </row>
    <row r="153" customFormat="false" ht="15" hidden="false" customHeight="false" outlineLevel="0" collapsed="false">
      <c r="A153" s="168" t="str">
        <f aca="false">IF(OR(計算_償還開始="",ROWS($A$8:A153)&gt;計算_償還回数),"",ROWS($A$8:A153))</f>
        <v/>
      </c>
      <c r="B153" s="170" t="str">
        <f aca="false">IF(A153="","",EDATE(計算_償還開始,A153-1))</f>
        <v/>
      </c>
      <c r="C153" s="169" t="str">
        <f aca="false">IF(A153="","",IF(A153=計算_償還回数,D153+F152+G152,計算_毎月償還額))</f>
        <v/>
      </c>
      <c r="D153" s="169" t="str">
        <f aca="false">IF(A153="","",ROUND(F152*計算_利率/定数_年月数,0)+ROUND(G152*計算_利率_在宅介護/定数_年月数,0))</f>
        <v/>
      </c>
      <c r="E153" s="169" t="str">
        <f aca="false">IF(A153="","",C153-D153)</f>
        <v/>
      </c>
      <c r="F153" s="169" t="str">
        <f aca="false">IF(A153="","",IF(A153=計算_償還回数,0,MAX(0,F152-(ROUND(計算_月額_基本,0)-ROUND(F152*計算_利率/定数_年月数,0)))))</f>
        <v/>
      </c>
      <c r="G153" s="169" t="str">
        <f aca="false">IF(A153="","",IF(A153=計算_償還回数,0,MAX(0,G152-(ROUND(計算_月額_在宅介護,0)-ROUND(G152*計算_利率_在宅介護/定数_年月数,0)))))</f>
        <v/>
      </c>
      <c r="H153" s="169" t="str">
        <f aca="false">IF(A153="","",F153+G153)</f>
        <v/>
      </c>
      <c r="I153" s="168" t="str">
        <f aca="false">IF(A153="","",IF(AND(OR(MONTH(B153)=6,MONTH(B153)=12),I152&lt;計算_賞与回数),I152+1,I152))</f>
        <v/>
      </c>
      <c r="J153" s="169" t="str">
        <f aca="false">IF(A153="","",IF(I153&gt;I152,IF(I153=計算_賞与回数,M152+K153,計算_賞与償還額),0))</f>
        <v/>
      </c>
      <c r="K153" s="169" t="str">
        <f aca="false">IF(A153="","",IF(I153&gt;I152,ROUND(M152*計算_賞与期間利率,0),0))</f>
        <v/>
      </c>
      <c r="L153" s="169" t="str">
        <f aca="false">IF(A153="","",J153-K153)</f>
        <v/>
      </c>
      <c r="M153" s="169" t="str">
        <f aca="false">IF(A153="","",IF(I153&gt;I152,M152-L153,M152))</f>
        <v/>
      </c>
      <c r="N153" s="169" t="str">
        <f aca="false">IF(A153="","",C153+J153)</f>
        <v/>
      </c>
      <c r="O153" s="169" t="str">
        <f aca="false">IF(A153="","",H153+M153)</f>
        <v/>
      </c>
    </row>
    <row r="154" customFormat="false" ht="15" hidden="false" customHeight="false" outlineLevel="0" collapsed="false">
      <c r="A154" s="168" t="str">
        <f aca="false">IF(OR(計算_償還開始="",ROWS($A$8:A154)&gt;計算_償還回数),"",ROWS($A$8:A154))</f>
        <v/>
      </c>
      <c r="B154" s="170" t="str">
        <f aca="false">IF(A154="","",EDATE(計算_償還開始,A154-1))</f>
        <v/>
      </c>
      <c r="C154" s="169" t="str">
        <f aca="false">IF(A154="","",IF(A154=計算_償還回数,D154+F153+G153,計算_毎月償還額))</f>
        <v/>
      </c>
      <c r="D154" s="169" t="str">
        <f aca="false">IF(A154="","",ROUND(F153*計算_利率/定数_年月数,0)+ROUND(G153*計算_利率_在宅介護/定数_年月数,0))</f>
        <v/>
      </c>
      <c r="E154" s="169" t="str">
        <f aca="false">IF(A154="","",C154-D154)</f>
        <v/>
      </c>
      <c r="F154" s="169" t="str">
        <f aca="false">IF(A154="","",IF(A154=計算_償還回数,0,MAX(0,F153-(ROUND(計算_月額_基本,0)-ROUND(F153*計算_利率/定数_年月数,0)))))</f>
        <v/>
      </c>
      <c r="G154" s="169" t="str">
        <f aca="false">IF(A154="","",IF(A154=計算_償還回数,0,MAX(0,G153-(ROUND(計算_月額_在宅介護,0)-ROUND(G153*計算_利率_在宅介護/定数_年月数,0)))))</f>
        <v/>
      </c>
      <c r="H154" s="169" t="str">
        <f aca="false">IF(A154="","",F154+G154)</f>
        <v/>
      </c>
      <c r="I154" s="168" t="str">
        <f aca="false">IF(A154="","",IF(AND(OR(MONTH(B154)=6,MONTH(B154)=12),I153&lt;計算_賞与回数),I153+1,I153))</f>
        <v/>
      </c>
      <c r="J154" s="169" t="str">
        <f aca="false">IF(A154="","",IF(I154&gt;I153,IF(I154=計算_賞与回数,M153+K154,計算_賞与償還額),0))</f>
        <v/>
      </c>
      <c r="K154" s="169" t="str">
        <f aca="false">IF(A154="","",IF(I154&gt;I153,ROUND(M153*計算_賞与期間利率,0),0))</f>
        <v/>
      </c>
      <c r="L154" s="169" t="str">
        <f aca="false">IF(A154="","",J154-K154)</f>
        <v/>
      </c>
      <c r="M154" s="169" t="str">
        <f aca="false">IF(A154="","",IF(I154&gt;I153,M153-L154,M153))</f>
        <v/>
      </c>
      <c r="N154" s="169" t="str">
        <f aca="false">IF(A154="","",C154+J154)</f>
        <v/>
      </c>
      <c r="O154" s="169" t="str">
        <f aca="false">IF(A154="","",H154+M154)</f>
        <v/>
      </c>
    </row>
    <row r="155" customFormat="false" ht="15" hidden="false" customHeight="false" outlineLevel="0" collapsed="false">
      <c r="A155" s="168" t="str">
        <f aca="false">IF(OR(計算_償還開始="",ROWS($A$8:A155)&gt;計算_償還回数),"",ROWS($A$8:A155))</f>
        <v/>
      </c>
      <c r="B155" s="170" t="str">
        <f aca="false">IF(A155="","",EDATE(計算_償還開始,A155-1))</f>
        <v/>
      </c>
      <c r="C155" s="169" t="str">
        <f aca="false">IF(A155="","",IF(A155=計算_償還回数,D155+F154+G154,計算_毎月償還額))</f>
        <v/>
      </c>
      <c r="D155" s="169" t="str">
        <f aca="false">IF(A155="","",ROUND(F154*計算_利率/定数_年月数,0)+ROUND(G154*計算_利率_在宅介護/定数_年月数,0))</f>
        <v/>
      </c>
      <c r="E155" s="169" t="str">
        <f aca="false">IF(A155="","",C155-D155)</f>
        <v/>
      </c>
      <c r="F155" s="169" t="str">
        <f aca="false">IF(A155="","",IF(A155=計算_償還回数,0,MAX(0,F154-(ROUND(計算_月額_基本,0)-ROUND(F154*計算_利率/定数_年月数,0)))))</f>
        <v/>
      </c>
      <c r="G155" s="169" t="str">
        <f aca="false">IF(A155="","",IF(A155=計算_償還回数,0,MAX(0,G154-(ROUND(計算_月額_在宅介護,0)-ROUND(G154*計算_利率_在宅介護/定数_年月数,0)))))</f>
        <v/>
      </c>
      <c r="H155" s="169" t="str">
        <f aca="false">IF(A155="","",F155+G155)</f>
        <v/>
      </c>
      <c r="I155" s="168" t="str">
        <f aca="false">IF(A155="","",IF(AND(OR(MONTH(B155)=6,MONTH(B155)=12),I154&lt;計算_賞与回数),I154+1,I154))</f>
        <v/>
      </c>
      <c r="J155" s="169" t="str">
        <f aca="false">IF(A155="","",IF(I155&gt;I154,IF(I155=計算_賞与回数,M154+K155,計算_賞与償還額),0))</f>
        <v/>
      </c>
      <c r="K155" s="169" t="str">
        <f aca="false">IF(A155="","",IF(I155&gt;I154,ROUND(M154*計算_賞与期間利率,0),0))</f>
        <v/>
      </c>
      <c r="L155" s="169" t="str">
        <f aca="false">IF(A155="","",J155-K155)</f>
        <v/>
      </c>
      <c r="M155" s="169" t="str">
        <f aca="false">IF(A155="","",IF(I155&gt;I154,M154-L155,M154))</f>
        <v/>
      </c>
      <c r="N155" s="169" t="str">
        <f aca="false">IF(A155="","",C155+J155)</f>
        <v/>
      </c>
      <c r="O155" s="169" t="str">
        <f aca="false">IF(A155="","",H155+M155)</f>
        <v/>
      </c>
    </row>
    <row r="156" customFormat="false" ht="15" hidden="false" customHeight="false" outlineLevel="0" collapsed="false">
      <c r="A156" s="168" t="str">
        <f aca="false">IF(OR(計算_償還開始="",ROWS($A$8:A156)&gt;計算_償還回数),"",ROWS($A$8:A156))</f>
        <v/>
      </c>
      <c r="B156" s="170" t="str">
        <f aca="false">IF(A156="","",EDATE(計算_償還開始,A156-1))</f>
        <v/>
      </c>
      <c r="C156" s="169" t="str">
        <f aca="false">IF(A156="","",IF(A156=計算_償還回数,D156+F155+G155,計算_毎月償還額))</f>
        <v/>
      </c>
      <c r="D156" s="169" t="str">
        <f aca="false">IF(A156="","",ROUND(F155*計算_利率/定数_年月数,0)+ROUND(G155*計算_利率_在宅介護/定数_年月数,0))</f>
        <v/>
      </c>
      <c r="E156" s="169" t="str">
        <f aca="false">IF(A156="","",C156-D156)</f>
        <v/>
      </c>
      <c r="F156" s="169" t="str">
        <f aca="false">IF(A156="","",IF(A156=計算_償還回数,0,MAX(0,F155-(ROUND(計算_月額_基本,0)-ROUND(F155*計算_利率/定数_年月数,0)))))</f>
        <v/>
      </c>
      <c r="G156" s="169" t="str">
        <f aca="false">IF(A156="","",IF(A156=計算_償還回数,0,MAX(0,G155-(ROUND(計算_月額_在宅介護,0)-ROUND(G155*計算_利率_在宅介護/定数_年月数,0)))))</f>
        <v/>
      </c>
      <c r="H156" s="169" t="str">
        <f aca="false">IF(A156="","",F156+G156)</f>
        <v/>
      </c>
      <c r="I156" s="168" t="str">
        <f aca="false">IF(A156="","",IF(AND(OR(MONTH(B156)=6,MONTH(B156)=12),I155&lt;計算_賞与回数),I155+1,I155))</f>
        <v/>
      </c>
      <c r="J156" s="169" t="str">
        <f aca="false">IF(A156="","",IF(I156&gt;I155,IF(I156=計算_賞与回数,M155+K156,計算_賞与償還額),0))</f>
        <v/>
      </c>
      <c r="K156" s="169" t="str">
        <f aca="false">IF(A156="","",IF(I156&gt;I155,ROUND(M155*計算_賞与期間利率,0),0))</f>
        <v/>
      </c>
      <c r="L156" s="169" t="str">
        <f aca="false">IF(A156="","",J156-K156)</f>
        <v/>
      </c>
      <c r="M156" s="169" t="str">
        <f aca="false">IF(A156="","",IF(I156&gt;I155,M155-L156,M155))</f>
        <v/>
      </c>
      <c r="N156" s="169" t="str">
        <f aca="false">IF(A156="","",C156+J156)</f>
        <v/>
      </c>
      <c r="O156" s="169" t="str">
        <f aca="false">IF(A156="","",H156+M156)</f>
        <v/>
      </c>
    </row>
    <row r="157" customFormat="false" ht="15" hidden="false" customHeight="false" outlineLevel="0" collapsed="false">
      <c r="A157" s="168" t="str">
        <f aca="false">IF(OR(計算_償還開始="",ROWS($A$8:A157)&gt;計算_償還回数),"",ROWS($A$8:A157))</f>
        <v/>
      </c>
      <c r="B157" s="170" t="str">
        <f aca="false">IF(A157="","",EDATE(計算_償還開始,A157-1))</f>
        <v/>
      </c>
      <c r="C157" s="169" t="str">
        <f aca="false">IF(A157="","",IF(A157=計算_償還回数,D157+F156+G156,計算_毎月償還額))</f>
        <v/>
      </c>
      <c r="D157" s="169" t="str">
        <f aca="false">IF(A157="","",ROUND(F156*計算_利率/定数_年月数,0)+ROUND(G156*計算_利率_在宅介護/定数_年月数,0))</f>
        <v/>
      </c>
      <c r="E157" s="169" t="str">
        <f aca="false">IF(A157="","",C157-D157)</f>
        <v/>
      </c>
      <c r="F157" s="169" t="str">
        <f aca="false">IF(A157="","",IF(A157=計算_償還回数,0,MAX(0,F156-(ROUND(計算_月額_基本,0)-ROUND(F156*計算_利率/定数_年月数,0)))))</f>
        <v/>
      </c>
      <c r="G157" s="169" t="str">
        <f aca="false">IF(A157="","",IF(A157=計算_償還回数,0,MAX(0,G156-(ROUND(計算_月額_在宅介護,0)-ROUND(G156*計算_利率_在宅介護/定数_年月数,0)))))</f>
        <v/>
      </c>
      <c r="H157" s="169" t="str">
        <f aca="false">IF(A157="","",F157+G157)</f>
        <v/>
      </c>
      <c r="I157" s="168" t="str">
        <f aca="false">IF(A157="","",IF(AND(OR(MONTH(B157)=6,MONTH(B157)=12),I156&lt;計算_賞与回数),I156+1,I156))</f>
        <v/>
      </c>
      <c r="J157" s="169" t="str">
        <f aca="false">IF(A157="","",IF(I157&gt;I156,IF(I157=計算_賞与回数,M156+K157,計算_賞与償還額),0))</f>
        <v/>
      </c>
      <c r="K157" s="169" t="str">
        <f aca="false">IF(A157="","",IF(I157&gt;I156,ROUND(M156*計算_賞与期間利率,0),0))</f>
        <v/>
      </c>
      <c r="L157" s="169" t="str">
        <f aca="false">IF(A157="","",J157-K157)</f>
        <v/>
      </c>
      <c r="M157" s="169" t="str">
        <f aca="false">IF(A157="","",IF(I157&gt;I156,M156-L157,M156))</f>
        <v/>
      </c>
      <c r="N157" s="169" t="str">
        <f aca="false">IF(A157="","",C157+J157)</f>
        <v/>
      </c>
      <c r="O157" s="169" t="str">
        <f aca="false">IF(A157="","",H157+M157)</f>
        <v/>
      </c>
    </row>
    <row r="158" customFormat="false" ht="15" hidden="false" customHeight="false" outlineLevel="0" collapsed="false">
      <c r="A158" s="168" t="str">
        <f aca="false">IF(OR(計算_償還開始="",ROWS($A$8:A158)&gt;計算_償還回数),"",ROWS($A$8:A158))</f>
        <v/>
      </c>
      <c r="B158" s="170" t="str">
        <f aca="false">IF(A158="","",EDATE(計算_償還開始,A158-1))</f>
        <v/>
      </c>
      <c r="C158" s="169" t="str">
        <f aca="false">IF(A158="","",IF(A158=計算_償還回数,D158+F157+G157,計算_毎月償還額))</f>
        <v/>
      </c>
      <c r="D158" s="169" t="str">
        <f aca="false">IF(A158="","",ROUND(F157*計算_利率/定数_年月数,0)+ROUND(G157*計算_利率_在宅介護/定数_年月数,0))</f>
        <v/>
      </c>
      <c r="E158" s="169" t="str">
        <f aca="false">IF(A158="","",C158-D158)</f>
        <v/>
      </c>
      <c r="F158" s="169" t="str">
        <f aca="false">IF(A158="","",IF(A158=計算_償還回数,0,MAX(0,F157-(ROUND(計算_月額_基本,0)-ROUND(F157*計算_利率/定数_年月数,0)))))</f>
        <v/>
      </c>
      <c r="G158" s="169" t="str">
        <f aca="false">IF(A158="","",IF(A158=計算_償還回数,0,MAX(0,G157-(ROUND(計算_月額_在宅介護,0)-ROUND(G157*計算_利率_在宅介護/定数_年月数,0)))))</f>
        <v/>
      </c>
      <c r="H158" s="169" t="str">
        <f aca="false">IF(A158="","",F158+G158)</f>
        <v/>
      </c>
      <c r="I158" s="168" t="str">
        <f aca="false">IF(A158="","",IF(AND(OR(MONTH(B158)=6,MONTH(B158)=12),I157&lt;計算_賞与回数),I157+1,I157))</f>
        <v/>
      </c>
      <c r="J158" s="169" t="str">
        <f aca="false">IF(A158="","",IF(I158&gt;I157,IF(I158=計算_賞与回数,M157+K158,計算_賞与償還額),0))</f>
        <v/>
      </c>
      <c r="K158" s="169" t="str">
        <f aca="false">IF(A158="","",IF(I158&gt;I157,ROUND(M157*計算_賞与期間利率,0),0))</f>
        <v/>
      </c>
      <c r="L158" s="169" t="str">
        <f aca="false">IF(A158="","",J158-K158)</f>
        <v/>
      </c>
      <c r="M158" s="169" t="str">
        <f aca="false">IF(A158="","",IF(I158&gt;I157,M157-L158,M157))</f>
        <v/>
      </c>
      <c r="N158" s="169" t="str">
        <f aca="false">IF(A158="","",C158+J158)</f>
        <v/>
      </c>
      <c r="O158" s="169" t="str">
        <f aca="false">IF(A158="","",H158+M158)</f>
        <v/>
      </c>
    </row>
    <row r="159" customFormat="false" ht="15" hidden="false" customHeight="false" outlineLevel="0" collapsed="false">
      <c r="A159" s="168" t="str">
        <f aca="false">IF(OR(計算_償還開始="",ROWS($A$8:A159)&gt;計算_償還回数),"",ROWS($A$8:A159))</f>
        <v/>
      </c>
      <c r="B159" s="170" t="str">
        <f aca="false">IF(A159="","",EDATE(計算_償還開始,A159-1))</f>
        <v/>
      </c>
      <c r="C159" s="169" t="str">
        <f aca="false">IF(A159="","",IF(A159=計算_償還回数,D159+F158+G158,計算_毎月償還額))</f>
        <v/>
      </c>
      <c r="D159" s="169" t="str">
        <f aca="false">IF(A159="","",ROUND(F158*計算_利率/定数_年月数,0)+ROUND(G158*計算_利率_在宅介護/定数_年月数,0))</f>
        <v/>
      </c>
      <c r="E159" s="169" t="str">
        <f aca="false">IF(A159="","",C159-D159)</f>
        <v/>
      </c>
      <c r="F159" s="169" t="str">
        <f aca="false">IF(A159="","",IF(A159=計算_償還回数,0,MAX(0,F158-(ROUND(計算_月額_基本,0)-ROUND(F158*計算_利率/定数_年月数,0)))))</f>
        <v/>
      </c>
      <c r="G159" s="169" t="str">
        <f aca="false">IF(A159="","",IF(A159=計算_償還回数,0,MAX(0,G158-(ROUND(計算_月額_在宅介護,0)-ROUND(G158*計算_利率_在宅介護/定数_年月数,0)))))</f>
        <v/>
      </c>
      <c r="H159" s="169" t="str">
        <f aca="false">IF(A159="","",F159+G159)</f>
        <v/>
      </c>
      <c r="I159" s="168" t="str">
        <f aca="false">IF(A159="","",IF(AND(OR(MONTH(B159)=6,MONTH(B159)=12),I158&lt;計算_賞与回数),I158+1,I158))</f>
        <v/>
      </c>
      <c r="J159" s="169" t="str">
        <f aca="false">IF(A159="","",IF(I159&gt;I158,IF(I159=計算_賞与回数,M158+K159,計算_賞与償還額),0))</f>
        <v/>
      </c>
      <c r="K159" s="169" t="str">
        <f aca="false">IF(A159="","",IF(I159&gt;I158,ROUND(M158*計算_賞与期間利率,0),0))</f>
        <v/>
      </c>
      <c r="L159" s="169" t="str">
        <f aca="false">IF(A159="","",J159-K159)</f>
        <v/>
      </c>
      <c r="M159" s="169" t="str">
        <f aca="false">IF(A159="","",IF(I159&gt;I158,M158-L159,M158))</f>
        <v/>
      </c>
      <c r="N159" s="169" t="str">
        <f aca="false">IF(A159="","",C159+J159)</f>
        <v/>
      </c>
      <c r="O159" s="169" t="str">
        <f aca="false">IF(A159="","",H159+M159)</f>
        <v/>
      </c>
    </row>
    <row r="160" customFormat="false" ht="15" hidden="false" customHeight="false" outlineLevel="0" collapsed="false">
      <c r="A160" s="168" t="str">
        <f aca="false">IF(OR(計算_償還開始="",ROWS($A$8:A160)&gt;計算_償還回数),"",ROWS($A$8:A160))</f>
        <v/>
      </c>
      <c r="B160" s="170" t="str">
        <f aca="false">IF(A160="","",EDATE(計算_償還開始,A160-1))</f>
        <v/>
      </c>
      <c r="C160" s="169" t="str">
        <f aca="false">IF(A160="","",IF(A160=計算_償還回数,D160+F159+G159,計算_毎月償還額))</f>
        <v/>
      </c>
      <c r="D160" s="169" t="str">
        <f aca="false">IF(A160="","",ROUND(F159*計算_利率/定数_年月数,0)+ROUND(G159*計算_利率_在宅介護/定数_年月数,0))</f>
        <v/>
      </c>
      <c r="E160" s="169" t="str">
        <f aca="false">IF(A160="","",C160-D160)</f>
        <v/>
      </c>
      <c r="F160" s="169" t="str">
        <f aca="false">IF(A160="","",IF(A160=計算_償還回数,0,MAX(0,F159-(ROUND(計算_月額_基本,0)-ROUND(F159*計算_利率/定数_年月数,0)))))</f>
        <v/>
      </c>
      <c r="G160" s="169" t="str">
        <f aca="false">IF(A160="","",IF(A160=計算_償還回数,0,MAX(0,G159-(ROUND(計算_月額_在宅介護,0)-ROUND(G159*計算_利率_在宅介護/定数_年月数,0)))))</f>
        <v/>
      </c>
      <c r="H160" s="169" t="str">
        <f aca="false">IF(A160="","",F160+G160)</f>
        <v/>
      </c>
      <c r="I160" s="168" t="str">
        <f aca="false">IF(A160="","",IF(AND(OR(MONTH(B160)=6,MONTH(B160)=12),I159&lt;計算_賞与回数),I159+1,I159))</f>
        <v/>
      </c>
      <c r="J160" s="169" t="str">
        <f aca="false">IF(A160="","",IF(I160&gt;I159,IF(I160=計算_賞与回数,M159+K160,計算_賞与償還額),0))</f>
        <v/>
      </c>
      <c r="K160" s="169" t="str">
        <f aca="false">IF(A160="","",IF(I160&gt;I159,ROUND(M159*計算_賞与期間利率,0),0))</f>
        <v/>
      </c>
      <c r="L160" s="169" t="str">
        <f aca="false">IF(A160="","",J160-K160)</f>
        <v/>
      </c>
      <c r="M160" s="169" t="str">
        <f aca="false">IF(A160="","",IF(I160&gt;I159,M159-L160,M159))</f>
        <v/>
      </c>
      <c r="N160" s="169" t="str">
        <f aca="false">IF(A160="","",C160+J160)</f>
        <v/>
      </c>
      <c r="O160" s="169" t="str">
        <f aca="false">IF(A160="","",H160+M160)</f>
        <v/>
      </c>
    </row>
    <row r="161" customFormat="false" ht="15" hidden="false" customHeight="false" outlineLevel="0" collapsed="false">
      <c r="A161" s="168" t="str">
        <f aca="false">IF(OR(計算_償還開始="",ROWS($A$8:A161)&gt;計算_償還回数),"",ROWS($A$8:A161))</f>
        <v/>
      </c>
      <c r="B161" s="170" t="str">
        <f aca="false">IF(A161="","",EDATE(計算_償還開始,A161-1))</f>
        <v/>
      </c>
      <c r="C161" s="169" t="str">
        <f aca="false">IF(A161="","",IF(A161=計算_償還回数,D161+F160+G160,計算_毎月償還額))</f>
        <v/>
      </c>
      <c r="D161" s="169" t="str">
        <f aca="false">IF(A161="","",ROUND(F160*計算_利率/定数_年月数,0)+ROUND(G160*計算_利率_在宅介護/定数_年月数,0))</f>
        <v/>
      </c>
      <c r="E161" s="169" t="str">
        <f aca="false">IF(A161="","",C161-D161)</f>
        <v/>
      </c>
      <c r="F161" s="169" t="str">
        <f aca="false">IF(A161="","",IF(A161=計算_償還回数,0,MAX(0,F160-(ROUND(計算_月額_基本,0)-ROUND(F160*計算_利率/定数_年月数,0)))))</f>
        <v/>
      </c>
      <c r="G161" s="169" t="str">
        <f aca="false">IF(A161="","",IF(A161=計算_償還回数,0,MAX(0,G160-(ROUND(計算_月額_在宅介護,0)-ROUND(G160*計算_利率_在宅介護/定数_年月数,0)))))</f>
        <v/>
      </c>
      <c r="H161" s="169" t="str">
        <f aca="false">IF(A161="","",F161+G161)</f>
        <v/>
      </c>
      <c r="I161" s="168" t="str">
        <f aca="false">IF(A161="","",IF(AND(OR(MONTH(B161)=6,MONTH(B161)=12),I160&lt;計算_賞与回数),I160+1,I160))</f>
        <v/>
      </c>
      <c r="J161" s="169" t="str">
        <f aca="false">IF(A161="","",IF(I161&gt;I160,IF(I161=計算_賞与回数,M160+K161,計算_賞与償還額),0))</f>
        <v/>
      </c>
      <c r="K161" s="169" t="str">
        <f aca="false">IF(A161="","",IF(I161&gt;I160,ROUND(M160*計算_賞与期間利率,0),0))</f>
        <v/>
      </c>
      <c r="L161" s="169" t="str">
        <f aca="false">IF(A161="","",J161-K161)</f>
        <v/>
      </c>
      <c r="M161" s="169" t="str">
        <f aca="false">IF(A161="","",IF(I161&gt;I160,M160-L161,M160))</f>
        <v/>
      </c>
      <c r="N161" s="169" t="str">
        <f aca="false">IF(A161="","",C161+J161)</f>
        <v/>
      </c>
      <c r="O161" s="169" t="str">
        <f aca="false">IF(A161="","",H161+M161)</f>
        <v/>
      </c>
    </row>
    <row r="162" customFormat="false" ht="15" hidden="false" customHeight="false" outlineLevel="0" collapsed="false">
      <c r="A162" s="168" t="str">
        <f aca="false">IF(OR(計算_償還開始="",ROWS($A$8:A162)&gt;計算_償還回数),"",ROWS($A$8:A162))</f>
        <v/>
      </c>
      <c r="B162" s="170" t="str">
        <f aca="false">IF(A162="","",EDATE(計算_償還開始,A162-1))</f>
        <v/>
      </c>
      <c r="C162" s="169" t="str">
        <f aca="false">IF(A162="","",IF(A162=計算_償還回数,D162+F161+G161,計算_毎月償還額))</f>
        <v/>
      </c>
      <c r="D162" s="169" t="str">
        <f aca="false">IF(A162="","",ROUND(F161*計算_利率/定数_年月数,0)+ROUND(G161*計算_利率_在宅介護/定数_年月数,0))</f>
        <v/>
      </c>
      <c r="E162" s="169" t="str">
        <f aca="false">IF(A162="","",C162-D162)</f>
        <v/>
      </c>
      <c r="F162" s="169" t="str">
        <f aca="false">IF(A162="","",IF(A162=計算_償還回数,0,MAX(0,F161-(ROUND(計算_月額_基本,0)-ROUND(F161*計算_利率/定数_年月数,0)))))</f>
        <v/>
      </c>
      <c r="G162" s="169" t="str">
        <f aca="false">IF(A162="","",IF(A162=計算_償還回数,0,MAX(0,G161-(ROUND(計算_月額_在宅介護,0)-ROUND(G161*計算_利率_在宅介護/定数_年月数,0)))))</f>
        <v/>
      </c>
      <c r="H162" s="169" t="str">
        <f aca="false">IF(A162="","",F162+G162)</f>
        <v/>
      </c>
      <c r="I162" s="168" t="str">
        <f aca="false">IF(A162="","",IF(AND(OR(MONTH(B162)=6,MONTH(B162)=12),I161&lt;計算_賞与回数),I161+1,I161))</f>
        <v/>
      </c>
      <c r="J162" s="169" t="str">
        <f aca="false">IF(A162="","",IF(I162&gt;I161,IF(I162=計算_賞与回数,M161+K162,計算_賞与償還額),0))</f>
        <v/>
      </c>
      <c r="K162" s="169" t="str">
        <f aca="false">IF(A162="","",IF(I162&gt;I161,ROUND(M161*計算_賞与期間利率,0),0))</f>
        <v/>
      </c>
      <c r="L162" s="169" t="str">
        <f aca="false">IF(A162="","",J162-K162)</f>
        <v/>
      </c>
      <c r="M162" s="169" t="str">
        <f aca="false">IF(A162="","",IF(I162&gt;I161,M161-L162,M161))</f>
        <v/>
      </c>
      <c r="N162" s="169" t="str">
        <f aca="false">IF(A162="","",C162+J162)</f>
        <v/>
      </c>
      <c r="O162" s="169" t="str">
        <f aca="false">IF(A162="","",H162+M162)</f>
        <v/>
      </c>
    </row>
    <row r="163" customFormat="false" ht="15" hidden="false" customHeight="false" outlineLevel="0" collapsed="false">
      <c r="A163" s="168" t="str">
        <f aca="false">IF(OR(計算_償還開始="",ROWS($A$8:A163)&gt;計算_償還回数),"",ROWS($A$8:A163))</f>
        <v/>
      </c>
      <c r="B163" s="170" t="str">
        <f aca="false">IF(A163="","",EDATE(計算_償還開始,A163-1))</f>
        <v/>
      </c>
      <c r="C163" s="169" t="str">
        <f aca="false">IF(A163="","",IF(A163=計算_償還回数,D163+F162+G162,計算_毎月償還額))</f>
        <v/>
      </c>
      <c r="D163" s="169" t="str">
        <f aca="false">IF(A163="","",ROUND(F162*計算_利率/定数_年月数,0)+ROUND(G162*計算_利率_在宅介護/定数_年月数,0))</f>
        <v/>
      </c>
      <c r="E163" s="169" t="str">
        <f aca="false">IF(A163="","",C163-D163)</f>
        <v/>
      </c>
      <c r="F163" s="169" t="str">
        <f aca="false">IF(A163="","",IF(A163=計算_償還回数,0,MAX(0,F162-(ROUND(計算_月額_基本,0)-ROUND(F162*計算_利率/定数_年月数,0)))))</f>
        <v/>
      </c>
      <c r="G163" s="169" t="str">
        <f aca="false">IF(A163="","",IF(A163=計算_償還回数,0,MAX(0,G162-(ROUND(計算_月額_在宅介護,0)-ROUND(G162*計算_利率_在宅介護/定数_年月数,0)))))</f>
        <v/>
      </c>
      <c r="H163" s="169" t="str">
        <f aca="false">IF(A163="","",F163+G163)</f>
        <v/>
      </c>
      <c r="I163" s="168" t="str">
        <f aca="false">IF(A163="","",IF(AND(OR(MONTH(B163)=6,MONTH(B163)=12),I162&lt;計算_賞与回数),I162+1,I162))</f>
        <v/>
      </c>
      <c r="J163" s="169" t="str">
        <f aca="false">IF(A163="","",IF(I163&gt;I162,IF(I163=計算_賞与回数,M162+K163,計算_賞与償還額),0))</f>
        <v/>
      </c>
      <c r="K163" s="169" t="str">
        <f aca="false">IF(A163="","",IF(I163&gt;I162,ROUND(M162*計算_賞与期間利率,0),0))</f>
        <v/>
      </c>
      <c r="L163" s="169" t="str">
        <f aca="false">IF(A163="","",J163-K163)</f>
        <v/>
      </c>
      <c r="M163" s="169" t="str">
        <f aca="false">IF(A163="","",IF(I163&gt;I162,M162-L163,M162))</f>
        <v/>
      </c>
      <c r="N163" s="169" t="str">
        <f aca="false">IF(A163="","",C163+J163)</f>
        <v/>
      </c>
      <c r="O163" s="169" t="str">
        <f aca="false">IF(A163="","",H163+M163)</f>
        <v/>
      </c>
    </row>
    <row r="164" customFormat="false" ht="15" hidden="false" customHeight="false" outlineLevel="0" collapsed="false">
      <c r="A164" s="168" t="str">
        <f aca="false">IF(OR(計算_償還開始="",ROWS($A$8:A164)&gt;計算_償還回数),"",ROWS($A$8:A164))</f>
        <v/>
      </c>
      <c r="B164" s="170" t="str">
        <f aca="false">IF(A164="","",EDATE(計算_償還開始,A164-1))</f>
        <v/>
      </c>
      <c r="C164" s="169" t="str">
        <f aca="false">IF(A164="","",IF(A164=計算_償還回数,D164+F163+G163,計算_毎月償還額))</f>
        <v/>
      </c>
      <c r="D164" s="169" t="str">
        <f aca="false">IF(A164="","",ROUND(F163*計算_利率/定数_年月数,0)+ROUND(G163*計算_利率_在宅介護/定数_年月数,0))</f>
        <v/>
      </c>
      <c r="E164" s="169" t="str">
        <f aca="false">IF(A164="","",C164-D164)</f>
        <v/>
      </c>
      <c r="F164" s="169" t="str">
        <f aca="false">IF(A164="","",IF(A164=計算_償還回数,0,MAX(0,F163-(ROUND(計算_月額_基本,0)-ROUND(F163*計算_利率/定数_年月数,0)))))</f>
        <v/>
      </c>
      <c r="G164" s="169" t="str">
        <f aca="false">IF(A164="","",IF(A164=計算_償還回数,0,MAX(0,G163-(ROUND(計算_月額_在宅介護,0)-ROUND(G163*計算_利率_在宅介護/定数_年月数,0)))))</f>
        <v/>
      </c>
      <c r="H164" s="169" t="str">
        <f aca="false">IF(A164="","",F164+G164)</f>
        <v/>
      </c>
      <c r="I164" s="168" t="str">
        <f aca="false">IF(A164="","",IF(AND(OR(MONTH(B164)=6,MONTH(B164)=12),I163&lt;計算_賞与回数),I163+1,I163))</f>
        <v/>
      </c>
      <c r="J164" s="169" t="str">
        <f aca="false">IF(A164="","",IF(I164&gt;I163,IF(I164=計算_賞与回数,M163+K164,計算_賞与償還額),0))</f>
        <v/>
      </c>
      <c r="K164" s="169" t="str">
        <f aca="false">IF(A164="","",IF(I164&gt;I163,ROUND(M163*計算_賞与期間利率,0),0))</f>
        <v/>
      </c>
      <c r="L164" s="169" t="str">
        <f aca="false">IF(A164="","",J164-K164)</f>
        <v/>
      </c>
      <c r="M164" s="169" t="str">
        <f aca="false">IF(A164="","",IF(I164&gt;I163,M163-L164,M163))</f>
        <v/>
      </c>
      <c r="N164" s="169" t="str">
        <f aca="false">IF(A164="","",C164+J164)</f>
        <v/>
      </c>
      <c r="O164" s="169" t="str">
        <f aca="false">IF(A164="","",H164+M164)</f>
        <v/>
      </c>
    </row>
    <row r="165" customFormat="false" ht="15" hidden="false" customHeight="false" outlineLevel="0" collapsed="false">
      <c r="A165" s="168" t="str">
        <f aca="false">IF(OR(計算_償還開始="",ROWS($A$8:A165)&gt;計算_償還回数),"",ROWS($A$8:A165))</f>
        <v/>
      </c>
      <c r="B165" s="170" t="str">
        <f aca="false">IF(A165="","",EDATE(計算_償還開始,A165-1))</f>
        <v/>
      </c>
      <c r="C165" s="169" t="str">
        <f aca="false">IF(A165="","",IF(A165=計算_償還回数,D165+F164+G164,計算_毎月償還額))</f>
        <v/>
      </c>
      <c r="D165" s="169" t="str">
        <f aca="false">IF(A165="","",ROUND(F164*計算_利率/定数_年月数,0)+ROUND(G164*計算_利率_在宅介護/定数_年月数,0))</f>
        <v/>
      </c>
      <c r="E165" s="169" t="str">
        <f aca="false">IF(A165="","",C165-D165)</f>
        <v/>
      </c>
      <c r="F165" s="169" t="str">
        <f aca="false">IF(A165="","",IF(A165=計算_償還回数,0,MAX(0,F164-(ROUND(計算_月額_基本,0)-ROUND(F164*計算_利率/定数_年月数,0)))))</f>
        <v/>
      </c>
      <c r="G165" s="169" t="str">
        <f aca="false">IF(A165="","",IF(A165=計算_償還回数,0,MAX(0,G164-(ROUND(計算_月額_在宅介護,0)-ROUND(G164*計算_利率_在宅介護/定数_年月数,0)))))</f>
        <v/>
      </c>
      <c r="H165" s="169" t="str">
        <f aca="false">IF(A165="","",F165+G165)</f>
        <v/>
      </c>
      <c r="I165" s="168" t="str">
        <f aca="false">IF(A165="","",IF(AND(OR(MONTH(B165)=6,MONTH(B165)=12),I164&lt;計算_賞与回数),I164+1,I164))</f>
        <v/>
      </c>
      <c r="J165" s="169" t="str">
        <f aca="false">IF(A165="","",IF(I165&gt;I164,IF(I165=計算_賞与回数,M164+K165,計算_賞与償還額),0))</f>
        <v/>
      </c>
      <c r="K165" s="169" t="str">
        <f aca="false">IF(A165="","",IF(I165&gt;I164,ROUND(M164*計算_賞与期間利率,0),0))</f>
        <v/>
      </c>
      <c r="L165" s="169" t="str">
        <f aca="false">IF(A165="","",J165-K165)</f>
        <v/>
      </c>
      <c r="M165" s="169" t="str">
        <f aca="false">IF(A165="","",IF(I165&gt;I164,M164-L165,M164))</f>
        <v/>
      </c>
      <c r="N165" s="169" t="str">
        <f aca="false">IF(A165="","",C165+J165)</f>
        <v/>
      </c>
      <c r="O165" s="169" t="str">
        <f aca="false">IF(A165="","",H165+M165)</f>
        <v/>
      </c>
    </row>
    <row r="166" customFormat="false" ht="15" hidden="false" customHeight="false" outlineLevel="0" collapsed="false">
      <c r="A166" s="168" t="str">
        <f aca="false">IF(OR(計算_償還開始="",ROWS($A$8:A166)&gt;計算_償還回数),"",ROWS($A$8:A166))</f>
        <v/>
      </c>
      <c r="B166" s="170" t="str">
        <f aca="false">IF(A166="","",EDATE(計算_償還開始,A166-1))</f>
        <v/>
      </c>
      <c r="C166" s="169" t="str">
        <f aca="false">IF(A166="","",IF(A166=計算_償還回数,D166+F165+G165,計算_毎月償還額))</f>
        <v/>
      </c>
      <c r="D166" s="169" t="str">
        <f aca="false">IF(A166="","",ROUND(F165*計算_利率/定数_年月数,0)+ROUND(G165*計算_利率_在宅介護/定数_年月数,0))</f>
        <v/>
      </c>
      <c r="E166" s="169" t="str">
        <f aca="false">IF(A166="","",C166-D166)</f>
        <v/>
      </c>
      <c r="F166" s="169" t="str">
        <f aca="false">IF(A166="","",IF(A166=計算_償還回数,0,MAX(0,F165-(ROUND(計算_月額_基本,0)-ROUND(F165*計算_利率/定数_年月数,0)))))</f>
        <v/>
      </c>
      <c r="G166" s="169" t="str">
        <f aca="false">IF(A166="","",IF(A166=計算_償還回数,0,MAX(0,G165-(ROUND(計算_月額_在宅介護,0)-ROUND(G165*計算_利率_在宅介護/定数_年月数,0)))))</f>
        <v/>
      </c>
      <c r="H166" s="169" t="str">
        <f aca="false">IF(A166="","",F166+G166)</f>
        <v/>
      </c>
      <c r="I166" s="168" t="str">
        <f aca="false">IF(A166="","",IF(AND(OR(MONTH(B166)=6,MONTH(B166)=12),I165&lt;計算_賞与回数),I165+1,I165))</f>
        <v/>
      </c>
      <c r="J166" s="169" t="str">
        <f aca="false">IF(A166="","",IF(I166&gt;I165,IF(I166=計算_賞与回数,M165+K166,計算_賞与償還額),0))</f>
        <v/>
      </c>
      <c r="K166" s="169" t="str">
        <f aca="false">IF(A166="","",IF(I166&gt;I165,ROUND(M165*計算_賞与期間利率,0),0))</f>
        <v/>
      </c>
      <c r="L166" s="169" t="str">
        <f aca="false">IF(A166="","",J166-K166)</f>
        <v/>
      </c>
      <c r="M166" s="169" t="str">
        <f aca="false">IF(A166="","",IF(I166&gt;I165,M165-L166,M165))</f>
        <v/>
      </c>
      <c r="N166" s="169" t="str">
        <f aca="false">IF(A166="","",C166+J166)</f>
        <v/>
      </c>
      <c r="O166" s="169" t="str">
        <f aca="false">IF(A166="","",H166+M166)</f>
        <v/>
      </c>
    </row>
    <row r="167" customFormat="false" ht="15" hidden="false" customHeight="false" outlineLevel="0" collapsed="false">
      <c r="A167" s="168" t="str">
        <f aca="false">IF(OR(計算_償還開始="",ROWS($A$8:A167)&gt;計算_償還回数),"",ROWS($A$8:A167))</f>
        <v/>
      </c>
      <c r="B167" s="170" t="str">
        <f aca="false">IF(A167="","",EDATE(計算_償還開始,A167-1))</f>
        <v/>
      </c>
      <c r="C167" s="169" t="str">
        <f aca="false">IF(A167="","",IF(A167=計算_償還回数,D167+F166+G166,計算_毎月償還額))</f>
        <v/>
      </c>
      <c r="D167" s="169" t="str">
        <f aca="false">IF(A167="","",ROUND(F166*計算_利率/定数_年月数,0)+ROUND(G166*計算_利率_在宅介護/定数_年月数,0))</f>
        <v/>
      </c>
      <c r="E167" s="169" t="str">
        <f aca="false">IF(A167="","",C167-D167)</f>
        <v/>
      </c>
      <c r="F167" s="169" t="str">
        <f aca="false">IF(A167="","",IF(A167=計算_償還回数,0,MAX(0,F166-(ROUND(計算_月額_基本,0)-ROUND(F166*計算_利率/定数_年月数,0)))))</f>
        <v/>
      </c>
      <c r="G167" s="169" t="str">
        <f aca="false">IF(A167="","",IF(A167=計算_償還回数,0,MAX(0,G166-(ROUND(計算_月額_在宅介護,0)-ROUND(G166*計算_利率_在宅介護/定数_年月数,0)))))</f>
        <v/>
      </c>
      <c r="H167" s="169" t="str">
        <f aca="false">IF(A167="","",F167+G167)</f>
        <v/>
      </c>
      <c r="I167" s="168" t="str">
        <f aca="false">IF(A167="","",IF(AND(OR(MONTH(B167)=6,MONTH(B167)=12),I166&lt;計算_賞与回数),I166+1,I166))</f>
        <v/>
      </c>
      <c r="J167" s="169" t="str">
        <f aca="false">IF(A167="","",IF(I167&gt;I166,IF(I167=計算_賞与回数,M166+K167,計算_賞与償還額),0))</f>
        <v/>
      </c>
      <c r="K167" s="169" t="str">
        <f aca="false">IF(A167="","",IF(I167&gt;I166,ROUND(M166*計算_賞与期間利率,0),0))</f>
        <v/>
      </c>
      <c r="L167" s="169" t="str">
        <f aca="false">IF(A167="","",J167-K167)</f>
        <v/>
      </c>
      <c r="M167" s="169" t="str">
        <f aca="false">IF(A167="","",IF(I167&gt;I166,M166-L167,M166))</f>
        <v/>
      </c>
      <c r="N167" s="169" t="str">
        <f aca="false">IF(A167="","",C167+J167)</f>
        <v/>
      </c>
      <c r="O167" s="169" t="str">
        <f aca="false">IF(A167="","",H167+M167)</f>
        <v/>
      </c>
    </row>
    <row r="168" customFormat="false" ht="15" hidden="false" customHeight="false" outlineLevel="0" collapsed="false">
      <c r="A168" s="168" t="str">
        <f aca="false">IF(OR(計算_償還開始="",ROWS($A$8:A168)&gt;計算_償還回数),"",ROWS($A$8:A168))</f>
        <v/>
      </c>
      <c r="B168" s="170" t="str">
        <f aca="false">IF(A168="","",EDATE(計算_償還開始,A168-1))</f>
        <v/>
      </c>
      <c r="C168" s="169" t="str">
        <f aca="false">IF(A168="","",IF(A168=計算_償還回数,D168+F167+G167,計算_毎月償還額))</f>
        <v/>
      </c>
      <c r="D168" s="169" t="str">
        <f aca="false">IF(A168="","",ROUND(F167*計算_利率/定数_年月数,0)+ROUND(G167*計算_利率_在宅介護/定数_年月数,0))</f>
        <v/>
      </c>
      <c r="E168" s="169" t="str">
        <f aca="false">IF(A168="","",C168-D168)</f>
        <v/>
      </c>
      <c r="F168" s="169" t="str">
        <f aca="false">IF(A168="","",IF(A168=計算_償還回数,0,MAX(0,F167-(ROUND(計算_月額_基本,0)-ROUND(F167*計算_利率/定数_年月数,0)))))</f>
        <v/>
      </c>
      <c r="G168" s="169" t="str">
        <f aca="false">IF(A168="","",IF(A168=計算_償還回数,0,MAX(0,G167-(ROUND(計算_月額_在宅介護,0)-ROUND(G167*計算_利率_在宅介護/定数_年月数,0)))))</f>
        <v/>
      </c>
      <c r="H168" s="169" t="str">
        <f aca="false">IF(A168="","",F168+G168)</f>
        <v/>
      </c>
      <c r="I168" s="168" t="str">
        <f aca="false">IF(A168="","",IF(AND(OR(MONTH(B168)=6,MONTH(B168)=12),I167&lt;計算_賞与回数),I167+1,I167))</f>
        <v/>
      </c>
      <c r="J168" s="169" t="str">
        <f aca="false">IF(A168="","",IF(I168&gt;I167,IF(I168=計算_賞与回数,M167+K168,計算_賞与償還額),0))</f>
        <v/>
      </c>
      <c r="K168" s="169" t="str">
        <f aca="false">IF(A168="","",IF(I168&gt;I167,ROUND(M167*計算_賞与期間利率,0),0))</f>
        <v/>
      </c>
      <c r="L168" s="169" t="str">
        <f aca="false">IF(A168="","",J168-K168)</f>
        <v/>
      </c>
      <c r="M168" s="169" t="str">
        <f aca="false">IF(A168="","",IF(I168&gt;I167,M167-L168,M167))</f>
        <v/>
      </c>
      <c r="N168" s="169" t="str">
        <f aca="false">IF(A168="","",C168+J168)</f>
        <v/>
      </c>
      <c r="O168" s="169" t="str">
        <f aca="false">IF(A168="","",H168+M168)</f>
        <v/>
      </c>
    </row>
    <row r="169" customFormat="false" ht="15" hidden="false" customHeight="false" outlineLevel="0" collapsed="false">
      <c r="A169" s="168" t="str">
        <f aca="false">IF(OR(計算_償還開始="",ROWS($A$8:A169)&gt;計算_償還回数),"",ROWS($A$8:A169))</f>
        <v/>
      </c>
      <c r="B169" s="170" t="str">
        <f aca="false">IF(A169="","",EDATE(計算_償還開始,A169-1))</f>
        <v/>
      </c>
      <c r="C169" s="169" t="str">
        <f aca="false">IF(A169="","",IF(A169=計算_償還回数,D169+F168+G168,計算_毎月償還額))</f>
        <v/>
      </c>
      <c r="D169" s="169" t="str">
        <f aca="false">IF(A169="","",ROUND(F168*計算_利率/定数_年月数,0)+ROUND(G168*計算_利率_在宅介護/定数_年月数,0))</f>
        <v/>
      </c>
      <c r="E169" s="169" t="str">
        <f aca="false">IF(A169="","",C169-D169)</f>
        <v/>
      </c>
      <c r="F169" s="169" t="str">
        <f aca="false">IF(A169="","",IF(A169=計算_償還回数,0,MAX(0,F168-(ROUND(計算_月額_基本,0)-ROUND(F168*計算_利率/定数_年月数,0)))))</f>
        <v/>
      </c>
      <c r="G169" s="169" t="str">
        <f aca="false">IF(A169="","",IF(A169=計算_償還回数,0,MAX(0,G168-(ROUND(計算_月額_在宅介護,0)-ROUND(G168*計算_利率_在宅介護/定数_年月数,0)))))</f>
        <v/>
      </c>
      <c r="H169" s="169" t="str">
        <f aca="false">IF(A169="","",F169+G169)</f>
        <v/>
      </c>
      <c r="I169" s="168" t="str">
        <f aca="false">IF(A169="","",IF(AND(OR(MONTH(B169)=6,MONTH(B169)=12),I168&lt;計算_賞与回数),I168+1,I168))</f>
        <v/>
      </c>
      <c r="J169" s="169" t="str">
        <f aca="false">IF(A169="","",IF(I169&gt;I168,IF(I169=計算_賞与回数,M168+K169,計算_賞与償還額),0))</f>
        <v/>
      </c>
      <c r="K169" s="169" t="str">
        <f aca="false">IF(A169="","",IF(I169&gt;I168,ROUND(M168*計算_賞与期間利率,0),0))</f>
        <v/>
      </c>
      <c r="L169" s="169" t="str">
        <f aca="false">IF(A169="","",J169-K169)</f>
        <v/>
      </c>
      <c r="M169" s="169" t="str">
        <f aca="false">IF(A169="","",IF(I169&gt;I168,M168-L169,M168))</f>
        <v/>
      </c>
      <c r="N169" s="169" t="str">
        <f aca="false">IF(A169="","",C169+J169)</f>
        <v/>
      </c>
      <c r="O169" s="169" t="str">
        <f aca="false">IF(A169="","",H169+M169)</f>
        <v/>
      </c>
    </row>
    <row r="170" customFormat="false" ht="15" hidden="false" customHeight="false" outlineLevel="0" collapsed="false">
      <c r="A170" s="168" t="str">
        <f aca="false">IF(OR(計算_償還開始="",ROWS($A$8:A170)&gt;計算_償還回数),"",ROWS($A$8:A170))</f>
        <v/>
      </c>
      <c r="B170" s="170" t="str">
        <f aca="false">IF(A170="","",EDATE(計算_償還開始,A170-1))</f>
        <v/>
      </c>
      <c r="C170" s="169" t="str">
        <f aca="false">IF(A170="","",IF(A170=計算_償還回数,D170+F169+G169,計算_毎月償還額))</f>
        <v/>
      </c>
      <c r="D170" s="169" t="str">
        <f aca="false">IF(A170="","",ROUND(F169*計算_利率/定数_年月数,0)+ROUND(G169*計算_利率_在宅介護/定数_年月数,0))</f>
        <v/>
      </c>
      <c r="E170" s="169" t="str">
        <f aca="false">IF(A170="","",C170-D170)</f>
        <v/>
      </c>
      <c r="F170" s="169" t="str">
        <f aca="false">IF(A170="","",IF(A170=計算_償還回数,0,MAX(0,F169-(ROUND(計算_月額_基本,0)-ROUND(F169*計算_利率/定数_年月数,0)))))</f>
        <v/>
      </c>
      <c r="G170" s="169" t="str">
        <f aca="false">IF(A170="","",IF(A170=計算_償還回数,0,MAX(0,G169-(ROUND(計算_月額_在宅介護,0)-ROUND(G169*計算_利率_在宅介護/定数_年月数,0)))))</f>
        <v/>
      </c>
      <c r="H170" s="169" t="str">
        <f aca="false">IF(A170="","",F170+G170)</f>
        <v/>
      </c>
      <c r="I170" s="168" t="str">
        <f aca="false">IF(A170="","",IF(AND(OR(MONTH(B170)=6,MONTH(B170)=12),I169&lt;計算_賞与回数),I169+1,I169))</f>
        <v/>
      </c>
      <c r="J170" s="169" t="str">
        <f aca="false">IF(A170="","",IF(I170&gt;I169,IF(I170=計算_賞与回数,M169+K170,計算_賞与償還額),0))</f>
        <v/>
      </c>
      <c r="K170" s="169" t="str">
        <f aca="false">IF(A170="","",IF(I170&gt;I169,ROUND(M169*計算_賞与期間利率,0),0))</f>
        <v/>
      </c>
      <c r="L170" s="169" t="str">
        <f aca="false">IF(A170="","",J170-K170)</f>
        <v/>
      </c>
      <c r="M170" s="169" t="str">
        <f aca="false">IF(A170="","",IF(I170&gt;I169,M169-L170,M169))</f>
        <v/>
      </c>
      <c r="N170" s="169" t="str">
        <f aca="false">IF(A170="","",C170+J170)</f>
        <v/>
      </c>
      <c r="O170" s="169" t="str">
        <f aca="false">IF(A170="","",H170+M170)</f>
        <v/>
      </c>
    </row>
    <row r="171" customFormat="false" ht="15" hidden="false" customHeight="false" outlineLevel="0" collapsed="false">
      <c r="A171" s="168" t="str">
        <f aca="false">IF(OR(計算_償還開始="",ROWS($A$8:A171)&gt;計算_償還回数),"",ROWS($A$8:A171))</f>
        <v/>
      </c>
      <c r="B171" s="170" t="str">
        <f aca="false">IF(A171="","",EDATE(計算_償還開始,A171-1))</f>
        <v/>
      </c>
      <c r="C171" s="169" t="str">
        <f aca="false">IF(A171="","",IF(A171=計算_償還回数,D171+F170+G170,計算_毎月償還額))</f>
        <v/>
      </c>
      <c r="D171" s="169" t="str">
        <f aca="false">IF(A171="","",ROUND(F170*計算_利率/定数_年月数,0)+ROUND(G170*計算_利率_在宅介護/定数_年月数,0))</f>
        <v/>
      </c>
      <c r="E171" s="169" t="str">
        <f aca="false">IF(A171="","",C171-D171)</f>
        <v/>
      </c>
      <c r="F171" s="169" t="str">
        <f aca="false">IF(A171="","",IF(A171=計算_償還回数,0,MAX(0,F170-(ROUND(計算_月額_基本,0)-ROUND(F170*計算_利率/定数_年月数,0)))))</f>
        <v/>
      </c>
      <c r="G171" s="169" t="str">
        <f aca="false">IF(A171="","",IF(A171=計算_償還回数,0,MAX(0,G170-(ROUND(計算_月額_在宅介護,0)-ROUND(G170*計算_利率_在宅介護/定数_年月数,0)))))</f>
        <v/>
      </c>
      <c r="H171" s="169" t="str">
        <f aca="false">IF(A171="","",F171+G171)</f>
        <v/>
      </c>
      <c r="I171" s="168" t="str">
        <f aca="false">IF(A171="","",IF(AND(OR(MONTH(B171)=6,MONTH(B171)=12),I170&lt;計算_賞与回数),I170+1,I170))</f>
        <v/>
      </c>
      <c r="J171" s="169" t="str">
        <f aca="false">IF(A171="","",IF(I171&gt;I170,IF(I171=計算_賞与回数,M170+K171,計算_賞与償還額),0))</f>
        <v/>
      </c>
      <c r="K171" s="169" t="str">
        <f aca="false">IF(A171="","",IF(I171&gt;I170,ROUND(M170*計算_賞与期間利率,0),0))</f>
        <v/>
      </c>
      <c r="L171" s="169" t="str">
        <f aca="false">IF(A171="","",J171-K171)</f>
        <v/>
      </c>
      <c r="M171" s="169" t="str">
        <f aca="false">IF(A171="","",IF(I171&gt;I170,M170-L171,M170))</f>
        <v/>
      </c>
      <c r="N171" s="169" t="str">
        <f aca="false">IF(A171="","",C171+J171)</f>
        <v/>
      </c>
      <c r="O171" s="169" t="str">
        <f aca="false">IF(A171="","",H171+M171)</f>
        <v/>
      </c>
    </row>
    <row r="172" customFormat="false" ht="15" hidden="false" customHeight="false" outlineLevel="0" collapsed="false">
      <c r="A172" s="168" t="str">
        <f aca="false">IF(OR(計算_償還開始="",ROWS($A$8:A172)&gt;計算_償還回数),"",ROWS($A$8:A172))</f>
        <v/>
      </c>
      <c r="B172" s="170" t="str">
        <f aca="false">IF(A172="","",EDATE(計算_償還開始,A172-1))</f>
        <v/>
      </c>
      <c r="C172" s="169" t="str">
        <f aca="false">IF(A172="","",IF(A172=計算_償還回数,D172+F171+G171,計算_毎月償還額))</f>
        <v/>
      </c>
      <c r="D172" s="169" t="str">
        <f aca="false">IF(A172="","",ROUND(F171*計算_利率/定数_年月数,0)+ROUND(G171*計算_利率_在宅介護/定数_年月数,0))</f>
        <v/>
      </c>
      <c r="E172" s="169" t="str">
        <f aca="false">IF(A172="","",C172-D172)</f>
        <v/>
      </c>
      <c r="F172" s="169" t="str">
        <f aca="false">IF(A172="","",IF(A172=計算_償還回数,0,MAX(0,F171-(ROUND(計算_月額_基本,0)-ROUND(F171*計算_利率/定数_年月数,0)))))</f>
        <v/>
      </c>
      <c r="G172" s="169" t="str">
        <f aca="false">IF(A172="","",IF(A172=計算_償還回数,0,MAX(0,G171-(ROUND(計算_月額_在宅介護,0)-ROUND(G171*計算_利率_在宅介護/定数_年月数,0)))))</f>
        <v/>
      </c>
      <c r="H172" s="169" t="str">
        <f aca="false">IF(A172="","",F172+G172)</f>
        <v/>
      </c>
      <c r="I172" s="168" t="str">
        <f aca="false">IF(A172="","",IF(AND(OR(MONTH(B172)=6,MONTH(B172)=12),I171&lt;計算_賞与回数),I171+1,I171))</f>
        <v/>
      </c>
      <c r="J172" s="169" t="str">
        <f aca="false">IF(A172="","",IF(I172&gt;I171,IF(I172=計算_賞与回数,M171+K172,計算_賞与償還額),0))</f>
        <v/>
      </c>
      <c r="K172" s="169" t="str">
        <f aca="false">IF(A172="","",IF(I172&gt;I171,ROUND(M171*計算_賞与期間利率,0),0))</f>
        <v/>
      </c>
      <c r="L172" s="169" t="str">
        <f aca="false">IF(A172="","",J172-K172)</f>
        <v/>
      </c>
      <c r="M172" s="169" t="str">
        <f aca="false">IF(A172="","",IF(I172&gt;I171,M171-L172,M171))</f>
        <v/>
      </c>
      <c r="N172" s="169" t="str">
        <f aca="false">IF(A172="","",C172+J172)</f>
        <v/>
      </c>
      <c r="O172" s="169" t="str">
        <f aca="false">IF(A172="","",H172+M172)</f>
        <v/>
      </c>
    </row>
    <row r="173" customFormat="false" ht="15" hidden="false" customHeight="false" outlineLevel="0" collapsed="false">
      <c r="A173" s="168" t="str">
        <f aca="false">IF(OR(計算_償還開始="",ROWS($A$8:A173)&gt;計算_償還回数),"",ROWS($A$8:A173))</f>
        <v/>
      </c>
      <c r="B173" s="170" t="str">
        <f aca="false">IF(A173="","",EDATE(計算_償還開始,A173-1))</f>
        <v/>
      </c>
      <c r="C173" s="169" t="str">
        <f aca="false">IF(A173="","",IF(A173=計算_償還回数,D173+F172+G172,計算_毎月償還額))</f>
        <v/>
      </c>
      <c r="D173" s="169" t="str">
        <f aca="false">IF(A173="","",ROUND(F172*計算_利率/定数_年月数,0)+ROUND(G172*計算_利率_在宅介護/定数_年月数,0))</f>
        <v/>
      </c>
      <c r="E173" s="169" t="str">
        <f aca="false">IF(A173="","",C173-D173)</f>
        <v/>
      </c>
      <c r="F173" s="169" t="str">
        <f aca="false">IF(A173="","",IF(A173=計算_償還回数,0,MAX(0,F172-(ROUND(計算_月額_基本,0)-ROUND(F172*計算_利率/定数_年月数,0)))))</f>
        <v/>
      </c>
      <c r="G173" s="169" t="str">
        <f aca="false">IF(A173="","",IF(A173=計算_償還回数,0,MAX(0,G172-(ROUND(計算_月額_在宅介護,0)-ROUND(G172*計算_利率_在宅介護/定数_年月数,0)))))</f>
        <v/>
      </c>
      <c r="H173" s="169" t="str">
        <f aca="false">IF(A173="","",F173+G173)</f>
        <v/>
      </c>
      <c r="I173" s="168" t="str">
        <f aca="false">IF(A173="","",IF(AND(OR(MONTH(B173)=6,MONTH(B173)=12),I172&lt;計算_賞与回数),I172+1,I172))</f>
        <v/>
      </c>
      <c r="J173" s="169" t="str">
        <f aca="false">IF(A173="","",IF(I173&gt;I172,IF(I173=計算_賞与回数,M172+K173,計算_賞与償還額),0))</f>
        <v/>
      </c>
      <c r="K173" s="169" t="str">
        <f aca="false">IF(A173="","",IF(I173&gt;I172,ROUND(M172*計算_賞与期間利率,0),0))</f>
        <v/>
      </c>
      <c r="L173" s="169" t="str">
        <f aca="false">IF(A173="","",J173-K173)</f>
        <v/>
      </c>
      <c r="M173" s="169" t="str">
        <f aca="false">IF(A173="","",IF(I173&gt;I172,M172-L173,M172))</f>
        <v/>
      </c>
      <c r="N173" s="169" t="str">
        <f aca="false">IF(A173="","",C173+J173)</f>
        <v/>
      </c>
      <c r="O173" s="169" t="str">
        <f aca="false">IF(A173="","",H173+M173)</f>
        <v/>
      </c>
    </row>
    <row r="174" customFormat="false" ht="15" hidden="false" customHeight="false" outlineLevel="0" collapsed="false">
      <c r="A174" s="168" t="str">
        <f aca="false">IF(OR(計算_償還開始="",ROWS($A$8:A174)&gt;計算_償還回数),"",ROWS($A$8:A174))</f>
        <v/>
      </c>
      <c r="B174" s="170" t="str">
        <f aca="false">IF(A174="","",EDATE(計算_償還開始,A174-1))</f>
        <v/>
      </c>
      <c r="C174" s="169" t="str">
        <f aca="false">IF(A174="","",IF(A174=計算_償還回数,D174+F173+G173,計算_毎月償還額))</f>
        <v/>
      </c>
      <c r="D174" s="169" t="str">
        <f aca="false">IF(A174="","",ROUND(F173*計算_利率/定数_年月数,0)+ROUND(G173*計算_利率_在宅介護/定数_年月数,0))</f>
        <v/>
      </c>
      <c r="E174" s="169" t="str">
        <f aca="false">IF(A174="","",C174-D174)</f>
        <v/>
      </c>
      <c r="F174" s="169" t="str">
        <f aca="false">IF(A174="","",IF(A174=計算_償還回数,0,MAX(0,F173-(ROUND(計算_月額_基本,0)-ROUND(F173*計算_利率/定数_年月数,0)))))</f>
        <v/>
      </c>
      <c r="G174" s="169" t="str">
        <f aca="false">IF(A174="","",IF(A174=計算_償還回数,0,MAX(0,G173-(ROUND(計算_月額_在宅介護,0)-ROUND(G173*計算_利率_在宅介護/定数_年月数,0)))))</f>
        <v/>
      </c>
      <c r="H174" s="169" t="str">
        <f aca="false">IF(A174="","",F174+G174)</f>
        <v/>
      </c>
      <c r="I174" s="168" t="str">
        <f aca="false">IF(A174="","",IF(AND(OR(MONTH(B174)=6,MONTH(B174)=12),I173&lt;計算_賞与回数),I173+1,I173))</f>
        <v/>
      </c>
      <c r="J174" s="169" t="str">
        <f aca="false">IF(A174="","",IF(I174&gt;I173,IF(I174=計算_賞与回数,M173+K174,計算_賞与償還額),0))</f>
        <v/>
      </c>
      <c r="K174" s="169" t="str">
        <f aca="false">IF(A174="","",IF(I174&gt;I173,ROUND(M173*計算_賞与期間利率,0),0))</f>
        <v/>
      </c>
      <c r="L174" s="169" t="str">
        <f aca="false">IF(A174="","",J174-K174)</f>
        <v/>
      </c>
      <c r="M174" s="169" t="str">
        <f aca="false">IF(A174="","",IF(I174&gt;I173,M173-L174,M173))</f>
        <v/>
      </c>
      <c r="N174" s="169" t="str">
        <f aca="false">IF(A174="","",C174+J174)</f>
        <v/>
      </c>
      <c r="O174" s="169" t="str">
        <f aca="false">IF(A174="","",H174+M174)</f>
        <v/>
      </c>
    </row>
    <row r="175" customFormat="false" ht="15" hidden="false" customHeight="false" outlineLevel="0" collapsed="false">
      <c r="A175" s="168" t="str">
        <f aca="false">IF(OR(計算_償還開始="",ROWS($A$8:A175)&gt;計算_償還回数),"",ROWS($A$8:A175))</f>
        <v/>
      </c>
      <c r="B175" s="170" t="str">
        <f aca="false">IF(A175="","",EDATE(計算_償還開始,A175-1))</f>
        <v/>
      </c>
      <c r="C175" s="169" t="str">
        <f aca="false">IF(A175="","",IF(A175=計算_償還回数,D175+F174+G174,計算_毎月償還額))</f>
        <v/>
      </c>
      <c r="D175" s="169" t="str">
        <f aca="false">IF(A175="","",ROUND(F174*計算_利率/定数_年月数,0)+ROUND(G174*計算_利率_在宅介護/定数_年月数,0))</f>
        <v/>
      </c>
      <c r="E175" s="169" t="str">
        <f aca="false">IF(A175="","",C175-D175)</f>
        <v/>
      </c>
      <c r="F175" s="169" t="str">
        <f aca="false">IF(A175="","",IF(A175=計算_償還回数,0,MAX(0,F174-(ROUND(計算_月額_基本,0)-ROUND(F174*計算_利率/定数_年月数,0)))))</f>
        <v/>
      </c>
      <c r="G175" s="169" t="str">
        <f aca="false">IF(A175="","",IF(A175=計算_償還回数,0,MAX(0,G174-(ROUND(計算_月額_在宅介護,0)-ROUND(G174*計算_利率_在宅介護/定数_年月数,0)))))</f>
        <v/>
      </c>
      <c r="H175" s="169" t="str">
        <f aca="false">IF(A175="","",F175+G175)</f>
        <v/>
      </c>
      <c r="I175" s="168" t="str">
        <f aca="false">IF(A175="","",IF(AND(OR(MONTH(B175)=6,MONTH(B175)=12),I174&lt;計算_賞与回数),I174+1,I174))</f>
        <v/>
      </c>
      <c r="J175" s="169" t="str">
        <f aca="false">IF(A175="","",IF(I175&gt;I174,IF(I175=計算_賞与回数,M174+K175,計算_賞与償還額),0))</f>
        <v/>
      </c>
      <c r="K175" s="169" t="str">
        <f aca="false">IF(A175="","",IF(I175&gt;I174,ROUND(M174*計算_賞与期間利率,0),0))</f>
        <v/>
      </c>
      <c r="L175" s="169" t="str">
        <f aca="false">IF(A175="","",J175-K175)</f>
        <v/>
      </c>
      <c r="M175" s="169" t="str">
        <f aca="false">IF(A175="","",IF(I175&gt;I174,M174-L175,M174))</f>
        <v/>
      </c>
      <c r="N175" s="169" t="str">
        <f aca="false">IF(A175="","",C175+J175)</f>
        <v/>
      </c>
      <c r="O175" s="169" t="str">
        <f aca="false">IF(A175="","",H175+M175)</f>
        <v/>
      </c>
    </row>
    <row r="176" customFormat="false" ht="15" hidden="false" customHeight="false" outlineLevel="0" collapsed="false">
      <c r="A176" s="168" t="str">
        <f aca="false">IF(OR(計算_償還開始="",ROWS($A$8:A176)&gt;計算_償還回数),"",ROWS($A$8:A176))</f>
        <v/>
      </c>
      <c r="B176" s="170" t="str">
        <f aca="false">IF(A176="","",EDATE(計算_償還開始,A176-1))</f>
        <v/>
      </c>
      <c r="C176" s="169" t="str">
        <f aca="false">IF(A176="","",IF(A176=計算_償還回数,D176+F175+G175,計算_毎月償還額))</f>
        <v/>
      </c>
      <c r="D176" s="169" t="str">
        <f aca="false">IF(A176="","",ROUND(F175*計算_利率/定数_年月数,0)+ROUND(G175*計算_利率_在宅介護/定数_年月数,0))</f>
        <v/>
      </c>
      <c r="E176" s="169" t="str">
        <f aca="false">IF(A176="","",C176-D176)</f>
        <v/>
      </c>
      <c r="F176" s="169" t="str">
        <f aca="false">IF(A176="","",IF(A176=計算_償還回数,0,MAX(0,F175-(ROUND(計算_月額_基本,0)-ROUND(F175*計算_利率/定数_年月数,0)))))</f>
        <v/>
      </c>
      <c r="G176" s="169" t="str">
        <f aca="false">IF(A176="","",IF(A176=計算_償還回数,0,MAX(0,G175-(ROUND(計算_月額_在宅介護,0)-ROUND(G175*計算_利率_在宅介護/定数_年月数,0)))))</f>
        <v/>
      </c>
      <c r="H176" s="169" t="str">
        <f aca="false">IF(A176="","",F176+G176)</f>
        <v/>
      </c>
      <c r="I176" s="168" t="str">
        <f aca="false">IF(A176="","",IF(AND(OR(MONTH(B176)=6,MONTH(B176)=12),I175&lt;計算_賞与回数),I175+1,I175))</f>
        <v/>
      </c>
      <c r="J176" s="169" t="str">
        <f aca="false">IF(A176="","",IF(I176&gt;I175,IF(I176=計算_賞与回数,M175+K176,計算_賞与償還額),0))</f>
        <v/>
      </c>
      <c r="K176" s="169" t="str">
        <f aca="false">IF(A176="","",IF(I176&gt;I175,ROUND(M175*計算_賞与期間利率,0),0))</f>
        <v/>
      </c>
      <c r="L176" s="169" t="str">
        <f aca="false">IF(A176="","",J176-K176)</f>
        <v/>
      </c>
      <c r="M176" s="169" t="str">
        <f aca="false">IF(A176="","",IF(I176&gt;I175,M175-L176,M175))</f>
        <v/>
      </c>
      <c r="N176" s="169" t="str">
        <f aca="false">IF(A176="","",C176+J176)</f>
        <v/>
      </c>
      <c r="O176" s="169" t="str">
        <f aca="false">IF(A176="","",H176+M176)</f>
        <v/>
      </c>
    </row>
    <row r="177" customFormat="false" ht="15" hidden="false" customHeight="false" outlineLevel="0" collapsed="false">
      <c r="A177" s="168" t="str">
        <f aca="false">IF(OR(計算_償還開始="",ROWS($A$8:A177)&gt;計算_償還回数),"",ROWS($A$8:A177))</f>
        <v/>
      </c>
      <c r="B177" s="170" t="str">
        <f aca="false">IF(A177="","",EDATE(計算_償還開始,A177-1))</f>
        <v/>
      </c>
      <c r="C177" s="169" t="str">
        <f aca="false">IF(A177="","",IF(A177=計算_償還回数,D177+F176+G176,計算_毎月償還額))</f>
        <v/>
      </c>
      <c r="D177" s="169" t="str">
        <f aca="false">IF(A177="","",ROUND(F176*計算_利率/定数_年月数,0)+ROUND(G176*計算_利率_在宅介護/定数_年月数,0))</f>
        <v/>
      </c>
      <c r="E177" s="169" t="str">
        <f aca="false">IF(A177="","",C177-D177)</f>
        <v/>
      </c>
      <c r="F177" s="169" t="str">
        <f aca="false">IF(A177="","",IF(A177=計算_償還回数,0,MAX(0,F176-(ROUND(計算_月額_基本,0)-ROUND(F176*計算_利率/定数_年月数,0)))))</f>
        <v/>
      </c>
      <c r="G177" s="169" t="str">
        <f aca="false">IF(A177="","",IF(A177=計算_償還回数,0,MAX(0,G176-(ROUND(計算_月額_在宅介護,0)-ROUND(G176*計算_利率_在宅介護/定数_年月数,0)))))</f>
        <v/>
      </c>
      <c r="H177" s="169" t="str">
        <f aca="false">IF(A177="","",F177+G177)</f>
        <v/>
      </c>
      <c r="I177" s="168" t="str">
        <f aca="false">IF(A177="","",IF(AND(OR(MONTH(B177)=6,MONTH(B177)=12),I176&lt;計算_賞与回数),I176+1,I176))</f>
        <v/>
      </c>
      <c r="J177" s="169" t="str">
        <f aca="false">IF(A177="","",IF(I177&gt;I176,IF(I177=計算_賞与回数,M176+K177,計算_賞与償還額),0))</f>
        <v/>
      </c>
      <c r="K177" s="169" t="str">
        <f aca="false">IF(A177="","",IF(I177&gt;I176,ROUND(M176*計算_賞与期間利率,0),0))</f>
        <v/>
      </c>
      <c r="L177" s="169" t="str">
        <f aca="false">IF(A177="","",J177-K177)</f>
        <v/>
      </c>
      <c r="M177" s="169" t="str">
        <f aca="false">IF(A177="","",IF(I177&gt;I176,M176-L177,M176))</f>
        <v/>
      </c>
      <c r="N177" s="169" t="str">
        <f aca="false">IF(A177="","",C177+J177)</f>
        <v/>
      </c>
      <c r="O177" s="169" t="str">
        <f aca="false">IF(A177="","",H177+M177)</f>
        <v/>
      </c>
    </row>
    <row r="178" customFormat="false" ht="15" hidden="false" customHeight="false" outlineLevel="0" collapsed="false">
      <c r="A178" s="168" t="str">
        <f aca="false">IF(OR(計算_償還開始="",ROWS($A$8:A178)&gt;計算_償還回数),"",ROWS($A$8:A178))</f>
        <v/>
      </c>
      <c r="B178" s="170" t="str">
        <f aca="false">IF(A178="","",EDATE(計算_償還開始,A178-1))</f>
        <v/>
      </c>
      <c r="C178" s="169" t="str">
        <f aca="false">IF(A178="","",IF(A178=計算_償還回数,D178+F177+G177,計算_毎月償還額))</f>
        <v/>
      </c>
      <c r="D178" s="169" t="str">
        <f aca="false">IF(A178="","",ROUND(F177*計算_利率/定数_年月数,0)+ROUND(G177*計算_利率_在宅介護/定数_年月数,0))</f>
        <v/>
      </c>
      <c r="E178" s="169" t="str">
        <f aca="false">IF(A178="","",C178-D178)</f>
        <v/>
      </c>
      <c r="F178" s="169" t="str">
        <f aca="false">IF(A178="","",IF(A178=計算_償還回数,0,MAX(0,F177-(ROUND(計算_月額_基本,0)-ROUND(F177*計算_利率/定数_年月数,0)))))</f>
        <v/>
      </c>
      <c r="G178" s="169" t="str">
        <f aca="false">IF(A178="","",IF(A178=計算_償還回数,0,MAX(0,G177-(ROUND(計算_月額_在宅介護,0)-ROUND(G177*計算_利率_在宅介護/定数_年月数,0)))))</f>
        <v/>
      </c>
      <c r="H178" s="169" t="str">
        <f aca="false">IF(A178="","",F178+G178)</f>
        <v/>
      </c>
      <c r="I178" s="168" t="str">
        <f aca="false">IF(A178="","",IF(AND(OR(MONTH(B178)=6,MONTH(B178)=12),I177&lt;計算_賞与回数),I177+1,I177))</f>
        <v/>
      </c>
      <c r="J178" s="169" t="str">
        <f aca="false">IF(A178="","",IF(I178&gt;I177,IF(I178=計算_賞与回数,M177+K178,計算_賞与償還額),0))</f>
        <v/>
      </c>
      <c r="K178" s="169" t="str">
        <f aca="false">IF(A178="","",IF(I178&gt;I177,ROUND(M177*計算_賞与期間利率,0),0))</f>
        <v/>
      </c>
      <c r="L178" s="169" t="str">
        <f aca="false">IF(A178="","",J178-K178)</f>
        <v/>
      </c>
      <c r="M178" s="169" t="str">
        <f aca="false">IF(A178="","",IF(I178&gt;I177,M177-L178,M177))</f>
        <v/>
      </c>
      <c r="N178" s="169" t="str">
        <f aca="false">IF(A178="","",C178+J178)</f>
        <v/>
      </c>
      <c r="O178" s="169" t="str">
        <f aca="false">IF(A178="","",H178+M178)</f>
        <v/>
      </c>
    </row>
    <row r="179" customFormat="false" ht="15" hidden="false" customHeight="false" outlineLevel="0" collapsed="false">
      <c r="A179" s="168" t="str">
        <f aca="false">IF(OR(計算_償還開始="",ROWS($A$8:A179)&gt;計算_償還回数),"",ROWS($A$8:A179))</f>
        <v/>
      </c>
      <c r="B179" s="170" t="str">
        <f aca="false">IF(A179="","",EDATE(計算_償還開始,A179-1))</f>
        <v/>
      </c>
      <c r="C179" s="169" t="str">
        <f aca="false">IF(A179="","",IF(A179=計算_償還回数,D179+F178+G178,計算_毎月償還額))</f>
        <v/>
      </c>
      <c r="D179" s="169" t="str">
        <f aca="false">IF(A179="","",ROUND(F178*計算_利率/定数_年月数,0)+ROUND(G178*計算_利率_在宅介護/定数_年月数,0))</f>
        <v/>
      </c>
      <c r="E179" s="169" t="str">
        <f aca="false">IF(A179="","",C179-D179)</f>
        <v/>
      </c>
      <c r="F179" s="169" t="str">
        <f aca="false">IF(A179="","",IF(A179=計算_償還回数,0,MAX(0,F178-(ROUND(計算_月額_基本,0)-ROUND(F178*計算_利率/定数_年月数,0)))))</f>
        <v/>
      </c>
      <c r="G179" s="169" t="str">
        <f aca="false">IF(A179="","",IF(A179=計算_償還回数,0,MAX(0,G178-(ROUND(計算_月額_在宅介護,0)-ROUND(G178*計算_利率_在宅介護/定数_年月数,0)))))</f>
        <v/>
      </c>
      <c r="H179" s="169" t="str">
        <f aca="false">IF(A179="","",F179+G179)</f>
        <v/>
      </c>
      <c r="I179" s="168" t="str">
        <f aca="false">IF(A179="","",IF(AND(OR(MONTH(B179)=6,MONTH(B179)=12),I178&lt;計算_賞与回数),I178+1,I178))</f>
        <v/>
      </c>
      <c r="J179" s="169" t="str">
        <f aca="false">IF(A179="","",IF(I179&gt;I178,IF(I179=計算_賞与回数,M178+K179,計算_賞与償還額),0))</f>
        <v/>
      </c>
      <c r="K179" s="169" t="str">
        <f aca="false">IF(A179="","",IF(I179&gt;I178,ROUND(M178*計算_賞与期間利率,0),0))</f>
        <v/>
      </c>
      <c r="L179" s="169" t="str">
        <f aca="false">IF(A179="","",J179-K179)</f>
        <v/>
      </c>
      <c r="M179" s="169" t="str">
        <f aca="false">IF(A179="","",IF(I179&gt;I178,M178-L179,M178))</f>
        <v/>
      </c>
      <c r="N179" s="169" t="str">
        <f aca="false">IF(A179="","",C179+J179)</f>
        <v/>
      </c>
      <c r="O179" s="169" t="str">
        <f aca="false">IF(A179="","",H179+M179)</f>
        <v/>
      </c>
    </row>
    <row r="180" customFormat="false" ht="15" hidden="false" customHeight="false" outlineLevel="0" collapsed="false">
      <c r="A180" s="168" t="str">
        <f aca="false">IF(OR(計算_償還開始="",ROWS($A$8:A180)&gt;計算_償還回数),"",ROWS($A$8:A180))</f>
        <v/>
      </c>
      <c r="B180" s="170" t="str">
        <f aca="false">IF(A180="","",EDATE(計算_償還開始,A180-1))</f>
        <v/>
      </c>
      <c r="C180" s="169" t="str">
        <f aca="false">IF(A180="","",IF(A180=計算_償還回数,D180+F179+G179,計算_毎月償還額))</f>
        <v/>
      </c>
      <c r="D180" s="169" t="str">
        <f aca="false">IF(A180="","",ROUND(F179*計算_利率/定数_年月数,0)+ROUND(G179*計算_利率_在宅介護/定数_年月数,0))</f>
        <v/>
      </c>
      <c r="E180" s="169" t="str">
        <f aca="false">IF(A180="","",C180-D180)</f>
        <v/>
      </c>
      <c r="F180" s="169" t="str">
        <f aca="false">IF(A180="","",IF(A180=計算_償還回数,0,MAX(0,F179-(ROUND(計算_月額_基本,0)-ROUND(F179*計算_利率/定数_年月数,0)))))</f>
        <v/>
      </c>
      <c r="G180" s="169" t="str">
        <f aca="false">IF(A180="","",IF(A180=計算_償還回数,0,MAX(0,G179-(ROUND(計算_月額_在宅介護,0)-ROUND(G179*計算_利率_在宅介護/定数_年月数,0)))))</f>
        <v/>
      </c>
      <c r="H180" s="169" t="str">
        <f aca="false">IF(A180="","",F180+G180)</f>
        <v/>
      </c>
      <c r="I180" s="168" t="str">
        <f aca="false">IF(A180="","",IF(AND(OR(MONTH(B180)=6,MONTH(B180)=12),I179&lt;計算_賞与回数),I179+1,I179))</f>
        <v/>
      </c>
      <c r="J180" s="169" t="str">
        <f aca="false">IF(A180="","",IF(I180&gt;I179,IF(I180=計算_賞与回数,M179+K180,計算_賞与償還額),0))</f>
        <v/>
      </c>
      <c r="K180" s="169" t="str">
        <f aca="false">IF(A180="","",IF(I180&gt;I179,ROUND(M179*計算_賞与期間利率,0),0))</f>
        <v/>
      </c>
      <c r="L180" s="169" t="str">
        <f aca="false">IF(A180="","",J180-K180)</f>
        <v/>
      </c>
      <c r="M180" s="169" t="str">
        <f aca="false">IF(A180="","",IF(I180&gt;I179,M179-L180,M179))</f>
        <v/>
      </c>
      <c r="N180" s="169" t="str">
        <f aca="false">IF(A180="","",C180+J180)</f>
        <v/>
      </c>
      <c r="O180" s="169" t="str">
        <f aca="false">IF(A180="","",H180+M180)</f>
        <v/>
      </c>
    </row>
    <row r="181" customFormat="false" ht="15" hidden="false" customHeight="false" outlineLevel="0" collapsed="false">
      <c r="A181" s="168" t="str">
        <f aca="false">IF(OR(計算_償還開始="",ROWS($A$8:A181)&gt;計算_償還回数),"",ROWS($A$8:A181))</f>
        <v/>
      </c>
      <c r="B181" s="170" t="str">
        <f aca="false">IF(A181="","",EDATE(計算_償還開始,A181-1))</f>
        <v/>
      </c>
      <c r="C181" s="169" t="str">
        <f aca="false">IF(A181="","",IF(A181=計算_償還回数,D181+F180+G180,計算_毎月償還額))</f>
        <v/>
      </c>
      <c r="D181" s="169" t="str">
        <f aca="false">IF(A181="","",ROUND(F180*計算_利率/定数_年月数,0)+ROUND(G180*計算_利率_在宅介護/定数_年月数,0))</f>
        <v/>
      </c>
      <c r="E181" s="169" t="str">
        <f aca="false">IF(A181="","",C181-D181)</f>
        <v/>
      </c>
      <c r="F181" s="169" t="str">
        <f aca="false">IF(A181="","",IF(A181=計算_償還回数,0,MAX(0,F180-(ROUND(計算_月額_基本,0)-ROUND(F180*計算_利率/定数_年月数,0)))))</f>
        <v/>
      </c>
      <c r="G181" s="169" t="str">
        <f aca="false">IF(A181="","",IF(A181=計算_償還回数,0,MAX(0,G180-(ROUND(計算_月額_在宅介護,0)-ROUND(G180*計算_利率_在宅介護/定数_年月数,0)))))</f>
        <v/>
      </c>
      <c r="H181" s="169" t="str">
        <f aca="false">IF(A181="","",F181+G181)</f>
        <v/>
      </c>
      <c r="I181" s="168" t="str">
        <f aca="false">IF(A181="","",IF(AND(OR(MONTH(B181)=6,MONTH(B181)=12),I180&lt;計算_賞与回数),I180+1,I180))</f>
        <v/>
      </c>
      <c r="J181" s="169" t="str">
        <f aca="false">IF(A181="","",IF(I181&gt;I180,IF(I181=計算_賞与回数,M180+K181,計算_賞与償還額),0))</f>
        <v/>
      </c>
      <c r="K181" s="169" t="str">
        <f aca="false">IF(A181="","",IF(I181&gt;I180,ROUND(M180*計算_賞与期間利率,0),0))</f>
        <v/>
      </c>
      <c r="L181" s="169" t="str">
        <f aca="false">IF(A181="","",J181-K181)</f>
        <v/>
      </c>
      <c r="M181" s="169" t="str">
        <f aca="false">IF(A181="","",IF(I181&gt;I180,M180-L181,M180))</f>
        <v/>
      </c>
      <c r="N181" s="169" t="str">
        <f aca="false">IF(A181="","",C181+J181)</f>
        <v/>
      </c>
      <c r="O181" s="169" t="str">
        <f aca="false">IF(A181="","",H181+M181)</f>
        <v/>
      </c>
    </row>
    <row r="182" customFormat="false" ht="15" hidden="false" customHeight="false" outlineLevel="0" collapsed="false">
      <c r="A182" s="168" t="str">
        <f aca="false">IF(OR(計算_償還開始="",ROWS($A$8:A182)&gt;計算_償還回数),"",ROWS($A$8:A182))</f>
        <v/>
      </c>
      <c r="B182" s="170" t="str">
        <f aca="false">IF(A182="","",EDATE(計算_償還開始,A182-1))</f>
        <v/>
      </c>
      <c r="C182" s="169" t="str">
        <f aca="false">IF(A182="","",IF(A182=計算_償還回数,D182+F181+G181,計算_毎月償還額))</f>
        <v/>
      </c>
      <c r="D182" s="169" t="str">
        <f aca="false">IF(A182="","",ROUND(F181*計算_利率/定数_年月数,0)+ROUND(G181*計算_利率_在宅介護/定数_年月数,0))</f>
        <v/>
      </c>
      <c r="E182" s="169" t="str">
        <f aca="false">IF(A182="","",C182-D182)</f>
        <v/>
      </c>
      <c r="F182" s="169" t="str">
        <f aca="false">IF(A182="","",IF(A182=計算_償還回数,0,MAX(0,F181-(ROUND(計算_月額_基本,0)-ROUND(F181*計算_利率/定数_年月数,0)))))</f>
        <v/>
      </c>
      <c r="G182" s="169" t="str">
        <f aca="false">IF(A182="","",IF(A182=計算_償還回数,0,MAX(0,G181-(ROUND(計算_月額_在宅介護,0)-ROUND(G181*計算_利率_在宅介護/定数_年月数,0)))))</f>
        <v/>
      </c>
      <c r="H182" s="169" t="str">
        <f aca="false">IF(A182="","",F182+G182)</f>
        <v/>
      </c>
      <c r="I182" s="168" t="str">
        <f aca="false">IF(A182="","",IF(AND(OR(MONTH(B182)=6,MONTH(B182)=12),I181&lt;計算_賞与回数),I181+1,I181))</f>
        <v/>
      </c>
      <c r="J182" s="169" t="str">
        <f aca="false">IF(A182="","",IF(I182&gt;I181,IF(I182=計算_賞与回数,M181+K182,計算_賞与償還額),0))</f>
        <v/>
      </c>
      <c r="K182" s="169" t="str">
        <f aca="false">IF(A182="","",IF(I182&gt;I181,ROUND(M181*計算_賞与期間利率,0),0))</f>
        <v/>
      </c>
      <c r="L182" s="169" t="str">
        <f aca="false">IF(A182="","",J182-K182)</f>
        <v/>
      </c>
      <c r="M182" s="169" t="str">
        <f aca="false">IF(A182="","",IF(I182&gt;I181,M181-L182,M181))</f>
        <v/>
      </c>
      <c r="N182" s="169" t="str">
        <f aca="false">IF(A182="","",C182+J182)</f>
        <v/>
      </c>
      <c r="O182" s="169" t="str">
        <f aca="false">IF(A182="","",H182+M182)</f>
        <v/>
      </c>
    </row>
    <row r="183" customFormat="false" ht="15" hidden="false" customHeight="false" outlineLevel="0" collapsed="false">
      <c r="A183" s="168" t="str">
        <f aca="false">IF(OR(計算_償還開始="",ROWS($A$8:A183)&gt;計算_償還回数),"",ROWS($A$8:A183))</f>
        <v/>
      </c>
      <c r="B183" s="170" t="str">
        <f aca="false">IF(A183="","",EDATE(計算_償還開始,A183-1))</f>
        <v/>
      </c>
      <c r="C183" s="169" t="str">
        <f aca="false">IF(A183="","",IF(A183=計算_償還回数,D183+F182+G182,計算_毎月償還額))</f>
        <v/>
      </c>
      <c r="D183" s="169" t="str">
        <f aca="false">IF(A183="","",ROUND(F182*計算_利率/定数_年月数,0)+ROUND(G182*計算_利率_在宅介護/定数_年月数,0))</f>
        <v/>
      </c>
      <c r="E183" s="169" t="str">
        <f aca="false">IF(A183="","",C183-D183)</f>
        <v/>
      </c>
      <c r="F183" s="169" t="str">
        <f aca="false">IF(A183="","",IF(A183=計算_償還回数,0,MAX(0,F182-(ROUND(計算_月額_基本,0)-ROUND(F182*計算_利率/定数_年月数,0)))))</f>
        <v/>
      </c>
      <c r="G183" s="169" t="str">
        <f aca="false">IF(A183="","",IF(A183=計算_償還回数,0,MAX(0,G182-(ROUND(計算_月額_在宅介護,0)-ROUND(G182*計算_利率_在宅介護/定数_年月数,0)))))</f>
        <v/>
      </c>
      <c r="H183" s="169" t="str">
        <f aca="false">IF(A183="","",F183+G183)</f>
        <v/>
      </c>
      <c r="I183" s="168" t="str">
        <f aca="false">IF(A183="","",IF(AND(OR(MONTH(B183)=6,MONTH(B183)=12),I182&lt;計算_賞与回数),I182+1,I182))</f>
        <v/>
      </c>
      <c r="J183" s="169" t="str">
        <f aca="false">IF(A183="","",IF(I183&gt;I182,IF(I183=計算_賞与回数,M182+K183,計算_賞与償還額),0))</f>
        <v/>
      </c>
      <c r="K183" s="169" t="str">
        <f aca="false">IF(A183="","",IF(I183&gt;I182,ROUND(M182*計算_賞与期間利率,0),0))</f>
        <v/>
      </c>
      <c r="L183" s="169" t="str">
        <f aca="false">IF(A183="","",J183-K183)</f>
        <v/>
      </c>
      <c r="M183" s="169" t="str">
        <f aca="false">IF(A183="","",IF(I183&gt;I182,M182-L183,M182))</f>
        <v/>
      </c>
      <c r="N183" s="169" t="str">
        <f aca="false">IF(A183="","",C183+J183)</f>
        <v/>
      </c>
      <c r="O183" s="169" t="str">
        <f aca="false">IF(A183="","",H183+M183)</f>
        <v/>
      </c>
    </row>
    <row r="184" customFormat="false" ht="15" hidden="false" customHeight="false" outlineLevel="0" collapsed="false">
      <c r="A184" s="168" t="str">
        <f aca="false">IF(OR(計算_償還開始="",ROWS($A$8:A184)&gt;計算_償還回数),"",ROWS($A$8:A184))</f>
        <v/>
      </c>
      <c r="B184" s="170" t="str">
        <f aca="false">IF(A184="","",EDATE(計算_償還開始,A184-1))</f>
        <v/>
      </c>
      <c r="C184" s="169" t="str">
        <f aca="false">IF(A184="","",IF(A184=計算_償還回数,D184+F183+G183,計算_毎月償還額))</f>
        <v/>
      </c>
      <c r="D184" s="169" t="str">
        <f aca="false">IF(A184="","",ROUND(F183*計算_利率/定数_年月数,0)+ROUND(G183*計算_利率_在宅介護/定数_年月数,0))</f>
        <v/>
      </c>
      <c r="E184" s="169" t="str">
        <f aca="false">IF(A184="","",C184-D184)</f>
        <v/>
      </c>
      <c r="F184" s="169" t="str">
        <f aca="false">IF(A184="","",IF(A184=計算_償還回数,0,MAX(0,F183-(ROUND(計算_月額_基本,0)-ROUND(F183*計算_利率/定数_年月数,0)))))</f>
        <v/>
      </c>
      <c r="G184" s="169" t="str">
        <f aca="false">IF(A184="","",IF(A184=計算_償還回数,0,MAX(0,G183-(ROUND(計算_月額_在宅介護,0)-ROUND(G183*計算_利率_在宅介護/定数_年月数,0)))))</f>
        <v/>
      </c>
      <c r="H184" s="169" t="str">
        <f aca="false">IF(A184="","",F184+G184)</f>
        <v/>
      </c>
      <c r="I184" s="168" t="str">
        <f aca="false">IF(A184="","",IF(AND(OR(MONTH(B184)=6,MONTH(B184)=12),I183&lt;計算_賞与回数),I183+1,I183))</f>
        <v/>
      </c>
      <c r="J184" s="169" t="str">
        <f aca="false">IF(A184="","",IF(I184&gt;I183,IF(I184=計算_賞与回数,M183+K184,計算_賞与償還額),0))</f>
        <v/>
      </c>
      <c r="K184" s="169" t="str">
        <f aca="false">IF(A184="","",IF(I184&gt;I183,ROUND(M183*計算_賞与期間利率,0),0))</f>
        <v/>
      </c>
      <c r="L184" s="169" t="str">
        <f aca="false">IF(A184="","",J184-K184)</f>
        <v/>
      </c>
      <c r="M184" s="169" t="str">
        <f aca="false">IF(A184="","",IF(I184&gt;I183,M183-L184,M183))</f>
        <v/>
      </c>
      <c r="N184" s="169" t="str">
        <f aca="false">IF(A184="","",C184+J184)</f>
        <v/>
      </c>
      <c r="O184" s="169" t="str">
        <f aca="false">IF(A184="","",H184+M184)</f>
        <v/>
      </c>
    </row>
    <row r="185" customFormat="false" ht="15" hidden="false" customHeight="false" outlineLevel="0" collapsed="false">
      <c r="A185" s="168" t="str">
        <f aca="false">IF(OR(計算_償還開始="",ROWS($A$8:A185)&gt;計算_償還回数),"",ROWS($A$8:A185))</f>
        <v/>
      </c>
      <c r="B185" s="170" t="str">
        <f aca="false">IF(A185="","",EDATE(計算_償還開始,A185-1))</f>
        <v/>
      </c>
      <c r="C185" s="169" t="str">
        <f aca="false">IF(A185="","",IF(A185=計算_償還回数,D185+F184+G184,計算_毎月償還額))</f>
        <v/>
      </c>
      <c r="D185" s="169" t="str">
        <f aca="false">IF(A185="","",ROUND(F184*計算_利率/定数_年月数,0)+ROUND(G184*計算_利率_在宅介護/定数_年月数,0))</f>
        <v/>
      </c>
      <c r="E185" s="169" t="str">
        <f aca="false">IF(A185="","",C185-D185)</f>
        <v/>
      </c>
      <c r="F185" s="169" t="str">
        <f aca="false">IF(A185="","",IF(A185=計算_償還回数,0,MAX(0,F184-(ROUND(計算_月額_基本,0)-ROUND(F184*計算_利率/定数_年月数,0)))))</f>
        <v/>
      </c>
      <c r="G185" s="169" t="str">
        <f aca="false">IF(A185="","",IF(A185=計算_償還回数,0,MAX(0,G184-(ROUND(計算_月額_在宅介護,0)-ROUND(G184*計算_利率_在宅介護/定数_年月数,0)))))</f>
        <v/>
      </c>
      <c r="H185" s="169" t="str">
        <f aca="false">IF(A185="","",F185+G185)</f>
        <v/>
      </c>
      <c r="I185" s="168" t="str">
        <f aca="false">IF(A185="","",IF(AND(OR(MONTH(B185)=6,MONTH(B185)=12),I184&lt;計算_賞与回数),I184+1,I184))</f>
        <v/>
      </c>
      <c r="J185" s="169" t="str">
        <f aca="false">IF(A185="","",IF(I185&gt;I184,IF(I185=計算_賞与回数,M184+K185,計算_賞与償還額),0))</f>
        <v/>
      </c>
      <c r="K185" s="169" t="str">
        <f aca="false">IF(A185="","",IF(I185&gt;I184,ROUND(M184*計算_賞与期間利率,0),0))</f>
        <v/>
      </c>
      <c r="L185" s="169" t="str">
        <f aca="false">IF(A185="","",J185-K185)</f>
        <v/>
      </c>
      <c r="M185" s="169" t="str">
        <f aca="false">IF(A185="","",IF(I185&gt;I184,M184-L185,M184))</f>
        <v/>
      </c>
      <c r="N185" s="169" t="str">
        <f aca="false">IF(A185="","",C185+J185)</f>
        <v/>
      </c>
      <c r="O185" s="169" t="str">
        <f aca="false">IF(A185="","",H185+M185)</f>
        <v/>
      </c>
    </row>
    <row r="186" customFormat="false" ht="15" hidden="false" customHeight="false" outlineLevel="0" collapsed="false">
      <c r="A186" s="168" t="str">
        <f aca="false">IF(OR(計算_償還開始="",ROWS($A$8:A186)&gt;計算_償還回数),"",ROWS($A$8:A186))</f>
        <v/>
      </c>
      <c r="B186" s="170" t="str">
        <f aca="false">IF(A186="","",EDATE(計算_償還開始,A186-1))</f>
        <v/>
      </c>
      <c r="C186" s="169" t="str">
        <f aca="false">IF(A186="","",IF(A186=計算_償還回数,D186+F185+G185,計算_毎月償還額))</f>
        <v/>
      </c>
      <c r="D186" s="169" t="str">
        <f aca="false">IF(A186="","",ROUND(F185*計算_利率/定数_年月数,0)+ROUND(G185*計算_利率_在宅介護/定数_年月数,0))</f>
        <v/>
      </c>
      <c r="E186" s="169" t="str">
        <f aca="false">IF(A186="","",C186-D186)</f>
        <v/>
      </c>
      <c r="F186" s="169" t="str">
        <f aca="false">IF(A186="","",IF(A186=計算_償還回数,0,MAX(0,F185-(ROUND(計算_月額_基本,0)-ROUND(F185*計算_利率/定数_年月数,0)))))</f>
        <v/>
      </c>
      <c r="G186" s="169" t="str">
        <f aca="false">IF(A186="","",IF(A186=計算_償還回数,0,MAX(0,G185-(ROUND(計算_月額_在宅介護,0)-ROUND(G185*計算_利率_在宅介護/定数_年月数,0)))))</f>
        <v/>
      </c>
      <c r="H186" s="169" t="str">
        <f aca="false">IF(A186="","",F186+G186)</f>
        <v/>
      </c>
      <c r="I186" s="168" t="str">
        <f aca="false">IF(A186="","",IF(AND(OR(MONTH(B186)=6,MONTH(B186)=12),I185&lt;計算_賞与回数),I185+1,I185))</f>
        <v/>
      </c>
      <c r="J186" s="169" t="str">
        <f aca="false">IF(A186="","",IF(I186&gt;I185,IF(I186=計算_賞与回数,M185+K186,計算_賞与償還額),0))</f>
        <v/>
      </c>
      <c r="K186" s="169" t="str">
        <f aca="false">IF(A186="","",IF(I186&gt;I185,ROUND(M185*計算_賞与期間利率,0),0))</f>
        <v/>
      </c>
      <c r="L186" s="169" t="str">
        <f aca="false">IF(A186="","",J186-K186)</f>
        <v/>
      </c>
      <c r="M186" s="169" t="str">
        <f aca="false">IF(A186="","",IF(I186&gt;I185,M185-L186,M185))</f>
        <v/>
      </c>
      <c r="N186" s="169" t="str">
        <f aca="false">IF(A186="","",C186+J186)</f>
        <v/>
      </c>
      <c r="O186" s="169" t="str">
        <f aca="false">IF(A186="","",H186+M186)</f>
        <v/>
      </c>
    </row>
    <row r="187" customFormat="false" ht="15" hidden="false" customHeight="false" outlineLevel="0" collapsed="false">
      <c r="A187" s="168" t="str">
        <f aca="false">IF(OR(計算_償還開始="",ROWS($A$8:A187)&gt;計算_償還回数),"",ROWS($A$8:A187))</f>
        <v/>
      </c>
      <c r="B187" s="170" t="str">
        <f aca="false">IF(A187="","",EDATE(計算_償還開始,A187-1))</f>
        <v/>
      </c>
      <c r="C187" s="169" t="str">
        <f aca="false">IF(A187="","",IF(A187=計算_償還回数,D187+F186+G186,計算_毎月償還額))</f>
        <v/>
      </c>
      <c r="D187" s="169" t="str">
        <f aca="false">IF(A187="","",ROUND(F186*計算_利率/定数_年月数,0)+ROUND(G186*計算_利率_在宅介護/定数_年月数,0))</f>
        <v/>
      </c>
      <c r="E187" s="169" t="str">
        <f aca="false">IF(A187="","",C187-D187)</f>
        <v/>
      </c>
      <c r="F187" s="169" t="str">
        <f aca="false">IF(A187="","",IF(A187=計算_償還回数,0,MAX(0,F186-(ROUND(計算_月額_基本,0)-ROUND(F186*計算_利率/定数_年月数,0)))))</f>
        <v/>
      </c>
      <c r="G187" s="169" t="str">
        <f aca="false">IF(A187="","",IF(A187=計算_償還回数,0,MAX(0,G186-(ROUND(計算_月額_在宅介護,0)-ROUND(G186*計算_利率_在宅介護/定数_年月数,0)))))</f>
        <v/>
      </c>
      <c r="H187" s="169" t="str">
        <f aca="false">IF(A187="","",F187+G187)</f>
        <v/>
      </c>
      <c r="I187" s="168" t="str">
        <f aca="false">IF(A187="","",IF(AND(OR(MONTH(B187)=6,MONTH(B187)=12),I186&lt;計算_賞与回数),I186+1,I186))</f>
        <v/>
      </c>
      <c r="J187" s="169" t="str">
        <f aca="false">IF(A187="","",IF(I187&gt;I186,IF(I187=計算_賞与回数,M186+K187,計算_賞与償還額),0))</f>
        <v/>
      </c>
      <c r="K187" s="169" t="str">
        <f aca="false">IF(A187="","",IF(I187&gt;I186,ROUND(M186*計算_賞与期間利率,0),0))</f>
        <v/>
      </c>
      <c r="L187" s="169" t="str">
        <f aca="false">IF(A187="","",J187-K187)</f>
        <v/>
      </c>
      <c r="M187" s="169" t="str">
        <f aca="false">IF(A187="","",IF(I187&gt;I186,M186-L187,M186))</f>
        <v/>
      </c>
      <c r="N187" s="169" t="str">
        <f aca="false">IF(A187="","",C187+J187)</f>
        <v/>
      </c>
      <c r="O187" s="169" t="str">
        <f aca="false">IF(A187="","",H187+M187)</f>
        <v/>
      </c>
    </row>
    <row r="188" customFormat="false" ht="15" hidden="false" customHeight="false" outlineLevel="0" collapsed="false">
      <c r="A188" s="168" t="str">
        <f aca="false">IF(OR(計算_償還開始="",ROWS($A$8:A188)&gt;計算_償還回数),"",ROWS($A$8:A188))</f>
        <v/>
      </c>
      <c r="B188" s="170" t="str">
        <f aca="false">IF(A188="","",EDATE(計算_償還開始,A188-1))</f>
        <v/>
      </c>
      <c r="C188" s="169" t="str">
        <f aca="false">IF(A188="","",IF(A188=計算_償還回数,D188+F187+G187,計算_毎月償還額))</f>
        <v/>
      </c>
      <c r="D188" s="169" t="str">
        <f aca="false">IF(A188="","",ROUND(F187*計算_利率/定数_年月数,0)+ROUND(G187*計算_利率_在宅介護/定数_年月数,0))</f>
        <v/>
      </c>
      <c r="E188" s="169" t="str">
        <f aca="false">IF(A188="","",C188-D188)</f>
        <v/>
      </c>
      <c r="F188" s="169" t="str">
        <f aca="false">IF(A188="","",IF(A188=計算_償還回数,0,MAX(0,F187-(ROUND(計算_月額_基本,0)-ROUND(F187*計算_利率/定数_年月数,0)))))</f>
        <v/>
      </c>
      <c r="G188" s="169" t="str">
        <f aca="false">IF(A188="","",IF(A188=計算_償還回数,0,MAX(0,G187-(ROUND(計算_月額_在宅介護,0)-ROUND(G187*計算_利率_在宅介護/定数_年月数,0)))))</f>
        <v/>
      </c>
      <c r="H188" s="169" t="str">
        <f aca="false">IF(A188="","",F188+G188)</f>
        <v/>
      </c>
      <c r="I188" s="168" t="str">
        <f aca="false">IF(A188="","",IF(AND(OR(MONTH(B188)=6,MONTH(B188)=12),I187&lt;計算_賞与回数),I187+1,I187))</f>
        <v/>
      </c>
      <c r="J188" s="169" t="str">
        <f aca="false">IF(A188="","",IF(I188&gt;I187,IF(I188=計算_賞与回数,M187+K188,計算_賞与償還額),0))</f>
        <v/>
      </c>
      <c r="K188" s="169" t="str">
        <f aca="false">IF(A188="","",IF(I188&gt;I187,ROUND(M187*計算_賞与期間利率,0),0))</f>
        <v/>
      </c>
      <c r="L188" s="169" t="str">
        <f aca="false">IF(A188="","",J188-K188)</f>
        <v/>
      </c>
      <c r="M188" s="169" t="str">
        <f aca="false">IF(A188="","",IF(I188&gt;I187,M187-L188,M187))</f>
        <v/>
      </c>
      <c r="N188" s="169" t="str">
        <f aca="false">IF(A188="","",C188+J188)</f>
        <v/>
      </c>
      <c r="O188" s="169" t="str">
        <f aca="false">IF(A188="","",H188+M188)</f>
        <v/>
      </c>
    </row>
    <row r="189" customFormat="false" ht="15" hidden="false" customHeight="false" outlineLevel="0" collapsed="false">
      <c r="A189" s="168" t="str">
        <f aca="false">IF(OR(計算_償還開始="",ROWS($A$8:A189)&gt;計算_償還回数),"",ROWS($A$8:A189))</f>
        <v/>
      </c>
      <c r="B189" s="170" t="str">
        <f aca="false">IF(A189="","",EDATE(計算_償還開始,A189-1))</f>
        <v/>
      </c>
      <c r="C189" s="169" t="str">
        <f aca="false">IF(A189="","",IF(A189=計算_償還回数,D189+F188+G188,計算_毎月償還額))</f>
        <v/>
      </c>
      <c r="D189" s="169" t="str">
        <f aca="false">IF(A189="","",ROUND(F188*計算_利率/定数_年月数,0)+ROUND(G188*計算_利率_在宅介護/定数_年月数,0))</f>
        <v/>
      </c>
      <c r="E189" s="169" t="str">
        <f aca="false">IF(A189="","",C189-D189)</f>
        <v/>
      </c>
      <c r="F189" s="169" t="str">
        <f aca="false">IF(A189="","",IF(A189=計算_償還回数,0,MAX(0,F188-(ROUND(計算_月額_基本,0)-ROUND(F188*計算_利率/定数_年月数,0)))))</f>
        <v/>
      </c>
      <c r="G189" s="169" t="str">
        <f aca="false">IF(A189="","",IF(A189=計算_償還回数,0,MAX(0,G188-(ROUND(計算_月額_在宅介護,0)-ROUND(G188*計算_利率_在宅介護/定数_年月数,0)))))</f>
        <v/>
      </c>
      <c r="H189" s="169" t="str">
        <f aca="false">IF(A189="","",F189+G189)</f>
        <v/>
      </c>
      <c r="I189" s="168" t="str">
        <f aca="false">IF(A189="","",IF(AND(OR(MONTH(B189)=6,MONTH(B189)=12),I188&lt;計算_賞与回数),I188+1,I188))</f>
        <v/>
      </c>
      <c r="J189" s="169" t="str">
        <f aca="false">IF(A189="","",IF(I189&gt;I188,IF(I189=計算_賞与回数,M188+K189,計算_賞与償還額),0))</f>
        <v/>
      </c>
      <c r="K189" s="169" t="str">
        <f aca="false">IF(A189="","",IF(I189&gt;I188,ROUND(M188*計算_賞与期間利率,0),0))</f>
        <v/>
      </c>
      <c r="L189" s="169" t="str">
        <f aca="false">IF(A189="","",J189-K189)</f>
        <v/>
      </c>
      <c r="M189" s="169" t="str">
        <f aca="false">IF(A189="","",IF(I189&gt;I188,M188-L189,M188))</f>
        <v/>
      </c>
      <c r="N189" s="169" t="str">
        <f aca="false">IF(A189="","",C189+J189)</f>
        <v/>
      </c>
      <c r="O189" s="169" t="str">
        <f aca="false">IF(A189="","",H189+M189)</f>
        <v/>
      </c>
    </row>
    <row r="190" customFormat="false" ht="15" hidden="false" customHeight="false" outlineLevel="0" collapsed="false">
      <c r="A190" s="168" t="str">
        <f aca="false">IF(OR(計算_償還開始="",ROWS($A$8:A190)&gt;計算_償還回数),"",ROWS($A$8:A190))</f>
        <v/>
      </c>
      <c r="B190" s="170" t="str">
        <f aca="false">IF(A190="","",EDATE(計算_償還開始,A190-1))</f>
        <v/>
      </c>
      <c r="C190" s="169" t="str">
        <f aca="false">IF(A190="","",IF(A190=計算_償還回数,D190+F189+G189,計算_毎月償還額))</f>
        <v/>
      </c>
      <c r="D190" s="169" t="str">
        <f aca="false">IF(A190="","",ROUND(F189*計算_利率/定数_年月数,0)+ROUND(G189*計算_利率_在宅介護/定数_年月数,0))</f>
        <v/>
      </c>
      <c r="E190" s="169" t="str">
        <f aca="false">IF(A190="","",C190-D190)</f>
        <v/>
      </c>
      <c r="F190" s="169" t="str">
        <f aca="false">IF(A190="","",IF(A190=計算_償還回数,0,MAX(0,F189-(ROUND(計算_月額_基本,0)-ROUND(F189*計算_利率/定数_年月数,0)))))</f>
        <v/>
      </c>
      <c r="G190" s="169" t="str">
        <f aca="false">IF(A190="","",IF(A190=計算_償還回数,0,MAX(0,G189-(ROUND(計算_月額_在宅介護,0)-ROUND(G189*計算_利率_在宅介護/定数_年月数,0)))))</f>
        <v/>
      </c>
      <c r="H190" s="169" t="str">
        <f aca="false">IF(A190="","",F190+G190)</f>
        <v/>
      </c>
      <c r="I190" s="168" t="str">
        <f aca="false">IF(A190="","",IF(AND(OR(MONTH(B190)=6,MONTH(B190)=12),I189&lt;計算_賞与回数),I189+1,I189))</f>
        <v/>
      </c>
      <c r="J190" s="169" t="str">
        <f aca="false">IF(A190="","",IF(I190&gt;I189,IF(I190=計算_賞与回数,M189+K190,計算_賞与償還額),0))</f>
        <v/>
      </c>
      <c r="K190" s="169" t="str">
        <f aca="false">IF(A190="","",IF(I190&gt;I189,ROUND(M189*計算_賞与期間利率,0),0))</f>
        <v/>
      </c>
      <c r="L190" s="169" t="str">
        <f aca="false">IF(A190="","",J190-K190)</f>
        <v/>
      </c>
      <c r="M190" s="169" t="str">
        <f aca="false">IF(A190="","",IF(I190&gt;I189,M189-L190,M189))</f>
        <v/>
      </c>
      <c r="N190" s="169" t="str">
        <f aca="false">IF(A190="","",C190+J190)</f>
        <v/>
      </c>
      <c r="O190" s="169" t="str">
        <f aca="false">IF(A190="","",H190+M190)</f>
        <v/>
      </c>
    </row>
    <row r="191" customFormat="false" ht="15" hidden="false" customHeight="false" outlineLevel="0" collapsed="false">
      <c r="A191" s="168" t="str">
        <f aca="false">IF(OR(計算_償還開始="",ROWS($A$8:A191)&gt;計算_償還回数),"",ROWS($A$8:A191))</f>
        <v/>
      </c>
      <c r="B191" s="170" t="str">
        <f aca="false">IF(A191="","",EDATE(計算_償還開始,A191-1))</f>
        <v/>
      </c>
      <c r="C191" s="169" t="str">
        <f aca="false">IF(A191="","",IF(A191=計算_償還回数,D191+F190+G190,計算_毎月償還額))</f>
        <v/>
      </c>
      <c r="D191" s="169" t="str">
        <f aca="false">IF(A191="","",ROUND(F190*計算_利率/定数_年月数,0)+ROUND(G190*計算_利率_在宅介護/定数_年月数,0))</f>
        <v/>
      </c>
      <c r="E191" s="169" t="str">
        <f aca="false">IF(A191="","",C191-D191)</f>
        <v/>
      </c>
      <c r="F191" s="169" t="str">
        <f aca="false">IF(A191="","",IF(A191=計算_償還回数,0,MAX(0,F190-(ROUND(計算_月額_基本,0)-ROUND(F190*計算_利率/定数_年月数,0)))))</f>
        <v/>
      </c>
      <c r="G191" s="169" t="str">
        <f aca="false">IF(A191="","",IF(A191=計算_償還回数,0,MAX(0,G190-(ROUND(計算_月額_在宅介護,0)-ROUND(G190*計算_利率_在宅介護/定数_年月数,0)))))</f>
        <v/>
      </c>
      <c r="H191" s="169" t="str">
        <f aca="false">IF(A191="","",F191+G191)</f>
        <v/>
      </c>
      <c r="I191" s="168" t="str">
        <f aca="false">IF(A191="","",IF(AND(OR(MONTH(B191)=6,MONTH(B191)=12),I190&lt;計算_賞与回数),I190+1,I190))</f>
        <v/>
      </c>
      <c r="J191" s="169" t="str">
        <f aca="false">IF(A191="","",IF(I191&gt;I190,IF(I191=計算_賞与回数,M190+K191,計算_賞与償還額),0))</f>
        <v/>
      </c>
      <c r="K191" s="169" t="str">
        <f aca="false">IF(A191="","",IF(I191&gt;I190,ROUND(M190*計算_賞与期間利率,0),0))</f>
        <v/>
      </c>
      <c r="L191" s="169" t="str">
        <f aca="false">IF(A191="","",J191-K191)</f>
        <v/>
      </c>
      <c r="M191" s="169" t="str">
        <f aca="false">IF(A191="","",IF(I191&gt;I190,M190-L191,M190))</f>
        <v/>
      </c>
      <c r="N191" s="169" t="str">
        <f aca="false">IF(A191="","",C191+J191)</f>
        <v/>
      </c>
      <c r="O191" s="169" t="str">
        <f aca="false">IF(A191="","",H191+M191)</f>
        <v/>
      </c>
    </row>
    <row r="192" customFormat="false" ht="15" hidden="false" customHeight="false" outlineLevel="0" collapsed="false">
      <c r="A192" s="168" t="str">
        <f aca="false">IF(OR(計算_償還開始="",ROWS($A$8:A192)&gt;計算_償還回数),"",ROWS($A$8:A192))</f>
        <v/>
      </c>
      <c r="B192" s="170" t="str">
        <f aca="false">IF(A192="","",EDATE(計算_償還開始,A192-1))</f>
        <v/>
      </c>
      <c r="C192" s="169" t="str">
        <f aca="false">IF(A192="","",IF(A192=計算_償還回数,D192+F191+G191,計算_毎月償還額))</f>
        <v/>
      </c>
      <c r="D192" s="169" t="str">
        <f aca="false">IF(A192="","",ROUND(F191*計算_利率/定数_年月数,0)+ROUND(G191*計算_利率_在宅介護/定数_年月数,0))</f>
        <v/>
      </c>
      <c r="E192" s="169" t="str">
        <f aca="false">IF(A192="","",C192-D192)</f>
        <v/>
      </c>
      <c r="F192" s="169" t="str">
        <f aca="false">IF(A192="","",IF(A192=計算_償還回数,0,MAX(0,F191-(ROUND(計算_月額_基本,0)-ROUND(F191*計算_利率/定数_年月数,0)))))</f>
        <v/>
      </c>
      <c r="G192" s="169" t="str">
        <f aca="false">IF(A192="","",IF(A192=計算_償還回数,0,MAX(0,G191-(ROUND(計算_月額_在宅介護,0)-ROUND(G191*計算_利率_在宅介護/定数_年月数,0)))))</f>
        <v/>
      </c>
      <c r="H192" s="169" t="str">
        <f aca="false">IF(A192="","",F192+G192)</f>
        <v/>
      </c>
      <c r="I192" s="168" t="str">
        <f aca="false">IF(A192="","",IF(AND(OR(MONTH(B192)=6,MONTH(B192)=12),I191&lt;計算_賞与回数),I191+1,I191))</f>
        <v/>
      </c>
      <c r="J192" s="169" t="str">
        <f aca="false">IF(A192="","",IF(I192&gt;I191,IF(I192=計算_賞与回数,M191+K192,計算_賞与償還額),0))</f>
        <v/>
      </c>
      <c r="K192" s="169" t="str">
        <f aca="false">IF(A192="","",IF(I192&gt;I191,ROUND(M191*計算_賞与期間利率,0),0))</f>
        <v/>
      </c>
      <c r="L192" s="169" t="str">
        <f aca="false">IF(A192="","",J192-K192)</f>
        <v/>
      </c>
      <c r="M192" s="169" t="str">
        <f aca="false">IF(A192="","",IF(I192&gt;I191,M191-L192,M191))</f>
        <v/>
      </c>
      <c r="N192" s="169" t="str">
        <f aca="false">IF(A192="","",C192+J192)</f>
        <v/>
      </c>
      <c r="O192" s="169" t="str">
        <f aca="false">IF(A192="","",H192+M192)</f>
        <v/>
      </c>
    </row>
    <row r="193" customFormat="false" ht="15" hidden="false" customHeight="false" outlineLevel="0" collapsed="false">
      <c r="A193" s="168" t="str">
        <f aca="false">IF(OR(計算_償還開始="",ROWS($A$8:A193)&gt;計算_償還回数),"",ROWS($A$8:A193))</f>
        <v/>
      </c>
      <c r="B193" s="170" t="str">
        <f aca="false">IF(A193="","",EDATE(計算_償還開始,A193-1))</f>
        <v/>
      </c>
      <c r="C193" s="169" t="str">
        <f aca="false">IF(A193="","",IF(A193=計算_償還回数,D193+F192+G192,計算_毎月償還額))</f>
        <v/>
      </c>
      <c r="D193" s="169" t="str">
        <f aca="false">IF(A193="","",ROUND(F192*計算_利率/定数_年月数,0)+ROUND(G192*計算_利率_在宅介護/定数_年月数,0))</f>
        <v/>
      </c>
      <c r="E193" s="169" t="str">
        <f aca="false">IF(A193="","",C193-D193)</f>
        <v/>
      </c>
      <c r="F193" s="169" t="str">
        <f aca="false">IF(A193="","",IF(A193=計算_償還回数,0,MAX(0,F192-(ROUND(計算_月額_基本,0)-ROUND(F192*計算_利率/定数_年月数,0)))))</f>
        <v/>
      </c>
      <c r="G193" s="169" t="str">
        <f aca="false">IF(A193="","",IF(A193=計算_償還回数,0,MAX(0,G192-(ROUND(計算_月額_在宅介護,0)-ROUND(G192*計算_利率_在宅介護/定数_年月数,0)))))</f>
        <v/>
      </c>
      <c r="H193" s="169" t="str">
        <f aca="false">IF(A193="","",F193+G193)</f>
        <v/>
      </c>
      <c r="I193" s="168" t="str">
        <f aca="false">IF(A193="","",IF(AND(OR(MONTH(B193)=6,MONTH(B193)=12),I192&lt;計算_賞与回数),I192+1,I192))</f>
        <v/>
      </c>
      <c r="J193" s="169" t="str">
        <f aca="false">IF(A193="","",IF(I193&gt;I192,IF(I193=計算_賞与回数,M192+K193,計算_賞与償還額),0))</f>
        <v/>
      </c>
      <c r="K193" s="169" t="str">
        <f aca="false">IF(A193="","",IF(I193&gt;I192,ROUND(M192*計算_賞与期間利率,0),0))</f>
        <v/>
      </c>
      <c r="L193" s="169" t="str">
        <f aca="false">IF(A193="","",J193-K193)</f>
        <v/>
      </c>
      <c r="M193" s="169" t="str">
        <f aca="false">IF(A193="","",IF(I193&gt;I192,M192-L193,M192))</f>
        <v/>
      </c>
      <c r="N193" s="169" t="str">
        <f aca="false">IF(A193="","",C193+J193)</f>
        <v/>
      </c>
      <c r="O193" s="169" t="str">
        <f aca="false">IF(A193="","",H193+M193)</f>
        <v/>
      </c>
    </row>
    <row r="194" customFormat="false" ht="15" hidden="false" customHeight="false" outlineLevel="0" collapsed="false">
      <c r="A194" s="168" t="str">
        <f aca="false">IF(OR(計算_償還開始="",ROWS($A$8:A194)&gt;計算_償還回数),"",ROWS($A$8:A194))</f>
        <v/>
      </c>
      <c r="B194" s="170" t="str">
        <f aca="false">IF(A194="","",EDATE(計算_償還開始,A194-1))</f>
        <v/>
      </c>
      <c r="C194" s="169" t="str">
        <f aca="false">IF(A194="","",IF(A194=計算_償還回数,D194+F193+G193,計算_毎月償還額))</f>
        <v/>
      </c>
      <c r="D194" s="169" t="str">
        <f aca="false">IF(A194="","",ROUND(F193*計算_利率/定数_年月数,0)+ROUND(G193*計算_利率_在宅介護/定数_年月数,0))</f>
        <v/>
      </c>
      <c r="E194" s="169" t="str">
        <f aca="false">IF(A194="","",C194-D194)</f>
        <v/>
      </c>
      <c r="F194" s="169" t="str">
        <f aca="false">IF(A194="","",IF(A194=計算_償還回数,0,MAX(0,F193-(ROUND(計算_月額_基本,0)-ROUND(F193*計算_利率/定数_年月数,0)))))</f>
        <v/>
      </c>
      <c r="G194" s="169" t="str">
        <f aca="false">IF(A194="","",IF(A194=計算_償還回数,0,MAX(0,G193-(ROUND(計算_月額_在宅介護,0)-ROUND(G193*計算_利率_在宅介護/定数_年月数,0)))))</f>
        <v/>
      </c>
      <c r="H194" s="169" t="str">
        <f aca="false">IF(A194="","",F194+G194)</f>
        <v/>
      </c>
      <c r="I194" s="168" t="str">
        <f aca="false">IF(A194="","",IF(AND(OR(MONTH(B194)=6,MONTH(B194)=12),I193&lt;計算_賞与回数),I193+1,I193))</f>
        <v/>
      </c>
      <c r="J194" s="169" t="str">
        <f aca="false">IF(A194="","",IF(I194&gt;I193,IF(I194=計算_賞与回数,M193+K194,計算_賞与償還額),0))</f>
        <v/>
      </c>
      <c r="K194" s="169" t="str">
        <f aca="false">IF(A194="","",IF(I194&gt;I193,ROUND(M193*計算_賞与期間利率,0),0))</f>
        <v/>
      </c>
      <c r="L194" s="169" t="str">
        <f aca="false">IF(A194="","",J194-K194)</f>
        <v/>
      </c>
      <c r="M194" s="169" t="str">
        <f aca="false">IF(A194="","",IF(I194&gt;I193,M193-L194,M193))</f>
        <v/>
      </c>
      <c r="N194" s="169" t="str">
        <f aca="false">IF(A194="","",C194+J194)</f>
        <v/>
      </c>
      <c r="O194" s="169" t="str">
        <f aca="false">IF(A194="","",H194+M194)</f>
        <v/>
      </c>
    </row>
    <row r="195" customFormat="false" ht="15" hidden="false" customHeight="false" outlineLevel="0" collapsed="false">
      <c r="A195" s="168" t="str">
        <f aca="false">IF(OR(計算_償還開始="",ROWS($A$8:A195)&gt;計算_償還回数),"",ROWS($A$8:A195))</f>
        <v/>
      </c>
      <c r="B195" s="170" t="str">
        <f aca="false">IF(A195="","",EDATE(計算_償還開始,A195-1))</f>
        <v/>
      </c>
      <c r="C195" s="169" t="str">
        <f aca="false">IF(A195="","",IF(A195=計算_償還回数,D195+F194+G194,計算_毎月償還額))</f>
        <v/>
      </c>
      <c r="D195" s="169" t="str">
        <f aca="false">IF(A195="","",ROUND(F194*計算_利率/定数_年月数,0)+ROUND(G194*計算_利率_在宅介護/定数_年月数,0))</f>
        <v/>
      </c>
      <c r="E195" s="169" t="str">
        <f aca="false">IF(A195="","",C195-D195)</f>
        <v/>
      </c>
      <c r="F195" s="169" t="str">
        <f aca="false">IF(A195="","",IF(A195=計算_償還回数,0,MAX(0,F194-(ROUND(計算_月額_基本,0)-ROUND(F194*計算_利率/定数_年月数,0)))))</f>
        <v/>
      </c>
      <c r="G195" s="169" t="str">
        <f aca="false">IF(A195="","",IF(A195=計算_償還回数,0,MAX(0,G194-(ROUND(計算_月額_在宅介護,0)-ROUND(G194*計算_利率_在宅介護/定数_年月数,0)))))</f>
        <v/>
      </c>
      <c r="H195" s="169" t="str">
        <f aca="false">IF(A195="","",F195+G195)</f>
        <v/>
      </c>
      <c r="I195" s="168" t="str">
        <f aca="false">IF(A195="","",IF(AND(OR(MONTH(B195)=6,MONTH(B195)=12),I194&lt;計算_賞与回数),I194+1,I194))</f>
        <v/>
      </c>
      <c r="J195" s="169" t="str">
        <f aca="false">IF(A195="","",IF(I195&gt;I194,IF(I195=計算_賞与回数,M194+K195,計算_賞与償還額),0))</f>
        <v/>
      </c>
      <c r="K195" s="169" t="str">
        <f aca="false">IF(A195="","",IF(I195&gt;I194,ROUND(M194*計算_賞与期間利率,0),0))</f>
        <v/>
      </c>
      <c r="L195" s="169" t="str">
        <f aca="false">IF(A195="","",J195-K195)</f>
        <v/>
      </c>
      <c r="M195" s="169" t="str">
        <f aca="false">IF(A195="","",IF(I195&gt;I194,M194-L195,M194))</f>
        <v/>
      </c>
      <c r="N195" s="169" t="str">
        <f aca="false">IF(A195="","",C195+J195)</f>
        <v/>
      </c>
      <c r="O195" s="169" t="str">
        <f aca="false">IF(A195="","",H195+M195)</f>
        <v/>
      </c>
    </row>
    <row r="196" customFormat="false" ht="15" hidden="false" customHeight="false" outlineLevel="0" collapsed="false">
      <c r="A196" s="168" t="str">
        <f aca="false">IF(OR(計算_償還開始="",ROWS($A$8:A196)&gt;計算_償還回数),"",ROWS($A$8:A196))</f>
        <v/>
      </c>
      <c r="B196" s="170" t="str">
        <f aca="false">IF(A196="","",EDATE(計算_償還開始,A196-1))</f>
        <v/>
      </c>
      <c r="C196" s="169" t="str">
        <f aca="false">IF(A196="","",IF(A196=計算_償還回数,D196+F195+G195,計算_毎月償還額))</f>
        <v/>
      </c>
      <c r="D196" s="169" t="str">
        <f aca="false">IF(A196="","",ROUND(F195*計算_利率/定数_年月数,0)+ROUND(G195*計算_利率_在宅介護/定数_年月数,0))</f>
        <v/>
      </c>
      <c r="E196" s="169" t="str">
        <f aca="false">IF(A196="","",C196-D196)</f>
        <v/>
      </c>
      <c r="F196" s="169" t="str">
        <f aca="false">IF(A196="","",IF(A196=計算_償還回数,0,MAX(0,F195-(ROUND(計算_月額_基本,0)-ROUND(F195*計算_利率/定数_年月数,0)))))</f>
        <v/>
      </c>
      <c r="G196" s="169" t="str">
        <f aca="false">IF(A196="","",IF(A196=計算_償還回数,0,MAX(0,G195-(ROUND(計算_月額_在宅介護,0)-ROUND(G195*計算_利率_在宅介護/定数_年月数,0)))))</f>
        <v/>
      </c>
      <c r="H196" s="169" t="str">
        <f aca="false">IF(A196="","",F196+G196)</f>
        <v/>
      </c>
      <c r="I196" s="168" t="str">
        <f aca="false">IF(A196="","",IF(AND(OR(MONTH(B196)=6,MONTH(B196)=12),I195&lt;計算_賞与回数),I195+1,I195))</f>
        <v/>
      </c>
      <c r="J196" s="169" t="str">
        <f aca="false">IF(A196="","",IF(I196&gt;I195,IF(I196=計算_賞与回数,M195+K196,計算_賞与償還額),0))</f>
        <v/>
      </c>
      <c r="K196" s="169" t="str">
        <f aca="false">IF(A196="","",IF(I196&gt;I195,ROUND(M195*計算_賞与期間利率,0),0))</f>
        <v/>
      </c>
      <c r="L196" s="169" t="str">
        <f aca="false">IF(A196="","",J196-K196)</f>
        <v/>
      </c>
      <c r="M196" s="169" t="str">
        <f aca="false">IF(A196="","",IF(I196&gt;I195,M195-L196,M195))</f>
        <v/>
      </c>
      <c r="N196" s="169" t="str">
        <f aca="false">IF(A196="","",C196+J196)</f>
        <v/>
      </c>
      <c r="O196" s="169" t="str">
        <f aca="false">IF(A196="","",H196+M196)</f>
        <v/>
      </c>
    </row>
    <row r="197" customFormat="false" ht="15" hidden="false" customHeight="false" outlineLevel="0" collapsed="false">
      <c r="A197" s="168" t="str">
        <f aca="false">IF(OR(計算_償還開始="",ROWS($A$8:A197)&gt;計算_償還回数),"",ROWS($A$8:A197))</f>
        <v/>
      </c>
      <c r="B197" s="170" t="str">
        <f aca="false">IF(A197="","",EDATE(計算_償還開始,A197-1))</f>
        <v/>
      </c>
      <c r="C197" s="169" t="str">
        <f aca="false">IF(A197="","",IF(A197=計算_償還回数,D197+F196+G196,計算_毎月償還額))</f>
        <v/>
      </c>
      <c r="D197" s="169" t="str">
        <f aca="false">IF(A197="","",ROUND(F196*計算_利率/定数_年月数,0)+ROUND(G196*計算_利率_在宅介護/定数_年月数,0))</f>
        <v/>
      </c>
      <c r="E197" s="169" t="str">
        <f aca="false">IF(A197="","",C197-D197)</f>
        <v/>
      </c>
      <c r="F197" s="169" t="str">
        <f aca="false">IF(A197="","",IF(A197=計算_償還回数,0,MAX(0,F196-(ROUND(計算_月額_基本,0)-ROUND(F196*計算_利率/定数_年月数,0)))))</f>
        <v/>
      </c>
      <c r="G197" s="169" t="str">
        <f aca="false">IF(A197="","",IF(A197=計算_償還回数,0,MAX(0,G196-(ROUND(計算_月額_在宅介護,0)-ROUND(G196*計算_利率_在宅介護/定数_年月数,0)))))</f>
        <v/>
      </c>
      <c r="H197" s="169" t="str">
        <f aca="false">IF(A197="","",F197+G197)</f>
        <v/>
      </c>
      <c r="I197" s="168" t="str">
        <f aca="false">IF(A197="","",IF(AND(OR(MONTH(B197)=6,MONTH(B197)=12),I196&lt;計算_賞与回数),I196+1,I196))</f>
        <v/>
      </c>
      <c r="J197" s="169" t="str">
        <f aca="false">IF(A197="","",IF(I197&gt;I196,IF(I197=計算_賞与回数,M196+K197,計算_賞与償還額),0))</f>
        <v/>
      </c>
      <c r="K197" s="169" t="str">
        <f aca="false">IF(A197="","",IF(I197&gt;I196,ROUND(M196*計算_賞与期間利率,0),0))</f>
        <v/>
      </c>
      <c r="L197" s="169" t="str">
        <f aca="false">IF(A197="","",J197-K197)</f>
        <v/>
      </c>
      <c r="M197" s="169" t="str">
        <f aca="false">IF(A197="","",IF(I197&gt;I196,M196-L197,M196))</f>
        <v/>
      </c>
      <c r="N197" s="169" t="str">
        <f aca="false">IF(A197="","",C197+J197)</f>
        <v/>
      </c>
      <c r="O197" s="169" t="str">
        <f aca="false">IF(A197="","",H197+M197)</f>
        <v/>
      </c>
    </row>
    <row r="198" customFormat="false" ht="15" hidden="false" customHeight="false" outlineLevel="0" collapsed="false">
      <c r="A198" s="168" t="str">
        <f aca="false">IF(OR(計算_償還開始="",ROWS($A$8:A198)&gt;計算_償還回数),"",ROWS($A$8:A198))</f>
        <v/>
      </c>
      <c r="B198" s="170" t="str">
        <f aca="false">IF(A198="","",EDATE(計算_償還開始,A198-1))</f>
        <v/>
      </c>
      <c r="C198" s="169" t="str">
        <f aca="false">IF(A198="","",IF(A198=計算_償還回数,D198+F197+G197,計算_毎月償還額))</f>
        <v/>
      </c>
      <c r="D198" s="169" t="str">
        <f aca="false">IF(A198="","",ROUND(F197*計算_利率/定数_年月数,0)+ROUND(G197*計算_利率_在宅介護/定数_年月数,0))</f>
        <v/>
      </c>
      <c r="E198" s="169" t="str">
        <f aca="false">IF(A198="","",C198-D198)</f>
        <v/>
      </c>
      <c r="F198" s="169" t="str">
        <f aca="false">IF(A198="","",IF(A198=計算_償還回数,0,MAX(0,F197-(ROUND(計算_月額_基本,0)-ROUND(F197*計算_利率/定数_年月数,0)))))</f>
        <v/>
      </c>
      <c r="G198" s="169" t="str">
        <f aca="false">IF(A198="","",IF(A198=計算_償還回数,0,MAX(0,G197-(ROUND(計算_月額_在宅介護,0)-ROUND(G197*計算_利率_在宅介護/定数_年月数,0)))))</f>
        <v/>
      </c>
      <c r="H198" s="169" t="str">
        <f aca="false">IF(A198="","",F198+G198)</f>
        <v/>
      </c>
      <c r="I198" s="168" t="str">
        <f aca="false">IF(A198="","",IF(AND(OR(MONTH(B198)=6,MONTH(B198)=12),I197&lt;計算_賞与回数),I197+1,I197))</f>
        <v/>
      </c>
      <c r="J198" s="169" t="str">
        <f aca="false">IF(A198="","",IF(I198&gt;I197,IF(I198=計算_賞与回数,M197+K198,計算_賞与償還額),0))</f>
        <v/>
      </c>
      <c r="K198" s="169" t="str">
        <f aca="false">IF(A198="","",IF(I198&gt;I197,ROUND(M197*計算_賞与期間利率,0),0))</f>
        <v/>
      </c>
      <c r="L198" s="169" t="str">
        <f aca="false">IF(A198="","",J198-K198)</f>
        <v/>
      </c>
      <c r="M198" s="169" t="str">
        <f aca="false">IF(A198="","",IF(I198&gt;I197,M197-L198,M197))</f>
        <v/>
      </c>
      <c r="N198" s="169" t="str">
        <f aca="false">IF(A198="","",C198+J198)</f>
        <v/>
      </c>
      <c r="O198" s="169" t="str">
        <f aca="false">IF(A198="","",H198+M198)</f>
        <v/>
      </c>
    </row>
    <row r="199" customFormat="false" ht="15" hidden="false" customHeight="false" outlineLevel="0" collapsed="false">
      <c r="A199" s="168" t="str">
        <f aca="false">IF(OR(計算_償還開始="",ROWS($A$8:A199)&gt;計算_償還回数),"",ROWS($A$8:A199))</f>
        <v/>
      </c>
      <c r="B199" s="170" t="str">
        <f aca="false">IF(A199="","",EDATE(計算_償還開始,A199-1))</f>
        <v/>
      </c>
      <c r="C199" s="169" t="str">
        <f aca="false">IF(A199="","",IF(A199=計算_償還回数,D199+F198+G198,計算_毎月償還額))</f>
        <v/>
      </c>
      <c r="D199" s="169" t="str">
        <f aca="false">IF(A199="","",ROUND(F198*計算_利率/定数_年月数,0)+ROUND(G198*計算_利率_在宅介護/定数_年月数,0))</f>
        <v/>
      </c>
      <c r="E199" s="169" t="str">
        <f aca="false">IF(A199="","",C199-D199)</f>
        <v/>
      </c>
      <c r="F199" s="169" t="str">
        <f aca="false">IF(A199="","",IF(A199=計算_償還回数,0,MAX(0,F198-(ROUND(計算_月額_基本,0)-ROUND(F198*計算_利率/定数_年月数,0)))))</f>
        <v/>
      </c>
      <c r="G199" s="169" t="str">
        <f aca="false">IF(A199="","",IF(A199=計算_償還回数,0,MAX(0,G198-(ROUND(計算_月額_在宅介護,0)-ROUND(G198*計算_利率_在宅介護/定数_年月数,0)))))</f>
        <v/>
      </c>
      <c r="H199" s="169" t="str">
        <f aca="false">IF(A199="","",F199+G199)</f>
        <v/>
      </c>
      <c r="I199" s="168" t="str">
        <f aca="false">IF(A199="","",IF(AND(OR(MONTH(B199)=6,MONTH(B199)=12),I198&lt;計算_賞与回数),I198+1,I198))</f>
        <v/>
      </c>
      <c r="J199" s="169" t="str">
        <f aca="false">IF(A199="","",IF(I199&gt;I198,IF(I199=計算_賞与回数,M198+K199,計算_賞与償還額),0))</f>
        <v/>
      </c>
      <c r="K199" s="169" t="str">
        <f aca="false">IF(A199="","",IF(I199&gt;I198,ROUND(M198*計算_賞与期間利率,0),0))</f>
        <v/>
      </c>
      <c r="L199" s="169" t="str">
        <f aca="false">IF(A199="","",J199-K199)</f>
        <v/>
      </c>
      <c r="M199" s="169" t="str">
        <f aca="false">IF(A199="","",IF(I199&gt;I198,M198-L199,M198))</f>
        <v/>
      </c>
      <c r="N199" s="169" t="str">
        <f aca="false">IF(A199="","",C199+J199)</f>
        <v/>
      </c>
      <c r="O199" s="169" t="str">
        <f aca="false">IF(A199="","",H199+M199)</f>
        <v/>
      </c>
    </row>
    <row r="200" customFormat="false" ht="15" hidden="false" customHeight="false" outlineLevel="0" collapsed="false">
      <c r="A200" s="168" t="str">
        <f aca="false">IF(OR(計算_償還開始="",ROWS($A$8:A200)&gt;計算_償還回数),"",ROWS($A$8:A200))</f>
        <v/>
      </c>
      <c r="B200" s="170" t="str">
        <f aca="false">IF(A200="","",EDATE(計算_償還開始,A200-1))</f>
        <v/>
      </c>
      <c r="C200" s="169" t="str">
        <f aca="false">IF(A200="","",IF(A200=計算_償還回数,D200+F199+G199,計算_毎月償還額))</f>
        <v/>
      </c>
      <c r="D200" s="169" t="str">
        <f aca="false">IF(A200="","",ROUND(F199*計算_利率/定数_年月数,0)+ROUND(G199*計算_利率_在宅介護/定数_年月数,0))</f>
        <v/>
      </c>
      <c r="E200" s="169" t="str">
        <f aca="false">IF(A200="","",C200-D200)</f>
        <v/>
      </c>
      <c r="F200" s="169" t="str">
        <f aca="false">IF(A200="","",IF(A200=計算_償還回数,0,MAX(0,F199-(ROUND(計算_月額_基本,0)-ROUND(F199*計算_利率/定数_年月数,0)))))</f>
        <v/>
      </c>
      <c r="G200" s="169" t="str">
        <f aca="false">IF(A200="","",IF(A200=計算_償還回数,0,MAX(0,G199-(ROUND(計算_月額_在宅介護,0)-ROUND(G199*計算_利率_在宅介護/定数_年月数,0)))))</f>
        <v/>
      </c>
      <c r="H200" s="169" t="str">
        <f aca="false">IF(A200="","",F200+G200)</f>
        <v/>
      </c>
      <c r="I200" s="168" t="str">
        <f aca="false">IF(A200="","",IF(AND(OR(MONTH(B200)=6,MONTH(B200)=12),I199&lt;計算_賞与回数),I199+1,I199))</f>
        <v/>
      </c>
      <c r="J200" s="169" t="str">
        <f aca="false">IF(A200="","",IF(I200&gt;I199,IF(I200=計算_賞与回数,M199+K200,計算_賞与償還額),0))</f>
        <v/>
      </c>
      <c r="K200" s="169" t="str">
        <f aca="false">IF(A200="","",IF(I200&gt;I199,ROUND(M199*計算_賞与期間利率,0),0))</f>
        <v/>
      </c>
      <c r="L200" s="169" t="str">
        <f aca="false">IF(A200="","",J200-K200)</f>
        <v/>
      </c>
      <c r="M200" s="169" t="str">
        <f aca="false">IF(A200="","",IF(I200&gt;I199,M199-L200,M199))</f>
        <v/>
      </c>
      <c r="N200" s="169" t="str">
        <f aca="false">IF(A200="","",C200+J200)</f>
        <v/>
      </c>
      <c r="O200" s="169" t="str">
        <f aca="false">IF(A200="","",H200+M200)</f>
        <v/>
      </c>
    </row>
    <row r="201" customFormat="false" ht="15" hidden="false" customHeight="false" outlineLevel="0" collapsed="false">
      <c r="A201" s="168" t="str">
        <f aca="false">IF(OR(計算_償還開始="",ROWS($A$8:A201)&gt;計算_償還回数),"",ROWS($A$8:A201))</f>
        <v/>
      </c>
      <c r="B201" s="170" t="str">
        <f aca="false">IF(A201="","",EDATE(計算_償還開始,A201-1))</f>
        <v/>
      </c>
      <c r="C201" s="169" t="str">
        <f aca="false">IF(A201="","",IF(A201=計算_償還回数,D201+F200+G200,計算_毎月償還額))</f>
        <v/>
      </c>
      <c r="D201" s="169" t="str">
        <f aca="false">IF(A201="","",ROUND(F200*計算_利率/定数_年月数,0)+ROUND(G200*計算_利率_在宅介護/定数_年月数,0))</f>
        <v/>
      </c>
      <c r="E201" s="169" t="str">
        <f aca="false">IF(A201="","",C201-D201)</f>
        <v/>
      </c>
      <c r="F201" s="169" t="str">
        <f aca="false">IF(A201="","",IF(A201=計算_償還回数,0,MAX(0,F200-(ROUND(計算_月額_基本,0)-ROUND(F200*計算_利率/定数_年月数,0)))))</f>
        <v/>
      </c>
      <c r="G201" s="169" t="str">
        <f aca="false">IF(A201="","",IF(A201=計算_償還回数,0,MAX(0,G200-(ROUND(計算_月額_在宅介護,0)-ROUND(G200*計算_利率_在宅介護/定数_年月数,0)))))</f>
        <v/>
      </c>
      <c r="H201" s="169" t="str">
        <f aca="false">IF(A201="","",F201+G201)</f>
        <v/>
      </c>
      <c r="I201" s="168" t="str">
        <f aca="false">IF(A201="","",IF(AND(OR(MONTH(B201)=6,MONTH(B201)=12),I200&lt;計算_賞与回数),I200+1,I200))</f>
        <v/>
      </c>
      <c r="J201" s="169" t="str">
        <f aca="false">IF(A201="","",IF(I201&gt;I200,IF(I201=計算_賞与回数,M200+K201,計算_賞与償還額),0))</f>
        <v/>
      </c>
      <c r="K201" s="169" t="str">
        <f aca="false">IF(A201="","",IF(I201&gt;I200,ROUND(M200*計算_賞与期間利率,0),0))</f>
        <v/>
      </c>
      <c r="L201" s="169" t="str">
        <f aca="false">IF(A201="","",J201-K201)</f>
        <v/>
      </c>
      <c r="M201" s="169" t="str">
        <f aca="false">IF(A201="","",IF(I201&gt;I200,M200-L201,M200))</f>
        <v/>
      </c>
      <c r="N201" s="169" t="str">
        <f aca="false">IF(A201="","",C201+J201)</f>
        <v/>
      </c>
      <c r="O201" s="169" t="str">
        <f aca="false">IF(A201="","",H201+M201)</f>
        <v/>
      </c>
    </row>
    <row r="202" customFormat="false" ht="15" hidden="false" customHeight="false" outlineLevel="0" collapsed="false">
      <c r="A202" s="168" t="str">
        <f aca="false">IF(OR(計算_償還開始="",ROWS($A$8:A202)&gt;計算_償還回数),"",ROWS($A$8:A202))</f>
        <v/>
      </c>
      <c r="B202" s="170" t="str">
        <f aca="false">IF(A202="","",EDATE(計算_償還開始,A202-1))</f>
        <v/>
      </c>
      <c r="C202" s="169" t="str">
        <f aca="false">IF(A202="","",IF(A202=計算_償還回数,D202+F201+G201,計算_毎月償還額))</f>
        <v/>
      </c>
      <c r="D202" s="169" t="str">
        <f aca="false">IF(A202="","",ROUND(F201*計算_利率/定数_年月数,0)+ROUND(G201*計算_利率_在宅介護/定数_年月数,0))</f>
        <v/>
      </c>
      <c r="E202" s="169" t="str">
        <f aca="false">IF(A202="","",C202-D202)</f>
        <v/>
      </c>
      <c r="F202" s="169" t="str">
        <f aca="false">IF(A202="","",IF(A202=計算_償還回数,0,MAX(0,F201-(ROUND(計算_月額_基本,0)-ROUND(F201*計算_利率/定数_年月数,0)))))</f>
        <v/>
      </c>
      <c r="G202" s="169" t="str">
        <f aca="false">IF(A202="","",IF(A202=計算_償還回数,0,MAX(0,G201-(ROUND(計算_月額_在宅介護,0)-ROUND(G201*計算_利率_在宅介護/定数_年月数,0)))))</f>
        <v/>
      </c>
      <c r="H202" s="169" t="str">
        <f aca="false">IF(A202="","",F202+G202)</f>
        <v/>
      </c>
      <c r="I202" s="168" t="str">
        <f aca="false">IF(A202="","",IF(AND(OR(MONTH(B202)=6,MONTH(B202)=12),I201&lt;計算_賞与回数),I201+1,I201))</f>
        <v/>
      </c>
      <c r="J202" s="169" t="str">
        <f aca="false">IF(A202="","",IF(I202&gt;I201,IF(I202=計算_賞与回数,M201+K202,計算_賞与償還額),0))</f>
        <v/>
      </c>
      <c r="K202" s="169" t="str">
        <f aca="false">IF(A202="","",IF(I202&gt;I201,ROUND(M201*計算_賞与期間利率,0),0))</f>
        <v/>
      </c>
      <c r="L202" s="169" t="str">
        <f aca="false">IF(A202="","",J202-K202)</f>
        <v/>
      </c>
      <c r="M202" s="169" t="str">
        <f aca="false">IF(A202="","",IF(I202&gt;I201,M201-L202,M201))</f>
        <v/>
      </c>
      <c r="N202" s="169" t="str">
        <f aca="false">IF(A202="","",C202+J202)</f>
        <v/>
      </c>
      <c r="O202" s="169" t="str">
        <f aca="false">IF(A202="","",H202+M202)</f>
        <v/>
      </c>
    </row>
    <row r="203" customFormat="false" ht="15" hidden="false" customHeight="false" outlineLevel="0" collapsed="false">
      <c r="A203" s="168" t="str">
        <f aca="false">IF(OR(計算_償還開始="",ROWS($A$8:A203)&gt;計算_償還回数),"",ROWS($A$8:A203))</f>
        <v/>
      </c>
      <c r="B203" s="170" t="str">
        <f aca="false">IF(A203="","",EDATE(計算_償還開始,A203-1))</f>
        <v/>
      </c>
      <c r="C203" s="169" t="str">
        <f aca="false">IF(A203="","",IF(A203=計算_償還回数,D203+F202+G202,計算_毎月償還額))</f>
        <v/>
      </c>
      <c r="D203" s="169" t="str">
        <f aca="false">IF(A203="","",ROUND(F202*計算_利率/定数_年月数,0)+ROUND(G202*計算_利率_在宅介護/定数_年月数,0))</f>
        <v/>
      </c>
      <c r="E203" s="169" t="str">
        <f aca="false">IF(A203="","",C203-D203)</f>
        <v/>
      </c>
      <c r="F203" s="169" t="str">
        <f aca="false">IF(A203="","",IF(A203=計算_償還回数,0,MAX(0,F202-(ROUND(計算_月額_基本,0)-ROUND(F202*計算_利率/定数_年月数,0)))))</f>
        <v/>
      </c>
      <c r="G203" s="169" t="str">
        <f aca="false">IF(A203="","",IF(A203=計算_償還回数,0,MAX(0,G202-(ROUND(計算_月額_在宅介護,0)-ROUND(G202*計算_利率_在宅介護/定数_年月数,0)))))</f>
        <v/>
      </c>
      <c r="H203" s="169" t="str">
        <f aca="false">IF(A203="","",F203+G203)</f>
        <v/>
      </c>
      <c r="I203" s="168" t="str">
        <f aca="false">IF(A203="","",IF(AND(OR(MONTH(B203)=6,MONTH(B203)=12),I202&lt;計算_賞与回数),I202+1,I202))</f>
        <v/>
      </c>
      <c r="J203" s="169" t="str">
        <f aca="false">IF(A203="","",IF(I203&gt;I202,IF(I203=計算_賞与回数,M202+K203,計算_賞与償還額),0))</f>
        <v/>
      </c>
      <c r="K203" s="169" t="str">
        <f aca="false">IF(A203="","",IF(I203&gt;I202,ROUND(M202*計算_賞与期間利率,0),0))</f>
        <v/>
      </c>
      <c r="L203" s="169" t="str">
        <f aca="false">IF(A203="","",J203-K203)</f>
        <v/>
      </c>
      <c r="M203" s="169" t="str">
        <f aca="false">IF(A203="","",IF(I203&gt;I202,M202-L203,M202))</f>
        <v/>
      </c>
      <c r="N203" s="169" t="str">
        <f aca="false">IF(A203="","",C203+J203)</f>
        <v/>
      </c>
      <c r="O203" s="169" t="str">
        <f aca="false">IF(A203="","",H203+M203)</f>
        <v/>
      </c>
    </row>
    <row r="204" customFormat="false" ht="15" hidden="false" customHeight="false" outlineLevel="0" collapsed="false">
      <c r="A204" s="168" t="str">
        <f aca="false">IF(OR(計算_償還開始="",ROWS($A$8:A204)&gt;計算_償還回数),"",ROWS($A$8:A204))</f>
        <v/>
      </c>
      <c r="B204" s="170" t="str">
        <f aca="false">IF(A204="","",EDATE(計算_償還開始,A204-1))</f>
        <v/>
      </c>
      <c r="C204" s="169" t="str">
        <f aca="false">IF(A204="","",IF(A204=計算_償還回数,D204+F203+G203,計算_毎月償還額))</f>
        <v/>
      </c>
      <c r="D204" s="169" t="str">
        <f aca="false">IF(A204="","",ROUND(F203*計算_利率/定数_年月数,0)+ROUND(G203*計算_利率_在宅介護/定数_年月数,0))</f>
        <v/>
      </c>
      <c r="E204" s="169" t="str">
        <f aca="false">IF(A204="","",C204-D204)</f>
        <v/>
      </c>
      <c r="F204" s="169" t="str">
        <f aca="false">IF(A204="","",IF(A204=計算_償還回数,0,MAX(0,F203-(ROUND(計算_月額_基本,0)-ROUND(F203*計算_利率/定数_年月数,0)))))</f>
        <v/>
      </c>
      <c r="G204" s="169" t="str">
        <f aca="false">IF(A204="","",IF(A204=計算_償還回数,0,MAX(0,G203-(ROUND(計算_月額_在宅介護,0)-ROUND(G203*計算_利率_在宅介護/定数_年月数,0)))))</f>
        <v/>
      </c>
      <c r="H204" s="169" t="str">
        <f aca="false">IF(A204="","",F204+G204)</f>
        <v/>
      </c>
      <c r="I204" s="168" t="str">
        <f aca="false">IF(A204="","",IF(AND(OR(MONTH(B204)=6,MONTH(B204)=12),I203&lt;計算_賞与回数),I203+1,I203))</f>
        <v/>
      </c>
      <c r="J204" s="169" t="str">
        <f aca="false">IF(A204="","",IF(I204&gt;I203,IF(I204=計算_賞与回数,M203+K204,計算_賞与償還額),0))</f>
        <v/>
      </c>
      <c r="K204" s="169" t="str">
        <f aca="false">IF(A204="","",IF(I204&gt;I203,ROUND(M203*計算_賞与期間利率,0),0))</f>
        <v/>
      </c>
      <c r="L204" s="169" t="str">
        <f aca="false">IF(A204="","",J204-K204)</f>
        <v/>
      </c>
      <c r="M204" s="169" t="str">
        <f aca="false">IF(A204="","",IF(I204&gt;I203,M203-L204,M203))</f>
        <v/>
      </c>
      <c r="N204" s="169" t="str">
        <f aca="false">IF(A204="","",C204+J204)</f>
        <v/>
      </c>
      <c r="O204" s="169" t="str">
        <f aca="false">IF(A204="","",H204+M204)</f>
        <v/>
      </c>
    </row>
    <row r="205" customFormat="false" ht="15" hidden="false" customHeight="false" outlineLevel="0" collapsed="false">
      <c r="A205" s="168" t="str">
        <f aca="false">IF(OR(計算_償還開始="",ROWS($A$8:A205)&gt;計算_償還回数),"",ROWS($A$8:A205))</f>
        <v/>
      </c>
      <c r="B205" s="170" t="str">
        <f aca="false">IF(A205="","",EDATE(計算_償還開始,A205-1))</f>
        <v/>
      </c>
      <c r="C205" s="169" t="str">
        <f aca="false">IF(A205="","",IF(A205=計算_償還回数,D205+F204+G204,計算_毎月償還額))</f>
        <v/>
      </c>
      <c r="D205" s="169" t="str">
        <f aca="false">IF(A205="","",ROUND(F204*計算_利率/定数_年月数,0)+ROUND(G204*計算_利率_在宅介護/定数_年月数,0))</f>
        <v/>
      </c>
      <c r="E205" s="169" t="str">
        <f aca="false">IF(A205="","",C205-D205)</f>
        <v/>
      </c>
      <c r="F205" s="169" t="str">
        <f aca="false">IF(A205="","",IF(A205=計算_償還回数,0,MAX(0,F204-(ROUND(計算_月額_基本,0)-ROUND(F204*計算_利率/定数_年月数,0)))))</f>
        <v/>
      </c>
      <c r="G205" s="169" t="str">
        <f aca="false">IF(A205="","",IF(A205=計算_償還回数,0,MAX(0,G204-(ROUND(計算_月額_在宅介護,0)-ROUND(G204*計算_利率_在宅介護/定数_年月数,0)))))</f>
        <v/>
      </c>
      <c r="H205" s="169" t="str">
        <f aca="false">IF(A205="","",F205+G205)</f>
        <v/>
      </c>
      <c r="I205" s="168" t="str">
        <f aca="false">IF(A205="","",IF(AND(OR(MONTH(B205)=6,MONTH(B205)=12),I204&lt;計算_賞与回数),I204+1,I204))</f>
        <v/>
      </c>
      <c r="J205" s="169" t="str">
        <f aca="false">IF(A205="","",IF(I205&gt;I204,IF(I205=計算_賞与回数,M204+K205,計算_賞与償還額),0))</f>
        <v/>
      </c>
      <c r="K205" s="169" t="str">
        <f aca="false">IF(A205="","",IF(I205&gt;I204,ROUND(M204*計算_賞与期間利率,0),0))</f>
        <v/>
      </c>
      <c r="L205" s="169" t="str">
        <f aca="false">IF(A205="","",J205-K205)</f>
        <v/>
      </c>
      <c r="M205" s="169" t="str">
        <f aca="false">IF(A205="","",IF(I205&gt;I204,M204-L205,M204))</f>
        <v/>
      </c>
      <c r="N205" s="169" t="str">
        <f aca="false">IF(A205="","",C205+J205)</f>
        <v/>
      </c>
      <c r="O205" s="169" t="str">
        <f aca="false">IF(A205="","",H205+M205)</f>
        <v/>
      </c>
    </row>
    <row r="206" customFormat="false" ht="15" hidden="false" customHeight="false" outlineLevel="0" collapsed="false">
      <c r="A206" s="168" t="str">
        <f aca="false">IF(OR(計算_償還開始="",ROWS($A$8:A206)&gt;計算_償還回数),"",ROWS($A$8:A206))</f>
        <v/>
      </c>
      <c r="B206" s="170" t="str">
        <f aca="false">IF(A206="","",EDATE(計算_償還開始,A206-1))</f>
        <v/>
      </c>
      <c r="C206" s="169" t="str">
        <f aca="false">IF(A206="","",IF(A206=計算_償還回数,D206+F205+G205,計算_毎月償還額))</f>
        <v/>
      </c>
      <c r="D206" s="169" t="str">
        <f aca="false">IF(A206="","",ROUND(F205*計算_利率/定数_年月数,0)+ROUND(G205*計算_利率_在宅介護/定数_年月数,0))</f>
        <v/>
      </c>
      <c r="E206" s="169" t="str">
        <f aca="false">IF(A206="","",C206-D206)</f>
        <v/>
      </c>
      <c r="F206" s="169" t="str">
        <f aca="false">IF(A206="","",IF(A206=計算_償還回数,0,MAX(0,F205-(ROUND(計算_月額_基本,0)-ROUND(F205*計算_利率/定数_年月数,0)))))</f>
        <v/>
      </c>
      <c r="G206" s="169" t="str">
        <f aca="false">IF(A206="","",IF(A206=計算_償還回数,0,MAX(0,G205-(ROUND(計算_月額_在宅介護,0)-ROUND(G205*計算_利率_在宅介護/定数_年月数,0)))))</f>
        <v/>
      </c>
      <c r="H206" s="169" t="str">
        <f aca="false">IF(A206="","",F206+G206)</f>
        <v/>
      </c>
      <c r="I206" s="168" t="str">
        <f aca="false">IF(A206="","",IF(AND(OR(MONTH(B206)=6,MONTH(B206)=12),I205&lt;計算_賞与回数),I205+1,I205))</f>
        <v/>
      </c>
      <c r="J206" s="169" t="str">
        <f aca="false">IF(A206="","",IF(I206&gt;I205,IF(I206=計算_賞与回数,M205+K206,計算_賞与償還額),0))</f>
        <v/>
      </c>
      <c r="K206" s="169" t="str">
        <f aca="false">IF(A206="","",IF(I206&gt;I205,ROUND(M205*計算_賞与期間利率,0),0))</f>
        <v/>
      </c>
      <c r="L206" s="169" t="str">
        <f aca="false">IF(A206="","",J206-K206)</f>
        <v/>
      </c>
      <c r="M206" s="169" t="str">
        <f aca="false">IF(A206="","",IF(I206&gt;I205,M205-L206,M205))</f>
        <v/>
      </c>
      <c r="N206" s="169" t="str">
        <f aca="false">IF(A206="","",C206+J206)</f>
        <v/>
      </c>
      <c r="O206" s="169" t="str">
        <f aca="false">IF(A206="","",H206+M206)</f>
        <v/>
      </c>
    </row>
    <row r="207" customFormat="false" ht="15" hidden="false" customHeight="false" outlineLevel="0" collapsed="false">
      <c r="A207" s="168" t="str">
        <f aca="false">IF(OR(計算_償還開始="",ROWS($A$8:A207)&gt;計算_償還回数),"",ROWS($A$8:A207))</f>
        <v/>
      </c>
      <c r="B207" s="170" t="str">
        <f aca="false">IF(A207="","",EDATE(計算_償還開始,A207-1))</f>
        <v/>
      </c>
      <c r="C207" s="169" t="str">
        <f aca="false">IF(A207="","",IF(A207=計算_償還回数,D207+F206+G206,計算_毎月償還額))</f>
        <v/>
      </c>
      <c r="D207" s="169" t="str">
        <f aca="false">IF(A207="","",ROUND(F206*計算_利率/定数_年月数,0)+ROUND(G206*計算_利率_在宅介護/定数_年月数,0))</f>
        <v/>
      </c>
      <c r="E207" s="169" t="str">
        <f aca="false">IF(A207="","",C207-D207)</f>
        <v/>
      </c>
      <c r="F207" s="169" t="str">
        <f aca="false">IF(A207="","",IF(A207=計算_償還回数,0,MAX(0,F206-(ROUND(計算_月額_基本,0)-ROUND(F206*計算_利率/定数_年月数,0)))))</f>
        <v/>
      </c>
      <c r="G207" s="169" t="str">
        <f aca="false">IF(A207="","",IF(A207=計算_償還回数,0,MAX(0,G206-(ROUND(計算_月額_在宅介護,0)-ROUND(G206*計算_利率_在宅介護/定数_年月数,0)))))</f>
        <v/>
      </c>
      <c r="H207" s="169" t="str">
        <f aca="false">IF(A207="","",F207+G207)</f>
        <v/>
      </c>
      <c r="I207" s="168" t="str">
        <f aca="false">IF(A207="","",IF(AND(OR(MONTH(B207)=6,MONTH(B207)=12),I206&lt;計算_賞与回数),I206+1,I206))</f>
        <v/>
      </c>
      <c r="J207" s="169" t="str">
        <f aca="false">IF(A207="","",IF(I207&gt;I206,IF(I207=計算_賞与回数,M206+K207,計算_賞与償還額),0))</f>
        <v/>
      </c>
      <c r="K207" s="169" t="str">
        <f aca="false">IF(A207="","",IF(I207&gt;I206,ROUND(M206*計算_賞与期間利率,0),0))</f>
        <v/>
      </c>
      <c r="L207" s="169" t="str">
        <f aca="false">IF(A207="","",J207-K207)</f>
        <v/>
      </c>
      <c r="M207" s="169" t="str">
        <f aca="false">IF(A207="","",IF(I207&gt;I206,M206-L207,M206))</f>
        <v/>
      </c>
      <c r="N207" s="169" t="str">
        <f aca="false">IF(A207="","",C207+J207)</f>
        <v/>
      </c>
      <c r="O207" s="169" t="str">
        <f aca="false">IF(A207="","",H207+M207)</f>
        <v/>
      </c>
    </row>
    <row r="208" customFormat="false" ht="15" hidden="false" customHeight="false" outlineLevel="0" collapsed="false">
      <c r="A208" s="168" t="str">
        <f aca="false">IF(OR(計算_償還開始="",ROWS($A$8:A208)&gt;計算_償還回数),"",ROWS($A$8:A208))</f>
        <v/>
      </c>
      <c r="B208" s="170" t="str">
        <f aca="false">IF(A208="","",EDATE(計算_償還開始,A208-1))</f>
        <v/>
      </c>
      <c r="C208" s="169" t="str">
        <f aca="false">IF(A208="","",IF(A208=計算_償還回数,D208+F207+G207,計算_毎月償還額))</f>
        <v/>
      </c>
      <c r="D208" s="169" t="str">
        <f aca="false">IF(A208="","",ROUND(F207*計算_利率/定数_年月数,0)+ROUND(G207*計算_利率_在宅介護/定数_年月数,0))</f>
        <v/>
      </c>
      <c r="E208" s="169" t="str">
        <f aca="false">IF(A208="","",C208-D208)</f>
        <v/>
      </c>
      <c r="F208" s="169" t="str">
        <f aca="false">IF(A208="","",IF(A208=計算_償還回数,0,MAX(0,F207-(ROUND(計算_月額_基本,0)-ROUND(F207*計算_利率/定数_年月数,0)))))</f>
        <v/>
      </c>
      <c r="G208" s="169" t="str">
        <f aca="false">IF(A208="","",IF(A208=計算_償還回数,0,MAX(0,G207-(ROUND(計算_月額_在宅介護,0)-ROUND(G207*計算_利率_在宅介護/定数_年月数,0)))))</f>
        <v/>
      </c>
      <c r="H208" s="169" t="str">
        <f aca="false">IF(A208="","",F208+G208)</f>
        <v/>
      </c>
      <c r="I208" s="168" t="str">
        <f aca="false">IF(A208="","",IF(AND(OR(MONTH(B208)=6,MONTH(B208)=12),I207&lt;計算_賞与回数),I207+1,I207))</f>
        <v/>
      </c>
      <c r="J208" s="169" t="str">
        <f aca="false">IF(A208="","",IF(I208&gt;I207,IF(I208=計算_賞与回数,M207+K208,計算_賞与償還額),0))</f>
        <v/>
      </c>
      <c r="K208" s="169" t="str">
        <f aca="false">IF(A208="","",IF(I208&gt;I207,ROUND(M207*計算_賞与期間利率,0),0))</f>
        <v/>
      </c>
      <c r="L208" s="169" t="str">
        <f aca="false">IF(A208="","",J208-K208)</f>
        <v/>
      </c>
      <c r="M208" s="169" t="str">
        <f aca="false">IF(A208="","",IF(I208&gt;I207,M207-L208,M207))</f>
        <v/>
      </c>
      <c r="N208" s="169" t="str">
        <f aca="false">IF(A208="","",C208+J208)</f>
        <v/>
      </c>
      <c r="O208" s="169" t="str">
        <f aca="false">IF(A208="","",H208+M208)</f>
        <v/>
      </c>
    </row>
    <row r="209" customFormat="false" ht="15" hidden="false" customHeight="false" outlineLevel="0" collapsed="false">
      <c r="A209" s="168" t="str">
        <f aca="false">IF(OR(計算_償還開始="",ROWS($A$8:A209)&gt;計算_償還回数),"",ROWS($A$8:A209))</f>
        <v/>
      </c>
      <c r="B209" s="170" t="str">
        <f aca="false">IF(A209="","",EDATE(計算_償還開始,A209-1))</f>
        <v/>
      </c>
      <c r="C209" s="169" t="str">
        <f aca="false">IF(A209="","",IF(A209=計算_償還回数,D209+F208+G208,計算_毎月償還額))</f>
        <v/>
      </c>
      <c r="D209" s="169" t="str">
        <f aca="false">IF(A209="","",ROUND(F208*計算_利率/定数_年月数,0)+ROUND(G208*計算_利率_在宅介護/定数_年月数,0))</f>
        <v/>
      </c>
      <c r="E209" s="169" t="str">
        <f aca="false">IF(A209="","",C209-D209)</f>
        <v/>
      </c>
      <c r="F209" s="169" t="str">
        <f aca="false">IF(A209="","",IF(A209=計算_償還回数,0,MAX(0,F208-(ROUND(計算_月額_基本,0)-ROUND(F208*計算_利率/定数_年月数,0)))))</f>
        <v/>
      </c>
      <c r="G209" s="169" t="str">
        <f aca="false">IF(A209="","",IF(A209=計算_償還回数,0,MAX(0,G208-(ROUND(計算_月額_在宅介護,0)-ROUND(G208*計算_利率_在宅介護/定数_年月数,0)))))</f>
        <v/>
      </c>
      <c r="H209" s="169" t="str">
        <f aca="false">IF(A209="","",F209+G209)</f>
        <v/>
      </c>
      <c r="I209" s="168" t="str">
        <f aca="false">IF(A209="","",IF(AND(OR(MONTH(B209)=6,MONTH(B209)=12),I208&lt;計算_賞与回数),I208+1,I208))</f>
        <v/>
      </c>
      <c r="J209" s="169" t="str">
        <f aca="false">IF(A209="","",IF(I209&gt;I208,IF(I209=計算_賞与回数,M208+K209,計算_賞与償還額),0))</f>
        <v/>
      </c>
      <c r="K209" s="169" t="str">
        <f aca="false">IF(A209="","",IF(I209&gt;I208,ROUND(M208*計算_賞与期間利率,0),0))</f>
        <v/>
      </c>
      <c r="L209" s="169" t="str">
        <f aca="false">IF(A209="","",J209-K209)</f>
        <v/>
      </c>
      <c r="M209" s="169" t="str">
        <f aca="false">IF(A209="","",IF(I209&gt;I208,M208-L209,M208))</f>
        <v/>
      </c>
      <c r="N209" s="169" t="str">
        <f aca="false">IF(A209="","",C209+J209)</f>
        <v/>
      </c>
      <c r="O209" s="169" t="str">
        <f aca="false">IF(A209="","",H209+M209)</f>
        <v/>
      </c>
    </row>
    <row r="210" customFormat="false" ht="15" hidden="false" customHeight="false" outlineLevel="0" collapsed="false">
      <c r="A210" s="168" t="str">
        <f aca="false">IF(OR(計算_償還開始="",ROWS($A$8:A210)&gt;計算_償還回数),"",ROWS($A$8:A210))</f>
        <v/>
      </c>
      <c r="B210" s="170" t="str">
        <f aca="false">IF(A210="","",EDATE(計算_償還開始,A210-1))</f>
        <v/>
      </c>
      <c r="C210" s="169" t="str">
        <f aca="false">IF(A210="","",IF(A210=計算_償還回数,D210+F209+G209,計算_毎月償還額))</f>
        <v/>
      </c>
      <c r="D210" s="169" t="str">
        <f aca="false">IF(A210="","",ROUND(F209*計算_利率/定数_年月数,0)+ROUND(G209*計算_利率_在宅介護/定数_年月数,0))</f>
        <v/>
      </c>
      <c r="E210" s="169" t="str">
        <f aca="false">IF(A210="","",C210-D210)</f>
        <v/>
      </c>
      <c r="F210" s="169" t="str">
        <f aca="false">IF(A210="","",IF(A210=計算_償還回数,0,MAX(0,F209-(ROUND(計算_月額_基本,0)-ROUND(F209*計算_利率/定数_年月数,0)))))</f>
        <v/>
      </c>
      <c r="G210" s="169" t="str">
        <f aca="false">IF(A210="","",IF(A210=計算_償還回数,0,MAX(0,G209-(ROUND(計算_月額_在宅介護,0)-ROUND(G209*計算_利率_在宅介護/定数_年月数,0)))))</f>
        <v/>
      </c>
      <c r="H210" s="169" t="str">
        <f aca="false">IF(A210="","",F210+G210)</f>
        <v/>
      </c>
      <c r="I210" s="168" t="str">
        <f aca="false">IF(A210="","",IF(AND(OR(MONTH(B210)=6,MONTH(B210)=12),I209&lt;計算_賞与回数),I209+1,I209))</f>
        <v/>
      </c>
      <c r="J210" s="169" t="str">
        <f aca="false">IF(A210="","",IF(I210&gt;I209,IF(I210=計算_賞与回数,M209+K210,計算_賞与償還額),0))</f>
        <v/>
      </c>
      <c r="K210" s="169" t="str">
        <f aca="false">IF(A210="","",IF(I210&gt;I209,ROUND(M209*計算_賞与期間利率,0),0))</f>
        <v/>
      </c>
      <c r="L210" s="169" t="str">
        <f aca="false">IF(A210="","",J210-K210)</f>
        <v/>
      </c>
      <c r="M210" s="169" t="str">
        <f aca="false">IF(A210="","",IF(I210&gt;I209,M209-L210,M209))</f>
        <v/>
      </c>
      <c r="N210" s="169" t="str">
        <f aca="false">IF(A210="","",C210+J210)</f>
        <v/>
      </c>
      <c r="O210" s="169" t="str">
        <f aca="false">IF(A210="","",H210+M210)</f>
        <v/>
      </c>
    </row>
    <row r="211" customFormat="false" ht="15" hidden="false" customHeight="false" outlineLevel="0" collapsed="false">
      <c r="A211" s="168" t="str">
        <f aca="false">IF(OR(計算_償還開始="",ROWS($A$8:A211)&gt;計算_償還回数),"",ROWS($A$8:A211))</f>
        <v/>
      </c>
      <c r="B211" s="170" t="str">
        <f aca="false">IF(A211="","",EDATE(計算_償還開始,A211-1))</f>
        <v/>
      </c>
      <c r="C211" s="169" t="str">
        <f aca="false">IF(A211="","",IF(A211=計算_償還回数,D211+F210+G210,計算_毎月償還額))</f>
        <v/>
      </c>
      <c r="D211" s="169" t="str">
        <f aca="false">IF(A211="","",ROUND(F210*計算_利率/定数_年月数,0)+ROUND(G210*計算_利率_在宅介護/定数_年月数,0))</f>
        <v/>
      </c>
      <c r="E211" s="169" t="str">
        <f aca="false">IF(A211="","",C211-D211)</f>
        <v/>
      </c>
      <c r="F211" s="169" t="str">
        <f aca="false">IF(A211="","",IF(A211=計算_償還回数,0,MAX(0,F210-(ROUND(計算_月額_基本,0)-ROUND(F210*計算_利率/定数_年月数,0)))))</f>
        <v/>
      </c>
      <c r="G211" s="169" t="str">
        <f aca="false">IF(A211="","",IF(A211=計算_償還回数,0,MAX(0,G210-(ROUND(計算_月額_在宅介護,0)-ROUND(G210*計算_利率_在宅介護/定数_年月数,0)))))</f>
        <v/>
      </c>
      <c r="H211" s="169" t="str">
        <f aca="false">IF(A211="","",F211+G211)</f>
        <v/>
      </c>
      <c r="I211" s="168" t="str">
        <f aca="false">IF(A211="","",IF(AND(OR(MONTH(B211)=6,MONTH(B211)=12),I210&lt;計算_賞与回数),I210+1,I210))</f>
        <v/>
      </c>
      <c r="J211" s="169" t="str">
        <f aca="false">IF(A211="","",IF(I211&gt;I210,IF(I211=計算_賞与回数,M210+K211,計算_賞与償還額),0))</f>
        <v/>
      </c>
      <c r="K211" s="169" t="str">
        <f aca="false">IF(A211="","",IF(I211&gt;I210,ROUND(M210*計算_賞与期間利率,0),0))</f>
        <v/>
      </c>
      <c r="L211" s="169" t="str">
        <f aca="false">IF(A211="","",J211-K211)</f>
        <v/>
      </c>
      <c r="M211" s="169" t="str">
        <f aca="false">IF(A211="","",IF(I211&gt;I210,M210-L211,M210))</f>
        <v/>
      </c>
      <c r="N211" s="169" t="str">
        <f aca="false">IF(A211="","",C211+J211)</f>
        <v/>
      </c>
      <c r="O211" s="169" t="str">
        <f aca="false">IF(A211="","",H211+M211)</f>
        <v/>
      </c>
    </row>
    <row r="212" customFormat="false" ht="15" hidden="false" customHeight="false" outlineLevel="0" collapsed="false">
      <c r="A212" s="168" t="str">
        <f aca="false">IF(OR(計算_償還開始="",ROWS($A$8:A212)&gt;計算_償還回数),"",ROWS($A$8:A212))</f>
        <v/>
      </c>
      <c r="B212" s="170" t="str">
        <f aca="false">IF(A212="","",EDATE(計算_償還開始,A212-1))</f>
        <v/>
      </c>
      <c r="C212" s="169" t="str">
        <f aca="false">IF(A212="","",IF(A212=計算_償還回数,D212+F211+G211,計算_毎月償還額))</f>
        <v/>
      </c>
      <c r="D212" s="169" t="str">
        <f aca="false">IF(A212="","",ROUND(F211*計算_利率/定数_年月数,0)+ROUND(G211*計算_利率_在宅介護/定数_年月数,0))</f>
        <v/>
      </c>
      <c r="E212" s="169" t="str">
        <f aca="false">IF(A212="","",C212-D212)</f>
        <v/>
      </c>
      <c r="F212" s="169" t="str">
        <f aca="false">IF(A212="","",IF(A212=計算_償還回数,0,MAX(0,F211-(ROUND(計算_月額_基本,0)-ROUND(F211*計算_利率/定数_年月数,0)))))</f>
        <v/>
      </c>
      <c r="G212" s="169" t="str">
        <f aca="false">IF(A212="","",IF(A212=計算_償還回数,0,MAX(0,G211-(ROUND(計算_月額_在宅介護,0)-ROUND(G211*計算_利率_在宅介護/定数_年月数,0)))))</f>
        <v/>
      </c>
      <c r="H212" s="169" t="str">
        <f aca="false">IF(A212="","",F212+G212)</f>
        <v/>
      </c>
      <c r="I212" s="168" t="str">
        <f aca="false">IF(A212="","",IF(AND(OR(MONTH(B212)=6,MONTH(B212)=12),I211&lt;計算_賞与回数),I211+1,I211))</f>
        <v/>
      </c>
      <c r="J212" s="169" t="str">
        <f aca="false">IF(A212="","",IF(I212&gt;I211,IF(I212=計算_賞与回数,M211+K212,計算_賞与償還額),0))</f>
        <v/>
      </c>
      <c r="K212" s="169" t="str">
        <f aca="false">IF(A212="","",IF(I212&gt;I211,ROUND(M211*計算_賞与期間利率,0),0))</f>
        <v/>
      </c>
      <c r="L212" s="169" t="str">
        <f aca="false">IF(A212="","",J212-K212)</f>
        <v/>
      </c>
      <c r="M212" s="169" t="str">
        <f aca="false">IF(A212="","",IF(I212&gt;I211,M211-L212,M211))</f>
        <v/>
      </c>
      <c r="N212" s="169" t="str">
        <f aca="false">IF(A212="","",C212+J212)</f>
        <v/>
      </c>
      <c r="O212" s="169" t="str">
        <f aca="false">IF(A212="","",H212+M212)</f>
        <v/>
      </c>
    </row>
    <row r="213" customFormat="false" ht="15" hidden="false" customHeight="false" outlineLevel="0" collapsed="false">
      <c r="A213" s="168" t="str">
        <f aca="false">IF(OR(計算_償還開始="",ROWS($A$8:A213)&gt;計算_償還回数),"",ROWS($A$8:A213))</f>
        <v/>
      </c>
      <c r="B213" s="170" t="str">
        <f aca="false">IF(A213="","",EDATE(計算_償還開始,A213-1))</f>
        <v/>
      </c>
      <c r="C213" s="169" t="str">
        <f aca="false">IF(A213="","",IF(A213=計算_償還回数,D213+F212+G212,計算_毎月償還額))</f>
        <v/>
      </c>
      <c r="D213" s="169" t="str">
        <f aca="false">IF(A213="","",ROUND(F212*計算_利率/定数_年月数,0)+ROUND(G212*計算_利率_在宅介護/定数_年月数,0))</f>
        <v/>
      </c>
      <c r="E213" s="169" t="str">
        <f aca="false">IF(A213="","",C213-D213)</f>
        <v/>
      </c>
      <c r="F213" s="169" t="str">
        <f aca="false">IF(A213="","",IF(A213=計算_償還回数,0,MAX(0,F212-(ROUND(計算_月額_基本,0)-ROUND(F212*計算_利率/定数_年月数,0)))))</f>
        <v/>
      </c>
      <c r="G213" s="169" t="str">
        <f aca="false">IF(A213="","",IF(A213=計算_償還回数,0,MAX(0,G212-(ROUND(計算_月額_在宅介護,0)-ROUND(G212*計算_利率_在宅介護/定数_年月数,0)))))</f>
        <v/>
      </c>
      <c r="H213" s="169" t="str">
        <f aca="false">IF(A213="","",F213+G213)</f>
        <v/>
      </c>
      <c r="I213" s="168" t="str">
        <f aca="false">IF(A213="","",IF(AND(OR(MONTH(B213)=6,MONTH(B213)=12),I212&lt;計算_賞与回数),I212+1,I212))</f>
        <v/>
      </c>
      <c r="J213" s="169" t="str">
        <f aca="false">IF(A213="","",IF(I213&gt;I212,IF(I213=計算_賞与回数,M212+K213,計算_賞与償還額),0))</f>
        <v/>
      </c>
      <c r="K213" s="169" t="str">
        <f aca="false">IF(A213="","",IF(I213&gt;I212,ROUND(M212*計算_賞与期間利率,0),0))</f>
        <v/>
      </c>
      <c r="L213" s="169" t="str">
        <f aca="false">IF(A213="","",J213-K213)</f>
        <v/>
      </c>
      <c r="M213" s="169" t="str">
        <f aca="false">IF(A213="","",IF(I213&gt;I212,M212-L213,M212))</f>
        <v/>
      </c>
      <c r="N213" s="169" t="str">
        <f aca="false">IF(A213="","",C213+J213)</f>
        <v/>
      </c>
      <c r="O213" s="169" t="str">
        <f aca="false">IF(A213="","",H213+M213)</f>
        <v/>
      </c>
    </row>
    <row r="214" customFormat="false" ht="15" hidden="false" customHeight="false" outlineLevel="0" collapsed="false">
      <c r="A214" s="168" t="str">
        <f aca="false">IF(OR(計算_償還開始="",ROWS($A$8:A214)&gt;計算_償還回数),"",ROWS($A$8:A214))</f>
        <v/>
      </c>
      <c r="B214" s="170" t="str">
        <f aca="false">IF(A214="","",EDATE(計算_償還開始,A214-1))</f>
        <v/>
      </c>
      <c r="C214" s="169" t="str">
        <f aca="false">IF(A214="","",IF(A214=計算_償還回数,D214+F213+G213,計算_毎月償還額))</f>
        <v/>
      </c>
      <c r="D214" s="169" t="str">
        <f aca="false">IF(A214="","",ROUND(F213*計算_利率/定数_年月数,0)+ROUND(G213*計算_利率_在宅介護/定数_年月数,0))</f>
        <v/>
      </c>
      <c r="E214" s="169" t="str">
        <f aca="false">IF(A214="","",C214-D214)</f>
        <v/>
      </c>
      <c r="F214" s="169" t="str">
        <f aca="false">IF(A214="","",IF(A214=計算_償還回数,0,MAX(0,F213-(ROUND(計算_月額_基本,0)-ROUND(F213*計算_利率/定数_年月数,0)))))</f>
        <v/>
      </c>
      <c r="G214" s="169" t="str">
        <f aca="false">IF(A214="","",IF(A214=計算_償還回数,0,MAX(0,G213-(ROUND(計算_月額_在宅介護,0)-ROUND(G213*計算_利率_在宅介護/定数_年月数,0)))))</f>
        <v/>
      </c>
      <c r="H214" s="169" t="str">
        <f aca="false">IF(A214="","",F214+G214)</f>
        <v/>
      </c>
      <c r="I214" s="168" t="str">
        <f aca="false">IF(A214="","",IF(AND(OR(MONTH(B214)=6,MONTH(B214)=12),I213&lt;計算_賞与回数),I213+1,I213))</f>
        <v/>
      </c>
      <c r="J214" s="169" t="str">
        <f aca="false">IF(A214="","",IF(I214&gt;I213,IF(I214=計算_賞与回数,M213+K214,計算_賞与償還額),0))</f>
        <v/>
      </c>
      <c r="K214" s="169" t="str">
        <f aca="false">IF(A214="","",IF(I214&gt;I213,ROUND(M213*計算_賞与期間利率,0),0))</f>
        <v/>
      </c>
      <c r="L214" s="169" t="str">
        <f aca="false">IF(A214="","",J214-K214)</f>
        <v/>
      </c>
      <c r="M214" s="169" t="str">
        <f aca="false">IF(A214="","",IF(I214&gt;I213,M213-L214,M213))</f>
        <v/>
      </c>
      <c r="N214" s="169" t="str">
        <f aca="false">IF(A214="","",C214+J214)</f>
        <v/>
      </c>
      <c r="O214" s="169" t="str">
        <f aca="false">IF(A214="","",H214+M214)</f>
        <v/>
      </c>
    </row>
    <row r="215" customFormat="false" ht="15" hidden="false" customHeight="false" outlineLevel="0" collapsed="false">
      <c r="A215" s="168" t="str">
        <f aca="false">IF(OR(計算_償還開始="",ROWS($A$8:A215)&gt;計算_償還回数),"",ROWS($A$8:A215))</f>
        <v/>
      </c>
      <c r="B215" s="170" t="str">
        <f aca="false">IF(A215="","",EDATE(計算_償還開始,A215-1))</f>
        <v/>
      </c>
      <c r="C215" s="169" t="str">
        <f aca="false">IF(A215="","",IF(A215=計算_償還回数,D215+F214+G214,計算_毎月償還額))</f>
        <v/>
      </c>
      <c r="D215" s="169" t="str">
        <f aca="false">IF(A215="","",ROUND(F214*計算_利率/定数_年月数,0)+ROUND(G214*計算_利率_在宅介護/定数_年月数,0))</f>
        <v/>
      </c>
      <c r="E215" s="169" t="str">
        <f aca="false">IF(A215="","",C215-D215)</f>
        <v/>
      </c>
      <c r="F215" s="169" t="str">
        <f aca="false">IF(A215="","",IF(A215=計算_償還回数,0,MAX(0,F214-(ROUND(計算_月額_基本,0)-ROUND(F214*計算_利率/定数_年月数,0)))))</f>
        <v/>
      </c>
      <c r="G215" s="169" t="str">
        <f aca="false">IF(A215="","",IF(A215=計算_償還回数,0,MAX(0,G214-(ROUND(計算_月額_在宅介護,0)-ROUND(G214*計算_利率_在宅介護/定数_年月数,0)))))</f>
        <v/>
      </c>
      <c r="H215" s="169" t="str">
        <f aca="false">IF(A215="","",F215+G215)</f>
        <v/>
      </c>
      <c r="I215" s="168" t="str">
        <f aca="false">IF(A215="","",IF(AND(OR(MONTH(B215)=6,MONTH(B215)=12),I214&lt;計算_賞与回数),I214+1,I214))</f>
        <v/>
      </c>
      <c r="J215" s="169" t="str">
        <f aca="false">IF(A215="","",IF(I215&gt;I214,IF(I215=計算_賞与回数,M214+K215,計算_賞与償還額),0))</f>
        <v/>
      </c>
      <c r="K215" s="169" t="str">
        <f aca="false">IF(A215="","",IF(I215&gt;I214,ROUND(M214*計算_賞与期間利率,0),0))</f>
        <v/>
      </c>
      <c r="L215" s="169" t="str">
        <f aca="false">IF(A215="","",J215-K215)</f>
        <v/>
      </c>
      <c r="M215" s="169" t="str">
        <f aca="false">IF(A215="","",IF(I215&gt;I214,M214-L215,M214))</f>
        <v/>
      </c>
      <c r="N215" s="169" t="str">
        <f aca="false">IF(A215="","",C215+J215)</f>
        <v/>
      </c>
      <c r="O215" s="169" t="str">
        <f aca="false">IF(A215="","",H215+M215)</f>
        <v/>
      </c>
    </row>
    <row r="216" customFormat="false" ht="15" hidden="false" customHeight="false" outlineLevel="0" collapsed="false">
      <c r="A216" s="168" t="str">
        <f aca="false">IF(OR(計算_償還開始="",ROWS($A$8:A216)&gt;計算_償還回数),"",ROWS($A$8:A216))</f>
        <v/>
      </c>
      <c r="B216" s="170" t="str">
        <f aca="false">IF(A216="","",EDATE(計算_償還開始,A216-1))</f>
        <v/>
      </c>
      <c r="C216" s="169" t="str">
        <f aca="false">IF(A216="","",IF(A216=計算_償還回数,D216+F215+G215,計算_毎月償還額))</f>
        <v/>
      </c>
      <c r="D216" s="169" t="str">
        <f aca="false">IF(A216="","",ROUND(F215*計算_利率/定数_年月数,0)+ROUND(G215*計算_利率_在宅介護/定数_年月数,0))</f>
        <v/>
      </c>
      <c r="E216" s="169" t="str">
        <f aca="false">IF(A216="","",C216-D216)</f>
        <v/>
      </c>
      <c r="F216" s="169" t="str">
        <f aca="false">IF(A216="","",IF(A216=計算_償還回数,0,MAX(0,F215-(ROUND(計算_月額_基本,0)-ROUND(F215*計算_利率/定数_年月数,0)))))</f>
        <v/>
      </c>
      <c r="G216" s="169" t="str">
        <f aca="false">IF(A216="","",IF(A216=計算_償還回数,0,MAX(0,G215-(ROUND(計算_月額_在宅介護,0)-ROUND(G215*計算_利率_在宅介護/定数_年月数,0)))))</f>
        <v/>
      </c>
      <c r="H216" s="169" t="str">
        <f aca="false">IF(A216="","",F216+G216)</f>
        <v/>
      </c>
      <c r="I216" s="168" t="str">
        <f aca="false">IF(A216="","",IF(AND(OR(MONTH(B216)=6,MONTH(B216)=12),I215&lt;計算_賞与回数),I215+1,I215))</f>
        <v/>
      </c>
      <c r="J216" s="169" t="str">
        <f aca="false">IF(A216="","",IF(I216&gt;I215,IF(I216=計算_賞与回数,M215+K216,計算_賞与償還額),0))</f>
        <v/>
      </c>
      <c r="K216" s="169" t="str">
        <f aca="false">IF(A216="","",IF(I216&gt;I215,ROUND(M215*計算_賞与期間利率,0),0))</f>
        <v/>
      </c>
      <c r="L216" s="169" t="str">
        <f aca="false">IF(A216="","",J216-K216)</f>
        <v/>
      </c>
      <c r="M216" s="169" t="str">
        <f aca="false">IF(A216="","",IF(I216&gt;I215,M215-L216,M215))</f>
        <v/>
      </c>
      <c r="N216" s="169" t="str">
        <f aca="false">IF(A216="","",C216+J216)</f>
        <v/>
      </c>
      <c r="O216" s="169" t="str">
        <f aca="false">IF(A216="","",H216+M216)</f>
        <v/>
      </c>
    </row>
    <row r="217" customFormat="false" ht="15" hidden="false" customHeight="false" outlineLevel="0" collapsed="false">
      <c r="A217" s="168" t="str">
        <f aca="false">IF(OR(計算_償還開始="",ROWS($A$8:A217)&gt;計算_償還回数),"",ROWS($A$8:A217))</f>
        <v/>
      </c>
      <c r="B217" s="170" t="str">
        <f aca="false">IF(A217="","",EDATE(計算_償還開始,A217-1))</f>
        <v/>
      </c>
      <c r="C217" s="169" t="str">
        <f aca="false">IF(A217="","",IF(A217=計算_償還回数,D217+F216+G216,計算_毎月償還額))</f>
        <v/>
      </c>
      <c r="D217" s="169" t="str">
        <f aca="false">IF(A217="","",ROUND(F216*計算_利率/定数_年月数,0)+ROUND(G216*計算_利率_在宅介護/定数_年月数,0))</f>
        <v/>
      </c>
      <c r="E217" s="169" t="str">
        <f aca="false">IF(A217="","",C217-D217)</f>
        <v/>
      </c>
      <c r="F217" s="169" t="str">
        <f aca="false">IF(A217="","",IF(A217=計算_償還回数,0,MAX(0,F216-(ROUND(計算_月額_基本,0)-ROUND(F216*計算_利率/定数_年月数,0)))))</f>
        <v/>
      </c>
      <c r="G217" s="169" t="str">
        <f aca="false">IF(A217="","",IF(A217=計算_償還回数,0,MAX(0,G216-(ROUND(計算_月額_在宅介護,0)-ROUND(G216*計算_利率_在宅介護/定数_年月数,0)))))</f>
        <v/>
      </c>
      <c r="H217" s="169" t="str">
        <f aca="false">IF(A217="","",F217+G217)</f>
        <v/>
      </c>
      <c r="I217" s="168" t="str">
        <f aca="false">IF(A217="","",IF(AND(OR(MONTH(B217)=6,MONTH(B217)=12),I216&lt;計算_賞与回数),I216+1,I216))</f>
        <v/>
      </c>
      <c r="J217" s="169" t="str">
        <f aca="false">IF(A217="","",IF(I217&gt;I216,IF(I217=計算_賞与回数,M216+K217,計算_賞与償還額),0))</f>
        <v/>
      </c>
      <c r="K217" s="169" t="str">
        <f aca="false">IF(A217="","",IF(I217&gt;I216,ROUND(M216*計算_賞与期間利率,0),0))</f>
        <v/>
      </c>
      <c r="L217" s="169" t="str">
        <f aca="false">IF(A217="","",J217-K217)</f>
        <v/>
      </c>
      <c r="M217" s="169" t="str">
        <f aca="false">IF(A217="","",IF(I217&gt;I216,M216-L217,M216))</f>
        <v/>
      </c>
      <c r="N217" s="169" t="str">
        <f aca="false">IF(A217="","",C217+J217)</f>
        <v/>
      </c>
      <c r="O217" s="169" t="str">
        <f aca="false">IF(A217="","",H217+M217)</f>
        <v/>
      </c>
    </row>
    <row r="218" customFormat="false" ht="15" hidden="false" customHeight="false" outlineLevel="0" collapsed="false">
      <c r="A218" s="168" t="str">
        <f aca="false">IF(OR(計算_償還開始="",ROWS($A$8:A218)&gt;計算_償還回数),"",ROWS($A$8:A218))</f>
        <v/>
      </c>
      <c r="B218" s="170" t="str">
        <f aca="false">IF(A218="","",EDATE(計算_償還開始,A218-1))</f>
        <v/>
      </c>
      <c r="C218" s="169" t="str">
        <f aca="false">IF(A218="","",IF(A218=計算_償還回数,D218+F217+G217,計算_毎月償還額))</f>
        <v/>
      </c>
      <c r="D218" s="169" t="str">
        <f aca="false">IF(A218="","",ROUND(F217*計算_利率/定数_年月数,0)+ROUND(G217*計算_利率_在宅介護/定数_年月数,0))</f>
        <v/>
      </c>
      <c r="E218" s="169" t="str">
        <f aca="false">IF(A218="","",C218-D218)</f>
        <v/>
      </c>
      <c r="F218" s="169" t="str">
        <f aca="false">IF(A218="","",IF(A218=計算_償還回数,0,MAX(0,F217-(ROUND(計算_月額_基本,0)-ROUND(F217*計算_利率/定数_年月数,0)))))</f>
        <v/>
      </c>
      <c r="G218" s="169" t="str">
        <f aca="false">IF(A218="","",IF(A218=計算_償還回数,0,MAX(0,G217-(ROUND(計算_月額_在宅介護,0)-ROUND(G217*計算_利率_在宅介護/定数_年月数,0)))))</f>
        <v/>
      </c>
      <c r="H218" s="169" t="str">
        <f aca="false">IF(A218="","",F218+G218)</f>
        <v/>
      </c>
      <c r="I218" s="168" t="str">
        <f aca="false">IF(A218="","",IF(AND(OR(MONTH(B218)=6,MONTH(B218)=12),I217&lt;計算_賞与回数),I217+1,I217))</f>
        <v/>
      </c>
      <c r="J218" s="169" t="str">
        <f aca="false">IF(A218="","",IF(I218&gt;I217,IF(I218=計算_賞与回数,M217+K218,計算_賞与償還額),0))</f>
        <v/>
      </c>
      <c r="K218" s="169" t="str">
        <f aca="false">IF(A218="","",IF(I218&gt;I217,ROUND(M217*計算_賞与期間利率,0),0))</f>
        <v/>
      </c>
      <c r="L218" s="169" t="str">
        <f aca="false">IF(A218="","",J218-K218)</f>
        <v/>
      </c>
      <c r="M218" s="169" t="str">
        <f aca="false">IF(A218="","",IF(I218&gt;I217,M217-L218,M217))</f>
        <v/>
      </c>
      <c r="N218" s="169" t="str">
        <f aca="false">IF(A218="","",C218+J218)</f>
        <v/>
      </c>
      <c r="O218" s="169" t="str">
        <f aca="false">IF(A218="","",H218+M218)</f>
        <v/>
      </c>
    </row>
    <row r="219" customFormat="false" ht="15" hidden="false" customHeight="false" outlineLevel="0" collapsed="false">
      <c r="A219" s="168" t="str">
        <f aca="false">IF(OR(計算_償還開始="",ROWS($A$8:A219)&gt;計算_償還回数),"",ROWS($A$8:A219))</f>
        <v/>
      </c>
      <c r="B219" s="170" t="str">
        <f aca="false">IF(A219="","",EDATE(計算_償還開始,A219-1))</f>
        <v/>
      </c>
      <c r="C219" s="169" t="str">
        <f aca="false">IF(A219="","",IF(A219=計算_償還回数,D219+F218+G218,計算_毎月償還額))</f>
        <v/>
      </c>
      <c r="D219" s="169" t="str">
        <f aca="false">IF(A219="","",ROUND(F218*計算_利率/定数_年月数,0)+ROUND(G218*計算_利率_在宅介護/定数_年月数,0))</f>
        <v/>
      </c>
      <c r="E219" s="169" t="str">
        <f aca="false">IF(A219="","",C219-D219)</f>
        <v/>
      </c>
      <c r="F219" s="169" t="str">
        <f aca="false">IF(A219="","",IF(A219=計算_償還回数,0,MAX(0,F218-(ROUND(計算_月額_基本,0)-ROUND(F218*計算_利率/定数_年月数,0)))))</f>
        <v/>
      </c>
      <c r="G219" s="169" t="str">
        <f aca="false">IF(A219="","",IF(A219=計算_償還回数,0,MAX(0,G218-(ROUND(計算_月額_在宅介護,0)-ROUND(G218*計算_利率_在宅介護/定数_年月数,0)))))</f>
        <v/>
      </c>
      <c r="H219" s="169" t="str">
        <f aca="false">IF(A219="","",F219+G219)</f>
        <v/>
      </c>
      <c r="I219" s="168" t="str">
        <f aca="false">IF(A219="","",IF(AND(OR(MONTH(B219)=6,MONTH(B219)=12),I218&lt;計算_賞与回数),I218+1,I218))</f>
        <v/>
      </c>
      <c r="J219" s="169" t="str">
        <f aca="false">IF(A219="","",IF(I219&gt;I218,IF(I219=計算_賞与回数,M218+K219,計算_賞与償還額),0))</f>
        <v/>
      </c>
      <c r="K219" s="169" t="str">
        <f aca="false">IF(A219="","",IF(I219&gt;I218,ROUND(M218*計算_賞与期間利率,0),0))</f>
        <v/>
      </c>
      <c r="L219" s="169" t="str">
        <f aca="false">IF(A219="","",J219-K219)</f>
        <v/>
      </c>
      <c r="M219" s="169" t="str">
        <f aca="false">IF(A219="","",IF(I219&gt;I218,M218-L219,M218))</f>
        <v/>
      </c>
      <c r="N219" s="169" t="str">
        <f aca="false">IF(A219="","",C219+J219)</f>
        <v/>
      </c>
      <c r="O219" s="169" t="str">
        <f aca="false">IF(A219="","",H219+M219)</f>
        <v/>
      </c>
    </row>
    <row r="220" customFormat="false" ht="15" hidden="false" customHeight="false" outlineLevel="0" collapsed="false">
      <c r="A220" s="168" t="str">
        <f aca="false">IF(OR(計算_償還開始="",ROWS($A$8:A220)&gt;計算_償還回数),"",ROWS($A$8:A220))</f>
        <v/>
      </c>
      <c r="B220" s="170" t="str">
        <f aca="false">IF(A220="","",EDATE(計算_償還開始,A220-1))</f>
        <v/>
      </c>
      <c r="C220" s="169" t="str">
        <f aca="false">IF(A220="","",IF(A220=計算_償還回数,D220+F219+G219,計算_毎月償還額))</f>
        <v/>
      </c>
      <c r="D220" s="169" t="str">
        <f aca="false">IF(A220="","",ROUND(F219*計算_利率/定数_年月数,0)+ROUND(G219*計算_利率_在宅介護/定数_年月数,0))</f>
        <v/>
      </c>
      <c r="E220" s="169" t="str">
        <f aca="false">IF(A220="","",C220-D220)</f>
        <v/>
      </c>
      <c r="F220" s="169" t="str">
        <f aca="false">IF(A220="","",IF(A220=計算_償還回数,0,MAX(0,F219-(ROUND(計算_月額_基本,0)-ROUND(F219*計算_利率/定数_年月数,0)))))</f>
        <v/>
      </c>
      <c r="G220" s="169" t="str">
        <f aca="false">IF(A220="","",IF(A220=計算_償還回数,0,MAX(0,G219-(ROUND(計算_月額_在宅介護,0)-ROUND(G219*計算_利率_在宅介護/定数_年月数,0)))))</f>
        <v/>
      </c>
      <c r="H220" s="169" t="str">
        <f aca="false">IF(A220="","",F220+G220)</f>
        <v/>
      </c>
      <c r="I220" s="168" t="str">
        <f aca="false">IF(A220="","",IF(AND(OR(MONTH(B220)=6,MONTH(B220)=12),I219&lt;計算_賞与回数),I219+1,I219))</f>
        <v/>
      </c>
      <c r="J220" s="169" t="str">
        <f aca="false">IF(A220="","",IF(I220&gt;I219,IF(I220=計算_賞与回数,M219+K220,計算_賞与償還額),0))</f>
        <v/>
      </c>
      <c r="K220" s="169" t="str">
        <f aca="false">IF(A220="","",IF(I220&gt;I219,ROUND(M219*計算_賞与期間利率,0),0))</f>
        <v/>
      </c>
      <c r="L220" s="169" t="str">
        <f aca="false">IF(A220="","",J220-K220)</f>
        <v/>
      </c>
      <c r="M220" s="169" t="str">
        <f aca="false">IF(A220="","",IF(I220&gt;I219,M219-L220,M219))</f>
        <v/>
      </c>
      <c r="N220" s="169" t="str">
        <f aca="false">IF(A220="","",C220+J220)</f>
        <v/>
      </c>
      <c r="O220" s="169" t="str">
        <f aca="false">IF(A220="","",H220+M220)</f>
        <v/>
      </c>
    </row>
    <row r="221" customFormat="false" ht="15" hidden="false" customHeight="false" outlineLevel="0" collapsed="false">
      <c r="A221" s="168" t="str">
        <f aca="false">IF(OR(計算_償還開始="",ROWS($A$8:A221)&gt;計算_償還回数),"",ROWS($A$8:A221))</f>
        <v/>
      </c>
      <c r="B221" s="170" t="str">
        <f aca="false">IF(A221="","",EDATE(計算_償還開始,A221-1))</f>
        <v/>
      </c>
      <c r="C221" s="169" t="str">
        <f aca="false">IF(A221="","",IF(A221=計算_償還回数,D221+F220+G220,計算_毎月償還額))</f>
        <v/>
      </c>
      <c r="D221" s="169" t="str">
        <f aca="false">IF(A221="","",ROUND(F220*計算_利率/定数_年月数,0)+ROUND(G220*計算_利率_在宅介護/定数_年月数,0))</f>
        <v/>
      </c>
      <c r="E221" s="169" t="str">
        <f aca="false">IF(A221="","",C221-D221)</f>
        <v/>
      </c>
      <c r="F221" s="169" t="str">
        <f aca="false">IF(A221="","",IF(A221=計算_償還回数,0,MAX(0,F220-(ROUND(計算_月額_基本,0)-ROUND(F220*計算_利率/定数_年月数,0)))))</f>
        <v/>
      </c>
      <c r="G221" s="169" t="str">
        <f aca="false">IF(A221="","",IF(A221=計算_償還回数,0,MAX(0,G220-(ROUND(計算_月額_在宅介護,0)-ROUND(G220*計算_利率_在宅介護/定数_年月数,0)))))</f>
        <v/>
      </c>
      <c r="H221" s="169" t="str">
        <f aca="false">IF(A221="","",F221+G221)</f>
        <v/>
      </c>
      <c r="I221" s="168" t="str">
        <f aca="false">IF(A221="","",IF(AND(OR(MONTH(B221)=6,MONTH(B221)=12),I220&lt;計算_賞与回数),I220+1,I220))</f>
        <v/>
      </c>
      <c r="J221" s="169" t="str">
        <f aca="false">IF(A221="","",IF(I221&gt;I220,IF(I221=計算_賞与回数,M220+K221,計算_賞与償還額),0))</f>
        <v/>
      </c>
      <c r="K221" s="169" t="str">
        <f aca="false">IF(A221="","",IF(I221&gt;I220,ROUND(M220*計算_賞与期間利率,0),0))</f>
        <v/>
      </c>
      <c r="L221" s="169" t="str">
        <f aca="false">IF(A221="","",J221-K221)</f>
        <v/>
      </c>
      <c r="M221" s="169" t="str">
        <f aca="false">IF(A221="","",IF(I221&gt;I220,M220-L221,M220))</f>
        <v/>
      </c>
      <c r="N221" s="169" t="str">
        <f aca="false">IF(A221="","",C221+J221)</f>
        <v/>
      </c>
      <c r="O221" s="169" t="str">
        <f aca="false">IF(A221="","",H221+M221)</f>
        <v/>
      </c>
    </row>
    <row r="222" customFormat="false" ht="15" hidden="false" customHeight="false" outlineLevel="0" collapsed="false">
      <c r="A222" s="168" t="str">
        <f aca="false">IF(OR(計算_償還開始="",ROWS($A$8:A222)&gt;計算_償還回数),"",ROWS($A$8:A222))</f>
        <v/>
      </c>
      <c r="B222" s="170" t="str">
        <f aca="false">IF(A222="","",EDATE(計算_償還開始,A222-1))</f>
        <v/>
      </c>
      <c r="C222" s="169" t="str">
        <f aca="false">IF(A222="","",IF(A222=計算_償還回数,D222+F221+G221,計算_毎月償還額))</f>
        <v/>
      </c>
      <c r="D222" s="169" t="str">
        <f aca="false">IF(A222="","",ROUND(F221*計算_利率/定数_年月数,0)+ROUND(G221*計算_利率_在宅介護/定数_年月数,0))</f>
        <v/>
      </c>
      <c r="E222" s="169" t="str">
        <f aca="false">IF(A222="","",C222-D222)</f>
        <v/>
      </c>
      <c r="F222" s="169" t="str">
        <f aca="false">IF(A222="","",IF(A222=計算_償還回数,0,MAX(0,F221-(ROUND(計算_月額_基本,0)-ROUND(F221*計算_利率/定数_年月数,0)))))</f>
        <v/>
      </c>
      <c r="G222" s="169" t="str">
        <f aca="false">IF(A222="","",IF(A222=計算_償還回数,0,MAX(0,G221-(ROUND(計算_月額_在宅介護,0)-ROUND(G221*計算_利率_在宅介護/定数_年月数,0)))))</f>
        <v/>
      </c>
      <c r="H222" s="169" t="str">
        <f aca="false">IF(A222="","",F222+G222)</f>
        <v/>
      </c>
      <c r="I222" s="168" t="str">
        <f aca="false">IF(A222="","",IF(AND(OR(MONTH(B222)=6,MONTH(B222)=12),I221&lt;計算_賞与回数),I221+1,I221))</f>
        <v/>
      </c>
      <c r="J222" s="169" t="str">
        <f aca="false">IF(A222="","",IF(I222&gt;I221,IF(I222=計算_賞与回数,M221+K222,計算_賞与償還額),0))</f>
        <v/>
      </c>
      <c r="K222" s="169" t="str">
        <f aca="false">IF(A222="","",IF(I222&gt;I221,ROUND(M221*計算_賞与期間利率,0),0))</f>
        <v/>
      </c>
      <c r="L222" s="169" t="str">
        <f aca="false">IF(A222="","",J222-K222)</f>
        <v/>
      </c>
      <c r="M222" s="169" t="str">
        <f aca="false">IF(A222="","",IF(I222&gt;I221,M221-L222,M221))</f>
        <v/>
      </c>
      <c r="N222" s="169" t="str">
        <f aca="false">IF(A222="","",C222+J222)</f>
        <v/>
      </c>
      <c r="O222" s="169" t="str">
        <f aca="false">IF(A222="","",H222+M222)</f>
        <v/>
      </c>
    </row>
    <row r="223" customFormat="false" ht="15" hidden="false" customHeight="false" outlineLevel="0" collapsed="false">
      <c r="A223" s="168" t="str">
        <f aca="false">IF(OR(計算_償還開始="",ROWS($A$8:A223)&gt;計算_償還回数),"",ROWS($A$8:A223))</f>
        <v/>
      </c>
      <c r="B223" s="170" t="str">
        <f aca="false">IF(A223="","",EDATE(計算_償還開始,A223-1))</f>
        <v/>
      </c>
      <c r="C223" s="169" t="str">
        <f aca="false">IF(A223="","",IF(A223=計算_償還回数,D223+F222+G222,計算_毎月償還額))</f>
        <v/>
      </c>
      <c r="D223" s="169" t="str">
        <f aca="false">IF(A223="","",ROUND(F222*計算_利率/定数_年月数,0)+ROUND(G222*計算_利率_在宅介護/定数_年月数,0))</f>
        <v/>
      </c>
      <c r="E223" s="169" t="str">
        <f aca="false">IF(A223="","",C223-D223)</f>
        <v/>
      </c>
      <c r="F223" s="169" t="str">
        <f aca="false">IF(A223="","",IF(A223=計算_償還回数,0,MAX(0,F222-(ROUND(計算_月額_基本,0)-ROUND(F222*計算_利率/定数_年月数,0)))))</f>
        <v/>
      </c>
      <c r="G223" s="169" t="str">
        <f aca="false">IF(A223="","",IF(A223=計算_償還回数,0,MAX(0,G222-(ROUND(計算_月額_在宅介護,0)-ROUND(G222*計算_利率_在宅介護/定数_年月数,0)))))</f>
        <v/>
      </c>
      <c r="H223" s="169" t="str">
        <f aca="false">IF(A223="","",F223+G223)</f>
        <v/>
      </c>
      <c r="I223" s="168" t="str">
        <f aca="false">IF(A223="","",IF(AND(OR(MONTH(B223)=6,MONTH(B223)=12),I222&lt;計算_賞与回数),I222+1,I222))</f>
        <v/>
      </c>
      <c r="J223" s="169" t="str">
        <f aca="false">IF(A223="","",IF(I223&gt;I222,IF(I223=計算_賞与回数,M222+K223,計算_賞与償還額),0))</f>
        <v/>
      </c>
      <c r="K223" s="169" t="str">
        <f aca="false">IF(A223="","",IF(I223&gt;I222,ROUND(M222*計算_賞与期間利率,0),0))</f>
        <v/>
      </c>
      <c r="L223" s="169" t="str">
        <f aca="false">IF(A223="","",J223-K223)</f>
        <v/>
      </c>
      <c r="M223" s="169" t="str">
        <f aca="false">IF(A223="","",IF(I223&gt;I222,M222-L223,M222))</f>
        <v/>
      </c>
      <c r="N223" s="169" t="str">
        <f aca="false">IF(A223="","",C223+J223)</f>
        <v/>
      </c>
      <c r="O223" s="169" t="str">
        <f aca="false">IF(A223="","",H223+M223)</f>
        <v/>
      </c>
    </row>
    <row r="224" customFormat="false" ht="15" hidden="false" customHeight="false" outlineLevel="0" collapsed="false">
      <c r="A224" s="168" t="str">
        <f aca="false">IF(OR(計算_償還開始="",ROWS($A$8:A224)&gt;計算_償還回数),"",ROWS($A$8:A224))</f>
        <v/>
      </c>
      <c r="B224" s="170" t="str">
        <f aca="false">IF(A224="","",EDATE(計算_償還開始,A224-1))</f>
        <v/>
      </c>
      <c r="C224" s="169" t="str">
        <f aca="false">IF(A224="","",IF(A224=計算_償還回数,D224+F223+G223,計算_毎月償還額))</f>
        <v/>
      </c>
      <c r="D224" s="169" t="str">
        <f aca="false">IF(A224="","",ROUND(F223*計算_利率/定数_年月数,0)+ROUND(G223*計算_利率_在宅介護/定数_年月数,0))</f>
        <v/>
      </c>
      <c r="E224" s="169" t="str">
        <f aca="false">IF(A224="","",C224-D224)</f>
        <v/>
      </c>
      <c r="F224" s="169" t="str">
        <f aca="false">IF(A224="","",IF(A224=計算_償還回数,0,MAX(0,F223-(ROUND(計算_月額_基本,0)-ROUND(F223*計算_利率/定数_年月数,0)))))</f>
        <v/>
      </c>
      <c r="G224" s="169" t="str">
        <f aca="false">IF(A224="","",IF(A224=計算_償還回数,0,MAX(0,G223-(ROUND(計算_月額_在宅介護,0)-ROUND(G223*計算_利率_在宅介護/定数_年月数,0)))))</f>
        <v/>
      </c>
      <c r="H224" s="169" t="str">
        <f aca="false">IF(A224="","",F224+G224)</f>
        <v/>
      </c>
      <c r="I224" s="168" t="str">
        <f aca="false">IF(A224="","",IF(AND(OR(MONTH(B224)=6,MONTH(B224)=12),I223&lt;計算_賞与回数),I223+1,I223))</f>
        <v/>
      </c>
      <c r="J224" s="169" t="str">
        <f aca="false">IF(A224="","",IF(I224&gt;I223,IF(I224=計算_賞与回数,M223+K224,計算_賞与償還額),0))</f>
        <v/>
      </c>
      <c r="K224" s="169" t="str">
        <f aca="false">IF(A224="","",IF(I224&gt;I223,ROUND(M223*計算_賞与期間利率,0),0))</f>
        <v/>
      </c>
      <c r="L224" s="169" t="str">
        <f aca="false">IF(A224="","",J224-K224)</f>
        <v/>
      </c>
      <c r="M224" s="169" t="str">
        <f aca="false">IF(A224="","",IF(I224&gt;I223,M223-L224,M223))</f>
        <v/>
      </c>
      <c r="N224" s="169" t="str">
        <f aca="false">IF(A224="","",C224+J224)</f>
        <v/>
      </c>
      <c r="O224" s="169" t="str">
        <f aca="false">IF(A224="","",H224+M224)</f>
        <v/>
      </c>
    </row>
    <row r="225" customFormat="false" ht="15" hidden="false" customHeight="false" outlineLevel="0" collapsed="false">
      <c r="A225" s="168" t="str">
        <f aca="false">IF(OR(計算_償還開始="",ROWS($A$8:A225)&gt;計算_償還回数),"",ROWS($A$8:A225))</f>
        <v/>
      </c>
      <c r="B225" s="170" t="str">
        <f aca="false">IF(A225="","",EDATE(計算_償還開始,A225-1))</f>
        <v/>
      </c>
      <c r="C225" s="169" t="str">
        <f aca="false">IF(A225="","",IF(A225=計算_償還回数,D225+F224+G224,計算_毎月償還額))</f>
        <v/>
      </c>
      <c r="D225" s="169" t="str">
        <f aca="false">IF(A225="","",ROUND(F224*計算_利率/定数_年月数,0)+ROUND(G224*計算_利率_在宅介護/定数_年月数,0))</f>
        <v/>
      </c>
      <c r="E225" s="169" t="str">
        <f aca="false">IF(A225="","",C225-D225)</f>
        <v/>
      </c>
      <c r="F225" s="169" t="str">
        <f aca="false">IF(A225="","",IF(A225=計算_償還回数,0,MAX(0,F224-(ROUND(計算_月額_基本,0)-ROUND(F224*計算_利率/定数_年月数,0)))))</f>
        <v/>
      </c>
      <c r="G225" s="169" t="str">
        <f aca="false">IF(A225="","",IF(A225=計算_償還回数,0,MAX(0,G224-(ROUND(計算_月額_在宅介護,0)-ROUND(G224*計算_利率_在宅介護/定数_年月数,0)))))</f>
        <v/>
      </c>
      <c r="H225" s="169" t="str">
        <f aca="false">IF(A225="","",F225+G225)</f>
        <v/>
      </c>
      <c r="I225" s="168" t="str">
        <f aca="false">IF(A225="","",IF(AND(OR(MONTH(B225)=6,MONTH(B225)=12),I224&lt;計算_賞与回数),I224+1,I224))</f>
        <v/>
      </c>
      <c r="J225" s="169" t="str">
        <f aca="false">IF(A225="","",IF(I225&gt;I224,IF(I225=計算_賞与回数,M224+K225,計算_賞与償還額),0))</f>
        <v/>
      </c>
      <c r="K225" s="169" t="str">
        <f aca="false">IF(A225="","",IF(I225&gt;I224,ROUND(M224*計算_賞与期間利率,0),0))</f>
        <v/>
      </c>
      <c r="L225" s="169" t="str">
        <f aca="false">IF(A225="","",J225-K225)</f>
        <v/>
      </c>
      <c r="M225" s="169" t="str">
        <f aca="false">IF(A225="","",IF(I225&gt;I224,M224-L225,M224))</f>
        <v/>
      </c>
      <c r="N225" s="169" t="str">
        <f aca="false">IF(A225="","",C225+J225)</f>
        <v/>
      </c>
      <c r="O225" s="169" t="str">
        <f aca="false">IF(A225="","",H225+M225)</f>
        <v/>
      </c>
    </row>
    <row r="226" customFormat="false" ht="15" hidden="false" customHeight="false" outlineLevel="0" collapsed="false">
      <c r="A226" s="168" t="str">
        <f aca="false">IF(OR(計算_償還開始="",ROWS($A$8:A226)&gt;計算_償還回数),"",ROWS($A$8:A226))</f>
        <v/>
      </c>
      <c r="B226" s="170" t="str">
        <f aca="false">IF(A226="","",EDATE(計算_償還開始,A226-1))</f>
        <v/>
      </c>
      <c r="C226" s="169" t="str">
        <f aca="false">IF(A226="","",IF(A226=計算_償還回数,D226+F225+G225,計算_毎月償還額))</f>
        <v/>
      </c>
      <c r="D226" s="169" t="str">
        <f aca="false">IF(A226="","",ROUND(F225*計算_利率/定数_年月数,0)+ROUND(G225*計算_利率_在宅介護/定数_年月数,0))</f>
        <v/>
      </c>
      <c r="E226" s="169" t="str">
        <f aca="false">IF(A226="","",C226-D226)</f>
        <v/>
      </c>
      <c r="F226" s="169" t="str">
        <f aca="false">IF(A226="","",IF(A226=計算_償還回数,0,MAX(0,F225-(ROUND(計算_月額_基本,0)-ROUND(F225*計算_利率/定数_年月数,0)))))</f>
        <v/>
      </c>
      <c r="G226" s="169" t="str">
        <f aca="false">IF(A226="","",IF(A226=計算_償還回数,0,MAX(0,G225-(ROUND(計算_月額_在宅介護,0)-ROUND(G225*計算_利率_在宅介護/定数_年月数,0)))))</f>
        <v/>
      </c>
      <c r="H226" s="169" t="str">
        <f aca="false">IF(A226="","",F226+G226)</f>
        <v/>
      </c>
      <c r="I226" s="168" t="str">
        <f aca="false">IF(A226="","",IF(AND(OR(MONTH(B226)=6,MONTH(B226)=12),I225&lt;計算_賞与回数),I225+1,I225))</f>
        <v/>
      </c>
      <c r="J226" s="169" t="str">
        <f aca="false">IF(A226="","",IF(I226&gt;I225,IF(I226=計算_賞与回数,M225+K226,計算_賞与償還額),0))</f>
        <v/>
      </c>
      <c r="K226" s="169" t="str">
        <f aca="false">IF(A226="","",IF(I226&gt;I225,ROUND(M225*計算_賞与期間利率,0),0))</f>
        <v/>
      </c>
      <c r="L226" s="169" t="str">
        <f aca="false">IF(A226="","",J226-K226)</f>
        <v/>
      </c>
      <c r="M226" s="169" t="str">
        <f aca="false">IF(A226="","",IF(I226&gt;I225,M225-L226,M225))</f>
        <v/>
      </c>
      <c r="N226" s="169" t="str">
        <f aca="false">IF(A226="","",C226+J226)</f>
        <v/>
      </c>
      <c r="O226" s="169" t="str">
        <f aca="false">IF(A226="","",H226+M226)</f>
        <v/>
      </c>
    </row>
    <row r="227" customFormat="false" ht="15" hidden="false" customHeight="false" outlineLevel="0" collapsed="false">
      <c r="A227" s="168" t="str">
        <f aca="false">IF(OR(計算_償還開始="",ROWS($A$8:A227)&gt;計算_償還回数),"",ROWS($A$8:A227))</f>
        <v/>
      </c>
      <c r="B227" s="170" t="str">
        <f aca="false">IF(A227="","",EDATE(計算_償還開始,A227-1))</f>
        <v/>
      </c>
      <c r="C227" s="169" t="str">
        <f aca="false">IF(A227="","",IF(A227=計算_償還回数,D227+F226+G226,計算_毎月償還額))</f>
        <v/>
      </c>
      <c r="D227" s="169" t="str">
        <f aca="false">IF(A227="","",ROUND(F226*計算_利率/定数_年月数,0)+ROUND(G226*計算_利率_在宅介護/定数_年月数,0))</f>
        <v/>
      </c>
      <c r="E227" s="169" t="str">
        <f aca="false">IF(A227="","",C227-D227)</f>
        <v/>
      </c>
      <c r="F227" s="169" t="str">
        <f aca="false">IF(A227="","",IF(A227=計算_償還回数,0,MAX(0,F226-(ROUND(計算_月額_基本,0)-ROUND(F226*計算_利率/定数_年月数,0)))))</f>
        <v/>
      </c>
      <c r="G227" s="169" t="str">
        <f aca="false">IF(A227="","",IF(A227=計算_償還回数,0,MAX(0,G226-(ROUND(計算_月額_在宅介護,0)-ROUND(G226*計算_利率_在宅介護/定数_年月数,0)))))</f>
        <v/>
      </c>
      <c r="H227" s="169" t="str">
        <f aca="false">IF(A227="","",F227+G227)</f>
        <v/>
      </c>
      <c r="I227" s="168" t="str">
        <f aca="false">IF(A227="","",IF(AND(OR(MONTH(B227)=6,MONTH(B227)=12),I226&lt;計算_賞与回数),I226+1,I226))</f>
        <v/>
      </c>
      <c r="J227" s="169" t="str">
        <f aca="false">IF(A227="","",IF(I227&gt;I226,IF(I227=計算_賞与回数,M226+K227,計算_賞与償還額),0))</f>
        <v/>
      </c>
      <c r="K227" s="169" t="str">
        <f aca="false">IF(A227="","",IF(I227&gt;I226,ROUND(M226*計算_賞与期間利率,0),0))</f>
        <v/>
      </c>
      <c r="L227" s="169" t="str">
        <f aca="false">IF(A227="","",J227-K227)</f>
        <v/>
      </c>
      <c r="M227" s="169" t="str">
        <f aca="false">IF(A227="","",IF(I227&gt;I226,M226-L227,M226))</f>
        <v/>
      </c>
      <c r="N227" s="169" t="str">
        <f aca="false">IF(A227="","",C227+J227)</f>
        <v/>
      </c>
      <c r="O227" s="169" t="str">
        <f aca="false">IF(A227="","",H227+M227)</f>
        <v/>
      </c>
    </row>
    <row r="228" customFormat="false" ht="15" hidden="false" customHeight="false" outlineLevel="0" collapsed="false">
      <c r="A228" s="168" t="str">
        <f aca="false">IF(OR(計算_償還開始="",ROWS($A$8:A228)&gt;計算_償還回数),"",ROWS($A$8:A228))</f>
        <v/>
      </c>
      <c r="B228" s="170" t="str">
        <f aca="false">IF(A228="","",EDATE(計算_償還開始,A228-1))</f>
        <v/>
      </c>
      <c r="C228" s="169" t="str">
        <f aca="false">IF(A228="","",IF(A228=計算_償還回数,D228+F227+G227,計算_毎月償還額))</f>
        <v/>
      </c>
      <c r="D228" s="169" t="str">
        <f aca="false">IF(A228="","",ROUND(F227*計算_利率/定数_年月数,0)+ROUND(G227*計算_利率_在宅介護/定数_年月数,0))</f>
        <v/>
      </c>
      <c r="E228" s="169" t="str">
        <f aca="false">IF(A228="","",C228-D228)</f>
        <v/>
      </c>
      <c r="F228" s="169" t="str">
        <f aca="false">IF(A228="","",IF(A228=計算_償還回数,0,MAX(0,F227-(ROUND(計算_月額_基本,0)-ROUND(F227*計算_利率/定数_年月数,0)))))</f>
        <v/>
      </c>
      <c r="G228" s="169" t="str">
        <f aca="false">IF(A228="","",IF(A228=計算_償還回数,0,MAX(0,G227-(ROUND(計算_月額_在宅介護,0)-ROUND(G227*計算_利率_在宅介護/定数_年月数,0)))))</f>
        <v/>
      </c>
      <c r="H228" s="169" t="str">
        <f aca="false">IF(A228="","",F228+G228)</f>
        <v/>
      </c>
      <c r="I228" s="168" t="str">
        <f aca="false">IF(A228="","",IF(AND(OR(MONTH(B228)=6,MONTH(B228)=12),I227&lt;計算_賞与回数),I227+1,I227))</f>
        <v/>
      </c>
      <c r="J228" s="169" t="str">
        <f aca="false">IF(A228="","",IF(I228&gt;I227,IF(I228=計算_賞与回数,M227+K228,計算_賞与償還額),0))</f>
        <v/>
      </c>
      <c r="K228" s="169" t="str">
        <f aca="false">IF(A228="","",IF(I228&gt;I227,ROUND(M227*計算_賞与期間利率,0),0))</f>
        <v/>
      </c>
      <c r="L228" s="169" t="str">
        <f aca="false">IF(A228="","",J228-K228)</f>
        <v/>
      </c>
      <c r="M228" s="169" t="str">
        <f aca="false">IF(A228="","",IF(I228&gt;I227,M227-L228,M227))</f>
        <v/>
      </c>
      <c r="N228" s="169" t="str">
        <f aca="false">IF(A228="","",C228+J228)</f>
        <v/>
      </c>
      <c r="O228" s="169" t="str">
        <f aca="false">IF(A228="","",H228+M228)</f>
        <v/>
      </c>
    </row>
    <row r="229" customFormat="false" ht="15" hidden="false" customHeight="false" outlineLevel="0" collapsed="false">
      <c r="A229" s="168" t="str">
        <f aca="false">IF(OR(計算_償還開始="",ROWS($A$8:A229)&gt;計算_償還回数),"",ROWS($A$8:A229))</f>
        <v/>
      </c>
      <c r="B229" s="170" t="str">
        <f aca="false">IF(A229="","",EDATE(計算_償還開始,A229-1))</f>
        <v/>
      </c>
      <c r="C229" s="169" t="str">
        <f aca="false">IF(A229="","",IF(A229=計算_償還回数,D229+F228+G228,計算_毎月償還額))</f>
        <v/>
      </c>
      <c r="D229" s="169" t="str">
        <f aca="false">IF(A229="","",ROUND(F228*計算_利率/定数_年月数,0)+ROUND(G228*計算_利率_在宅介護/定数_年月数,0))</f>
        <v/>
      </c>
      <c r="E229" s="169" t="str">
        <f aca="false">IF(A229="","",C229-D229)</f>
        <v/>
      </c>
      <c r="F229" s="169" t="str">
        <f aca="false">IF(A229="","",IF(A229=計算_償還回数,0,MAX(0,F228-(ROUND(計算_月額_基本,0)-ROUND(F228*計算_利率/定数_年月数,0)))))</f>
        <v/>
      </c>
      <c r="G229" s="169" t="str">
        <f aca="false">IF(A229="","",IF(A229=計算_償還回数,0,MAX(0,G228-(ROUND(計算_月額_在宅介護,0)-ROUND(G228*計算_利率_在宅介護/定数_年月数,0)))))</f>
        <v/>
      </c>
      <c r="H229" s="169" t="str">
        <f aca="false">IF(A229="","",F229+G229)</f>
        <v/>
      </c>
      <c r="I229" s="168" t="str">
        <f aca="false">IF(A229="","",IF(AND(OR(MONTH(B229)=6,MONTH(B229)=12),I228&lt;計算_賞与回数),I228+1,I228))</f>
        <v/>
      </c>
      <c r="J229" s="169" t="str">
        <f aca="false">IF(A229="","",IF(I229&gt;I228,IF(I229=計算_賞与回数,M228+K229,計算_賞与償還額),0))</f>
        <v/>
      </c>
      <c r="K229" s="169" t="str">
        <f aca="false">IF(A229="","",IF(I229&gt;I228,ROUND(M228*計算_賞与期間利率,0),0))</f>
        <v/>
      </c>
      <c r="L229" s="169" t="str">
        <f aca="false">IF(A229="","",J229-K229)</f>
        <v/>
      </c>
      <c r="M229" s="169" t="str">
        <f aca="false">IF(A229="","",IF(I229&gt;I228,M228-L229,M228))</f>
        <v/>
      </c>
      <c r="N229" s="169" t="str">
        <f aca="false">IF(A229="","",C229+J229)</f>
        <v/>
      </c>
      <c r="O229" s="169" t="str">
        <f aca="false">IF(A229="","",H229+M229)</f>
        <v/>
      </c>
    </row>
    <row r="230" customFormat="false" ht="15" hidden="false" customHeight="false" outlineLevel="0" collapsed="false">
      <c r="A230" s="168" t="str">
        <f aca="false">IF(OR(計算_償還開始="",ROWS($A$8:A230)&gt;計算_償還回数),"",ROWS($A$8:A230))</f>
        <v/>
      </c>
      <c r="B230" s="170" t="str">
        <f aca="false">IF(A230="","",EDATE(計算_償還開始,A230-1))</f>
        <v/>
      </c>
      <c r="C230" s="169" t="str">
        <f aca="false">IF(A230="","",IF(A230=計算_償還回数,D230+F229+G229,計算_毎月償還額))</f>
        <v/>
      </c>
      <c r="D230" s="169" t="str">
        <f aca="false">IF(A230="","",ROUND(F229*計算_利率/定数_年月数,0)+ROUND(G229*計算_利率_在宅介護/定数_年月数,0))</f>
        <v/>
      </c>
      <c r="E230" s="169" t="str">
        <f aca="false">IF(A230="","",C230-D230)</f>
        <v/>
      </c>
      <c r="F230" s="169" t="str">
        <f aca="false">IF(A230="","",IF(A230=計算_償還回数,0,MAX(0,F229-(ROUND(計算_月額_基本,0)-ROUND(F229*計算_利率/定数_年月数,0)))))</f>
        <v/>
      </c>
      <c r="G230" s="169" t="str">
        <f aca="false">IF(A230="","",IF(A230=計算_償還回数,0,MAX(0,G229-(ROUND(計算_月額_在宅介護,0)-ROUND(G229*計算_利率_在宅介護/定数_年月数,0)))))</f>
        <v/>
      </c>
      <c r="H230" s="169" t="str">
        <f aca="false">IF(A230="","",F230+G230)</f>
        <v/>
      </c>
      <c r="I230" s="168" t="str">
        <f aca="false">IF(A230="","",IF(AND(OR(MONTH(B230)=6,MONTH(B230)=12),I229&lt;計算_賞与回数),I229+1,I229))</f>
        <v/>
      </c>
      <c r="J230" s="169" t="str">
        <f aca="false">IF(A230="","",IF(I230&gt;I229,IF(I230=計算_賞与回数,M229+K230,計算_賞与償還額),0))</f>
        <v/>
      </c>
      <c r="K230" s="169" t="str">
        <f aca="false">IF(A230="","",IF(I230&gt;I229,ROUND(M229*計算_賞与期間利率,0),0))</f>
        <v/>
      </c>
      <c r="L230" s="169" t="str">
        <f aca="false">IF(A230="","",J230-K230)</f>
        <v/>
      </c>
      <c r="M230" s="169" t="str">
        <f aca="false">IF(A230="","",IF(I230&gt;I229,M229-L230,M229))</f>
        <v/>
      </c>
      <c r="N230" s="169" t="str">
        <f aca="false">IF(A230="","",C230+J230)</f>
        <v/>
      </c>
      <c r="O230" s="169" t="str">
        <f aca="false">IF(A230="","",H230+M230)</f>
        <v/>
      </c>
    </row>
    <row r="231" customFormat="false" ht="15" hidden="false" customHeight="false" outlineLevel="0" collapsed="false">
      <c r="A231" s="168" t="str">
        <f aca="false">IF(OR(計算_償還開始="",ROWS($A$8:A231)&gt;計算_償還回数),"",ROWS($A$8:A231))</f>
        <v/>
      </c>
      <c r="B231" s="170" t="str">
        <f aca="false">IF(A231="","",EDATE(計算_償還開始,A231-1))</f>
        <v/>
      </c>
      <c r="C231" s="169" t="str">
        <f aca="false">IF(A231="","",IF(A231=計算_償還回数,D231+F230+G230,計算_毎月償還額))</f>
        <v/>
      </c>
      <c r="D231" s="169" t="str">
        <f aca="false">IF(A231="","",ROUND(F230*計算_利率/定数_年月数,0)+ROUND(G230*計算_利率_在宅介護/定数_年月数,0))</f>
        <v/>
      </c>
      <c r="E231" s="169" t="str">
        <f aca="false">IF(A231="","",C231-D231)</f>
        <v/>
      </c>
      <c r="F231" s="169" t="str">
        <f aca="false">IF(A231="","",IF(A231=計算_償還回数,0,MAX(0,F230-(ROUND(計算_月額_基本,0)-ROUND(F230*計算_利率/定数_年月数,0)))))</f>
        <v/>
      </c>
      <c r="G231" s="169" t="str">
        <f aca="false">IF(A231="","",IF(A231=計算_償還回数,0,MAX(0,G230-(ROUND(計算_月額_在宅介護,0)-ROUND(G230*計算_利率_在宅介護/定数_年月数,0)))))</f>
        <v/>
      </c>
      <c r="H231" s="169" t="str">
        <f aca="false">IF(A231="","",F231+G231)</f>
        <v/>
      </c>
      <c r="I231" s="168" t="str">
        <f aca="false">IF(A231="","",IF(AND(OR(MONTH(B231)=6,MONTH(B231)=12),I230&lt;計算_賞与回数),I230+1,I230))</f>
        <v/>
      </c>
      <c r="J231" s="169" t="str">
        <f aca="false">IF(A231="","",IF(I231&gt;I230,IF(I231=計算_賞与回数,M230+K231,計算_賞与償還額),0))</f>
        <v/>
      </c>
      <c r="K231" s="169" t="str">
        <f aca="false">IF(A231="","",IF(I231&gt;I230,ROUND(M230*計算_賞与期間利率,0),0))</f>
        <v/>
      </c>
      <c r="L231" s="169" t="str">
        <f aca="false">IF(A231="","",J231-K231)</f>
        <v/>
      </c>
      <c r="M231" s="169" t="str">
        <f aca="false">IF(A231="","",IF(I231&gt;I230,M230-L231,M230))</f>
        <v/>
      </c>
      <c r="N231" s="169" t="str">
        <f aca="false">IF(A231="","",C231+J231)</f>
        <v/>
      </c>
      <c r="O231" s="169" t="str">
        <f aca="false">IF(A231="","",H231+M231)</f>
        <v/>
      </c>
    </row>
    <row r="232" customFormat="false" ht="15" hidden="false" customHeight="false" outlineLevel="0" collapsed="false">
      <c r="A232" s="168" t="str">
        <f aca="false">IF(OR(計算_償還開始="",ROWS($A$8:A232)&gt;計算_償還回数),"",ROWS($A$8:A232))</f>
        <v/>
      </c>
      <c r="B232" s="170" t="str">
        <f aca="false">IF(A232="","",EDATE(計算_償還開始,A232-1))</f>
        <v/>
      </c>
      <c r="C232" s="169" t="str">
        <f aca="false">IF(A232="","",IF(A232=計算_償還回数,D232+F231+G231,計算_毎月償還額))</f>
        <v/>
      </c>
      <c r="D232" s="169" t="str">
        <f aca="false">IF(A232="","",ROUND(F231*計算_利率/定数_年月数,0)+ROUND(G231*計算_利率_在宅介護/定数_年月数,0))</f>
        <v/>
      </c>
      <c r="E232" s="169" t="str">
        <f aca="false">IF(A232="","",C232-D232)</f>
        <v/>
      </c>
      <c r="F232" s="169" t="str">
        <f aca="false">IF(A232="","",IF(A232=計算_償還回数,0,MAX(0,F231-(ROUND(計算_月額_基本,0)-ROUND(F231*計算_利率/定数_年月数,0)))))</f>
        <v/>
      </c>
      <c r="G232" s="169" t="str">
        <f aca="false">IF(A232="","",IF(A232=計算_償還回数,0,MAX(0,G231-(ROUND(計算_月額_在宅介護,0)-ROUND(G231*計算_利率_在宅介護/定数_年月数,0)))))</f>
        <v/>
      </c>
      <c r="H232" s="169" t="str">
        <f aca="false">IF(A232="","",F232+G232)</f>
        <v/>
      </c>
      <c r="I232" s="168" t="str">
        <f aca="false">IF(A232="","",IF(AND(OR(MONTH(B232)=6,MONTH(B232)=12),I231&lt;計算_賞与回数),I231+1,I231))</f>
        <v/>
      </c>
      <c r="J232" s="169" t="str">
        <f aca="false">IF(A232="","",IF(I232&gt;I231,IF(I232=計算_賞与回数,M231+K232,計算_賞与償還額),0))</f>
        <v/>
      </c>
      <c r="K232" s="169" t="str">
        <f aca="false">IF(A232="","",IF(I232&gt;I231,ROUND(M231*計算_賞与期間利率,0),0))</f>
        <v/>
      </c>
      <c r="L232" s="169" t="str">
        <f aca="false">IF(A232="","",J232-K232)</f>
        <v/>
      </c>
      <c r="M232" s="169" t="str">
        <f aca="false">IF(A232="","",IF(I232&gt;I231,M231-L232,M231))</f>
        <v/>
      </c>
      <c r="N232" s="169" t="str">
        <f aca="false">IF(A232="","",C232+J232)</f>
        <v/>
      </c>
      <c r="O232" s="169" t="str">
        <f aca="false">IF(A232="","",H232+M232)</f>
        <v/>
      </c>
    </row>
    <row r="233" customFormat="false" ht="15" hidden="false" customHeight="false" outlineLevel="0" collapsed="false">
      <c r="A233" s="168" t="str">
        <f aca="false">IF(OR(計算_償還開始="",ROWS($A$8:A233)&gt;計算_償還回数),"",ROWS($A$8:A233))</f>
        <v/>
      </c>
      <c r="B233" s="170" t="str">
        <f aca="false">IF(A233="","",EDATE(計算_償還開始,A233-1))</f>
        <v/>
      </c>
      <c r="C233" s="169" t="str">
        <f aca="false">IF(A233="","",IF(A233=計算_償還回数,D233+F232+G232,計算_毎月償還額))</f>
        <v/>
      </c>
      <c r="D233" s="169" t="str">
        <f aca="false">IF(A233="","",ROUND(F232*計算_利率/定数_年月数,0)+ROUND(G232*計算_利率_在宅介護/定数_年月数,0))</f>
        <v/>
      </c>
      <c r="E233" s="169" t="str">
        <f aca="false">IF(A233="","",C233-D233)</f>
        <v/>
      </c>
      <c r="F233" s="169" t="str">
        <f aca="false">IF(A233="","",IF(A233=計算_償還回数,0,MAX(0,F232-(ROUND(計算_月額_基本,0)-ROUND(F232*計算_利率/定数_年月数,0)))))</f>
        <v/>
      </c>
      <c r="G233" s="169" t="str">
        <f aca="false">IF(A233="","",IF(A233=計算_償還回数,0,MAX(0,G232-(ROUND(計算_月額_在宅介護,0)-ROUND(G232*計算_利率_在宅介護/定数_年月数,0)))))</f>
        <v/>
      </c>
      <c r="H233" s="169" t="str">
        <f aca="false">IF(A233="","",F233+G233)</f>
        <v/>
      </c>
      <c r="I233" s="168" t="str">
        <f aca="false">IF(A233="","",IF(AND(OR(MONTH(B233)=6,MONTH(B233)=12),I232&lt;計算_賞与回数),I232+1,I232))</f>
        <v/>
      </c>
      <c r="J233" s="169" t="str">
        <f aca="false">IF(A233="","",IF(I233&gt;I232,IF(I233=計算_賞与回数,M232+K233,計算_賞与償還額),0))</f>
        <v/>
      </c>
      <c r="K233" s="169" t="str">
        <f aca="false">IF(A233="","",IF(I233&gt;I232,ROUND(M232*計算_賞与期間利率,0),0))</f>
        <v/>
      </c>
      <c r="L233" s="169" t="str">
        <f aca="false">IF(A233="","",J233-K233)</f>
        <v/>
      </c>
      <c r="M233" s="169" t="str">
        <f aca="false">IF(A233="","",IF(I233&gt;I232,M232-L233,M232))</f>
        <v/>
      </c>
      <c r="N233" s="169" t="str">
        <f aca="false">IF(A233="","",C233+J233)</f>
        <v/>
      </c>
      <c r="O233" s="169" t="str">
        <f aca="false">IF(A233="","",H233+M233)</f>
        <v/>
      </c>
    </row>
    <row r="234" customFormat="false" ht="15" hidden="false" customHeight="false" outlineLevel="0" collapsed="false">
      <c r="A234" s="168" t="str">
        <f aca="false">IF(OR(計算_償還開始="",ROWS($A$8:A234)&gt;計算_償還回数),"",ROWS($A$8:A234))</f>
        <v/>
      </c>
      <c r="B234" s="170" t="str">
        <f aca="false">IF(A234="","",EDATE(計算_償還開始,A234-1))</f>
        <v/>
      </c>
      <c r="C234" s="169" t="str">
        <f aca="false">IF(A234="","",IF(A234=計算_償還回数,D234+F233+G233,計算_毎月償還額))</f>
        <v/>
      </c>
      <c r="D234" s="169" t="str">
        <f aca="false">IF(A234="","",ROUND(F233*計算_利率/定数_年月数,0)+ROUND(G233*計算_利率_在宅介護/定数_年月数,0))</f>
        <v/>
      </c>
      <c r="E234" s="169" t="str">
        <f aca="false">IF(A234="","",C234-D234)</f>
        <v/>
      </c>
      <c r="F234" s="169" t="str">
        <f aca="false">IF(A234="","",IF(A234=計算_償還回数,0,MAX(0,F233-(ROUND(計算_月額_基本,0)-ROUND(F233*計算_利率/定数_年月数,0)))))</f>
        <v/>
      </c>
      <c r="G234" s="169" t="str">
        <f aca="false">IF(A234="","",IF(A234=計算_償還回数,0,MAX(0,G233-(ROUND(計算_月額_在宅介護,0)-ROUND(G233*計算_利率_在宅介護/定数_年月数,0)))))</f>
        <v/>
      </c>
      <c r="H234" s="169" t="str">
        <f aca="false">IF(A234="","",F234+G234)</f>
        <v/>
      </c>
      <c r="I234" s="168" t="str">
        <f aca="false">IF(A234="","",IF(AND(OR(MONTH(B234)=6,MONTH(B234)=12),I233&lt;計算_賞与回数),I233+1,I233))</f>
        <v/>
      </c>
      <c r="J234" s="169" t="str">
        <f aca="false">IF(A234="","",IF(I234&gt;I233,IF(I234=計算_賞与回数,M233+K234,計算_賞与償還額),0))</f>
        <v/>
      </c>
      <c r="K234" s="169" t="str">
        <f aca="false">IF(A234="","",IF(I234&gt;I233,ROUND(M233*計算_賞与期間利率,0),0))</f>
        <v/>
      </c>
      <c r="L234" s="169" t="str">
        <f aca="false">IF(A234="","",J234-K234)</f>
        <v/>
      </c>
      <c r="M234" s="169" t="str">
        <f aca="false">IF(A234="","",IF(I234&gt;I233,M233-L234,M233))</f>
        <v/>
      </c>
      <c r="N234" s="169" t="str">
        <f aca="false">IF(A234="","",C234+J234)</f>
        <v/>
      </c>
      <c r="O234" s="169" t="str">
        <f aca="false">IF(A234="","",H234+M234)</f>
        <v/>
      </c>
    </row>
    <row r="235" customFormat="false" ht="15" hidden="false" customHeight="false" outlineLevel="0" collapsed="false">
      <c r="A235" s="168" t="str">
        <f aca="false">IF(OR(計算_償還開始="",ROWS($A$8:A235)&gt;計算_償還回数),"",ROWS($A$8:A235))</f>
        <v/>
      </c>
      <c r="B235" s="170" t="str">
        <f aca="false">IF(A235="","",EDATE(計算_償還開始,A235-1))</f>
        <v/>
      </c>
      <c r="C235" s="169" t="str">
        <f aca="false">IF(A235="","",IF(A235=計算_償還回数,D235+F234+G234,計算_毎月償還額))</f>
        <v/>
      </c>
      <c r="D235" s="169" t="str">
        <f aca="false">IF(A235="","",ROUND(F234*計算_利率/定数_年月数,0)+ROUND(G234*計算_利率_在宅介護/定数_年月数,0))</f>
        <v/>
      </c>
      <c r="E235" s="169" t="str">
        <f aca="false">IF(A235="","",C235-D235)</f>
        <v/>
      </c>
      <c r="F235" s="169" t="str">
        <f aca="false">IF(A235="","",IF(A235=計算_償還回数,0,MAX(0,F234-(ROUND(計算_月額_基本,0)-ROUND(F234*計算_利率/定数_年月数,0)))))</f>
        <v/>
      </c>
      <c r="G235" s="169" t="str">
        <f aca="false">IF(A235="","",IF(A235=計算_償還回数,0,MAX(0,G234-(ROUND(計算_月額_在宅介護,0)-ROUND(G234*計算_利率_在宅介護/定数_年月数,0)))))</f>
        <v/>
      </c>
      <c r="H235" s="169" t="str">
        <f aca="false">IF(A235="","",F235+G235)</f>
        <v/>
      </c>
      <c r="I235" s="168" t="str">
        <f aca="false">IF(A235="","",IF(AND(OR(MONTH(B235)=6,MONTH(B235)=12),I234&lt;計算_賞与回数),I234+1,I234))</f>
        <v/>
      </c>
      <c r="J235" s="169" t="str">
        <f aca="false">IF(A235="","",IF(I235&gt;I234,IF(I235=計算_賞与回数,M234+K235,計算_賞与償還額),0))</f>
        <v/>
      </c>
      <c r="K235" s="169" t="str">
        <f aca="false">IF(A235="","",IF(I235&gt;I234,ROUND(M234*計算_賞与期間利率,0),0))</f>
        <v/>
      </c>
      <c r="L235" s="169" t="str">
        <f aca="false">IF(A235="","",J235-K235)</f>
        <v/>
      </c>
      <c r="M235" s="169" t="str">
        <f aca="false">IF(A235="","",IF(I235&gt;I234,M234-L235,M234))</f>
        <v/>
      </c>
      <c r="N235" s="169" t="str">
        <f aca="false">IF(A235="","",C235+J235)</f>
        <v/>
      </c>
      <c r="O235" s="169" t="str">
        <f aca="false">IF(A235="","",H235+M235)</f>
        <v/>
      </c>
    </row>
    <row r="236" customFormat="false" ht="15" hidden="false" customHeight="false" outlineLevel="0" collapsed="false">
      <c r="A236" s="168" t="str">
        <f aca="false">IF(OR(計算_償還開始="",ROWS($A$8:A236)&gt;計算_償還回数),"",ROWS($A$8:A236))</f>
        <v/>
      </c>
      <c r="B236" s="170" t="str">
        <f aca="false">IF(A236="","",EDATE(計算_償還開始,A236-1))</f>
        <v/>
      </c>
      <c r="C236" s="169" t="str">
        <f aca="false">IF(A236="","",IF(A236=計算_償還回数,D236+F235+G235,計算_毎月償還額))</f>
        <v/>
      </c>
      <c r="D236" s="169" t="str">
        <f aca="false">IF(A236="","",ROUND(F235*計算_利率/定数_年月数,0)+ROUND(G235*計算_利率_在宅介護/定数_年月数,0))</f>
        <v/>
      </c>
      <c r="E236" s="169" t="str">
        <f aca="false">IF(A236="","",C236-D236)</f>
        <v/>
      </c>
      <c r="F236" s="169" t="str">
        <f aca="false">IF(A236="","",IF(A236=計算_償還回数,0,MAX(0,F235-(ROUND(計算_月額_基本,0)-ROUND(F235*計算_利率/定数_年月数,0)))))</f>
        <v/>
      </c>
      <c r="G236" s="169" t="str">
        <f aca="false">IF(A236="","",IF(A236=計算_償還回数,0,MAX(0,G235-(ROUND(計算_月額_在宅介護,0)-ROUND(G235*計算_利率_在宅介護/定数_年月数,0)))))</f>
        <v/>
      </c>
      <c r="H236" s="169" t="str">
        <f aca="false">IF(A236="","",F236+G236)</f>
        <v/>
      </c>
      <c r="I236" s="168" t="str">
        <f aca="false">IF(A236="","",IF(AND(OR(MONTH(B236)=6,MONTH(B236)=12),I235&lt;計算_賞与回数),I235+1,I235))</f>
        <v/>
      </c>
      <c r="J236" s="169" t="str">
        <f aca="false">IF(A236="","",IF(I236&gt;I235,IF(I236=計算_賞与回数,M235+K236,計算_賞与償還額),0))</f>
        <v/>
      </c>
      <c r="K236" s="169" t="str">
        <f aca="false">IF(A236="","",IF(I236&gt;I235,ROUND(M235*計算_賞与期間利率,0),0))</f>
        <v/>
      </c>
      <c r="L236" s="169" t="str">
        <f aca="false">IF(A236="","",J236-K236)</f>
        <v/>
      </c>
      <c r="M236" s="169" t="str">
        <f aca="false">IF(A236="","",IF(I236&gt;I235,M235-L236,M235))</f>
        <v/>
      </c>
      <c r="N236" s="169" t="str">
        <f aca="false">IF(A236="","",C236+J236)</f>
        <v/>
      </c>
      <c r="O236" s="169" t="str">
        <f aca="false">IF(A236="","",H236+M236)</f>
        <v/>
      </c>
    </row>
    <row r="237" customFormat="false" ht="15" hidden="false" customHeight="false" outlineLevel="0" collapsed="false">
      <c r="A237" s="168" t="str">
        <f aca="false">IF(OR(計算_償還開始="",ROWS($A$8:A237)&gt;計算_償還回数),"",ROWS($A$8:A237))</f>
        <v/>
      </c>
      <c r="B237" s="170" t="str">
        <f aca="false">IF(A237="","",EDATE(計算_償還開始,A237-1))</f>
        <v/>
      </c>
      <c r="C237" s="169" t="str">
        <f aca="false">IF(A237="","",IF(A237=計算_償還回数,D237+F236+G236,計算_毎月償還額))</f>
        <v/>
      </c>
      <c r="D237" s="169" t="str">
        <f aca="false">IF(A237="","",ROUND(F236*計算_利率/定数_年月数,0)+ROUND(G236*計算_利率_在宅介護/定数_年月数,0))</f>
        <v/>
      </c>
      <c r="E237" s="169" t="str">
        <f aca="false">IF(A237="","",C237-D237)</f>
        <v/>
      </c>
      <c r="F237" s="169" t="str">
        <f aca="false">IF(A237="","",IF(A237=計算_償還回数,0,MAX(0,F236-(ROUND(計算_月額_基本,0)-ROUND(F236*計算_利率/定数_年月数,0)))))</f>
        <v/>
      </c>
      <c r="G237" s="169" t="str">
        <f aca="false">IF(A237="","",IF(A237=計算_償還回数,0,MAX(0,G236-(ROUND(計算_月額_在宅介護,0)-ROUND(G236*計算_利率_在宅介護/定数_年月数,0)))))</f>
        <v/>
      </c>
      <c r="H237" s="169" t="str">
        <f aca="false">IF(A237="","",F237+G237)</f>
        <v/>
      </c>
      <c r="I237" s="168" t="str">
        <f aca="false">IF(A237="","",IF(AND(OR(MONTH(B237)=6,MONTH(B237)=12),I236&lt;計算_賞与回数),I236+1,I236))</f>
        <v/>
      </c>
      <c r="J237" s="169" t="str">
        <f aca="false">IF(A237="","",IF(I237&gt;I236,IF(I237=計算_賞与回数,M236+K237,計算_賞与償還額),0))</f>
        <v/>
      </c>
      <c r="K237" s="169" t="str">
        <f aca="false">IF(A237="","",IF(I237&gt;I236,ROUND(M236*計算_賞与期間利率,0),0))</f>
        <v/>
      </c>
      <c r="L237" s="169" t="str">
        <f aca="false">IF(A237="","",J237-K237)</f>
        <v/>
      </c>
      <c r="M237" s="169" t="str">
        <f aca="false">IF(A237="","",IF(I237&gt;I236,M236-L237,M236))</f>
        <v/>
      </c>
      <c r="N237" s="169" t="str">
        <f aca="false">IF(A237="","",C237+J237)</f>
        <v/>
      </c>
      <c r="O237" s="169" t="str">
        <f aca="false">IF(A237="","",H237+M237)</f>
        <v/>
      </c>
    </row>
    <row r="238" customFormat="false" ht="15" hidden="false" customHeight="false" outlineLevel="0" collapsed="false">
      <c r="A238" s="168" t="str">
        <f aca="false">IF(OR(計算_償還開始="",ROWS($A$8:A238)&gt;計算_償還回数),"",ROWS($A$8:A238))</f>
        <v/>
      </c>
      <c r="B238" s="170" t="str">
        <f aca="false">IF(A238="","",EDATE(計算_償還開始,A238-1))</f>
        <v/>
      </c>
      <c r="C238" s="169" t="str">
        <f aca="false">IF(A238="","",IF(A238=計算_償還回数,D238+F237+G237,計算_毎月償還額))</f>
        <v/>
      </c>
      <c r="D238" s="169" t="str">
        <f aca="false">IF(A238="","",ROUND(F237*計算_利率/定数_年月数,0)+ROUND(G237*計算_利率_在宅介護/定数_年月数,0))</f>
        <v/>
      </c>
      <c r="E238" s="169" t="str">
        <f aca="false">IF(A238="","",C238-D238)</f>
        <v/>
      </c>
      <c r="F238" s="169" t="str">
        <f aca="false">IF(A238="","",IF(A238=計算_償還回数,0,MAX(0,F237-(ROUND(計算_月額_基本,0)-ROUND(F237*計算_利率/定数_年月数,0)))))</f>
        <v/>
      </c>
      <c r="G238" s="169" t="str">
        <f aca="false">IF(A238="","",IF(A238=計算_償還回数,0,MAX(0,G237-(ROUND(計算_月額_在宅介護,0)-ROUND(G237*計算_利率_在宅介護/定数_年月数,0)))))</f>
        <v/>
      </c>
      <c r="H238" s="169" t="str">
        <f aca="false">IF(A238="","",F238+G238)</f>
        <v/>
      </c>
      <c r="I238" s="168" t="str">
        <f aca="false">IF(A238="","",IF(AND(OR(MONTH(B238)=6,MONTH(B238)=12),I237&lt;計算_賞与回数),I237+1,I237))</f>
        <v/>
      </c>
      <c r="J238" s="169" t="str">
        <f aca="false">IF(A238="","",IF(I238&gt;I237,IF(I238=計算_賞与回数,M237+K238,計算_賞与償還額),0))</f>
        <v/>
      </c>
      <c r="K238" s="169" t="str">
        <f aca="false">IF(A238="","",IF(I238&gt;I237,ROUND(M237*計算_賞与期間利率,0),0))</f>
        <v/>
      </c>
      <c r="L238" s="169" t="str">
        <f aca="false">IF(A238="","",J238-K238)</f>
        <v/>
      </c>
      <c r="M238" s="169" t="str">
        <f aca="false">IF(A238="","",IF(I238&gt;I237,M237-L238,M237))</f>
        <v/>
      </c>
      <c r="N238" s="169" t="str">
        <f aca="false">IF(A238="","",C238+J238)</f>
        <v/>
      </c>
      <c r="O238" s="169" t="str">
        <f aca="false">IF(A238="","",H238+M238)</f>
        <v/>
      </c>
    </row>
    <row r="239" customFormat="false" ht="15" hidden="false" customHeight="false" outlineLevel="0" collapsed="false">
      <c r="A239" s="168" t="str">
        <f aca="false">IF(OR(計算_償還開始="",ROWS($A$8:A239)&gt;計算_償還回数),"",ROWS($A$8:A239))</f>
        <v/>
      </c>
      <c r="B239" s="170" t="str">
        <f aca="false">IF(A239="","",EDATE(計算_償還開始,A239-1))</f>
        <v/>
      </c>
      <c r="C239" s="169" t="str">
        <f aca="false">IF(A239="","",IF(A239=計算_償還回数,D239+F238+G238,計算_毎月償還額))</f>
        <v/>
      </c>
      <c r="D239" s="169" t="str">
        <f aca="false">IF(A239="","",ROUND(F238*計算_利率/定数_年月数,0)+ROUND(G238*計算_利率_在宅介護/定数_年月数,0))</f>
        <v/>
      </c>
      <c r="E239" s="169" t="str">
        <f aca="false">IF(A239="","",C239-D239)</f>
        <v/>
      </c>
      <c r="F239" s="169" t="str">
        <f aca="false">IF(A239="","",IF(A239=計算_償還回数,0,MAX(0,F238-(ROUND(計算_月額_基本,0)-ROUND(F238*計算_利率/定数_年月数,0)))))</f>
        <v/>
      </c>
      <c r="G239" s="169" t="str">
        <f aca="false">IF(A239="","",IF(A239=計算_償還回数,0,MAX(0,G238-(ROUND(計算_月額_在宅介護,0)-ROUND(G238*計算_利率_在宅介護/定数_年月数,0)))))</f>
        <v/>
      </c>
      <c r="H239" s="169" t="str">
        <f aca="false">IF(A239="","",F239+G239)</f>
        <v/>
      </c>
      <c r="I239" s="168" t="str">
        <f aca="false">IF(A239="","",IF(AND(OR(MONTH(B239)=6,MONTH(B239)=12),I238&lt;計算_賞与回数),I238+1,I238))</f>
        <v/>
      </c>
      <c r="J239" s="169" t="str">
        <f aca="false">IF(A239="","",IF(I239&gt;I238,IF(I239=計算_賞与回数,M238+K239,計算_賞与償還額),0))</f>
        <v/>
      </c>
      <c r="K239" s="169" t="str">
        <f aca="false">IF(A239="","",IF(I239&gt;I238,ROUND(M238*計算_賞与期間利率,0),0))</f>
        <v/>
      </c>
      <c r="L239" s="169" t="str">
        <f aca="false">IF(A239="","",J239-K239)</f>
        <v/>
      </c>
      <c r="M239" s="169" t="str">
        <f aca="false">IF(A239="","",IF(I239&gt;I238,M238-L239,M238))</f>
        <v/>
      </c>
      <c r="N239" s="169" t="str">
        <f aca="false">IF(A239="","",C239+J239)</f>
        <v/>
      </c>
      <c r="O239" s="169" t="str">
        <f aca="false">IF(A239="","",H239+M239)</f>
        <v/>
      </c>
    </row>
    <row r="240" customFormat="false" ht="15" hidden="false" customHeight="false" outlineLevel="0" collapsed="false">
      <c r="A240" s="168" t="str">
        <f aca="false">IF(OR(計算_償還開始="",ROWS($A$8:A240)&gt;計算_償還回数),"",ROWS($A$8:A240))</f>
        <v/>
      </c>
      <c r="B240" s="170" t="str">
        <f aca="false">IF(A240="","",EDATE(計算_償還開始,A240-1))</f>
        <v/>
      </c>
      <c r="C240" s="169" t="str">
        <f aca="false">IF(A240="","",IF(A240=計算_償還回数,D240+F239+G239,計算_毎月償還額))</f>
        <v/>
      </c>
      <c r="D240" s="169" t="str">
        <f aca="false">IF(A240="","",ROUND(F239*計算_利率/定数_年月数,0)+ROUND(G239*計算_利率_在宅介護/定数_年月数,0))</f>
        <v/>
      </c>
      <c r="E240" s="169" t="str">
        <f aca="false">IF(A240="","",C240-D240)</f>
        <v/>
      </c>
      <c r="F240" s="169" t="str">
        <f aca="false">IF(A240="","",IF(A240=計算_償還回数,0,MAX(0,F239-(ROUND(計算_月額_基本,0)-ROUND(F239*計算_利率/定数_年月数,0)))))</f>
        <v/>
      </c>
      <c r="G240" s="169" t="str">
        <f aca="false">IF(A240="","",IF(A240=計算_償還回数,0,MAX(0,G239-(ROUND(計算_月額_在宅介護,0)-ROUND(G239*計算_利率_在宅介護/定数_年月数,0)))))</f>
        <v/>
      </c>
      <c r="H240" s="169" t="str">
        <f aca="false">IF(A240="","",F240+G240)</f>
        <v/>
      </c>
      <c r="I240" s="168" t="str">
        <f aca="false">IF(A240="","",IF(AND(OR(MONTH(B240)=6,MONTH(B240)=12),I239&lt;計算_賞与回数),I239+1,I239))</f>
        <v/>
      </c>
      <c r="J240" s="169" t="str">
        <f aca="false">IF(A240="","",IF(I240&gt;I239,IF(I240=計算_賞与回数,M239+K240,計算_賞与償還額),0))</f>
        <v/>
      </c>
      <c r="K240" s="169" t="str">
        <f aca="false">IF(A240="","",IF(I240&gt;I239,ROUND(M239*計算_賞与期間利率,0),0))</f>
        <v/>
      </c>
      <c r="L240" s="169" t="str">
        <f aca="false">IF(A240="","",J240-K240)</f>
        <v/>
      </c>
      <c r="M240" s="169" t="str">
        <f aca="false">IF(A240="","",IF(I240&gt;I239,M239-L240,M239))</f>
        <v/>
      </c>
      <c r="N240" s="169" t="str">
        <f aca="false">IF(A240="","",C240+J240)</f>
        <v/>
      </c>
      <c r="O240" s="169" t="str">
        <f aca="false">IF(A240="","",H240+M240)</f>
        <v/>
      </c>
    </row>
    <row r="241" customFormat="false" ht="15" hidden="false" customHeight="false" outlineLevel="0" collapsed="false">
      <c r="A241" s="168" t="str">
        <f aca="false">IF(OR(計算_償還開始="",ROWS($A$8:A241)&gt;計算_償還回数),"",ROWS($A$8:A241))</f>
        <v/>
      </c>
      <c r="B241" s="170" t="str">
        <f aca="false">IF(A241="","",EDATE(計算_償還開始,A241-1))</f>
        <v/>
      </c>
      <c r="C241" s="169" t="str">
        <f aca="false">IF(A241="","",IF(A241=計算_償還回数,D241+F240+G240,計算_毎月償還額))</f>
        <v/>
      </c>
      <c r="D241" s="169" t="str">
        <f aca="false">IF(A241="","",ROUND(F240*計算_利率/定数_年月数,0)+ROUND(G240*計算_利率_在宅介護/定数_年月数,0))</f>
        <v/>
      </c>
      <c r="E241" s="169" t="str">
        <f aca="false">IF(A241="","",C241-D241)</f>
        <v/>
      </c>
      <c r="F241" s="169" t="str">
        <f aca="false">IF(A241="","",IF(A241=計算_償還回数,0,MAX(0,F240-(ROUND(計算_月額_基本,0)-ROUND(F240*計算_利率/定数_年月数,0)))))</f>
        <v/>
      </c>
      <c r="G241" s="169" t="str">
        <f aca="false">IF(A241="","",IF(A241=計算_償還回数,0,MAX(0,G240-(ROUND(計算_月額_在宅介護,0)-ROUND(G240*計算_利率_在宅介護/定数_年月数,0)))))</f>
        <v/>
      </c>
      <c r="H241" s="169" t="str">
        <f aca="false">IF(A241="","",F241+G241)</f>
        <v/>
      </c>
      <c r="I241" s="168" t="str">
        <f aca="false">IF(A241="","",IF(AND(OR(MONTH(B241)=6,MONTH(B241)=12),I240&lt;計算_賞与回数),I240+1,I240))</f>
        <v/>
      </c>
      <c r="J241" s="169" t="str">
        <f aca="false">IF(A241="","",IF(I241&gt;I240,IF(I241=計算_賞与回数,M240+K241,計算_賞与償還額),0))</f>
        <v/>
      </c>
      <c r="K241" s="169" t="str">
        <f aca="false">IF(A241="","",IF(I241&gt;I240,ROUND(M240*計算_賞与期間利率,0),0))</f>
        <v/>
      </c>
      <c r="L241" s="169" t="str">
        <f aca="false">IF(A241="","",J241-K241)</f>
        <v/>
      </c>
      <c r="M241" s="169" t="str">
        <f aca="false">IF(A241="","",IF(I241&gt;I240,M240-L241,M240))</f>
        <v/>
      </c>
      <c r="N241" s="169" t="str">
        <f aca="false">IF(A241="","",C241+J241)</f>
        <v/>
      </c>
      <c r="O241" s="169" t="str">
        <f aca="false">IF(A241="","",H241+M241)</f>
        <v/>
      </c>
    </row>
    <row r="242" customFormat="false" ht="15" hidden="false" customHeight="false" outlineLevel="0" collapsed="false">
      <c r="A242" s="168" t="str">
        <f aca="false">IF(OR(計算_償還開始="",ROWS($A$8:A242)&gt;計算_償還回数),"",ROWS($A$8:A242))</f>
        <v/>
      </c>
      <c r="B242" s="170" t="str">
        <f aca="false">IF(A242="","",EDATE(計算_償還開始,A242-1))</f>
        <v/>
      </c>
      <c r="C242" s="169" t="str">
        <f aca="false">IF(A242="","",IF(A242=計算_償還回数,D242+F241+G241,計算_毎月償還額))</f>
        <v/>
      </c>
      <c r="D242" s="169" t="str">
        <f aca="false">IF(A242="","",ROUND(F241*計算_利率/定数_年月数,0)+ROUND(G241*計算_利率_在宅介護/定数_年月数,0))</f>
        <v/>
      </c>
      <c r="E242" s="169" t="str">
        <f aca="false">IF(A242="","",C242-D242)</f>
        <v/>
      </c>
      <c r="F242" s="169" t="str">
        <f aca="false">IF(A242="","",IF(A242=計算_償還回数,0,MAX(0,F241-(ROUND(計算_月額_基本,0)-ROUND(F241*計算_利率/定数_年月数,0)))))</f>
        <v/>
      </c>
      <c r="G242" s="169" t="str">
        <f aca="false">IF(A242="","",IF(A242=計算_償還回数,0,MAX(0,G241-(ROUND(計算_月額_在宅介護,0)-ROUND(G241*計算_利率_在宅介護/定数_年月数,0)))))</f>
        <v/>
      </c>
      <c r="H242" s="169" t="str">
        <f aca="false">IF(A242="","",F242+G242)</f>
        <v/>
      </c>
      <c r="I242" s="168" t="str">
        <f aca="false">IF(A242="","",IF(AND(OR(MONTH(B242)=6,MONTH(B242)=12),I241&lt;計算_賞与回数),I241+1,I241))</f>
        <v/>
      </c>
      <c r="J242" s="169" t="str">
        <f aca="false">IF(A242="","",IF(I242&gt;I241,IF(I242=計算_賞与回数,M241+K242,計算_賞与償還額),0))</f>
        <v/>
      </c>
      <c r="K242" s="169" t="str">
        <f aca="false">IF(A242="","",IF(I242&gt;I241,ROUND(M241*計算_賞与期間利率,0),0))</f>
        <v/>
      </c>
      <c r="L242" s="169" t="str">
        <f aca="false">IF(A242="","",J242-K242)</f>
        <v/>
      </c>
      <c r="M242" s="169" t="str">
        <f aca="false">IF(A242="","",IF(I242&gt;I241,M241-L242,M241))</f>
        <v/>
      </c>
      <c r="N242" s="169" t="str">
        <f aca="false">IF(A242="","",C242+J242)</f>
        <v/>
      </c>
      <c r="O242" s="169" t="str">
        <f aca="false">IF(A242="","",H242+M242)</f>
        <v/>
      </c>
    </row>
    <row r="243" customFormat="false" ht="15" hidden="false" customHeight="false" outlineLevel="0" collapsed="false">
      <c r="A243" s="168" t="str">
        <f aca="false">IF(OR(計算_償還開始="",ROWS($A$8:A243)&gt;計算_償還回数),"",ROWS($A$8:A243))</f>
        <v/>
      </c>
      <c r="B243" s="170" t="str">
        <f aca="false">IF(A243="","",EDATE(計算_償還開始,A243-1))</f>
        <v/>
      </c>
      <c r="C243" s="169" t="str">
        <f aca="false">IF(A243="","",IF(A243=計算_償還回数,D243+F242+G242,計算_毎月償還額))</f>
        <v/>
      </c>
      <c r="D243" s="169" t="str">
        <f aca="false">IF(A243="","",ROUND(F242*計算_利率/定数_年月数,0)+ROUND(G242*計算_利率_在宅介護/定数_年月数,0))</f>
        <v/>
      </c>
      <c r="E243" s="169" t="str">
        <f aca="false">IF(A243="","",C243-D243)</f>
        <v/>
      </c>
      <c r="F243" s="169" t="str">
        <f aca="false">IF(A243="","",IF(A243=計算_償還回数,0,MAX(0,F242-(ROUND(計算_月額_基本,0)-ROUND(F242*計算_利率/定数_年月数,0)))))</f>
        <v/>
      </c>
      <c r="G243" s="169" t="str">
        <f aca="false">IF(A243="","",IF(A243=計算_償還回数,0,MAX(0,G242-(ROUND(計算_月額_在宅介護,0)-ROUND(G242*計算_利率_在宅介護/定数_年月数,0)))))</f>
        <v/>
      </c>
      <c r="H243" s="169" t="str">
        <f aca="false">IF(A243="","",F243+G243)</f>
        <v/>
      </c>
      <c r="I243" s="168" t="str">
        <f aca="false">IF(A243="","",IF(AND(OR(MONTH(B243)=6,MONTH(B243)=12),I242&lt;計算_賞与回数),I242+1,I242))</f>
        <v/>
      </c>
      <c r="J243" s="169" t="str">
        <f aca="false">IF(A243="","",IF(I243&gt;I242,IF(I243=計算_賞与回数,M242+K243,計算_賞与償還額),0))</f>
        <v/>
      </c>
      <c r="K243" s="169" t="str">
        <f aca="false">IF(A243="","",IF(I243&gt;I242,ROUND(M242*計算_賞与期間利率,0),0))</f>
        <v/>
      </c>
      <c r="L243" s="169" t="str">
        <f aca="false">IF(A243="","",J243-K243)</f>
        <v/>
      </c>
      <c r="M243" s="169" t="str">
        <f aca="false">IF(A243="","",IF(I243&gt;I242,M242-L243,M242))</f>
        <v/>
      </c>
      <c r="N243" s="169" t="str">
        <f aca="false">IF(A243="","",C243+J243)</f>
        <v/>
      </c>
      <c r="O243" s="169" t="str">
        <f aca="false">IF(A243="","",H243+M243)</f>
        <v/>
      </c>
    </row>
    <row r="244" customFormat="false" ht="15" hidden="false" customHeight="false" outlineLevel="0" collapsed="false">
      <c r="A244" s="168" t="str">
        <f aca="false">IF(OR(計算_償還開始="",ROWS($A$8:A244)&gt;計算_償還回数),"",ROWS($A$8:A244))</f>
        <v/>
      </c>
      <c r="B244" s="170" t="str">
        <f aca="false">IF(A244="","",EDATE(計算_償還開始,A244-1))</f>
        <v/>
      </c>
      <c r="C244" s="169" t="str">
        <f aca="false">IF(A244="","",IF(A244=計算_償還回数,D244+F243+G243,計算_毎月償還額))</f>
        <v/>
      </c>
      <c r="D244" s="169" t="str">
        <f aca="false">IF(A244="","",ROUND(F243*計算_利率/定数_年月数,0)+ROUND(G243*計算_利率_在宅介護/定数_年月数,0))</f>
        <v/>
      </c>
      <c r="E244" s="169" t="str">
        <f aca="false">IF(A244="","",C244-D244)</f>
        <v/>
      </c>
      <c r="F244" s="169" t="str">
        <f aca="false">IF(A244="","",IF(A244=計算_償還回数,0,MAX(0,F243-(ROUND(計算_月額_基本,0)-ROUND(F243*計算_利率/定数_年月数,0)))))</f>
        <v/>
      </c>
      <c r="G244" s="169" t="str">
        <f aca="false">IF(A244="","",IF(A244=計算_償還回数,0,MAX(0,G243-(ROUND(計算_月額_在宅介護,0)-ROUND(G243*計算_利率_在宅介護/定数_年月数,0)))))</f>
        <v/>
      </c>
      <c r="H244" s="169" t="str">
        <f aca="false">IF(A244="","",F244+G244)</f>
        <v/>
      </c>
      <c r="I244" s="168" t="str">
        <f aca="false">IF(A244="","",IF(AND(OR(MONTH(B244)=6,MONTH(B244)=12),I243&lt;計算_賞与回数),I243+1,I243))</f>
        <v/>
      </c>
      <c r="J244" s="169" t="str">
        <f aca="false">IF(A244="","",IF(I244&gt;I243,IF(I244=計算_賞与回数,M243+K244,計算_賞与償還額),0))</f>
        <v/>
      </c>
      <c r="K244" s="169" t="str">
        <f aca="false">IF(A244="","",IF(I244&gt;I243,ROUND(M243*計算_賞与期間利率,0),0))</f>
        <v/>
      </c>
      <c r="L244" s="169" t="str">
        <f aca="false">IF(A244="","",J244-K244)</f>
        <v/>
      </c>
      <c r="M244" s="169" t="str">
        <f aca="false">IF(A244="","",IF(I244&gt;I243,M243-L244,M243))</f>
        <v/>
      </c>
      <c r="N244" s="169" t="str">
        <f aca="false">IF(A244="","",C244+J244)</f>
        <v/>
      </c>
      <c r="O244" s="169" t="str">
        <f aca="false">IF(A244="","",H244+M244)</f>
        <v/>
      </c>
    </row>
    <row r="245" customFormat="false" ht="15" hidden="false" customHeight="false" outlineLevel="0" collapsed="false">
      <c r="A245" s="168" t="str">
        <f aca="false">IF(OR(計算_償還開始="",ROWS($A$8:A245)&gt;計算_償還回数),"",ROWS($A$8:A245))</f>
        <v/>
      </c>
      <c r="B245" s="170" t="str">
        <f aca="false">IF(A245="","",EDATE(計算_償還開始,A245-1))</f>
        <v/>
      </c>
      <c r="C245" s="169" t="str">
        <f aca="false">IF(A245="","",IF(A245=計算_償還回数,D245+F244+G244,計算_毎月償還額))</f>
        <v/>
      </c>
      <c r="D245" s="169" t="str">
        <f aca="false">IF(A245="","",ROUND(F244*計算_利率/定数_年月数,0)+ROUND(G244*計算_利率_在宅介護/定数_年月数,0))</f>
        <v/>
      </c>
      <c r="E245" s="169" t="str">
        <f aca="false">IF(A245="","",C245-D245)</f>
        <v/>
      </c>
      <c r="F245" s="169" t="str">
        <f aca="false">IF(A245="","",IF(A245=計算_償還回数,0,MAX(0,F244-(ROUND(計算_月額_基本,0)-ROUND(F244*計算_利率/定数_年月数,0)))))</f>
        <v/>
      </c>
      <c r="G245" s="169" t="str">
        <f aca="false">IF(A245="","",IF(A245=計算_償還回数,0,MAX(0,G244-(ROUND(計算_月額_在宅介護,0)-ROUND(G244*計算_利率_在宅介護/定数_年月数,0)))))</f>
        <v/>
      </c>
      <c r="H245" s="169" t="str">
        <f aca="false">IF(A245="","",F245+G245)</f>
        <v/>
      </c>
      <c r="I245" s="168" t="str">
        <f aca="false">IF(A245="","",IF(AND(OR(MONTH(B245)=6,MONTH(B245)=12),I244&lt;計算_賞与回数),I244+1,I244))</f>
        <v/>
      </c>
      <c r="J245" s="169" t="str">
        <f aca="false">IF(A245="","",IF(I245&gt;I244,IF(I245=計算_賞与回数,M244+K245,計算_賞与償還額),0))</f>
        <v/>
      </c>
      <c r="K245" s="169" t="str">
        <f aca="false">IF(A245="","",IF(I245&gt;I244,ROUND(M244*計算_賞与期間利率,0),0))</f>
        <v/>
      </c>
      <c r="L245" s="169" t="str">
        <f aca="false">IF(A245="","",J245-K245)</f>
        <v/>
      </c>
      <c r="M245" s="169" t="str">
        <f aca="false">IF(A245="","",IF(I245&gt;I244,M244-L245,M244))</f>
        <v/>
      </c>
      <c r="N245" s="169" t="str">
        <f aca="false">IF(A245="","",C245+J245)</f>
        <v/>
      </c>
      <c r="O245" s="169" t="str">
        <f aca="false">IF(A245="","",H245+M245)</f>
        <v/>
      </c>
    </row>
    <row r="246" customFormat="false" ht="15" hidden="false" customHeight="false" outlineLevel="0" collapsed="false">
      <c r="A246" s="168" t="str">
        <f aca="false">IF(OR(計算_償還開始="",ROWS($A$8:A246)&gt;計算_償還回数),"",ROWS($A$8:A246))</f>
        <v/>
      </c>
      <c r="B246" s="170" t="str">
        <f aca="false">IF(A246="","",EDATE(計算_償還開始,A246-1))</f>
        <v/>
      </c>
      <c r="C246" s="169" t="str">
        <f aca="false">IF(A246="","",IF(A246=計算_償還回数,D246+F245+G245,計算_毎月償還額))</f>
        <v/>
      </c>
      <c r="D246" s="169" t="str">
        <f aca="false">IF(A246="","",ROUND(F245*計算_利率/定数_年月数,0)+ROUND(G245*計算_利率_在宅介護/定数_年月数,0))</f>
        <v/>
      </c>
      <c r="E246" s="169" t="str">
        <f aca="false">IF(A246="","",C246-D246)</f>
        <v/>
      </c>
      <c r="F246" s="169" t="str">
        <f aca="false">IF(A246="","",IF(A246=計算_償還回数,0,MAX(0,F245-(ROUND(計算_月額_基本,0)-ROUND(F245*計算_利率/定数_年月数,0)))))</f>
        <v/>
      </c>
      <c r="G246" s="169" t="str">
        <f aca="false">IF(A246="","",IF(A246=計算_償還回数,0,MAX(0,G245-(ROUND(計算_月額_在宅介護,0)-ROUND(G245*計算_利率_在宅介護/定数_年月数,0)))))</f>
        <v/>
      </c>
      <c r="H246" s="169" t="str">
        <f aca="false">IF(A246="","",F246+G246)</f>
        <v/>
      </c>
      <c r="I246" s="168" t="str">
        <f aca="false">IF(A246="","",IF(AND(OR(MONTH(B246)=6,MONTH(B246)=12),I245&lt;計算_賞与回数),I245+1,I245))</f>
        <v/>
      </c>
      <c r="J246" s="169" t="str">
        <f aca="false">IF(A246="","",IF(I246&gt;I245,IF(I246=計算_賞与回数,M245+K246,計算_賞与償還額),0))</f>
        <v/>
      </c>
      <c r="K246" s="169" t="str">
        <f aca="false">IF(A246="","",IF(I246&gt;I245,ROUND(M245*計算_賞与期間利率,0),0))</f>
        <v/>
      </c>
      <c r="L246" s="169" t="str">
        <f aca="false">IF(A246="","",J246-K246)</f>
        <v/>
      </c>
      <c r="M246" s="169" t="str">
        <f aca="false">IF(A246="","",IF(I246&gt;I245,M245-L246,M245))</f>
        <v/>
      </c>
      <c r="N246" s="169" t="str">
        <f aca="false">IF(A246="","",C246+J246)</f>
        <v/>
      </c>
      <c r="O246" s="169" t="str">
        <f aca="false">IF(A246="","",H246+M246)</f>
        <v/>
      </c>
    </row>
    <row r="247" customFormat="false" ht="15" hidden="false" customHeight="false" outlineLevel="0" collapsed="false">
      <c r="A247" s="168" t="str">
        <f aca="false">IF(OR(計算_償還開始="",ROWS($A$8:A247)&gt;計算_償還回数),"",ROWS($A$8:A247))</f>
        <v/>
      </c>
      <c r="B247" s="170" t="str">
        <f aca="false">IF(A247="","",EDATE(計算_償還開始,A247-1))</f>
        <v/>
      </c>
      <c r="C247" s="169" t="str">
        <f aca="false">IF(A247="","",IF(A247=計算_償還回数,D247+F246+G246,計算_毎月償還額))</f>
        <v/>
      </c>
      <c r="D247" s="169" t="str">
        <f aca="false">IF(A247="","",ROUND(F246*計算_利率/定数_年月数,0)+ROUND(G246*計算_利率_在宅介護/定数_年月数,0))</f>
        <v/>
      </c>
      <c r="E247" s="169" t="str">
        <f aca="false">IF(A247="","",C247-D247)</f>
        <v/>
      </c>
      <c r="F247" s="169" t="str">
        <f aca="false">IF(A247="","",IF(A247=計算_償還回数,0,MAX(0,F246-(ROUND(計算_月額_基本,0)-ROUND(F246*計算_利率/定数_年月数,0)))))</f>
        <v/>
      </c>
      <c r="G247" s="169" t="str">
        <f aca="false">IF(A247="","",IF(A247=計算_償還回数,0,MAX(0,G246-(ROUND(計算_月額_在宅介護,0)-ROUND(G246*計算_利率_在宅介護/定数_年月数,0)))))</f>
        <v/>
      </c>
      <c r="H247" s="169" t="str">
        <f aca="false">IF(A247="","",F247+G247)</f>
        <v/>
      </c>
      <c r="I247" s="168" t="str">
        <f aca="false">IF(A247="","",IF(AND(OR(MONTH(B247)=6,MONTH(B247)=12),I246&lt;計算_賞与回数),I246+1,I246))</f>
        <v/>
      </c>
      <c r="J247" s="169" t="str">
        <f aca="false">IF(A247="","",IF(I247&gt;I246,IF(I247=計算_賞与回数,M246+K247,計算_賞与償還額),0))</f>
        <v/>
      </c>
      <c r="K247" s="169" t="str">
        <f aca="false">IF(A247="","",IF(I247&gt;I246,ROUND(M246*計算_賞与期間利率,0),0))</f>
        <v/>
      </c>
      <c r="L247" s="169" t="str">
        <f aca="false">IF(A247="","",J247-K247)</f>
        <v/>
      </c>
      <c r="M247" s="169" t="str">
        <f aca="false">IF(A247="","",IF(I247&gt;I246,M246-L247,M246))</f>
        <v/>
      </c>
      <c r="N247" s="169" t="str">
        <f aca="false">IF(A247="","",C247+J247)</f>
        <v/>
      </c>
      <c r="O247" s="169" t="str">
        <f aca="false">IF(A247="","",H247+M247)</f>
        <v/>
      </c>
    </row>
    <row r="248" customFormat="false" ht="15" hidden="false" customHeight="false" outlineLevel="0" collapsed="false">
      <c r="A248" s="168" t="str">
        <f aca="false">IF(OR(計算_償還開始="",ROWS($A$8:A248)&gt;計算_償還回数),"",ROWS($A$8:A248))</f>
        <v/>
      </c>
      <c r="B248" s="170" t="str">
        <f aca="false">IF(A248="","",EDATE(計算_償還開始,A248-1))</f>
        <v/>
      </c>
      <c r="C248" s="169" t="str">
        <f aca="false">IF(A248="","",IF(A248=計算_償還回数,D248+F247+G247,計算_毎月償還額))</f>
        <v/>
      </c>
      <c r="D248" s="169" t="str">
        <f aca="false">IF(A248="","",ROUND(F247*計算_利率/定数_年月数,0)+ROUND(G247*計算_利率_在宅介護/定数_年月数,0))</f>
        <v/>
      </c>
      <c r="E248" s="169" t="str">
        <f aca="false">IF(A248="","",C248-D248)</f>
        <v/>
      </c>
      <c r="F248" s="169" t="str">
        <f aca="false">IF(A248="","",IF(A248=計算_償還回数,0,MAX(0,F247-(ROUND(計算_月額_基本,0)-ROUND(F247*計算_利率/定数_年月数,0)))))</f>
        <v/>
      </c>
      <c r="G248" s="169" t="str">
        <f aca="false">IF(A248="","",IF(A248=計算_償還回数,0,MAX(0,G247-(ROUND(計算_月額_在宅介護,0)-ROUND(G247*計算_利率_在宅介護/定数_年月数,0)))))</f>
        <v/>
      </c>
      <c r="H248" s="169" t="str">
        <f aca="false">IF(A248="","",F248+G248)</f>
        <v/>
      </c>
      <c r="I248" s="168" t="str">
        <f aca="false">IF(A248="","",IF(AND(OR(MONTH(B248)=6,MONTH(B248)=12),I247&lt;計算_賞与回数),I247+1,I247))</f>
        <v/>
      </c>
      <c r="J248" s="169" t="str">
        <f aca="false">IF(A248="","",IF(I248&gt;I247,IF(I248=計算_賞与回数,M247+K248,計算_賞与償還額),0))</f>
        <v/>
      </c>
      <c r="K248" s="169" t="str">
        <f aca="false">IF(A248="","",IF(I248&gt;I247,ROUND(M247*計算_賞与期間利率,0),0))</f>
        <v/>
      </c>
      <c r="L248" s="169" t="str">
        <f aca="false">IF(A248="","",J248-K248)</f>
        <v/>
      </c>
      <c r="M248" s="169" t="str">
        <f aca="false">IF(A248="","",IF(I248&gt;I247,M247-L248,M247))</f>
        <v/>
      </c>
      <c r="N248" s="169" t="str">
        <f aca="false">IF(A248="","",C248+J248)</f>
        <v/>
      </c>
      <c r="O248" s="169" t="str">
        <f aca="false">IF(A248="","",H248+M248)</f>
        <v/>
      </c>
    </row>
    <row r="249" customFormat="false" ht="15" hidden="false" customHeight="false" outlineLevel="0" collapsed="false">
      <c r="A249" s="168" t="str">
        <f aca="false">IF(OR(計算_償還開始="",ROWS($A$8:A249)&gt;計算_償還回数),"",ROWS($A$8:A249))</f>
        <v/>
      </c>
      <c r="B249" s="170" t="str">
        <f aca="false">IF(A249="","",EDATE(計算_償還開始,A249-1))</f>
        <v/>
      </c>
      <c r="C249" s="169" t="str">
        <f aca="false">IF(A249="","",IF(A249=計算_償還回数,D249+F248+G248,計算_毎月償還額))</f>
        <v/>
      </c>
      <c r="D249" s="169" t="str">
        <f aca="false">IF(A249="","",ROUND(F248*計算_利率/定数_年月数,0)+ROUND(G248*計算_利率_在宅介護/定数_年月数,0))</f>
        <v/>
      </c>
      <c r="E249" s="169" t="str">
        <f aca="false">IF(A249="","",C249-D249)</f>
        <v/>
      </c>
      <c r="F249" s="169" t="str">
        <f aca="false">IF(A249="","",IF(A249=計算_償還回数,0,MAX(0,F248-(ROUND(計算_月額_基本,0)-ROUND(F248*計算_利率/定数_年月数,0)))))</f>
        <v/>
      </c>
      <c r="G249" s="169" t="str">
        <f aca="false">IF(A249="","",IF(A249=計算_償還回数,0,MAX(0,G248-(ROUND(計算_月額_在宅介護,0)-ROUND(G248*計算_利率_在宅介護/定数_年月数,0)))))</f>
        <v/>
      </c>
      <c r="H249" s="169" t="str">
        <f aca="false">IF(A249="","",F249+G249)</f>
        <v/>
      </c>
      <c r="I249" s="168" t="str">
        <f aca="false">IF(A249="","",IF(AND(OR(MONTH(B249)=6,MONTH(B249)=12),I248&lt;計算_賞与回数),I248+1,I248))</f>
        <v/>
      </c>
      <c r="J249" s="169" t="str">
        <f aca="false">IF(A249="","",IF(I249&gt;I248,IF(I249=計算_賞与回数,M248+K249,計算_賞与償還額),0))</f>
        <v/>
      </c>
      <c r="K249" s="169" t="str">
        <f aca="false">IF(A249="","",IF(I249&gt;I248,ROUND(M248*計算_賞与期間利率,0),0))</f>
        <v/>
      </c>
      <c r="L249" s="169" t="str">
        <f aca="false">IF(A249="","",J249-K249)</f>
        <v/>
      </c>
      <c r="M249" s="169" t="str">
        <f aca="false">IF(A249="","",IF(I249&gt;I248,M248-L249,M248))</f>
        <v/>
      </c>
      <c r="N249" s="169" t="str">
        <f aca="false">IF(A249="","",C249+J249)</f>
        <v/>
      </c>
      <c r="O249" s="169" t="str">
        <f aca="false">IF(A249="","",H249+M249)</f>
        <v/>
      </c>
    </row>
    <row r="250" customFormat="false" ht="15" hidden="false" customHeight="false" outlineLevel="0" collapsed="false">
      <c r="A250" s="168" t="str">
        <f aca="false">IF(OR(計算_償還開始="",ROWS($A$8:A250)&gt;計算_償還回数),"",ROWS($A$8:A250))</f>
        <v/>
      </c>
      <c r="B250" s="170" t="str">
        <f aca="false">IF(A250="","",EDATE(計算_償還開始,A250-1))</f>
        <v/>
      </c>
      <c r="C250" s="169" t="str">
        <f aca="false">IF(A250="","",IF(A250=計算_償還回数,D250+F249+G249,計算_毎月償還額))</f>
        <v/>
      </c>
      <c r="D250" s="169" t="str">
        <f aca="false">IF(A250="","",ROUND(F249*計算_利率/定数_年月数,0)+ROUND(G249*計算_利率_在宅介護/定数_年月数,0))</f>
        <v/>
      </c>
      <c r="E250" s="169" t="str">
        <f aca="false">IF(A250="","",C250-D250)</f>
        <v/>
      </c>
      <c r="F250" s="169" t="str">
        <f aca="false">IF(A250="","",IF(A250=計算_償還回数,0,MAX(0,F249-(ROUND(計算_月額_基本,0)-ROUND(F249*計算_利率/定数_年月数,0)))))</f>
        <v/>
      </c>
      <c r="G250" s="169" t="str">
        <f aca="false">IF(A250="","",IF(A250=計算_償還回数,0,MAX(0,G249-(ROUND(計算_月額_在宅介護,0)-ROUND(G249*計算_利率_在宅介護/定数_年月数,0)))))</f>
        <v/>
      </c>
      <c r="H250" s="169" t="str">
        <f aca="false">IF(A250="","",F250+G250)</f>
        <v/>
      </c>
      <c r="I250" s="168" t="str">
        <f aca="false">IF(A250="","",IF(AND(OR(MONTH(B250)=6,MONTH(B250)=12),I249&lt;計算_賞与回数),I249+1,I249))</f>
        <v/>
      </c>
      <c r="J250" s="169" t="str">
        <f aca="false">IF(A250="","",IF(I250&gt;I249,IF(I250=計算_賞与回数,M249+K250,計算_賞与償還額),0))</f>
        <v/>
      </c>
      <c r="K250" s="169" t="str">
        <f aca="false">IF(A250="","",IF(I250&gt;I249,ROUND(M249*計算_賞与期間利率,0),0))</f>
        <v/>
      </c>
      <c r="L250" s="169" t="str">
        <f aca="false">IF(A250="","",J250-K250)</f>
        <v/>
      </c>
      <c r="M250" s="169" t="str">
        <f aca="false">IF(A250="","",IF(I250&gt;I249,M249-L250,M249))</f>
        <v/>
      </c>
      <c r="N250" s="169" t="str">
        <f aca="false">IF(A250="","",C250+J250)</f>
        <v/>
      </c>
      <c r="O250" s="169" t="str">
        <f aca="false">IF(A250="","",H250+M250)</f>
        <v/>
      </c>
    </row>
    <row r="251" customFormat="false" ht="15" hidden="false" customHeight="false" outlineLevel="0" collapsed="false">
      <c r="A251" s="168" t="str">
        <f aca="false">IF(OR(計算_償還開始="",ROWS($A$8:A251)&gt;計算_償還回数),"",ROWS($A$8:A251))</f>
        <v/>
      </c>
      <c r="B251" s="170" t="str">
        <f aca="false">IF(A251="","",EDATE(計算_償還開始,A251-1))</f>
        <v/>
      </c>
      <c r="C251" s="169" t="str">
        <f aca="false">IF(A251="","",IF(A251=計算_償還回数,D251+F250+G250,計算_毎月償還額))</f>
        <v/>
      </c>
      <c r="D251" s="169" t="str">
        <f aca="false">IF(A251="","",ROUND(F250*計算_利率/定数_年月数,0)+ROUND(G250*計算_利率_在宅介護/定数_年月数,0))</f>
        <v/>
      </c>
      <c r="E251" s="169" t="str">
        <f aca="false">IF(A251="","",C251-D251)</f>
        <v/>
      </c>
      <c r="F251" s="169" t="str">
        <f aca="false">IF(A251="","",IF(A251=計算_償還回数,0,MAX(0,F250-(ROUND(計算_月額_基本,0)-ROUND(F250*計算_利率/定数_年月数,0)))))</f>
        <v/>
      </c>
      <c r="G251" s="169" t="str">
        <f aca="false">IF(A251="","",IF(A251=計算_償還回数,0,MAX(0,G250-(ROUND(計算_月額_在宅介護,0)-ROUND(G250*計算_利率_在宅介護/定数_年月数,0)))))</f>
        <v/>
      </c>
      <c r="H251" s="169" t="str">
        <f aca="false">IF(A251="","",F251+G251)</f>
        <v/>
      </c>
      <c r="I251" s="168" t="str">
        <f aca="false">IF(A251="","",IF(AND(OR(MONTH(B251)=6,MONTH(B251)=12),I250&lt;計算_賞与回数),I250+1,I250))</f>
        <v/>
      </c>
      <c r="J251" s="169" t="str">
        <f aca="false">IF(A251="","",IF(I251&gt;I250,IF(I251=計算_賞与回数,M250+K251,計算_賞与償還額),0))</f>
        <v/>
      </c>
      <c r="K251" s="169" t="str">
        <f aca="false">IF(A251="","",IF(I251&gt;I250,ROUND(M250*計算_賞与期間利率,0),0))</f>
        <v/>
      </c>
      <c r="L251" s="169" t="str">
        <f aca="false">IF(A251="","",J251-K251)</f>
        <v/>
      </c>
      <c r="M251" s="169" t="str">
        <f aca="false">IF(A251="","",IF(I251&gt;I250,M250-L251,M250))</f>
        <v/>
      </c>
      <c r="N251" s="169" t="str">
        <f aca="false">IF(A251="","",C251+J251)</f>
        <v/>
      </c>
      <c r="O251" s="169" t="str">
        <f aca="false">IF(A251="","",H251+M251)</f>
        <v/>
      </c>
    </row>
    <row r="252" customFormat="false" ht="15" hidden="false" customHeight="false" outlineLevel="0" collapsed="false">
      <c r="A252" s="168" t="str">
        <f aca="false">IF(OR(計算_償還開始="",ROWS($A$8:A252)&gt;計算_償還回数),"",ROWS($A$8:A252))</f>
        <v/>
      </c>
      <c r="B252" s="170" t="str">
        <f aca="false">IF(A252="","",EDATE(計算_償還開始,A252-1))</f>
        <v/>
      </c>
      <c r="C252" s="169" t="str">
        <f aca="false">IF(A252="","",IF(A252=計算_償還回数,D252+F251+G251,計算_毎月償還額))</f>
        <v/>
      </c>
      <c r="D252" s="169" t="str">
        <f aca="false">IF(A252="","",ROUND(F251*計算_利率/定数_年月数,0)+ROUND(G251*計算_利率_在宅介護/定数_年月数,0))</f>
        <v/>
      </c>
      <c r="E252" s="169" t="str">
        <f aca="false">IF(A252="","",C252-D252)</f>
        <v/>
      </c>
      <c r="F252" s="169" t="str">
        <f aca="false">IF(A252="","",IF(A252=計算_償還回数,0,MAX(0,F251-(ROUND(計算_月額_基本,0)-ROUND(F251*計算_利率/定数_年月数,0)))))</f>
        <v/>
      </c>
      <c r="G252" s="169" t="str">
        <f aca="false">IF(A252="","",IF(A252=計算_償還回数,0,MAX(0,G251-(ROUND(計算_月額_在宅介護,0)-ROUND(G251*計算_利率_在宅介護/定数_年月数,0)))))</f>
        <v/>
      </c>
      <c r="H252" s="169" t="str">
        <f aca="false">IF(A252="","",F252+G252)</f>
        <v/>
      </c>
      <c r="I252" s="168" t="str">
        <f aca="false">IF(A252="","",IF(AND(OR(MONTH(B252)=6,MONTH(B252)=12),I251&lt;計算_賞与回数),I251+1,I251))</f>
        <v/>
      </c>
      <c r="J252" s="169" t="str">
        <f aca="false">IF(A252="","",IF(I252&gt;I251,IF(I252=計算_賞与回数,M251+K252,計算_賞与償還額),0))</f>
        <v/>
      </c>
      <c r="K252" s="169" t="str">
        <f aca="false">IF(A252="","",IF(I252&gt;I251,ROUND(M251*計算_賞与期間利率,0),0))</f>
        <v/>
      </c>
      <c r="L252" s="169" t="str">
        <f aca="false">IF(A252="","",J252-K252)</f>
        <v/>
      </c>
      <c r="M252" s="169" t="str">
        <f aca="false">IF(A252="","",IF(I252&gt;I251,M251-L252,M251))</f>
        <v/>
      </c>
      <c r="N252" s="169" t="str">
        <f aca="false">IF(A252="","",C252+J252)</f>
        <v/>
      </c>
      <c r="O252" s="169" t="str">
        <f aca="false">IF(A252="","",H252+M252)</f>
        <v/>
      </c>
    </row>
    <row r="253" customFormat="false" ht="15" hidden="false" customHeight="false" outlineLevel="0" collapsed="false">
      <c r="A253" s="168" t="str">
        <f aca="false">IF(OR(計算_償還開始="",ROWS($A$8:A253)&gt;計算_償還回数),"",ROWS($A$8:A253))</f>
        <v/>
      </c>
      <c r="B253" s="170" t="str">
        <f aca="false">IF(A253="","",EDATE(計算_償還開始,A253-1))</f>
        <v/>
      </c>
      <c r="C253" s="169" t="str">
        <f aca="false">IF(A253="","",IF(A253=計算_償還回数,D253+F252+G252,計算_毎月償還額))</f>
        <v/>
      </c>
      <c r="D253" s="169" t="str">
        <f aca="false">IF(A253="","",ROUND(F252*計算_利率/定数_年月数,0)+ROUND(G252*計算_利率_在宅介護/定数_年月数,0))</f>
        <v/>
      </c>
      <c r="E253" s="169" t="str">
        <f aca="false">IF(A253="","",C253-D253)</f>
        <v/>
      </c>
      <c r="F253" s="169" t="str">
        <f aca="false">IF(A253="","",IF(A253=計算_償還回数,0,MAX(0,F252-(ROUND(計算_月額_基本,0)-ROUND(F252*計算_利率/定数_年月数,0)))))</f>
        <v/>
      </c>
      <c r="G253" s="169" t="str">
        <f aca="false">IF(A253="","",IF(A253=計算_償還回数,0,MAX(0,G252-(ROUND(計算_月額_在宅介護,0)-ROUND(G252*計算_利率_在宅介護/定数_年月数,0)))))</f>
        <v/>
      </c>
      <c r="H253" s="169" t="str">
        <f aca="false">IF(A253="","",F253+G253)</f>
        <v/>
      </c>
      <c r="I253" s="168" t="str">
        <f aca="false">IF(A253="","",IF(AND(OR(MONTH(B253)=6,MONTH(B253)=12),I252&lt;計算_賞与回数),I252+1,I252))</f>
        <v/>
      </c>
      <c r="J253" s="169" t="str">
        <f aca="false">IF(A253="","",IF(I253&gt;I252,IF(I253=計算_賞与回数,M252+K253,計算_賞与償還額),0))</f>
        <v/>
      </c>
      <c r="K253" s="169" t="str">
        <f aca="false">IF(A253="","",IF(I253&gt;I252,ROUND(M252*計算_賞与期間利率,0),0))</f>
        <v/>
      </c>
      <c r="L253" s="169" t="str">
        <f aca="false">IF(A253="","",J253-K253)</f>
        <v/>
      </c>
      <c r="M253" s="169" t="str">
        <f aca="false">IF(A253="","",IF(I253&gt;I252,M252-L253,M252))</f>
        <v/>
      </c>
      <c r="N253" s="169" t="str">
        <f aca="false">IF(A253="","",C253+J253)</f>
        <v/>
      </c>
      <c r="O253" s="169" t="str">
        <f aca="false">IF(A253="","",H253+M253)</f>
        <v/>
      </c>
    </row>
    <row r="254" customFormat="false" ht="15" hidden="false" customHeight="false" outlineLevel="0" collapsed="false">
      <c r="A254" s="168" t="str">
        <f aca="false">IF(OR(計算_償還開始="",ROWS($A$8:A254)&gt;計算_償還回数),"",ROWS($A$8:A254))</f>
        <v/>
      </c>
      <c r="B254" s="170" t="str">
        <f aca="false">IF(A254="","",EDATE(計算_償還開始,A254-1))</f>
        <v/>
      </c>
      <c r="C254" s="169" t="str">
        <f aca="false">IF(A254="","",IF(A254=計算_償還回数,D254+F253+G253,計算_毎月償還額))</f>
        <v/>
      </c>
      <c r="D254" s="169" t="str">
        <f aca="false">IF(A254="","",ROUND(F253*計算_利率/定数_年月数,0)+ROUND(G253*計算_利率_在宅介護/定数_年月数,0))</f>
        <v/>
      </c>
      <c r="E254" s="169" t="str">
        <f aca="false">IF(A254="","",C254-D254)</f>
        <v/>
      </c>
      <c r="F254" s="169" t="str">
        <f aca="false">IF(A254="","",IF(A254=計算_償還回数,0,MAX(0,F253-(ROUND(計算_月額_基本,0)-ROUND(F253*計算_利率/定数_年月数,0)))))</f>
        <v/>
      </c>
      <c r="G254" s="169" t="str">
        <f aca="false">IF(A254="","",IF(A254=計算_償還回数,0,MAX(0,G253-(ROUND(計算_月額_在宅介護,0)-ROUND(G253*計算_利率_在宅介護/定数_年月数,0)))))</f>
        <v/>
      </c>
      <c r="H254" s="169" t="str">
        <f aca="false">IF(A254="","",F254+G254)</f>
        <v/>
      </c>
      <c r="I254" s="168" t="str">
        <f aca="false">IF(A254="","",IF(AND(OR(MONTH(B254)=6,MONTH(B254)=12),I253&lt;計算_賞与回数),I253+1,I253))</f>
        <v/>
      </c>
      <c r="J254" s="169" t="str">
        <f aca="false">IF(A254="","",IF(I254&gt;I253,IF(I254=計算_賞与回数,M253+K254,計算_賞与償還額),0))</f>
        <v/>
      </c>
      <c r="K254" s="169" t="str">
        <f aca="false">IF(A254="","",IF(I254&gt;I253,ROUND(M253*計算_賞与期間利率,0),0))</f>
        <v/>
      </c>
      <c r="L254" s="169" t="str">
        <f aca="false">IF(A254="","",J254-K254)</f>
        <v/>
      </c>
      <c r="M254" s="169" t="str">
        <f aca="false">IF(A254="","",IF(I254&gt;I253,M253-L254,M253))</f>
        <v/>
      </c>
      <c r="N254" s="169" t="str">
        <f aca="false">IF(A254="","",C254+J254)</f>
        <v/>
      </c>
      <c r="O254" s="169" t="str">
        <f aca="false">IF(A254="","",H254+M254)</f>
        <v/>
      </c>
    </row>
    <row r="255" customFormat="false" ht="15" hidden="false" customHeight="false" outlineLevel="0" collapsed="false">
      <c r="A255" s="168" t="str">
        <f aca="false">IF(OR(計算_償還開始="",ROWS($A$8:A255)&gt;計算_償還回数),"",ROWS($A$8:A255))</f>
        <v/>
      </c>
      <c r="B255" s="170" t="str">
        <f aca="false">IF(A255="","",EDATE(計算_償還開始,A255-1))</f>
        <v/>
      </c>
      <c r="C255" s="169" t="str">
        <f aca="false">IF(A255="","",IF(A255=計算_償還回数,D255+F254+G254,計算_毎月償還額))</f>
        <v/>
      </c>
      <c r="D255" s="169" t="str">
        <f aca="false">IF(A255="","",ROUND(F254*計算_利率/定数_年月数,0)+ROUND(G254*計算_利率_在宅介護/定数_年月数,0))</f>
        <v/>
      </c>
      <c r="E255" s="169" t="str">
        <f aca="false">IF(A255="","",C255-D255)</f>
        <v/>
      </c>
      <c r="F255" s="169" t="str">
        <f aca="false">IF(A255="","",IF(A255=計算_償還回数,0,MAX(0,F254-(ROUND(計算_月額_基本,0)-ROUND(F254*計算_利率/定数_年月数,0)))))</f>
        <v/>
      </c>
      <c r="G255" s="169" t="str">
        <f aca="false">IF(A255="","",IF(A255=計算_償還回数,0,MAX(0,G254-(ROUND(計算_月額_在宅介護,0)-ROUND(G254*計算_利率_在宅介護/定数_年月数,0)))))</f>
        <v/>
      </c>
      <c r="H255" s="169" t="str">
        <f aca="false">IF(A255="","",F255+G255)</f>
        <v/>
      </c>
      <c r="I255" s="168" t="str">
        <f aca="false">IF(A255="","",IF(AND(OR(MONTH(B255)=6,MONTH(B255)=12),I254&lt;計算_賞与回数),I254+1,I254))</f>
        <v/>
      </c>
      <c r="J255" s="169" t="str">
        <f aca="false">IF(A255="","",IF(I255&gt;I254,IF(I255=計算_賞与回数,M254+K255,計算_賞与償還額),0))</f>
        <v/>
      </c>
      <c r="K255" s="169" t="str">
        <f aca="false">IF(A255="","",IF(I255&gt;I254,ROUND(M254*計算_賞与期間利率,0),0))</f>
        <v/>
      </c>
      <c r="L255" s="169" t="str">
        <f aca="false">IF(A255="","",J255-K255)</f>
        <v/>
      </c>
      <c r="M255" s="169" t="str">
        <f aca="false">IF(A255="","",IF(I255&gt;I254,M254-L255,M254))</f>
        <v/>
      </c>
      <c r="N255" s="169" t="str">
        <f aca="false">IF(A255="","",C255+J255)</f>
        <v/>
      </c>
      <c r="O255" s="169" t="str">
        <f aca="false">IF(A255="","",H255+M255)</f>
        <v/>
      </c>
    </row>
    <row r="256" customFormat="false" ht="15" hidden="false" customHeight="false" outlineLevel="0" collapsed="false">
      <c r="A256" s="168" t="str">
        <f aca="false">IF(OR(計算_償還開始="",ROWS($A$8:A256)&gt;計算_償還回数),"",ROWS($A$8:A256))</f>
        <v/>
      </c>
      <c r="B256" s="170" t="str">
        <f aca="false">IF(A256="","",EDATE(計算_償還開始,A256-1))</f>
        <v/>
      </c>
      <c r="C256" s="169" t="str">
        <f aca="false">IF(A256="","",IF(A256=計算_償還回数,D256+F255+G255,計算_毎月償還額))</f>
        <v/>
      </c>
      <c r="D256" s="169" t="str">
        <f aca="false">IF(A256="","",ROUND(F255*計算_利率/定数_年月数,0)+ROUND(G255*計算_利率_在宅介護/定数_年月数,0))</f>
        <v/>
      </c>
      <c r="E256" s="169" t="str">
        <f aca="false">IF(A256="","",C256-D256)</f>
        <v/>
      </c>
      <c r="F256" s="169" t="str">
        <f aca="false">IF(A256="","",IF(A256=計算_償還回数,0,MAX(0,F255-(ROUND(計算_月額_基本,0)-ROUND(F255*計算_利率/定数_年月数,0)))))</f>
        <v/>
      </c>
      <c r="G256" s="169" t="str">
        <f aca="false">IF(A256="","",IF(A256=計算_償還回数,0,MAX(0,G255-(ROUND(計算_月額_在宅介護,0)-ROUND(G255*計算_利率_在宅介護/定数_年月数,0)))))</f>
        <v/>
      </c>
      <c r="H256" s="169" t="str">
        <f aca="false">IF(A256="","",F256+G256)</f>
        <v/>
      </c>
      <c r="I256" s="168" t="str">
        <f aca="false">IF(A256="","",IF(AND(OR(MONTH(B256)=6,MONTH(B256)=12),I255&lt;計算_賞与回数),I255+1,I255))</f>
        <v/>
      </c>
      <c r="J256" s="169" t="str">
        <f aca="false">IF(A256="","",IF(I256&gt;I255,IF(I256=計算_賞与回数,M255+K256,計算_賞与償還額),0))</f>
        <v/>
      </c>
      <c r="K256" s="169" t="str">
        <f aca="false">IF(A256="","",IF(I256&gt;I255,ROUND(M255*計算_賞与期間利率,0),0))</f>
        <v/>
      </c>
      <c r="L256" s="169" t="str">
        <f aca="false">IF(A256="","",J256-K256)</f>
        <v/>
      </c>
      <c r="M256" s="169" t="str">
        <f aca="false">IF(A256="","",IF(I256&gt;I255,M255-L256,M255))</f>
        <v/>
      </c>
      <c r="N256" s="169" t="str">
        <f aca="false">IF(A256="","",C256+J256)</f>
        <v/>
      </c>
      <c r="O256" s="169" t="str">
        <f aca="false">IF(A256="","",H256+M256)</f>
        <v/>
      </c>
    </row>
    <row r="257" customFormat="false" ht="15" hidden="false" customHeight="false" outlineLevel="0" collapsed="false">
      <c r="A257" s="168" t="str">
        <f aca="false">IF(OR(計算_償還開始="",ROWS($A$8:A257)&gt;計算_償還回数),"",ROWS($A$8:A257))</f>
        <v/>
      </c>
      <c r="B257" s="170" t="str">
        <f aca="false">IF(A257="","",EDATE(計算_償還開始,A257-1))</f>
        <v/>
      </c>
      <c r="C257" s="169" t="str">
        <f aca="false">IF(A257="","",IF(A257=計算_償還回数,D257+F256+G256,計算_毎月償還額))</f>
        <v/>
      </c>
      <c r="D257" s="169" t="str">
        <f aca="false">IF(A257="","",ROUND(F256*計算_利率/定数_年月数,0)+ROUND(G256*計算_利率_在宅介護/定数_年月数,0))</f>
        <v/>
      </c>
      <c r="E257" s="169" t="str">
        <f aca="false">IF(A257="","",C257-D257)</f>
        <v/>
      </c>
      <c r="F257" s="169" t="str">
        <f aca="false">IF(A257="","",IF(A257=計算_償還回数,0,MAX(0,F256-(ROUND(計算_月額_基本,0)-ROUND(F256*計算_利率/定数_年月数,0)))))</f>
        <v/>
      </c>
      <c r="G257" s="169" t="str">
        <f aca="false">IF(A257="","",IF(A257=計算_償還回数,0,MAX(0,G256-(ROUND(計算_月額_在宅介護,0)-ROUND(G256*計算_利率_在宅介護/定数_年月数,0)))))</f>
        <v/>
      </c>
      <c r="H257" s="169" t="str">
        <f aca="false">IF(A257="","",F257+G257)</f>
        <v/>
      </c>
      <c r="I257" s="168" t="str">
        <f aca="false">IF(A257="","",IF(AND(OR(MONTH(B257)=6,MONTH(B257)=12),I256&lt;計算_賞与回数),I256+1,I256))</f>
        <v/>
      </c>
      <c r="J257" s="169" t="str">
        <f aca="false">IF(A257="","",IF(I257&gt;I256,IF(I257=計算_賞与回数,M256+K257,計算_賞与償還額),0))</f>
        <v/>
      </c>
      <c r="K257" s="169" t="str">
        <f aca="false">IF(A257="","",IF(I257&gt;I256,ROUND(M256*計算_賞与期間利率,0),0))</f>
        <v/>
      </c>
      <c r="L257" s="169" t="str">
        <f aca="false">IF(A257="","",J257-K257)</f>
        <v/>
      </c>
      <c r="M257" s="169" t="str">
        <f aca="false">IF(A257="","",IF(I257&gt;I256,M256-L257,M256))</f>
        <v/>
      </c>
      <c r="N257" s="169" t="str">
        <f aca="false">IF(A257="","",C257+J257)</f>
        <v/>
      </c>
      <c r="O257" s="169" t="str">
        <f aca="false">IF(A257="","",H257+M257)</f>
        <v/>
      </c>
    </row>
    <row r="258" customFormat="false" ht="15" hidden="false" customHeight="false" outlineLevel="0" collapsed="false">
      <c r="A258" s="168" t="str">
        <f aca="false">IF(OR(計算_償還開始="",ROWS($A$8:A258)&gt;計算_償還回数),"",ROWS($A$8:A258))</f>
        <v/>
      </c>
      <c r="B258" s="170" t="str">
        <f aca="false">IF(A258="","",EDATE(計算_償還開始,A258-1))</f>
        <v/>
      </c>
      <c r="C258" s="169" t="str">
        <f aca="false">IF(A258="","",IF(A258=計算_償還回数,D258+F257+G257,計算_毎月償還額))</f>
        <v/>
      </c>
      <c r="D258" s="169" t="str">
        <f aca="false">IF(A258="","",ROUND(F257*計算_利率/定数_年月数,0)+ROUND(G257*計算_利率_在宅介護/定数_年月数,0))</f>
        <v/>
      </c>
      <c r="E258" s="169" t="str">
        <f aca="false">IF(A258="","",C258-D258)</f>
        <v/>
      </c>
      <c r="F258" s="169" t="str">
        <f aca="false">IF(A258="","",IF(A258=計算_償還回数,0,MAX(0,F257-(ROUND(計算_月額_基本,0)-ROUND(F257*計算_利率/定数_年月数,0)))))</f>
        <v/>
      </c>
      <c r="G258" s="169" t="str">
        <f aca="false">IF(A258="","",IF(A258=計算_償還回数,0,MAX(0,G257-(ROUND(計算_月額_在宅介護,0)-ROUND(G257*計算_利率_在宅介護/定数_年月数,0)))))</f>
        <v/>
      </c>
      <c r="H258" s="169" t="str">
        <f aca="false">IF(A258="","",F258+G258)</f>
        <v/>
      </c>
      <c r="I258" s="168" t="str">
        <f aca="false">IF(A258="","",IF(AND(OR(MONTH(B258)=6,MONTH(B258)=12),I257&lt;計算_賞与回数),I257+1,I257))</f>
        <v/>
      </c>
      <c r="J258" s="169" t="str">
        <f aca="false">IF(A258="","",IF(I258&gt;I257,IF(I258=計算_賞与回数,M257+K258,計算_賞与償還額),0))</f>
        <v/>
      </c>
      <c r="K258" s="169" t="str">
        <f aca="false">IF(A258="","",IF(I258&gt;I257,ROUND(M257*計算_賞与期間利率,0),0))</f>
        <v/>
      </c>
      <c r="L258" s="169" t="str">
        <f aca="false">IF(A258="","",J258-K258)</f>
        <v/>
      </c>
      <c r="M258" s="169" t="str">
        <f aca="false">IF(A258="","",IF(I258&gt;I257,M257-L258,M257))</f>
        <v/>
      </c>
      <c r="N258" s="169" t="str">
        <f aca="false">IF(A258="","",C258+J258)</f>
        <v/>
      </c>
      <c r="O258" s="169" t="str">
        <f aca="false">IF(A258="","",H258+M258)</f>
        <v/>
      </c>
    </row>
    <row r="259" customFormat="false" ht="15" hidden="false" customHeight="false" outlineLevel="0" collapsed="false">
      <c r="A259" s="168" t="str">
        <f aca="false">IF(OR(計算_償還開始="",ROWS($A$8:A259)&gt;計算_償還回数),"",ROWS($A$8:A259))</f>
        <v/>
      </c>
      <c r="B259" s="170" t="str">
        <f aca="false">IF(A259="","",EDATE(計算_償還開始,A259-1))</f>
        <v/>
      </c>
      <c r="C259" s="169" t="str">
        <f aca="false">IF(A259="","",IF(A259=計算_償還回数,D259+F258+G258,計算_毎月償還額))</f>
        <v/>
      </c>
      <c r="D259" s="169" t="str">
        <f aca="false">IF(A259="","",ROUND(F258*計算_利率/定数_年月数,0)+ROUND(G258*計算_利率_在宅介護/定数_年月数,0))</f>
        <v/>
      </c>
      <c r="E259" s="169" t="str">
        <f aca="false">IF(A259="","",C259-D259)</f>
        <v/>
      </c>
      <c r="F259" s="169" t="str">
        <f aca="false">IF(A259="","",IF(A259=計算_償還回数,0,MAX(0,F258-(ROUND(計算_月額_基本,0)-ROUND(F258*計算_利率/定数_年月数,0)))))</f>
        <v/>
      </c>
      <c r="G259" s="169" t="str">
        <f aca="false">IF(A259="","",IF(A259=計算_償還回数,0,MAX(0,G258-(ROUND(計算_月額_在宅介護,0)-ROUND(G258*計算_利率_在宅介護/定数_年月数,0)))))</f>
        <v/>
      </c>
      <c r="H259" s="169" t="str">
        <f aca="false">IF(A259="","",F259+G259)</f>
        <v/>
      </c>
      <c r="I259" s="168" t="str">
        <f aca="false">IF(A259="","",IF(AND(OR(MONTH(B259)=6,MONTH(B259)=12),I258&lt;計算_賞与回数),I258+1,I258))</f>
        <v/>
      </c>
      <c r="J259" s="169" t="str">
        <f aca="false">IF(A259="","",IF(I259&gt;I258,IF(I259=計算_賞与回数,M258+K259,計算_賞与償還額),0))</f>
        <v/>
      </c>
      <c r="K259" s="169" t="str">
        <f aca="false">IF(A259="","",IF(I259&gt;I258,ROUND(M258*計算_賞与期間利率,0),0))</f>
        <v/>
      </c>
      <c r="L259" s="169" t="str">
        <f aca="false">IF(A259="","",J259-K259)</f>
        <v/>
      </c>
      <c r="M259" s="169" t="str">
        <f aca="false">IF(A259="","",IF(I259&gt;I258,M258-L259,M258))</f>
        <v/>
      </c>
      <c r="N259" s="169" t="str">
        <f aca="false">IF(A259="","",C259+J259)</f>
        <v/>
      </c>
      <c r="O259" s="169" t="str">
        <f aca="false">IF(A259="","",H259+M259)</f>
        <v/>
      </c>
    </row>
    <row r="260" customFormat="false" ht="15" hidden="false" customHeight="false" outlineLevel="0" collapsed="false">
      <c r="A260" s="168" t="str">
        <f aca="false">IF(OR(計算_償還開始="",ROWS($A$8:A260)&gt;計算_償還回数),"",ROWS($A$8:A260))</f>
        <v/>
      </c>
      <c r="B260" s="170" t="str">
        <f aca="false">IF(A260="","",EDATE(計算_償還開始,A260-1))</f>
        <v/>
      </c>
      <c r="C260" s="169" t="str">
        <f aca="false">IF(A260="","",IF(A260=計算_償還回数,D260+F259+G259,計算_毎月償還額))</f>
        <v/>
      </c>
      <c r="D260" s="169" t="str">
        <f aca="false">IF(A260="","",ROUND(F259*計算_利率/定数_年月数,0)+ROUND(G259*計算_利率_在宅介護/定数_年月数,0))</f>
        <v/>
      </c>
      <c r="E260" s="169" t="str">
        <f aca="false">IF(A260="","",C260-D260)</f>
        <v/>
      </c>
      <c r="F260" s="169" t="str">
        <f aca="false">IF(A260="","",IF(A260=計算_償還回数,0,MAX(0,F259-(ROUND(計算_月額_基本,0)-ROUND(F259*計算_利率/定数_年月数,0)))))</f>
        <v/>
      </c>
      <c r="G260" s="169" t="str">
        <f aca="false">IF(A260="","",IF(A260=計算_償還回数,0,MAX(0,G259-(ROUND(計算_月額_在宅介護,0)-ROUND(G259*計算_利率_在宅介護/定数_年月数,0)))))</f>
        <v/>
      </c>
      <c r="H260" s="169" t="str">
        <f aca="false">IF(A260="","",F260+G260)</f>
        <v/>
      </c>
      <c r="I260" s="168" t="str">
        <f aca="false">IF(A260="","",IF(AND(OR(MONTH(B260)=6,MONTH(B260)=12),I259&lt;計算_賞与回数),I259+1,I259))</f>
        <v/>
      </c>
      <c r="J260" s="169" t="str">
        <f aca="false">IF(A260="","",IF(I260&gt;I259,IF(I260=計算_賞与回数,M259+K260,計算_賞与償還額),0))</f>
        <v/>
      </c>
      <c r="K260" s="169" t="str">
        <f aca="false">IF(A260="","",IF(I260&gt;I259,ROUND(M259*計算_賞与期間利率,0),0))</f>
        <v/>
      </c>
      <c r="L260" s="169" t="str">
        <f aca="false">IF(A260="","",J260-K260)</f>
        <v/>
      </c>
      <c r="M260" s="169" t="str">
        <f aca="false">IF(A260="","",IF(I260&gt;I259,M259-L260,M259))</f>
        <v/>
      </c>
      <c r="N260" s="169" t="str">
        <f aca="false">IF(A260="","",C260+J260)</f>
        <v/>
      </c>
      <c r="O260" s="169" t="str">
        <f aca="false">IF(A260="","",H260+M260)</f>
        <v/>
      </c>
    </row>
    <row r="261" customFormat="false" ht="15" hidden="false" customHeight="false" outlineLevel="0" collapsed="false">
      <c r="A261" s="168" t="str">
        <f aca="false">IF(OR(計算_償還開始="",ROWS($A$8:A261)&gt;計算_償還回数),"",ROWS($A$8:A261))</f>
        <v/>
      </c>
      <c r="B261" s="170" t="str">
        <f aca="false">IF(A261="","",EDATE(計算_償還開始,A261-1))</f>
        <v/>
      </c>
      <c r="C261" s="169" t="str">
        <f aca="false">IF(A261="","",IF(A261=計算_償還回数,D261+F260+G260,計算_毎月償還額))</f>
        <v/>
      </c>
      <c r="D261" s="169" t="str">
        <f aca="false">IF(A261="","",ROUND(F260*計算_利率/定数_年月数,0)+ROUND(G260*計算_利率_在宅介護/定数_年月数,0))</f>
        <v/>
      </c>
      <c r="E261" s="169" t="str">
        <f aca="false">IF(A261="","",C261-D261)</f>
        <v/>
      </c>
      <c r="F261" s="169" t="str">
        <f aca="false">IF(A261="","",IF(A261=計算_償還回数,0,MAX(0,F260-(ROUND(計算_月額_基本,0)-ROUND(F260*計算_利率/定数_年月数,0)))))</f>
        <v/>
      </c>
      <c r="G261" s="169" t="str">
        <f aca="false">IF(A261="","",IF(A261=計算_償還回数,0,MAX(0,G260-(ROUND(計算_月額_在宅介護,0)-ROUND(G260*計算_利率_在宅介護/定数_年月数,0)))))</f>
        <v/>
      </c>
      <c r="H261" s="169" t="str">
        <f aca="false">IF(A261="","",F261+G261)</f>
        <v/>
      </c>
      <c r="I261" s="168" t="str">
        <f aca="false">IF(A261="","",IF(AND(OR(MONTH(B261)=6,MONTH(B261)=12),I260&lt;計算_賞与回数),I260+1,I260))</f>
        <v/>
      </c>
      <c r="J261" s="169" t="str">
        <f aca="false">IF(A261="","",IF(I261&gt;I260,IF(I261=計算_賞与回数,M260+K261,計算_賞与償還額),0))</f>
        <v/>
      </c>
      <c r="K261" s="169" t="str">
        <f aca="false">IF(A261="","",IF(I261&gt;I260,ROUND(M260*計算_賞与期間利率,0),0))</f>
        <v/>
      </c>
      <c r="L261" s="169" t="str">
        <f aca="false">IF(A261="","",J261-K261)</f>
        <v/>
      </c>
      <c r="M261" s="169" t="str">
        <f aca="false">IF(A261="","",IF(I261&gt;I260,M260-L261,M260))</f>
        <v/>
      </c>
      <c r="N261" s="169" t="str">
        <f aca="false">IF(A261="","",C261+J261)</f>
        <v/>
      </c>
      <c r="O261" s="169" t="str">
        <f aca="false">IF(A261="","",H261+M261)</f>
        <v/>
      </c>
    </row>
    <row r="262" customFormat="false" ht="15" hidden="false" customHeight="false" outlineLevel="0" collapsed="false">
      <c r="A262" s="168" t="str">
        <f aca="false">IF(OR(計算_償還開始="",ROWS($A$8:A262)&gt;計算_償還回数),"",ROWS($A$8:A262))</f>
        <v/>
      </c>
      <c r="B262" s="170" t="str">
        <f aca="false">IF(A262="","",EDATE(計算_償還開始,A262-1))</f>
        <v/>
      </c>
      <c r="C262" s="169" t="str">
        <f aca="false">IF(A262="","",IF(A262=計算_償還回数,D262+F261+G261,計算_毎月償還額))</f>
        <v/>
      </c>
      <c r="D262" s="169" t="str">
        <f aca="false">IF(A262="","",ROUND(F261*計算_利率/定数_年月数,0)+ROUND(G261*計算_利率_在宅介護/定数_年月数,0))</f>
        <v/>
      </c>
      <c r="E262" s="169" t="str">
        <f aca="false">IF(A262="","",C262-D262)</f>
        <v/>
      </c>
      <c r="F262" s="169" t="str">
        <f aca="false">IF(A262="","",IF(A262=計算_償還回数,0,MAX(0,F261-(ROUND(計算_月額_基本,0)-ROUND(F261*計算_利率/定数_年月数,0)))))</f>
        <v/>
      </c>
      <c r="G262" s="169" t="str">
        <f aca="false">IF(A262="","",IF(A262=計算_償還回数,0,MAX(0,G261-(ROUND(計算_月額_在宅介護,0)-ROUND(G261*計算_利率_在宅介護/定数_年月数,0)))))</f>
        <v/>
      </c>
      <c r="H262" s="169" t="str">
        <f aca="false">IF(A262="","",F262+G262)</f>
        <v/>
      </c>
      <c r="I262" s="168" t="str">
        <f aca="false">IF(A262="","",IF(AND(OR(MONTH(B262)=6,MONTH(B262)=12),I261&lt;計算_賞与回数),I261+1,I261))</f>
        <v/>
      </c>
      <c r="J262" s="169" t="str">
        <f aca="false">IF(A262="","",IF(I262&gt;I261,IF(I262=計算_賞与回数,M261+K262,計算_賞与償還額),0))</f>
        <v/>
      </c>
      <c r="K262" s="169" t="str">
        <f aca="false">IF(A262="","",IF(I262&gt;I261,ROUND(M261*計算_賞与期間利率,0),0))</f>
        <v/>
      </c>
      <c r="L262" s="169" t="str">
        <f aca="false">IF(A262="","",J262-K262)</f>
        <v/>
      </c>
      <c r="M262" s="169" t="str">
        <f aca="false">IF(A262="","",IF(I262&gt;I261,M261-L262,M261))</f>
        <v/>
      </c>
      <c r="N262" s="169" t="str">
        <f aca="false">IF(A262="","",C262+J262)</f>
        <v/>
      </c>
      <c r="O262" s="169" t="str">
        <f aca="false">IF(A262="","",H262+M262)</f>
        <v/>
      </c>
    </row>
    <row r="263" customFormat="false" ht="15" hidden="false" customHeight="false" outlineLevel="0" collapsed="false">
      <c r="A263" s="168" t="str">
        <f aca="false">IF(OR(計算_償還開始="",ROWS($A$8:A263)&gt;計算_償還回数),"",ROWS($A$8:A263))</f>
        <v/>
      </c>
      <c r="B263" s="170" t="str">
        <f aca="false">IF(A263="","",EDATE(計算_償還開始,A263-1))</f>
        <v/>
      </c>
      <c r="C263" s="169" t="str">
        <f aca="false">IF(A263="","",IF(A263=計算_償還回数,D263+F262+G262,計算_毎月償還額))</f>
        <v/>
      </c>
      <c r="D263" s="169" t="str">
        <f aca="false">IF(A263="","",ROUND(F262*計算_利率/定数_年月数,0)+ROUND(G262*計算_利率_在宅介護/定数_年月数,0))</f>
        <v/>
      </c>
      <c r="E263" s="169" t="str">
        <f aca="false">IF(A263="","",C263-D263)</f>
        <v/>
      </c>
      <c r="F263" s="169" t="str">
        <f aca="false">IF(A263="","",IF(A263=計算_償還回数,0,MAX(0,F262-(ROUND(計算_月額_基本,0)-ROUND(F262*計算_利率/定数_年月数,0)))))</f>
        <v/>
      </c>
      <c r="G263" s="169" t="str">
        <f aca="false">IF(A263="","",IF(A263=計算_償還回数,0,MAX(0,G262-(ROUND(計算_月額_在宅介護,0)-ROUND(G262*計算_利率_在宅介護/定数_年月数,0)))))</f>
        <v/>
      </c>
      <c r="H263" s="169" t="str">
        <f aca="false">IF(A263="","",F263+G263)</f>
        <v/>
      </c>
      <c r="I263" s="168" t="str">
        <f aca="false">IF(A263="","",IF(AND(OR(MONTH(B263)=6,MONTH(B263)=12),I262&lt;計算_賞与回数),I262+1,I262))</f>
        <v/>
      </c>
      <c r="J263" s="169" t="str">
        <f aca="false">IF(A263="","",IF(I263&gt;I262,IF(I263=計算_賞与回数,M262+K263,計算_賞与償還額),0))</f>
        <v/>
      </c>
      <c r="K263" s="169" t="str">
        <f aca="false">IF(A263="","",IF(I263&gt;I262,ROUND(M262*計算_賞与期間利率,0),0))</f>
        <v/>
      </c>
      <c r="L263" s="169" t="str">
        <f aca="false">IF(A263="","",J263-K263)</f>
        <v/>
      </c>
      <c r="M263" s="169" t="str">
        <f aca="false">IF(A263="","",IF(I263&gt;I262,M262-L263,M262))</f>
        <v/>
      </c>
      <c r="N263" s="169" t="str">
        <f aca="false">IF(A263="","",C263+J263)</f>
        <v/>
      </c>
      <c r="O263" s="169" t="str">
        <f aca="false">IF(A263="","",H263+M263)</f>
        <v/>
      </c>
    </row>
    <row r="264" customFormat="false" ht="15" hidden="false" customHeight="false" outlineLevel="0" collapsed="false">
      <c r="A264" s="168" t="str">
        <f aca="false">IF(OR(計算_償還開始="",ROWS($A$8:A264)&gt;計算_償還回数),"",ROWS($A$8:A264))</f>
        <v/>
      </c>
      <c r="B264" s="170" t="str">
        <f aca="false">IF(A264="","",EDATE(計算_償還開始,A264-1))</f>
        <v/>
      </c>
      <c r="C264" s="169" t="str">
        <f aca="false">IF(A264="","",IF(A264=計算_償還回数,D264+F263+G263,計算_毎月償還額))</f>
        <v/>
      </c>
      <c r="D264" s="169" t="str">
        <f aca="false">IF(A264="","",ROUND(F263*計算_利率/定数_年月数,0)+ROUND(G263*計算_利率_在宅介護/定数_年月数,0))</f>
        <v/>
      </c>
      <c r="E264" s="169" t="str">
        <f aca="false">IF(A264="","",C264-D264)</f>
        <v/>
      </c>
      <c r="F264" s="169" t="str">
        <f aca="false">IF(A264="","",IF(A264=計算_償還回数,0,MAX(0,F263-(ROUND(計算_月額_基本,0)-ROUND(F263*計算_利率/定数_年月数,0)))))</f>
        <v/>
      </c>
      <c r="G264" s="169" t="str">
        <f aca="false">IF(A264="","",IF(A264=計算_償還回数,0,MAX(0,G263-(ROUND(計算_月額_在宅介護,0)-ROUND(G263*計算_利率_在宅介護/定数_年月数,0)))))</f>
        <v/>
      </c>
      <c r="H264" s="169" t="str">
        <f aca="false">IF(A264="","",F264+G264)</f>
        <v/>
      </c>
      <c r="I264" s="168" t="str">
        <f aca="false">IF(A264="","",IF(AND(OR(MONTH(B264)=6,MONTH(B264)=12),I263&lt;計算_賞与回数),I263+1,I263))</f>
        <v/>
      </c>
      <c r="J264" s="169" t="str">
        <f aca="false">IF(A264="","",IF(I264&gt;I263,IF(I264=計算_賞与回数,M263+K264,計算_賞与償還額),0))</f>
        <v/>
      </c>
      <c r="K264" s="169" t="str">
        <f aca="false">IF(A264="","",IF(I264&gt;I263,ROUND(M263*計算_賞与期間利率,0),0))</f>
        <v/>
      </c>
      <c r="L264" s="169" t="str">
        <f aca="false">IF(A264="","",J264-K264)</f>
        <v/>
      </c>
      <c r="M264" s="169" t="str">
        <f aca="false">IF(A264="","",IF(I264&gt;I263,M263-L264,M263))</f>
        <v/>
      </c>
      <c r="N264" s="169" t="str">
        <f aca="false">IF(A264="","",C264+J264)</f>
        <v/>
      </c>
      <c r="O264" s="169" t="str">
        <f aca="false">IF(A264="","",H264+M264)</f>
        <v/>
      </c>
    </row>
    <row r="265" customFormat="false" ht="15" hidden="false" customHeight="false" outlineLevel="0" collapsed="false">
      <c r="A265" s="168" t="str">
        <f aca="false">IF(OR(計算_償還開始="",ROWS($A$8:A265)&gt;計算_償還回数),"",ROWS($A$8:A265))</f>
        <v/>
      </c>
      <c r="B265" s="170" t="str">
        <f aca="false">IF(A265="","",EDATE(計算_償還開始,A265-1))</f>
        <v/>
      </c>
      <c r="C265" s="169" t="str">
        <f aca="false">IF(A265="","",IF(A265=計算_償還回数,D265+F264+G264,計算_毎月償還額))</f>
        <v/>
      </c>
      <c r="D265" s="169" t="str">
        <f aca="false">IF(A265="","",ROUND(F264*計算_利率/定数_年月数,0)+ROUND(G264*計算_利率_在宅介護/定数_年月数,0))</f>
        <v/>
      </c>
      <c r="E265" s="169" t="str">
        <f aca="false">IF(A265="","",C265-D265)</f>
        <v/>
      </c>
      <c r="F265" s="169" t="str">
        <f aca="false">IF(A265="","",IF(A265=計算_償還回数,0,MAX(0,F264-(ROUND(計算_月額_基本,0)-ROUND(F264*計算_利率/定数_年月数,0)))))</f>
        <v/>
      </c>
      <c r="G265" s="169" t="str">
        <f aca="false">IF(A265="","",IF(A265=計算_償還回数,0,MAX(0,G264-(ROUND(計算_月額_在宅介護,0)-ROUND(G264*計算_利率_在宅介護/定数_年月数,0)))))</f>
        <v/>
      </c>
      <c r="H265" s="169" t="str">
        <f aca="false">IF(A265="","",F265+G265)</f>
        <v/>
      </c>
      <c r="I265" s="168" t="str">
        <f aca="false">IF(A265="","",IF(AND(OR(MONTH(B265)=6,MONTH(B265)=12),I264&lt;計算_賞与回数),I264+1,I264))</f>
        <v/>
      </c>
      <c r="J265" s="169" t="str">
        <f aca="false">IF(A265="","",IF(I265&gt;I264,IF(I265=計算_賞与回数,M264+K265,計算_賞与償還額),0))</f>
        <v/>
      </c>
      <c r="K265" s="169" t="str">
        <f aca="false">IF(A265="","",IF(I265&gt;I264,ROUND(M264*計算_賞与期間利率,0),0))</f>
        <v/>
      </c>
      <c r="L265" s="169" t="str">
        <f aca="false">IF(A265="","",J265-K265)</f>
        <v/>
      </c>
      <c r="M265" s="169" t="str">
        <f aca="false">IF(A265="","",IF(I265&gt;I264,M264-L265,M264))</f>
        <v/>
      </c>
      <c r="N265" s="169" t="str">
        <f aca="false">IF(A265="","",C265+J265)</f>
        <v/>
      </c>
      <c r="O265" s="169" t="str">
        <f aca="false">IF(A265="","",H265+M265)</f>
        <v/>
      </c>
    </row>
    <row r="266" customFormat="false" ht="15" hidden="false" customHeight="false" outlineLevel="0" collapsed="false">
      <c r="A266" s="168" t="str">
        <f aca="false">IF(OR(計算_償還開始="",ROWS($A$8:A266)&gt;計算_償還回数),"",ROWS($A$8:A266))</f>
        <v/>
      </c>
      <c r="B266" s="170" t="str">
        <f aca="false">IF(A266="","",EDATE(計算_償還開始,A266-1))</f>
        <v/>
      </c>
      <c r="C266" s="169" t="str">
        <f aca="false">IF(A266="","",IF(A266=計算_償還回数,D266+F265+G265,計算_毎月償還額))</f>
        <v/>
      </c>
      <c r="D266" s="169" t="str">
        <f aca="false">IF(A266="","",ROUND(F265*計算_利率/定数_年月数,0)+ROUND(G265*計算_利率_在宅介護/定数_年月数,0))</f>
        <v/>
      </c>
      <c r="E266" s="169" t="str">
        <f aca="false">IF(A266="","",C266-D266)</f>
        <v/>
      </c>
      <c r="F266" s="169" t="str">
        <f aca="false">IF(A266="","",IF(A266=計算_償還回数,0,MAX(0,F265-(ROUND(計算_月額_基本,0)-ROUND(F265*計算_利率/定数_年月数,0)))))</f>
        <v/>
      </c>
      <c r="G266" s="169" t="str">
        <f aca="false">IF(A266="","",IF(A266=計算_償還回数,0,MAX(0,G265-(ROUND(計算_月額_在宅介護,0)-ROUND(G265*計算_利率_在宅介護/定数_年月数,0)))))</f>
        <v/>
      </c>
      <c r="H266" s="169" t="str">
        <f aca="false">IF(A266="","",F266+G266)</f>
        <v/>
      </c>
      <c r="I266" s="168" t="str">
        <f aca="false">IF(A266="","",IF(AND(OR(MONTH(B266)=6,MONTH(B266)=12),I265&lt;計算_賞与回数),I265+1,I265))</f>
        <v/>
      </c>
      <c r="J266" s="169" t="str">
        <f aca="false">IF(A266="","",IF(I266&gt;I265,IF(I266=計算_賞与回数,M265+K266,計算_賞与償還額),0))</f>
        <v/>
      </c>
      <c r="K266" s="169" t="str">
        <f aca="false">IF(A266="","",IF(I266&gt;I265,ROUND(M265*計算_賞与期間利率,0),0))</f>
        <v/>
      </c>
      <c r="L266" s="169" t="str">
        <f aca="false">IF(A266="","",J266-K266)</f>
        <v/>
      </c>
      <c r="M266" s="169" t="str">
        <f aca="false">IF(A266="","",IF(I266&gt;I265,M265-L266,M265))</f>
        <v/>
      </c>
      <c r="N266" s="169" t="str">
        <f aca="false">IF(A266="","",C266+J266)</f>
        <v/>
      </c>
      <c r="O266" s="169" t="str">
        <f aca="false">IF(A266="","",H266+M266)</f>
        <v/>
      </c>
    </row>
    <row r="267" customFormat="false" ht="15" hidden="false" customHeight="false" outlineLevel="0" collapsed="false">
      <c r="A267" s="168" t="str">
        <f aca="false">IF(OR(計算_償還開始="",ROWS($A$8:A267)&gt;計算_償還回数),"",ROWS($A$8:A267))</f>
        <v/>
      </c>
      <c r="B267" s="170" t="str">
        <f aca="false">IF(A267="","",EDATE(計算_償還開始,A267-1))</f>
        <v/>
      </c>
      <c r="C267" s="169" t="str">
        <f aca="false">IF(A267="","",IF(A267=計算_償還回数,D267+F266+G266,計算_毎月償還額))</f>
        <v/>
      </c>
      <c r="D267" s="169" t="str">
        <f aca="false">IF(A267="","",ROUND(F266*計算_利率/定数_年月数,0)+ROUND(G266*計算_利率_在宅介護/定数_年月数,0))</f>
        <v/>
      </c>
      <c r="E267" s="169" t="str">
        <f aca="false">IF(A267="","",C267-D267)</f>
        <v/>
      </c>
      <c r="F267" s="169" t="str">
        <f aca="false">IF(A267="","",IF(A267=計算_償還回数,0,MAX(0,F266-(ROUND(計算_月額_基本,0)-ROUND(F266*計算_利率/定数_年月数,0)))))</f>
        <v/>
      </c>
      <c r="G267" s="169" t="str">
        <f aca="false">IF(A267="","",IF(A267=計算_償還回数,0,MAX(0,G266-(ROUND(計算_月額_在宅介護,0)-ROUND(G266*計算_利率_在宅介護/定数_年月数,0)))))</f>
        <v/>
      </c>
      <c r="H267" s="169" t="str">
        <f aca="false">IF(A267="","",F267+G267)</f>
        <v/>
      </c>
      <c r="I267" s="168" t="str">
        <f aca="false">IF(A267="","",IF(AND(OR(MONTH(B267)=6,MONTH(B267)=12),I266&lt;計算_賞与回数),I266+1,I266))</f>
        <v/>
      </c>
      <c r="J267" s="169" t="str">
        <f aca="false">IF(A267="","",IF(I267&gt;I266,IF(I267=計算_賞与回数,M266+K267,計算_賞与償還額),0))</f>
        <v/>
      </c>
      <c r="K267" s="169" t="str">
        <f aca="false">IF(A267="","",IF(I267&gt;I266,ROUND(M266*計算_賞与期間利率,0),0))</f>
        <v/>
      </c>
      <c r="L267" s="169" t="str">
        <f aca="false">IF(A267="","",J267-K267)</f>
        <v/>
      </c>
      <c r="M267" s="169" t="str">
        <f aca="false">IF(A267="","",IF(I267&gt;I266,M266-L267,M266))</f>
        <v/>
      </c>
      <c r="N267" s="169" t="str">
        <f aca="false">IF(A267="","",C267+J267)</f>
        <v/>
      </c>
      <c r="O267" s="169" t="str">
        <f aca="false">IF(A267="","",H267+M267)</f>
        <v/>
      </c>
    </row>
    <row r="268" customFormat="false" ht="15" hidden="false" customHeight="false" outlineLevel="0" collapsed="false">
      <c r="A268" s="168" t="str">
        <f aca="false">IF(OR(計算_償還開始="",ROWS($A$8:A268)&gt;計算_償還回数),"",ROWS($A$8:A268))</f>
        <v/>
      </c>
      <c r="B268" s="170" t="str">
        <f aca="false">IF(A268="","",EDATE(計算_償還開始,A268-1))</f>
        <v/>
      </c>
      <c r="C268" s="169" t="str">
        <f aca="false">IF(A268="","",IF(A268=計算_償還回数,D268+F267+G267,計算_毎月償還額))</f>
        <v/>
      </c>
      <c r="D268" s="169" t="str">
        <f aca="false">IF(A268="","",ROUND(F267*計算_利率/定数_年月数,0)+ROUND(G267*計算_利率_在宅介護/定数_年月数,0))</f>
        <v/>
      </c>
      <c r="E268" s="169" t="str">
        <f aca="false">IF(A268="","",C268-D268)</f>
        <v/>
      </c>
      <c r="F268" s="169" t="str">
        <f aca="false">IF(A268="","",IF(A268=計算_償還回数,0,MAX(0,F267-(ROUND(計算_月額_基本,0)-ROUND(F267*計算_利率/定数_年月数,0)))))</f>
        <v/>
      </c>
      <c r="G268" s="169" t="str">
        <f aca="false">IF(A268="","",IF(A268=計算_償還回数,0,MAX(0,G267-(ROUND(計算_月額_在宅介護,0)-ROUND(G267*計算_利率_在宅介護/定数_年月数,0)))))</f>
        <v/>
      </c>
      <c r="H268" s="169" t="str">
        <f aca="false">IF(A268="","",F268+G268)</f>
        <v/>
      </c>
      <c r="I268" s="168" t="str">
        <f aca="false">IF(A268="","",IF(AND(OR(MONTH(B268)=6,MONTH(B268)=12),I267&lt;計算_賞与回数),I267+1,I267))</f>
        <v/>
      </c>
      <c r="J268" s="169" t="str">
        <f aca="false">IF(A268="","",IF(I268&gt;I267,IF(I268=計算_賞与回数,M267+K268,計算_賞与償還額),0))</f>
        <v/>
      </c>
      <c r="K268" s="169" t="str">
        <f aca="false">IF(A268="","",IF(I268&gt;I267,ROUND(M267*計算_賞与期間利率,0),0))</f>
        <v/>
      </c>
      <c r="L268" s="169" t="str">
        <f aca="false">IF(A268="","",J268-K268)</f>
        <v/>
      </c>
      <c r="M268" s="169" t="str">
        <f aca="false">IF(A268="","",IF(I268&gt;I267,M267-L268,M267))</f>
        <v/>
      </c>
      <c r="N268" s="169" t="str">
        <f aca="false">IF(A268="","",C268+J268)</f>
        <v/>
      </c>
      <c r="O268" s="169" t="str">
        <f aca="false">IF(A268="","",H268+M268)</f>
        <v/>
      </c>
    </row>
    <row r="269" customFormat="false" ht="15" hidden="false" customHeight="false" outlineLevel="0" collapsed="false">
      <c r="A269" s="168" t="str">
        <f aca="false">IF(OR(計算_償還開始="",ROWS($A$8:A269)&gt;計算_償還回数),"",ROWS($A$8:A269))</f>
        <v/>
      </c>
      <c r="B269" s="170" t="str">
        <f aca="false">IF(A269="","",EDATE(計算_償還開始,A269-1))</f>
        <v/>
      </c>
      <c r="C269" s="169" t="str">
        <f aca="false">IF(A269="","",IF(A269=計算_償還回数,D269+F268+G268,計算_毎月償還額))</f>
        <v/>
      </c>
      <c r="D269" s="169" t="str">
        <f aca="false">IF(A269="","",ROUND(F268*計算_利率/定数_年月数,0)+ROUND(G268*計算_利率_在宅介護/定数_年月数,0))</f>
        <v/>
      </c>
      <c r="E269" s="169" t="str">
        <f aca="false">IF(A269="","",C269-D269)</f>
        <v/>
      </c>
      <c r="F269" s="169" t="str">
        <f aca="false">IF(A269="","",IF(A269=計算_償還回数,0,MAX(0,F268-(ROUND(計算_月額_基本,0)-ROUND(F268*計算_利率/定数_年月数,0)))))</f>
        <v/>
      </c>
      <c r="G269" s="169" t="str">
        <f aca="false">IF(A269="","",IF(A269=計算_償還回数,0,MAX(0,G268-(ROUND(計算_月額_在宅介護,0)-ROUND(G268*計算_利率_在宅介護/定数_年月数,0)))))</f>
        <v/>
      </c>
      <c r="H269" s="169" t="str">
        <f aca="false">IF(A269="","",F269+G269)</f>
        <v/>
      </c>
      <c r="I269" s="168" t="str">
        <f aca="false">IF(A269="","",IF(AND(OR(MONTH(B269)=6,MONTH(B269)=12),I268&lt;計算_賞与回数),I268+1,I268))</f>
        <v/>
      </c>
      <c r="J269" s="169" t="str">
        <f aca="false">IF(A269="","",IF(I269&gt;I268,IF(I269=計算_賞与回数,M268+K269,計算_賞与償還額),0))</f>
        <v/>
      </c>
      <c r="K269" s="169" t="str">
        <f aca="false">IF(A269="","",IF(I269&gt;I268,ROUND(M268*計算_賞与期間利率,0),0))</f>
        <v/>
      </c>
      <c r="L269" s="169" t="str">
        <f aca="false">IF(A269="","",J269-K269)</f>
        <v/>
      </c>
      <c r="M269" s="169" t="str">
        <f aca="false">IF(A269="","",IF(I269&gt;I268,M268-L269,M268))</f>
        <v/>
      </c>
      <c r="N269" s="169" t="str">
        <f aca="false">IF(A269="","",C269+J269)</f>
        <v/>
      </c>
      <c r="O269" s="169" t="str">
        <f aca="false">IF(A269="","",H269+M269)</f>
        <v/>
      </c>
    </row>
    <row r="270" customFormat="false" ht="15" hidden="false" customHeight="false" outlineLevel="0" collapsed="false">
      <c r="A270" s="168" t="str">
        <f aca="false">IF(OR(計算_償還開始="",ROWS($A$8:A270)&gt;計算_償還回数),"",ROWS($A$8:A270))</f>
        <v/>
      </c>
      <c r="B270" s="170" t="str">
        <f aca="false">IF(A270="","",EDATE(計算_償還開始,A270-1))</f>
        <v/>
      </c>
      <c r="C270" s="169" t="str">
        <f aca="false">IF(A270="","",IF(A270=計算_償還回数,D270+F269+G269,計算_毎月償還額))</f>
        <v/>
      </c>
      <c r="D270" s="169" t="str">
        <f aca="false">IF(A270="","",ROUND(F269*計算_利率/定数_年月数,0)+ROUND(G269*計算_利率_在宅介護/定数_年月数,0))</f>
        <v/>
      </c>
      <c r="E270" s="169" t="str">
        <f aca="false">IF(A270="","",C270-D270)</f>
        <v/>
      </c>
      <c r="F270" s="169" t="str">
        <f aca="false">IF(A270="","",IF(A270=計算_償還回数,0,MAX(0,F269-(ROUND(計算_月額_基本,0)-ROUND(F269*計算_利率/定数_年月数,0)))))</f>
        <v/>
      </c>
      <c r="G270" s="169" t="str">
        <f aca="false">IF(A270="","",IF(A270=計算_償還回数,0,MAX(0,G269-(ROUND(計算_月額_在宅介護,0)-ROUND(G269*計算_利率_在宅介護/定数_年月数,0)))))</f>
        <v/>
      </c>
      <c r="H270" s="169" t="str">
        <f aca="false">IF(A270="","",F270+G270)</f>
        <v/>
      </c>
      <c r="I270" s="168" t="str">
        <f aca="false">IF(A270="","",IF(AND(OR(MONTH(B270)=6,MONTH(B270)=12),I269&lt;計算_賞与回数),I269+1,I269))</f>
        <v/>
      </c>
      <c r="J270" s="169" t="str">
        <f aca="false">IF(A270="","",IF(I270&gt;I269,IF(I270=計算_賞与回数,M269+K270,計算_賞与償還額),0))</f>
        <v/>
      </c>
      <c r="K270" s="169" t="str">
        <f aca="false">IF(A270="","",IF(I270&gt;I269,ROUND(M269*計算_賞与期間利率,0),0))</f>
        <v/>
      </c>
      <c r="L270" s="169" t="str">
        <f aca="false">IF(A270="","",J270-K270)</f>
        <v/>
      </c>
      <c r="M270" s="169" t="str">
        <f aca="false">IF(A270="","",IF(I270&gt;I269,M269-L270,M269))</f>
        <v/>
      </c>
      <c r="N270" s="169" t="str">
        <f aca="false">IF(A270="","",C270+J270)</f>
        <v/>
      </c>
      <c r="O270" s="169" t="str">
        <f aca="false">IF(A270="","",H270+M270)</f>
        <v/>
      </c>
    </row>
    <row r="271" customFormat="false" ht="15" hidden="false" customHeight="false" outlineLevel="0" collapsed="false">
      <c r="A271" s="168" t="str">
        <f aca="false">IF(OR(計算_償還開始="",ROWS($A$8:A271)&gt;計算_償還回数),"",ROWS($A$8:A271))</f>
        <v/>
      </c>
      <c r="B271" s="170" t="str">
        <f aca="false">IF(A271="","",EDATE(計算_償還開始,A271-1))</f>
        <v/>
      </c>
      <c r="C271" s="169" t="str">
        <f aca="false">IF(A271="","",IF(A271=計算_償還回数,D271+F270+G270,計算_毎月償還額))</f>
        <v/>
      </c>
      <c r="D271" s="169" t="str">
        <f aca="false">IF(A271="","",ROUND(F270*計算_利率/定数_年月数,0)+ROUND(G270*計算_利率_在宅介護/定数_年月数,0))</f>
        <v/>
      </c>
      <c r="E271" s="169" t="str">
        <f aca="false">IF(A271="","",C271-D271)</f>
        <v/>
      </c>
      <c r="F271" s="169" t="str">
        <f aca="false">IF(A271="","",IF(A271=計算_償還回数,0,MAX(0,F270-(ROUND(計算_月額_基本,0)-ROUND(F270*計算_利率/定数_年月数,0)))))</f>
        <v/>
      </c>
      <c r="G271" s="169" t="str">
        <f aca="false">IF(A271="","",IF(A271=計算_償還回数,0,MAX(0,G270-(ROUND(計算_月額_在宅介護,0)-ROUND(G270*計算_利率_在宅介護/定数_年月数,0)))))</f>
        <v/>
      </c>
      <c r="H271" s="169" t="str">
        <f aca="false">IF(A271="","",F271+G271)</f>
        <v/>
      </c>
      <c r="I271" s="168" t="str">
        <f aca="false">IF(A271="","",IF(AND(OR(MONTH(B271)=6,MONTH(B271)=12),I270&lt;計算_賞与回数),I270+1,I270))</f>
        <v/>
      </c>
      <c r="J271" s="169" t="str">
        <f aca="false">IF(A271="","",IF(I271&gt;I270,IF(I271=計算_賞与回数,M270+K271,計算_賞与償還額),0))</f>
        <v/>
      </c>
      <c r="K271" s="169" t="str">
        <f aca="false">IF(A271="","",IF(I271&gt;I270,ROUND(M270*計算_賞与期間利率,0),0))</f>
        <v/>
      </c>
      <c r="L271" s="169" t="str">
        <f aca="false">IF(A271="","",J271-K271)</f>
        <v/>
      </c>
      <c r="M271" s="169" t="str">
        <f aca="false">IF(A271="","",IF(I271&gt;I270,M270-L271,M270))</f>
        <v/>
      </c>
      <c r="N271" s="169" t="str">
        <f aca="false">IF(A271="","",C271+J271)</f>
        <v/>
      </c>
      <c r="O271" s="169" t="str">
        <f aca="false">IF(A271="","",H271+M271)</f>
        <v/>
      </c>
    </row>
    <row r="272" customFormat="false" ht="15" hidden="false" customHeight="false" outlineLevel="0" collapsed="false">
      <c r="A272" s="168" t="str">
        <f aca="false">IF(OR(計算_償還開始="",ROWS($A$8:A272)&gt;計算_償還回数),"",ROWS($A$8:A272))</f>
        <v/>
      </c>
      <c r="B272" s="170" t="str">
        <f aca="false">IF(A272="","",EDATE(計算_償還開始,A272-1))</f>
        <v/>
      </c>
      <c r="C272" s="169" t="str">
        <f aca="false">IF(A272="","",IF(A272=計算_償還回数,D272+F271+G271,計算_毎月償還額))</f>
        <v/>
      </c>
      <c r="D272" s="169" t="str">
        <f aca="false">IF(A272="","",ROUND(F271*計算_利率/定数_年月数,0)+ROUND(G271*計算_利率_在宅介護/定数_年月数,0))</f>
        <v/>
      </c>
      <c r="E272" s="169" t="str">
        <f aca="false">IF(A272="","",C272-D272)</f>
        <v/>
      </c>
      <c r="F272" s="169" t="str">
        <f aca="false">IF(A272="","",IF(A272=計算_償還回数,0,MAX(0,F271-(ROUND(計算_月額_基本,0)-ROUND(F271*計算_利率/定数_年月数,0)))))</f>
        <v/>
      </c>
      <c r="G272" s="169" t="str">
        <f aca="false">IF(A272="","",IF(A272=計算_償還回数,0,MAX(0,G271-(ROUND(計算_月額_在宅介護,0)-ROUND(G271*計算_利率_在宅介護/定数_年月数,0)))))</f>
        <v/>
      </c>
      <c r="H272" s="169" t="str">
        <f aca="false">IF(A272="","",F272+G272)</f>
        <v/>
      </c>
      <c r="I272" s="168" t="str">
        <f aca="false">IF(A272="","",IF(AND(OR(MONTH(B272)=6,MONTH(B272)=12),I271&lt;計算_賞与回数),I271+1,I271))</f>
        <v/>
      </c>
      <c r="J272" s="169" t="str">
        <f aca="false">IF(A272="","",IF(I272&gt;I271,IF(I272=計算_賞与回数,M271+K272,計算_賞与償還額),0))</f>
        <v/>
      </c>
      <c r="K272" s="169" t="str">
        <f aca="false">IF(A272="","",IF(I272&gt;I271,ROUND(M271*計算_賞与期間利率,0),0))</f>
        <v/>
      </c>
      <c r="L272" s="169" t="str">
        <f aca="false">IF(A272="","",J272-K272)</f>
        <v/>
      </c>
      <c r="M272" s="169" t="str">
        <f aca="false">IF(A272="","",IF(I272&gt;I271,M271-L272,M271))</f>
        <v/>
      </c>
      <c r="N272" s="169" t="str">
        <f aca="false">IF(A272="","",C272+J272)</f>
        <v/>
      </c>
      <c r="O272" s="169" t="str">
        <f aca="false">IF(A272="","",H272+M272)</f>
        <v/>
      </c>
    </row>
    <row r="273" customFormat="false" ht="15" hidden="false" customHeight="false" outlineLevel="0" collapsed="false">
      <c r="A273" s="168" t="str">
        <f aca="false">IF(OR(計算_償還開始="",ROWS($A$8:A273)&gt;計算_償還回数),"",ROWS($A$8:A273))</f>
        <v/>
      </c>
      <c r="B273" s="170" t="str">
        <f aca="false">IF(A273="","",EDATE(計算_償還開始,A273-1))</f>
        <v/>
      </c>
      <c r="C273" s="169" t="str">
        <f aca="false">IF(A273="","",IF(A273=計算_償還回数,D273+F272+G272,計算_毎月償還額))</f>
        <v/>
      </c>
      <c r="D273" s="169" t="str">
        <f aca="false">IF(A273="","",ROUND(F272*計算_利率/定数_年月数,0)+ROUND(G272*計算_利率_在宅介護/定数_年月数,0))</f>
        <v/>
      </c>
      <c r="E273" s="169" t="str">
        <f aca="false">IF(A273="","",C273-D273)</f>
        <v/>
      </c>
      <c r="F273" s="169" t="str">
        <f aca="false">IF(A273="","",IF(A273=計算_償還回数,0,MAX(0,F272-(ROUND(計算_月額_基本,0)-ROUND(F272*計算_利率/定数_年月数,0)))))</f>
        <v/>
      </c>
      <c r="G273" s="169" t="str">
        <f aca="false">IF(A273="","",IF(A273=計算_償還回数,0,MAX(0,G272-(ROUND(計算_月額_在宅介護,0)-ROUND(G272*計算_利率_在宅介護/定数_年月数,0)))))</f>
        <v/>
      </c>
      <c r="H273" s="169" t="str">
        <f aca="false">IF(A273="","",F273+G273)</f>
        <v/>
      </c>
      <c r="I273" s="168" t="str">
        <f aca="false">IF(A273="","",IF(AND(OR(MONTH(B273)=6,MONTH(B273)=12),I272&lt;計算_賞与回数),I272+1,I272))</f>
        <v/>
      </c>
      <c r="J273" s="169" t="str">
        <f aca="false">IF(A273="","",IF(I273&gt;I272,IF(I273=計算_賞与回数,M272+K273,計算_賞与償還額),0))</f>
        <v/>
      </c>
      <c r="K273" s="169" t="str">
        <f aca="false">IF(A273="","",IF(I273&gt;I272,ROUND(M272*計算_賞与期間利率,0),0))</f>
        <v/>
      </c>
      <c r="L273" s="169" t="str">
        <f aca="false">IF(A273="","",J273-K273)</f>
        <v/>
      </c>
      <c r="M273" s="169" t="str">
        <f aca="false">IF(A273="","",IF(I273&gt;I272,M272-L273,M272))</f>
        <v/>
      </c>
      <c r="N273" s="169" t="str">
        <f aca="false">IF(A273="","",C273+J273)</f>
        <v/>
      </c>
      <c r="O273" s="169" t="str">
        <f aca="false">IF(A273="","",H273+M273)</f>
        <v/>
      </c>
    </row>
    <row r="274" customFormat="false" ht="15" hidden="false" customHeight="false" outlineLevel="0" collapsed="false">
      <c r="A274" s="168" t="str">
        <f aca="false">IF(OR(計算_償還開始="",ROWS($A$8:A274)&gt;計算_償還回数),"",ROWS($A$8:A274))</f>
        <v/>
      </c>
      <c r="B274" s="170" t="str">
        <f aca="false">IF(A274="","",EDATE(計算_償還開始,A274-1))</f>
        <v/>
      </c>
      <c r="C274" s="169" t="str">
        <f aca="false">IF(A274="","",IF(A274=計算_償還回数,D274+F273+G273,計算_毎月償還額))</f>
        <v/>
      </c>
      <c r="D274" s="169" t="str">
        <f aca="false">IF(A274="","",ROUND(F273*計算_利率/定数_年月数,0)+ROUND(G273*計算_利率_在宅介護/定数_年月数,0))</f>
        <v/>
      </c>
      <c r="E274" s="169" t="str">
        <f aca="false">IF(A274="","",C274-D274)</f>
        <v/>
      </c>
      <c r="F274" s="169" t="str">
        <f aca="false">IF(A274="","",IF(A274=計算_償還回数,0,MAX(0,F273-(ROUND(計算_月額_基本,0)-ROUND(F273*計算_利率/定数_年月数,0)))))</f>
        <v/>
      </c>
      <c r="G274" s="169" t="str">
        <f aca="false">IF(A274="","",IF(A274=計算_償還回数,0,MAX(0,G273-(ROUND(計算_月額_在宅介護,0)-ROUND(G273*計算_利率_在宅介護/定数_年月数,0)))))</f>
        <v/>
      </c>
      <c r="H274" s="169" t="str">
        <f aca="false">IF(A274="","",F274+G274)</f>
        <v/>
      </c>
      <c r="I274" s="168" t="str">
        <f aca="false">IF(A274="","",IF(AND(OR(MONTH(B274)=6,MONTH(B274)=12),I273&lt;計算_賞与回数),I273+1,I273))</f>
        <v/>
      </c>
      <c r="J274" s="169" t="str">
        <f aca="false">IF(A274="","",IF(I274&gt;I273,IF(I274=計算_賞与回数,M273+K274,計算_賞与償還額),0))</f>
        <v/>
      </c>
      <c r="K274" s="169" t="str">
        <f aca="false">IF(A274="","",IF(I274&gt;I273,ROUND(M273*計算_賞与期間利率,0),0))</f>
        <v/>
      </c>
      <c r="L274" s="169" t="str">
        <f aca="false">IF(A274="","",J274-K274)</f>
        <v/>
      </c>
      <c r="M274" s="169" t="str">
        <f aca="false">IF(A274="","",IF(I274&gt;I273,M273-L274,M273))</f>
        <v/>
      </c>
      <c r="N274" s="169" t="str">
        <f aca="false">IF(A274="","",C274+J274)</f>
        <v/>
      </c>
      <c r="O274" s="169" t="str">
        <f aca="false">IF(A274="","",H274+M274)</f>
        <v/>
      </c>
    </row>
    <row r="275" customFormat="false" ht="15" hidden="false" customHeight="false" outlineLevel="0" collapsed="false">
      <c r="A275" s="168" t="str">
        <f aca="false">IF(OR(計算_償還開始="",ROWS($A$8:A275)&gt;計算_償還回数),"",ROWS($A$8:A275))</f>
        <v/>
      </c>
      <c r="B275" s="170" t="str">
        <f aca="false">IF(A275="","",EDATE(計算_償還開始,A275-1))</f>
        <v/>
      </c>
      <c r="C275" s="169" t="str">
        <f aca="false">IF(A275="","",IF(A275=計算_償還回数,D275+F274+G274,計算_毎月償還額))</f>
        <v/>
      </c>
      <c r="D275" s="169" t="str">
        <f aca="false">IF(A275="","",ROUND(F274*計算_利率/定数_年月数,0)+ROUND(G274*計算_利率_在宅介護/定数_年月数,0))</f>
        <v/>
      </c>
      <c r="E275" s="169" t="str">
        <f aca="false">IF(A275="","",C275-D275)</f>
        <v/>
      </c>
      <c r="F275" s="169" t="str">
        <f aca="false">IF(A275="","",IF(A275=計算_償還回数,0,MAX(0,F274-(ROUND(計算_月額_基本,0)-ROUND(F274*計算_利率/定数_年月数,0)))))</f>
        <v/>
      </c>
      <c r="G275" s="169" t="str">
        <f aca="false">IF(A275="","",IF(A275=計算_償還回数,0,MAX(0,G274-(ROUND(計算_月額_在宅介護,0)-ROUND(G274*計算_利率_在宅介護/定数_年月数,0)))))</f>
        <v/>
      </c>
      <c r="H275" s="169" t="str">
        <f aca="false">IF(A275="","",F275+G275)</f>
        <v/>
      </c>
      <c r="I275" s="168" t="str">
        <f aca="false">IF(A275="","",IF(AND(OR(MONTH(B275)=6,MONTH(B275)=12),I274&lt;計算_賞与回数),I274+1,I274))</f>
        <v/>
      </c>
      <c r="J275" s="169" t="str">
        <f aca="false">IF(A275="","",IF(I275&gt;I274,IF(I275=計算_賞与回数,M274+K275,計算_賞与償還額),0))</f>
        <v/>
      </c>
      <c r="K275" s="169" t="str">
        <f aca="false">IF(A275="","",IF(I275&gt;I274,ROUND(M274*計算_賞与期間利率,0),0))</f>
        <v/>
      </c>
      <c r="L275" s="169" t="str">
        <f aca="false">IF(A275="","",J275-K275)</f>
        <v/>
      </c>
      <c r="M275" s="169" t="str">
        <f aca="false">IF(A275="","",IF(I275&gt;I274,M274-L275,M274))</f>
        <v/>
      </c>
      <c r="N275" s="169" t="str">
        <f aca="false">IF(A275="","",C275+J275)</f>
        <v/>
      </c>
      <c r="O275" s="169" t="str">
        <f aca="false">IF(A275="","",H275+M275)</f>
        <v/>
      </c>
    </row>
    <row r="276" customFormat="false" ht="15" hidden="false" customHeight="false" outlineLevel="0" collapsed="false">
      <c r="A276" s="168" t="str">
        <f aca="false">IF(OR(計算_償還開始="",ROWS($A$8:A276)&gt;計算_償還回数),"",ROWS($A$8:A276))</f>
        <v/>
      </c>
      <c r="B276" s="170" t="str">
        <f aca="false">IF(A276="","",EDATE(計算_償還開始,A276-1))</f>
        <v/>
      </c>
      <c r="C276" s="169" t="str">
        <f aca="false">IF(A276="","",IF(A276=計算_償還回数,D276+F275+G275,計算_毎月償還額))</f>
        <v/>
      </c>
      <c r="D276" s="169" t="str">
        <f aca="false">IF(A276="","",ROUND(F275*計算_利率/定数_年月数,0)+ROUND(G275*計算_利率_在宅介護/定数_年月数,0))</f>
        <v/>
      </c>
      <c r="E276" s="169" t="str">
        <f aca="false">IF(A276="","",C276-D276)</f>
        <v/>
      </c>
      <c r="F276" s="169" t="str">
        <f aca="false">IF(A276="","",IF(A276=計算_償還回数,0,MAX(0,F275-(ROUND(計算_月額_基本,0)-ROUND(F275*計算_利率/定数_年月数,0)))))</f>
        <v/>
      </c>
      <c r="G276" s="169" t="str">
        <f aca="false">IF(A276="","",IF(A276=計算_償還回数,0,MAX(0,G275-(ROUND(計算_月額_在宅介護,0)-ROUND(G275*計算_利率_在宅介護/定数_年月数,0)))))</f>
        <v/>
      </c>
      <c r="H276" s="169" t="str">
        <f aca="false">IF(A276="","",F276+G276)</f>
        <v/>
      </c>
      <c r="I276" s="168" t="str">
        <f aca="false">IF(A276="","",IF(AND(OR(MONTH(B276)=6,MONTH(B276)=12),I275&lt;計算_賞与回数),I275+1,I275))</f>
        <v/>
      </c>
      <c r="J276" s="169" t="str">
        <f aca="false">IF(A276="","",IF(I276&gt;I275,IF(I276=計算_賞与回数,M275+K276,計算_賞与償還額),0))</f>
        <v/>
      </c>
      <c r="K276" s="169" t="str">
        <f aca="false">IF(A276="","",IF(I276&gt;I275,ROUND(M275*計算_賞与期間利率,0),0))</f>
        <v/>
      </c>
      <c r="L276" s="169" t="str">
        <f aca="false">IF(A276="","",J276-K276)</f>
        <v/>
      </c>
      <c r="M276" s="169" t="str">
        <f aca="false">IF(A276="","",IF(I276&gt;I275,M275-L276,M275))</f>
        <v/>
      </c>
      <c r="N276" s="169" t="str">
        <f aca="false">IF(A276="","",C276+J276)</f>
        <v/>
      </c>
      <c r="O276" s="169" t="str">
        <f aca="false">IF(A276="","",H276+M276)</f>
        <v/>
      </c>
    </row>
    <row r="277" customFormat="false" ht="15" hidden="false" customHeight="false" outlineLevel="0" collapsed="false">
      <c r="A277" s="168" t="str">
        <f aca="false">IF(OR(計算_償還開始="",ROWS($A$8:A277)&gt;計算_償還回数),"",ROWS($A$8:A277))</f>
        <v/>
      </c>
      <c r="B277" s="170" t="str">
        <f aca="false">IF(A277="","",EDATE(計算_償還開始,A277-1))</f>
        <v/>
      </c>
      <c r="C277" s="169" t="str">
        <f aca="false">IF(A277="","",IF(A277=計算_償還回数,D277+F276+G276,計算_毎月償還額))</f>
        <v/>
      </c>
      <c r="D277" s="169" t="str">
        <f aca="false">IF(A277="","",ROUND(F276*計算_利率/定数_年月数,0)+ROUND(G276*計算_利率_在宅介護/定数_年月数,0))</f>
        <v/>
      </c>
      <c r="E277" s="169" t="str">
        <f aca="false">IF(A277="","",C277-D277)</f>
        <v/>
      </c>
      <c r="F277" s="169" t="str">
        <f aca="false">IF(A277="","",IF(A277=計算_償還回数,0,MAX(0,F276-(ROUND(計算_月額_基本,0)-ROUND(F276*計算_利率/定数_年月数,0)))))</f>
        <v/>
      </c>
      <c r="G277" s="169" t="str">
        <f aca="false">IF(A277="","",IF(A277=計算_償還回数,0,MAX(0,G276-(ROUND(計算_月額_在宅介護,0)-ROUND(G276*計算_利率_在宅介護/定数_年月数,0)))))</f>
        <v/>
      </c>
      <c r="H277" s="169" t="str">
        <f aca="false">IF(A277="","",F277+G277)</f>
        <v/>
      </c>
      <c r="I277" s="168" t="str">
        <f aca="false">IF(A277="","",IF(AND(OR(MONTH(B277)=6,MONTH(B277)=12),I276&lt;計算_賞与回数),I276+1,I276))</f>
        <v/>
      </c>
      <c r="J277" s="169" t="str">
        <f aca="false">IF(A277="","",IF(I277&gt;I276,IF(I277=計算_賞与回数,M276+K277,計算_賞与償還額),0))</f>
        <v/>
      </c>
      <c r="K277" s="169" t="str">
        <f aca="false">IF(A277="","",IF(I277&gt;I276,ROUND(M276*計算_賞与期間利率,0),0))</f>
        <v/>
      </c>
      <c r="L277" s="169" t="str">
        <f aca="false">IF(A277="","",J277-K277)</f>
        <v/>
      </c>
      <c r="M277" s="169" t="str">
        <f aca="false">IF(A277="","",IF(I277&gt;I276,M276-L277,M276))</f>
        <v/>
      </c>
      <c r="N277" s="169" t="str">
        <f aca="false">IF(A277="","",C277+J277)</f>
        <v/>
      </c>
      <c r="O277" s="169" t="str">
        <f aca="false">IF(A277="","",H277+M277)</f>
        <v/>
      </c>
    </row>
    <row r="278" customFormat="false" ht="15" hidden="false" customHeight="false" outlineLevel="0" collapsed="false">
      <c r="A278" s="168" t="str">
        <f aca="false">IF(OR(計算_償還開始="",ROWS($A$8:A278)&gt;計算_償還回数),"",ROWS($A$8:A278))</f>
        <v/>
      </c>
      <c r="B278" s="170" t="str">
        <f aca="false">IF(A278="","",EDATE(計算_償還開始,A278-1))</f>
        <v/>
      </c>
      <c r="C278" s="169" t="str">
        <f aca="false">IF(A278="","",IF(A278=計算_償還回数,D278+F277+G277,計算_毎月償還額))</f>
        <v/>
      </c>
      <c r="D278" s="169" t="str">
        <f aca="false">IF(A278="","",ROUND(F277*計算_利率/定数_年月数,0)+ROUND(G277*計算_利率_在宅介護/定数_年月数,0))</f>
        <v/>
      </c>
      <c r="E278" s="169" t="str">
        <f aca="false">IF(A278="","",C278-D278)</f>
        <v/>
      </c>
      <c r="F278" s="169" t="str">
        <f aca="false">IF(A278="","",IF(A278=計算_償還回数,0,MAX(0,F277-(ROUND(計算_月額_基本,0)-ROUND(F277*計算_利率/定数_年月数,0)))))</f>
        <v/>
      </c>
      <c r="G278" s="169" t="str">
        <f aca="false">IF(A278="","",IF(A278=計算_償還回数,0,MAX(0,G277-(ROUND(計算_月額_在宅介護,0)-ROUND(G277*計算_利率_在宅介護/定数_年月数,0)))))</f>
        <v/>
      </c>
      <c r="H278" s="169" t="str">
        <f aca="false">IF(A278="","",F278+G278)</f>
        <v/>
      </c>
      <c r="I278" s="168" t="str">
        <f aca="false">IF(A278="","",IF(AND(OR(MONTH(B278)=6,MONTH(B278)=12),I277&lt;計算_賞与回数),I277+1,I277))</f>
        <v/>
      </c>
      <c r="J278" s="169" t="str">
        <f aca="false">IF(A278="","",IF(I278&gt;I277,IF(I278=計算_賞与回数,M277+K278,計算_賞与償還額),0))</f>
        <v/>
      </c>
      <c r="K278" s="169" t="str">
        <f aca="false">IF(A278="","",IF(I278&gt;I277,ROUND(M277*計算_賞与期間利率,0),0))</f>
        <v/>
      </c>
      <c r="L278" s="169" t="str">
        <f aca="false">IF(A278="","",J278-K278)</f>
        <v/>
      </c>
      <c r="M278" s="169" t="str">
        <f aca="false">IF(A278="","",IF(I278&gt;I277,M277-L278,M277))</f>
        <v/>
      </c>
      <c r="N278" s="169" t="str">
        <f aca="false">IF(A278="","",C278+J278)</f>
        <v/>
      </c>
      <c r="O278" s="169" t="str">
        <f aca="false">IF(A278="","",H278+M278)</f>
        <v/>
      </c>
    </row>
    <row r="279" customFormat="false" ht="15" hidden="false" customHeight="false" outlineLevel="0" collapsed="false">
      <c r="A279" s="168" t="str">
        <f aca="false">IF(OR(計算_償還開始="",ROWS($A$8:A279)&gt;計算_償還回数),"",ROWS($A$8:A279))</f>
        <v/>
      </c>
      <c r="B279" s="170" t="str">
        <f aca="false">IF(A279="","",EDATE(計算_償還開始,A279-1))</f>
        <v/>
      </c>
      <c r="C279" s="169" t="str">
        <f aca="false">IF(A279="","",IF(A279=計算_償還回数,D279+F278+G278,計算_毎月償還額))</f>
        <v/>
      </c>
      <c r="D279" s="169" t="str">
        <f aca="false">IF(A279="","",ROUND(F278*計算_利率/定数_年月数,0)+ROUND(G278*計算_利率_在宅介護/定数_年月数,0))</f>
        <v/>
      </c>
      <c r="E279" s="169" t="str">
        <f aca="false">IF(A279="","",C279-D279)</f>
        <v/>
      </c>
      <c r="F279" s="169" t="str">
        <f aca="false">IF(A279="","",IF(A279=計算_償還回数,0,MAX(0,F278-(ROUND(計算_月額_基本,0)-ROUND(F278*計算_利率/定数_年月数,0)))))</f>
        <v/>
      </c>
      <c r="G279" s="169" t="str">
        <f aca="false">IF(A279="","",IF(A279=計算_償還回数,0,MAX(0,G278-(ROUND(計算_月額_在宅介護,0)-ROUND(G278*計算_利率_在宅介護/定数_年月数,0)))))</f>
        <v/>
      </c>
      <c r="H279" s="169" t="str">
        <f aca="false">IF(A279="","",F279+G279)</f>
        <v/>
      </c>
      <c r="I279" s="168" t="str">
        <f aca="false">IF(A279="","",IF(AND(OR(MONTH(B279)=6,MONTH(B279)=12),I278&lt;計算_賞与回数),I278+1,I278))</f>
        <v/>
      </c>
      <c r="J279" s="169" t="str">
        <f aca="false">IF(A279="","",IF(I279&gt;I278,IF(I279=計算_賞与回数,M278+K279,計算_賞与償還額),0))</f>
        <v/>
      </c>
      <c r="K279" s="169" t="str">
        <f aca="false">IF(A279="","",IF(I279&gt;I278,ROUND(M278*計算_賞与期間利率,0),0))</f>
        <v/>
      </c>
      <c r="L279" s="169" t="str">
        <f aca="false">IF(A279="","",J279-K279)</f>
        <v/>
      </c>
      <c r="M279" s="169" t="str">
        <f aca="false">IF(A279="","",IF(I279&gt;I278,M278-L279,M278))</f>
        <v/>
      </c>
      <c r="N279" s="169" t="str">
        <f aca="false">IF(A279="","",C279+J279)</f>
        <v/>
      </c>
      <c r="O279" s="169" t="str">
        <f aca="false">IF(A279="","",H279+M279)</f>
        <v/>
      </c>
    </row>
    <row r="280" customFormat="false" ht="15" hidden="false" customHeight="false" outlineLevel="0" collapsed="false">
      <c r="A280" s="168" t="str">
        <f aca="false">IF(OR(計算_償還開始="",ROWS($A$8:A280)&gt;計算_償還回数),"",ROWS($A$8:A280))</f>
        <v/>
      </c>
      <c r="B280" s="170" t="str">
        <f aca="false">IF(A280="","",EDATE(計算_償還開始,A280-1))</f>
        <v/>
      </c>
      <c r="C280" s="169" t="str">
        <f aca="false">IF(A280="","",IF(A280=計算_償還回数,D280+F279+G279,計算_毎月償還額))</f>
        <v/>
      </c>
      <c r="D280" s="169" t="str">
        <f aca="false">IF(A280="","",ROUND(F279*計算_利率/定数_年月数,0)+ROUND(G279*計算_利率_在宅介護/定数_年月数,0))</f>
        <v/>
      </c>
      <c r="E280" s="169" t="str">
        <f aca="false">IF(A280="","",C280-D280)</f>
        <v/>
      </c>
      <c r="F280" s="169" t="str">
        <f aca="false">IF(A280="","",IF(A280=計算_償還回数,0,MAX(0,F279-(ROUND(計算_月額_基本,0)-ROUND(F279*計算_利率/定数_年月数,0)))))</f>
        <v/>
      </c>
      <c r="G280" s="169" t="str">
        <f aca="false">IF(A280="","",IF(A280=計算_償還回数,0,MAX(0,G279-(ROUND(計算_月額_在宅介護,0)-ROUND(G279*計算_利率_在宅介護/定数_年月数,0)))))</f>
        <v/>
      </c>
      <c r="H280" s="169" t="str">
        <f aca="false">IF(A280="","",F280+G280)</f>
        <v/>
      </c>
      <c r="I280" s="168" t="str">
        <f aca="false">IF(A280="","",IF(AND(OR(MONTH(B280)=6,MONTH(B280)=12),I279&lt;計算_賞与回数),I279+1,I279))</f>
        <v/>
      </c>
      <c r="J280" s="169" t="str">
        <f aca="false">IF(A280="","",IF(I280&gt;I279,IF(I280=計算_賞与回数,M279+K280,計算_賞与償還額),0))</f>
        <v/>
      </c>
      <c r="K280" s="169" t="str">
        <f aca="false">IF(A280="","",IF(I280&gt;I279,ROUND(M279*計算_賞与期間利率,0),0))</f>
        <v/>
      </c>
      <c r="L280" s="169" t="str">
        <f aca="false">IF(A280="","",J280-K280)</f>
        <v/>
      </c>
      <c r="M280" s="169" t="str">
        <f aca="false">IF(A280="","",IF(I280&gt;I279,M279-L280,M279))</f>
        <v/>
      </c>
      <c r="N280" s="169" t="str">
        <f aca="false">IF(A280="","",C280+J280)</f>
        <v/>
      </c>
      <c r="O280" s="169" t="str">
        <f aca="false">IF(A280="","",H280+M280)</f>
        <v/>
      </c>
    </row>
    <row r="281" customFormat="false" ht="15" hidden="false" customHeight="false" outlineLevel="0" collapsed="false">
      <c r="A281" s="168" t="str">
        <f aca="false">IF(OR(計算_償還開始="",ROWS($A$8:A281)&gt;計算_償還回数),"",ROWS($A$8:A281))</f>
        <v/>
      </c>
      <c r="B281" s="170" t="str">
        <f aca="false">IF(A281="","",EDATE(計算_償還開始,A281-1))</f>
        <v/>
      </c>
      <c r="C281" s="169" t="str">
        <f aca="false">IF(A281="","",IF(A281=計算_償還回数,D281+F280+G280,計算_毎月償還額))</f>
        <v/>
      </c>
      <c r="D281" s="169" t="str">
        <f aca="false">IF(A281="","",ROUND(F280*計算_利率/定数_年月数,0)+ROUND(G280*計算_利率_在宅介護/定数_年月数,0))</f>
        <v/>
      </c>
      <c r="E281" s="169" t="str">
        <f aca="false">IF(A281="","",C281-D281)</f>
        <v/>
      </c>
      <c r="F281" s="169" t="str">
        <f aca="false">IF(A281="","",IF(A281=計算_償還回数,0,MAX(0,F280-(ROUND(計算_月額_基本,0)-ROUND(F280*計算_利率/定数_年月数,0)))))</f>
        <v/>
      </c>
      <c r="G281" s="169" t="str">
        <f aca="false">IF(A281="","",IF(A281=計算_償還回数,0,MAX(0,G280-(ROUND(計算_月額_在宅介護,0)-ROUND(G280*計算_利率_在宅介護/定数_年月数,0)))))</f>
        <v/>
      </c>
      <c r="H281" s="169" t="str">
        <f aca="false">IF(A281="","",F281+G281)</f>
        <v/>
      </c>
      <c r="I281" s="168" t="str">
        <f aca="false">IF(A281="","",IF(AND(OR(MONTH(B281)=6,MONTH(B281)=12),I280&lt;計算_賞与回数),I280+1,I280))</f>
        <v/>
      </c>
      <c r="J281" s="169" t="str">
        <f aca="false">IF(A281="","",IF(I281&gt;I280,IF(I281=計算_賞与回数,M280+K281,計算_賞与償還額),0))</f>
        <v/>
      </c>
      <c r="K281" s="169" t="str">
        <f aca="false">IF(A281="","",IF(I281&gt;I280,ROUND(M280*計算_賞与期間利率,0),0))</f>
        <v/>
      </c>
      <c r="L281" s="169" t="str">
        <f aca="false">IF(A281="","",J281-K281)</f>
        <v/>
      </c>
      <c r="M281" s="169" t="str">
        <f aca="false">IF(A281="","",IF(I281&gt;I280,M280-L281,M280))</f>
        <v/>
      </c>
      <c r="N281" s="169" t="str">
        <f aca="false">IF(A281="","",C281+J281)</f>
        <v/>
      </c>
      <c r="O281" s="169" t="str">
        <f aca="false">IF(A281="","",H281+M281)</f>
        <v/>
      </c>
    </row>
    <row r="282" customFormat="false" ht="15" hidden="false" customHeight="false" outlineLevel="0" collapsed="false">
      <c r="A282" s="168" t="str">
        <f aca="false">IF(OR(計算_償還開始="",ROWS($A$8:A282)&gt;計算_償還回数),"",ROWS($A$8:A282))</f>
        <v/>
      </c>
      <c r="B282" s="170" t="str">
        <f aca="false">IF(A282="","",EDATE(計算_償還開始,A282-1))</f>
        <v/>
      </c>
      <c r="C282" s="169" t="str">
        <f aca="false">IF(A282="","",IF(A282=計算_償還回数,D282+F281+G281,計算_毎月償還額))</f>
        <v/>
      </c>
      <c r="D282" s="169" t="str">
        <f aca="false">IF(A282="","",ROUND(F281*計算_利率/定数_年月数,0)+ROUND(G281*計算_利率_在宅介護/定数_年月数,0))</f>
        <v/>
      </c>
      <c r="E282" s="169" t="str">
        <f aca="false">IF(A282="","",C282-D282)</f>
        <v/>
      </c>
      <c r="F282" s="169" t="str">
        <f aca="false">IF(A282="","",IF(A282=計算_償還回数,0,MAX(0,F281-(ROUND(計算_月額_基本,0)-ROUND(F281*計算_利率/定数_年月数,0)))))</f>
        <v/>
      </c>
      <c r="G282" s="169" t="str">
        <f aca="false">IF(A282="","",IF(A282=計算_償還回数,0,MAX(0,G281-(ROUND(計算_月額_在宅介護,0)-ROUND(G281*計算_利率_在宅介護/定数_年月数,0)))))</f>
        <v/>
      </c>
      <c r="H282" s="169" t="str">
        <f aca="false">IF(A282="","",F282+G282)</f>
        <v/>
      </c>
      <c r="I282" s="168" t="str">
        <f aca="false">IF(A282="","",IF(AND(OR(MONTH(B282)=6,MONTH(B282)=12),I281&lt;計算_賞与回数),I281+1,I281))</f>
        <v/>
      </c>
      <c r="J282" s="169" t="str">
        <f aca="false">IF(A282="","",IF(I282&gt;I281,IF(I282=計算_賞与回数,M281+K282,計算_賞与償還額),0))</f>
        <v/>
      </c>
      <c r="K282" s="169" t="str">
        <f aca="false">IF(A282="","",IF(I282&gt;I281,ROUND(M281*計算_賞与期間利率,0),0))</f>
        <v/>
      </c>
      <c r="L282" s="169" t="str">
        <f aca="false">IF(A282="","",J282-K282)</f>
        <v/>
      </c>
      <c r="M282" s="169" t="str">
        <f aca="false">IF(A282="","",IF(I282&gt;I281,M281-L282,M281))</f>
        <v/>
      </c>
      <c r="N282" s="169" t="str">
        <f aca="false">IF(A282="","",C282+J282)</f>
        <v/>
      </c>
      <c r="O282" s="169" t="str">
        <f aca="false">IF(A282="","",H282+M282)</f>
        <v/>
      </c>
    </row>
    <row r="283" customFormat="false" ht="15" hidden="false" customHeight="false" outlineLevel="0" collapsed="false">
      <c r="A283" s="168" t="str">
        <f aca="false">IF(OR(計算_償還開始="",ROWS($A$8:A283)&gt;計算_償還回数),"",ROWS($A$8:A283))</f>
        <v/>
      </c>
      <c r="B283" s="170" t="str">
        <f aca="false">IF(A283="","",EDATE(計算_償還開始,A283-1))</f>
        <v/>
      </c>
      <c r="C283" s="169" t="str">
        <f aca="false">IF(A283="","",IF(A283=計算_償還回数,D283+F282+G282,計算_毎月償還額))</f>
        <v/>
      </c>
      <c r="D283" s="169" t="str">
        <f aca="false">IF(A283="","",ROUND(F282*計算_利率/定数_年月数,0)+ROUND(G282*計算_利率_在宅介護/定数_年月数,0))</f>
        <v/>
      </c>
      <c r="E283" s="169" t="str">
        <f aca="false">IF(A283="","",C283-D283)</f>
        <v/>
      </c>
      <c r="F283" s="169" t="str">
        <f aca="false">IF(A283="","",IF(A283=計算_償還回数,0,MAX(0,F282-(ROUND(計算_月額_基本,0)-ROUND(F282*計算_利率/定数_年月数,0)))))</f>
        <v/>
      </c>
      <c r="G283" s="169" t="str">
        <f aca="false">IF(A283="","",IF(A283=計算_償還回数,0,MAX(0,G282-(ROUND(計算_月額_在宅介護,0)-ROUND(G282*計算_利率_在宅介護/定数_年月数,0)))))</f>
        <v/>
      </c>
      <c r="H283" s="169" t="str">
        <f aca="false">IF(A283="","",F283+G283)</f>
        <v/>
      </c>
      <c r="I283" s="168" t="str">
        <f aca="false">IF(A283="","",IF(AND(OR(MONTH(B283)=6,MONTH(B283)=12),I282&lt;計算_賞与回数),I282+1,I282))</f>
        <v/>
      </c>
      <c r="J283" s="169" t="str">
        <f aca="false">IF(A283="","",IF(I283&gt;I282,IF(I283=計算_賞与回数,M282+K283,計算_賞与償還額),0))</f>
        <v/>
      </c>
      <c r="K283" s="169" t="str">
        <f aca="false">IF(A283="","",IF(I283&gt;I282,ROUND(M282*計算_賞与期間利率,0),0))</f>
        <v/>
      </c>
      <c r="L283" s="169" t="str">
        <f aca="false">IF(A283="","",J283-K283)</f>
        <v/>
      </c>
      <c r="M283" s="169" t="str">
        <f aca="false">IF(A283="","",IF(I283&gt;I282,M282-L283,M282))</f>
        <v/>
      </c>
      <c r="N283" s="169" t="str">
        <f aca="false">IF(A283="","",C283+J283)</f>
        <v/>
      </c>
      <c r="O283" s="169" t="str">
        <f aca="false">IF(A283="","",H283+M283)</f>
        <v/>
      </c>
    </row>
    <row r="284" customFormat="false" ht="15" hidden="false" customHeight="false" outlineLevel="0" collapsed="false">
      <c r="A284" s="168" t="str">
        <f aca="false">IF(OR(計算_償還開始="",ROWS($A$8:A284)&gt;計算_償還回数),"",ROWS($A$8:A284))</f>
        <v/>
      </c>
      <c r="B284" s="170" t="str">
        <f aca="false">IF(A284="","",EDATE(計算_償還開始,A284-1))</f>
        <v/>
      </c>
      <c r="C284" s="169" t="str">
        <f aca="false">IF(A284="","",IF(A284=計算_償還回数,D284+F283+G283,計算_毎月償還額))</f>
        <v/>
      </c>
      <c r="D284" s="169" t="str">
        <f aca="false">IF(A284="","",ROUND(F283*計算_利率/定数_年月数,0)+ROUND(G283*計算_利率_在宅介護/定数_年月数,0))</f>
        <v/>
      </c>
      <c r="E284" s="169" t="str">
        <f aca="false">IF(A284="","",C284-D284)</f>
        <v/>
      </c>
      <c r="F284" s="169" t="str">
        <f aca="false">IF(A284="","",IF(A284=計算_償還回数,0,MAX(0,F283-(ROUND(計算_月額_基本,0)-ROUND(F283*計算_利率/定数_年月数,0)))))</f>
        <v/>
      </c>
      <c r="G284" s="169" t="str">
        <f aca="false">IF(A284="","",IF(A284=計算_償還回数,0,MAX(0,G283-(ROUND(計算_月額_在宅介護,0)-ROUND(G283*計算_利率_在宅介護/定数_年月数,0)))))</f>
        <v/>
      </c>
      <c r="H284" s="169" t="str">
        <f aca="false">IF(A284="","",F284+G284)</f>
        <v/>
      </c>
      <c r="I284" s="168" t="str">
        <f aca="false">IF(A284="","",IF(AND(OR(MONTH(B284)=6,MONTH(B284)=12),I283&lt;計算_賞与回数),I283+1,I283))</f>
        <v/>
      </c>
      <c r="J284" s="169" t="str">
        <f aca="false">IF(A284="","",IF(I284&gt;I283,IF(I284=計算_賞与回数,M283+K284,計算_賞与償還額),0))</f>
        <v/>
      </c>
      <c r="K284" s="169" t="str">
        <f aca="false">IF(A284="","",IF(I284&gt;I283,ROUND(M283*計算_賞与期間利率,0),0))</f>
        <v/>
      </c>
      <c r="L284" s="169" t="str">
        <f aca="false">IF(A284="","",J284-K284)</f>
        <v/>
      </c>
      <c r="M284" s="169" t="str">
        <f aca="false">IF(A284="","",IF(I284&gt;I283,M283-L284,M283))</f>
        <v/>
      </c>
      <c r="N284" s="169" t="str">
        <f aca="false">IF(A284="","",C284+J284)</f>
        <v/>
      </c>
      <c r="O284" s="169" t="str">
        <f aca="false">IF(A284="","",H284+M284)</f>
        <v/>
      </c>
    </row>
    <row r="285" customFormat="false" ht="15" hidden="false" customHeight="false" outlineLevel="0" collapsed="false">
      <c r="A285" s="168" t="str">
        <f aca="false">IF(OR(計算_償還開始="",ROWS($A$8:A285)&gt;計算_償還回数),"",ROWS($A$8:A285))</f>
        <v/>
      </c>
      <c r="B285" s="170" t="str">
        <f aca="false">IF(A285="","",EDATE(計算_償還開始,A285-1))</f>
        <v/>
      </c>
      <c r="C285" s="169" t="str">
        <f aca="false">IF(A285="","",IF(A285=計算_償還回数,D285+F284+G284,計算_毎月償還額))</f>
        <v/>
      </c>
      <c r="D285" s="169" t="str">
        <f aca="false">IF(A285="","",ROUND(F284*計算_利率/定数_年月数,0)+ROUND(G284*計算_利率_在宅介護/定数_年月数,0))</f>
        <v/>
      </c>
      <c r="E285" s="169" t="str">
        <f aca="false">IF(A285="","",C285-D285)</f>
        <v/>
      </c>
      <c r="F285" s="169" t="str">
        <f aca="false">IF(A285="","",IF(A285=計算_償還回数,0,MAX(0,F284-(ROUND(計算_月額_基本,0)-ROUND(F284*計算_利率/定数_年月数,0)))))</f>
        <v/>
      </c>
      <c r="G285" s="169" t="str">
        <f aca="false">IF(A285="","",IF(A285=計算_償還回数,0,MAX(0,G284-(ROUND(計算_月額_在宅介護,0)-ROUND(G284*計算_利率_在宅介護/定数_年月数,0)))))</f>
        <v/>
      </c>
      <c r="H285" s="169" t="str">
        <f aca="false">IF(A285="","",F285+G285)</f>
        <v/>
      </c>
      <c r="I285" s="168" t="str">
        <f aca="false">IF(A285="","",IF(AND(OR(MONTH(B285)=6,MONTH(B285)=12),I284&lt;計算_賞与回数),I284+1,I284))</f>
        <v/>
      </c>
      <c r="J285" s="169" t="str">
        <f aca="false">IF(A285="","",IF(I285&gt;I284,IF(I285=計算_賞与回数,M284+K285,計算_賞与償還額),0))</f>
        <v/>
      </c>
      <c r="K285" s="169" t="str">
        <f aca="false">IF(A285="","",IF(I285&gt;I284,ROUND(M284*計算_賞与期間利率,0),0))</f>
        <v/>
      </c>
      <c r="L285" s="169" t="str">
        <f aca="false">IF(A285="","",J285-K285)</f>
        <v/>
      </c>
      <c r="M285" s="169" t="str">
        <f aca="false">IF(A285="","",IF(I285&gt;I284,M284-L285,M284))</f>
        <v/>
      </c>
      <c r="N285" s="169" t="str">
        <f aca="false">IF(A285="","",C285+J285)</f>
        <v/>
      </c>
      <c r="O285" s="169" t="str">
        <f aca="false">IF(A285="","",H285+M285)</f>
        <v/>
      </c>
    </row>
    <row r="286" customFormat="false" ht="15" hidden="false" customHeight="false" outlineLevel="0" collapsed="false">
      <c r="A286" s="168" t="str">
        <f aca="false">IF(OR(計算_償還開始="",ROWS($A$8:A286)&gt;計算_償還回数),"",ROWS($A$8:A286))</f>
        <v/>
      </c>
      <c r="B286" s="170" t="str">
        <f aca="false">IF(A286="","",EDATE(計算_償還開始,A286-1))</f>
        <v/>
      </c>
      <c r="C286" s="169" t="str">
        <f aca="false">IF(A286="","",IF(A286=計算_償還回数,D286+F285+G285,計算_毎月償還額))</f>
        <v/>
      </c>
      <c r="D286" s="169" t="str">
        <f aca="false">IF(A286="","",ROUND(F285*計算_利率/定数_年月数,0)+ROUND(G285*計算_利率_在宅介護/定数_年月数,0))</f>
        <v/>
      </c>
      <c r="E286" s="169" t="str">
        <f aca="false">IF(A286="","",C286-D286)</f>
        <v/>
      </c>
      <c r="F286" s="169" t="str">
        <f aca="false">IF(A286="","",IF(A286=計算_償還回数,0,MAX(0,F285-(ROUND(計算_月額_基本,0)-ROUND(F285*計算_利率/定数_年月数,0)))))</f>
        <v/>
      </c>
      <c r="G286" s="169" t="str">
        <f aca="false">IF(A286="","",IF(A286=計算_償還回数,0,MAX(0,G285-(ROUND(計算_月額_在宅介護,0)-ROUND(G285*計算_利率_在宅介護/定数_年月数,0)))))</f>
        <v/>
      </c>
      <c r="H286" s="169" t="str">
        <f aca="false">IF(A286="","",F286+G286)</f>
        <v/>
      </c>
      <c r="I286" s="168" t="str">
        <f aca="false">IF(A286="","",IF(AND(OR(MONTH(B286)=6,MONTH(B286)=12),I285&lt;計算_賞与回数),I285+1,I285))</f>
        <v/>
      </c>
      <c r="J286" s="169" t="str">
        <f aca="false">IF(A286="","",IF(I286&gt;I285,IF(I286=計算_賞与回数,M285+K286,計算_賞与償還額),0))</f>
        <v/>
      </c>
      <c r="K286" s="169" t="str">
        <f aca="false">IF(A286="","",IF(I286&gt;I285,ROUND(M285*計算_賞与期間利率,0),0))</f>
        <v/>
      </c>
      <c r="L286" s="169" t="str">
        <f aca="false">IF(A286="","",J286-K286)</f>
        <v/>
      </c>
      <c r="M286" s="169" t="str">
        <f aca="false">IF(A286="","",IF(I286&gt;I285,M285-L286,M285))</f>
        <v/>
      </c>
      <c r="N286" s="169" t="str">
        <f aca="false">IF(A286="","",C286+J286)</f>
        <v/>
      </c>
      <c r="O286" s="169" t="str">
        <f aca="false">IF(A286="","",H286+M286)</f>
        <v/>
      </c>
    </row>
    <row r="287" customFormat="false" ht="15" hidden="false" customHeight="false" outlineLevel="0" collapsed="false">
      <c r="A287" s="168" t="str">
        <f aca="false">IF(OR(計算_償還開始="",ROWS($A$8:A287)&gt;計算_償還回数),"",ROWS($A$8:A287))</f>
        <v/>
      </c>
      <c r="B287" s="170" t="str">
        <f aca="false">IF(A287="","",EDATE(計算_償還開始,A287-1))</f>
        <v/>
      </c>
      <c r="C287" s="169" t="str">
        <f aca="false">IF(A287="","",IF(A287=計算_償還回数,D287+F286+G286,計算_毎月償還額))</f>
        <v/>
      </c>
      <c r="D287" s="169" t="str">
        <f aca="false">IF(A287="","",ROUND(F286*計算_利率/定数_年月数,0)+ROUND(G286*計算_利率_在宅介護/定数_年月数,0))</f>
        <v/>
      </c>
      <c r="E287" s="169" t="str">
        <f aca="false">IF(A287="","",C287-D287)</f>
        <v/>
      </c>
      <c r="F287" s="169" t="str">
        <f aca="false">IF(A287="","",IF(A287=計算_償還回数,0,MAX(0,F286-(ROUND(計算_月額_基本,0)-ROUND(F286*計算_利率/定数_年月数,0)))))</f>
        <v/>
      </c>
      <c r="G287" s="169" t="str">
        <f aca="false">IF(A287="","",IF(A287=計算_償還回数,0,MAX(0,G286-(ROUND(計算_月額_在宅介護,0)-ROUND(G286*計算_利率_在宅介護/定数_年月数,0)))))</f>
        <v/>
      </c>
      <c r="H287" s="169" t="str">
        <f aca="false">IF(A287="","",F287+G287)</f>
        <v/>
      </c>
      <c r="I287" s="168" t="str">
        <f aca="false">IF(A287="","",IF(AND(OR(MONTH(B287)=6,MONTH(B287)=12),I286&lt;計算_賞与回数),I286+1,I286))</f>
        <v/>
      </c>
      <c r="J287" s="169" t="str">
        <f aca="false">IF(A287="","",IF(I287&gt;I286,IF(I287=計算_賞与回数,M286+K287,計算_賞与償還額),0))</f>
        <v/>
      </c>
      <c r="K287" s="169" t="str">
        <f aca="false">IF(A287="","",IF(I287&gt;I286,ROUND(M286*計算_賞与期間利率,0),0))</f>
        <v/>
      </c>
      <c r="L287" s="169" t="str">
        <f aca="false">IF(A287="","",J287-K287)</f>
        <v/>
      </c>
      <c r="M287" s="169" t="str">
        <f aca="false">IF(A287="","",IF(I287&gt;I286,M286-L287,M286))</f>
        <v/>
      </c>
      <c r="N287" s="169" t="str">
        <f aca="false">IF(A287="","",C287+J287)</f>
        <v/>
      </c>
      <c r="O287" s="169" t="str">
        <f aca="false">IF(A287="","",H287+M287)</f>
        <v/>
      </c>
    </row>
    <row r="288" customFormat="false" ht="15" hidden="false" customHeight="false" outlineLevel="0" collapsed="false">
      <c r="A288" s="168" t="str">
        <f aca="false">IF(OR(計算_償還開始="",ROWS($A$8:A288)&gt;計算_償還回数),"",ROWS($A$8:A288))</f>
        <v/>
      </c>
      <c r="B288" s="170" t="str">
        <f aca="false">IF(A288="","",EDATE(計算_償還開始,A288-1))</f>
        <v/>
      </c>
      <c r="C288" s="169" t="str">
        <f aca="false">IF(A288="","",IF(A288=計算_償還回数,D288+F287+G287,計算_毎月償還額))</f>
        <v/>
      </c>
      <c r="D288" s="169" t="str">
        <f aca="false">IF(A288="","",ROUND(F287*計算_利率/定数_年月数,0)+ROUND(G287*計算_利率_在宅介護/定数_年月数,0))</f>
        <v/>
      </c>
      <c r="E288" s="169" t="str">
        <f aca="false">IF(A288="","",C288-D288)</f>
        <v/>
      </c>
      <c r="F288" s="169" t="str">
        <f aca="false">IF(A288="","",IF(A288=計算_償還回数,0,MAX(0,F287-(ROUND(計算_月額_基本,0)-ROUND(F287*計算_利率/定数_年月数,0)))))</f>
        <v/>
      </c>
      <c r="G288" s="169" t="str">
        <f aca="false">IF(A288="","",IF(A288=計算_償還回数,0,MAX(0,G287-(ROUND(計算_月額_在宅介護,0)-ROUND(G287*計算_利率_在宅介護/定数_年月数,0)))))</f>
        <v/>
      </c>
      <c r="H288" s="169" t="str">
        <f aca="false">IF(A288="","",F288+G288)</f>
        <v/>
      </c>
      <c r="I288" s="168" t="str">
        <f aca="false">IF(A288="","",IF(AND(OR(MONTH(B288)=6,MONTH(B288)=12),I287&lt;計算_賞与回数),I287+1,I287))</f>
        <v/>
      </c>
      <c r="J288" s="169" t="str">
        <f aca="false">IF(A288="","",IF(I288&gt;I287,IF(I288=計算_賞与回数,M287+K288,計算_賞与償還額),0))</f>
        <v/>
      </c>
      <c r="K288" s="169" t="str">
        <f aca="false">IF(A288="","",IF(I288&gt;I287,ROUND(M287*計算_賞与期間利率,0),0))</f>
        <v/>
      </c>
      <c r="L288" s="169" t="str">
        <f aca="false">IF(A288="","",J288-K288)</f>
        <v/>
      </c>
      <c r="M288" s="169" t="str">
        <f aca="false">IF(A288="","",IF(I288&gt;I287,M287-L288,M287))</f>
        <v/>
      </c>
      <c r="N288" s="169" t="str">
        <f aca="false">IF(A288="","",C288+J288)</f>
        <v/>
      </c>
      <c r="O288" s="169" t="str">
        <f aca="false">IF(A288="","",H288+M288)</f>
        <v/>
      </c>
    </row>
    <row r="289" customFormat="false" ht="15" hidden="false" customHeight="false" outlineLevel="0" collapsed="false">
      <c r="A289" s="168" t="str">
        <f aca="false">IF(OR(計算_償還開始="",ROWS($A$8:A289)&gt;計算_償還回数),"",ROWS($A$8:A289))</f>
        <v/>
      </c>
      <c r="B289" s="170" t="str">
        <f aca="false">IF(A289="","",EDATE(計算_償還開始,A289-1))</f>
        <v/>
      </c>
      <c r="C289" s="169" t="str">
        <f aca="false">IF(A289="","",IF(A289=計算_償還回数,D289+F288+G288,計算_毎月償還額))</f>
        <v/>
      </c>
      <c r="D289" s="169" t="str">
        <f aca="false">IF(A289="","",ROUND(F288*計算_利率/定数_年月数,0)+ROUND(G288*計算_利率_在宅介護/定数_年月数,0))</f>
        <v/>
      </c>
      <c r="E289" s="169" t="str">
        <f aca="false">IF(A289="","",C289-D289)</f>
        <v/>
      </c>
      <c r="F289" s="169" t="str">
        <f aca="false">IF(A289="","",IF(A289=計算_償還回数,0,MAX(0,F288-(ROUND(計算_月額_基本,0)-ROUND(F288*計算_利率/定数_年月数,0)))))</f>
        <v/>
      </c>
      <c r="G289" s="169" t="str">
        <f aca="false">IF(A289="","",IF(A289=計算_償還回数,0,MAX(0,G288-(ROUND(計算_月額_在宅介護,0)-ROUND(G288*計算_利率_在宅介護/定数_年月数,0)))))</f>
        <v/>
      </c>
      <c r="H289" s="169" t="str">
        <f aca="false">IF(A289="","",F289+G289)</f>
        <v/>
      </c>
      <c r="I289" s="168" t="str">
        <f aca="false">IF(A289="","",IF(AND(OR(MONTH(B289)=6,MONTH(B289)=12),I288&lt;計算_賞与回数),I288+1,I288))</f>
        <v/>
      </c>
      <c r="J289" s="169" t="str">
        <f aca="false">IF(A289="","",IF(I289&gt;I288,IF(I289=計算_賞与回数,M288+K289,計算_賞与償還額),0))</f>
        <v/>
      </c>
      <c r="K289" s="169" t="str">
        <f aca="false">IF(A289="","",IF(I289&gt;I288,ROUND(M288*計算_賞与期間利率,0),0))</f>
        <v/>
      </c>
      <c r="L289" s="169" t="str">
        <f aca="false">IF(A289="","",J289-K289)</f>
        <v/>
      </c>
      <c r="M289" s="169" t="str">
        <f aca="false">IF(A289="","",IF(I289&gt;I288,M288-L289,M288))</f>
        <v/>
      </c>
      <c r="N289" s="169" t="str">
        <f aca="false">IF(A289="","",C289+J289)</f>
        <v/>
      </c>
      <c r="O289" s="169" t="str">
        <f aca="false">IF(A289="","",H289+M289)</f>
        <v/>
      </c>
    </row>
    <row r="290" customFormat="false" ht="15" hidden="false" customHeight="false" outlineLevel="0" collapsed="false">
      <c r="A290" s="168" t="str">
        <f aca="false">IF(OR(計算_償還開始="",ROWS($A$8:A290)&gt;計算_償還回数),"",ROWS($A$8:A290))</f>
        <v/>
      </c>
      <c r="B290" s="170" t="str">
        <f aca="false">IF(A290="","",EDATE(計算_償還開始,A290-1))</f>
        <v/>
      </c>
      <c r="C290" s="169" t="str">
        <f aca="false">IF(A290="","",IF(A290=計算_償還回数,D290+F289+G289,計算_毎月償還額))</f>
        <v/>
      </c>
      <c r="D290" s="169" t="str">
        <f aca="false">IF(A290="","",ROUND(F289*計算_利率/定数_年月数,0)+ROUND(G289*計算_利率_在宅介護/定数_年月数,0))</f>
        <v/>
      </c>
      <c r="E290" s="169" t="str">
        <f aca="false">IF(A290="","",C290-D290)</f>
        <v/>
      </c>
      <c r="F290" s="169" t="str">
        <f aca="false">IF(A290="","",IF(A290=計算_償還回数,0,MAX(0,F289-(ROUND(計算_月額_基本,0)-ROUND(F289*計算_利率/定数_年月数,0)))))</f>
        <v/>
      </c>
      <c r="G290" s="169" t="str">
        <f aca="false">IF(A290="","",IF(A290=計算_償還回数,0,MAX(0,G289-(ROUND(計算_月額_在宅介護,0)-ROUND(G289*計算_利率_在宅介護/定数_年月数,0)))))</f>
        <v/>
      </c>
      <c r="H290" s="169" t="str">
        <f aca="false">IF(A290="","",F290+G290)</f>
        <v/>
      </c>
      <c r="I290" s="168" t="str">
        <f aca="false">IF(A290="","",IF(AND(OR(MONTH(B290)=6,MONTH(B290)=12),I289&lt;計算_賞与回数),I289+1,I289))</f>
        <v/>
      </c>
      <c r="J290" s="169" t="str">
        <f aca="false">IF(A290="","",IF(I290&gt;I289,IF(I290=計算_賞与回数,M289+K290,計算_賞与償還額),0))</f>
        <v/>
      </c>
      <c r="K290" s="169" t="str">
        <f aca="false">IF(A290="","",IF(I290&gt;I289,ROUND(M289*計算_賞与期間利率,0),0))</f>
        <v/>
      </c>
      <c r="L290" s="169" t="str">
        <f aca="false">IF(A290="","",J290-K290)</f>
        <v/>
      </c>
      <c r="M290" s="169" t="str">
        <f aca="false">IF(A290="","",IF(I290&gt;I289,M289-L290,M289))</f>
        <v/>
      </c>
      <c r="N290" s="169" t="str">
        <f aca="false">IF(A290="","",C290+J290)</f>
        <v/>
      </c>
      <c r="O290" s="169" t="str">
        <f aca="false">IF(A290="","",H290+M290)</f>
        <v/>
      </c>
    </row>
    <row r="291" customFormat="false" ht="15" hidden="false" customHeight="false" outlineLevel="0" collapsed="false">
      <c r="A291" s="168" t="str">
        <f aca="false">IF(OR(計算_償還開始="",ROWS($A$8:A291)&gt;計算_償還回数),"",ROWS($A$8:A291))</f>
        <v/>
      </c>
      <c r="B291" s="170" t="str">
        <f aca="false">IF(A291="","",EDATE(計算_償還開始,A291-1))</f>
        <v/>
      </c>
      <c r="C291" s="169" t="str">
        <f aca="false">IF(A291="","",IF(A291=計算_償還回数,D291+F290+G290,計算_毎月償還額))</f>
        <v/>
      </c>
      <c r="D291" s="169" t="str">
        <f aca="false">IF(A291="","",ROUND(F290*計算_利率/定数_年月数,0)+ROUND(G290*計算_利率_在宅介護/定数_年月数,0))</f>
        <v/>
      </c>
      <c r="E291" s="169" t="str">
        <f aca="false">IF(A291="","",C291-D291)</f>
        <v/>
      </c>
      <c r="F291" s="169" t="str">
        <f aca="false">IF(A291="","",IF(A291=計算_償還回数,0,MAX(0,F290-(ROUND(計算_月額_基本,0)-ROUND(F290*計算_利率/定数_年月数,0)))))</f>
        <v/>
      </c>
      <c r="G291" s="169" t="str">
        <f aca="false">IF(A291="","",IF(A291=計算_償還回数,0,MAX(0,G290-(ROUND(計算_月額_在宅介護,0)-ROUND(G290*計算_利率_在宅介護/定数_年月数,0)))))</f>
        <v/>
      </c>
      <c r="H291" s="169" t="str">
        <f aca="false">IF(A291="","",F291+G291)</f>
        <v/>
      </c>
      <c r="I291" s="168" t="str">
        <f aca="false">IF(A291="","",IF(AND(OR(MONTH(B291)=6,MONTH(B291)=12),I290&lt;計算_賞与回数),I290+1,I290))</f>
        <v/>
      </c>
      <c r="J291" s="169" t="str">
        <f aca="false">IF(A291="","",IF(I291&gt;I290,IF(I291=計算_賞与回数,M290+K291,計算_賞与償還額),0))</f>
        <v/>
      </c>
      <c r="K291" s="169" t="str">
        <f aca="false">IF(A291="","",IF(I291&gt;I290,ROUND(M290*計算_賞与期間利率,0),0))</f>
        <v/>
      </c>
      <c r="L291" s="169" t="str">
        <f aca="false">IF(A291="","",J291-K291)</f>
        <v/>
      </c>
      <c r="M291" s="169" t="str">
        <f aca="false">IF(A291="","",IF(I291&gt;I290,M290-L291,M290))</f>
        <v/>
      </c>
      <c r="N291" s="169" t="str">
        <f aca="false">IF(A291="","",C291+J291)</f>
        <v/>
      </c>
      <c r="O291" s="169" t="str">
        <f aca="false">IF(A291="","",H291+M291)</f>
        <v/>
      </c>
    </row>
    <row r="292" customFormat="false" ht="15" hidden="false" customHeight="false" outlineLevel="0" collapsed="false">
      <c r="A292" s="168" t="str">
        <f aca="false">IF(OR(計算_償還開始="",ROWS($A$8:A292)&gt;計算_償還回数),"",ROWS($A$8:A292))</f>
        <v/>
      </c>
      <c r="B292" s="170" t="str">
        <f aca="false">IF(A292="","",EDATE(計算_償還開始,A292-1))</f>
        <v/>
      </c>
      <c r="C292" s="169" t="str">
        <f aca="false">IF(A292="","",IF(A292=計算_償還回数,D292+F291+G291,計算_毎月償還額))</f>
        <v/>
      </c>
      <c r="D292" s="169" t="str">
        <f aca="false">IF(A292="","",ROUND(F291*計算_利率/定数_年月数,0)+ROUND(G291*計算_利率_在宅介護/定数_年月数,0))</f>
        <v/>
      </c>
      <c r="E292" s="169" t="str">
        <f aca="false">IF(A292="","",C292-D292)</f>
        <v/>
      </c>
      <c r="F292" s="169" t="str">
        <f aca="false">IF(A292="","",IF(A292=計算_償還回数,0,MAX(0,F291-(ROUND(計算_月額_基本,0)-ROUND(F291*計算_利率/定数_年月数,0)))))</f>
        <v/>
      </c>
      <c r="G292" s="169" t="str">
        <f aca="false">IF(A292="","",IF(A292=計算_償還回数,0,MAX(0,G291-(ROUND(計算_月額_在宅介護,0)-ROUND(G291*計算_利率_在宅介護/定数_年月数,0)))))</f>
        <v/>
      </c>
      <c r="H292" s="169" t="str">
        <f aca="false">IF(A292="","",F292+G292)</f>
        <v/>
      </c>
      <c r="I292" s="168" t="str">
        <f aca="false">IF(A292="","",IF(AND(OR(MONTH(B292)=6,MONTH(B292)=12),I291&lt;計算_賞与回数),I291+1,I291))</f>
        <v/>
      </c>
      <c r="J292" s="169" t="str">
        <f aca="false">IF(A292="","",IF(I292&gt;I291,IF(I292=計算_賞与回数,M291+K292,計算_賞与償還額),0))</f>
        <v/>
      </c>
      <c r="K292" s="169" t="str">
        <f aca="false">IF(A292="","",IF(I292&gt;I291,ROUND(M291*計算_賞与期間利率,0),0))</f>
        <v/>
      </c>
      <c r="L292" s="169" t="str">
        <f aca="false">IF(A292="","",J292-K292)</f>
        <v/>
      </c>
      <c r="M292" s="169" t="str">
        <f aca="false">IF(A292="","",IF(I292&gt;I291,M291-L292,M291))</f>
        <v/>
      </c>
      <c r="N292" s="169" t="str">
        <f aca="false">IF(A292="","",C292+J292)</f>
        <v/>
      </c>
      <c r="O292" s="169" t="str">
        <f aca="false">IF(A292="","",H292+M292)</f>
        <v/>
      </c>
    </row>
    <row r="293" customFormat="false" ht="15" hidden="false" customHeight="false" outlineLevel="0" collapsed="false">
      <c r="A293" s="168" t="str">
        <f aca="false">IF(OR(計算_償還開始="",ROWS($A$8:A293)&gt;計算_償還回数),"",ROWS($A$8:A293))</f>
        <v/>
      </c>
      <c r="B293" s="170" t="str">
        <f aca="false">IF(A293="","",EDATE(計算_償還開始,A293-1))</f>
        <v/>
      </c>
      <c r="C293" s="169" t="str">
        <f aca="false">IF(A293="","",IF(A293=計算_償還回数,D293+F292+G292,計算_毎月償還額))</f>
        <v/>
      </c>
      <c r="D293" s="169" t="str">
        <f aca="false">IF(A293="","",ROUND(F292*計算_利率/定数_年月数,0)+ROUND(G292*計算_利率_在宅介護/定数_年月数,0))</f>
        <v/>
      </c>
      <c r="E293" s="169" t="str">
        <f aca="false">IF(A293="","",C293-D293)</f>
        <v/>
      </c>
      <c r="F293" s="169" t="str">
        <f aca="false">IF(A293="","",IF(A293=計算_償還回数,0,MAX(0,F292-(ROUND(計算_月額_基本,0)-ROUND(F292*計算_利率/定数_年月数,0)))))</f>
        <v/>
      </c>
      <c r="G293" s="169" t="str">
        <f aca="false">IF(A293="","",IF(A293=計算_償還回数,0,MAX(0,G292-(ROUND(計算_月額_在宅介護,0)-ROUND(G292*計算_利率_在宅介護/定数_年月数,0)))))</f>
        <v/>
      </c>
      <c r="H293" s="169" t="str">
        <f aca="false">IF(A293="","",F293+G293)</f>
        <v/>
      </c>
      <c r="I293" s="168" t="str">
        <f aca="false">IF(A293="","",IF(AND(OR(MONTH(B293)=6,MONTH(B293)=12),I292&lt;計算_賞与回数),I292+1,I292))</f>
        <v/>
      </c>
      <c r="J293" s="169" t="str">
        <f aca="false">IF(A293="","",IF(I293&gt;I292,IF(I293=計算_賞与回数,M292+K293,計算_賞与償還額),0))</f>
        <v/>
      </c>
      <c r="K293" s="169" t="str">
        <f aca="false">IF(A293="","",IF(I293&gt;I292,ROUND(M292*計算_賞与期間利率,0),0))</f>
        <v/>
      </c>
      <c r="L293" s="169" t="str">
        <f aca="false">IF(A293="","",J293-K293)</f>
        <v/>
      </c>
      <c r="M293" s="169" t="str">
        <f aca="false">IF(A293="","",IF(I293&gt;I292,M292-L293,M292))</f>
        <v/>
      </c>
      <c r="N293" s="169" t="str">
        <f aca="false">IF(A293="","",C293+J293)</f>
        <v/>
      </c>
      <c r="O293" s="169" t="str">
        <f aca="false">IF(A293="","",H293+M293)</f>
        <v/>
      </c>
    </row>
    <row r="294" customFormat="false" ht="15" hidden="false" customHeight="false" outlineLevel="0" collapsed="false">
      <c r="A294" s="168" t="str">
        <f aca="false">IF(OR(計算_償還開始="",ROWS($A$8:A294)&gt;計算_償還回数),"",ROWS($A$8:A294))</f>
        <v/>
      </c>
      <c r="B294" s="170" t="str">
        <f aca="false">IF(A294="","",EDATE(計算_償還開始,A294-1))</f>
        <v/>
      </c>
      <c r="C294" s="169" t="str">
        <f aca="false">IF(A294="","",IF(A294=計算_償還回数,D294+F293+G293,計算_毎月償還額))</f>
        <v/>
      </c>
      <c r="D294" s="169" t="str">
        <f aca="false">IF(A294="","",ROUND(F293*計算_利率/定数_年月数,0)+ROUND(G293*計算_利率_在宅介護/定数_年月数,0))</f>
        <v/>
      </c>
      <c r="E294" s="169" t="str">
        <f aca="false">IF(A294="","",C294-D294)</f>
        <v/>
      </c>
      <c r="F294" s="169" t="str">
        <f aca="false">IF(A294="","",IF(A294=計算_償還回数,0,MAX(0,F293-(ROUND(計算_月額_基本,0)-ROUND(F293*計算_利率/定数_年月数,0)))))</f>
        <v/>
      </c>
      <c r="G294" s="169" t="str">
        <f aca="false">IF(A294="","",IF(A294=計算_償還回数,0,MAX(0,G293-(ROUND(計算_月額_在宅介護,0)-ROUND(G293*計算_利率_在宅介護/定数_年月数,0)))))</f>
        <v/>
      </c>
      <c r="H294" s="169" t="str">
        <f aca="false">IF(A294="","",F294+G294)</f>
        <v/>
      </c>
      <c r="I294" s="168" t="str">
        <f aca="false">IF(A294="","",IF(AND(OR(MONTH(B294)=6,MONTH(B294)=12),I293&lt;計算_賞与回数),I293+1,I293))</f>
        <v/>
      </c>
      <c r="J294" s="169" t="str">
        <f aca="false">IF(A294="","",IF(I294&gt;I293,IF(I294=計算_賞与回数,M293+K294,計算_賞与償還額),0))</f>
        <v/>
      </c>
      <c r="K294" s="169" t="str">
        <f aca="false">IF(A294="","",IF(I294&gt;I293,ROUND(M293*計算_賞与期間利率,0),0))</f>
        <v/>
      </c>
      <c r="L294" s="169" t="str">
        <f aca="false">IF(A294="","",J294-K294)</f>
        <v/>
      </c>
      <c r="M294" s="169" t="str">
        <f aca="false">IF(A294="","",IF(I294&gt;I293,M293-L294,M293))</f>
        <v/>
      </c>
      <c r="N294" s="169" t="str">
        <f aca="false">IF(A294="","",C294+J294)</f>
        <v/>
      </c>
      <c r="O294" s="169" t="str">
        <f aca="false">IF(A294="","",H294+M294)</f>
        <v/>
      </c>
    </row>
    <row r="295" customFormat="false" ht="15" hidden="false" customHeight="false" outlineLevel="0" collapsed="false">
      <c r="A295" s="168" t="str">
        <f aca="false">IF(OR(計算_償還開始="",ROWS($A$8:A295)&gt;計算_償還回数),"",ROWS($A$8:A295))</f>
        <v/>
      </c>
      <c r="B295" s="170" t="str">
        <f aca="false">IF(A295="","",EDATE(計算_償還開始,A295-1))</f>
        <v/>
      </c>
      <c r="C295" s="169" t="str">
        <f aca="false">IF(A295="","",IF(A295=計算_償還回数,D295+F294+G294,計算_毎月償還額))</f>
        <v/>
      </c>
      <c r="D295" s="169" t="str">
        <f aca="false">IF(A295="","",ROUND(F294*計算_利率/定数_年月数,0)+ROUND(G294*計算_利率_在宅介護/定数_年月数,0))</f>
        <v/>
      </c>
      <c r="E295" s="169" t="str">
        <f aca="false">IF(A295="","",C295-D295)</f>
        <v/>
      </c>
      <c r="F295" s="169" t="str">
        <f aca="false">IF(A295="","",IF(A295=計算_償還回数,0,MAX(0,F294-(ROUND(計算_月額_基本,0)-ROUND(F294*計算_利率/定数_年月数,0)))))</f>
        <v/>
      </c>
      <c r="G295" s="169" t="str">
        <f aca="false">IF(A295="","",IF(A295=計算_償還回数,0,MAX(0,G294-(ROUND(計算_月額_在宅介護,0)-ROUND(G294*計算_利率_在宅介護/定数_年月数,0)))))</f>
        <v/>
      </c>
      <c r="H295" s="169" t="str">
        <f aca="false">IF(A295="","",F295+G295)</f>
        <v/>
      </c>
      <c r="I295" s="168" t="str">
        <f aca="false">IF(A295="","",IF(AND(OR(MONTH(B295)=6,MONTH(B295)=12),I294&lt;計算_賞与回数),I294+1,I294))</f>
        <v/>
      </c>
      <c r="J295" s="169" t="str">
        <f aca="false">IF(A295="","",IF(I295&gt;I294,IF(I295=計算_賞与回数,M294+K295,計算_賞与償還額),0))</f>
        <v/>
      </c>
      <c r="K295" s="169" t="str">
        <f aca="false">IF(A295="","",IF(I295&gt;I294,ROUND(M294*計算_賞与期間利率,0),0))</f>
        <v/>
      </c>
      <c r="L295" s="169" t="str">
        <f aca="false">IF(A295="","",J295-K295)</f>
        <v/>
      </c>
      <c r="M295" s="169" t="str">
        <f aca="false">IF(A295="","",IF(I295&gt;I294,M294-L295,M294))</f>
        <v/>
      </c>
      <c r="N295" s="169" t="str">
        <f aca="false">IF(A295="","",C295+J295)</f>
        <v/>
      </c>
      <c r="O295" s="169" t="str">
        <f aca="false">IF(A295="","",H295+M295)</f>
        <v/>
      </c>
    </row>
    <row r="296" customFormat="false" ht="15" hidden="false" customHeight="false" outlineLevel="0" collapsed="false">
      <c r="A296" s="168" t="str">
        <f aca="false">IF(OR(計算_償還開始="",ROWS($A$8:A296)&gt;計算_償還回数),"",ROWS($A$8:A296))</f>
        <v/>
      </c>
      <c r="B296" s="170" t="str">
        <f aca="false">IF(A296="","",EDATE(計算_償還開始,A296-1))</f>
        <v/>
      </c>
      <c r="C296" s="169" t="str">
        <f aca="false">IF(A296="","",IF(A296=計算_償還回数,D296+F295+G295,計算_毎月償還額))</f>
        <v/>
      </c>
      <c r="D296" s="169" t="str">
        <f aca="false">IF(A296="","",ROUND(F295*計算_利率/定数_年月数,0)+ROUND(G295*計算_利率_在宅介護/定数_年月数,0))</f>
        <v/>
      </c>
      <c r="E296" s="169" t="str">
        <f aca="false">IF(A296="","",C296-D296)</f>
        <v/>
      </c>
      <c r="F296" s="169" t="str">
        <f aca="false">IF(A296="","",IF(A296=計算_償還回数,0,MAX(0,F295-(ROUND(計算_月額_基本,0)-ROUND(F295*計算_利率/定数_年月数,0)))))</f>
        <v/>
      </c>
      <c r="G296" s="169" t="str">
        <f aca="false">IF(A296="","",IF(A296=計算_償還回数,0,MAX(0,G295-(ROUND(計算_月額_在宅介護,0)-ROUND(G295*計算_利率_在宅介護/定数_年月数,0)))))</f>
        <v/>
      </c>
      <c r="H296" s="169" t="str">
        <f aca="false">IF(A296="","",F296+G296)</f>
        <v/>
      </c>
      <c r="I296" s="168" t="str">
        <f aca="false">IF(A296="","",IF(AND(OR(MONTH(B296)=6,MONTH(B296)=12),I295&lt;計算_賞与回数),I295+1,I295))</f>
        <v/>
      </c>
      <c r="J296" s="169" t="str">
        <f aca="false">IF(A296="","",IF(I296&gt;I295,IF(I296=計算_賞与回数,M295+K296,計算_賞与償還額),0))</f>
        <v/>
      </c>
      <c r="K296" s="169" t="str">
        <f aca="false">IF(A296="","",IF(I296&gt;I295,ROUND(M295*計算_賞与期間利率,0),0))</f>
        <v/>
      </c>
      <c r="L296" s="169" t="str">
        <f aca="false">IF(A296="","",J296-K296)</f>
        <v/>
      </c>
      <c r="M296" s="169" t="str">
        <f aca="false">IF(A296="","",IF(I296&gt;I295,M295-L296,M295))</f>
        <v/>
      </c>
      <c r="N296" s="169" t="str">
        <f aca="false">IF(A296="","",C296+J296)</f>
        <v/>
      </c>
      <c r="O296" s="169" t="str">
        <f aca="false">IF(A296="","",H296+M296)</f>
        <v/>
      </c>
    </row>
    <row r="297" customFormat="false" ht="15" hidden="false" customHeight="false" outlineLevel="0" collapsed="false">
      <c r="A297" s="168" t="str">
        <f aca="false">IF(OR(計算_償還開始="",ROWS($A$8:A297)&gt;計算_償還回数),"",ROWS($A$8:A297))</f>
        <v/>
      </c>
      <c r="B297" s="170" t="str">
        <f aca="false">IF(A297="","",EDATE(計算_償還開始,A297-1))</f>
        <v/>
      </c>
      <c r="C297" s="169" t="str">
        <f aca="false">IF(A297="","",IF(A297=計算_償還回数,D297+F296+G296,計算_毎月償還額))</f>
        <v/>
      </c>
      <c r="D297" s="169" t="str">
        <f aca="false">IF(A297="","",ROUND(F296*計算_利率/定数_年月数,0)+ROUND(G296*計算_利率_在宅介護/定数_年月数,0))</f>
        <v/>
      </c>
      <c r="E297" s="169" t="str">
        <f aca="false">IF(A297="","",C297-D297)</f>
        <v/>
      </c>
      <c r="F297" s="169" t="str">
        <f aca="false">IF(A297="","",IF(A297=計算_償還回数,0,MAX(0,F296-(ROUND(計算_月額_基本,0)-ROUND(F296*計算_利率/定数_年月数,0)))))</f>
        <v/>
      </c>
      <c r="G297" s="169" t="str">
        <f aca="false">IF(A297="","",IF(A297=計算_償還回数,0,MAX(0,G296-(ROUND(計算_月額_在宅介護,0)-ROUND(G296*計算_利率_在宅介護/定数_年月数,0)))))</f>
        <v/>
      </c>
      <c r="H297" s="169" t="str">
        <f aca="false">IF(A297="","",F297+G297)</f>
        <v/>
      </c>
      <c r="I297" s="168" t="str">
        <f aca="false">IF(A297="","",IF(AND(OR(MONTH(B297)=6,MONTH(B297)=12),I296&lt;計算_賞与回数),I296+1,I296))</f>
        <v/>
      </c>
      <c r="J297" s="169" t="str">
        <f aca="false">IF(A297="","",IF(I297&gt;I296,IF(I297=計算_賞与回数,M296+K297,計算_賞与償還額),0))</f>
        <v/>
      </c>
      <c r="K297" s="169" t="str">
        <f aca="false">IF(A297="","",IF(I297&gt;I296,ROUND(M296*計算_賞与期間利率,0),0))</f>
        <v/>
      </c>
      <c r="L297" s="169" t="str">
        <f aca="false">IF(A297="","",J297-K297)</f>
        <v/>
      </c>
      <c r="M297" s="169" t="str">
        <f aca="false">IF(A297="","",IF(I297&gt;I296,M296-L297,M296))</f>
        <v/>
      </c>
      <c r="N297" s="169" t="str">
        <f aca="false">IF(A297="","",C297+J297)</f>
        <v/>
      </c>
      <c r="O297" s="169" t="str">
        <f aca="false">IF(A297="","",H297+M297)</f>
        <v/>
      </c>
    </row>
    <row r="298" customFormat="false" ht="15" hidden="false" customHeight="false" outlineLevel="0" collapsed="false">
      <c r="A298" s="168" t="str">
        <f aca="false">IF(OR(計算_償還開始="",ROWS($A$8:A298)&gt;計算_償還回数),"",ROWS($A$8:A298))</f>
        <v/>
      </c>
      <c r="B298" s="170" t="str">
        <f aca="false">IF(A298="","",EDATE(計算_償還開始,A298-1))</f>
        <v/>
      </c>
      <c r="C298" s="169" t="str">
        <f aca="false">IF(A298="","",IF(A298=計算_償還回数,D298+F297+G297,計算_毎月償還額))</f>
        <v/>
      </c>
      <c r="D298" s="169" t="str">
        <f aca="false">IF(A298="","",ROUND(F297*計算_利率/定数_年月数,0)+ROUND(G297*計算_利率_在宅介護/定数_年月数,0))</f>
        <v/>
      </c>
      <c r="E298" s="169" t="str">
        <f aca="false">IF(A298="","",C298-D298)</f>
        <v/>
      </c>
      <c r="F298" s="169" t="str">
        <f aca="false">IF(A298="","",IF(A298=計算_償還回数,0,MAX(0,F297-(ROUND(計算_月額_基本,0)-ROUND(F297*計算_利率/定数_年月数,0)))))</f>
        <v/>
      </c>
      <c r="G298" s="169" t="str">
        <f aca="false">IF(A298="","",IF(A298=計算_償還回数,0,MAX(0,G297-(ROUND(計算_月額_在宅介護,0)-ROUND(G297*計算_利率_在宅介護/定数_年月数,0)))))</f>
        <v/>
      </c>
      <c r="H298" s="169" t="str">
        <f aca="false">IF(A298="","",F298+G298)</f>
        <v/>
      </c>
      <c r="I298" s="168" t="str">
        <f aca="false">IF(A298="","",IF(AND(OR(MONTH(B298)=6,MONTH(B298)=12),I297&lt;計算_賞与回数),I297+1,I297))</f>
        <v/>
      </c>
      <c r="J298" s="169" t="str">
        <f aca="false">IF(A298="","",IF(I298&gt;I297,IF(I298=計算_賞与回数,M297+K298,計算_賞与償還額),0))</f>
        <v/>
      </c>
      <c r="K298" s="169" t="str">
        <f aca="false">IF(A298="","",IF(I298&gt;I297,ROUND(M297*計算_賞与期間利率,0),0))</f>
        <v/>
      </c>
      <c r="L298" s="169" t="str">
        <f aca="false">IF(A298="","",J298-K298)</f>
        <v/>
      </c>
      <c r="M298" s="169" t="str">
        <f aca="false">IF(A298="","",IF(I298&gt;I297,M297-L298,M297))</f>
        <v/>
      </c>
      <c r="N298" s="169" t="str">
        <f aca="false">IF(A298="","",C298+J298)</f>
        <v/>
      </c>
      <c r="O298" s="169" t="str">
        <f aca="false">IF(A298="","",H298+M298)</f>
        <v/>
      </c>
    </row>
    <row r="299" customFormat="false" ht="15" hidden="false" customHeight="false" outlineLevel="0" collapsed="false">
      <c r="A299" s="168" t="str">
        <f aca="false">IF(OR(計算_償還開始="",ROWS($A$8:A299)&gt;計算_償還回数),"",ROWS($A$8:A299))</f>
        <v/>
      </c>
      <c r="B299" s="170" t="str">
        <f aca="false">IF(A299="","",EDATE(計算_償還開始,A299-1))</f>
        <v/>
      </c>
      <c r="C299" s="169" t="str">
        <f aca="false">IF(A299="","",IF(A299=計算_償還回数,D299+F298+G298,計算_毎月償還額))</f>
        <v/>
      </c>
      <c r="D299" s="169" t="str">
        <f aca="false">IF(A299="","",ROUND(F298*計算_利率/定数_年月数,0)+ROUND(G298*計算_利率_在宅介護/定数_年月数,0))</f>
        <v/>
      </c>
      <c r="E299" s="169" t="str">
        <f aca="false">IF(A299="","",C299-D299)</f>
        <v/>
      </c>
      <c r="F299" s="169" t="str">
        <f aca="false">IF(A299="","",IF(A299=計算_償還回数,0,MAX(0,F298-(ROUND(計算_月額_基本,0)-ROUND(F298*計算_利率/定数_年月数,0)))))</f>
        <v/>
      </c>
      <c r="G299" s="169" t="str">
        <f aca="false">IF(A299="","",IF(A299=計算_償還回数,0,MAX(0,G298-(ROUND(計算_月額_在宅介護,0)-ROUND(G298*計算_利率_在宅介護/定数_年月数,0)))))</f>
        <v/>
      </c>
      <c r="H299" s="169" t="str">
        <f aca="false">IF(A299="","",F299+G299)</f>
        <v/>
      </c>
      <c r="I299" s="168" t="str">
        <f aca="false">IF(A299="","",IF(AND(OR(MONTH(B299)=6,MONTH(B299)=12),I298&lt;計算_賞与回数),I298+1,I298))</f>
        <v/>
      </c>
      <c r="J299" s="169" t="str">
        <f aca="false">IF(A299="","",IF(I299&gt;I298,IF(I299=計算_賞与回数,M298+K299,計算_賞与償還額),0))</f>
        <v/>
      </c>
      <c r="K299" s="169" t="str">
        <f aca="false">IF(A299="","",IF(I299&gt;I298,ROUND(M298*計算_賞与期間利率,0),0))</f>
        <v/>
      </c>
      <c r="L299" s="169" t="str">
        <f aca="false">IF(A299="","",J299-K299)</f>
        <v/>
      </c>
      <c r="M299" s="169" t="str">
        <f aca="false">IF(A299="","",IF(I299&gt;I298,M298-L299,M298))</f>
        <v/>
      </c>
      <c r="N299" s="169" t="str">
        <f aca="false">IF(A299="","",C299+J299)</f>
        <v/>
      </c>
      <c r="O299" s="169" t="str">
        <f aca="false">IF(A299="","",H299+M299)</f>
        <v/>
      </c>
    </row>
    <row r="300" customFormat="false" ht="15" hidden="false" customHeight="false" outlineLevel="0" collapsed="false">
      <c r="A300" s="168" t="str">
        <f aca="false">IF(OR(計算_償還開始="",ROWS($A$8:A300)&gt;計算_償還回数),"",ROWS($A$8:A300))</f>
        <v/>
      </c>
      <c r="B300" s="170" t="str">
        <f aca="false">IF(A300="","",EDATE(計算_償還開始,A300-1))</f>
        <v/>
      </c>
      <c r="C300" s="169" t="str">
        <f aca="false">IF(A300="","",IF(A300=計算_償還回数,D300+F299+G299,計算_毎月償還額))</f>
        <v/>
      </c>
      <c r="D300" s="169" t="str">
        <f aca="false">IF(A300="","",ROUND(F299*計算_利率/定数_年月数,0)+ROUND(G299*計算_利率_在宅介護/定数_年月数,0))</f>
        <v/>
      </c>
      <c r="E300" s="169" t="str">
        <f aca="false">IF(A300="","",C300-D300)</f>
        <v/>
      </c>
      <c r="F300" s="169" t="str">
        <f aca="false">IF(A300="","",IF(A300=計算_償還回数,0,MAX(0,F299-(ROUND(計算_月額_基本,0)-ROUND(F299*計算_利率/定数_年月数,0)))))</f>
        <v/>
      </c>
      <c r="G300" s="169" t="str">
        <f aca="false">IF(A300="","",IF(A300=計算_償還回数,0,MAX(0,G299-(ROUND(計算_月額_在宅介護,0)-ROUND(G299*計算_利率_在宅介護/定数_年月数,0)))))</f>
        <v/>
      </c>
      <c r="H300" s="169" t="str">
        <f aca="false">IF(A300="","",F300+G300)</f>
        <v/>
      </c>
      <c r="I300" s="168" t="str">
        <f aca="false">IF(A300="","",IF(AND(OR(MONTH(B300)=6,MONTH(B300)=12),I299&lt;計算_賞与回数),I299+1,I299))</f>
        <v/>
      </c>
      <c r="J300" s="169" t="str">
        <f aca="false">IF(A300="","",IF(I300&gt;I299,IF(I300=計算_賞与回数,M299+K300,計算_賞与償還額),0))</f>
        <v/>
      </c>
      <c r="K300" s="169" t="str">
        <f aca="false">IF(A300="","",IF(I300&gt;I299,ROUND(M299*計算_賞与期間利率,0),0))</f>
        <v/>
      </c>
      <c r="L300" s="169" t="str">
        <f aca="false">IF(A300="","",J300-K300)</f>
        <v/>
      </c>
      <c r="M300" s="169" t="str">
        <f aca="false">IF(A300="","",IF(I300&gt;I299,M299-L300,M299))</f>
        <v/>
      </c>
      <c r="N300" s="169" t="str">
        <f aca="false">IF(A300="","",C300+J300)</f>
        <v/>
      </c>
      <c r="O300" s="169" t="str">
        <f aca="false">IF(A300="","",H300+M300)</f>
        <v/>
      </c>
    </row>
    <row r="301" customFormat="false" ht="15" hidden="false" customHeight="false" outlineLevel="0" collapsed="false">
      <c r="A301" s="168" t="str">
        <f aca="false">IF(OR(計算_償還開始="",ROWS($A$8:A301)&gt;計算_償還回数),"",ROWS($A$8:A301))</f>
        <v/>
      </c>
      <c r="B301" s="170" t="str">
        <f aca="false">IF(A301="","",EDATE(計算_償還開始,A301-1))</f>
        <v/>
      </c>
      <c r="C301" s="169" t="str">
        <f aca="false">IF(A301="","",IF(A301=計算_償還回数,D301+F300+G300,計算_毎月償還額))</f>
        <v/>
      </c>
      <c r="D301" s="169" t="str">
        <f aca="false">IF(A301="","",ROUND(F300*計算_利率/定数_年月数,0)+ROUND(G300*計算_利率_在宅介護/定数_年月数,0))</f>
        <v/>
      </c>
      <c r="E301" s="169" t="str">
        <f aca="false">IF(A301="","",C301-D301)</f>
        <v/>
      </c>
      <c r="F301" s="169" t="str">
        <f aca="false">IF(A301="","",IF(A301=計算_償還回数,0,MAX(0,F300-(ROUND(計算_月額_基本,0)-ROUND(F300*計算_利率/定数_年月数,0)))))</f>
        <v/>
      </c>
      <c r="G301" s="169" t="str">
        <f aca="false">IF(A301="","",IF(A301=計算_償還回数,0,MAX(0,G300-(ROUND(計算_月額_在宅介護,0)-ROUND(G300*計算_利率_在宅介護/定数_年月数,0)))))</f>
        <v/>
      </c>
      <c r="H301" s="169" t="str">
        <f aca="false">IF(A301="","",F301+G301)</f>
        <v/>
      </c>
      <c r="I301" s="168" t="str">
        <f aca="false">IF(A301="","",IF(AND(OR(MONTH(B301)=6,MONTH(B301)=12),I300&lt;計算_賞与回数),I300+1,I300))</f>
        <v/>
      </c>
      <c r="J301" s="169" t="str">
        <f aca="false">IF(A301="","",IF(I301&gt;I300,IF(I301=計算_賞与回数,M300+K301,計算_賞与償還額),0))</f>
        <v/>
      </c>
      <c r="K301" s="169" t="str">
        <f aca="false">IF(A301="","",IF(I301&gt;I300,ROUND(M300*計算_賞与期間利率,0),0))</f>
        <v/>
      </c>
      <c r="L301" s="169" t="str">
        <f aca="false">IF(A301="","",J301-K301)</f>
        <v/>
      </c>
      <c r="M301" s="169" t="str">
        <f aca="false">IF(A301="","",IF(I301&gt;I300,M300-L301,M300))</f>
        <v/>
      </c>
      <c r="N301" s="169" t="str">
        <f aca="false">IF(A301="","",C301+J301)</f>
        <v/>
      </c>
      <c r="O301" s="169" t="str">
        <f aca="false">IF(A301="","",H301+M301)</f>
        <v/>
      </c>
    </row>
    <row r="302" customFormat="false" ht="15" hidden="false" customHeight="false" outlineLevel="0" collapsed="false">
      <c r="A302" s="168" t="str">
        <f aca="false">IF(OR(計算_償還開始="",ROWS($A$8:A302)&gt;計算_償還回数),"",ROWS($A$8:A302))</f>
        <v/>
      </c>
      <c r="B302" s="170" t="str">
        <f aca="false">IF(A302="","",EDATE(計算_償還開始,A302-1))</f>
        <v/>
      </c>
      <c r="C302" s="169" t="str">
        <f aca="false">IF(A302="","",IF(A302=計算_償還回数,D302+F301+G301,計算_毎月償還額))</f>
        <v/>
      </c>
      <c r="D302" s="169" t="str">
        <f aca="false">IF(A302="","",ROUND(F301*計算_利率/定数_年月数,0)+ROUND(G301*計算_利率_在宅介護/定数_年月数,0))</f>
        <v/>
      </c>
      <c r="E302" s="169" t="str">
        <f aca="false">IF(A302="","",C302-D302)</f>
        <v/>
      </c>
      <c r="F302" s="169" t="str">
        <f aca="false">IF(A302="","",IF(A302=計算_償還回数,0,MAX(0,F301-(ROUND(計算_月額_基本,0)-ROUND(F301*計算_利率/定数_年月数,0)))))</f>
        <v/>
      </c>
      <c r="G302" s="169" t="str">
        <f aca="false">IF(A302="","",IF(A302=計算_償還回数,0,MAX(0,G301-(ROUND(計算_月額_在宅介護,0)-ROUND(G301*計算_利率_在宅介護/定数_年月数,0)))))</f>
        <v/>
      </c>
      <c r="H302" s="169" t="str">
        <f aca="false">IF(A302="","",F302+G302)</f>
        <v/>
      </c>
      <c r="I302" s="168" t="str">
        <f aca="false">IF(A302="","",IF(AND(OR(MONTH(B302)=6,MONTH(B302)=12),I301&lt;計算_賞与回数),I301+1,I301))</f>
        <v/>
      </c>
      <c r="J302" s="169" t="str">
        <f aca="false">IF(A302="","",IF(I302&gt;I301,IF(I302=計算_賞与回数,M301+K302,計算_賞与償還額),0))</f>
        <v/>
      </c>
      <c r="K302" s="169" t="str">
        <f aca="false">IF(A302="","",IF(I302&gt;I301,ROUND(M301*計算_賞与期間利率,0),0))</f>
        <v/>
      </c>
      <c r="L302" s="169" t="str">
        <f aca="false">IF(A302="","",J302-K302)</f>
        <v/>
      </c>
      <c r="M302" s="169" t="str">
        <f aca="false">IF(A302="","",IF(I302&gt;I301,M301-L302,M301))</f>
        <v/>
      </c>
      <c r="N302" s="169" t="str">
        <f aca="false">IF(A302="","",C302+J302)</f>
        <v/>
      </c>
      <c r="O302" s="169" t="str">
        <f aca="false">IF(A302="","",H302+M302)</f>
        <v/>
      </c>
    </row>
    <row r="303" customFormat="false" ht="15" hidden="false" customHeight="false" outlineLevel="0" collapsed="false">
      <c r="A303" s="168" t="str">
        <f aca="false">IF(OR(計算_償還開始="",ROWS($A$8:A303)&gt;計算_償還回数),"",ROWS($A$8:A303))</f>
        <v/>
      </c>
      <c r="B303" s="170" t="str">
        <f aca="false">IF(A303="","",EDATE(計算_償還開始,A303-1))</f>
        <v/>
      </c>
      <c r="C303" s="169" t="str">
        <f aca="false">IF(A303="","",IF(A303=計算_償還回数,D303+F302+G302,計算_毎月償還額))</f>
        <v/>
      </c>
      <c r="D303" s="169" t="str">
        <f aca="false">IF(A303="","",ROUND(F302*計算_利率/定数_年月数,0)+ROUND(G302*計算_利率_在宅介護/定数_年月数,0))</f>
        <v/>
      </c>
      <c r="E303" s="169" t="str">
        <f aca="false">IF(A303="","",C303-D303)</f>
        <v/>
      </c>
      <c r="F303" s="169" t="str">
        <f aca="false">IF(A303="","",IF(A303=計算_償還回数,0,MAX(0,F302-(ROUND(計算_月額_基本,0)-ROUND(F302*計算_利率/定数_年月数,0)))))</f>
        <v/>
      </c>
      <c r="G303" s="169" t="str">
        <f aca="false">IF(A303="","",IF(A303=計算_償還回数,0,MAX(0,G302-(ROUND(計算_月額_在宅介護,0)-ROUND(G302*計算_利率_在宅介護/定数_年月数,0)))))</f>
        <v/>
      </c>
      <c r="H303" s="169" t="str">
        <f aca="false">IF(A303="","",F303+G303)</f>
        <v/>
      </c>
      <c r="I303" s="168" t="str">
        <f aca="false">IF(A303="","",IF(AND(OR(MONTH(B303)=6,MONTH(B303)=12),I302&lt;計算_賞与回数),I302+1,I302))</f>
        <v/>
      </c>
      <c r="J303" s="169" t="str">
        <f aca="false">IF(A303="","",IF(I303&gt;I302,IF(I303=計算_賞与回数,M302+K303,計算_賞与償還額),0))</f>
        <v/>
      </c>
      <c r="K303" s="169" t="str">
        <f aca="false">IF(A303="","",IF(I303&gt;I302,ROUND(M302*計算_賞与期間利率,0),0))</f>
        <v/>
      </c>
      <c r="L303" s="169" t="str">
        <f aca="false">IF(A303="","",J303-K303)</f>
        <v/>
      </c>
      <c r="M303" s="169" t="str">
        <f aca="false">IF(A303="","",IF(I303&gt;I302,M302-L303,M302))</f>
        <v/>
      </c>
      <c r="N303" s="169" t="str">
        <f aca="false">IF(A303="","",C303+J303)</f>
        <v/>
      </c>
      <c r="O303" s="169" t="str">
        <f aca="false">IF(A303="","",H303+M303)</f>
        <v/>
      </c>
    </row>
    <row r="304" customFormat="false" ht="15" hidden="false" customHeight="false" outlineLevel="0" collapsed="false">
      <c r="A304" s="168" t="str">
        <f aca="false">IF(OR(計算_償還開始="",ROWS($A$8:A304)&gt;計算_償還回数),"",ROWS($A$8:A304))</f>
        <v/>
      </c>
      <c r="B304" s="170" t="str">
        <f aca="false">IF(A304="","",EDATE(計算_償還開始,A304-1))</f>
        <v/>
      </c>
      <c r="C304" s="169" t="str">
        <f aca="false">IF(A304="","",IF(A304=計算_償還回数,D304+F303+G303,計算_毎月償還額))</f>
        <v/>
      </c>
      <c r="D304" s="169" t="str">
        <f aca="false">IF(A304="","",ROUND(F303*計算_利率/定数_年月数,0)+ROUND(G303*計算_利率_在宅介護/定数_年月数,0))</f>
        <v/>
      </c>
      <c r="E304" s="169" t="str">
        <f aca="false">IF(A304="","",C304-D304)</f>
        <v/>
      </c>
      <c r="F304" s="169" t="str">
        <f aca="false">IF(A304="","",IF(A304=計算_償還回数,0,MAX(0,F303-(ROUND(計算_月額_基本,0)-ROUND(F303*計算_利率/定数_年月数,0)))))</f>
        <v/>
      </c>
      <c r="G304" s="169" t="str">
        <f aca="false">IF(A304="","",IF(A304=計算_償還回数,0,MAX(0,G303-(ROUND(計算_月額_在宅介護,0)-ROUND(G303*計算_利率_在宅介護/定数_年月数,0)))))</f>
        <v/>
      </c>
      <c r="H304" s="169" t="str">
        <f aca="false">IF(A304="","",F304+G304)</f>
        <v/>
      </c>
      <c r="I304" s="168" t="str">
        <f aca="false">IF(A304="","",IF(AND(OR(MONTH(B304)=6,MONTH(B304)=12),I303&lt;計算_賞与回数),I303+1,I303))</f>
        <v/>
      </c>
      <c r="J304" s="169" t="str">
        <f aca="false">IF(A304="","",IF(I304&gt;I303,IF(I304=計算_賞与回数,M303+K304,計算_賞与償還額),0))</f>
        <v/>
      </c>
      <c r="K304" s="169" t="str">
        <f aca="false">IF(A304="","",IF(I304&gt;I303,ROUND(M303*計算_賞与期間利率,0),0))</f>
        <v/>
      </c>
      <c r="L304" s="169" t="str">
        <f aca="false">IF(A304="","",J304-K304)</f>
        <v/>
      </c>
      <c r="M304" s="169" t="str">
        <f aca="false">IF(A304="","",IF(I304&gt;I303,M303-L304,M303))</f>
        <v/>
      </c>
      <c r="N304" s="169" t="str">
        <f aca="false">IF(A304="","",C304+J304)</f>
        <v/>
      </c>
      <c r="O304" s="169" t="str">
        <f aca="false">IF(A304="","",H304+M304)</f>
        <v/>
      </c>
    </row>
    <row r="305" customFormat="false" ht="15" hidden="false" customHeight="false" outlineLevel="0" collapsed="false">
      <c r="A305" s="168" t="str">
        <f aca="false">IF(OR(計算_償還開始="",ROWS($A$8:A305)&gt;計算_償還回数),"",ROWS($A$8:A305))</f>
        <v/>
      </c>
      <c r="B305" s="170" t="str">
        <f aca="false">IF(A305="","",EDATE(計算_償還開始,A305-1))</f>
        <v/>
      </c>
      <c r="C305" s="169" t="str">
        <f aca="false">IF(A305="","",IF(A305=計算_償還回数,D305+F304+G304,計算_毎月償還額))</f>
        <v/>
      </c>
      <c r="D305" s="169" t="str">
        <f aca="false">IF(A305="","",ROUND(F304*計算_利率/定数_年月数,0)+ROUND(G304*計算_利率_在宅介護/定数_年月数,0))</f>
        <v/>
      </c>
      <c r="E305" s="169" t="str">
        <f aca="false">IF(A305="","",C305-D305)</f>
        <v/>
      </c>
      <c r="F305" s="169" t="str">
        <f aca="false">IF(A305="","",IF(A305=計算_償還回数,0,MAX(0,F304-(ROUND(計算_月額_基本,0)-ROUND(F304*計算_利率/定数_年月数,0)))))</f>
        <v/>
      </c>
      <c r="G305" s="169" t="str">
        <f aca="false">IF(A305="","",IF(A305=計算_償還回数,0,MAX(0,G304-(ROUND(計算_月額_在宅介護,0)-ROUND(G304*計算_利率_在宅介護/定数_年月数,0)))))</f>
        <v/>
      </c>
      <c r="H305" s="169" t="str">
        <f aca="false">IF(A305="","",F305+G305)</f>
        <v/>
      </c>
      <c r="I305" s="168" t="str">
        <f aca="false">IF(A305="","",IF(AND(OR(MONTH(B305)=6,MONTH(B305)=12),I304&lt;計算_賞与回数),I304+1,I304))</f>
        <v/>
      </c>
      <c r="J305" s="169" t="str">
        <f aca="false">IF(A305="","",IF(I305&gt;I304,IF(I305=計算_賞与回数,M304+K305,計算_賞与償還額),0))</f>
        <v/>
      </c>
      <c r="K305" s="169" t="str">
        <f aca="false">IF(A305="","",IF(I305&gt;I304,ROUND(M304*計算_賞与期間利率,0),0))</f>
        <v/>
      </c>
      <c r="L305" s="169" t="str">
        <f aca="false">IF(A305="","",J305-K305)</f>
        <v/>
      </c>
      <c r="M305" s="169" t="str">
        <f aca="false">IF(A305="","",IF(I305&gt;I304,M304-L305,M304))</f>
        <v/>
      </c>
      <c r="N305" s="169" t="str">
        <f aca="false">IF(A305="","",C305+J305)</f>
        <v/>
      </c>
      <c r="O305" s="169" t="str">
        <f aca="false">IF(A305="","",H305+M305)</f>
        <v/>
      </c>
    </row>
    <row r="306" customFormat="false" ht="15" hidden="false" customHeight="false" outlineLevel="0" collapsed="false">
      <c r="A306" s="168" t="str">
        <f aca="false">IF(OR(計算_償還開始="",ROWS($A$8:A306)&gt;計算_償還回数),"",ROWS($A$8:A306))</f>
        <v/>
      </c>
      <c r="B306" s="170" t="str">
        <f aca="false">IF(A306="","",EDATE(計算_償還開始,A306-1))</f>
        <v/>
      </c>
      <c r="C306" s="169" t="str">
        <f aca="false">IF(A306="","",IF(A306=計算_償還回数,D306+F305+G305,計算_毎月償還額))</f>
        <v/>
      </c>
      <c r="D306" s="169" t="str">
        <f aca="false">IF(A306="","",ROUND(F305*計算_利率/定数_年月数,0)+ROUND(G305*計算_利率_在宅介護/定数_年月数,0))</f>
        <v/>
      </c>
      <c r="E306" s="169" t="str">
        <f aca="false">IF(A306="","",C306-D306)</f>
        <v/>
      </c>
      <c r="F306" s="169" t="str">
        <f aca="false">IF(A306="","",IF(A306=計算_償還回数,0,MAX(0,F305-(ROUND(計算_月額_基本,0)-ROUND(F305*計算_利率/定数_年月数,0)))))</f>
        <v/>
      </c>
      <c r="G306" s="169" t="str">
        <f aca="false">IF(A306="","",IF(A306=計算_償還回数,0,MAX(0,G305-(ROUND(計算_月額_在宅介護,0)-ROUND(G305*計算_利率_在宅介護/定数_年月数,0)))))</f>
        <v/>
      </c>
      <c r="H306" s="169" t="str">
        <f aca="false">IF(A306="","",F306+G306)</f>
        <v/>
      </c>
      <c r="I306" s="168" t="str">
        <f aca="false">IF(A306="","",IF(AND(OR(MONTH(B306)=6,MONTH(B306)=12),I305&lt;計算_賞与回数),I305+1,I305))</f>
        <v/>
      </c>
      <c r="J306" s="169" t="str">
        <f aca="false">IF(A306="","",IF(I306&gt;I305,IF(I306=計算_賞与回数,M305+K306,計算_賞与償還額),0))</f>
        <v/>
      </c>
      <c r="K306" s="169" t="str">
        <f aca="false">IF(A306="","",IF(I306&gt;I305,ROUND(M305*計算_賞与期間利率,0),0))</f>
        <v/>
      </c>
      <c r="L306" s="169" t="str">
        <f aca="false">IF(A306="","",J306-K306)</f>
        <v/>
      </c>
      <c r="M306" s="169" t="str">
        <f aca="false">IF(A306="","",IF(I306&gt;I305,M305-L306,M305))</f>
        <v/>
      </c>
      <c r="N306" s="169" t="str">
        <f aca="false">IF(A306="","",C306+J306)</f>
        <v/>
      </c>
      <c r="O306" s="169" t="str">
        <f aca="false">IF(A306="","",H306+M306)</f>
        <v/>
      </c>
    </row>
    <row r="307" customFormat="false" ht="15" hidden="false" customHeight="false" outlineLevel="0" collapsed="false">
      <c r="A307" s="168" t="str">
        <f aca="false">IF(OR(計算_償還開始="",ROWS($A$8:A307)&gt;計算_償還回数),"",ROWS($A$8:A307))</f>
        <v/>
      </c>
      <c r="B307" s="170" t="str">
        <f aca="false">IF(A307="","",EDATE(計算_償還開始,A307-1))</f>
        <v/>
      </c>
      <c r="C307" s="169" t="str">
        <f aca="false">IF(A307="","",IF(A307=計算_償還回数,D307+F306+G306,計算_毎月償還額))</f>
        <v/>
      </c>
      <c r="D307" s="169" t="str">
        <f aca="false">IF(A307="","",ROUND(F306*計算_利率/定数_年月数,0)+ROUND(G306*計算_利率_在宅介護/定数_年月数,0))</f>
        <v/>
      </c>
      <c r="E307" s="169" t="str">
        <f aca="false">IF(A307="","",C307-D307)</f>
        <v/>
      </c>
      <c r="F307" s="169" t="str">
        <f aca="false">IF(A307="","",IF(A307=計算_償還回数,0,MAX(0,F306-(ROUND(計算_月額_基本,0)-ROUND(F306*計算_利率/定数_年月数,0)))))</f>
        <v/>
      </c>
      <c r="G307" s="169" t="str">
        <f aca="false">IF(A307="","",IF(A307=計算_償還回数,0,MAX(0,G306-(ROUND(計算_月額_在宅介護,0)-ROUND(G306*計算_利率_在宅介護/定数_年月数,0)))))</f>
        <v/>
      </c>
      <c r="H307" s="169" t="str">
        <f aca="false">IF(A307="","",F307+G307)</f>
        <v/>
      </c>
      <c r="I307" s="168" t="str">
        <f aca="false">IF(A307="","",IF(AND(OR(MONTH(B307)=6,MONTH(B307)=12),I306&lt;計算_賞与回数),I306+1,I306))</f>
        <v/>
      </c>
      <c r="J307" s="169" t="str">
        <f aca="false">IF(A307="","",IF(I307&gt;I306,IF(I307=計算_賞与回数,M306+K307,計算_賞与償還額),0))</f>
        <v/>
      </c>
      <c r="K307" s="169" t="str">
        <f aca="false">IF(A307="","",IF(I307&gt;I306,ROUND(M306*計算_賞与期間利率,0),0))</f>
        <v/>
      </c>
      <c r="L307" s="169" t="str">
        <f aca="false">IF(A307="","",J307-K307)</f>
        <v/>
      </c>
      <c r="M307" s="169" t="str">
        <f aca="false">IF(A307="","",IF(I307&gt;I306,M306-L307,M306))</f>
        <v/>
      </c>
      <c r="N307" s="169" t="str">
        <f aca="false">IF(A307="","",C307+J307)</f>
        <v/>
      </c>
      <c r="O307" s="169" t="str">
        <f aca="false">IF(A307="","",H307+M307)</f>
        <v/>
      </c>
    </row>
    <row r="308" customFormat="false" ht="15" hidden="false" customHeight="false" outlineLevel="0" collapsed="false">
      <c r="A308" s="168" t="str">
        <f aca="false">IF(OR(計算_償還開始="",ROWS($A$8:A308)&gt;計算_償還回数),"",ROWS($A$8:A308))</f>
        <v/>
      </c>
      <c r="B308" s="170" t="str">
        <f aca="false">IF(A308="","",EDATE(計算_償還開始,A308-1))</f>
        <v/>
      </c>
      <c r="C308" s="169" t="str">
        <f aca="false">IF(A308="","",IF(A308=計算_償還回数,D308+F307+G307,計算_毎月償還額))</f>
        <v/>
      </c>
      <c r="D308" s="169" t="str">
        <f aca="false">IF(A308="","",ROUND(F307*計算_利率/定数_年月数,0)+ROUND(G307*計算_利率_在宅介護/定数_年月数,0))</f>
        <v/>
      </c>
      <c r="E308" s="169" t="str">
        <f aca="false">IF(A308="","",C308-D308)</f>
        <v/>
      </c>
      <c r="F308" s="169" t="str">
        <f aca="false">IF(A308="","",IF(A308=計算_償還回数,0,MAX(0,F307-(ROUND(計算_月額_基本,0)-ROUND(F307*計算_利率/定数_年月数,0)))))</f>
        <v/>
      </c>
      <c r="G308" s="169" t="str">
        <f aca="false">IF(A308="","",IF(A308=計算_償還回数,0,MAX(0,G307-(ROUND(計算_月額_在宅介護,0)-ROUND(G307*計算_利率_在宅介護/定数_年月数,0)))))</f>
        <v/>
      </c>
      <c r="H308" s="169" t="str">
        <f aca="false">IF(A308="","",F308+G308)</f>
        <v/>
      </c>
      <c r="I308" s="168" t="str">
        <f aca="false">IF(A308="","",IF(AND(OR(MONTH(B308)=6,MONTH(B308)=12),I307&lt;計算_賞与回数),I307+1,I307))</f>
        <v/>
      </c>
      <c r="J308" s="169" t="str">
        <f aca="false">IF(A308="","",IF(I308&gt;I307,IF(I308=計算_賞与回数,M307+K308,計算_賞与償還額),0))</f>
        <v/>
      </c>
      <c r="K308" s="169" t="str">
        <f aca="false">IF(A308="","",IF(I308&gt;I307,ROUND(M307*計算_賞与期間利率,0),0))</f>
        <v/>
      </c>
      <c r="L308" s="169" t="str">
        <f aca="false">IF(A308="","",J308-K308)</f>
        <v/>
      </c>
      <c r="M308" s="169" t="str">
        <f aca="false">IF(A308="","",IF(I308&gt;I307,M307-L308,M307))</f>
        <v/>
      </c>
      <c r="N308" s="169" t="str">
        <f aca="false">IF(A308="","",C308+J308)</f>
        <v/>
      </c>
      <c r="O308" s="169" t="str">
        <f aca="false">IF(A308="","",H308+M308)</f>
        <v/>
      </c>
    </row>
    <row r="309" customFormat="false" ht="15" hidden="false" customHeight="false" outlineLevel="0" collapsed="false">
      <c r="A309" s="168" t="str">
        <f aca="false">IF(OR(計算_償還開始="",ROWS($A$8:A309)&gt;計算_償還回数),"",ROWS($A$8:A309))</f>
        <v/>
      </c>
      <c r="B309" s="170" t="str">
        <f aca="false">IF(A309="","",EDATE(計算_償還開始,A309-1))</f>
        <v/>
      </c>
      <c r="C309" s="169" t="str">
        <f aca="false">IF(A309="","",IF(A309=計算_償還回数,D309+F308+G308,計算_毎月償還額))</f>
        <v/>
      </c>
      <c r="D309" s="169" t="str">
        <f aca="false">IF(A309="","",ROUND(F308*計算_利率/定数_年月数,0)+ROUND(G308*計算_利率_在宅介護/定数_年月数,0))</f>
        <v/>
      </c>
      <c r="E309" s="169" t="str">
        <f aca="false">IF(A309="","",C309-D309)</f>
        <v/>
      </c>
      <c r="F309" s="169" t="str">
        <f aca="false">IF(A309="","",IF(A309=計算_償還回数,0,MAX(0,F308-(ROUND(計算_月額_基本,0)-ROUND(F308*計算_利率/定数_年月数,0)))))</f>
        <v/>
      </c>
      <c r="G309" s="169" t="str">
        <f aca="false">IF(A309="","",IF(A309=計算_償還回数,0,MAX(0,G308-(ROUND(計算_月額_在宅介護,0)-ROUND(G308*計算_利率_在宅介護/定数_年月数,0)))))</f>
        <v/>
      </c>
      <c r="H309" s="169" t="str">
        <f aca="false">IF(A309="","",F309+G309)</f>
        <v/>
      </c>
      <c r="I309" s="168" t="str">
        <f aca="false">IF(A309="","",IF(AND(OR(MONTH(B309)=6,MONTH(B309)=12),I308&lt;計算_賞与回数),I308+1,I308))</f>
        <v/>
      </c>
      <c r="J309" s="169" t="str">
        <f aca="false">IF(A309="","",IF(I309&gt;I308,IF(I309=計算_賞与回数,M308+K309,計算_賞与償還額),0))</f>
        <v/>
      </c>
      <c r="K309" s="169" t="str">
        <f aca="false">IF(A309="","",IF(I309&gt;I308,ROUND(M308*計算_賞与期間利率,0),0))</f>
        <v/>
      </c>
      <c r="L309" s="169" t="str">
        <f aca="false">IF(A309="","",J309-K309)</f>
        <v/>
      </c>
      <c r="M309" s="169" t="str">
        <f aca="false">IF(A309="","",IF(I309&gt;I308,M308-L309,M308))</f>
        <v/>
      </c>
      <c r="N309" s="169" t="str">
        <f aca="false">IF(A309="","",C309+J309)</f>
        <v/>
      </c>
      <c r="O309" s="169" t="str">
        <f aca="false">IF(A309="","",H309+M309)</f>
        <v/>
      </c>
    </row>
    <row r="310" customFormat="false" ht="15" hidden="false" customHeight="false" outlineLevel="0" collapsed="false">
      <c r="A310" s="168" t="str">
        <f aca="false">IF(OR(計算_償還開始="",ROWS($A$8:A310)&gt;計算_償還回数),"",ROWS($A$8:A310))</f>
        <v/>
      </c>
      <c r="B310" s="170" t="str">
        <f aca="false">IF(A310="","",EDATE(計算_償還開始,A310-1))</f>
        <v/>
      </c>
      <c r="C310" s="169" t="str">
        <f aca="false">IF(A310="","",IF(A310=計算_償還回数,D310+F309+G309,計算_毎月償還額))</f>
        <v/>
      </c>
      <c r="D310" s="169" t="str">
        <f aca="false">IF(A310="","",ROUND(F309*計算_利率/定数_年月数,0)+ROUND(G309*計算_利率_在宅介護/定数_年月数,0))</f>
        <v/>
      </c>
      <c r="E310" s="169" t="str">
        <f aca="false">IF(A310="","",C310-D310)</f>
        <v/>
      </c>
      <c r="F310" s="169" t="str">
        <f aca="false">IF(A310="","",IF(A310=計算_償還回数,0,MAX(0,F309-(ROUND(計算_月額_基本,0)-ROUND(F309*計算_利率/定数_年月数,0)))))</f>
        <v/>
      </c>
      <c r="G310" s="169" t="str">
        <f aca="false">IF(A310="","",IF(A310=計算_償還回数,0,MAX(0,G309-(ROUND(計算_月額_在宅介護,0)-ROUND(G309*計算_利率_在宅介護/定数_年月数,0)))))</f>
        <v/>
      </c>
      <c r="H310" s="169" t="str">
        <f aca="false">IF(A310="","",F310+G310)</f>
        <v/>
      </c>
      <c r="I310" s="168" t="str">
        <f aca="false">IF(A310="","",IF(AND(OR(MONTH(B310)=6,MONTH(B310)=12),I309&lt;計算_賞与回数),I309+1,I309))</f>
        <v/>
      </c>
      <c r="J310" s="169" t="str">
        <f aca="false">IF(A310="","",IF(I310&gt;I309,IF(I310=計算_賞与回数,M309+K310,計算_賞与償還額),0))</f>
        <v/>
      </c>
      <c r="K310" s="169" t="str">
        <f aca="false">IF(A310="","",IF(I310&gt;I309,ROUND(M309*計算_賞与期間利率,0),0))</f>
        <v/>
      </c>
      <c r="L310" s="169" t="str">
        <f aca="false">IF(A310="","",J310-K310)</f>
        <v/>
      </c>
      <c r="M310" s="169" t="str">
        <f aca="false">IF(A310="","",IF(I310&gt;I309,M309-L310,M309))</f>
        <v/>
      </c>
      <c r="N310" s="169" t="str">
        <f aca="false">IF(A310="","",C310+J310)</f>
        <v/>
      </c>
      <c r="O310" s="169" t="str">
        <f aca="false">IF(A310="","",H310+M310)</f>
        <v/>
      </c>
    </row>
    <row r="311" customFormat="false" ht="15" hidden="false" customHeight="false" outlineLevel="0" collapsed="false">
      <c r="A311" s="168" t="str">
        <f aca="false">IF(OR(計算_償還開始="",ROWS($A$8:A311)&gt;計算_償還回数),"",ROWS($A$8:A311))</f>
        <v/>
      </c>
      <c r="B311" s="170" t="str">
        <f aca="false">IF(A311="","",EDATE(計算_償還開始,A311-1))</f>
        <v/>
      </c>
      <c r="C311" s="169" t="str">
        <f aca="false">IF(A311="","",IF(A311=計算_償還回数,D311+F310+G310,計算_毎月償還額))</f>
        <v/>
      </c>
      <c r="D311" s="169" t="str">
        <f aca="false">IF(A311="","",ROUND(F310*計算_利率/定数_年月数,0)+ROUND(G310*計算_利率_在宅介護/定数_年月数,0))</f>
        <v/>
      </c>
      <c r="E311" s="169" t="str">
        <f aca="false">IF(A311="","",C311-D311)</f>
        <v/>
      </c>
      <c r="F311" s="169" t="str">
        <f aca="false">IF(A311="","",IF(A311=計算_償還回数,0,MAX(0,F310-(ROUND(計算_月額_基本,0)-ROUND(F310*計算_利率/定数_年月数,0)))))</f>
        <v/>
      </c>
      <c r="G311" s="169" t="str">
        <f aca="false">IF(A311="","",IF(A311=計算_償還回数,0,MAX(0,G310-(ROUND(計算_月額_在宅介護,0)-ROUND(G310*計算_利率_在宅介護/定数_年月数,0)))))</f>
        <v/>
      </c>
      <c r="H311" s="169" t="str">
        <f aca="false">IF(A311="","",F311+G311)</f>
        <v/>
      </c>
      <c r="I311" s="168" t="str">
        <f aca="false">IF(A311="","",IF(AND(OR(MONTH(B311)=6,MONTH(B311)=12),I310&lt;計算_賞与回数),I310+1,I310))</f>
        <v/>
      </c>
      <c r="J311" s="169" t="str">
        <f aca="false">IF(A311="","",IF(I311&gt;I310,IF(I311=計算_賞与回数,M310+K311,計算_賞与償還額),0))</f>
        <v/>
      </c>
      <c r="K311" s="169" t="str">
        <f aca="false">IF(A311="","",IF(I311&gt;I310,ROUND(M310*計算_賞与期間利率,0),0))</f>
        <v/>
      </c>
      <c r="L311" s="169" t="str">
        <f aca="false">IF(A311="","",J311-K311)</f>
        <v/>
      </c>
      <c r="M311" s="169" t="str">
        <f aca="false">IF(A311="","",IF(I311&gt;I310,M310-L311,M310))</f>
        <v/>
      </c>
      <c r="N311" s="169" t="str">
        <f aca="false">IF(A311="","",C311+J311)</f>
        <v/>
      </c>
      <c r="O311" s="169" t="str">
        <f aca="false">IF(A311="","",H311+M311)</f>
        <v/>
      </c>
    </row>
    <row r="312" customFormat="false" ht="15" hidden="false" customHeight="false" outlineLevel="0" collapsed="false">
      <c r="A312" s="168" t="str">
        <f aca="false">IF(OR(計算_償還開始="",ROWS($A$8:A312)&gt;計算_償還回数),"",ROWS($A$8:A312))</f>
        <v/>
      </c>
      <c r="B312" s="170" t="str">
        <f aca="false">IF(A312="","",EDATE(計算_償還開始,A312-1))</f>
        <v/>
      </c>
      <c r="C312" s="169" t="str">
        <f aca="false">IF(A312="","",IF(A312=計算_償還回数,D312+F311+G311,計算_毎月償還額))</f>
        <v/>
      </c>
      <c r="D312" s="169" t="str">
        <f aca="false">IF(A312="","",ROUND(F311*計算_利率/定数_年月数,0)+ROUND(G311*計算_利率_在宅介護/定数_年月数,0))</f>
        <v/>
      </c>
      <c r="E312" s="169" t="str">
        <f aca="false">IF(A312="","",C312-D312)</f>
        <v/>
      </c>
      <c r="F312" s="169" t="str">
        <f aca="false">IF(A312="","",IF(A312=計算_償還回数,0,MAX(0,F311-(ROUND(計算_月額_基本,0)-ROUND(F311*計算_利率/定数_年月数,0)))))</f>
        <v/>
      </c>
      <c r="G312" s="169" t="str">
        <f aca="false">IF(A312="","",IF(A312=計算_償還回数,0,MAX(0,G311-(ROUND(計算_月額_在宅介護,0)-ROUND(G311*計算_利率_在宅介護/定数_年月数,0)))))</f>
        <v/>
      </c>
      <c r="H312" s="169" t="str">
        <f aca="false">IF(A312="","",F312+G312)</f>
        <v/>
      </c>
      <c r="I312" s="168" t="str">
        <f aca="false">IF(A312="","",IF(AND(OR(MONTH(B312)=6,MONTH(B312)=12),I311&lt;計算_賞与回数),I311+1,I311))</f>
        <v/>
      </c>
      <c r="J312" s="169" t="str">
        <f aca="false">IF(A312="","",IF(I312&gt;I311,IF(I312=計算_賞与回数,M311+K312,計算_賞与償還額),0))</f>
        <v/>
      </c>
      <c r="K312" s="169" t="str">
        <f aca="false">IF(A312="","",IF(I312&gt;I311,ROUND(M311*計算_賞与期間利率,0),0))</f>
        <v/>
      </c>
      <c r="L312" s="169" t="str">
        <f aca="false">IF(A312="","",J312-K312)</f>
        <v/>
      </c>
      <c r="M312" s="169" t="str">
        <f aca="false">IF(A312="","",IF(I312&gt;I311,M311-L312,M311))</f>
        <v/>
      </c>
      <c r="N312" s="169" t="str">
        <f aca="false">IF(A312="","",C312+J312)</f>
        <v/>
      </c>
      <c r="O312" s="169" t="str">
        <f aca="false">IF(A312="","",H312+M312)</f>
        <v/>
      </c>
    </row>
    <row r="313" customFormat="false" ht="15" hidden="false" customHeight="false" outlineLevel="0" collapsed="false">
      <c r="A313" s="168" t="str">
        <f aca="false">IF(OR(計算_償還開始="",ROWS($A$8:A313)&gt;計算_償還回数),"",ROWS($A$8:A313))</f>
        <v/>
      </c>
      <c r="B313" s="170" t="str">
        <f aca="false">IF(A313="","",EDATE(計算_償還開始,A313-1))</f>
        <v/>
      </c>
      <c r="C313" s="169" t="str">
        <f aca="false">IF(A313="","",IF(A313=計算_償還回数,D313+F312+G312,計算_毎月償還額))</f>
        <v/>
      </c>
      <c r="D313" s="169" t="str">
        <f aca="false">IF(A313="","",ROUND(F312*計算_利率/定数_年月数,0)+ROUND(G312*計算_利率_在宅介護/定数_年月数,0))</f>
        <v/>
      </c>
      <c r="E313" s="169" t="str">
        <f aca="false">IF(A313="","",C313-D313)</f>
        <v/>
      </c>
      <c r="F313" s="169" t="str">
        <f aca="false">IF(A313="","",IF(A313=計算_償還回数,0,MAX(0,F312-(ROUND(計算_月額_基本,0)-ROUND(F312*計算_利率/定数_年月数,0)))))</f>
        <v/>
      </c>
      <c r="G313" s="169" t="str">
        <f aca="false">IF(A313="","",IF(A313=計算_償還回数,0,MAX(0,G312-(ROUND(計算_月額_在宅介護,0)-ROUND(G312*計算_利率_在宅介護/定数_年月数,0)))))</f>
        <v/>
      </c>
      <c r="H313" s="169" t="str">
        <f aca="false">IF(A313="","",F313+G313)</f>
        <v/>
      </c>
      <c r="I313" s="168" t="str">
        <f aca="false">IF(A313="","",IF(AND(OR(MONTH(B313)=6,MONTH(B313)=12),I312&lt;計算_賞与回数),I312+1,I312))</f>
        <v/>
      </c>
      <c r="J313" s="169" t="str">
        <f aca="false">IF(A313="","",IF(I313&gt;I312,IF(I313=計算_賞与回数,M312+K313,計算_賞与償還額),0))</f>
        <v/>
      </c>
      <c r="K313" s="169" t="str">
        <f aca="false">IF(A313="","",IF(I313&gt;I312,ROUND(M312*計算_賞与期間利率,0),0))</f>
        <v/>
      </c>
      <c r="L313" s="169" t="str">
        <f aca="false">IF(A313="","",J313-K313)</f>
        <v/>
      </c>
      <c r="M313" s="169" t="str">
        <f aca="false">IF(A313="","",IF(I313&gt;I312,M312-L313,M312))</f>
        <v/>
      </c>
      <c r="N313" s="169" t="str">
        <f aca="false">IF(A313="","",C313+J313)</f>
        <v/>
      </c>
      <c r="O313" s="169" t="str">
        <f aca="false">IF(A313="","",H313+M313)</f>
        <v/>
      </c>
    </row>
    <row r="314" customFormat="false" ht="15" hidden="false" customHeight="false" outlineLevel="0" collapsed="false">
      <c r="A314" s="168" t="str">
        <f aca="false">IF(OR(計算_償還開始="",ROWS($A$8:A314)&gt;計算_償還回数),"",ROWS($A$8:A314))</f>
        <v/>
      </c>
      <c r="B314" s="170" t="str">
        <f aca="false">IF(A314="","",EDATE(計算_償還開始,A314-1))</f>
        <v/>
      </c>
      <c r="C314" s="169" t="str">
        <f aca="false">IF(A314="","",IF(A314=計算_償還回数,D314+F313+G313,計算_毎月償還額))</f>
        <v/>
      </c>
      <c r="D314" s="169" t="str">
        <f aca="false">IF(A314="","",ROUND(F313*計算_利率/定数_年月数,0)+ROUND(G313*計算_利率_在宅介護/定数_年月数,0))</f>
        <v/>
      </c>
      <c r="E314" s="169" t="str">
        <f aca="false">IF(A314="","",C314-D314)</f>
        <v/>
      </c>
      <c r="F314" s="169" t="str">
        <f aca="false">IF(A314="","",IF(A314=計算_償還回数,0,MAX(0,F313-(ROUND(計算_月額_基本,0)-ROUND(F313*計算_利率/定数_年月数,0)))))</f>
        <v/>
      </c>
      <c r="G314" s="169" t="str">
        <f aca="false">IF(A314="","",IF(A314=計算_償還回数,0,MAX(0,G313-(ROUND(計算_月額_在宅介護,0)-ROUND(G313*計算_利率_在宅介護/定数_年月数,0)))))</f>
        <v/>
      </c>
      <c r="H314" s="169" t="str">
        <f aca="false">IF(A314="","",F314+G314)</f>
        <v/>
      </c>
      <c r="I314" s="168" t="str">
        <f aca="false">IF(A314="","",IF(AND(OR(MONTH(B314)=6,MONTH(B314)=12),I313&lt;計算_賞与回数),I313+1,I313))</f>
        <v/>
      </c>
      <c r="J314" s="169" t="str">
        <f aca="false">IF(A314="","",IF(I314&gt;I313,IF(I314=計算_賞与回数,M313+K314,計算_賞与償還額),0))</f>
        <v/>
      </c>
      <c r="K314" s="169" t="str">
        <f aca="false">IF(A314="","",IF(I314&gt;I313,ROUND(M313*計算_賞与期間利率,0),0))</f>
        <v/>
      </c>
      <c r="L314" s="169" t="str">
        <f aca="false">IF(A314="","",J314-K314)</f>
        <v/>
      </c>
      <c r="M314" s="169" t="str">
        <f aca="false">IF(A314="","",IF(I314&gt;I313,M313-L314,M313))</f>
        <v/>
      </c>
      <c r="N314" s="169" t="str">
        <f aca="false">IF(A314="","",C314+J314)</f>
        <v/>
      </c>
      <c r="O314" s="169" t="str">
        <f aca="false">IF(A314="","",H314+M314)</f>
        <v/>
      </c>
    </row>
    <row r="315" customFormat="false" ht="15" hidden="false" customHeight="false" outlineLevel="0" collapsed="false">
      <c r="A315" s="168" t="str">
        <f aca="false">IF(OR(計算_償還開始="",ROWS($A$8:A315)&gt;計算_償還回数),"",ROWS($A$8:A315))</f>
        <v/>
      </c>
      <c r="B315" s="170" t="str">
        <f aca="false">IF(A315="","",EDATE(計算_償還開始,A315-1))</f>
        <v/>
      </c>
      <c r="C315" s="169" t="str">
        <f aca="false">IF(A315="","",IF(A315=計算_償還回数,D315+F314+G314,計算_毎月償還額))</f>
        <v/>
      </c>
      <c r="D315" s="169" t="str">
        <f aca="false">IF(A315="","",ROUND(F314*計算_利率/定数_年月数,0)+ROUND(G314*計算_利率_在宅介護/定数_年月数,0))</f>
        <v/>
      </c>
      <c r="E315" s="169" t="str">
        <f aca="false">IF(A315="","",C315-D315)</f>
        <v/>
      </c>
      <c r="F315" s="169" t="str">
        <f aca="false">IF(A315="","",IF(A315=計算_償還回数,0,MAX(0,F314-(ROUND(計算_月額_基本,0)-ROUND(F314*計算_利率/定数_年月数,0)))))</f>
        <v/>
      </c>
      <c r="G315" s="169" t="str">
        <f aca="false">IF(A315="","",IF(A315=計算_償還回数,0,MAX(0,G314-(ROUND(計算_月額_在宅介護,0)-ROUND(G314*計算_利率_在宅介護/定数_年月数,0)))))</f>
        <v/>
      </c>
      <c r="H315" s="169" t="str">
        <f aca="false">IF(A315="","",F315+G315)</f>
        <v/>
      </c>
      <c r="I315" s="168" t="str">
        <f aca="false">IF(A315="","",IF(AND(OR(MONTH(B315)=6,MONTH(B315)=12),I314&lt;計算_賞与回数),I314+1,I314))</f>
        <v/>
      </c>
      <c r="J315" s="169" t="str">
        <f aca="false">IF(A315="","",IF(I315&gt;I314,IF(I315=計算_賞与回数,M314+K315,計算_賞与償還額),0))</f>
        <v/>
      </c>
      <c r="K315" s="169" t="str">
        <f aca="false">IF(A315="","",IF(I315&gt;I314,ROUND(M314*計算_賞与期間利率,0),0))</f>
        <v/>
      </c>
      <c r="L315" s="169" t="str">
        <f aca="false">IF(A315="","",J315-K315)</f>
        <v/>
      </c>
      <c r="M315" s="169" t="str">
        <f aca="false">IF(A315="","",IF(I315&gt;I314,M314-L315,M314))</f>
        <v/>
      </c>
      <c r="N315" s="169" t="str">
        <f aca="false">IF(A315="","",C315+J315)</f>
        <v/>
      </c>
      <c r="O315" s="169" t="str">
        <f aca="false">IF(A315="","",H315+M315)</f>
        <v/>
      </c>
    </row>
    <row r="316" customFormat="false" ht="15" hidden="false" customHeight="false" outlineLevel="0" collapsed="false">
      <c r="A316" s="168" t="str">
        <f aca="false">IF(OR(計算_償還開始="",ROWS($A$8:A316)&gt;計算_償還回数),"",ROWS($A$8:A316))</f>
        <v/>
      </c>
      <c r="B316" s="170" t="str">
        <f aca="false">IF(A316="","",EDATE(計算_償還開始,A316-1))</f>
        <v/>
      </c>
      <c r="C316" s="169" t="str">
        <f aca="false">IF(A316="","",IF(A316=計算_償還回数,D316+F315+G315,計算_毎月償還額))</f>
        <v/>
      </c>
      <c r="D316" s="169" t="str">
        <f aca="false">IF(A316="","",ROUND(F315*計算_利率/定数_年月数,0)+ROUND(G315*計算_利率_在宅介護/定数_年月数,0))</f>
        <v/>
      </c>
      <c r="E316" s="169" t="str">
        <f aca="false">IF(A316="","",C316-D316)</f>
        <v/>
      </c>
      <c r="F316" s="169" t="str">
        <f aca="false">IF(A316="","",IF(A316=計算_償還回数,0,MAX(0,F315-(ROUND(計算_月額_基本,0)-ROUND(F315*計算_利率/定数_年月数,0)))))</f>
        <v/>
      </c>
      <c r="G316" s="169" t="str">
        <f aca="false">IF(A316="","",IF(A316=計算_償還回数,0,MAX(0,G315-(ROUND(計算_月額_在宅介護,0)-ROUND(G315*計算_利率_在宅介護/定数_年月数,0)))))</f>
        <v/>
      </c>
      <c r="H316" s="169" t="str">
        <f aca="false">IF(A316="","",F316+G316)</f>
        <v/>
      </c>
      <c r="I316" s="168" t="str">
        <f aca="false">IF(A316="","",IF(AND(OR(MONTH(B316)=6,MONTH(B316)=12),I315&lt;計算_賞与回数),I315+1,I315))</f>
        <v/>
      </c>
      <c r="J316" s="169" t="str">
        <f aca="false">IF(A316="","",IF(I316&gt;I315,IF(I316=計算_賞与回数,M315+K316,計算_賞与償還額),0))</f>
        <v/>
      </c>
      <c r="K316" s="169" t="str">
        <f aca="false">IF(A316="","",IF(I316&gt;I315,ROUND(M315*計算_賞与期間利率,0),0))</f>
        <v/>
      </c>
      <c r="L316" s="169" t="str">
        <f aca="false">IF(A316="","",J316-K316)</f>
        <v/>
      </c>
      <c r="M316" s="169" t="str">
        <f aca="false">IF(A316="","",IF(I316&gt;I315,M315-L316,M315))</f>
        <v/>
      </c>
      <c r="N316" s="169" t="str">
        <f aca="false">IF(A316="","",C316+J316)</f>
        <v/>
      </c>
      <c r="O316" s="169" t="str">
        <f aca="false">IF(A316="","",H316+M316)</f>
        <v/>
      </c>
    </row>
    <row r="317" customFormat="false" ht="15" hidden="false" customHeight="false" outlineLevel="0" collapsed="false">
      <c r="A317" s="168" t="str">
        <f aca="false">IF(OR(計算_償還開始="",ROWS($A$8:A317)&gt;計算_償還回数),"",ROWS($A$8:A317))</f>
        <v/>
      </c>
      <c r="B317" s="170" t="str">
        <f aca="false">IF(A317="","",EDATE(計算_償還開始,A317-1))</f>
        <v/>
      </c>
      <c r="C317" s="169" t="str">
        <f aca="false">IF(A317="","",IF(A317=計算_償還回数,D317+F316+G316,計算_毎月償還額))</f>
        <v/>
      </c>
      <c r="D317" s="169" t="str">
        <f aca="false">IF(A317="","",ROUND(F316*計算_利率/定数_年月数,0)+ROUND(G316*計算_利率_在宅介護/定数_年月数,0))</f>
        <v/>
      </c>
      <c r="E317" s="169" t="str">
        <f aca="false">IF(A317="","",C317-D317)</f>
        <v/>
      </c>
      <c r="F317" s="169" t="str">
        <f aca="false">IF(A317="","",IF(A317=計算_償還回数,0,MAX(0,F316-(ROUND(計算_月額_基本,0)-ROUND(F316*計算_利率/定数_年月数,0)))))</f>
        <v/>
      </c>
      <c r="G317" s="169" t="str">
        <f aca="false">IF(A317="","",IF(A317=計算_償還回数,0,MAX(0,G316-(ROUND(計算_月額_在宅介護,0)-ROUND(G316*計算_利率_在宅介護/定数_年月数,0)))))</f>
        <v/>
      </c>
      <c r="H317" s="169" t="str">
        <f aca="false">IF(A317="","",F317+G317)</f>
        <v/>
      </c>
      <c r="I317" s="168" t="str">
        <f aca="false">IF(A317="","",IF(AND(OR(MONTH(B317)=6,MONTH(B317)=12),I316&lt;計算_賞与回数),I316+1,I316))</f>
        <v/>
      </c>
      <c r="J317" s="169" t="str">
        <f aca="false">IF(A317="","",IF(I317&gt;I316,IF(I317=計算_賞与回数,M316+K317,計算_賞与償還額),0))</f>
        <v/>
      </c>
      <c r="K317" s="169" t="str">
        <f aca="false">IF(A317="","",IF(I317&gt;I316,ROUND(M316*計算_賞与期間利率,0),0))</f>
        <v/>
      </c>
      <c r="L317" s="169" t="str">
        <f aca="false">IF(A317="","",J317-K317)</f>
        <v/>
      </c>
      <c r="M317" s="169" t="str">
        <f aca="false">IF(A317="","",IF(I317&gt;I316,M316-L317,M316))</f>
        <v/>
      </c>
      <c r="N317" s="169" t="str">
        <f aca="false">IF(A317="","",C317+J317)</f>
        <v/>
      </c>
      <c r="O317" s="169" t="str">
        <f aca="false">IF(A317="","",H317+M317)</f>
        <v/>
      </c>
    </row>
    <row r="318" customFormat="false" ht="15" hidden="false" customHeight="false" outlineLevel="0" collapsed="false">
      <c r="A318" s="168" t="str">
        <f aca="false">IF(OR(計算_償還開始="",ROWS($A$8:A318)&gt;計算_償還回数),"",ROWS($A$8:A318))</f>
        <v/>
      </c>
      <c r="B318" s="170" t="str">
        <f aca="false">IF(A318="","",EDATE(計算_償還開始,A318-1))</f>
        <v/>
      </c>
      <c r="C318" s="169" t="str">
        <f aca="false">IF(A318="","",IF(A318=計算_償還回数,D318+F317+G317,計算_毎月償還額))</f>
        <v/>
      </c>
      <c r="D318" s="169" t="str">
        <f aca="false">IF(A318="","",ROUND(F317*計算_利率/定数_年月数,0)+ROUND(G317*計算_利率_在宅介護/定数_年月数,0))</f>
        <v/>
      </c>
      <c r="E318" s="169" t="str">
        <f aca="false">IF(A318="","",C318-D318)</f>
        <v/>
      </c>
      <c r="F318" s="169" t="str">
        <f aca="false">IF(A318="","",IF(A318=計算_償還回数,0,MAX(0,F317-(ROUND(計算_月額_基本,0)-ROUND(F317*計算_利率/定数_年月数,0)))))</f>
        <v/>
      </c>
      <c r="G318" s="169" t="str">
        <f aca="false">IF(A318="","",IF(A318=計算_償還回数,0,MAX(0,G317-(ROUND(計算_月額_在宅介護,0)-ROUND(G317*計算_利率_在宅介護/定数_年月数,0)))))</f>
        <v/>
      </c>
      <c r="H318" s="169" t="str">
        <f aca="false">IF(A318="","",F318+G318)</f>
        <v/>
      </c>
      <c r="I318" s="168" t="str">
        <f aca="false">IF(A318="","",IF(AND(OR(MONTH(B318)=6,MONTH(B318)=12),I317&lt;計算_賞与回数),I317+1,I317))</f>
        <v/>
      </c>
      <c r="J318" s="169" t="str">
        <f aca="false">IF(A318="","",IF(I318&gt;I317,IF(I318=計算_賞与回数,M317+K318,計算_賞与償還額),0))</f>
        <v/>
      </c>
      <c r="K318" s="169" t="str">
        <f aca="false">IF(A318="","",IF(I318&gt;I317,ROUND(M317*計算_賞与期間利率,0),0))</f>
        <v/>
      </c>
      <c r="L318" s="169" t="str">
        <f aca="false">IF(A318="","",J318-K318)</f>
        <v/>
      </c>
      <c r="M318" s="169" t="str">
        <f aca="false">IF(A318="","",IF(I318&gt;I317,M317-L318,M317))</f>
        <v/>
      </c>
      <c r="N318" s="169" t="str">
        <f aca="false">IF(A318="","",C318+J318)</f>
        <v/>
      </c>
      <c r="O318" s="169" t="str">
        <f aca="false">IF(A318="","",H318+M318)</f>
        <v/>
      </c>
    </row>
    <row r="319" customFormat="false" ht="15" hidden="false" customHeight="false" outlineLevel="0" collapsed="false">
      <c r="A319" s="168" t="str">
        <f aca="false">IF(OR(計算_償還開始="",ROWS($A$8:A319)&gt;計算_償還回数),"",ROWS($A$8:A319))</f>
        <v/>
      </c>
      <c r="B319" s="170" t="str">
        <f aca="false">IF(A319="","",EDATE(計算_償還開始,A319-1))</f>
        <v/>
      </c>
      <c r="C319" s="169" t="str">
        <f aca="false">IF(A319="","",IF(A319=計算_償還回数,D319+F318+G318,計算_毎月償還額))</f>
        <v/>
      </c>
      <c r="D319" s="169" t="str">
        <f aca="false">IF(A319="","",ROUND(F318*計算_利率/定数_年月数,0)+ROUND(G318*計算_利率_在宅介護/定数_年月数,0))</f>
        <v/>
      </c>
      <c r="E319" s="169" t="str">
        <f aca="false">IF(A319="","",C319-D319)</f>
        <v/>
      </c>
      <c r="F319" s="169" t="str">
        <f aca="false">IF(A319="","",IF(A319=計算_償還回数,0,MAX(0,F318-(ROUND(計算_月額_基本,0)-ROUND(F318*計算_利率/定数_年月数,0)))))</f>
        <v/>
      </c>
      <c r="G319" s="169" t="str">
        <f aca="false">IF(A319="","",IF(A319=計算_償還回数,0,MAX(0,G318-(ROUND(計算_月額_在宅介護,0)-ROUND(G318*計算_利率_在宅介護/定数_年月数,0)))))</f>
        <v/>
      </c>
      <c r="H319" s="169" t="str">
        <f aca="false">IF(A319="","",F319+G319)</f>
        <v/>
      </c>
      <c r="I319" s="168" t="str">
        <f aca="false">IF(A319="","",IF(AND(OR(MONTH(B319)=6,MONTH(B319)=12),I318&lt;計算_賞与回数),I318+1,I318))</f>
        <v/>
      </c>
      <c r="J319" s="169" t="str">
        <f aca="false">IF(A319="","",IF(I319&gt;I318,IF(I319=計算_賞与回数,M318+K319,計算_賞与償還額),0))</f>
        <v/>
      </c>
      <c r="K319" s="169" t="str">
        <f aca="false">IF(A319="","",IF(I319&gt;I318,ROUND(M318*計算_賞与期間利率,0),0))</f>
        <v/>
      </c>
      <c r="L319" s="169" t="str">
        <f aca="false">IF(A319="","",J319-K319)</f>
        <v/>
      </c>
      <c r="M319" s="169" t="str">
        <f aca="false">IF(A319="","",IF(I319&gt;I318,M318-L319,M318))</f>
        <v/>
      </c>
      <c r="N319" s="169" t="str">
        <f aca="false">IF(A319="","",C319+J319)</f>
        <v/>
      </c>
      <c r="O319" s="169" t="str">
        <f aca="false">IF(A319="","",H319+M319)</f>
        <v/>
      </c>
    </row>
    <row r="320" customFormat="false" ht="15" hidden="false" customHeight="false" outlineLevel="0" collapsed="false">
      <c r="A320" s="168" t="str">
        <f aca="false">IF(OR(計算_償還開始="",ROWS($A$8:A320)&gt;計算_償還回数),"",ROWS($A$8:A320))</f>
        <v/>
      </c>
      <c r="B320" s="170" t="str">
        <f aca="false">IF(A320="","",EDATE(計算_償還開始,A320-1))</f>
        <v/>
      </c>
      <c r="C320" s="169" t="str">
        <f aca="false">IF(A320="","",IF(A320=計算_償還回数,D320+F319+G319,計算_毎月償還額))</f>
        <v/>
      </c>
      <c r="D320" s="169" t="str">
        <f aca="false">IF(A320="","",ROUND(F319*計算_利率/定数_年月数,0)+ROUND(G319*計算_利率_在宅介護/定数_年月数,0))</f>
        <v/>
      </c>
      <c r="E320" s="169" t="str">
        <f aca="false">IF(A320="","",C320-D320)</f>
        <v/>
      </c>
      <c r="F320" s="169" t="str">
        <f aca="false">IF(A320="","",IF(A320=計算_償還回数,0,MAX(0,F319-(ROUND(計算_月額_基本,0)-ROUND(F319*計算_利率/定数_年月数,0)))))</f>
        <v/>
      </c>
      <c r="G320" s="169" t="str">
        <f aca="false">IF(A320="","",IF(A320=計算_償還回数,0,MAX(0,G319-(ROUND(計算_月額_在宅介護,0)-ROUND(G319*計算_利率_在宅介護/定数_年月数,0)))))</f>
        <v/>
      </c>
      <c r="H320" s="169" t="str">
        <f aca="false">IF(A320="","",F320+G320)</f>
        <v/>
      </c>
      <c r="I320" s="168" t="str">
        <f aca="false">IF(A320="","",IF(AND(OR(MONTH(B320)=6,MONTH(B320)=12),I319&lt;計算_賞与回数),I319+1,I319))</f>
        <v/>
      </c>
      <c r="J320" s="169" t="str">
        <f aca="false">IF(A320="","",IF(I320&gt;I319,IF(I320=計算_賞与回数,M319+K320,計算_賞与償還額),0))</f>
        <v/>
      </c>
      <c r="K320" s="169" t="str">
        <f aca="false">IF(A320="","",IF(I320&gt;I319,ROUND(M319*計算_賞与期間利率,0),0))</f>
        <v/>
      </c>
      <c r="L320" s="169" t="str">
        <f aca="false">IF(A320="","",J320-K320)</f>
        <v/>
      </c>
      <c r="M320" s="169" t="str">
        <f aca="false">IF(A320="","",IF(I320&gt;I319,M319-L320,M319))</f>
        <v/>
      </c>
      <c r="N320" s="169" t="str">
        <f aca="false">IF(A320="","",C320+J320)</f>
        <v/>
      </c>
      <c r="O320" s="169" t="str">
        <f aca="false">IF(A320="","",H320+M320)</f>
        <v/>
      </c>
    </row>
    <row r="321" customFormat="false" ht="15" hidden="false" customHeight="false" outlineLevel="0" collapsed="false">
      <c r="A321" s="168" t="str">
        <f aca="false">IF(OR(計算_償還開始="",ROWS($A$8:A321)&gt;計算_償還回数),"",ROWS($A$8:A321))</f>
        <v/>
      </c>
      <c r="B321" s="170" t="str">
        <f aca="false">IF(A321="","",EDATE(計算_償還開始,A321-1))</f>
        <v/>
      </c>
      <c r="C321" s="169" t="str">
        <f aca="false">IF(A321="","",IF(A321=計算_償還回数,D321+F320+G320,計算_毎月償還額))</f>
        <v/>
      </c>
      <c r="D321" s="169" t="str">
        <f aca="false">IF(A321="","",ROUND(F320*計算_利率/定数_年月数,0)+ROUND(G320*計算_利率_在宅介護/定数_年月数,0))</f>
        <v/>
      </c>
      <c r="E321" s="169" t="str">
        <f aca="false">IF(A321="","",C321-D321)</f>
        <v/>
      </c>
      <c r="F321" s="169" t="str">
        <f aca="false">IF(A321="","",IF(A321=計算_償還回数,0,MAX(0,F320-(ROUND(計算_月額_基本,0)-ROUND(F320*計算_利率/定数_年月数,0)))))</f>
        <v/>
      </c>
      <c r="G321" s="169" t="str">
        <f aca="false">IF(A321="","",IF(A321=計算_償還回数,0,MAX(0,G320-(ROUND(計算_月額_在宅介護,0)-ROUND(G320*計算_利率_在宅介護/定数_年月数,0)))))</f>
        <v/>
      </c>
      <c r="H321" s="169" t="str">
        <f aca="false">IF(A321="","",F321+G321)</f>
        <v/>
      </c>
      <c r="I321" s="168" t="str">
        <f aca="false">IF(A321="","",IF(AND(OR(MONTH(B321)=6,MONTH(B321)=12),I320&lt;計算_賞与回数),I320+1,I320))</f>
        <v/>
      </c>
      <c r="J321" s="169" t="str">
        <f aca="false">IF(A321="","",IF(I321&gt;I320,IF(I321=計算_賞与回数,M320+K321,計算_賞与償還額),0))</f>
        <v/>
      </c>
      <c r="K321" s="169" t="str">
        <f aca="false">IF(A321="","",IF(I321&gt;I320,ROUND(M320*計算_賞与期間利率,0),0))</f>
        <v/>
      </c>
      <c r="L321" s="169" t="str">
        <f aca="false">IF(A321="","",J321-K321)</f>
        <v/>
      </c>
      <c r="M321" s="169" t="str">
        <f aca="false">IF(A321="","",IF(I321&gt;I320,M320-L321,M320))</f>
        <v/>
      </c>
      <c r="N321" s="169" t="str">
        <f aca="false">IF(A321="","",C321+J321)</f>
        <v/>
      </c>
      <c r="O321" s="169" t="str">
        <f aca="false">IF(A321="","",H321+M321)</f>
        <v/>
      </c>
    </row>
    <row r="322" customFormat="false" ht="15" hidden="false" customHeight="false" outlineLevel="0" collapsed="false">
      <c r="A322" s="168" t="str">
        <f aca="false">IF(OR(計算_償還開始="",ROWS($A$8:A322)&gt;計算_償還回数),"",ROWS($A$8:A322))</f>
        <v/>
      </c>
      <c r="B322" s="170" t="str">
        <f aca="false">IF(A322="","",EDATE(計算_償還開始,A322-1))</f>
        <v/>
      </c>
      <c r="C322" s="169" t="str">
        <f aca="false">IF(A322="","",IF(A322=計算_償還回数,D322+F321+G321,計算_毎月償還額))</f>
        <v/>
      </c>
      <c r="D322" s="169" t="str">
        <f aca="false">IF(A322="","",ROUND(F321*計算_利率/定数_年月数,0)+ROUND(G321*計算_利率_在宅介護/定数_年月数,0))</f>
        <v/>
      </c>
      <c r="E322" s="169" t="str">
        <f aca="false">IF(A322="","",C322-D322)</f>
        <v/>
      </c>
      <c r="F322" s="169" t="str">
        <f aca="false">IF(A322="","",IF(A322=計算_償還回数,0,MAX(0,F321-(ROUND(計算_月額_基本,0)-ROUND(F321*計算_利率/定数_年月数,0)))))</f>
        <v/>
      </c>
      <c r="G322" s="169" t="str">
        <f aca="false">IF(A322="","",IF(A322=計算_償還回数,0,MAX(0,G321-(ROUND(計算_月額_在宅介護,0)-ROUND(G321*計算_利率_在宅介護/定数_年月数,0)))))</f>
        <v/>
      </c>
      <c r="H322" s="169" t="str">
        <f aca="false">IF(A322="","",F322+G322)</f>
        <v/>
      </c>
      <c r="I322" s="168" t="str">
        <f aca="false">IF(A322="","",IF(AND(OR(MONTH(B322)=6,MONTH(B322)=12),I321&lt;計算_賞与回数),I321+1,I321))</f>
        <v/>
      </c>
      <c r="J322" s="169" t="str">
        <f aca="false">IF(A322="","",IF(I322&gt;I321,IF(I322=計算_賞与回数,M321+K322,計算_賞与償還額),0))</f>
        <v/>
      </c>
      <c r="K322" s="169" t="str">
        <f aca="false">IF(A322="","",IF(I322&gt;I321,ROUND(M321*計算_賞与期間利率,0),0))</f>
        <v/>
      </c>
      <c r="L322" s="169" t="str">
        <f aca="false">IF(A322="","",J322-K322)</f>
        <v/>
      </c>
      <c r="M322" s="169" t="str">
        <f aca="false">IF(A322="","",IF(I322&gt;I321,M321-L322,M321))</f>
        <v/>
      </c>
      <c r="N322" s="169" t="str">
        <f aca="false">IF(A322="","",C322+J322)</f>
        <v/>
      </c>
      <c r="O322" s="169" t="str">
        <f aca="false">IF(A322="","",H322+M322)</f>
        <v/>
      </c>
    </row>
    <row r="323" customFormat="false" ht="15" hidden="false" customHeight="false" outlineLevel="0" collapsed="false">
      <c r="A323" s="168" t="str">
        <f aca="false">IF(OR(計算_償還開始="",ROWS($A$8:A323)&gt;計算_償還回数),"",ROWS($A$8:A323))</f>
        <v/>
      </c>
      <c r="B323" s="170" t="str">
        <f aca="false">IF(A323="","",EDATE(計算_償還開始,A323-1))</f>
        <v/>
      </c>
      <c r="C323" s="169" t="str">
        <f aca="false">IF(A323="","",IF(A323=計算_償還回数,D323+F322+G322,計算_毎月償還額))</f>
        <v/>
      </c>
      <c r="D323" s="169" t="str">
        <f aca="false">IF(A323="","",ROUND(F322*計算_利率/定数_年月数,0)+ROUND(G322*計算_利率_在宅介護/定数_年月数,0))</f>
        <v/>
      </c>
      <c r="E323" s="169" t="str">
        <f aca="false">IF(A323="","",C323-D323)</f>
        <v/>
      </c>
      <c r="F323" s="169" t="str">
        <f aca="false">IF(A323="","",IF(A323=計算_償還回数,0,MAX(0,F322-(ROUND(計算_月額_基本,0)-ROUND(F322*計算_利率/定数_年月数,0)))))</f>
        <v/>
      </c>
      <c r="G323" s="169" t="str">
        <f aca="false">IF(A323="","",IF(A323=計算_償還回数,0,MAX(0,G322-(ROUND(計算_月額_在宅介護,0)-ROUND(G322*計算_利率_在宅介護/定数_年月数,0)))))</f>
        <v/>
      </c>
      <c r="H323" s="169" t="str">
        <f aca="false">IF(A323="","",F323+G323)</f>
        <v/>
      </c>
      <c r="I323" s="168" t="str">
        <f aca="false">IF(A323="","",IF(AND(OR(MONTH(B323)=6,MONTH(B323)=12),I322&lt;計算_賞与回数),I322+1,I322))</f>
        <v/>
      </c>
      <c r="J323" s="169" t="str">
        <f aca="false">IF(A323="","",IF(I323&gt;I322,IF(I323=計算_賞与回数,M322+K323,計算_賞与償還額),0))</f>
        <v/>
      </c>
      <c r="K323" s="169" t="str">
        <f aca="false">IF(A323="","",IF(I323&gt;I322,ROUND(M322*計算_賞与期間利率,0),0))</f>
        <v/>
      </c>
      <c r="L323" s="169" t="str">
        <f aca="false">IF(A323="","",J323-K323)</f>
        <v/>
      </c>
      <c r="M323" s="169" t="str">
        <f aca="false">IF(A323="","",IF(I323&gt;I322,M322-L323,M322))</f>
        <v/>
      </c>
      <c r="N323" s="169" t="str">
        <f aca="false">IF(A323="","",C323+J323)</f>
        <v/>
      </c>
      <c r="O323" s="169" t="str">
        <f aca="false">IF(A323="","",H323+M323)</f>
        <v/>
      </c>
    </row>
    <row r="324" customFormat="false" ht="15" hidden="false" customHeight="false" outlineLevel="0" collapsed="false">
      <c r="A324" s="168" t="str">
        <f aca="false">IF(OR(計算_償還開始="",ROWS($A$8:A324)&gt;計算_償還回数),"",ROWS($A$8:A324))</f>
        <v/>
      </c>
      <c r="B324" s="170" t="str">
        <f aca="false">IF(A324="","",EDATE(計算_償還開始,A324-1))</f>
        <v/>
      </c>
      <c r="C324" s="169" t="str">
        <f aca="false">IF(A324="","",IF(A324=計算_償還回数,D324+F323+G323,計算_毎月償還額))</f>
        <v/>
      </c>
      <c r="D324" s="169" t="str">
        <f aca="false">IF(A324="","",ROUND(F323*計算_利率/定数_年月数,0)+ROUND(G323*計算_利率_在宅介護/定数_年月数,0))</f>
        <v/>
      </c>
      <c r="E324" s="169" t="str">
        <f aca="false">IF(A324="","",C324-D324)</f>
        <v/>
      </c>
      <c r="F324" s="169" t="str">
        <f aca="false">IF(A324="","",IF(A324=計算_償還回数,0,MAX(0,F323-(ROUND(計算_月額_基本,0)-ROUND(F323*計算_利率/定数_年月数,0)))))</f>
        <v/>
      </c>
      <c r="G324" s="169" t="str">
        <f aca="false">IF(A324="","",IF(A324=計算_償還回数,0,MAX(0,G323-(ROUND(計算_月額_在宅介護,0)-ROUND(G323*計算_利率_在宅介護/定数_年月数,0)))))</f>
        <v/>
      </c>
      <c r="H324" s="169" t="str">
        <f aca="false">IF(A324="","",F324+G324)</f>
        <v/>
      </c>
      <c r="I324" s="168" t="str">
        <f aca="false">IF(A324="","",IF(AND(OR(MONTH(B324)=6,MONTH(B324)=12),I323&lt;計算_賞与回数),I323+1,I323))</f>
        <v/>
      </c>
      <c r="J324" s="169" t="str">
        <f aca="false">IF(A324="","",IF(I324&gt;I323,IF(I324=計算_賞与回数,M323+K324,計算_賞与償還額),0))</f>
        <v/>
      </c>
      <c r="K324" s="169" t="str">
        <f aca="false">IF(A324="","",IF(I324&gt;I323,ROUND(M323*計算_賞与期間利率,0),0))</f>
        <v/>
      </c>
      <c r="L324" s="169" t="str">
        <f aca="false">IF(A324="","",J324-K324)</f>
        <v/>
      </c>
      <c r="M324" s="169" t="str">
        <f aca="false">IF(A324="","",IF(I324&gt;I323,M323-L324,M323))</f>
        <v/>
      </c>
      <c r="N324" s="169" t="str">
        <f aca="false">IF(A324="","",C324+J324)</f>
        <v/>
      </c>
      <c r="O324" s="169" t="str">
        <f aca="false">IF(A324="","",H324+M324)</f>
        <v/>
      </c>
    </row>
    <row r="325" customFormat="false" ht="15" hidden="false" customHeight="false" outlineLevel="0" collapsed="false">
      <c r="A325" s="168" t="str">
        <f aca="false">IF(OR(計算_償還開始="",ROWS($A$8:A325)&gt;計算_償還回数),"",ROWS($A$8:A325))</f>
        <v/>
      </c>
      <c r="B325" s="170" t="str">
        <f aca="false">IF(A325="","",EDATE(計算_償還開始,A325-1))</f>
        <v/>
      </c>
      <c r="C325" s="169" t="str">
        <f aca="false">IF(A325="","",IF(A325=計算_償還回数,D325+F324+G324,計算_毎月償還額))</f>
        <v/>
      </c>
      <c r="D325" s="169" t="str">
        <f aca="false">IF(A325="","",ROUND(F324*計算_利率/定数_年月数,0)+ROUND(G324*計算_利率_在宅介護/定数_年月数,0))</f>
        <v/>
      </c>
      <c r="E325" s="169" t="str">
        <f aca="false">IF(A325="","",C325-D325)</f>
        <v/>
      </c>
      <c r="F325" s="169" t="str">
        <f aca="false">IF(A325="","",IF(A325=計算_償還回数,0,MAX(0,F324-(ROUND(計算_月額_基本,0)-ROUND(F324*計算_利率/定数_年月数,0)))))</f>
        <v/>
      </c>
      <c r="G325" s="169" t="str">
        <f aca="false">IF(A325="","",IF(A325=計算_償還回数,0,MAX(0,G324-(ROUND(計算_月額_在宅介護,0)-ROUND(G324*計算_利率_在宅介護/定数_年月数,0)))))</f>
        <v/>
      </c>
      <c r="H325" s="169" t="str">
        <f aca="false">IF(A325="","",F325+G325)</f>
        <v/>
      </c>
      <c r="I325" s="168" t="str">
        <f aca="false">IF(A325="","",IF(AND(OR(MONTH(B325)=6,MONTH(B325)=12),I324&lt;計算_賞与回数),I324+1,I324))</f>
        <v/>
      </c>
      <c r="J325" s="169" t="str">
        <f aca="false">IF(A325="","",IF(I325&gt;I324,IF(I325=計算_賞与回数,M324+K325,計算_賞与償還額),0))</f>
        <v/>
      </c>
      <c r="K325" s="169" t="str">
        <f aca="false">IF(A325="","",IF(I325&gt;I324,ROUND(M324*計算_賞与期間利率,0),0))</f>
        <v/>
      </c>
      <c r="L325" s="169" t="str">
        <f aca="false">IF(A325="","",J325-K325)</f>
        <v/>
      </c>
      <c r="M325" s="169" t="str">
        <f aca="false">IF(A325="","",IF(I325&gt;I324,M324-L325,M324))</f>
        <v/>
      </c>
      <c r="N325" s="169" t="str">
        <f aca="false">IF(A325="","",C325+J325)</f>
        <v/>
      </c>
      <c r="O325" s="169" t="str">
        <f aca="false">IF(A325="","",H325+M325)</f>
        <v/>
      </c>
    </row>
    <row r="326" customFormat="false" ht="15" hidden="false" customHeight="false" outlineLevel="0" collapsed="false">
      <c r="A326" s="168" t="str">
        <f aca="false">IF(OR(計算_償還開始="",ROWS($A$8:A326)&gt;計算_償還回数),"",ROWS($A$8:A326))</f>
        <v/>
      </c>
      <c r="B326" s="170" t="str">
        <f aca="false">IF(A326="","",EDATE(計算_償還開始,A326-1))</f>
        <v/>
      </c>
      <c r="C326" s="169" t="str">
        <f aca="false">IF(A326="","",IF(A326=計算_償還回数,D326+F325+G325,計算_毎月償還額))</f>
        <v/>
      </c>
      <c r="D326" s="169" t="str">
        <f aca="false">IF(A326="","",ROUND(F325*計算_利率/定数_年月数,0)+ROUND(G325*計算_利率_在宅介護/定数_年月数,0))</f>
        <v/>
      </c>
      <c r="E326" s="169" t="str">
        <f aca="false">IF(A326="","",C326-D326)</f>
        <v/>
      </c>
      <c r="F326" s="169" t="str">
        <f aca="false">IF(A326="","",IF(A326=計算_償還回数,0,MAX(0,F325-(ROUND(計算_月額_基本,0)-ROUND(F325*計算_利率/定数_年月数,0)))))</f>
        <v/>
      </c>
      <c r="G326" s="169" t="str">
        <f aca="false">IF(A326="","",IF(A326=計算_償還回数,0,MAX(0,G325-(ROUND(計算_月額_在宅介護,0)-ROUND(G325*計算_利率_在宅介護/定数_年月数,0)))))</f>
        <v/>
      </c>
      <c r="H326" s="169" t="str">
        <f aca="false">IF(A326="","",F326+G326)</f>
        <v/>
      </c>
      <c r="I326" s="168" t="str">
        <f aca="false">IF(A326="","",IF(AND(OR(MONTH(B326)=6,MONTH(B326)=12),I325&lt;計算_賞与回数),I325+1,I325))</f>
        <v/>
      </c>
      <c r="J326" s="169" t="str">
        <f aca="false">IF(A326="","",IF(I326&gt;I325,IF(I326=計算_賞与回数,M325+K326,計算_賞与償還額),0))</f>
        <v/>
      </c>
      <c r="K326" s="169" t="str">
        <f aca="false">IF(A326="","",IF(I326&gt;I325,ROUND(M325*計算_賞与期間利率,0),0))</f>
        <v/>
      </c>
      <c r="L326" s="169" t="str">
        <f aca="false">IF(A326="","",J326-K326)</f>
        <v/>
      </c>
      <c r="M326" s="169" t="str">
        <f aca="false">IF(A326="","",IF(I326&gt;I325,M325-L326,M325))</f>
        <v/>
      </c>
      <c r="N326" s="169" t="str">
        <f aca="false">IF(A326="","",C326+J326)</f>
        <v/>
      </c>
      <c r="O326" s="169" t="str">
        <f aca="false">IF(A326="","",H326+M326)</f>
        <v/>
      </c>
    </row>
    <row r="327" customFormat="false" ht="15" hidden="false" customHeight="false" outlineLevel="0" collapsed="false">
      <c r="A327" s="168" t="str">
        <f aca="false">IF(OR(計算_償還開始="",ROWS($A$8:A327)&gt;計算_償還回数),"",ROWS($A$8:A327))</f>
        <v/>
      </c>
      <c r="B327" s="170" t="str">
        <f aca="false">IF(A327="","",EDATE(計算_償還開始,A327-1))</f>
        <v/>
      </c>
      <c r="C327" s="169" t="str">
        <f aca="false">IF(A327="","",IF(A327=計算_償還回数,D327+F326+G326,計算_毎月償還額))</f>
        <v/>
      </c>
      <c r="D327" s="169" t="str">
        <f aca="false">IF(A327="","",ROUND(F326*計算_利率/定数_年月数,0)+ROUND(G326*計算_利率_在宅介護/定数_年月数,0))</f>
        <v/>
      </c>
      <c r="E327" s="169" t="str">
        <f aca="false">IF(A327="","",C327-D327)</f>
        <v/>
      </c>
      <c r="F327" s="169" t="str">
        <f aca="false">IF(A327="","",IF(A327=計算_償還回数,0,MAX(0,F326-(ROUND(計算_月額_基本,0)-ROUND(F326*計算_利率/定数_年月数,0)))))</f>
        <v/>
      </c>
      <c r="G327" s="169" t="str">
        <f aca="false">IF(A327="","",IF(A327=計算_償還回数,0,MAX(0,G326-(ROUND(計算_月額_在宅介護,0)-ROUND(G326*計算_利率_在宅介護/定数_年月数,0)))))</f>
        <v/>
      </c>
      <c r="H327" s="169" t="str">
        <f aca="false">IF(A327="","",F327+G327)</f>
        <v/>
      </c>
      <c r="I327" s="168" t="str">
        <f aca="false">IF(A327="","",IF(AND(OR(MONTH(B327)=6,MONTH(B327)=12),I326&lt;計算_賞与回数),I326+1,I326))</f>
        <v/>
      </c>
      <c r="J327" s="169" t="str">
        <f aca="false">IF(A327="","",IF(I327&gt;I326,IF(I327=計算_賞与回数,M326+K327,計算_賞与償還額),0))</f>
        <v/>
      </c>
      <c r="K327" s="169" t="str">
        <f aca="false">IF(A327="","",IF(I327&gt;I326,ROUND(M326*計算_賞与期間利率,0),0))</f>
        <v/>
      </c>
      <c r="L327" s="169" t="str">
        <f aca="false">IF(A327="","",J327-K327)</f>
        <v/>
      </c>
      <c r="M327" s="169" t="str">
        <f aca="false">IF(A327="","",IF(I327&gt;I326,M326-L327,M326))</f>
        <v/>
      </c>
      <c r="N327" s="169" t="str">
        <f aca="false">IF(A327="","",C327+J327)</f>
        <v/>
      </c>
      <c r="O327" s="169" t="str">
        <f aca="false">IF(A327="","",H327+M327)</f>
        <v/>
      </c>
    </row>
    <row r="328" customFormat="false" ht="15" hidden="false" customHeight="false" outlineLevel="0" collapsed="false">
      <c r="A328" s="168" t="str">
        <f aca="false">IF(OR(計算_償還開始="",ROWS($A$8:A328)&gt;計算_償還回数),"",ROWS($A$8:A328))</f>
        <v/>
      </c>
      <c r="B328" s="170" t="str">
        <f aca="false">IF(A328="","",EDATE(計算_償還開始,A328-1))</f>
        <v/>
      </c>
      <c r="C328" s="169" t="str">
        <f aca="false">IF(A328="","",IF(A328=計算_償還回数,D328+F327+G327,計算_毎月償還額))</f>
        <v/>
      </c>
      <c r="D328" s="169" t="str">
        <f aca="false">IF(A328="","",ROUND(F327*計算_利率/定数_年月数,0)+ROUND(G327*計算_利率_在宅介護/定数_年月数,0))</f>
        <v/>
      </c>
      <c r="E328" s="169" t="str">
        <f aca="false">IF(A328="","",C328-D328)</f>
        <v/>
      </c>
      <c r="F328" s="169" t="str">
        <f aca="false">IF(A328="","",IF(A328=計算_償還回数,0,MAX(0,F327-(ROUND(計算_月額_基本,0)-ROUND(F327*計算_利率/定数_年月数,0)))))</f>
        <v/>
      </c>
      <c r="G328" s="169" t="str">
        <f aca="false">IF(A328="","",IF(A328=計算_償還回数,0,MAX(0,G327-(ROUND(計算_月額_在宅介護,0)-ROUND(G327*計算_利率_在宅介護/定数_年月数,0)))))</f>
        <v/>
      </c>
      <c r="H328" s="169" t="str">
        <f aca="false">IF(A328="","",F328+G328)</f>
        <v/>
      </c>
      <c r="I328" s="168" t="str">
        <f aca="false">IF(A328="","",IF(AND(OR(MONTH(B328)=6,MONTH(B328)=12),I327&lt;計算_賞与回数),I327+1,I327))</f>
        <v/>
      </c>
      <c r="J328" s="169" t="str">
        <f aca="false">IF(A328="","",IF(I328&gt;I327,IF(I328=計算_賞与回数,M327+K328,計算_賞与償還額),0))</f>
        <v/>
      </c>
      <c r="K328" s="169" t="str">
        <f aca="false">IF(A328="","",IF(I328&gt;I327,ROUND(M327*計算_賞与期間利率,0),0))</f>
        <v/>
      </c>
      <c r="L328" s="169" t="str">
        <f aca="false">IF(A328="","",J328-K328)</f>
        <v/>
      </c>
      <c r="M328" s="169" t="str">
        <f aca="false">IF(A328="","",IF(I328&gt;I327,M327-L328,M327))</f>
        <v/>
      </c>
      <c r="N328" s="169" t="str">
        <f aca="false">IF(A328="","",C328+J328)</f>
        <v/>
      </c>
      <c r="O328" s="169" t="str">
        <f aca="false">IF(A328="","",H328+M328)</f>
        <v/>
      </c>
    </row>
    <row r="329" customFormat="false" ht="15" hidden="false" customHeight="false" outlineLevel="0" collapsed="false">
      <c r="A329" s="168" t="str">
        <f aca="false">IF(OR(計算_償還開始="",ROWS($A$8:A329)&gt;計算_償還回数),"",ROWS($A$8:A329))</f>
        <v/>
      </c>
      <c r="B329" s="170" t="str">
        <f aca="false">IF(A329="","",EDATE(計算_償還開始,A329-1))</f>
        <v/>
      </c>
      <c r="C329" s="169" t="str">
        <f aca="false">IF(A329="","",IF(A329=計算_償還回数,D329+F328+G328,計算_毎月償還額))</f>
        <v/>
      </c>
      <c r="D329" s="169" t="str">
        <f aca="false">IF(A329="","",ROUND(F328*計算_利率/定数_年月数,0)+ROUND(G328*計算_利率_在宅介護/定数_年月数,0))</f>
        <v/>
      </c>
      <c r="E329" s="169" t="str">
        <f aca="false">IF(A329="","",C329-D329)</f>
        <v/>
      </c>
      <c r="F329" s="169" t="str">
        <f aca="false">IF(A329="","",IF(A329=計算_償還回数,0,MAX(0,F328-(ROUND(計算_月額_基本,0)-ROUND(F328*計算_利率/定数_年月数,0)))))</f>
        <v/>
      </c>
      <c r="G329" s="169" t="str">
        <f aca="false">IF(A329="","",IF(A329=計算_償還回数,0,MAX(0,G328-(ROUND(計算_月額_在宅介護,0)-ROUND(G328*計算_利率_在宅介護/定数_年月数,0)))))</f>
        <v/>
      </c>
      <c r="H329" s="169" t="str">
        <f aca="false">IF(A329="","",F329+G329)</f>
        <v/>
      </c>
      <c r="I329" s="168" t="str">
        <f aca="false">IF(A329="","",IF(AND(OR(MONTH(B329)=6,MONTH(B329)=12),I328&lt;計算_賞与回数),I328+1,I328))</f>
        <v/>
      </c>
      <c r="J329" s="169" t="str">
        <f aca="false">IF(A329="","",IF(I329&gt;I328,IF(I329=計算_賞与回数,M328+K329,計算_賞与償還額),0))</f>
        <v/>
      </c>
      <c r="K329" s="169" t="str">
        <f aca="false">IF(A329="","",IF(I329&gt;I328,ROUND(M328*計算_賞与期間利率,0),0))</f>
        <v/>
      </c>
      <c r="L329" s="169" t="str">
        <f aca="false">IF(A329="","",J329-K329)</f>
        <v/>
      </c>
      <c r="M329" s="169" t="str">
        <f aca="false">IF(A329="","",IF(I329&gt;I328,M328-L329,M328))</f>
        <v/>
      </c>
      <c r="N329" s="169" t="str">
        <f aca="false">IF(A329="","",C329+J329)</f>
        <v/>
      </c>
      <c r="O329" s="169" t="str">
        <f aca="false">IF(A329="","",H329+M329)</f>
        <v/>
      </c>
    </row>
    <row r="330" customFormat="false" ht="15" hidden="false" customHeight="false" outlineLevel="0" collapsed="false">
      <c r="A330" s="168" t="str">
        <f aca="false">IF(OR(計算_償還開始="",ROWS($A$8:A330)&gt;計算_償還回数),"",ROWS($A$8:A330))</f>
        <v/>
      </c>
      <c r="B330" s="170" t="str">
        <f aca="false">IF(A330="","",EDATE(計算_償還開始,A330-1))</f>
        <v/>
      </c>
      <c r="C330" s="169" t="str">
        <f aca="false">IF(A330="","",IF(A330=計算_償還回数,D330+F329+G329,計算_毎月償還額))</f>
        <v/>
      </c>
      <c r="D330" s="169" t="str">
        <f aca="false">IF(A330="","",ROUND(F329*計算_利率/定数_年月数,0)+ROUND(G329*計算_利率_在宅介護/定数_年月数,0))</f>
        <v/>
      </c>
      <c r="E330" s="169" t="str">
        <f aca="false">IF(A330="","",C330-D330)</f>
        <v/>
      </c>
      <c r="F330" s="169" t="str">
        <f aca="false">IF(A330="","",IF(A330=計算_償還回数,0,MAX(0,F329-(ROUND(計算_月額_基本,0)-ROUND(F329*計算_利率/定数_年月数,0)))))</f>
        <v/>
      </c>
      <c r="G330" s="169" t="str">
        <f aca="false">IF(A330="","",IF(A330=計算_償還回数,0,MAX(0,G329-(ROUND(計算_月額_在宅介護,0)-ROUND(G329*計算_利率_在宅介護/定数_年月数,0)))))</f>
        <v/>
      </c>
      <c r="H330" s="169" t="str">
        <f aca="false">IF(A330="","",F330+G330)</f>
        <v/>
      </c>
      <c r="I330" s="168" t="str">
        <f aca="false">IF(A330="","",IF(AND(OR(MONTH(B330)=6,MONTH(B330)=12),I329&lt;計算_賞与回数),I329+1,I329))</f>
        <v/>
      </c>
      <c r="J330" s="169" t="str">
        <f aca="false">IF(A330="","",IF(I330&gt;I329,IF(I330=計算_賞与回数,M329+K330,計算_賞与償還額),0))</f>
        <v/>
      </c>
      <c r="K330" s="169" t="str">
        <f aca="false">IF(A330="","",IF(I330&gt;I329,ROUND(M329*計算_賞与期間利率,0),0))</f>
        <v/>
      </c>
      <c r="L330" s="169" t="str">
        <f aca="false">IF(A330="","",J330-K330)</f>
        <v/>
      </c>
      <c r="M330" s="169" t="str">
        <f aca="false">IF(A330="","",IF(I330&gt;I329,M329-L330,M329))</f>
        <v/>
      </c>
      <c r="N330" s="169" t="str">
        <f aca="false">IF(A330="","",C330+J330)</f>
        <v/>
      </c>
      <c r="O330" s="169" t="str">
        <f aca="false">IF(A330="","",H330+M330)</f>
        <v/>
      </c>
    </row>
    <row r="331" customFormat="false" ht="15" hidden="false" customHeight="false" outlineLevel="0" collapsed="false">
      <c r="A331" s="168" t="str">
        <f aca="false">IF(OR(計算_償還開始="",ROWS($A$8:A331)&gt;計算_償還回数),"",ROWS($A$8:A331))</f>
        <v/>
      </c>
      <c r="B331" s="170" t="str">
        <f aca="false">IF(A331="","",EDATE(計算_償還開始,A331-1))</f>
        <v/>
      </c>
      <c r="C331" s="169" t="str">
        <f aca="false">IF(A331="","",IF(A331=計算_償還回数,D331+F330+G330,計算_毎月償還額))</f>
        <v/>
      </c>
      <c r="D331" s="169" t="str">
        <f aca="false">IF(A331="","",ROUND(F330*計算_利率/定数_年月数,0)+ROUND(G330*計算_利率_在宅介護/定数_年月数,0))</f>
        <v/>
      </c>
      <c r="E331" s="169" t="str">
        <f aca="false">IF(A331="","",C331-D331)</f>
        <v/>
      </c>
      <c r="F331" s="169" t="str">
        <f aca="false">IF(A331="","",IF(A331=計算_償還回数,0,MAX(0,F330-(ROUND(計算_月額_基本,0)-ROUND(F330*計算_利率/定数_年月数,0)))))</f>
        <v/>
      </c>
      <c r="G331" s="169" t="str">
        <f aca="false">IF(A331="","",IF(A331=計算_償還回数,0,MAX(0,G330-(ROUND(計算_月額_在宅介護,0)-ROUND(G330*計算_利率_在宅介護/定数_年月数,0)))))</f>
        <v/>
      </c>
      <c r="H331" s="169" t="str">
        <f aca="false">IF(A331="","",F331+G331)</f>
        <v/>
      </c>
      <c r="I331" s="168" t="str">
        <f aca="false">IF(A331="","",IF(AND(OR(MONTH(B331)=6,MONTH(B331)=12),I330&lt;計算_賞与回数),I330+1,I330))</f>
        <v/>
      </c>
      <c r="J331" s="169" t="str">
        <f aca="false">IF(A331="","",IF(I331&gt;I330,IF(I331=計算_賞与回数,M330+K331,計算_賞与償還額),0))</f>
        <v/>
      </c>
      <c r="K331" s="169" t="str">
        <f aca="false">IF(A331="","",IF(I331&gt;I330,ROUND(M330*計算_賞与期間利率,0),0))</f>
        <v/>
      </c>
      <c r="L331" s="169" t="str">
        <f aca="false">IF(A331="","",J331-K331)</f>
        <v/>
      </c>
      <c r="M331" s="169" t="str">
        <f aca="false">IF(A331="","",IF(I331&gt;I330,M330-L331,M330))</f>
        <v/>
      </c>
      <c r="N331" s="169" t="str">
        <f aca="false">IF(A331="","",C331+J331)</f>
        <v/>
      </c>
      <c r="O331" s="169" t="str">
        <f aca="false">IF(A331="","",H331+M331)</f>
        <v/>
      </c>
    </row>
    <row r="332" customFormat="false" ht="15" hidden="false" customHeight="false" outlineLevel="0" collapsed="false">
      <c r="A332" s="168" t="str">
        <f aca="false">IF(OR(計算_償還開始="",ROWS($A$8:A332)&gt;計算_償還回数),"",ROWS($A$8:A332))</f>
        <v/>
      </c>
      <c r="B332" s="170" t="str">
        <f aca="false">IF(A332="","",EDATE(計算_償還開始,A332-1))</f>
        <v/>
      </c>
      <c r="C332" s="169" t="str">
        <f aca="false">IF(A332="","",IF(A332=計算_償還回数,D332+F331+G331,計算_毎月償還額))</f>
        <v/>
      </c>
      <c r="D332" s="169" t="str">
        <f aca="false">IF(A332="","",ROUND(F331*計算_利率/定数_年月数,0)+ROUND(G331*計算_利率_在宅介護/定数_年月数,0))</f>
        <v/>
      </c>
      <c r="E332" s="169" t="str">
        <f aca="false">IF(A332="","",C332-D332)</f>
        <v/>
      </c>
      <c r="F332" s="169" t="str">
        <f aca="false">IF(A332="","",IF(A332=計算_償還回数,0,MAX(0,F331-(ROUND(計算_月額_基本,0)-ROUND(F331*計算_利率/定数_年月数,0)))))</f>
        <v/>
      </c>
      <c r="G332" s="169" t="str">
        <f aca="false">IF(A332="","",IF(A332=計算_償還回数,0,MAX(0,G331-(ROUND(計算_月額_在宅介護,0)-ROUND(G331*計算_利率_在宅介護/定数_年月数,0)))))</f>
        <v/>
      </c>
      <c r="H332" s="169" t="str">
        <f aca="false">IF(A332="","",F332+G332)</f>
        <v/>
      </c>
      <c r="I332" s="168" t="str">
        <f aca="false">IF(A332="","",IF(AND(OR(MONTH(B332)=6,MONTH(B332)=12),I331&lt;計算_賞与回数),I331+1,I331))</f>
        <v/>
      </c>
      <c r="J332" s="169" t="str">
        <f aca="false">IF(A332="","",IF(I332&gt;I331,IF(I332=計算_賞与回数,M331+K332,計算_賞与償還額),0))</f>
        <v/>
      </c>
      <c r="K332" s="169" t="str">
        <f aca="false">IF(A332="","",IF(I332&gt;I331,ROUND(M331*計算_賞与期間利率,0),0))</f>
        <v/>
      </c>
      <c r="L332" s="169" t="str">
        <f aca="false">IF(A332="","",J332-K332)</f>
        <v/>
      </c>
      <c r="M332" s="169" t="str">
        <f aca="false">IF(A332="","",IF(I332&gt;I331,M331-L332,M331))</f>
        <v/>
      </c>
      <c r="N332" s="169" t="str">
        <f aca="false">IF(A332="","",C332+J332)</f>
        <v/>
      </c>
      <c r="O332" s="169" t="str">
        <f aca="false">IF(A332="","",H332+M332)</f>
        <v/>
      </c>
    </row>
    <row r="333" customFormat="false" ht="15" hidden="false" customHeight="false" outlineLevel="0" collapsed="false">
      <c r="A333" s="168" t="str">
        <f aca="false">IF(OR(計算_償還開始="",ROWS($A$8:A333)&gt;計算_償還回数),"",ROWS($A$8:A333))</f>
        <v/>
      </c>
      <c r="B333" s="170" t="str">
        <f aca="false">IF(A333="","",EDATE(計算_償還開始,A333-1))</f>
        <v/>
      </c>
      <c r="C333" s="169" t="str">
        <f aca="false">IF(A333="","",IF(A333=計算_償還回数,D333+F332+G332,計算_毎月償還額))</f>
        <v/>
      </c>
      <c r="D333" s="169" t="str">
        <f aca="false">IF(A333="","",ROUND(F332*計算_利率/定数_年月数,0)+ROUND(G332*計算_利率_在宅介護/定数_年月数,0))</f>
        <v/>
      </c>
      <c r="E333" s="169" t="str">
        <f aca="false">IF(A333="","",C333-D333)</f>
        <v/>
      </c>
      <c r="F333" s="169" t="str">
        <f aca="false">IF(A333="","",IF(A333=計算_償還回数,0,MAX(0,F332-(ROUND(計算_月額_基本,0)-ROUND(F332*計算_利率/定数_年月数,0)))))</f>
        <v/>
      </c>
      <c r="G333" s="169" t="str">
        <f aca="false">IF(A333="","",IF(A333=計算_償還回数,0,MAX(0,G332-(ROUND(計算_月額_在宅介護,0)-ROUND(G332*計算_利率_在宅介護/定数_年月数,0)))))</f>
        <v/>
      </c>
      <c r="H333" s="169" t="str">
        <f aca="false">IF(A333="","",F333+G333)</f>
        <v/>
      </c>
      <c r="I333" s="168" t="str">
        <f aca="false">IF(A333="","",IF(AND(OR(MONTH(B333)=6,MONTH(B333)=12),I332&lt;計算_賞与回数),I332+1,I332))</f>
        <v/>
      </c>
      <c r="J333" s="169" t="str">
        <f aca="false">IF(A333="","",IF(I333&gt;I332,IF(I333=計算_賞与回数,M332+K333,計算_賞与償還額),0))</f>
        <v/>
      </c>
      <c r="K333" s="169" t="str">
        <f aca="false">IF(A333="","",IF(I333&gt;I332,ROUND(M332*計算_賞与期間利率,0),0))</f>
        <v/>
      </c>
      <c r="L333" s="169" t="str">
        <f aca="false">IF(A333="","",J333-K333)</f>
        <v/>
      </c>
      <c r="M333" s="169" t="str">
        <f aca="false">IF(A333="","",IF(I333&gt;I332,M332-L333,M332))</f>
        <v/>
      </c>
      <c r="N333" s="169" t="str">
        <f aca="false">IF(A333="","",C333+J333)</f>
        <v/>
      </c>
      <c r="O333" s="169" t="str">
        <f aca="false">IF(A333="","",H333+M333)</f>
        <v/>
      </c>
    </row>
    <row r="334" customFormat="false" ht="15" hidden="false" customHeight="false" outlineLevel="0" collapsed="false">
      <c r="A334" s="168" t="str">
        <f aca="false">IF(OR(計算_償還開始="",ROWS($A$8:A334)&gt;計算_償還回数),"",ROWS($A$8:A334))</f>
        <v/>
      </c>
      <c r="B334" s="170" t="str">
        <f aca="false">IF(A334="","",EDATE(計算_償還開始,A334-1))</f>
        <v/>
      </c>
      <c r="C334" s="169" t="str">
        <f aca="false">IF(A334="","",IF(A334=計算_償還回数,D334+F333+G333,計算_毎月償還額))</f>
        <v/>
      </c>
      <c r="D334" s="169" t="str">
        <f aca="false">IF(A334="","",ROUND(F333*計算_利率/定数_年月数,0)+ROUND(G333*計算_利率_在宅介護/定数_年月数,0))</f>
        <v/>
      </c>
      <c r="E334" s="169" t="str">
        <f aca="false">IF(A334="","",C334-D334)</f>
        <v/>
      </c>
      <c r="F334" s="169" t="str">
        <f aca="false">IF(A334="","",IF(A334=計算_償還回数,0,MAX(0,F333-(ROUND(計算_月額_基本,0)-ROUND(F333*計算_利率/定数_年月数,0)))))</f>
        <v/>
      </c>
      <c r="G334" s="169" t="str">
        <f aca="false">IF(A334="","",IF(A334=計算_償還回数,0,MAX(0,G333-(ROUND(計算_月額_在宅介護,0)-ROUND(G333*計算_利率_在宅介護/定数_年月数,0)))))</f>
        <v/>
      </c>
      <c r="H334" s="169" t="str">
        <f aca="false">IF(A334="","",F334+G334)</f>
        <v/>
      </c>
      <c r="I334" s="168" t="str">
        <f aca="false">IF(A334="","",IF(AND(OR(MONTH(B334)=6,MONTH(B334)=12),I333&lt;計算_賞与回数),I333+1,I333))</f>
        <v/>
      </c>
      <c r="J334" s="169" t="str">
        <f aca="false">IF(A334="","",IF(I334&gt;I333,IF(I334=計算_賞与回数,M333+K334,計算_賞与償還額),0))</f>
        <v/>
      </c>
      <c r="K334" s="169" t="str">
        <f aca="false">IF(A334="","",IF(I334&gt;I333,ROUND(M333*計算_賞与期間利率,0),0))</f>
        <v/>
      </c>
      <c r="L334" s="169" t="str">
        <f aca="false">IF(A334="","",J334-K334)</f>
        <v/>
      </c>
      <c r="M334" s="169" t="str">
        <f aca="false">IF(A334="","",IF(I334&gt;I333,M333-L334,M333))</f>
        <v/>
      </c>
      <c r="N334" s="169" t="str">
        <f aca="false">IF(A334="","",C334+J334)</f>
        <v/>
      </c>
      <c r="O334" s="169" t="str">
        <f aca="false">IF(A334="","",H334+M334)</f>
        <v/>
      </c>
    </row>
    <row r="335" customFormat="false" ht="15" hidden="false" customHeight="false" outlineLevel="0" collapsed="false">
      <c r="A335" s="168" t="str">
        <f aca="false">IF(OR(計算_償還開始="",ROWS($A$8:A335)&gt;計算_償還回数),"",ROWS($A$8:A335))</f>
        <v/>
      </c>
      <c r="B335" s="170" t="str">
        <f aca="false">IF(A335="","",EDATE(計算_償還開始,A335-1))</f>
        <v/>
      </c>
      <c r="C335" s="169" t="str">
        <f aca="false">IF(A335="","",IF(A335=計算_償還回数,D335+F334+G334,計算_毎月償還額))</f>
        <v/>
      </c>
      <c r="D335" s="169" t="str">
        <f aca="false">IF(A335="","",ROUND(F334*計算_利率/定数_年月数,0)+ROUND(G334*計算_利率_在宅介護/定数_年月数,0))</f>
        <v/>
      </c>
      <c r="E335" s="169" t="str">
        <f aca="false">IF(A335="","",C335-D335)</f>
        <v/>
      </c>
      <c r="F335" s="169" t="str">
        <f aca="false">IF(A335="","",IF(A335=計算_償還回数,0,MAX(0,F334-(ROUND(計算_月額_基本,0)-ROUND(F334*計算_利率/定数_年月数,0)))))</f>
        <v/>
      </c>
      <c r="G335" s="169" t="str">
        <f aca="false">IF(A335="","",IF(A335=計算_償還回数,0,MAX(0,G334-(ROUND(計算_月額_在宅介護,0)-ROUND(G334*計算_利率_在宅介護/定数_年月数,0)))))</f>
        <v/>
      </c>
      <c r="H335" s="169" t="str">
        <f aca="false">IF(A335="","",F335+G335)</f>
        <v/>
      </c>
      <c r="I335" s="168" t="str">
        <f aca="false">IF(A335="","",IF(AND(OR(MONTH(B335)=6,MONTH(B335)=12),I334&lt;計算_賞与回数),I334+1,I334))</f>
        <v/>
      </c>
      <c r="J335" s="169" t="str">
        <f aca="false">IF(A335="","",IF(I335&gt;I334,IF(I335=計算_賞与回数,M334+K335,計算_賞与償還額),0))</f>
        <v/>
      </c>
      <c r="K335" s="169" t="str">
        <f aca="false">IF(A335="","",IF(I335&gt;I334,ROUND(M334*計算_賞与期間利率,0),0))</f>
        <v/>
      </c>
      <c r="L335" s="169" t="str">
        <f aca="false">IF(A335="","",J335-K335)</f>
        <v/>
      </c>
      <c r="M335" s="169" t="str">
        <f aca="false">IF(A335="","",IF(I335&gt;I334,M334-L335,M334))</f>
        <v/>
      </c>
      <c r="N335" s="169" t="str">
        <f aca="false">IF(A335="","",C335+J335)</f>
        <v/>
      </c>
      <c r="O335" s="169" t="str">
        <f aca="false">IF(A335="","",H335+M335)</f>
        <v/>
      </c>
    </row>
    <row r="336" customFormat="false" ht="15" hidden="false" customHeight="false" outlineLevel="0" collapsed="false">
      <c r="A336" s="168" t="str">
        <f aca="false">IF(OR(計算_償還開始="",ROWS($A$8:A336)&gt;計算_償還回数),"",ROWS($A$8:A336))</f>
        <v/>
      </c>
      <c r="B336" s="170" t="str">
        <f aca="false">IF(A336="","",EDATE(計算_償還開始,A336-1))</f>
        <v/>
      </c>
      <c r="C336" s="169" t="str">
        <f aca="false">IF(A336="","",IF(A336=計算_償還回数,D336+F335+G335,計算_毎月償還額))</f>
        <v/>
      </c>
      <c r="D336" s="169" t="str">
        <f aca="false">IF(A336="","",ROUND(F335*計算_利率/定数_年月数,0)+ROUND(G335*計算_利率_在宅介護/定数_年月数,0))</f>
        <v/>
      </c>
      <c r="E336" s="169" t="str">
        <f aca="false">IF(A336="","",C336-D336)</f>
        <v/>
      </c>
      <c r="F336" s="169" t="str">
        <f aca="false">IF(A336="","",IF(A336=計算_償還回数,0,MAX(0,F335-(ROUND(計算_月額_基本,0)-ROUND(F335*計算_利率/定数_年月数,0)))))</f>
        <v/>
      </c>
      <c r="G336" s="169" t="str">
        <f aca="false">IF(A336="","",IF(A336=計算_償還回数,0,MAX(0,G335-(ROUND(計算_月額_在宅介護,0)-ROUND(G335*計算_利率_在宅介護/定数_年月数,0)))))</f>
        <v/>
      </c>
      <c r="H336" s="169" t="str">
        <f aca="false">IF(A336="","",F336+G336)</f>
        <v/>
      </c>
      <c r="I336" s="168" t="str">
        <f aca="false">IF(A336="","",IF(AND(OR(MONTH(B336)=6,MONTH(B336)=12),I335&lt;計算_賞与回数),I335+1,I335))</f>
        <v/>
      </c>
      <c r="J336" s="169" t="str">
        <f aca="false">IF(A336="","",IF(I336&gt;I335,IF(I336=計算_賞与回数,M335+K336,計算_賞与償還額),0))</f>
        <v/>
      </c>
      <c r="K336" s="169" t="str">
        <f aca="false">IF(A336="","",IF(I336&gt;I335,ROUND(M335*計算_賞与期間利率,0),0))</f>
        <v/>
      </c>
      <c r="L336" s="169" t="str">
        <f aca="false">IF(A336="","",J336-K336)</f>
        <v/>
      </c>
      <c r="M336" s="169" t="str">
        <f aca="false">IF(A336="","",IF(I336&gt;I335,M335-L336,M335))</f>
        <v/>
      </c>
      <c r="N336" s="169" t="str">
        <f aca="false">IF(A336="","",C336+J336)</f>
        <v/>
      </c>
      <c r="O336" s="169" t="str">
        <f aca="false">IF(A336="","",H336+M336)</f>
        <v/>
      </c>
    </row>
    <row r="337" customFormat="false" ht="15" hidden="false" customHeight="false" outlineLevel="0" collapsed="false">
      <c r="A337" s="168" t="str">
        <f aca="false">IF(OR(計算_償還開始="",ROWS($A$8:A337)&gt;計算_償還回数),"",ROWS($A$8:A337))</f>
        <v/>
      </c>
      <c r="B337" s="170" t="str">
        <f aca="false">IF(A337="","",EDATE(計算_償還開始,A337-1))</f>
        <v/>
      </c>
      <c r="C337" s="169" t="str">
        <f aca="false">IF(A337="","",IF(A337=計算_償還回数,D337+F336+G336,計算_毎月償還額))</f>
        <v/>
      </c>
      <c r="D337" s="169" t="str">
        <f aca="false">IF(A337="","",ROUND(F336*計算_利率/定数_年月数,0)+ROUND(G336*計算_利率_在宅介護/定数_年月数,0))</f>
        <v/>
      </c>
      <c r="E337" s="169" t="str">
        <f aca="false">IF(A337="","",C337-D337)</f>
        <v/>
      </c>
      <c r="F337" s="169" t="str">
        <f aca="false">IF(A337="","",IF(A337=計算_償還回数,0,MAX(0,F336-(ROUND(計算_月額_基本,0)-ROUND(F336*計算_利率/定数_年月数,0)))))</f>
        <v/>
      </c>
      <c r="G337" s="169" t="str">
        <f aca="false">IF(A337="","",IF(A337=計算_償還回数,0,MAX(0,G336-(ROUND(計算_月額_在宅介護,0)-ROUND(G336*計算_利率_在宅介護/定数_年月数,0)))))</f>
        <v/>
      </c>
      <c r="H337" s="169" t="str">
        <f aca="false">IF(A337="","",F337+G337)</f>
        <v/>
      </c>
      <c r="I337" s="168" t="str">
        <f aca="false">IF(A337="","",IF(AND(OR(MONTH(B337)=6,MONTH(B337)=12),I336&lt;計算_賞与回数),I336+1,I336))</f>
        <v/>
      </c>
      <c r="J337" s="169" t="str">
        <f aca="false">IF(A337="","",IF(I337&gt;I336,IF(I337=計算_賞与回数,M336+K337,計算_賞与償還額),0))</f>
        <v/>
      </c>
      <c r="K337" s="169" t="str">
        <f aca="false">IF(A337="","",IF(I337&gt;I336,ROUND(M336*計算_賞与期間利率,0),0))</f>
        <v/>
      </c>
      <c r="L337" s="169" t="str">
        <f aca="false">IF(A337="","",J337-K337)</f>
        <v/>
      </c>
      <c r="M337" s="169" t="str">
        <f aca="false">IF(A337="","",IF(I337&gt;I336,M336-L337,M336))</f>
        <v/>
      </c>
      <c r="N337" s="169" t="str">
        <f aca="false">IF(A337="","",C337+J337)</f>
        <v/>
      </c>
      <c r="O337" s="169" t="str">
        <f aca="false">IF(A337="","",H337+M337)</f>
        <v/>
      </c>
    </row>
    <row r="338" customFormat="false" ht="15" hidden="false" customHeight="false" outlineLevel="0" collapsed="false">
      <c r="A338" s="168" t="str">
        <f aca="false">IF(OR(計算_償還開始="",ROWS($A$8:A338)&gt;計算_償還回数),"",ROWS($A$8:A338))</f>
        <v/>
      </c>
      <c r="B338" s="170" t="str">
        <f aca="false">IF(A338="","",EDATE(計算_償還開始,A338-1))</f>
        <v/>
      </c>
      <c r="C338" s="169" t="str">
        <f aca="false">IF(A338="","",IF(A338=計算_償還回数,D338+F337+G337,計算_毎月償還額))</f>
        <v/>
      </c>
      <c r="D338" s="169" t="str">
        <f aca="false">IF(A338="","",ROUND(F337*計算_利率/定数_年月数,0)+ROUND(G337*計算_利率_在宅介護/定数_年月数,0))</f>
        <v/>
      </c>
      <c r="E338" s="169" t="str">
        <f aca="false">IF(A338="","",C338-D338)</f>
        <v/>
      </c>
      <c r="F338" s="169" t="str">
        <f aca="false">IF(A338="","",IF(A338=計算_償還回数,0,MAX(0,F337-(ROUND(計算_月額_基本,0)-ROUND(F337*計算_利率/定数_年月数,0)))))</f>
        <v/>
      </c>
      <c r="G338" s="169" t="str">
        <f aca="false">IF(A338="","",IF(A338=計算_償還回数,0,MAX(0,G337-(ROUND(計算_月額_在宅介護,0)-ROUND(G337*計算_利率_在宅介護/定数_年月数,0)))))</f>
        <v/>
      </c>
      <c r="H338" s="169" t="str">
        <f aca="false">IF(A338="","",F338+G338)</f>
        <v/>
      </c>
      <c r="I338" s="168" t="str">
        <f aca="false">IF(A338="","",IF(AND(OR(MONTH(B338)=6,MONTH(B338)=12),I337&lt;計算_賞与回数),I337+1,I337))</f>
        <v/>
      </c>
      <c r="J338" s="169" t="str">
        <f aca="false">IF(A338="","",IF(I338&gt;I337,IF(I338=計算_賞与回数,M337+K338,計算_賞与償還額),0))</f>
        <v/>
      </c>
      <c r="K338" s="169" t="str">
        <f aca="false">IF(A338="","",IF(I338&gt;I337,ROUND(M337*計算_賞与期間利率,0),0))</f>
        <v/>
      </c>
      <c r="L338" s="169" t="str">
        <f aca="false">IF(A338="","",J338-K338)</f>
        <v/>
      </c>
      <c r="M338" s="169" t="str">
        <f aca="false">IF(A338="","",IF(I338&gt;I337,M337-L338,M337))</f>
        <v/>
      </c>
      <c r="N338" s="169" t="str">
        <f aca="false">IF(A338="","",C338+J338)</f>
        <v/>
      </c>
      <c r="O338" s="169" t="str">
        <f aca="false">IF(A338="","",H338+M338)</f>
        <v/>
      </c>
    </row>
    <row r="339" customFormat="false" ht="15" hidden="false" customHeight="false" outlineLevel="0" collapsed="false">
      <c r="A339" s="168" t="str">
        <f aca="false">IF(OR(計算_償還開始="",ROWS($A$8:A339)&gt;計算_償還回数),"",ROWS($A$8:A339))</f>
        <v/>
      </c>
      <c r="B339" s="170" t="str">
        <f aca="false">IF(A339="","",EDATE(計算_償還開始,A339-1))</f>
        <v/>
      </c>
      <c r="C339" s="169" t="str">
        <f aca="false">IF(A339="","",IF(A339=計算_償還回数,D339+F338+G338,計算_毎月償還額))</f>
        <v/>
      </c>
      <c r="D339" s="169" t="str">
        <f aca="false">IF(A339="","",ROUND(F338*計算_利率/定数_年月数,0)+ROUND(G338*計算_利率_在宅介護/定数_年月数,0))</f>
        <v/>
      </c>
      <c r="E339" s="169" t="str">
        <f aca="false">IF(A339="","",C339-D339)</f>
        <v/>
      </c>
      <c r="F339" s="169" t="str">
        <f aca="false">IF(A339="","",IF(A339=計算_償還回数,0,MAX(0,F338-(ROUND(計算_月額_基本,0)-ROUND(F338*計算_利率/定数_年月数,0)))))</f>
        <v/>
      </c>
      <c r="G339" s="169" t="str">
        <f aca="false">IF(A339="","",IF(A339=計算_償還回数,0,MAX(0,G338-(ROUND(計算_月額_在宅介護,0)-ROUND(G338*計算_利率_在宅介護/定数_年月数,0)))))</f>
        <v/>
      </c>
      <c r="H339" s="169" t="str">
        <f aca="false">IF(A339="","",F339+G339)</f>
        <v/>
      </c>
      <c r="I339" s="168" t="str">
        <f aca="false">IF(A339="","",IF(AND(OR(MONTH(B339)=6,MONTH(B339)=12),I338&lt;計算_賞与回数),I338+1,I338))</f>
        <v/>
      </c>
      <c r="J339" s="169" t="str">
        <f aca="false">IF(A339="","",IF(I339&gt;I338,IF(I339=計算_賞与回数,M338+K339,計算_賞与償還額),0))</f>
        <v/>
      </c>
      <c r="K339" s="169" t="str">
        <f aca="false">IF(A339="","",IF(I339&gt;I338,ROUND(M338*計算_賞与期間利率,0),0))</f>
        <v/>
      </c>
      <c r="L339" s="169" t="str">
        <f aca="false">IF(A339="","",J339-K339)</f>
        <v/>
      </c>
      <c r="M339" s="169" t="str">
        <f aca="false">IF(A339="","",IF(I339&gt;I338,M338-L339,M338))</f>
        <v/>
      </c>
      <c r="N339" s="169" t="str">
        <f aca="false">IF(A339="","",C339+J339)</f>
        <v/>
      </c>
      <c r="O339" s="169" t="str">
        <f aca="false">IF(A339="","",H339+M339)</f>
        <v/>
      </c>
    </row>
    <row r="340" customFormat="false" ht="15" hidden="false" customHeight="false" outlineLevel="0" collapsed="false">
      <c r="A340" s="168" t="str">
        <f aca="false">IF(OR(計算_償還開始="",ROWS($A$8:A340)&gt;計算_償還回数),"",ROWS($A$8:A340))</f>
        <v/>
      </c>
      <c r="B340" s="170" t="str">
        <f aca="false">IF(A340="","",EDATE(計算_償還開始,A340-1))</f>
        <v/>
      </c>
      <c r="C340" s="169" t="str">
        <f aca="false">IF(A340="","",IF(A340=計算_償還回数,D340+F339+G339,計算_毎月償還額))</f>
        <v/>
      </c>
      <c r="D340" s="169" t="str">
        <f aca="false">IF(A340="","",ROUND(F339*計算_利率/定数_年月数,0)+ROUND(G339*計算_利率_在宅介護/定数_年月数,0))</f>
        <v/>
      </c>
      <c r="E340" s="169" t="str">
        <f aca="false">IF(A340="","",C340-D340)</f>
        <v/>
      </c>
      <c r="F340" s="169" t="str">
        <f aca="false">IF(A340="","",IF(A340=計算_償還回数,0,MAX(0,F339-(ROUND(計算_月額_基本,0)-ROUND(F339*計算_利率/定数_年月数,0)))))</f>
        <v/>
      </c>
      <c r="G340" s="169" t="str">
        <f aca="false">IF(A340="","",IF(A340=計算_償還回数,0,MAX(0,G339-(ROUND(計算_月額_在宅介護,0)-ROUND(G339*計算_利率_在宅介護/定数_年月数,0)))))</f>
        <v/>
      </c>
      <c r="H340" s="169" t="str">
        <f aca="false">IF(A340="","",F340+G340)</f>
        <v/>
      </c>
      <c r="I340" s="168" t="str">
        <f aca="false">IF(A340="","",IF(AND(OR(MONTH(B340)=6,MONTH(B340)=12),I339&lt;計算_賞与回数),I339+1,I339))</f>
        <v/>
      </c>
      <c r="J340" s="169" t="str">
        <f aca="false">IF(A340="","",IF(I340&gt;I339,IF(I340=計算_賞与回数,M339+K340,計算_賞与償還額),0))</f>
        <v/>
      </c>
      <c r="K340" s="169" t="str">
        <f aca="false">IF(A340="","",IF(I340&gt;I339,ROUND(M339*計算_賞与期間利率,0),0))</f>
        <v/>
      </c>
      <c r="L340" s="169" t="str">
        <f aca="false">IF(A340="","",J340-K340)</f>
        <v/>
      </c>
      <c r="M340" s="169" t="str">
        <f aca="false">IF(A340="","",IF(I340&gt;I339,M339-L340,M339))</f>
        <v/>
      </c>
      <c r="N340" s="169" t="str">
        <f aca="false">IF(A340="","",C340+J340)</f>
        <v/>
      </c>
      <c r="O340" s="169" t="str">
        <f aca="false">IF(A340="","",H340+M340)</f>
        <v/>
      </c>
    </row>
    <row r="341" customFormat="false" ht="15" hidden="false" customHeight="false" outlineLevel="0" collapsed="false">
      <c r="A341" s="168" t="str">
        <f aca="false">IF(OR(計算_償還開始="",ROWS($A$8:A341)&gt;計算_償還回数),"",ROWS($A$8:A341))</f>
        <v/>
      </c>
      <c r="B341" s="170" t="str">
        <f aca="false">IF(A341="","",EDATE(計算_償還開始,A341-1))</f>
        <v/>
      </c>
      <c r="C341" s="169" t="str">
        <f aca="false">IF(A341="","",IF(A341=計算_償還回数,D341+F340+G340,計算_毎月償還額))</f>
        <v/>
      </c>
      <c r="D341" s="169" t="str">
        <f aca="false">IF(A341="","",ROUND(F340*計算_利率/定数_年月数,0)+ROUND(G340*計算_利率_在宅介護/定数_年月数,0))</f>
        <v/>
      </c>
      <c r="E341" s="169" t="str">
        <f aca="false">IF(A341="","",C341-D341)</f>
        <v/>
      </c>
      <c r="F341" s="169" t="str">
        <f aca="false">IF(A341="","",IF(A341=計算_償還回数,0,MAX(0,F340-(ROUND(計算_月額_基本,0)-ROUND(F340*計算_利率/定数_年月数,0)))))</f>
        <v/>
      </c>
      <c r="G341" s="169" t="str">
        <f aca="false">IF(A341="","",IF(A341=計算_償還回数,0,MAX(0,G340-(ROUND(計算_月額_在宅介護,0)-ROUND(G340*計算_利率_在宅介護/定数_年月数,0)))))</f>
        <v/>
      </c>
      <c r="H341" s="169" t="str">
        <f aca="false">IF(A341="","",F341+G341)</f>
        <v/>
      </c>
      <c r="I341" s="168" t="str">
        <f aca="false">IF(A341="","",IF(AND(OR(MONTH(B341)=6,MONTH(B341)=12),I340&lt;計算_賞与回数),I340+1,I340))</f>
        <v/>
      </c>
      <c r="J341" s="169" t="str">
        <f aca="false">IF(A341="","",IF(I341&gt;I340,IF(I341=計算_賞与回数,M340+K341,計算_賞与償還額),0))</f>
        <v/>
      </c>
      <c r="K341" s="169" t="str">
        <f aca="false">IF(A341="","",IF(I341&gt;I340,ROUND(M340*計算_賞与期間利率,0),0))</f>
        <v/>
      </c>
      <c r="L341" s="169" t="str">
        <f aca="false">IF(A341="","",J341-K341)</f>
        <v/>
      </c>
      <c r="M341" s="169" t="str">
        <f aca="false">IF(A341="","",IF(I341&gt;I340,M340-L341,M340))</f>
        <v/>
      </c>
      <c r="N341" s="169" t="str">
        <f aca="false">IF(A341="","",C341+J341)</f>
        <v/>
      </c>
      <c r="O341" s="169" t="str">
        <f aca="false">IF(A341="","",H341+M341)</f>
        <v/>
      </c>
    </row>
    <row r="342" customFormat="false" ht="15" hidden="false" customHeight="false" outlineLevel="0" collapsed="false">
      <c r="A342" s="168" t="str">
        <f aca="false">IF(OR(計算_償還開始="",ROWS($A$8:A342)&gt;計算_償還回数),"",ROWS($A$8:A342))</f>
        <v/>
      </c>
      <c r="B342" s="170" t="str">
        <f aca="false">IF(A342="","",EDATE(計算_償還開始,A342-1))</f>
        <v/>
      </c>
      <c r="C342" s="169" t="str">
        <f aca="false">IF(A342="","",IF(A342=計算_償還回数,D342+F341+G341,計算_毎月償還額))</f>
        <v/>
      </c>
      <c r="D342" s="169" t="str">
        <f aca="false">IF(A342="","",ROUND(F341*計算_利率/定数_年月数,0)+ROUND(G341*計算_利率_在宅介護/定数_年月数,0))</f>
        <v/>
      </c>
      <c r="E342" s="169" t="str">
        <f aca="false">IF(A342="","",C342-D342)</f>
        <v/>
      </c>
      <c r="F342" s="169" t="str">
        <f aca="false">IF(A342="","",IF(A342=計算_償還回数,0,MAX(0,F341-(ROUND(計算_月額_基本,0)-ROUND(F341*計算_利率/定数_年月数,0)))))</f>
        <v/>
      </c>
      <c r="G342" s="169" t="str">
        <f aca="false">IF(A342="","",IF(A342=計算_償還回数,0,MAX(0,G341-(ROUND(計算_月額_在宅介護,0)-ROUND(G341*計算_利率_在宅介護/定数_年月数,0)))))</f>
        <v/>
      </c>
      <c r="H342" s="169" t="str">
        <f aca="false">IF(A342="","",F342+G342)</f>
        <v/>
      </c>
      <c r="I342" s="168" t="str">
        <f aca="false">IF(A342="","",IF(AND(OR(MONTH(B342)=6,MONTH(B342)=12),I341&lt;計算_賞与回数),I341+1,I341))</f>
        <v/>
      </c>
      <c r="J342" s="169" t="str">
        <f aca="false">IF(A342="","",IF(I342&gt;I341,IF(I342=計算_賞与回数,M341+K342,計算_賞与償還額),0))</f>
        <v/>
      </c>
      <c r="K342" s="169" t="str">
        <f aca="false">IF(A342="","",IF(I342&gt;I341,ROUND(M341*計算_賞与期間利率,0),0))</f>
        <v/>
      </c>
      <c r="L342" s="169" t="str">
        <f aca="false">IF(A342="","",J342-K342)</f>
        <v/>
      </c>
      <c r="M342" s="169" t="str">
        <f aca="false">IF(A342="","",IF(I342&gt;I341,M341-L342,M341))</f>
        <v/>
      </c>
      <c r="N342" s="169" t="str">
        <f aca="false">IF(A342="","",C342+J342)</f>
        <v/>
      </c>
      <c r="O342" s="169" t="str">
        <f aca="false">IF(A342="","",H342+M342)</f>
        <v/>
      </c>
    </row>
    <row r="343" customFormat="false" ht="15" hidden="false" customHeight="false" outlineLevel="0" collapsed="false">
      <c r="A343" s="168" t="str">
        <f aca="false">IF(OR(計算_償還開始="",ROWS($A$8:A343)&gt;計算_償還回数),"",ROWS($A$8:A343))</f>
        <v/>
      </c>
      <c r="B343" s="170" t="str">
        <f aca="false">IF(A343="","",EDATE(計算_償還開始,A343-1))</f>
        <v/>
      </c>
      <c r="C343" s="169" t="str">
        <f aca="false">IF(A343="","",IF(A343=計算_償還回数,D343+F342+G342,計算_毎月償還額))</f>
        <v/>
      </c>
      <c r="D343" s="169" t="str">
        <f aca="false">IF(A343="","",ROUND(F342*計算_利率/定数_年月数,0)+ROUND(G342*計算_利率_在宅介護/定数_年月数,0))</f>
        <v/>
      </c>
      <c r="E343" s="169" t="str">
        <f aca="false">IF(A343="","",C343-D343)</f>
        <v/>
      </c>
      <c r="F343" s="169" t="str">
        <f aca="false">IF(A343="","",IF(A343=計算_償還回数,0,MAX(0,F342-(ROUND(計算_月額_基本,0)-ROUND(F342*計算_利率/定数_年月数,0)))))</f>
        <v/>
      </c>
      <c r="G343" s="169" t="str">
        <f aca="false">IF(A343="","",IF(A343=計算_償還回数,0,MAX(0,G342-(ROUND(計算_月額_在宅介護,0)-ROUND(G342*計算_利率_在宅介護/定数_年月数,0)))))</f>
        <v/>
      </c>
      <c r="H343" s="169" t="str">
        <f aca="false">IF(A343="","",F343+G343)</f>
        <v/>
      </c>
      <c r="I343" s="168" t="str">
        <f aca="false">IF(A343="","",IF(AND(OR(MONTH(B343)=6,MONTH(B343)=12),I342&lt;計算_賞与回数),I342+1,I342))</f>
        <v/>
      </c>
      <c r="J343" s="169" t="str">
        <f aca="false">IF(A343="","",IF(I343&gt;I342,IF(I343=計算_賞与回数,M342+K343,計算_賞与償還額),0))</f>
        <v/>
      </c>
      <c r="K343" s="169" t="str">
        <f aca="false">IF(A343="","",IF(I343&gt;I342,ROUND(M342*計算_賞与期間利率,0),0))</f>
        <v/>
      </c>
      <c r="L343" s="169" t="str">
        <f aca="false">IF(A343="","",J343-K343)</f>
        <v/>
      </c>
      <c r="M343" s="169" t="str">
        <f aca="false">IF(A343="","",IF(I343&gt;I342,M342-L343,M342))</f>
        <v/>
      </c>
      <c r="N343" s="169" t="str">
        <f aca="false">IF(A343="","",C343+J343)</f>
        <v/>
      </c>
      <c r="O343" s="169" t="str">
        <f aca="false">IF(A343="","",H343+M343)</f>
        <v/>
      </c>
    </row>
    <row r="344" customFormat="false" ht="15" hidden="false" customHeight="false" outlineLevel="0" collapsed="false">
      <c r="A344" s="168" t="str">
        <f aca="false">IF(OR(計算_償還開始="",ROWS($A$8:A344)&gt;計算_償還回数),"",ROWS($A$8:A344))</f>
        <v/>
      </c>
      <c r="B344" s="170" t="str">
        <f aca="false">IF(A344="","",EDATE(計算_償還開始,A344-1))</f>
        <v/>
      </c>
      <c r="C344" s="169" t="str">
        <f aca="false">IF(A344="","",IF(A344=計算_償還回数,D344+F343+G343,計算_毎月償還額))</f>
        <v/>
      </c>
      <c r="D344" s="169" t="str">
        <f aca="false">IF(A344="","",ROUND(F343*計算_利率/定数_年月数,0)+ROUND(G343*計算_利率_在宅介護/定数_年月数,0))</f>
        <v/>
      </c>
      <c r="E344" s="169" t="str">
        <f aca="false">IF(A344="","",C344-D344)</f>
        <v/>
      </c>
      <c r="F344" s="169" t="str">
        <f aca="false">IF(A344="","",IF(A344=計算_償還回数,0,MAX(0,F343-(ROUND(計算_月額_基本,0)-ROUND(F343*計算_利率/定数_年月数,0)))))</f>
        <v/>
      </c>
      <c r="G344" s="169" t="str">
        <f aca="false">IF(A344="","",IF(A344=計算_償還回数,0,MAX(0,G343-(ROUND(計算_月額_在宅介護,0)-ROUND(G343*計算_利率_在宅介護/定数_年月数,0)))))</f>
        <v/>
      </c>
      <c r="H344" s="169" t="str">
        <f aca="false">IF(A344="","",F344+G344)</f>
        <v/>
      </c>
      <c r="I344" s="168" t="str">
        <f aca="false">IF(A344="","",IF(AND(OR(MONTH(B344)=6,MONTH(B344)=12),I343&lt;計算_賞与回数),I343+1,I343))</f>
        <v/>
      </c>
      <c r="J344" s="169" t="str">
        <f aca="false">IF(A344="","",IF(I344&gt;I343,IF(I344=計算_賞与回数,M343+K344,計算_賞与償還額),0))</f>
        <v/>
      </c>
      <c r="K344" s="169" t="str">
        <f aca="false">IF(A344="","",IF(I344&gt;I343,ROUND(M343*計算_賞与期間利率,0),0))</f>
        <v/>
      </c>
      <c r="L344" s="169" t="str">
        <f aca="false">IF(A344="","",J344-K344)</f>
        <v/>
      </c>
      <c r="M344" s="169" t="str">
        <f aca="false">IF(A344="","",IF(I344&gt;I343,M343-L344,M343))</f>
        <v/>
      </c>
      <c r="N344" s="169" t="str">
        <f aca="false">IF(A344="","",C344+J344)</f>
        <v/>
      </c>
      <c r="O344" s="169" t="str">
        <f aca="false">IF(A344="","",H344+M344)</f>
        <v/>
      </c>
    </row>
    <row r="345" customFormat="false" ht="15" hidden="false" customHeight="false" outlineLevel="0" collapsed="false">
      <c r="A345" s="168" t="str">
        <f aca="false">IF(OR(計算_償還開始="",ROWS($A$8:A345)&gt;計算_償還回数),"",ROWS($A$8:A345))</f>
        <v/>
      </c>
      <c r="B345" s="170" t="str">
        <f aca="false">IF(A345="","",EDATE(計算_償還開始,A345-1))</f>
        <v/>
      </c>
      <c r="C345" s="169" t="str">
        <f aca="false">IF(A345="","",IF(A345=計算_償還回数,D345+F344+G344,計算_毎月償還額))</f>
        <v/>
      </c>
      <c r="D345" s="169" t="str">
        <f aca="false">IF(A345="","",ROUND(F344*計算_利率/定数_年月数,0)+ROUND(G344*計算_利率_在宅介護/定数_年月数,0))</f>
        <v/>
      </c>
      <c r="E345" s="169" t="str">
        <f aca="false">IF(A345="","",C345-D345)</f>
        <v/>
      </c>
      <c r="F345" s="169" t="str">
        <f aca="false">IF(A345="","",IF(A345=計算_償還回数,0,MAX(0,F344-(ROUND(計算_月額_基本,0)-ROUND(F344*計算_利率/定数_年月数,0)))))</f>
        <v/>
      </c>
      <c r="G345" s="169" t="str">
        <f aca="false">IF(A345="","",IF(A345=計算_償還回数,0,MAX(0,G344-(ROUND(計算_月額_在宅介護,0)-ROUND(G344*計算_利率_在宅介護/定数_年月数,0)))))</f>
        <v/>
      </c>
      <c r="H345" s="169" t="str">
        <f aca="false">IF(A345="","",F345+G345)</f>
        <v/>
      </c>
      <c r="I345" s="168" t="str">
        <f aca="false">IF(A345="","",IF(AND(OR(MONTH(B345)=6,MONTH(B345)=12),I344&lt;計算_賞与回数),I344+1,I344))</f>
        <v/>
      </c>
      <c r="J345" s="169" t="str">
        <f aca="false">IF(A345="","",IF(I345&gt;I344,IF(I345=計算_賞与回数,M344+K345,計算_賞与償還額),0))</f>
        <v/>
      </c>
      <c r="K345" s="169" t="str">
        <f aca="false">IF(A345="","",IF(I345&gt;I344,ROUND(M344*計算_賞与期間利率,0),0))</f>
        <v/>
      </c>
      <c r="L345" s="169" t="str">
        <f aca="false">IF(A345="","",J345-K345)</f>
        <v/>
      </c>
      <c r="M345" s="169" t="str">
        <f aca="false">IF(A345="","",IF(I345&gt;I344,M344-L345,M344))</f>
        <v/>
      </c>
      <c r="N345" s="169" t="str">
        <f aca="false">IF(A345="","",C345+J345)</f>
        <v/>
      </c>
      <c r="O345" s="169" t="str">
        <f aca="false">IF(A345="","",H345+M345)</f>
        <v/>
      </c>
    </row>
    <row r="346" customFormat="false" ht="15" hidden="false" customHeight="false" outlineLevel="0" collapsed="false">
      <c r="A346" s="168" t="str">
        <f aca="false">IF(OR(計算_償還開始="",ROWS($A$8:A346)&gt;計算_償還回数),"",ROWS($A$8:A346))</f>
        <v/>
      </c>
      <c r="B346" s="170" t="str">
        <f aca="false">IF(A346="","",EDATE(計算_償還開始,A346-1))</f>
        <v/>
      </c>
      <c r="C346" s="169" t="str">
        <f aca="false">IF(A346="","",IF(A346=計算_償還回数,D346+F345+G345,計算_毎月償還額))</f>
        <v/>
      </c>
      <c r="D346" s="169" t="str">
        <f aca="false">IF(A346="","",ROUND(F345*計算_利率/定数_年月数,0)+ROUND(G345*計算_利率_在宅介護/定数_年月数,0))</f>
        <v/>
      </c>
      <c r="E346" s="169" t="str">
        <f aca="false">IF(A346="","",C346-D346)</f>
        <v/>
      </c>
      <c r="F346" s="169" t="str">
        <f aca="false">IF(A346="","",IF(A346=計算_償還回数,0,MAX(0,F345-(ROUND(計算_月額_基本,0)-ROUND(F345*計算_利率/定数_年月数,0)))))</f>
        <v/>
      </c>
      <c r="G346" s="169" t="str">
        <f aca="false">IF(A346="","",IF(A346=計算_償還回数,0,MAX(0,G345-(ROUND(計算_月額_在宅介護,0)-ROUND(G345*計算_利率_在宅介護/定数_年月数,0)))))</f>
        <v/>
      </c>
      <c r="H346" s="169" t="str">
        <f aca="false">IF(A346="","",F346+G346)</f>
        <v/>
      </c>
      <c r="I346" s="168" t="str">
        <f aca="false">IF(A346="","",IF(AND(OR(MONTH(B346)=6,MONTH(B346)=12),I345&lt;計算_賞与回数),I345+1,I345))</f>
        <v/>
      </c>
      <c r="J346" s="169" t="str">
        <f aca="false">IF(A346="","",IF(I346&gt;I345,IF(I346=計算_賞与回数,M345+K346,計算_賞与償還額),0))</f>
        <v/>
      </c>
      <c r="K346" s="169" t="str">
        <f aca="false">IF(A346="","",IF(I346&gt;I345,ROUND(M345*計算_賞与期間利率,0),0))</f>
        <v/>
      </c>
      <c r="L346" s="169" t="str">
        <f aca="false">IF(A346="","",J346-K346)</f>
        <v/>
      </c>
      <c r="M346" s="169" t="str">
        <f aca="false">IF(A346="","",IF(I346&gt;I345,M345-L346,M345))</f>
        <v/>
      </c>
      <c r="N346" s="169" t="str">
        <f aca="false">IF(A346="","",C346+J346)</f>
        <v/>
      </c>
      <c r="O346" s="169" t="str">
        <f aca="false">IF(A346="","",H346+M346)</f>
        <v/>
      </c>
    </row>
    <row r="347" customFormat="false" ht="15" hidden="false" customHeight="false" outlineLevel="0" collapsed="false">
      <c r="A347" s="168" t="str">
        <f aca="false">IF(OR(計算_償還開始="",ROWS($A$8:A347)&gt;計算_償還回数),"",ROWS($A$8:A347))</f>
        <v/>
      </c>
      <c r="B347" s="170" t="str">
        <f aca="false">IF(A347="","",EDATE(計算_償還開始,A347-1))</f>
        <v/>
      </c>
      <c r="C347" s="169" t="str">
        <f aca="false">IF(A347="","",IF(A347=計算_償還回数,D347+F346+G346,計算_毎月償還額))</f>
        <v/>
      </c>
      <c r="D347" s="169" t="str">
        <f aca="false">IF(A347="","",ROUND(F346*計算_利率/定数_年月数,0)+ROUND(G346*計算_利率_在宅介護/定数_年月数,0))</f>
        <v/>
      </c>
      <c r="E347" s="169" t="str">
        <f aca="false">IF(A347="","",C347-D347)</f>
        <v/>
      </c>
      <c r="F347" s="169" t="str">
        <f aca="false">IF(A347="","",IF(A347=計算_償還回数,0,MAX(0,F346-(ROUND(計算_月額_基本,0)-ROUND(F346*計算_利率/定数_年月数,0)))))</f>
        <v/>
      </c>
      <c r="G347" s="169" t="str">
        <f aca="false">IF(A347="","",IF(A347=計算_償還回数,0,MAX(0,G346-(ROUND(計算_月額_在宅介護,0)-ROUND(G346*計算_利率_在宅介護/定数_年月数,0)))))</f>
        <v/>
      </c>
      <c r="H347" s="169" t="str">
        <f aca="false">IF(A347="","",F347+G347)</f>
        <v/>
      </c>
      <c r="I347" s="168" t="str">
        <f aca="false">IF(A347="","",IF(AND(OR(MONTH(B347)=6,MONTH(B347)=12),I346&lt;計算_賞与回数),I346+1,I346))</f>
        <v/>
      </c>
      <c r="J347" s="169" t="str">
        <f aca="false">IF(A347="","",IF(I347&gt;I346,IF(I347=計算_賞与回数,M346+K347,計算_賞与償還額),0))</f>
        <v/>
      </c>
      <c r="K347" s="169" t="str">
        <f aca="false">IF(A347="","",IF(I347&gt;I346,ROUND(M346*計算_賞与期間利率,0),0))</f>
        <v/>
      </c>
      <c r="L347" s="169" t="str">
        <f aca="false">IF(A347="","",J347-K347)</f>
        <v/>
      </c>
      <c r="M347" s="169" t="str">
        <f aca="false">IF(A347="","",IF(I347&gt;I346,M346-L347,M346))</f>
        <v/>
      </c>
      <c r="N347" s="169" t="str">
        <f aca="false">IF(A347="","",C347+J347)</f>
        <v/>
      </c>
      <c r="O347" s="169" t="str">
        <f aca="false">IF(A347="","",H347+M347)</f>
        <v/>
      </c>
    </row>
    <row r="348" customFormat="false" ht="15" hidden="false" customHeight="false" outlineLevel="0" collapsed="false">
      <c r="A348" s="168" t="str">
        <f aca="false">IF(OR(計算_償還開始="",ROWS($A$8:A348)&gt;計算_償還回数),"",ROWS($A$8:A348))</f>
        <v/>
      </c>
      <c r="B348" s="170" t="str">
        <f aca="false">IF(A348="","",EDATE(計算_償還開始,A348-1))</f>
        <v/>
      </c>
      <c r="C348" s="169" t="str">
        <f aca="false">IF(A348="","",IF(A348=計算_償還回数,D348+F347+G347,計算_毎月償還額))</f>
        <v/>
      </c>
      <c r="D348" s="169" t="str">
        <f aca="false">IF(A348="","",ROUND(F347*計算_利率/定数_年月数,0)+ROUND(G347*計算_利率_在宅介護/定数_年月数,0))</f>
        <v/>
      </c>
      <c r="E348" s="169" t="str">
        <f aca="false">IF(A348="","",C348-D348)</f>
        <v/>
      </c>
      <c r="F348" s="169" t="str">
        <f aca="false">IF(A348="","",IF(A348=計算_償還回数,0,MAX(0,F347-(ROUND(計算_月額_基本,0)-ROUND(F347*計算_利率/定数_年月数,0)))))</f>
        <v/>
      </c>
      <c r="G348" s="169" t="str">
        <f aca="false">IF(A348="","",IF(A348=計算_償還回数,0,MAX(0,G347-(ROUND(計算_月額_在宅介護,0)-ROUND(G347*計算_利率_在宅介護/定数_年月数,0)))))</f>
        <v/>
      </c>
      <c r="H348" s="169" t="str">
        <f aca="false">IF(A348="","",F348+G348)</f>
        <v/>
      </c>
      <c r="I348" s="168" t="str">
        <f aca="false">IF(A348="","",IF(AND(OR(MONTH(B348)=6,MONTH(B348)=12),I347&lt;計算_賞与回数),I347+1,I347))</f>
        <v/>
      </c>
      <c r="J348" s="169" t="str">
        <f aca="false">IF(A348="","",IF(I348&gt;I347,IF(I348=計算_賞与回数,M347+K348,計算_賞与償還額),0))</f>
        <v/>
      </c>
      <c r="K348" s="169" t="str">
        <f aca="false">IF(A348="","",IF(I348&gt;I347,ROUND(M347*計算_賞与期間利率,0),0))</f>
        <v/>
      </c>
      <c r="L348" s="169" t="str">
        <f aca="false">IF(A348="","",J348-K348)</f>
        <v/>
      </c>
      <c r="M348" s="169" t="str">
        <f aca="false">IF(A348="","",IF(I348&gt;I347,M347-L348,M347))</f>
        <v/>
      </c>
      <c r="N348" s="169" t="str">
        <f aca="false">IF(A348="","",C348+J348)</f>
        <v/>
      </c>
      <c r="O348" s="169" t="str">
        <f aca="false">IF(A348="","",H348+M348)</f>
        <v/>
      </c>
    </row>
    <row r="349" customFormat="false" ht="15" hidden="false" customHeight="false" outlineLevel="0" collapsed="false">
      <c r="A349" s="168" t="str">
        <f aca="false">IF(OR(計算_償還開始="",ROWS($A$8:A349)&gt;計算_償還回数),"",ROWS($A$8:A349))</f>
        <v/>
      </c>
      <c r="B349" s="170" t="str">
        <f aca="false">IF(A349="","",EDATE(計算_償還開始,A349-1))</f>
        <v/>
      </c>
      <c r="C349" s="169" t="str">
        <f aca="false">IF(A349="","",IF(A349=計算_償還回数,D349+F348+G348,計算_毎月償還額))</f>
        <v/>
      </c>
      <c r="D349" s="169" t="str">
        <f aca="false">IF(A349="","",ROUND(F348*計算_利率/定数_年月数,0)+ROUND(G348*計算_利率_在宅介護/定数_年月数,0))</f>
        <v/>
      </c>
      <c r="E349" s="169" t="str">
        <f aca="false">IF(A349="","",C349-D349)</f>
        <v/>
      </c>
      <c r="F349" s="169" t="str">
        <f aca="false">IF(A349="","",IF(A349=計算_償還回数,0,MAX(0,F348-(ROUND(計算_月額_基本,0)-ROUND(F348*計算_利率/定数_年月数,0)))))</f>
        <v/>
      </c>
      <c r="G349" s="169" t="str">
        <f aca="false">IF(A349="","",IF(A349=計算_償還回数,0,MAX(0,G348-(ROUND(計算_月額_在宅介護,0)-ROUND(G348*計算_利率_在宅介護/定数_年月数,0)))))</f>
        <v/>
      </c>
      <c r="H349" s="169" t="str">
        <f aca="false">IF(A349="","",F349+G349)</f>
        <v/>
      </c>
      <c r="I349" s="168" t="str">
        <f aca="false">IF(A349="","",IF(AND(OR(MONTH(B349)=6,MONTH(B349)=12),I348&lt;計算_賞与回数),I348+1,I348))</f>
        <v/>
      </c>
      <c r="J349" s="169" t="str">
        <f aca="false">IF(A349="","",IF(I349&gt;I348,IF(I349=計算_賞与回数,M348+K349,計算_賞与償還額),0))</f>
        <v/>
      </c>
      <c r="K349" s="169" t="str">
        <f aca="false">IF(A349="","",IF(I349&gt;I348,ROUND(M348*計算_賞与期間利率,0),0))</f>
        <v/>
      </c>
      <c r="L349" s="169" t="str">
        <f aca="false">IF(A349="","",J349-K349)</f>
        <v/>
      </c>
      <c r="M349" s="169" t="str">
        <f aca="false">IF(A349="","",IF(I349&gt;I348,M348-L349,M348))</f>
        <v/>
      </c>
      <c r="N349" s="169" t="str">
        <f aca="false">IF(A349="","",C349+J349)</f>
        <v/>
      </c>
      <c r="O349" s="169" t="str">
        <f aca="false">IF(A349="","",H349+M349)</f>
        <v/>
      </c>
    </row>
    <row r="350" customFormat="false" ht="15" hidden="false" customHeight="false" outlineLevel="0" collapsed="false">
      <c r="A350" s="168" t="str">
        <f aca="false">IF(OR(計算_償還開始="",ROWS($A$8:A350)&gt;計算_償還回数),"",ROWS($A$8:A350))</f>
        <v/>
      </c>
      <c r="B350" s="170" t="str">
        <f aca="false">IF(A350="","",EDATE(計算_償還開始,A350-1))</f>
        <v/>
      </c>
      <c r="C350" s="169" t="str">
        <f aca="false">IF(A350="","",IF(A350=計算_償還回数,D350+F349+G349,計算_毎月償還額))</f>
        <v/>
      </c>
      <c r="D350" s="169" t="str">
        <f aca="false">IF(A350="","",ROUND(F349*計算_利率/定数_年月数,0)+ROUND(G349*計算_利率_在宅介護/定数_年月数,0))</f>
        <v/>
      </c>
      <c r="E350" s="169" t="str">
        <f aca="false">IF(A350="","",C350-D350)</f>
        <v/>
      </c>
      <c r="F350" s="169" t="str">
        <f aca="false">IF(A350="","",IF(A350=計算_償還回数,0,MAX(0,F349-(ROUND(計算_月額_基本,0)-ROUND(F349*計算_利率/定数_年月数,0)))))</f>
        <v/>
      </c>
      <c r="G350" s="169" t="str">
        <f aca="false">IF(A350="","",IF(A350=計算_償還回数,0,MAX(0,G349-(ROUND(計算_月額_在宅介護,0)-ROUND(G349*計算_利率_在宅介護/定数_年月数,0)))))</f>
        <v/>
      </c>
      <c r="H350" s="169" t="str">
        <f aca="false">IF(A350="","",F350+G350)</f>
        <v/>
      </c>
      <c r="I350" s="168" t="str">
        <f aca="false">IF(A350="","",IF(AND(OR(MONTH(B350)=6,MONTH(B350)=12),I349&lt;計算_賞与回数),I349+1,I349))</f>
        <v/>
      </c>
      <c r="J350" s="169" t="str">
        <f aca="false">IF(A350="","",IF(I350&gt;I349,IF(I350=計算_賞与回数,M349+K350,計算_賞与償還額),0))</f>
        <v/>
      </c>
      <c r="K350" s="169" t="str">
        <f aca="false">IF(A350="","",IF(I350&gt;I349,ROUND(M349*計算_賞与期間利率,0),0))</f>
        <v/>
      </c>
      <c r="L350" s="169" t="str">
        <f aca="false">IF(A350="","",J350-K350)</f>
        <v/>
      </c>
      <c r="M350" s="169" t="str">
        <f aca="false">IF(A350="","",IF(I350&gt;I349,M349-L350,M349))</f>
        <v/>
      </c>
      <c r="N350" s="169" t="str">
        <f aca="false">IF(A350="","",C350+J350)</f>
        <v/>
      </c>
      <c r="O350" s="169" t="str">
        <f aca="false">IF(A350="","",H350+M350)</f>
        <v/>
      </c>
    </row>
    <row r="351" customFormat="false" ht="15" hidden="false" customHeight="false" outlineLevel="0" collapsed="false">
      <c r="A351" s="168" t="str">
        <f aca="false">IF(OR(計算_償還開始="",ROWS($A$8:A351)&gt;計算_償還回数),"",ROWS($A$8:A351))</f>
        <v/>
      </c>
      <c r="B351" s="170" t="str">
        <f aca="false">IF(A351="","",EDATE(計算_償還開始,A351-1))</f>
        <v/>
      </c>
      <c r="C351" s="169" t="str">
        <f aca="false">IF(A351="","",IF(A351=計算_償還回数,D351+F350+G350,計算_毎月償還額))</f>
        <v/>
      </c>
      <c r="D351" s="169" t="str">
        <f aca="false">IF(A351="","",ROUND(F350*計算_利率/定数_年月数,0)+ROUND(G350*計算_利率_在宅介護/定数_年月数,0))</f>
        <v/>
      </c>
      <c r="E351" s="169" t="str">
        <f aca="false">IF(A351="","",C351-D351)</f>
        <v/>
      </c>
      <c r="F351" s="169" t="str">
        <f aca="false">IF(A351="","",IF(A351=計算_償還回数,0,MAX(0,F350-(ROUND(計算_月額_基本,0)-ROUND(F350*計算_利率/定数_年月数,0)))))</f>
        <v/>
      </c>
      <c r="G351" s="169" t="str">
        <f aca="false">IF(A351="","",IF(A351=計算_償還回数,0,MAX(0,G350-(ROUND(計算_月額_在宅介護,0)-ROUND(G350*計算_利率_在宅介護/定数_年月数,0)))))</f>
        <v/>
      </c>
      <c r="H351" s="169" t="str">
        <f aca="false">IF(A351="","",F351+G351)</f>
        <v/>
      </c>
      <c r="I351" s="168" t="str">
        <f aca="false">IF(A351="","",IF(AND(OR(MONTH(B351)=6,MONTH(B351)=12),I350&lt;計算_賞与回数),I350+1,I350))</f>
        <v/>
      </c>
      <c r="J351" s="169" t="str">
        <f aca="false">IF(A351="","",IF(I351&gt;I350,IF(I351=計算_賞与回数,M350+K351,計算_賞与償還額),0))</f>
        <v/>
      </c>
      <c r="K351" s="169" t="str">
        <f aca="false">IF(A351="","",IF(I351&gt;I350,ROUND(M350*計算_賞与期間利率,0),0))</f>
        <v/>
      </c>
      <c r="L351" s="169" t="str">
        <f aca="false">IF(A351="","",J351-K351)</f>
        <v/>
      </c>
      <c r="M351" s="169" t="str">
        <f aca="false">IF(A351="","",IF(I351&gt;I350,M350-L351,M350))</f>
        <v/>
      </c>
      <c r="N351" s="169" t="str">
        <f aca="false">IF(A351="","",C351+J351)</f>
        <v/>
      </c>
      <c r="O351" s="169" t="str">
        <f aca="false">IF(A351="","",H351+M351)</f>
        <v/>
      </c>
    </row>
    <row r="352" customFormat="false" ht="15" hidden="false" customHeight="false" outlineLevel="0" collapsed="false">
      <c r="A352" s="168" t="str">
        <f aca="false">IF(OR(計算_償還開始="",ROWS($A$8:A352)&gt;計算_償還回数),"",ROWS($A$8:A352))</f>
        <v/>
      </c>
      <c r="B352" s="170" t="str">
        <f aca="false">IF(A352="","",EDATE(計算_償還開始,A352-1))</f>
        <v/>
      </c>
      <c r="C352" s="169" t="str">
        <f aca="false">IF(A352="","",IF(A352=計算_償還回数,D352+F351+G351,計算_毎月償還額))</f>
        <v/>
      </c>
      <c r="D352" s="169" t="str">
        <f aca="false">IF(A352="","",ROUND(F351*計算_利率/定数_年月数,0)+ROUND(G351*計算_利率_在宅介護/定数_年月数,0))</f>
        <v/>
      </c>
      <c r="E352" s="169" t="str">
        <f aca="false">IF(A352="","",C352-D352)</f>
        <v/>
      </c>
      <c r="F352" s="169" t="str">
        <f aca="false">IF(A352="","",IF(A352=計算_償還回数,0,MAX(0,F351-(ROUND(計算_月額_基本,0)-ROUND(F351*計算_利率/定数_年月数,0)))))</f>
        <v/>
      </c>
      <c r="G352" s="169" t="str">
        <f aca="false">IF(A352="","",IF(A352=計算_償還回数,0,MAX(0,G351-(ROUND(計算_月額_在宅介護,0)-ROUND(G351*計算_利率_在宅介護/定数_年月数,0)))))</f>
        <v/>
      </c>
      <c r="H352" s="169" t="str">
        <f aca="false">IF(A352="","",F352+G352)</f>
        <v/>
      </c>
      <c r="I352" s="168" t="str">
        <f aca="false">IF(A352="","",IF(AND(OR(MONTH(B352)=6,MONTH(B352)=12),I351&lt;計算_賞与回数),I351+1,I351))</f>
        <v/>
      </c>
      <c r="J352" s="169" t="str">
        <f aca="false">IF(A352="","",IF(I352&gt;I351,IF(I352=計算_賞与回数,M351+K352,計算_賞与償還額),0))</f>
        <v/>
      </c>
      <c r="K352" s="169" t="str">
        <f aca="false">IF(A352="","",IF(I352&gt;I351,ROUND(M351*計算_賞与期間利率,0),0))</f>
        <v/>
      </c>
      <c r="L352" s="169" t="str">
        <f aca="false">IF(A352="","",J352-K352)</f>
        <v/>
      </c>
      <c r="M352" s="169" t="str">
        <f aca="false">IF(A352="","",IF(I352&gt;I351,M351-L352,M351))</f>
        <v/>
      </c>
      <c r="N352" s="169" t="str">
        <f aca="false">IF(A352="","",C352+J352)</f>
        <v/>
      </c>
      <c r="O352" s="169" t="str">
        <f aca="false">IF(A352="","",H352+M352)</f>
        <v/>
      </c>
    </row>
    <row r="353" customFormat="false" ht="15" hidden="false" customHeight="false" outlineLevel="0" collapsed="false">
      <c r="A353" s="168" t="str">
        <f aca="false">IF(OR(計算_償還開始="",ROWS($A$8:A353)&gt;計算_償還回数),"",ROWS($A$8:A353))</f>
        <v/>
      </c>
      <c r="B353" s="170" t="str">
        <f aca="false">IF(A353="","",EDATE(計算_償還開始,A353-1))</f>
        <v/>
      </c>
      <c r="C353" s="169" t="str">
        <f aca="false">IF(A353="","",IF(A353=計算_償還回数,D353+F352+G352,計算_毎月償還額))</f>
        <v/>
      </c>
      <c r="D353" s="169" t="str">
        <f aca="false">IF(A353="","",ROUND(F352*計算_利率/定数_年月数,0)+ROUND(G352*計算_利率_在宅介護/定数_年月数,0))</f>
        <v/>
      </c>
      <c r="E353" s="169" t="str">
        <f aca="false">IF(A353="","",C353-D353)</f>
        <v/>
      </c>
      <c r="F353" s="169" t="str">
        <f aca="false">IF(A353="","",IF(A353=計算_償還回数,0,MAX(0,F352-(ROUND(計算_月額_基本,0)-ROUND(F352*計算_利率/定数_年月数,0)))))</f>
        <v/>
      </c>
      <c r="G353" s="169" t="str">
        <f aca="false">IF(A353="","",IF(A353=計算_償還回数,0,MAX(0,G352-(ROUND(計算_月額_在宅介護,0)-ROUND(G352*計算_利率_在宅介護/定数_年月数,0)))))</f>
        <v/>
      </c>
      <c r="H353" s="169" t="str">
        <f aca="false">IF(A353="","",F353+G353)</f>
        <v/>
      </c>
      <c r="I353" s="168" t="str">
        <f aca="false">IF(A353="","",IF(AND(OR(MONTH(B353)=6,MONTH(B353)=12),I352&lt;計算_賞与回数),I352+1,I352))</f>
        <v/>
      </c>
      <c r="J353" s="169" t="str">
        <f aca="false">IF(A353="","",IF(I353&gt;I352,IF(I353=計算_賞与回数,M352+K353,計算_賞与償還額),0))</f>
        <v/>
      </c>
      <c r="K353" s="169" t="str">
        <f aca="false">IF(A353="","",IF(I353&gt;I352,ROUND(M352*計算_賞与期間利率,0),0))</f>
        <v/>
      </c>
      <c r="L353" s="169" t="str">
        <f aca="false">IF(A353="","",J353-K353)</f>
        <v/>
      </c>
      <c r="M353" s="169" t="str">
        <f aca="false">IF(A353="","",IF(I353&gt;I352,M352-L353,M352))</f>
        <v/>
      </c>
      <c r="N353" s="169" t="str">
        <f aca="false">IF(A353="","",C353+J353)</f>
        <v/>
      </c>
      <c r="O353" s="169" t="str">
        <f aca="false">IF(A353="","",H353+M353)</f>
        <v/>
      </c>
    </row>
    <row r="354" customFormat="false" ht="15" hidden="false" customHeight="false" outlineLevel="0" collapsed="false">
      <c r="A354" s="168" t="str">
        <f aca="false">IF(OR(計算_償還開始="",ROWS($A$8:A354)&gt;計算_償還回数),"",ROWS($A$8:A354))</f>
        <v/>
      </c>
      <c r="B354" s="170" t="str">
        <f aca="false">IF(A354="","",EDATE(計算_償還開始,A354-1))</f>
        <v/>
      </c>
      <c r="C354" s="169" t="str">
        <f aca="false">IF(A354="","",IF(A354=計算_償還回数,D354+F353+G353,計算_毎月償還額))</f>
        <v/>
      </c>
      <c r="D354" s="169" t="str">
        <f aca="false">IF(A354="","",ROUND(F353*計算_利率/定数_年月数,0)+ROUND(G353*計算_利率_在宅介護/定数_年月数,0))</f>
        <v/>
      </c>
      <c r="E354" s="169" t="str">
        <f aca="false">IF(A354="","",C354-D354)</f>
        <v/>
      </c>
      <c r="F354" s="169" t="str">
        <f aca="false">IF(A354="","",IF(A354=計算_償還回数,0,MAX(0,F353-(ROUND(計算_月額_基本,0)-ROUND(F353*計算_利率/定数_年月数,0)))))</f>
        <v/>
      </c>
      <c r="G354" s="169" t="str">
        <f aca="false">IF(A354="","",IF(A354=計算_償還回数,0,MAX(0,G353-(ROUND(計算_月額_在宅介護,0)-ROUND(G353*計算_利率_在宅介護/定数_年月数,0)))))</f>
        <v/>
      </c>
      <c r="H354" s="169" t="str">
        <f aca="false">IF(A354="","",F354+G354)</f>
        <v/>
      </c>
      <c r="I354" s="168" t="str">
        <f aca="false">IF(A354="","",IF(AND(OR(MONTH(B354)=6,MONTH(B354)=12),I353&lt;計算_賞与回数),I353+1,I353))</f>
        <v/>
      </c>
      <c r="J354" s="169" t="str">
        <f aca="false">IF(A354="","",IF(I354&gt;I353,IF(I354=計算_賞与回数,M353+K354,計算_賞与償還額),0))</f>
        <v/>
      </c>
      <c r="K354" s="169" t="str">
        <f aca="false">IF(A354="","",IF(I354&gt;I353,ROUND(M353*計算_賞与期間利率,0),0))</f>
        <v/>
      </c>
      <c r="L354" s="169" t="str">
        <f aca="false">IF(A354="","",J354-K354)</f>
        <v/>
      </c>
      <c r="M354" s="169" t="str">
        <f aca="false">IF(A354="","",IF(I354&gt;I353,M353-L354,M353))</f>
        <v/>
      </c>
      <c r="N354" s="169" t="str">
        <f aca="false">IF(A354="","",C354+J354)</f>
        <v/>
      </c>
      <c r="O354" s="169" t="str">
        <f aca="false">IF(A354="","",H354+M354)</f>
        <v/>
      </c>
    </row>
    <row r="355" customFormat="false" ht="15" hidden="false" customHeight="false" outlineLevel="0" collapsed="false">
      <c r="A355" s="168" t="str">
        <f aca="false">IF(OR(計算_償還開始="",ROWS($A$8:A355)&gt;計算_償還回数),"",ROWS($A$8:A355))</f>
        <v/>
      </c>
      <c r="B355" s="170" t="str">
        <f aca="false">IF(A355="","",EDATE(計算_償還開始,A355-1))</f>
        <v/>
      </c>
      <c r="C355" s="169" t="str">
        <f aca="false">IF(A355="","",IF(A355=計算_償還回数,D355+F354+G354,計算_毎月償還額))</f>
        <v/>
      </c>
      <c r="D355" s="169" t="str">
        <f aca="false">IF(A355="","",ROUND(F354*計算_利率/定数_年月数,0)+ROUND(G354*計算_利率_在宅介護/定数_年月数,0))</f>
        <v/>
      </c>
      <c r="E355" s="169" t="str">
        <f aca="false">IF(A355="","",C355-D355)</f>
        <v/>
      </c>
      <c r="F355" s="169" t="str">
        <f aca="false">IF(A355="","",IF(A355=計算_償還回数,0,MAX(0,F354-(ROUND(計算_月額_基本,0)-ROUND(F354*計算_利率/定数_年月数,0)))))</f>
        <v/>
      </c>
      <c r="G355" s="169" t="str">
        <f aca="false">IF(A355="","",IF(A355=計算_償還回数,0,MAX(0,G354-(ROUND(計算_月額_在宅介護,0)-ROUND(G354*計算_利率_在宅介護/定数_年月数,0)))))</f>
        <v/>
      </c>
      <c r="H355" s="169" t="str">
        <f aca="false">IF(A355="","",F355+G355)</f>
        <v/>
      </c>
      <c r="I355" s="168" t="str">
        <f aca="false">IF(A355="","",IF(AND(OR(MONTH(B355)=6,MONTH(B355)=12),I354&lt;計算_賞与回数),I354+1,I354))</f>
        <v/>
      </c>
      <c r="J355" s="169" t="str">
        <f aca="false">IF(A355="","",IF(I355&gt;I354,IF(I355=計算_賞与回数,M354+K355,計算_賞与償還額),0))</f>
        <v/>
      </c>
      <c r="K355" s="169" t="str">
        <f aca="false">IF(A355="","",IF(I355&gt;I354,ROUND(M354*計算_賞与期間利率,0),0))</f>
        <v/>
      </c>
      <c r="L355" s="169" t="str">
        <f aca="false">IF(A355="","",J355-K355)</f>
        <v/>
      </c>
      <c r="M355" s="169" t="str">
        <f aca="false">IF(A355="","",IF(I355&gt;I354,M354-L355,M354))</f>
        <v/>
      </c>
      <c r="N355" s="169" t="str">
        <f aca="false">IF(A355="","",C355+J355)</f>
        <v/>
      </c>
      <c r="O355" s="169" t="str">
        <f aca="false">IF(A355="","",H355+M355)</f>
        <v/>
      </c>
    </row>
    <row r="356" customFormat="false" ht="15" hidden="false" customHeight="false" outlineLevel="0" collapsed="false">
      <c r="A356" s="168" t="str">
        <f aca="false">IF(OR(計算_償還開始="",ROWS($A$8:A356)&gt;計算_償還回数),"",ROWS($A$8:A356))</f>
        <v/>
      </c>
      <c r="B356" s="170" t="str">
        <f aca="false">IF(A356="","",EDATE(計算_償還開始,A356-1))</f>
        <v/>
      </c>
      <c r="C356" s="169" t="str">
        <f aca="false">IF(A356="","",IF(A356=計算_償還回数,D356+F355+G355,計算_毎月償還額))</f>
        <v/>
      </c>
      <c r="D356" s="169" t="str">
        <f aca="false">IF(A356="","",ROUND(F355*計算_利率/定数_年月数,0)+ROUND(G355*計算_利率_在宅介護/定数_年月数,0))</f>
        <v/>
      </c>
      <c r="E356" s="169" t="str">
        <f aca="false">IF(A356="","",C356-D356)</f>
        <v/>
      </c>
      <c r="F356" s="169" t="str">
        <f aca="false">IF(A356="","",IF(A356=計算_償還回数,0,MAX(0,F355-(ROUND(計算_月額_基本,0)-ROUND(F355*計算_利率/定数_年月数,0)))))</f>
        <v/>
      </c>
      <c r="G356" s="169" t="str">
        <f aca="false">IF(A356="","",IF(A356=計算_償還回数,0,MAX(0,G355-(ROUND(計算_月額_在宅介護,0)-ROUND(G355*計算_利率_在宅介護/定数_年月数,0)))))</f>
        <v/>
      </c>
      <c r="H356" s="169" t="str">
        <f aca="false">IF(A356="","",F356+G356)</f>
        <v/>
      </c>
      <c r="I356" s="168" t="str">
        <f aca="false">IF(A356="","",IF(AND(OR(MONTH(B356)=6,MONTH(B356)=12),I355&lt;計算_賞与回数),I355+1,I355))</f>
        <v/>
      </c>
      <c r="J356" s="169" t="str">
        <f aca="false">IF(A356="","",IF(I356&gt;I355,IF(I356=計算_賞与回数,M355+K356,計算_賞与償還額),0))</f>
        <v/>
      </c>
      <c r="K356" s="169" t="str">
        <f aca="false">IF(A356="","",IF(I356&gt;I355,ROUND(M355*計算_賞与期間利率,0),0))</f>
        <v/>
      </c>
      <c r="L356" s="169" t="str">
        <f aca="false">IF(A356="","",J356-K356)</f>
        <v/>
      </c>
      <c r="M356" s="169" t="str">
        <f aca="false">IF(A356="","",IF(I356&gt;I355,M355-L356,M355))</f>
        <v/>
      </c>
      <c r="N356" s="169" t="str">
        <f aca="false">IF(A356="","",C356+J356)</f>
        <v/>
      </c>
      <c r="O356" s="169" t="str">
        <f aca="false">IF(A356="","",H356+M356)</f>
        <v/>
      </c>
    </row>
    <row r="357" customFormat="false" ht="15" hidden="false" customHeight="false" outlineLevel="0" collapsed="false">
      <c r="A357" s="168" t="str">
        <f aca="false">IF(OR(計算_償還開始="",ROWS($A$8:A357)&gt;計算_償還回数),"",ROWS($A$8:A357))</f>
        <v/>
      </c>
      <c r="B357" s="170" t="str">
        <f aca="false">IF(A357="","",EDATE(計算_償還開始,A357-1))</f>
        <v/>
      </c>
      <c r="C357" s="169" t="str">
        <f aca="false">IF(A357="","",IF(A357=計算_償還回数,D357+F356+G356,計算_毎月償還額))</f>
        <v/>
      </c>
      <c r="D357" s="169" t="str">
        <f aca="false">IF(A357="","",ROUND(F356*計算_利率/定数_年月数,0)+ROUND(G356*計算_利率_在宅介護/定数_年月数,0))</f>
        <v/>
      </c>
      <c r="E357" s="169" t="str">
        <f aca="false">IF(A357="","",C357-D357)</f>
        <v/>
      </c>
      <c r="F357" s="169" t="str">
        <f aca="false">IF(A357="","",IF(A357=計算_償還回数,0,MAX(0,F356-(ROUND(計算_月額_基本,0)-ROUND(F356*計算_利率/定数_年月数,0)))))</f>
        <v/>
      </c>
      <c r="G357" s="169" t="str">
        <f aca="false">IF(A357="","",IF(A357=計算_償還回数,0,MAX(0,G356-(ROUND(計算_月額_在宅介護,0)-ROUND(G356*計算_利率_在宅介護/定数_年月数,0)))))</f>
        <v/>
      </c>
      <c r="H357" s="169" t="str">
        <f aca="false">IF(A357="","",F357+G357)</f>
        <v/>
      </c>
      <c r="I357" s="168" t="str">
        <f aca="false">IF(A357="","",IF(AND(OR(MONTH(B357)=6,MONTH(B357)=12),I356&lt;計算_賞与回数),I356+1,I356))</f>
        <v/>
      </c>
      <c r="J357" s="169" t="str">
        <f aca="false">IF(A357="","",IF(I357&gt;I356,IF(I357=計算_賞与回数,M356+K357,計算_賞与償還額),0))</f>
        <v/>
      </c>
      <c r="K357" s="169" t="str">
        <f aca="false">IF(A357="","",IF(I357&gt;I356,ROUND(M356*計算_賞与期間利率,0),0))</f>
        <v/>
      </c>
      <c r="L357" s="169" t="str">
        <f aca="false">IF(A357="","",J357-K357)</f>
        <v/>
      </c>
      <c r="M357" s="169" t="str">
        <f aca="false">IF(A357="","",IF(I357&gt;I356,M356-L357,M356))</f>
        <v/>
      </c>
      <c r="N357" s="169" t="str">
        <f aca="false">IF(A357="","",C357+J357)</f>
        <v/>
      </c>
      <c r="O357" s="169" t="str">
        <f aca="false">IF(A357="","",H357+M357)</f>
        <v/>
      </c>
    </row>
    <row r="358" customFormat="false" ht="15" hidden="false" customHeight="false" outlineLevel="0" collapsed="false">
      <c r="A358" s="168" t="str">
        <f aca="false">IF(OR(計算_償還開始="",ROWS($A$8:A358)&gt;計算_償還回数),"",ROWS($A$8:A358))</f>
        <v/>
      </c>
      <c r="B358" s="170" t="str">
        <f aca="false">IF(A358="","",EDATE(計算_償還開始,A358-1))</f>
        <v/>
      </c>
      <c r="C358" s="169" t="str">
        <f aca="false">IF(A358="","",IF(A358=計算_償還回数,D358+F357+G357,計算_毎月償還額))</f>
        <v/>
      </c>
      <c r="D358" s="169" t="str">
        <f aca="false">IF(A358="","",ROUND(F357*計算_利率/定数_年月数,0)+ROUND(G357*計算_利率_在宅介護/定数_年月数,0))</f>
        <v/>
      </c>
      <c r="E358" s="169" t="str">
        <f aca="false">IF(A358="","",C358-D358)</f>
        <v/>
      </c>
      <c r="F358" s="169" t="str">
        <f aca="false">IF(A358="","",IF(A358=計算_償還回数,0,MAX(0,F357-(ROUND(計算_月額_基本,0)-ROUND(F357*計算_利率/定数_年月数,0)))))</f>
        <v/>
      </c>
      <c r="G358" s="169" t="str">
        <f aca="false">IF(A358="","",IF(A358=計算_償還回数,0,MAX(0,G357-(ROUND(計算_月額_在宅介護,0)-ROUND(G357*計算_利率_在宅介護/定数_年月数,0)))))</f>
        <v/>
      </c>
      <c r="H358" s="169" t="str">
        <f aca="false">IF(A358="","",F358+G358)</f>
        <v/>
      </c>
      <c r="I358" s="168" t="str">
        <f aca="false">IF(A358="","",IF(AND(OR(MONTH(B358)=6,MONTH(B358)=12),I357&lt;計算_賞与回数),I357+1,I357))</f>
        <v/>
      </c>
      <c r="J358" s="169" t="str">
        <f aca="false">IF(A358="","",IF(I358&gt;I357,IF(I358=計算_賞与回数,M357+K358,計算_賞与償還額),0))</f>
        <v/>
      </c>
      <c r="K358" s="169" t="str">
        <f aca="false">IF(A358="","",IF(I358&gt;I357,ROUND(M357*計算_賞与期間利率,0),0))</f>
        <v/>
      </c>
      <c r="L358" s="169" t="str">
        <f aca="false">IF(A358="","",J358-K358)</f>
        <v/>
      </c>
      <c r="M358" s="169" t="str">
        <f aca="false">IF(A358="","",IF(I358&gt;I357,M357-L358,M357))</f>
        <v/>
      </c>
      <c r="N358" s="169" t="str">
        <f aca="false">IF(A358="","",C358+J358)</f>
        <v/>
      </c>
      <c r="O358" s="169" t="str">
        <f aca="false">IF(A358="","",H358+M358)</f>
        <v/>
      </c>
    </row>
    <row r="359" customFormat="false" ht="15" hidden="false" customHeight="false" outlineLevel="0" collapsed="false">
      <c r="A359" s="168" t="str">
        <f aca="false">IF(OR(計算_償還開始="",ROWS($A$8:A359)&gt;計算_償還回数),"",ROWS($A$8:A359))</f>
        <v/>
      </c>
      <c r="B359" s="170" t="str">
        <f aca="false">IF(A359="","",EDATE(計算_償還開始,A359-1))</f>
        <v/>
      </c>
      <c r="C359" s="169" t="str">
        <f aca="false">IF(A359="","",IF(A359=計算_償還回数,D359+F358+G358,計算_毎月償還額))</f>
        <v/>
      </c>
      <c r="D359" s="169" t="str">
        <f aca="false">IF(A359="","",ROUND(F358*計算_利率/定数_年月数,0)+ROUND(G358*計算_利率_在宅介護/定数_年月数,0))</f>
        <v/>
      </c>
      <c r="E359" s="169" t="str">
        <f aca="false">IF(A359="","",C359-D359)</f>
        <v/>
      </c>
      <c r="F359" s="169" t="str">
        <f aca="false">IF(A359="","",IF(A359=計算_償還回数,0,MAX(0,F358-(ROUND(計算_月額_基本,0)-ROUND(F358*計算_利率/定数_年月数,0)))))</f>
        <v/>
      </c>
      <c r="G359" s="169" t="str">
        <f aca="false">IF(A359="","",IF(A359=計算_償還回数,0,MAX(0,G358-(ROUND(計算_月額_在宅介護,0)-ROUND(G358*計算_利率_在宅介護/定数_年月数,0)))))</f>
        <v/>
      </c>
      <c r="H359" s="169" t="str">
        <f aca="false">IF(A359="","",F359+G359)</f>
        <v/>
      </c>
      <c r="I359" s="168" t="str">
        <f aca="false">IF(A359="","",IF(AND(OR(MONTH(B359)=6,MONTH(B359)=12),I358&lt;計算_賞与回数),I358+1,I358))</f>
        <v/>
      </c>
      <c r="J359" s="169" t="str">
        <f aca="false">IF(A359="","",IF(I359&gt;I358,IF(I359=計算_賞与回数,M358+K359,計算_賞与償還額),0))</f>
        <v/>
      </c>
      <c r="K359" s="169" t="str">
        <f aca="false">IF(A359="","",IF(I359&gt;I358,ROUND(M358*計算_賞与期間利率,0),0))</f>
        <v/>
      </c>
      <c r="L359" s="169" t="str">
        <f aca="false">IF(A359="","",J359-K359)</f>
        <v/>
      </c>
      <c r="M359" s="169" t="str">
        <f aca="false">IF(A359="","",IF(I359&gt;I358,M358-L359,M358))</f>
        <v/>
      </c>
      <c r="N359" s="169" t="str">
        <f aca="false">IF(A359="","",C359+J359)</f>
        <v/>
      </c>
      <c r="O359" s="169" t="str">
        <f aca="false">IF(A359="","",H359+M359)</f>
        <v/>
      </c>
    </row>
    <row r="360" customFormat="false" ht="15" hidden="false" customHeight="false" outlineLevel="0" collapsed="false">
      <c r="A360" s="168" t="str">
        <f aca="false">IF(OR(計算_償還開始="",ROWS($A$8:A360)&gt;計算_償還回数),"",ROWS($A$8:A360))</f>
        <v/>
      </c>
      <c r="B360" s="170" t="str">
        <f aca="false">IF(A360="","",EDATE(計算_償還開始,A360-1))</f>
        <v/>
      </c>
      <c r="C360" s="169" t="str">
        <f aca="false">IF(A360="","",IF(A360=計算_償還回数,D360+F359+G359,計算_毎月償還額))</f>
        <v/>
      </c>
      <c r="D360" s="169" t="str">
        <f aca="false">IF(A360="","",ROUND(F359*計算_利率/定数_年月数,0)+ROUND(G359*計算_利率_在宅介護/定数_年月数,0))</f>
        <v/>
      </c>
      <c r="E360" s="169" t="str">
        <f aca="false">IF(A360="","",C360-D360)</f>
        <v/>
      </c>
      <c r="F360" s="169" t="str">
        <f aca="false">IF(A360="","",IF(A360=計算_償還回数,0,MAX(0,F359-(ROUND(計算_月額_基本,0)-ROUND(F359*計算_利率/定数_年月数,0)))))</f>
        <v/>
      </c>
      <c r="G360" s="169" t="str">
        <f aca="false">IF(A360="","",IF(A360=計算_償還回数,0,MAX(0,G359-(ROUND(計算_月額_在宅介護,0)-ROUND(G359*計算_利率_在宅介護/定数_年月数,0)))))</f>
        <v/>
      </c>
      <c r="H360" s="169" t="str">
        <f aca="false">IF(A360="","",F360+G360)</f>
        <v/>
      </c>
      <c r="I360" s="168" t="str">
        <f aca="false">IF(A360="","",IF(AND(OR(MONTH(B360)=6,MONTH(B360)=12),I359&lt;計算_賞与回数),I359+1,I359))</f>
        <v/>
      </c>
      <c r="J360" s="169" t="str">
        <f aca="false">IF(A360="","",IF(I360&gt;I359,IF(I360=計算_賞与回数,M359+K360,計算_賞与償還額),0))</f>
        <v/>
      </c>
      <c r="K360" s="169" t="str">
        <f aca="false">IF(A360="","",IF(I360&gt;I359,ROUND(M359*計算_賞与期間利率,0),0))</f>
        <v/>
      </c>
      <c r="L360" s="169" t="str">
        <f aca="false">IF(A360="","",J360-K360)</f>
        <v/>
      </c>
      <c r="M360" s="169" t="str">
        <f aca="false">IF(A360="","",IF(I360&gt;I359,M359-L360,M359))</f>
        <v/>
      </c>
      <c r="N360" s="169" t="str">
        <f aca="false">IF(A360="","",C360+J360)</f>
        <v/>
      </c>
      <c r="O360" s="169" t="str">
        <f aca="false">IF(A360="","",H360+M360)</f>
        <v/>
      </c>
    </row>
    <row r="361" customFormat="false" ht="15" hidden="false" customHeight="false" outlineLevel="0" collapsed="false">
      <c r="A361" s="168" t="str">
        <f aca="false">IF(OR(計算_償還開始="",ROWS($A$8:A361)&gt;計算_償還回数),"",ROWS($A$8:A361))</f>
        <v/>
      </c>
      <c r="B361" s="170" t="str">
        <f aca="false">IF(A361="","",EDATE(計算_償還開始,A361-1))</f>
        <v/>
      </c>
      <c r="C361" s="169" t="str">
        <f aca="false">IF(A361="","",IF(A361=計算_償還回数,D361+F360+G360,計算_毎月償還額))</f>
        <v/>
      </c>
      <c r="D361" s="169" t="str">
        <f aca="false">IF(A361="","",ROUND(F360*計算_利率/定数_年月数,0)+ROUND(G360*計算_利率_在宅介護/定数_年月数,0))</f>
        <v/>
      </c>
      <c r="E361" s="169" t="str">
        <f aca="false">IF(A361="","",C361-D361)</f>
        <v/>
      </c>
      <c r="F361" s="169" t="str">
        <f aca="false">IF(A361="","",IF(A361=計算_償還回数,0,MAX(0,F360-(ROUND(計算_月額_基本,0)-ROUND(F360*計算_利率/定数_年月数,0)))))</f>
        <v/>
      </c>
      <c r="G361" s="169" t="str">
        <f aca="false">IF(A361="","",IF(A361=計算_償還回数,0,MAX(0,G360-(ROUND(計算_月額_在宅介護,0)-ROUND(G360*計算_利率_在宅介護/定数_年月数,0)))))</f>
        <v/>
      </c>
      <c r="H361" s="169" t="str">
        <f aca="false">IF(A361="","",F361+G361)</f>
        <v/>
      </c>
      <c r="I361" s="168" t="str">
        <f aca="false">IF(A361="","",IF(AND(OR(MONTH(B361)=6,MONTH(B361)=12),I360&lt;計算_賞与回数),I360+1,I360))</f>
        <v/>
      </c>
      <c r="J361" s="169" t="str">
        <f aca="false">IF(A361="","",IF(I361&gt;I360,IF(I361=計算_賞与回数,M360+K361,計算_賞与償還額),0))</f>
        <v/>
      </c>
      <c r="K361" s="169" t="str">
        <f aca="false">IF(A361="","",IF(I361&gt;I360,ROUND(M360*計算_賞与期間利率,0),0))</f>
        <v/>
      </c>
      <c r="L361" s="169" t="str">
        <f aca="false">IF(A361="","",J361-K361)</f>
        <v/>
      </c>
      <c r="M361" s="169" t="str">
        <f aca="false">IF(A361="","",IF(I361&gt;I360,M360-L361,M360))</f>
        <v/>
      </c>
      <c r="N361" s="169" t="str">
        <f aca="false">IF(A361="","",C361+J361)</f>
        <v/>
      </c>
      <c r="O361" s="169" t="str">
        <f aca="false">IF(A361="","",H361+M361)</f>
        <v/>
      </c>
    </row>
    <row r="362" customFormat="false" ht="15" hidden="false" customHeight="false" outlineLevel="0" collapsed="false">
      <c r="A362" s="168" t="str">
        <f aca="false">IF(OR(計算_償還開始="",ROWS($A$8:A362)&gt;計算_償還回数),"",ROWS($A$8:A362))</f>
        <v/>
      </c>
      <c r="B362" s="170" t="str">
        <f aca="false">IF(A362="","",EDATE(計算_償還開始,A362-1))</f>
        <v/>
      </c>
      <c r="C362" s="169" t="str">
        <f aca="false">IF(A362="","",IF(A362=計算_償還回数,D362+F361+G361,計算_毎月償還額))</f>
        <v/>
      </c>
      <c r="D362" s="169" t="str">
        <f aca="false">IF(A362="","",ROUND(F361*計算_利率/定数_年月数,0)+ROUND(G361*計算_利率_在宅介護/定数_年月数,0))</f>
        <v/>
      </c>
      <c r="E362" s="169" t="str">
        <f aca="false">IF(A362="","",C362-D362)</f>
        <v/>
      </c>
      <c r="F362" s="169" t="str">
        <f aca="false">IF(A362="","",IF(A362=計算_償還回数,0,MAX(0,F361-(ROUND(計算_月額_基本,0)-ROUND(F361*計算_利率/定数_年月数,0)))))</f>
        <v/>
      </c>
      <c r="G362" s="169" t="str">
        <f aca="false">IF(A362="","",IF(A362=計算_償還回数,0,MAX(0,G361-(ROUND(計算_月額_在宅介護,0)-ROUND(G361*計算_利率_在宅介護/定数_年月数,0)))))</f>
        <v/>
      </c>
      <c r="H362" s="169" t="str">
        <f aca="false">IF(A362="","",F362+G362)</f>
        <v/>
      </c>
      <c r="I362" s="168" t="str">
        <f aca="false">IF(A362="","",IF(AND(OR(MONTH(B362)=6,MONTH(B362)=12),I361&lt;計算_賞与回数),I361+1,I361))</f>
        <v/>
      </c>
      <c r="J362" s="169" t="str">
        <f aca="false">IF(A362="","",IF(I362&gt;I361,IF(I362=計算_賞与回数,M361+K362,計算_賞与償還額),0))</f>
        <v/>
      </c>
      <c r="K362" s="169" t="str">
        <f aca="false">IF(A362="","",IF(I362&gt;I361,ROUND(M361*計算_賞与期間利率,0),0))</f>
        <v/>
      </c>
      <c r="L362" s="169" t="str">
        <f aca="false">IF(A362="","",J362-K362)</f>
        <v/>
      </c>
      <c r="M362" s="169" t="str">
        <f aca="false">IF(A362="","",IF(I362&gt;I361,M361-L362,M361))</f>
        <v/>
      </c>
      <c r="N362" s="169" t="str">
        <f aca="false">IF(A362="","",C362+J362)</f>
        <v/>
      </c>
      <c r="O362" s="169" t="str">
        <f aca="false">IF(A362="","",H362+M362)</f>
        <v/>
      </c>
    </row>
    <row r="363" customFormat="false" ht="15" hidden="false" customHeight="false" outlineLevel="0" collapsed="false">
      <c r="A363" s="168" t="str">
        <f aca="false">IF(OR(計算_償還開始="",ROWS($A$8:A363)&gt;計算_償還回数),"",ROWS($A$8:A363))</f>
        <v/>
      </c>
      <c r="B363" s="170" t="str">
        <f aca="false">IF(A363="","",EDATE(計算_償還開始,A363-1))</f>
        <v/>
      </c>
      <c r="C363" s="169" t="str">
        <f aca="false">IF(A363="","",IF(A363=計算_償還回数,D363+F362+G362,計算_毎月償還額))</f>
        <v/>
      </c>
      <c r="D363" s="169" t="str">
        <f aca="false">IF(A363="","",ROUND(F362*計算_利率/定数_年月数,0)+ROUND(G362*計算_利率_在宅介護/定数_年月数,0))</f>
        <v/>
      </c>
      <c r="E363" s="169" t="str">
        <f aca="false">IF(A363="","",C363-D363)</f>
        <v/>
      </c>
      <c r="F363" s="169" t="str">
        <f aca="false">IF(A363="","",IF(A363=計算_償還回数,0,MAX(0,F362-(ROUND(計算_月額_基本,0)-ROUND(F362*計算_利率/定数_年月数,0)))))</f>
        <v/>
      </c>
      <c r="G363" s="169" t="str">
        <f aca="false">IF(A363="","",IF(A363=計算_償還回数,0,MAX(0,G362-(ROUND(計算_月額_在宅介護,0)-ROUND(G362*計算_利率_在宅介護/定数_年月数,0)))))</f>
        <v/>
      </c>
      <c r="H363" s="169" t="str">
        <f aca="false">IF(A363="","",F363+G363)</f>
        <v/>
      </c>
      <c r="I363" s="168" t="str">
        <f aca="false">IF(A363="","",IF(AND(OR(MONTH(B363)=6,MONTH(B363)=12),I362&lt;計算_賞与回数),I362+1,I362))</f>
        <v/>
      </c>
      <c r="J363" s="169" t="str">
        <f aca="false">IF(A363="","",IF(I363&gt;I362,IF(I363=計算_賞与回数,M362+K363,計算_賞与償還額),0))</f>
        <v/>
      </c>
      <c r="K363" s="169" t="str">
        <f aca="false">IF(A363="","",IF(I363&gt;I362,ROUND(M362*計算_賞与期間利率,0),0))</f>
        <v/>
      </c>
      <c r="L363" s="169" t="str">
        <f aca="false">IF(A363="","",J363-K363)</f>
        <v/>
      </c>
      <c r="M363" s="169" t="str">
        <f aca="false">IF(A363="","",IF(I363&gt;I362,M362-L363,M362))</f>
        <v/>
      </c>
      <c r="N363" s="169" t="str">
        <f aca="false">IF(A363="","",C363+J363)</f>
        <v/>
      </c>
      <c r="O363" s="169" t="str">
        <f aca="false">IF(A363="","",H363+M363)</f>
        <v/>
      </c>
    </row>
    <row r="364" customFormat="false" ht="15" hidden="false" customHeight="false" outlineLevel="0" collapsed="false">
      <c r="A364" s="168" t="str">
        <f aca="false">IF(OR(計算_償還開始="",ROWS($A$8:A364)&gt;計算_償還回数),"",ROWS($A$8:A364))</f>
        <v/>
      </c>
      <c r="B364" s="170" t="str">
        <f aca="false">IF(A364="","",EDATE(計算_償還開始,A364-1))</f>
        <v/>
      </c>
      <c r="C364" s="169" t="str">
        <f aca="false">IF(A364="","",IF(A364=計算_償還回数,D364+F363+G363,計算_毎月償還額))</f>
        <v/>
      </c>
      <c r="D364" s="169" t="str">
        <f aca="false">IF(A364="","",ROUND(F363*計算_利率/定数_年月数,0)+ROUND(G363*計算_利率_在宅介護/定数_年月数,0))</f>
        <v/>
      </c>
      <c r="E364" s="169" t="str">
        <f aca="false">IF(A364="","",C364-D364)</f>
        <v/>
      </c>
      <c r="F364" s="169" t="str">
        <f aca="false">IF(A364="","",IF(A364=計算_償還回数,0,MAX(0,F363-(ROUND(計算_月額_基本,0)-ROUND(F363*計算_利率/定数_年月数,0)))))</f>
        <v/>
      </c>
      <c r="G364" s="169" t="str">
        <f aca="false">IF(A364="","",IF(A364=計算_償還回数,0,MAX(0,G363-(ROUND(計算_月額_在宅介護,0)-ROUND(G363*計算_利率_在宅介護/定数_年月数,0)))))</f>
        <v/>
      </c>
      <c r="H364" s="169" t="str">
        <f aca="false">IF(A364="","",F364+G364)</f>
        <v/>
      </c>
      <c r="I364" s="168" t="str">
        <f aca="false">IF(A364="","",IF(AND(OR(MONTH(B364)=6,MONTH(B364)=12),I363&lt;計算_賞与回数),I363+1,I363))</f>
        <v/>
      </c>
      <c r="J364" s="169" t="str">
        <f aca="false">IF(A364="","",IF(I364&gt;I363,IF(I364=計算_賞与回数,M363+K364,計算_賞与償還額),0))</f>
        <v/>
      </c>
      <c r="K364" s="169" t="str">
        <f aca="false">IF(A364="","",IF(I364&gt;I363,ROUND(M363*計算_賞与期間利率,0),0))</f>
        <v/>
      </c>
      <c r="L364" s="169" t="str">
        <f aca="false">IF(A364="","",J364-K364)</f>
        <v/>
      </c>
      <c r="M364" s="169" t="str">
        <f aca="false">IF(A364="","",IF(I364&gt;I363,M363-L364,M363))</f>
        <v/>
      </c>
      <c r="N364" s="169" t="str">
        <f aca="false">IF(A364="","",C364+J364)</f>
        <v/>
      </c>
      <c r="O364" s="169" t="str">
        <f aca="false">IF(A364="","",H364+M364)</f>
        <v/>
      </c>
    </row>
    <row r="365" customFormat="false" ht="15" hidden="false" customHeight="false" outlineLevel="0" collapsed="false">
      <c r="A365" s="168" t="str">
        <f aca="false">IF(OR(計算_償還開始="",ROWS($A$8:A365)&gt;計算_償還回数),"",ROWS($A$8:A365))</f>
        <v/>
      </c>
      <c r="B365" s="170" t="str">
        <f aca="false">IF(A365="","",EDATE(計算_償還開始,A365-1))</f>
        <v/>
      </c>
      <c r="C365" s="169" t="str">
        <f aca="false">IF(A365="","",IF(A365=計算_償還回数,D365+F364+G364,計算_毎月償還額))</f>
        <v/>
      </c>
      <c r="D365" s="169" t="str">
        <f aca="false">IF(A365="","",ROUND(F364*計算_利率/定数_年月数,0)+ROUND(G364*計算_利率_在宅介護/定数_年月数,0))</f>
        <v/>
      </c>
      <c r="E365" s="169" t="str">
        <f aca="false">IF(A365="","",C365-D365)</f>
        <v/>
      </c>
      <c r="F365" s="169" t="str">
        <f aca="false">IF(A365="","",IF(A365=計算_償還回数,0,MAX(0,F364-(ROUND(計算_月額_基本,0)-ROUND(F364*計算_利率/定数_年月数,0)))))</f>
        <v/>
      </c>
      <c r="G365" s="169" t="str">
        <f aca="false">IF(A365="","",IF(A365=計算_償還回数,0,MAX(0,G364-(ROUND(計算_月額_在宅介護,0)-ROUND(G364*計算_利率_在宅介護/定数_年月数,0)))))</f>
        <v/>
      </c>
      <c r="H365" s="169" t="str">
        <f aca="false">IF(A365="","",F365+G365)</f>
        <v/>
      </c>
      <c r="I365" s="168" t="str">
        <f aca="false">IF(A365="","",IF(AND(OR(MONTH(B365)=6,MONTH(B365)=12),I364&lt;計算_賞与回数),I364+1,I364))</f>
        <v/>
      </c>
      <c r="J365" s="169" t="str">
        <f aca="false">IF(A365="","",IF(I365&gt;I364,IF(I365=計算_賞与回数,M364+K365,計算_賞与償還額),0))</f>
        <v/>
      </c>
      <c r="K365" s="169" t="str">
        <f aca="false">IF(A365="","",IF(I365&gt;I364,ROUND(M364*計算_賞与期間利率,0),0))</f>
        <v/>
      </c>
      <c r="L365" s="169" t="str">
        <f aca="false">IF(A365="","",J365-K365)</f>
        <v/>
      </c>
      <c r="M365" s="169" t="str">
        <f aca="false">IF(A365="","",IF(I365&gt;I364,M364-L365,M364))</f>
        <v/>
      </c>
      <c r="N365" s="169" t="str">
        <f aca="false">IF(A365="","",C365+J365)</f>
        <v/>
      </c>
      <c r="O365" s="169" t="str">
        <f aca="false">IF(A365="","",H365+M365)</f>
        <v/>
      </c>
    </row>
    <row r="366" customFormat="false" ht="15" hidden="false" customHeight="false" outlineLevel="0" collapsed="false">
      <c r="A366" s="168" t="str">
        <f aca="false">IF(OR(計算_償還開始="",ROWS($A$8:A366)&gt;計算_償還回数),"",ROWS($A$8:A366))</f>
        <v/>
      </c>
      <c r="B366" s="170" t="str">
        <f aca="false">IF(A366="","",EDATE(計算_償還開始,A366-1))</f>
        <v/>
      </c>
      <c r="C366" s="169" t="str">
        <f aca="false">IF(A366="","",IF(A366=計算_償還回数,D366+F365+G365,計算_毎月償還額))</f>
        <v/>
      </c>
      <c r="D366" s="169" t="str">
        <f aca="false">IF(A366="","",ROUND(F365*計算_利率/定数_年月数,0)+ROUND(G365*計算_利率_在宅介護/定数_年月数,0))</f>
        <v/>
      </c>
      <c r="E366" s="169" t="str">
        <f aca="false">IF(A366="","",C366-D366)</f>
        <v/>
      </c>
      <c r="F366" s="169" t="str">
        <f aca="false">IF(A366="","",IF(A366=計算_償還回数,0,MAX(0,F365-(ROUND(計算_月額_基本,0)-ROUND(F365*計算_利率/定数_年月数,0)))))</f>
        <v/>
      </c>
      <c r="G366" s="169" t="str">
        <f aca="false">IF(A366="","",IF(A366=計算_償還回数,0,MAX(0,G365-(ROUND(計算_月額_在宅介護,0)-ROUND(G365*計算_利率_在宅介護/定数_年月数,0)))))</f>
        <v/>
      </c>
      <c r="H366" s="169" t="str">
        <f aca="false">IF(A366="","",F366+G366)</f>
        <v/>
      </c>
      <c r="I366" s="168" t="str">
        <f aca="false">IF(A366="","",IF(AND(OR(MONTH(B366)=6,MONTH(B366)=12),I365&lt;計算_賞与回数),I365+1,I365))</f>
        <v/>
      </c>
      <c r="J366" s="169" t="str">
        <f aca="false">IF(A366="","",IF(I366&gt;I365,IF(I366=計算_賞与回数,M365+K366,計算_賞与償還額),0))</f>
        <v/>
      </c>
      <c r="K366" s="169" t="str">
        <f aca="false">IF(A366="","",IF(I366&gt;I365,ROUND(M365*計算_賞与期間利率,0),0))</f>
        <v/>
      </c>
      <c r="L366" s="169" t="str">
        <f aca="false">IF(A366="","",J366-K366)</f>
        <v/>
      </c>
      <c r="M366" s="169" t="str">
        <f aca="false">IF(A366="","",IF(I366&gt;I365,M365-L366,M365))</f>
        <v/>
      </c>
      <c r="N366" s="169" t="str">
        <f aca="false">IF(A366="","",C366+J366)</f>
        <v/>
      </c>
      <c r="O366" s="169" t="str">
        <f aca="false">IF(A366="","",H366+M366)</f>
        <v/>
      </c>
    </row>
    <row r="367" customFormat="false" ht="15" hidden="false" customHeight="false" outlineLevel="0" collapsed="false">
      <c r="A367" s="168" t="str">
        <f aca="false">IF(OR(計算_償還開始="",ROWS($A$8:A367)&gt;計算_償還回数),"",ROWS($A$8:A367))</f>
        <v/>
      </c>
      <c r="B367" s="170" t="str">
        <f aca="false">IF(A367="","",EDATE(計算_償還開始,A367-1))</f>
        <v/>
      </c>
      <c r="C367" s="169" t="str">
        <f aca="false">IF(A367="","",IF(A367=計算_償還回数,D367+F366+G366,計算_毎月償還額))</f>
        <v/>
      </c>
      <c r="D367" s="169" t="str">
        <f aca="false">IF(A367="","",ROUND(F366*計算_利率/定数_年月数,0)+ROUND(G366*計算_利率_在宅介護/定数_年月数,0))</f>
        <v/>
      </c>
      <c r="E367" s="169" t="str">
        <f aca="false">IF(A367="","",C367-D367)</f>
        <v/>
      </c>
      <c r="F367" s="169" t="str">
        <f aca="false">IF(A367="","",IF(A367=計算_償還回数,0,MAX(0,F366-(ROUND(計算_月額_基本,0)-ROUND(F366*計算_利率/定数_年月数,0)))))</f>
        <v/>
      </c>
      <c r="G367" s="169" t="str">
        <f aca="false">IF(A367="","",IF(A367=計算_償還回数,0,MAX(0,G366-(ROUND(計算_月額_在宅介護,0)-ROUND(G366*計算_利率_在宅介護/定数_年月数,0)))))</f>
        <v/>
      </c>
      <c r="H367" s="169" t="str">
        <f aca="false">IF(A367="","",F367+G367)</f>
        <v/>
      </c>
      <c r="I367" s="168" t="str">
        <f aca="false">IF(A367="","",IF(AND(OR(MONTH(B367)=6,MONTH(B367)=12),I366&lt;計算_賞与回数),I366+1,I366))</f>
        <v/>
      </c>
      <c r="J367" s="169" t="str">
        <f aca="false">IF(A367="","",IF(I367&gt;I366,IF(I367=計算_賞与回数,M366+K367,計算_賞与償還額),0))</f>
        <v/>
      </c>
      <c r="K367" s="169" t="str">
        <f aca="false">IF(A367="","",IF(I367&gt;I366,ROUND(M366*計算_賞与期間利率,0),0))</f>
        <v/>
      </c>
      <c r="L367" s="169" t="str">
        <f aca="false">IF(A367="","",J367-K367)</f>
        <v/>
      </c>
      <c r="M367" s="169" t="str">
        <f aca="false">IF(A367="","",IF(I367&gt;I366,M366-L367,M366))</f>
        <v/>
      </c>
      <c r="N367" s="169" t="str">
        <f aca="false">IF(A367="","",C367+J367)</f>
        <v/>
      </c>
      <c r="O367" s="169" t="str">
        <f aca="false">IF(A367="","",H367+M367)</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63" t="s">
        <v>245</v>
      </c>
    </row>
    <row r="2" customFormat="false" ht="15" hidden="false" customHeight="false" outlineLevel="0" collapsed="false">
      <c r="B2" s="8" t="s">
        <v>246</v>
      </c>
    </row>
    <row r="4" customFormat="false" ht="15" hidden="false" customHeight="false" outlineLevel="0" collapsed="false">
      <c r="B4" s="171" t="str">
        <f aca="false">"普通貸付・特別貸付(年利 "&amp;TEXT(設定_利率_普通特別,"0.00%")&amp;")"</f>
        <v>普通貸付・特別貸付(年利 1.26%)</v>
      </c>
    </row>
    <row r="5" customFormat="false" ht="15" hidden="false" customHeight="false" outlineLevel="0" collapsed="false">
      <c r="B5" s="167" t="s">
        <v>247</v>
      </c>
      <c r="C5" s="172" t="n">
        <v>12</v>
      </c>
      <c r="D5" s="172" t="n">
        <v>24</v>
      </c>
      <c r="E5" s="172" t="n">
        <v>36</v>
      </c>
      <c r="F5" s="172" t="n">
        <v>48</v>
      </c>
      <c r="G5" s="172" t="n">
        <v>60</v>
      </c>
      <c r="H5" s="172" t="n">
        <v>72</v>
      </c>
      <c r="I5" s="172" t="n">
        <v>84</v>
      </c>
      <c r="J5" s="172" t="n">
        <v>96</v>
      </c>
      <c r="K5" s="172" t="n">
        <v>108</v>
      </c>
      <c r="L5" s="172" t="n">
        <v>120</v>
      </c>
    </row>
    <row r="6" customFormat="false" ht="15" hidden="false" customHeight="false" outlineLevel="0" collapsed="false">
      <c r="B6" s="173" t="n">
        <v>10</v>
      </c>
      <c r="C6" s="169" t="n">
        <f aca="false">ROUND(PMT(設定_利率_普通特別/定数_年月数,C$5,-$B6*定数_万円),0)</f>
        <v>8390</v>
      </c>
      <c r="D6" s="169" t="n">
        <f aca="false">ROUND(PMT(設定_利率_普通特別/定数_年月数,D$5,-$B6*定数_万円),0)</f>
        <v>4222</v>
      </c>
      <c r="E6" s="169" t="n">
        <f aca="false">ROUND(PMT(設定_利率_普通特別/定数_年月数,E$5,-$B6*定数_万円),0)</f>
        <v>2832</v>
      </c>
      <c r="F6" s="169" t="n">
        <f aca="false">ROUND(PMT(設定_利率_普通特別/定数_年月数,F$5,-$B6*定数_万円),0)</f>
        <v>2137</v>
      </c>
      <c r="G6" s="169" t="n">
        <f aca="false">ROUND(PMT(設定_利率_普通特別/定数_年月数,G$5,-$B6*定数_万円),0)</f>
        <v>1721</v>
      </c>
      <c r="H6" s="169" t="n">
        <f aca="false">ROUND(PMT(設定_利率_普通特別/定数_年月数,H$5,-$B6*定数_万円),0)</f>
        <v>1443</v>
      </c>
      <c r="I6" s="169" t="n">
        <f aca="false">ROUND(PMT(設定_利率_普通特別/定数_年月数,I$5,-$B6*定数_万円),0)</f>
        <v>1244</v>
      </c>
      <c r="J6" s="169" t="n">
        <f aca="false">ROUND(PMT(設定_利率_普通特別/定数_年月数,J$5,-$B6*定数_万円),0)</f>
        <v>1096</v>
      </c>
      <c r="K6" s="169" t="n">
        <f aca="false">ROUND(PMT(設定_利率_普通特別/定数_年月数,K$5,-$B6*定数_万円),0)</f>
        <v>980</v>
      </c>
      <c r="L6" s="169" t="n">
        <f aca="false">ROUND(PMT(設定_利率_普通特別/定数_年月数,L$5,-$B6*定数_万円),0)</f>
        <v>887</v>
      </c>
    </row>
    <row r="7" customFormat="false" ht="15" hidden="false" customHeight="false" outlineLevel="0" collapsed="false">
      <c r="B7" s="173" t="n">
        <v>20</v>
      </c>
      <c r="C7" s="169" t="n">
        <f aca="false">ROUND(PMT(設定_利率_普通特別/定数_年月数,C$5,-$B7*定数_万円),0)</f>
        <v>16781</v>
      </c>
      <c r="D7" s="169" t="n">
        <f aca="false">ROUND(PMT(設定_利率_普通特別/定数_年月数,D$5,-$B7*定数_万円),0)</f>
        <v>8443</v>
      </c>
      <c r="E7" s="169" t="n">
        <f aca="false">ROUND(PMT(設定_利率_普通特別/定数_年月数,E$5,-$B7*定数_万円),0)</f>
        <v>5664</v>
      </c>
      <c r="F7" s="169" t="n">
        <f aca="false">ROUND(PMT(設定_利率_普通特別/定数_年月数,F$5,-$B7*定数_万円),0)</f>
        <v>4275</v>
      </c>
      <c r="G7" s="169" t="n">
        <f aca="false">ROUND(PMT(設定_利率_普通特別/定数_年月数,G$5,-$B7*定数_万円),0)</f>
        <v>3441</v>
      </c>
      <c r="H7" s="169" t="n">
        <f aca="false">ROUND(PMT(設定_利率_普通特別/定数_年月数,H$5,-$B7*定数_万円),0)</f>
        <v>2886</v>
      </c>
      <c r="I7" s="169" t="n">
        <f aca="false">ROUND(PMT(設定_利率_普通特別/定数_年月数,I$5,-$B7*定数_万円),0)</f>
        <v>2489</v>
      </c>
      <c r="J7" s="169" t="n">
        <f aca="false">ROUND(PMT(設定_利率_普通特別/定数_年月数,J$5,-$B7*定数_万円),0)</f>
        <v>2191</v>
      </c>
      <c r="K7" s="169" t="n">
        <f aca="false">ROUND(PMT(設定_利率_普通特別/定数_年月数,K$5,-$B7*定数_万円),0)</f>
        <v>1960</v>
      </c>
      <c r="L7" s="169" t="n">
        <f aca="false">ROUND(PMT(設定_利率_普通特別/定数_年月数,L$5,-$B7*定数_万円),0)</f>
        <v>1775</v>
      </c>
    </row>
    <row r="8" customFormat="false" ht="15" hidden="false" customHeight="false" outlineLevel="0" collapsed="false">
      <c r="B8" s="173" t="n">
        <v>30</v>
      </c>
      <c r="C8" s="169" t="n">
        <f aca="false">ROUND(PMT(設定_利率_普通特別/定数_年月数,C$5,-$B8*定数_万円),0)</f>
        <v>25171</v>
      </c>
      <c r="D8" s="169" t="n">
        <f aca="false">ROUND(PMT(設定_利率_普通特別/定数_年月数,D$5,-$B8*定数_万円),0)</f>
        <v>12665</v>
      </c>
      <c r="E8" s="169" t="n">
        <f aca="false">ROUND(PMT(設定_利率_普通特別/定数_年月数,E$5,-$B8*定数_万円),0)</f>
        <v>8496</v>
      </c>
      <c r="F8" s="169" t="n">
        <f aca="false">ROUND(PMT(設定_利率_普通特別/定数_年月数,F$5,-$B8*定数_万円),0)</f>
        <v>6412</v>
      </c>
      <c r="G8" s="169" t="n">
        <f aca="false">ROUND(PMT(設定_利率_普通特別/定数_年月数,G$5,-$B8*定数_万円),0)</f>
        <v>5162</v>
      </c>
      <c r="H8" s="169" t="n">
        <f aca="false">ROUND(PMT(設定_利率_普通特別/定数_年月数,H$5,-$B8*定数_万円),0)</f>
        <v>4328</v>
      </c>
      <c r="I8" s="169" t="n">
        <f aca="false">ROUND(PMT(設定_利率_普通特別/定数_年月数,I$5,-$B8*定数_万円),0)</f>
        <v>3733</v>
      </c>
      <c r="J8" s="169" t="n">
        <f aca="false">ROUND(PMT(設定_利率_普通特別/定数_年月数,J$5,-$B8*定数_万円),0)</f>
        <v>3287</v>
      </c>
      <c r="K8" s="169" t="n">
        <f aca="false">ROUND(PMT(設定_利率_普通特別/定数_年月数,K$5,-$B8*定数_万円),0)</f>
        <v>2940</v>
      </c>
      <c r="L8" s="169" t="n">
        <f aca="false">ROUND(PMT(設定_利率_普通特別/定数_年月数,L$5,-$B8*定数_万円),0)</f>
        <v>2662</v>
      </c>
    </row>
    <row r="9" customFormat="false" ht="15" hidden="false" customHeight="false" outlineLevel="0" collapsed="false">
      <c r="B9" s="173" t="n">
        <v>40</v>
      </c>
      <c r="C9" s="169" t="n">
        <f aca="false">ROUND(PMT(設定_利率_普通特別/定数_年月数,C$5,-$B9*定数_万円),0)</f>
        <v>33561</v>
      </c>
      <c r="D9" s="169" t="n">
        <f aca="false">ROUND(PMT(設定_利率_普通特別/定数_年月数,D$5,-$B9*定数_万円),0)</f>
        <v>16886</v>
      </c>
      <c r="E9" s="169" t="n">
        <f aca="false">ROUND(PMT(設定_利率_普通特別/定数_年月数,E$5,-$B9*定数_万円),0)</f>
        <v>11328</v>
      </c>
      <c r="F9" s="169" t="n">
        <f aca="false">ROUND(PMT(設定_利率_普通特別/定数_年月数,F$5,-$B9*定数_万円),0)</f>
        <v>8549</v>
      </c>
      <c r="G9" s="169" t="n">
        <f aca="false">ROUND(PMT(設定_利率_普通特別/定数_年月数,G$5,-$B9*定数_万円),0)</f>
        <v>6882</v>
      </c>
      <c r="H9" s="169" t="n">
        <f aca="false">ROUND(PMT(設定_利率_普通特別/定数_年月数,H$5,-$B9*定数_万円),0)</f>
        <v>5771</v>
      </c>
      <c r="I9" s="169" t="n">
        <f aca="false">ROUND(PMT(設定_利率_普通特別/定数_年月数,I$5,-$B9*定数_万円),0)</f>
        <v>4977</v>
      </c>
      <c r="J9" s="169" t="n">
        <f aca="false">ROUND(PMT(設定_利率_普通特別/定数_年月数,J$5,-$B9*定数_万円),0)</f>
        <v>4382</v>
      </c>
      <c r="K9" s="169" t="n">
        <f aca="false">ROUND(PMT(設定_利率_普通特別/定数_年月数,K$5,-$B9*定数_万円),0)</f>
        <v>3920</v>
      </c>
      <c r="L9" s="169" t="n">
        <f aca="false">ROUND(PMT(設定_利率_普通特別/定数_年月数,L$5,-$B9*定数_万円),0)</f>
        <v>3549</v>
      </c>
    </row>
    <row r="10" customFormat="false" ht="15" hidden="false" customHeight="false" outlineLevel="0" collapsed="false">
      <c r="B10" s="173" t="n">
        <v>50</v>
      </c>
      <c r="C10" s="169" t="n">
        <f aca="false">ROUND(PMT(設定_利率_普通特別/定数_年月数,C$5,-$B10*定数_万円),0)</f>
        <v>41952</v>
      </c>
      <c r="D10" s="169" t="n">
        <f aca="false">ROUND(PMT(設定_利率_普通特別/定数_年月数,D$5,-$B10*定数_万円),0)</f>
        <v>21108</v>
      </c>
      <c r="E10" s="169" t="n">
        <f aca="false">ROUND(PMT(設定_利率_普通特別/定数_年月数,E$5,-$B10*定数_万円),0)</f>
        <v>14160</v>
      </c>
      <c r="F10" s="169" t="n">
        <f aca="false">ROUND(PMT(設定_利率_普通特別/定数_年月数,F$5,-$B10*定数_万円),0)</f>
        <v>10687</v>
      </c>
      <c r="G10" s="169" t="n">
        <f aca="false">ROUND(PMT(設定_利率_普通特別/定数_年月数,G$5,-$B10*定数_万円),0)</f>
        <v>8603</v>
      </c>
      <c r="H10" s="169" t="n">
        <f aca="false">ROUND(PMT(設定_利率_普通特別/定数_年月数,H$5,-$B10*定数_万円),0)</f>
        <v>7214</v>
      </c>
      <c r="I10" s="169" t="n">
        <f aca="false">ROUND(PMT(設定_利率_普通特別/定数_年月数,I$5,-$B10*定数_万円),0)</f>
        <v>6222</v>
      </c>
      <c r="J10" s="169" t="n">
        <f aca="false">ROUND(PMT(設定_利率_普通特別/定数_年月数,J$5,-$B10*定数_万円),0)</f>
        <v>5478</v>
      </c>
      <c r="K10" s="169" t="n">
        <f aca="false">ROUND(PMT(設定_利率_普通特別/定数_年月数,K$5,-$B10*定数_万円),0)</f>
        <v>4900</v>
      </c>
      <c r="L10" s="169" t="n">
        <f aca="false">ROUND(PMT(設定_利率_普通特別/定数_年月数,L$5,-$B10*定数_万円),0)</f>
        <v>4437</v>
      </c>
    </row>
    <row r="11" customFormat="false" ht="15" hidden="false" customHeight="false" outlineLevel="0" collapsed="false">
      <c r="B11" s="173" t="n">
        <v>60</v>
      </c>
      <c r="C11" s="169" t="n">
        <f aca="false">ROUND(PMT(設定_利率_普通特別/定数_年月数,C$5,-$B11*定数_万円),0)</f>
        <v>50342</v>
      </c>
      <c r="D11" s="169" t="n">
        <f aca="false">ROUND(PMT(設定_利率_普通特別/定数_年月数,D$5,-$B11*定数_万円),0)</f>
        <v>25329</v>
      </c>
      <c r="E11" s="169" t="n">
        <f aca="false">ROUND(PMT(設定_利率_普通特別/定数_年月数,E$5,-$B11*定数_万円),0)</f>
        <v>16992</v>
      </c>
      <c r="F11" s="169" t="n">
        <f aca="false">ROUND(PMT(設定_利率_普通特別/定数_年月数,F$5,-$B11*定数_万円),0)</f>
        <v>12824</v>
      </c>
      <c r="G11" s="169" t="n">
        <f aca="false">ROUND(PMT(設定_利率_普通特別/定数_年月数,G$5,-$B11*定数_万円),0)</f>
        <v>10324</v>
      </c>
      <c r="H11" s="169" t="n">
        <f aca="false">ROUND(PMT(設定_利率_普通特別/定数_年月数,H$5,-$B11*定数_万円),0)</f>
        <v>8657</v>
      </c>
      <c r="I11" s="169" t="n">
        <f aca="false">ROUND(PMT(設定_利率_普通特別/定数_年月数,I$5,-$B11*定数_万円),0)</f>
        <v>7466</v>
      </c>
      <c r="J11" s="169" t="n">
        <f aca="false">ROUND(PMT(設定_利率_普通特別/定数_年月数,J$5,-$B11*定数_万円),0)</f>
        <v>6574</v>
      </c>
      <c r="K11" s="169" t="n">
        <f aca="false">ROUND(PMT(設定_利率_普通特別/定数_年月数,K$5,-$B11*定数_万円),0)</f>
        <v>5879</v>
      </c>
      <c r="L11" s="169" t="n">
        <f aca="false">ROUND(PMT(設定_利率_普通特別/定数_年月数,L$5,-$B11*定数_万円),0)</f>
        <v>5324</v>
      </c>
    </row>
    <row r="12" customFormat="false" ht="15" hidden="false" customHeight="false" outlineLevel="0" collapsed="false">
      <c r="B12" s="173" t="n">
        <v>70</v>
      </c>
      <c r="C12" s="169" t="n">
        <f aca="false">ROUND(PMT(設定_利率_普通特別/定数_年月数,C$5,-$B12*定数_万円),0)</f>
        <v>58732</v>
      </c>
      <c r="D12" s="169" t="n">
        <f aca="false">ROUND(PMT(設定_利率_普通特別/定数_年月数,D$5,-$B12*定数_万円),0)</f>
        <v>29551</v>
      </c>
      <c r="E12" s="169" t="n">
        <f aca="false">ROUND(PMT(設定_利率_普通特別/定数_年月数,E$5,-$B12*定数_万円),0)</f>
        <v>19824</v>
      </c>
      <c r="F12" s="169" t="n">
        <f aca="false">ROUND(PMT(設定_利率_普通特別/定数_年月数,F$5,-$B12*定数_万円),0)</f>
        <v>14962</v>
      </c>
      <c r="G12" s="169" t="n">
        <f aca="false">ROUND(PMT(設定_利率_普通特別/定数_年月数,G$5,-$B12*定数_万円),0)</f>
        <v>12044</v>
      </c>
      <c r="H12" s="169" t="n">
        <f aca="false">ROUND(PMT(設定_利率_普通特別/定数_年月数,H$5,-$B12*定数_万円),0)</f>
        <v>10099</v>
      </c>
      <c r="I12" s="169" t="n">
        <f aca="false">ROUND(PMT(設定_利率_普通特別/定数_年月数,I$5,-$B12*定数_万円),0)</f>
        <v>8711</v>
      </c>
      <c r="J12" s="169" t="n">
        <f aca="false">ROUND(PMT(設定_利率_普通特別/定数_年月数,J$5,-$B12*定数_万円),0)</f>
        <v>7669</v>
      </c>
      <c r="K12" s="169" t="n">
        <f aca="false">ROUND(PMT(設定_利率_普通特別/定数_年月数,K$5,-$B12*定数_万円),0)</f>
        <v>6859</v>
      </c>
      <c r="L12" s="169" t="n">
        <f aca="false">ROUND(PMT(設定_利率_普通特別/定数_年月数,L$5,-$B12*定数_万円),0)</f>
        <v>6212</v>
      </c>
    </row>
    <row r="13" customFormat="false" ht="15" hidden="false" customHeight="false" outlineLevel="0" collapsed="false">
      <c r="B13" s="173" t="n">
        <v>80</v>
      </c>
      <c r="C13" s="169" t="n">
        <f aca="false">ROUND(PMT(設定_利率_普通特別/定数_年月数,C$5,-$B13*定数_万円),0)</f>
        <v>67123</v>
      </c>
      <c r="D13" s="169" t="n">
        <f aca="false">ROUND(PMT(設定_利率_普通特別/定数_年月数,D$5,-$B13*定数_万円),0)</f>
        <v>33773</v>
      </c>
      <c r="E13" s="169" t="n">
        <f aca="false">ROUND(PMT(設定_利率_普通特別/定数_年月数,E$5,-$B13*定数_万円),0)</f>
        <v>22657</v>
      </c>
      <c r="F13" s="169" t="n">
        <f aca="false">ROUND(PMT(設定_利率_普通特別/定数_年月数,F$5,-$B13*定数_万円),0)</f>
        <v>17099</v>
      </c>
      <c r="G13" s="169" t="n">
        <f aca="false">ROUND(PMT(設定_利率_普通特別/定数_年月数,G$5,-$B13*定数_万円),0)</f>
        <v>13765</v>
      </c>
      <c r="H13" s="169" t="n">
        <f aca="false">ROUND(PMT(設定_利率_普通特別/定数_年月数,H$5,-$B13*定数_万円),0)</f>
        <v>11542</v>
      </c>
      <c r="I13" s="169" t="n">
        <f aca="false">ROUND(PMT(設定_利率_普通特別/定数_年月数,I$5,-$B13*定数_万円),0)</f>
        <v>9955</v>
      </c>
      <c r="J13" s="169" t="n">
        <f aca="false">ROUND(PMT(設定_利率_普通特別/定数_年月数,J$5,-$B13*定数_万円),0)</f>
        <v>8765</v>
      </c>
      <c r="K13" s="169" t="n">
        <f aca="false">ROUND(PMT(設定_利率_普通特別/定数_年月数,K$5,-$B13*定数_万円),0)</f>
        <v>7839</v>
      </c>
      <c r="L13" s="169" t="n">
        <f aca="false">ROUND(PMT(設定_利率_普通特別/定数_年月数,L$5,-$B13*定数_万円),0)</f>
        <v>7099</v>
      </c>
    </row>
    <row r="14" customFormat="false" ht="15" hidden="false" customHeight="false" outlineLevel="0" collapsed="false">
      <c r="B14" s="173" t="n">
        <v>90</v>
      </c>
      <c r="C14" s="169" t="n">
        <f aca="false">ROUND(PMT(設定_利率_普通特別/定数_年月数,C$5,-$B14*定数_万円),0)</f>
        <v>75513</v>
      </c>
      <c r="D14" s="169" t="n">
        <f aca="false">ROUND(PMT(設定_利率_普通特別/定数_年月数,D$5,-$B14*定数_万円),0)</f>
        <v>37994</v>
      </c>
      <c r="E14" s="169" t="n">
        <f aca="false">ROUND(PMT(設定_利率_普通特別/定数_年月数,E$5,-$B14*定数_万円),0)</f>
        <v>25489</v>
      </c>
      <c r="F14" s="169" t="n">
        <f aca="false">ROUND(PMT(設定_利率_普通特別/定数_年月数,F$5,-$B14*定数_万円),0)</f>
        <v>19236</v>
      </c>
      <c r="G14" s="169" t="n">
        <f aca="false">ROUND(PMT(設定_利率_普通特別/定数_年月数,G$5,-$B14*定数_万円),0)</f>
        <v>15485</v>
      </c>
      <c r="H14" s="169" t="n">
        <f aca="false">ROUND(PMT(設定_利率_普通特別/定数_年月数,H$5,-$B14*定数_万円),0)</f>
        <v>12985</v>
      </c>
      <c r="I14" s="169" t="n">
        <f aca="false">ROUND(PMT(設定_利率_普通特別/定数_年月数,I$5,-$B14*定数_万円),0)</f>
        <v>11199</v>
      </c>
      <c r="J14" s="169" t="n">
        <f aca="false">ROUND(PMT(設定_利率_普通特別/定数_年月数,J$5,-$B14*定数_万円),0)</f>
        <v>9860</v>
      </c>
      <c r="K14" s="169" t="n">
        <f aca="false">ROUND(PMT(設定_利率_普通特別/定数_年月数,K$5,-$B14*定数_万円),0)</f>
        <v>8819</v>
      </c>
      <c r="L14" s="169" t="n">
        <f aca="false">ROUND(PMT(設定_利率_普通特別/定数_年月数,L$5,-$B14*定数_万円),0)</f>
        <v>7986</v>
      </c>
    </row>
    <row r="15" customFormat="false" ht="15" hidden="false" customHeight="false" outlineLevel="0" collapsed="false">
      <c r="B15" s="173" t="n">
        <v>100</v>
      </c>
      <c r="C15" s="169" t="n">
        <f aca="false">ROUND(PMT(設定_利率_普通特別/定数_年月数,C$5,-$B15*定数_万円),0)</f>
        <v>83903</v>
      </c>
      <c r="D15" s="169" t="n">
        <f aca="false">ROUND(PMT(設定_利率_普通特別/定数_年月数,D$5,-$B15*定数_万円),0)</f>
        <v>42216</v>
      </c>
      <c r="E15" s="169" t="n">
        <f aca="false">ROUND(PMT(設定_利率_普通特別/定数_年月数,E$5,-$B15*定数_万円),0)</f>
        <v>28321</v>
      </c>
      <c r="F15" s="169" t="n">
        <f aca="false">ROUND(PMT(設定_利率_普通特別/定数_年月数,F$5,-$B15*定数_万円),0)</f>
        <v>21374</v>
      </c>
      <c r="G15" s="169" t="n">
        <f aca="false">ROUND(PMT(設定_利率_普通特別/定数_年月数,G$5,-$B15*定数_万円),0)</f>
        <v>17206</v>
      </c>
      <c r="H15" s="169" t="n">
        <f aca="false">ROUND(PMT(設定_利率_普通特別/定数_年月数,H$5,-$B15*定数_万円),0)</f>
        <v>14428</v>
      </c>
      <c r="I15" s="169" t="n">
        <f aca="false">ROUND(PMT(設定_利率_普通特別/定数_年月数,I$5,-$B15*定数_万円),0)</f>
        <v>12444</v>
      </c>
      <c r="J15" s="169" t="n">
        <f aca="false">ROUND(PMT(設定_利率_普通特別/定数_年月数,J$5,-$B15*定数_万円),0)</f>
        <v>10956</v>
      </c>
      <c r="K15" s="169" t="n">
        <f aca="false">ROUND(PMT(設定_利率_普通特別/定数_年月数,K$5,-$B15*定数_万円),0)</f>
        <v>9799</v>
      </c>
      <c r="L15" s="169" t="n">
        <f aca="false">ROUND(PMT(設定_利率_普通特別/定数_年月数,L$5,-$B15*定数_万円),0)</f>
        <v>8874</v>
      </c>
    </row>
    <row r="16" customFormat="false" ht="15" hidden="false" customHeight="false" outlineLevel="0" collapsed="false">
      <c r="B16" s="173" t="n">
        <v>110</v>
      </c>
      <c r="C16" s="169" t="n">
        <f aca="false">ROUND(PMT(設定_利率_普通特別/定数_年月数,C$5,-$B16*定数_万円),0)</f>
        <v>92293</v>
      </c>
      <c r="D16" s="169" t="n">
        <f aca="false">ROUND(PMT(設定_利率_普通特別/定数_年月数,D$5,-$B16*定数_万円),0)</f>
        <v>46437</v>
      </c>
      <c r="E16" s="169" t="n">
        <f aca="false">ROUND(PMT(設定_利率_普通特別/定数_年月数,E$5,-$B16*定数_万円),0)</f>
        <v>31153</v>
      </c>
      <c r="F16" s="169" t="n">
        <f aca="false">ROUND(PMT(設定_利率_普通特別/定数_年月数,F$5,-$B16*定数_万円),0)</f>
        <v>23511</v>
      </c>
      <c r="G16" s="169" t="n">
        <f aca="false">ROUND(PMT(設定_利率_普通特別/定数_年月数,G$5,-$B16*定数_万円),0)</f>
        <v>18927</v>
      </c>
      <c r="H16" s="169" t="n">
        <f aca="false">ROUND(PMT(設定_利率_普通特別/定数_年月数,H$5,-$B16*定数_万円),0)</f>
        <v>15871</v>
      </c>
      <c r="I16" s="169" t="n">
        <f aca="false">ROUND(PMT(設定_利率_普通特別/定数_年月数,I$5,-$B16*定数_万円),0)</f>
        <v>13688</v>
      </c>
      <c r="J16" s="169" t="n">
        <f aca="false">ROUND(PMT(設定_利率_普通特別/定数_年月数,J$5,-$B16*定数_万円),0)</f>
        <v>12052</v>
      </c>
      <c r="K16" s="169" t="n">
        <f aca="false">ROUND(PMT(設定_利率_普通特別/定数_年月数,K$5,-$B16*定数_万円),0)</f>
        <v>10779</v>
      </c>
      <c r="L16" s="169" t="n">
        <f aca="false">ROUND(PMT(設定_利率_普通特別/定数_年月数,L$5,-$B16*定数_万円),0)</f>
        <v>9761</v>
      </c>
    </row>
    <row r="17" customFormat="false" ht="15" hidden="false" customHeight="false" outlineLevel="0" collapsed="false">
      <c r="B17" s="173" t="n">
        <v>120</v>
      </c>
      <c r="C17" s="169" t="n">
        <f aca="false">ROUND(PMT(設定_利率_普通特別/定数_年月数,C$5,-$B17*定数_万円),0)</f>
        <v>100684</v>
      </c>
      <c r="D17" s="169" t="n">
        <f aca="false">ROUND(PMT(設定_利率_普通特別/定数_年月数,D$5,-$B17*定数_万円),0)</f>
        <v>50659</v>
      </c>
      <c r="E17" s="169" t="n">
        <f aca="false">ROUND(PMT(設定_利率_普通特別/定数_年月数,E$5,-$B17*定数_万円),0)</f>
        <v>33985</v>
      </c>
      <c r="F17" s="169" t="n">
        <f aca="false">ROUND(PMT(設定_利率_普通特別/定数_年月数,F$5,-$B17*定数_万円),0)</f>
        <v>25648</v>
      </c>
      <c r="G17" s="169" t="n">
        <f aca="false">ROUND(PMT(設定_利率_普通特別/定数_年月数,G$5,-$B17*定数_万円),0)</f>
        <v>20647</v>
      </c>
      <c r="H17" s="169" t="n">
        <f aca="false">ROUND(PMT(設定_利率_普通特別/定数_年月数,H$5,-$B17*定数_万円),0)</f>
        <v>17313</v>
      </c>
      <c r="I17" s="169" t="n">
        <f aca="false">ROUND(PMT(設定_利率_普通特別/定数_年月数,I$5,-$B17*定数_万円),0)</f>
        <v>14932</v>
      </c>
      <c r="J17" s="169" t="n">
        <f aca="false">ROUND(PMT(設定_利率_普通特別/定数_年月数,J$5,-$B17*定数_万円),0)</f>
        <v>13147</v>
      </c>
      <c r="K17" s="169" t="n">
        <f aca="false">ROUND(PMT(設定_利率_普通特別/定数_年月数,K$5,-$B17*定数_万円),0)</f>
        <v>11759</v>
      </c>
      <c r="L17" s="169" t="n">
        <f aca="false">ROUND(PMT(設定_利率_普通特別/定数_年月数,L$5,-$B17*定数_万円),0)</f>
        <v>10648</v>
      </c>
    </row>
    <row r="18" customFormat="false" ht="15" hidden="false" customHeight="false" outlineLevel="0" collapsed="false">
      <c r="B18" s="173" t="n">
        <v>130</v>
      </c>
      <c r="C18" s="169" t="n">
        <f aca="false">ROUND(PMT(設定_利率_普通特別/定数_年月数,C$5,-$B18*定数_万円),0)</f>
        <v>109074</v>
      </c>
      <c r="D18" s="169" t="n">
        <f aca="false">ROUND(PMT(設定_利率_普通特別/定数_年月数,D$5,-$B18*定数_万円),0)</f>
        <v>54880</v>
      </c>
      <c r="E18" s="169" t="n">
        <f aca="false">ROUND(PMT(設定_利率_普通特別/定数_年月数,E$5,-$B18*定数_万円),0)</f>
        <v>36817</v>
      </c>
      <c r="F18" s="169" t="n">
        <f aca="false">ROUND(PMT(設定_利率_普通特別/定数_年月数,F$5,-$B18*定数_万円),0)</f>
        <v>27786</v>
      </c>
      <c r="G18" s="169" t="n">
        <f aca="false">ROUND(PMT(設定_利率_普通特別/定数_年月数,G$5,-$B18*定数_万円),0)</f>
        <v>22368</v>
      </c>
      <c r="H18" s="169" t="n">
        <f aca="false">ROUND(PMT(設定_利率_普通特別/定数_年月数,H$5,-$B18*定数_万円),0)</f>
        <v>18756</v>
      </c>
      <c r="I18" s="169" t="n">
        <f aca="false">ROUND(PMT(設定_利率_普通特別/定数_年月数,I$5,-$B18*定数_万円),0)</f>
        <v>16177</v>
      </c>
      <c r="J18" s="169" t="n">
        <f aca="false">ROUND(PMT(設定_利率_普通特別/定数_年月数,J$5,-$B18*定数_万円),0)</f>
        <v>14243</v>
      </c>
      <c r="K18" s="169" t="n">
        <f aca="false">ROUND(PMT(設定_利率_普通特別/定数_年月数,K$5,-$B18*定数_万円),0)</f>
        <v>12739</v>
      </c>
      <c r="L18" s="169" t="n">
        <f aca="false">ROUND(PMT(設定_利率_普通特別/定数_年月数,L$5,-$B18*定数_万円),0)</f>
        <v>11536</v>
      </c>
    </row>
    <row r="19" customFormat="false" ht="15" hidden="false" customHeight="false" outlineLevel="0" collapsed="false">
      <c r="B19" s="173" t="n">
        <v>140</v>
      </c>
      <c r="C19" s="169" t="n">
        <f aca="false">ROUND(PMT(設定_利率_普通特別/定数_年月数,C$5,-$B19*定数_万円),0)</f>
        <v>117464</v>
      </c>
      <c r="D19" s="169" t="n">
        <f aca="false">ROUND(PMT(設定_利率_普通特別/定数_年月数,D$5,-$B19*定数_万円),0)</f>
        <v>59102</v>
      </c>
      <c r="E19" s="169" t="n">
        <f aca="false">ROUND(PMT(設定_利率_普通特別/定数_年月数,E$5,-$B19*定数_万円),0)</f>
        <v>39649</v>
      </c>
      <c r="F19" s="169" t="n">
        <f aca="false">ROUND(PMT(設定_利率_普通特別/定数_年月数,F$5,-$B19*定数_万円),0)</f>
        <v>29923</v>
      </c>
      <c r="G19" s="169" t="n">
        <f aca="false">ROUND(PMT(設定_利率_普通特別/定数_年月数,G$5,-$B19*定数_万円),0)</f>
        <v>24088</v>
      </c>
      <c r="H19" s="169" t="n">
        <f aca="false">ROUND(PMT(設定_利率_普通特別/定数_年月数,H$5,-$B19*定数_万円),0)</f>
        <v>20199</v>
      </c>
      <c r="I19" s="169" t="n">
        <f aca="false">ROUND(PMT(設定_利率_普通特別/定数_年月数,I$5,-$B19*定数_万円),0)</f>
        <v>17421</v>
      </c>
      <c r="J19" s="169" t="n">
        <f aca="false">ROUND(PMT(設定_利率_普通特別/定数_年月数,J$5,-$B19*定数_万円),0)</f>
        <v>15338</v>
      </c>
      <c r="K19" s="169" t="n">
        <f aca="false">ROUND(PMT(設定_利率_普通特別/定数_年月数,K$5,-$B19*定数_万円),0)</f>
        <v>13719</v>
      </c>
      <c r="L19" s="169" t="n">
        <f aca="false">ROUND(PMT(設定_利率_普通特別/定数_年月数,L$5,-$B19*定数_万円),0)</f>
        <v>12423</v>
      </c>
    </row>
    <row r="20" customFormat="false" ht="15" hidden="false" customHeight="false" outlineLevel="0" collapsed="false">
      <c r="B20" s="173" t="n">
        <v>150</v>
      </c>
      <c r="C20" s="169" t="n">
        <f aca="false">ROUND(PMT(設定_利率_普通特別/定数_年月数,C$5,-$B20*定数_万円),0)</f>
        <v>125855</v>
      </c>
      <c r="D20" s="169" t="n">
        <f aca="false">ROUND(PMT(設定_利率_普通特別/定数_年月数,D$5,-$B20*定数_万円),0)</f>
        <v>63324</v>
      </c>
      <c r="E20" s="169" t="n">
        <f aca="false">ROUND(PMT(設定_利率_普通特別/定数_年月数,E$5,-$B20*定数_万円),0)</f>
        <v>42481</v>
      </c>
      <c r="F20" s="169" t="n">
        <f aca="false">ROUND(PMT(設定_利率_普通特別/定数_年月数,F$5,-$B20*定数_万円),0)</f>
        <v>32061</v>
      </c>
      <c r="G20" s="169" t="n">
        <f aca="false">ROUND(PMT(設定_利率_普通特別/定数_年月数,G$5,-$B20*定数_万円),0)</f>
        <v>25809</v>
      </c>
      <c r="H20" s="169" t="n">
        <f aca="false">ROUND(PMT(設定_利率_普通特別/定数_年月数,H$5,-$B20*定数_万円),0)</f>
        <v>21642</v>
      </c>
      <c r="I20" s="169" t="n">
        <f aca="false">ROUND(PMT(設定_利率_普通特別/定数_年月数,I$5,-$B20*定数_万円),0)</f>
        <v>18666</v>
      </c>
      <c r="J20" s="169" t="n">
        <f aca="false">ROUND(PMT(設定_利率_普通特別/定数_年月数,J$5,-$B20*定数_万円),0)</f>
        <v>16434</v>
      </c>
      <c r="K20" s="169" t="n">
        <f aca="false">ROUND(PMT(設定_利率_普通特別/定数_年月数,K$5,-$B20*定数_万円),0)</f>
        <v>14699</v>
      </c>
      <c r="L20" s="169" t="n">
        <f aca="false">ROUND(PMT(設定_利率_普通特別/定数_年月数,L$5,-$B20*定数_万円),0)</f>
        <v>13311</v>
      </c>
    </row>
    <row r="21" customFormat="false" ht="15" hidden="false" customHeight="false" outlineLevel="0" collapsed="false">
      <c r="B21" s="173" t="n">
        <v>160</v>
      </c>
      <c r="C21" s="169" t="n">
        <f aca="false">ROUND(PMT(設定_利率_普通特別/定数_年月数,C$5,-$B21*定数_万円),0)</f>
        <v>134245</v>
      </c>
      <c r="D21" s="169" t="n">
        <f aca="false">ROUND(PMT(設定_利率_普通特別/定数_年月数,D$5,-$B21*定数_万円),0)</f>
        <v>67545</v>
      </c>
      <c r="E21" s="169" t="n">
        <f aca="false">ROUND(PMT(設定_利率_普通特別/定数_年月数,E$5,-$B21*定数_万円),0)</f>
        <v>45313</v>
      </c>
      <c r="F21" s="169" t="n">
        <f aca="false">ROUND(PMT(設定_利率_普通特別/定数_年月数,F$5,-$B21*定数_万円),0)</f>
        <v>34198</v>
      </c>
      <c r="G21" s="169" t="n">
        <f aca="false">ROUND(PMT(設定_利率_普通特別/定数_年月数,G$5,-$B21*定数_万円),0)</f>
        <v>27529</v>
      </c>
      <c r="H21" s="169" t="n">
        <f aca="false">ROUND(PMT(設定_利率_普通特別/定数_年月数,H$5,-$B21*定数_万円),0)</f>
        <v>23084</v>
      </c>
      <c r="I21" s="169" t="n">
        <f aca="false">ROUND(PMT(設定_利率_普通特別/定数_年月数,I$5,-$B21*定数_万円),0)</f>
        <v>19910</v>
      </c>
      <c r="J21" s="169" t="n">
        <f aca="false">ROUND(PMT(設定_利率_普通特別/定数_年月数,J$5,-$B21*定数_万円),0)</f>
        <v>17530</v>
      </c>
      <c r="K21" s="169" t="n">
        <f aca="false">ROUND(PMT(設定_利率_普通特別/定数_年月数,K$5,-$B21*定数_万円),0)</f>
        <v>15678</v>
      </c>
      <c r="L21" s="169" t="n">
        <f aca="false">ROUND(PMT(設定_利率_普通特別/定数_年月数,L$5,-$B21*定数_万円),0)</f>
        <v>14198</v>
      </c>
    </row>
    <row r="22" customFormat="false" ht="15" hidden="false" customHeight="false" outlineLevel="0" collapsed="false">
      <c r="B22" s="173" t="n">
        <v>170</v>
      </c>
      <c r="C22" s="169" t="n">
        <f aca="false">ROUND(PMT(設定_利率_普通特別/定数_年月数,C$5,-$B22*定数_万円),0)</f>
        <v>142635</v>
      </c>
      <c r="D22" s="169" t="n">
        <f aca="false">ROUND(PMT(設定_利率_普通特別/定数_年月数,D$5,-$B22*定数_万円),0)</f>
        <v>71767</v>
      </c>
      <c r="E22" s="169" t="n">
        <f aca="false">ROUND(PMT(設定_利率_普通特別/定数_年月数,E$5,-$B22*定数_万円),0)</f>
        <v>48145</v>
      </c>
      <c r="F22" s="169" t="n">
        <f aca="false">ROUND(PMT(設定_利率_普通特別/定数_年月数,F$5,-$B22*定数_万円),0)</f>
        <v>36335</v>
      </c>
      <c r="G22" s="169" t="n">
        <f aca="false">ROUND(PMT(設定_利率_普通特別/定数_年月数,G$5,-$B22*定数_万円),0)</f>
        <v>29250</v>
      </c>
      <c r="H22" s="169" t="n">
        <f aca="false">ROUND(PMT(設定_利率_普通特別/定数_年月数,H$5,-$B22*定数_万円),0)</f>
        <v>24527</v>
      </c>
      <c r="I22" s="169" t="n">
        <f aca="false">ROUND(PMT(設定_利率_普通特別/定数_年月数,I$5,-$B22*定数_万円),0)</f>
        <v>21154</v>
      </c>
      <c r="J22" s="169" t="n">
        <f aca="false">ROUND(PMT(設定_利率_普通特別/定数_年月数,J$5,-$B22*定数_万円),0)</f>
        <v>18625</v>
      </c>
      <c r="K22" s="169" t="n">
        <f aca="false">ROUND(PMT(設定_利率_普通特別/定数_年月数,K$5,-$B22*定数_万円),0)</f>
        <v>16658</v>
      </c>
      <c r="L22" s="169" t="n">
        <f aca="false">ROUND(PMT(設定_利率_普通特別/定数_年月数,L$5,-$B22*定数_万円),0)</f>
        <v>15085</v>
      </c>
    </row>
    <row r="23" customFormat="false" ht="15" hidden="false" customHeight="false" outlineLevel="0" collapsed="false">
      <c r="B23" s="173" t="n">
        <v>180</v>
      </c>
      <c r="C23" s="169" t="n">
        <f aca="false">ROUND(PMT(設定_利率_普通特別/定数_年月数,C$5,-$B23*定数_万円),0)</f>
        <v>151026</v>
      </c>
      <c r="D23" s="169" t="n">
        <f aca="false">ROUND(PMT(設定_利率_普通特別/定数_年月数,D$5,-$B23*定数_万円),0)</f>
        <v>75988</v>
      </c>
      <c r="E23" s="169" t="n">
        <f aca="false">ROUND(PMT(設定_利率_普通特別/定数_年月数,E$5,-$B23*定数_万円),0)</f>
        <v>50977</v>
      </c>
      <c r="F23" s="169" t="n">
        <f aca="false">ROUND(PMT(設定_利率_普通特別/定数_年月数,F$5,-$B23*定数_万円),0)</f>
        <v>38473</v>
      </c>
      <c r="G23" s="169" t="n">
        <f aca="false">ROUND(PMT(設定_利率_普通特別/定数_年月数,G$5,-$B23*定数_万円),0)</f>
        <v>30971</v>
      </c>
      <c r="H23" s="169" t="n">
        <f aca="false">ROUND(PMT(設定_利率_普通特別/定数_年月数,H$5,-$B23*定数_万円),0)</f>
        <v>25970</v>
      </c>
      <c r="I23" s="169" t="n">
        <f aca="false">ROUND(PMT(設定_利率_普通特別/定数_年月数,I$5,-$B23*定数_万円),0)</f>
        <v>22399</v>
      </c>
      <c r="J23" s="169" t="n">
        <f aca="false">ROUND(PMT(設定_利率_普通特別/定数_年月数,J$5,-$B23*定数_万円),0)</f>
        <v>19721</v>
      </c>
      <c r="K23" s="169" t="n">
        <f aca="false">ROUND(PMT(設定_利率_普通特別/定数_年月数,K$5,-$B23*定数_万円),0)</f>
        <v>17638</v>
      </c>
      <c r="L23" s="169" t="n">
        <f aca="false">ROUND(PMT(設定_利率_普通特別/定数_年月数,L$5,-$B23*定数_万円),0)</f>
        <v>15973</v>
      </c>
    </row>
    <row r="24" customFormat="false" ht="15" hidden="false" customHeight="false" outlineLevel="0" collapsed="false">
      <c r="B24" s="173" t="n">
        <v>190</v>
      </c>
      <c r="C24" s="169" t="n">
        <f aca="false">ROUND(PMT(設定_利率_普通特別/定数_年月数,C$5,-$B24*定数_万円),0)</f>
        <v>159416</v>
      </c>
      <c r="D24" s="169" t="n">
        <f aca="false">ROUND(PMT(設定_利率_普通特別/定数_年月数,D$5,-$B24*定数_万円),0)</f>
        <v>80210</v>
      </c>
      <c r="E24" s="169" t="n">
        <f aca="false">ROUND(PMT(設定_利率_普通特別/定数_年月数,E$5,-$B24*定数_万円),0)</f>
        <v>53809</v>
      </c>
      <c r="F24" s="169" t="n">
        <f aca="false">ROUND(PMT(設定_利率_普通特別/定数_年月数,F$5,-$B24*定数_万円),0)</f>
        <v>40610</v>
      </c>
      <c r="G24" s="169" t="n">
        <f aca="false">ROUND(PMT(設定_利率_普通特別/定数_年月数,G$5,-$B24*定数_万円),0)</f>
        <v>32691</v>
      </c>
      <c r="H24" s="169" t="n">
        <f aca="false">ROUND(PMT(設定_利率_普通特別/定数_年月数,H$5,-$B24*定数_万円),0)</f>
        <v>27413</v>
      </c>
      <c r="I24" s="169" t="n">
        <f aca="false">ROUND(PMT(設定_利率_普通特別/定数_年月数,I$5,-$B24*定数_万円),0)</f>
        <v>23643</v>
      </c>
      <c r="J24" s="169" t="n">
        <f aca="false">ROUND(PMT(設定_利率_普通特別/定数_年月数,J$5,-$B24*定数_万円),0)</f>
        <v>20816</v>
      </c>
      <c r="K24" s="169" t="n">
        <f aca="false">ROUND(PMT(設定_利率_普通特別/定数_年月数,K$5,-$B24*定数_万円),0)</f>
        <v>18618</v>
      </c>
      <c r="L24" s="169" t="n">
        <f aca="false">ROUND(PMT(設定_利率_普通特別/定数_年月数,L$5,-$B24*定数_万円),0)</f>
        <v>16860</v>
      </c>
    </row>
    <row r="25" customFormat="false" ht="15" hidden="false" customHeight="false" outlineLevel="0" collapsed="false">
      <c r="B25" s="173" t="n">
        <v>200</v>
      </c>
      <c r="C25" s="169" t="n">
        <f aca="false">ROUND(PMT(設定_利率_普通特別/定数_年月数,C$5,-$B25*定数_万円),0)</f>
        <v>167806</v>
      </c>
      <c r="D25" s="169" t="n">
        <f aca="false">ROUND(PMT(設定_利率_普通特別/定数_年月数,D$5,-$B25*定数_万円),0)</f>
        <v>84431</v>
      </c>
      <c r="E25" s="169" t="n">
        <f aca="false">ROUND(PMT(設定_利率_普通特別/定数_年月数,E$5,-$B25*定数_万円),0)</f>
        <v>56641</v>
      </c>
      <c r="F25" s="169" t="n">
        <f aca="false">ROUND(PMT(設定_利率_普通特別/定数_年月数,F$5,-$B25*定数_万円),0)</f>
        <v>42747</v>
      </c>
      <c r="G25" s="169" t="n">
        <f aca="false">ROUND(PMT(設定_利率_普通特別/定数_年月数,G$5,-$B25*定数_万円),0)</f>
        <v>34412</v>
      </c>
      <c r="H25" s="169" t="n">
        <f aca="false">ROUND(PMT(設定_利率_普通特別/定数_年月数,H$5,-$B25*定数_万円),0)</f>
        <v>28856</v>
      </c>
      <c r="I25" s="169" t="n">
        <f aca="false">ROUND(PMT(設定_利率_普通特別/定数_年月数,I$5,-$B25*定数_万円),0)</f>
        <v>24887</v>
      </c>
      <c r="J25" s="169" t="n">
        <f aca="false">ROUND(PMT(設定_利率_普通特別/定数_年月数,J$5,-$B25*定数_万円),0)</f>
        <v>21912</v>
      </c>
      <c r="K25" s="169" t="n">
        <f aca="false">ROUND(PMT(設定_利率_普通特別/定数_年月数,K$5,-$B25*定数_万円),0)</f>
        <v>19598</v>
      </c>
      <c r="L25" s="169" t="n">
        <f aca="false">ROUND(PMT(設定_利率_普通特別/定数_年月数,L$5,-$B25*定数_万円),0)</f>
        <v>17747</v>
      </c>
    </row>
    <row r="28" customFormat="false" ht="15" hidden="false" customHeight="false" outlineLevel="0" collapsed="false">
      <c r="B28" s="171" t="str">
        <f aca="false">"住宅貸付(年利 "&amp;TEXT(設定_利率_住宅,"0.00%")&amp;")"</f>
        <v>住宅貸付(年利 1.26%)</v>
      </c>
    </row>
    <row r="29" customFormat="false" ht="15" hidden="false" customHeight="false" outlineLevel="0" collapsed="false">
      <c r="B29" s="167" t="s">
        <v>247</v>
      </c>
      <c r="C29" s="172" t="n">
        <v>60</v>
      </c>
      <c r="D29" s="172" t="n">
        <v>120</v>
      </c>
      <c r="E29" s="172" t="n">
        <v>180</v>
      </c>
      <c r="F29" s="172" t="n">
        <v>240</v>
      </c>
      <c r="G29" s="172" t="n">
        <v>300</v>
      </c>
      <c r="H29" s="172" t="n">
        <v>360</v>
      </c>
    </row>
    <row r="30" customFormat="false" ht="15" hidden="false" customHeight="false" outlineLevel="0" collapsed="false">
      <c r="B30" s="173" t="n">
        <v>100</v>
      </c>
      <c r="C30" s="169" t="n">
        <f aca="false">ROUND(PMT(設定_利率_住宅/定数_年月数,C$29,-$B30*定数_万円),0)</f>
        <v>17206</v>
      </c>
      <c r="D30" s="169" t="n">
        <f aca="false">ROUND(PMT(設定_利率_住宅/定数_年月数,D$29,-$B30*定数_万円),0)</f>
        <v>8874</v>
      </c>
      <c r="E30" s="169" t="n">
        <f aca="false">ROUND(PMT(設定_利率_住宅/定数_年月数,E$29,-$B30*定数_万円),0)</f>
        <v>6100</v>
      </c>
      <c r="F30" s="169" t="n">
        <f aca="false">ROUND(PMT(設定_利率_住宅/定数_年月数,F$29,-$B30*定数_万円),0)</f>
        <v>4716</v>
      </c>
      <c r="G30" s="169" t="n">
        <f aca="false">ROUND(PMT(設定_利率_住宅/定数_年月数,G$29,-$B30*定数_万円),0)</f>
        <v>3888</v>
      </c>
      <c r="H30" s="169" t="n">
        <f aca="false">ROUND(PMT(設定_利率_住宅/定数_年月数,H$29,-$B30*定数_万円),0)</f>
        <v>3337</v>
      </c>
    </row>
    <row r="31" customFormat="false" ht="15" hidden="false" customHeight="false" outlineLevel="0" collapsed="false">
      <c r="B31" s="173" t="n">
        <v>200</v>
      </c>
      <c r="C31" s="169" t="n">
        <f aca="false">ROUND(PMT(設定_利率_住宅/定数_年月数,C$29,-$B31*定数_万円),0)</f>
        <v>34412</v>
      </c>
      <c r="D31" s="169" t="n">
        <f aca="false">ROUND(PMT(設定_利率_住宅/定数_年月数,D$29,-$B31*定数_万円),0)</f>
        <v>17747</v>
      </c>
      <c r="E31" s="169" t="n">
        <f aca="false">ROUND(PMT(設定_利率_住宅/定数_年月数,E$29,-$B31*定数_万円),0)</f>
        <v>12200</v>
      </c>
      <c r="F31" s="169" t="n">
        <f aca="false">ROUND(PMT(設定_利率_住宅/定数_年月数,F$29,-$B31*定数_万円),0)</f>
        <v>9432</v>
      </c>
      <c r="G31" s="169" t="n">
        <f aca="false">ROUND(PMT(設定_利率_住宅/定数_年月数,G$29,-$B31*定数_万円),0)</f>
        <v>7775</v>
      </c>
      <c r="H31" s="169" t="n">
        <f aca="false">ROUND(PMT(設定_利率_住宅/定数_年月数,H$29,-$B31*定数_万円),0)</f>
        <v>6674</v>
      </c>
    </row>
    <row r="32" customFormat="false" ht="15" hidden="false" customHeight="false" outlineLevel="0" collapsed="false">
      <c r="B32" s="173" t="n">
        <v>300</v>
      </c>
      <c r="C32" s="169" t="n">
        <f aca="false">ROUND(PMT(設定_利率_住宅/定数_年月数,C$29,-$B32*定数_万円),0)</f>
        <v>51618</v>
      </c>
      <c r="D32" s="169" t="n">
        <f aca="false">ROUND(PMT(設定_利率_住宅/定数_年月数,D$29,-$B32*定数_万円),0)</f>
        <v>26621</v>
      </c>
      <c r="E32" s="169" t="n">
        <f aca="false">ROUND(PMT(設定_利率_住宅/定数_年月数,E$29,-$B32*定数_万円),0)</f>
        <v>18300</v>
      </c>
      <c r="F32" s="169" t="n">
        <f aca="false">ROUND(PMT(設定_利率_住宅/定数_年月数,F$29,-$B32*定数_万円),0)</f>
        <v>14148</v>
      </c>
      <c r="G32" s="169" t="n">
        <f aca="false">ROUND(PMT(設定_利率_住宅/定数_年月数,G$29,-$B32*定数_万円),0)</f>
        <v>11663</v>
      </c>
      <c r="H32" s="169" t="n">
        <f aca="false">ROUND(PMT(設定_利率_住宅/定数_年月数,H$29,-$B32*定数_万円),0)</f>
        <v>10012</v>
      </c>
    </row>
    <row r="33" customFormat="false" ht="15" hidden="false" customHeight="false" outlineLevel="0" collapsed="false">
      <c r="B33" s="173" t="n">
        <v>400</v>
      </c>
      <c r="C33" s="169" t="n">
        <f aca="false">ROUND(PMT(設定_利率_住宅/定数_年月数,C$29,-$B33*定数_万円),0)</f>
        <v>68824</v>
      </c>
      <c r="D33" s="169" t="n">
        <f aca="false">ROUND(PMT(設定_利率_住宅/定数_年月数,D$29,-$B33*定数_万円),0)</f>
        <v>35495</v>
      </c>
      <c r="E33" s="169" t="n">
        <f aca="false">ROUND(PMT(設定_利率_住宅/定数_年月数,E$29,-$B33*定数_万円),0)</f>
        <v>24400</v>
      </c>
      <c r="F33" s="169" t="n">
        <f aca="false">ROUND(PMT(設定_利率_住宅/定数_年月数,F$29,-$B33*定数_万円),0)</f>
        <v>18863</v>
      </c>
      <c r="G33" s="169" t="n">
        <f aca="false">ROUND(PMT(設定_利率_住宅/定数_年月数,G$29,-$B33*定数_万円),0)</f>
        <v>15550</v>
      </c>
      <c r="H33" s="169" t="n">
        <f aca="false">ROUND(PMT(設定_利率_住宅/定数_年月数,H$29,-$B33*定数_万円),0)</f>
        <v>13349</v>
      </c>
    </row>
    <row r="34" customFormat="false" ht="15" hidden="false" customHeight="false" outlineLevel="0" collapsed="false">
      <c r="B34" s="173" t="n">
        <v>500</v>
      </c>
      <c r="C34" s="169" t="n">
        <f aca="false">ROUND(PMT(設定_利率_住宅/定数_年月数,C$29,-$B34*定数_万円),0)</f>
        <v>86030</v>
      </c>
      <c r="D34" s="169" t="n">
        <f aca="false">ROUND(PMT(設定_利率_住宅/定数_年月数,D$29,-$B34*定数_万円),0)</f>
        <v>44369</v>
      </c>
      <c r="E34" s="169" t="n">
        <f aca="false">ROUND(PMT(設定_利率_住宅/定数_年月数,E$29,-$B34*定数_万円),0)</f>
        <v>30500</v>
      </c>
      <c r="F34" s="169" t="n">
        <f aca="false">ROUND(PMT(設定_利率_住宅/定数_年月数,F$29,-$B34*定数_万円),0)</f>
        <v>23579</v>
      </c>
      <c r="G34" s="169" t="n">
        <f aca="false">ROUND(PMT(設定_利率_住宅/定数_年月数,G$29,-$B34*定数_万円),0)</f>
        <v>19438</v>
      </c>
      <c r="H34" s="169" t="n">
        <f aca="false">ROUND(PMT(設定_利率_住宅/定数_年月数,H$29,-$B34*定数_万円),0)</f>
        <v>16686</v>
      </c>
    </row>
    <row r="35" customFormat="false" ht="15" hidden="false" customHeight="false" outlineLevel="0" collapsed="false">
      <c r="B35" s="173" t="n">
        <v>600</v>
      </c>
      <c r="C35" s="169" t="n">
        <f aca="false">ROUND(PMT(設定_利率_住宅/定数_年月数,C$29,-$B35*定数_万円),0)</f>
        <v>103236</v>
      </c>
      <c r="D35" s="169" t="n">
        <f aca="false">ROUND(PMT(設定_利率_住宅/定数_年月数,D$29,-$B35*定数_万円),0)</f>
        <v>53242</v>
      </c>
      <c r="E35" s="169" t="n">
        <f aca="false">ROUND(PMT(設定_利率_住宅/定数_年月数,E$29,-$B35*定数_万円),0)</f>
        <v>36600</v>
      </c>
      <c r="F35" s="169" t="n">
        <f aca="false">ROUND(PMT(設定_利率_住宅/定数_年月数,F$29,-$B35*定数_万円),0)</f>
        <v>28295</v>
      </c>
      <c r="G35" s="169" t="n">
        <f aca="false">ROUND(PMT(設定_利率_住宅/定数_年月数,G$29,-$B35*定数_万円),0)</f>
        <v>23326</v>
      </c>
      <c r="H35" s="169" t="n">
        <f aca="false">ROUND(PMT(設定_利率_住宅/定数_年月数,H$29,-$B35*定数_万円),0)</f>
        <v>20023</v>
      </c>
    </row>
    <row r="36" customFormat="false" ht="15" hidden="false" customHeight="false" outlineLevel="0" collapsed="false">
      <c r="B36" s="173" t="n">
        <v>700</v>
      </c>
      <c r="C36" s="169" t="n">
        <f aca="false">ROUND(PMT(設定_利率_住宅/定数_年月数,C$29,-$B36*定数_万円),0)</f>
        <v>120441</v>
      </c>
      <c r="D36" s="169" t="n">
        <f aca="false">ROUND(PMT(設定_利率_住宅/定数_年月数,D$29,-$B36*定数_万円),0)</f>
        <v>62116</v>
      </c>
      <c r="E36" s="169" t="n">
        <f aca="false">ROUND(PMT(設定_利率_住宅/定数_年月数,E$29,-$B36*定数_万円),0)</f>
        <v>42700</v>
      </c>
      <c r="F36" s="169" t="n">
        <f aca="false">ROUND(PMT(設定_利率_住宅/定数_年月数,F$29,-$B36*定数_万円),0)</f>
        <v>33011</v>
      </c>
      <c r="G36" s="169" t="n">
        <f aca="false">ROUND(PMT(設定_利率_住宅/定数_年月数,G$29,-$B36*定数_万円),0)</f>
        <v>27213</v>
      </c>
      <c r="H36" s="169" t="n">
        <f aca="false">ROUND(PMT(設定_利率_住宅/定数_年月数,H$29,-$B36*定数_万円),0)</f>
        <v>23361</v>
      </c>
    </row>
    <row r="37" customFormat="false" ht="15" hidden="false" customHeight="false" outlineLevel="0" collapsed="false">
      <c r="B37" s="173" t="n">
        <v>800</v>
      </c>
      <c r="C37" s="169" t="n">
        <f aca="false">ROUND(PMT(設定_利率_住宅/定数_年月数,C$29,-$B37*定数_万円),0)</f>
        <v>137647</v>
      </c>
      <c r="D37" s="169" t="n">
        <f aca="false">ROUND(PMT(設定_利率_住宅/定数_年月数,D$29,-$B37*定数_万円),0)</f>
        <v>70990</v>
      </c>
      <c r="E37" s="169" t="n">
        <f aca="false">ROUND(PMT(設定_利率_住宅/定数_年月数,E$29,-$B37*定数_万円),0)</f>
        <v>48800</v>
      </c>
      <c r="F37" s="169" t="n">
        <f aca="false">ROUND(PMT(設定_利率_住宅/定数_年月数,F$29,-$B37*定数_万円),0)</f>
        <v>37727</v>
      </c>
      <c r="G37" s="169" t="n">
        <f aca="false">ROUND(PMT(設定_利率_住宅/定数_年月数,G$29,-$B37*定数_万円),0)</f>
        <v>31101</v>
      </c>
      <c r="H37" s="169" t="n">
        <f aca="false">ROUND(PMT(設定_利率_住宅/定数_年月数,H$29,-$B37*定数_万円),0)</f>
        <v>26698</v>
      </c>
    </row>
    <row r="38" customFormat="false" ht="15" hidden="false" customHeight="false" outlineLevel="0" collapsed="false">
      <c r="B38" s="173" t="n">
        <v>900</v>
      </c>
      <c r="C38" s="169" t="n">
        <f aca="false">ROUND(PMT(設定_利率_住宅/定数_年月数,C$29,-$B38*定数_万円),0)</f>
        <v>154853</v>
      </c>
      <c r="D38" s="169" t="n">
        <f aca="false">ROUND(PMT(設定_利率_住宅/定数_年月数,D$29,-$B38*定数_万円),0)</f>
        <v>79864</v>
      </c>
      <c r="E38" s="169" t="n">
        <f aca="false">ROUND(PMT(設定_利率_住宅/定数_年月数,E$29,-$B38*定数_万円),0)</f>
        <v>54900</v>
      </c>
      <c r="F38" s="169" t="n">
        <f aca="false">ROUND(PMT(設定_利率_住宅/定数_年月数,F$29,-$B38*定数_万円),0)</f>
        <v>42443</v>
      </c>
      <c r="G38" s="169" t="n">
        <f aca="false">ROUND(PMT(設定_利率_住宅/定数_年月数,G$29,-$B38*定数_万円),0)</f>
        <v>34988</v>
      </c>
      <c r="H38" s="169" t="n">
        <f aca="false">ROUND(PMT(設定_利率_住宅/定数_年月数,H$29,-$B38*定数_万円),0)</f>
        <v>30035</v>
      </c>
    </row>
    <row r="39" customFormat="false" ht="15" hidden="false" customHeight="false" outlineLevel="0" collapsed="false">
      <c r="B39" s="173" t="n">
        <v>1000</v>
      </c>
      <c r="C39" s="169" t="n">
        <f aca="false">ROUND(PMT(設定_利率_住宅/定数_年月数,C$29,-$B39*定数_万円),0)</f>
        <v>172059</v>
      </c>
      <c r="D39" s="169" t="n">
        <f aca="false">ROUND(PMT(設定_利率_住宅/定数_年月数,D$29,-$B39*定数_万円),0)</f>
        <v>88737</v>
      </c>
      <c r="E39" s="169" t="n">
        <f aca="false">ROUND(PMT(設定_利率_住宅/定数_年月数,E$29,-$B39*定数_万円),0)</f>
        <v>61000</v>
      </c>
      <c r="F39" s="169" t="n">
        <f aca="false">ROUND(PMT(設定_利率_住宅/定数_年月数,F$29,-$B39*定数_万円),0)</f>
        <v>47159</v>
      </c>
      <c r="G39" s="169" t="n">
        <f aca="false">ROUND(PMT(設定_利率_住宅/定数_年月数,G$29,-$B39*定数_万円),0)</f>
        <v>38876</v>
      </c>
      <c r="H39" s="169" t="n">
        <f aca="false">ROUND(PMT(設定_利率_住宅/定数_年月数,H$29,-$B39*定数_万円),0)</f>
        <v>33372</v>
      </c>
    </row>
    <row r="40" customFormat="false" ht="15" hidden="false" customHeight="false" outlineLevel="0" collapsed="false">
      <c r="B40" s="173" t="n">
        <v>1100</v>
      </c>
      <c r="C40" s="169" t="n">
        <f aca="false">ROUND(PMT(設定_利率_住宅/定数_年月数,C$29,-$B40*定数_万円),0)</f>
        <v>189265</v>
      </c>
      <c r="D40" s="169" t="n">
        <f aca="false">ROUND(PMT(設定_利率_住宅/定数_年月数,D$29,-$B40*定数_万円),0)</f>
        <v>97611</v>
      </c>
      <c r="E40" s="169" t="n">
        <f aca="false">ROUND(PMT(設定_利率_住宅/定数_年月数,E$29,-$B40*定数_万円),0)</f>
        <v>67100</v>
      </c>
      <c r="F40" s="169" t="n">
        <f aca="false">ROUND(PMT(設定_利率_住宅/定数_年月数,F$29,-$B40*定数_万円),0)</f>
        <v>51875</v>
      </c>
      <c r="G40" s="169" t="n">
        <f aca="false">ROUND(PMT(設定_利率_住宅/定数_年月数,G$29,-$B40*定数_万円),0)</f>
        <v>42763</v>
      </c>
      <c r="H40" s="169" t="n">
        <f aca="false">ROUND(PMT(設定_利率_住宅/定数_年月数,H$29,-$B40*定数_万円),0)</f>
        <v>36709</v>
      </c>
    </row>
    <row r="41" customFormat="false" ht="15" hidden="false" customHeight="false" outlineLevel="0" collapsed="false">
      <c r="B41" s="173" t="n">
        <v>1200</v>
      </c>
      <c r="C41" s="169" t="n">
        <f aca="false">ROUND(PMT(設定_利率_住宅/定数_年月数,C$29,-$B41*定数_万円),0)</f>
        <v>206471</v>
      </c>
      <c r="D41" s="169" t="n">
        <f aca="false">ROUND(PMT(設定_利率_住宅/定数_年月数,D$29,-$B41*定数_万円),0)</f>
        <v>106485</v>
      </c>
      <c r="E41" s="169" t="n">
        <f aca="false">ROUND(PMT(設定_利率_住宅/定数_年月数,E$29,-$B41*定数_万円),0)</f>
        <v>73200</v>
      </c>
      <c r="F41" s="169" t="n">
        <f aca="false">ROUND(PMT(設定_利率_住宅/定数_年月数,F$29,-$B41*定数_万円),0)</f>
        <v>56590</v>
      </c>
      <c r="G41" s="169" t="n">
        <f aca="false">ROUND(PMT(設定_利率_住宅/定数_年月数,G$29,-$B41*定数_万円),0)</f>
        <v>46651</v>
      </c>
      <c r="H41" s="169" t="n">
        <f aca="false">ROUND(PMT(設定_利率_住宅/定数_年月数,H$29,-$B41*定数_万円),0)</f>
        <v>40047</v>
      </c>
    </row>
    <row r="42" customFormat="false" ht="15" hidden="false" customHeight="false" outlineLevel="0" collapsed="false">
      <c r="B42" s="173" t="n">
        <v>1300</v>
      </c>
      <c r="C42" s="169" t="n">
        <f aca="false">ROUND(PMT(設定_利率_住宅/定数_年月数,C$29,-$B42*定数_万円),0)</f>
        <v>223677</v>
      </c>
      <c r="D42" s="169" t="n">
        <f aca="false">ROUND(PMT(設定_利率_住宅/定数_年月数,D$29,-$B42*定数_万円),0)</f>
        <v>115358</v>
      </c>
      <c r="E42" s="169" t="n">
        <f aca="false">ROUND(PMT(設定_利率_住宅/定数_年月数,E$29,-$B42*定数_万円),0)</f>
        <v>79300</v>
      </c>
      <c r="F42" s="169" t="n">
        <f aca="false">ROUND(PMT(設定_利率_住宅/定数_年月数,F$29,-$B42*定数_万円),0)</f>
        <v>61306</v>
      </c>
      <c r="G42" s="169" t="n">
        <f aca="false">ROUND(PMT(設定_利率_住宅/定数_年月数,G$29,-$B42*定数_万円),0)</f>
        <v>50539</v>
      </c>
      <c r="H42" s="169" t="n">
        <f aca="false">ROUND(PMT(設定_利率_住宅/定数_年月数,H$29,-$B42*定数_万円),0)</f>
        <v>43384</v>
      </c>
    </row>
    <row r="43" customFormat="false" ht="15" hidden="false" customHeight="false" outlineLevel="0" collapsed="false">
      <c r="B43" s="173" t="n">
        <v>1400</v>
      </c>
      <c r="C43" s="169" t="n">
        <f aca="false">ROUND(PMT(設定_利率_住宅/定数_年月数,C$29,-$B43*定数_万円),0)</f>
        <v>240883</v>
      </c>
      <c r="D43" s="169" t="n">
        <f aca="false">ROUND(PMT(設定_利率_住宅/定数_年月数,D$29,-$B43*定数_万円),0)</f>
        <v>124232</v>
      </c>
      <c r="E43" s="169" t="n">
        <f aca="false">ROUND(PMT(設定_利率_住宅/定数_年月数,E$29,-$B43*定数_万円),0)</f>
        <v>85400</v>
      </c>
      <c r="F43" s="169" t="n">
        <f aca="false">ROUND(PMT(設定_利率_住宅/定数_年月数,F$29,-$B43*定数_万円),0)</f>
        <v>66022</v>
      </c>
      <c r="G43" s="169" t="n">
        <f aca="false">ROUND(PMT(設定_利率_住宅/定数_年月数,G$29,-$B43*定数_万円),0)</f>
        <v>54426</v>
      </c>
      <c r="H43" s="169" t="n">
        <f aca="false">ROUND(PMT(設定_利率_住宅/定数_年月数,H$29,-$B43*定数_万円),0)</f>
        <v>46721</v>
      </c>
    </row>
    <row r="44" customFormat="false" ht="15" hidden="false" customHeight="false" outlineLevel="0" collapsed="false">
      <c r="B44" s="173" t="n">
        <v>1500</v>
      </c>
      <c r="C44" s="169" t="n">
        <f aca="false">ROUND(PMT(設定_利率_住宅/定数_年月数,C$29,-$B44*定数_万円),0)</f>
        <v>258089</v>
      </c>
      <c r="D44" s="169" t="n">
        <f aca="false">ROUND(PMT(設定_利率_住宅/定数_年月数,D$29,-$B44*定数_万円),0)</f>
        <v>133106</v>
      </c>
      <c r="E44" s="169" t="n">
        <f aca="false">ROUND(PMT(設定_利率_住宅/定数_年月数,E$29,-$B44*定数_万円),0)</f>
        <v>91500</v>
      </c>
      <c r="F44" s="169" t="n">
        <f aca="false">ROUND(PMT(設定_利率_住宅/定数_年月数,F$29,-$B44*定数_万円),0)</f>
        <v>70738</v>
      </c>
      <c r="G44" s="169" t="n">
        <f aca="false">ROUND(PMT(設定_利率_住宅/定数_年月数,G$29,-$B44*定数_万円),0)</f>
        <v>58314</v>
      </c>
      <c r="H44" s="169" t="n">
        <f aca="false">ROUND(PMT(設定_利率_住宅/定数_年月数,H$29,-$B44*定数_万円),0)</f>
        <v>50058</v>
      </c>
    </row>
    <row r="45" customFormat="false" ht="15" hidden="false" customHeight="false" outlineLevel="0" collapsed="false">
      <c r="B45" s="173" t="n">
        <v>1600</v>
      </c>
      <c r="C45" s="169" t="n">
        <f aca="false">ROUND(PMT(設定_利率_住宅/定数_年月数,C$29,-$B45*定数_万円),0)</f>
        <v>275295</v>
      </c>
      <c r="D45" s="169" t="n">
        <f aca="false">ROUND(PMT(設定_利率_住宅/定数_年月数,D$29,-$B45*定数_万円),0)</f>
        <v>141980</v>
      </c>
      <c r="E45" s="169" t="n">
        <f aca="false">ROUND(PMT(設定_利率_住宅/定数_年月数,E$29,-$B45*定数_万円),0)</f>
        <v>97600</v>
      </c>
      <c r="F45" s="169" t="n">
        <f aca="false">ROUND(PMT(設定_利率_住宅/定数_年月数,F$29,-$B45*定数_万円),0)</f>
        <v>75454</v>
      </c>
      <c r="G45" s="169" t="n">
        <f aca="false">ROUND(PMT(設定_利率_住宅/定数_年月数,G$29,-$B45*定数_万円),0)</f>
        <v>62201</v>
      </c>
      <c r="H45" s="169" t="n">
        <f aca="false">ROUND(PMT(設定_利率_住宅/定数_年月数,H$29,-$B45*定数_万円),0)</f>
        <v>53395</v>
      </c>
    </row>
    <row r="46" customFormat="false" ht="15" hidden="false" customHeight="false" outlineLevel="0" collapsed="false">
      <c r="B46" s="173" t="n">
        <v>1700</v>
      </c>
      <c r="C46" s="169" t="n">
        <f aca="false">ROUND(PMT(設定_利率_住宅/定数_年月数,C$29,-$B46*定数_万円),0)</f>
        <v>292501</v>
      </c>
      <c r="D46" s="169" t="n">
        <f aca="false">ROUND(PMT(設定_利率_住宅/定数_年月数,D$29,-$B46*定数_万円),0)</f>
        <v>150853</v>
      </c>
      <c r="E46" s="169" t="n">
        <f aca="false">ROUND(PMT(設定_利率_住宅/定数_年月数,E$29,-$B46*定数_万円),0)</f>
        <v>103700</v>
      </c>
      <c r="F46" s="169" t="n">
        <f aca="false">ROUND(PMT(設定_利率_住宅/定数_年月数,F$29,-$B46*定数_万円),0)</f>
        <v>80170</v>
      </c>
      <c r="G46" s="169" t="n">
        <f aca="false">ROUND(PMT(設定_利率_住宅/定数_年月数,G$29,-$B46*定数_万円),0)</f>
        <v>66089</v>
      </c>
      <c r="H46" s="169" t="n">
        <f aca="false">ROUND(PMT(設定_利率_住宅/定数_年月数,H$29,-$B46*定数_万円),0)</f>
        <v>56733</v>
      </c>
    </row>
    <row r="47" customFormat="false" ht="15" hidden="false" customHeight="false" outlineLevel="0" collapsed="false">
      <c r="B47" s="173" t="n">
        <v>1800</v>
      </c>
      <c r="C47" s="169" t="n">
        <f aca="false">ROUND(PMT(設定_利率_住宅/定数_年月数,C$29,-$B47*定数_万円),0)</f>
        <v>309707</v>
      </c>
      <c r="D47" s="169" t="n">
        <f aca="false">ROUND(PMT(設定_利率_住宅/定数_年月数,D$29,-$B47*定数_万円),0)</f>
        <v>159727</v>
      </c>
      <c r="E47" s="169" t="n">
        <f aca="false">ROUND(PMT(設定_利率_住宅/定数_年月数,E$29,-$B47*定数_万円),0)</f>
        <v>109800</v>
      </c>
      <c r="F47" s="169" t="n">
        <f aca="false">ROUND(PMT(設定_利率_住宅/定数_年月数,F$29,-$B47*定数_万円),0)</f>
        <v>84886</v>
      </c>
      <c r="G47" s="169" t="n">
        <f aca="false">ROUND(PMT(設定_利率_住宅/定数_年月数,G$29,-$B47*定数_万円),0)</f>
        <v>69977</v>
      </c>
      <c r="H47" s="169" t="n">
        <f aca="false">ROUND(PMT(設定_利率_住宅/定数_年月数,H$29,-$B47*定数_万円),0)</f>
        <v>60070</v>
      </c>
    </row>
    <row r="50" customFormat="false" ht="15" hidden="false" customHeight="false" outlineLevel="0" collapsed="false">
      <c r="B50" s="171" t="str">
        <f aca="false">"災害貸付(年利 "&amp;TEXT(設定_利率_災害,"0.00%")&amp;")"</f>
        <v>災害貸付(年利 0.93%)</v>
      </c>
    </row>
    <row r="51" customFormat="false" ht="15" hidden="false" customHeight="false" outlineLevel="0" collapsed="false">
      <c r="B51" s="167" t="s">
        <v>247</v>
      </c>
      <c r="C51" s="172" t="n">
        <v>60</v>
      </c>
      <c r="D51" s="172" t="n">
        <v>120</v>
      </c>
      <c r="E51" s="172" t="n">
        <v>180</v>
      </c>
      <c r="F51" s="172" t="n">
        <v>240</v>
      </c>
      <c r="G51" s="172" t="n">
        <v>300</v>
      </c>
      <c r="H51" s="172" t="n">
        <v>360</v>
      </c>
    </row>
    <row r="52" customFormat="false" ht="15" hidden="false" customHeight="false" outlineLevel="0" collapsed="false">
      <c r="B52" s="173" t="n">
        <v>100</v>
      </c>
      <c r="C52" s="169" t="n">
        <f aca="false">ROUND(PMT(設定_利率_災害/定数_年月数,C$51,-$B52*定数_万円),0)</f>
        <v>17064</v>
      </c>
      <c r="D52" s="169" t="n">
        <f aca="false">ROUND(PMT(設定_利率_災害/定数_年月数,D$51,-$B52*定数_万円),0)</f>
        <v>8730</v>
      </c>
      <c r="E52" s="169" t="n">
        <f aca="false">ROUND(PMT(設定_利率_災害/定数_年月数,E$51,-$B52*定数_万円),0)</f>
        <v>5954</v>
      </c>
      <c r="F52" s="169" t="n">
        <f aca="false">ROUND(PMT(設定_利率_災害/定数_年月数,F$51,-$B52*定数_万円),0)</f>
        <v>4568</v>
      </c>
      <c r="G52" s="169" t="n">
        <f aca="false">ROUND(PMT(設定_利率_災害/定数_年月数,G$51,-$B52*定数_万円),0)</f>
        <v>3737</v>
      </c>
      <c r="H52" s="169" t="n">
        <f aca="false">ROUND(PMT(設定_利率_災害/定数_年月数,H$51,-$B52*定数_万円),0)</f>
        <v>3184</v>
      </c>
    </row>
    <row r="53" customFormat="false" ht="15" hidden="false" customHeight="false" outlineLevel="0" collapsed="false">
      <c r="B53" s="173" t="n">
        <v>200</v>
      </c>
      <c r="C53" s="169" t="n">
        <f aca="false">ROUND(PMT(設定_利率_災害/定数_年月数,C$51,-$B53*定数_万円),0)</f>
        <v>34127</v>
      </c>
      <c r="D53" s="169" t="n">
        <f aca="false">ROUND(PMT(設定_利率_災害/定数_年月数,D$51,-$B53*定数_万円),0)</f>
        <v>17460</v>
      </c>
      <c r="E53" s="169" t="n">
        <f aca="false">ROUND(PMT(設定_利率_災害/定数_年月数,E$51,-$B53*定数_万円),0)</f>
        <v>11908</v>
      </c>
      <c r="F53" s="169" t="n">
        <f aca="false">ROUND(PMT(設定_利率_災害/定数_年月数,F$51,-$B53*定数_万円),0)</f>
        <v>9136</v>
      </c>
      <c r="G53" s="169" t="n">
        <f aca="false">ROUND(PMT(設定_利率_災害/定数_年月数,G$51,-$B53*定数_万円),0)</f>
        <v>7474</v>
      </c>
      <c r="H53" s="169" t="n">
        <f aca="false">ROUND(PMT(設定_利率_災害/定数_年月数,H$51,-$B53*定数_万円),0)</f>
        <v>6369</v>
      </c>
    </row>
    <row r="54" customFormat="false" ht="15" hidden="false" customHeight="false" outlineLevel="0" collapsed="false">
      <c r="B54" s="173" t="n">
        <v>300</v>
      </c>
      <c r="C54" s="169" t="n">
        <f aca="false">ROUND(PMT(設定_利率_災害/定数_年月数,C$51,-$B54*定数_万円),0)</f>
        <v>51191</v>
      </c>
      <c r="D54" s="169" t="n">
        <f aca="false">ROUND(PMT(設定_利率_災害/定数_年月数,D$51,-$B54*定数_万円),0)</f>
        <v>26190</v>
      </c>
      <c r="E54" s="169" t="n">
        <f aca="false">ROUND(PMT(設定_利率_災害/定数_年月数,E$51,-$B54*定数_万円),0)</f>
        <v>17863</v>
      </c>
      <c r="F54" s="169" t="n">
        <f aca="false">ROUND(PMT(設定_利率_災害/定数_年月数,F$51,-$B54*定数_万円),0)</f>
        <v>13703</v>
      </c>
      <c r="G54" s="169" t="n">
        <f aca="false">ROUND(PMT(設定_利率_災害/定数_年月数,G$51,-$B54*定数_万円),0)</f>
        <v>11211</v>
      </c>
      <c r="H54" s="169" t="n">
        <f aca="false">ROUND(PMT(設定_利率_災害/定数_年月数,H$51,-$B54*定数_万円),0)</f>
        <v>9553</v>
      </c>
    </row>
    <row r="55" customFormat="false" ht="15" hidden="false" customHeight="false" outlineLevel="0" collapsed="false">
      <c r="B55" s="173" t="n">
        <v>400</v>
      </c>
      <c r="C55" s="169" t="n">
        <f aca="false">ROUND(PMT(設定_利率_災害/定数_年月数,C$51,-$B55*定数_万円),0)</f>
        <v>68255</v>
      </c>
      <c r="D55" s="169" t="n">
        <f aca="false">ROUND(PMT(設定_利率_災害/定数_年月数,D$51,-$B55*定数_万円),0)</f>
        <v>34920</v>
      </c>
      <c r="E55" s="169" t="n">
        <f aca="false">ROUND(PMT(設定_利率_災害/定数_年月数,E$51,-$B55*定数_万円),0)</f>
        <v>23817</v>
      </c>
      <c r="F55" s="169" t="n">
        <f aca="false">ROUND(PMT(設定_利率_災害/定数_年月数,F$51,-$B55*定数_万円),0)</f>
        <v>18271</v>
      </c>
      <c r="G55" s="169" t="n">
        <f aca="false">ROUND(PMT(設定_利率_災害/定数_年月数,G$51,-$B55*定数_万円),0)</f>
        <v>14948</v>
      </c>
      <c r="H55" s="169" t="n">
        <f aca="false">ROUND(PMT(設定_利率_災害/定数_年月数,H$51,-$B55*定数_万円),0)</f>
        <v>12737</v>
      </c>
    </row>
    <row r="56" customFormat="false" ht="15" hidden="false" customHeight="false" outlineLevel="0" collapsed="false">
      <c r="B56" s="173" t="n">
        <v>500</v>
      </c>
      <c r="C56" s="169" t="n">
        <f aca="false">ROUND(PMT(設定_利率_災害/定数_年月数,C$51,-$B56*定数_万円),0)</f>
        <v>85318</v>
      </c>
      <c r="D56" s="169" t="n">
        <f aca="false">ROUND(PMT(設定_利率_災害/定数_年月数,D$51,-$B56*定数_万円),0)</f>
        <v>43650</v>
      </c>
      <c r="E56" s="169" t="n">
        <f aca="false">ROUND(PMT(設定_利率_災害/定数_年月数,E$51,-$B56*定数_万円),0)</f>
        <v>29771</v>
      </c>
      <c r="F56" s="169" t="n">
        <f aca="false">ROUND(PMT(設定_利率_災害/定数_年月数,F$51,-$B56*定数_万円),0)</f>
        <v>22839</v>
      </c>
      <c r="G56" s="169" t="n">
        <f aca="false">ROUND(PMT(設定_利率_災害/定数_年月数,G$51,-$B56*定数_万円),0)</f>
        <v>18686</v>
      </c>
      <c r="H56" s="169" t="n">
        <f aca="false">ROUND(PMT(設定_利率_災害/定数_年月数,H$51,-$B56*定数_万円),0)</f>
        <v>15922</v>
      </c>
    </row>
    <row r="57" customFormat="false" ht="15" hidden="false" customHeight="false" outlineLevel="0" collapsed="false">
      <c r="B57" s="173" t="n">
        <v>600</v>
      </c>
      <c r="C57" s="169" t="n">
        <f aca="false">ROUND(PMT(設定_利率_災害/定数_年月数,C$51,-$B57*定数_万円),0)</f>
        <v>102382</v>
      </c>
      <c r="D57" s="169" t="n">
        <f aca="false">ROUND(PMT(設定_利率_災害/定数_年月数,D$51,-$B57*定数_万円),0)</f>
        <v>52380</v>
      </c>
      <c r="E57" s="169" t="n">
        <f aca="false">ROUND(PMT(設定_利率_災害/定数_年月数,E$51,-$B57*定数_万円),0)</f>
        <v>35725</v>
      </c>
      <c r="F57" s="169" t="n">
        <f aca="false">ROUND(PMT(設定_利率_災害/定数_年月数,F$51,-$B57*定数_万円),0)</f>
        <v>27407</v>
      </c>
      <c r="G57" s="169" t="n">
        <f aca="false">ROUND(PMT(設定_利率_災害/定数_年月数,G$51,-$B57*定数_万円),0)</f>
        <v>22423</v>
      </c>
      <c r="H57" s="169" t="n">
        <f aca="false">ROUND(PMT(設定_利率_災害/定数_年月数,H$51,-$B57*定数_万円),0)</f>
        <v>19106</v>
      </c>
    </row>
    <row r="58" customFormat="false" ht="15" hidden="false" customHeight="false" outlineLevel="0" collapsed="false">
      <c r="B58" s="173" t="n">
        <v>700</v>
      </c>
      <c r="C58" s="169" t="n">
        <f aca="false">ROUND(PMT(設定_利率_災害/定数_年月数,C$51,-$B58*定数_万円),0)</f>
        <v>119445</v>
      </c>
      <c r="D58" s="169" t="n">
        <f aca="false">ROUND(PMT(設定_利率_災害/定数_年月数,D$51,-$B58*定数_万円),0)</f>
        <v>61110</v>
      </c>
      <c r="E58" s="169" t="n">
        <f aca="false">ROUND(PMT(設定_利率_災害/定数_年月数,E$51,-$B58*定数_万円),0)</f>
        <v>41679</v>
      </c>
      <c r="F58" s="169" t="n">
        <f aca="false">ROUND(PMT(設定_利率_災害/定数_年月数,F$51,-$B58*定数_万円),0)</f>
        <v>31974</v>
      </c>
      <c r="G58" s="169" t="n">
        <f aca="false">ROUND(PMT(設定_利率_災害/定数_年月数,G$51,-$B58*定数_万円),0)</f>
        <v>26160</v>
      </c>
      <c r="H58" s="169" t="n">
        <f aca="false">ROUND(PMT(設定_利率_災害/定数_年月数,H$51,-$B58*定数_万円),0)</f>
        <v>22290</v>
      </c>
    </row>
    <row r="59" customFormat="false" ht="15" hidden="false" customHeight="false" outlineLevel="0" collapsed="false">
      <c r="B59" s="173" t="n">
        <v>800</v>
      </c>
      <c r="C59" s="169" t="n">
        <f aca="false">ROUND(PMT(設定_利率_災害/定数_年月数,C$51,-$B59*定数_万円),0)</f>
        <v>136509</v>
      </c>
      <c r="D59" s="169" t="n">
        <f aca="false">ROUND(PMT(設定_利率_災害/定数_年月数,D$51,-$B59*定数_万円),0)</f>
        <v>69841</v>
      </c>
      <c r="E59" s="169" t="n">
        <f aca="false">ROUND(PMT(設定_利率_災害/定数_年月数,E$51,-$B59*定数_万円),0)</f>
        <v>47634</v>
      </c>
      <c r="F59" s="169" t="n">
        <f aca="false">ROUND(PMT(設定_利率_災害/定数_年月数,F$51,-$B59*定数_万円),0)</f>
        <v>36542</v>
      </c>
      <c r="G59" s="169" t="n">
        <f aca="false">ROUND(PMT(設定_利率_災害/定数_年月数,G$51,-$B59*定数_万円),0)</f>
        <v>29897</v>
      </c>
      <c r="H59" s="169" t="n">
        <f aca="false">ROUND(PMT(設定_利率_災害/定数_年月数,H$51,-$B59*定数_万円),0)</f>
        <v>25475</v>
      </c>
    </row>
    <row r="60" customFormat="false" ht="15" hidden="false" customHeight="false" outlineLevel="0" collapsed="false">
      <c r="B60" s="173" t="n">
        <v>900</v>
      </c>
      <c r="C60" s="169" t="n">
        <f aca="false">ROUND(PMT(設定_利率_災害/定数_年月数,C$51,-$B60*定数_万円),0)</f>
        <v>153573</v>
      </c>
      <c r="D60" s="169" t="n">
        <f aca="false">ROUND(PMT(設定_利率_災害/定数_年月数,D$51,-$B60*定数_万円),0)</f>
        <v>78571</v>
      </c>
      <c r="E60" s="169" t="n">
        <f aca="false">ROUND(PMT(設定_利率_災害/定数_年月数,E$51,-$B60*定数_万円),0)</f>
        <v>53588</v>
      </c>
      <c r="F60" s="169" t="n">
        <f aca="false">ROUND(PMT(設定_利率_災害/定数_年月数,F$51,-$B60*定数_万円),0)</f>
        <v>41110</v>
      </c>
      <c r="G60" s="169" t="n">
        <f aca="false">ROUND(PMT(設定_利率_災害/定数_年月数,G$51,-$B60*定数_万円),0)</f>
        <v>33634</v>
      </c>
      <c r="H60" s="169" t="n">
        <f aca="false">ROUND(PMT(設定_利率_災害/定数_年月数,H$51,-$B60*定数_万円),0)</f>
        <v>28659</v>
      </c>
    </row>
    <row r="61" customFormat="false" ht="15" hidden="false" customHeight="false" outlineLevel="0" collapsed="false">
      <c r="B61" s="173" t="n">
        <v>1000</v>
      </c>
      <c r="C61" s="169" t="n">
        <f aca="false">ROUND(PMT(設定_利率_災害/定数_年月数,C$51,-$B61*定数_万円),0)</f>
        <v>170636</v>
      </c>
      <c r="D61" s="169" t="n">
        <f aca="false">ROUND(PMT(設定_利率_災害/定数_年月数,D$51,-$B61*定数_万円),0)</f>
        <v>87301</v>
      </c>
      <c r="E61" s="169" t="n">
        <f aca="false">ROUND(PMT(設定_利率_災害/定数_年月数,E$51,-$B61*定数_万円),0)</f>
        <v>59542</v>
      </c>
      <c r="F61" s="169" t="n">
        <f aca="false">ROUND(PMT(設定_利率_災害/定数_年月数,F$51,-$B61*定数_万円),0)</f>
        <v>45678</v>
      </c>
      <c r="G61" s="169" t="n">
        <f aca="false">ROUND(PMT(設定_利率_災害/定数_年月数,G$51,-$B61*定数_万円),0)</f>
        <v>37371</v>
      </c>
      <c r="H61" s="169" t="n">
        <f aca="false">ROUND(PMT(設定_利率_災害/定数_年月数,H$51,-$B61*定数_万円),0)</f>
        <v>31843</v>
      </c>
    </row>
    <row r="62" customFormat="false" ht="15" hidden="false" customHeight="false" outlineLevel="0" collapsed="false">
      <c r="B62" s="173" t="n">
        <v>1100</v>
      </c>
      <c r="C62" s="169" t="n">
        <f aca="false">ROUND(PMT(設定_利率_災害/定数_年月数,C$51,-$B62*定数_万円),0)</f>
        <v>187700</v>
      </c>
      <c r="D62" s="169" t="n">
        <f aca="false">ROUND(PMT(設定_利率_災害/定数_年月数,D$51,-$B62*定数_万円),0)</f>
        <v>96031</v>
      </c>
      <c r="E62" s="169" t="n">
        <f aca="false">ROUND(PMT(設定_利率_災害/定数_年月数,E$51,-$B62*定数_万円),0)</f>
        <v>65496</v>
      </c>
      <c r="F62" s="169" t="n">
        <f aca="false">ROUND(PMT(設定_利率_災害/定数_年月数,F$51,-$B62*定数_万円),0)</f>
        <v>50246</v>
      </c>
      <c r="G62" s="169" t="n">
        <f aca="false">ROUND(PMT(設定_利率_災害/定数_年月数,G$51,-$B62*定数_万円),0)</f>
        <v>41108</v>
      </c>
      <c r="H62" s="169" t="n">
        <f aca="false">ROUND(PMT(設定_利率_災害/定数_年月数,H$51,-$B62*定数_万円),0)</f>
        <v>35028</v>
      </c>
    </row>
    <row r="63" customFormat="false" ht="15" hidden="false" customHeight="false" outlineLevel="0" collapsed="false">
      <c r="B63" s="173" t="n">
        <v>1200</v>
      </c>
      <c r="C63" s="169" t="n">
        <f aca="false">ROUND(PMT(設定_利率_災害/定数_年月数,C$51,-$B63*定数_万円),0)</f>
        <v>204764</v>
      </c>
      <c r="D63" s="169" t="n">
        <f aca="false">ROUND(PMT(設定_利率_災害/定数_年月数,D$51,-$B63*定数_万円),0)</f>
        <v>104761</v>
      </c>
      <c r="E63" s="169" t="n">
        <f aca="false">ROUND(PMT(設定_利率_災害/定数_年月数,E$51,-$B63*定数_万円),0)</f>
        <v>71451</v>
      </c>
      <c r="F63" s="169" t="n">
        <f aca="false">ROUND(PMT(設定_利率_災害/定数_年月数,F$51,-$B63*定数_万円),0)</f>
        <v>54813</v>
      </c>
      <c r="G63" s="169" t="n">
        <f aca="false">ROUND(PMT(設定_利率_災害/定数_年月数,G$51,-$B63*定数_万円),0)</f>
        <v>44845</v>
      </c>
      <c r="H63" s="169" t="n">
        <f aca="false">ROUND(PMT(設定_利率_災害/定数_年月数,H$51,-$B63*定数_万円),0)</f>
        <v>38212</v>
      </c>
    </row>
    <row r="64" customFormat="false" ht="15" hidden="false" customHeight="false" outlineLevel="0" collapsed="false">
      <c r="B64" s="173" t="n">
        <v>1300</v>
      </c>
      <c r="C64" s="169" t="n">
        <f aca="false">ROUND(PMT(設定_利率_災害/定数_年月数,C$51,-$B64*定数_万円),0)</f>
        <v>221827</v>
      </c>
      <c r="D64" s="169" t="n">
        <f aca="false">ROUND(PMT(設定_利率_災害/定数_年月数,D$51,-$B64*定数_万円),0)</f>
        <v>113491</v>
      </c>
      <c r="E64" s="169" t="n">
        <f aca="false">ROUND(PMT(設定_利率_災害/定数_年月数,E$51,-$B64*定数_万円),0)</f>
        <v>77405</v>
      </c>
      <c r="F64" s="169" t="n">
        <f aca="false">ROUND(PMT(設定_利率_災害/定数_年月数,F$51,-$B64*定数_万円),0)</f>
        <v>59381</v>
      </c>
      <c r="G64" s="169" t="n">
        <f aca="false">ROUND(PMT(設定_利率_災害/定数_年月数,G$51,-$B64*定数_万円),0)</f>
        <v>48583</v>
      </c>
      <c r="H64" s="169" t="n">
        <f aca="false">ROUND(PMT(設定_利率_災害/定数_年月数,H$51,-$B64*定数_万円),0)</f>
        <v>41396</v>
      </c>
    </row>
    <row r="65" customFormat="false" ht="15" hidden="false" customHeight="false" outlineLevel="0" collapsed="false">
      <c r="B65" s="173" t="n">
        <v>1400</v>
      </c>
      <c r="C65" s="169" t="n">
        <f aca="false">ROUND(PMT(設定_利率_災害/定数_年月数,C$51,-$B65*定数_万円),0)</f>
        <v>238891</v>
      </c>
      <c r="D65" s="169" t="n">
        <f aca="false">ROUND(PMT(設定_利率_災害/定数_年月数,D$51,-$B65*定数_万円),0)</f>
        <v>122221</v>
      </c>
      <c r="E65" s="169" t="n">
        <f aca="false">ROUND(PMT(設定_利率_災害/定数_年月数,E$51,-$B65*定数_万円),0)</f>
        <v>83359</v>
      </c>
      <c r="F65" s="169" t="n">
        <f aca="false">ROUND(PMT(設定_利率_災害/定数_年月数,F$51,-$B65*定数_万円),0)</f>
        <v>63949</v>
      </c>
      <c r="G65" s="169" t="n">
        <f aca="false">ROUND(PMT(設定_利率_災害/定数_年月数,G$51,-$B65*定数_万円),0)</f>
        <v>52320</v>
      </c>
      <c r="H65" s="169" t="n">
        <f aca="false">ROUND(PMT(設定_利率_災害/定数_年月数,H$51,-$B65*定数_万円),0)</f>
        <v>44581</v>
      </c>
    </row>
    <row r="66" customFormat="false" ht="15" hidden="false" customHeight="false" outlineLevel="0" collapsed="false">
      <c r="B66" s="173" t="n">
        <v>1500</v>
      </c>
      <c r="C66" s="169" t="n">
        <f aca="false">ROUND(PMT(設定_利率_災害/定数_年月数,C$51,-$B66*定数_万円),0)</f>
        <v>255954</v>
      </c>
      <c r="D66" s="169" t="n">
        <f aca="false">ROUND(PMT(設定_利率_災害/定数_年月数,D$51,-$B66*定数_万円),0)</f>
        <v>130951</v>
      </c>
      <c r="E66" s="169" t="n">
        <f aca="false">ROUND(PMT(設定_利率_災害/定数_年月数,E$51,-$B66*定数_万円),0)</f>
        <v>89313</v>
      </c>
      <c r="F66" s="169" t="n">
        <f aca="false">ROUND(PMT(設定_利率_災害/定数_年月数,F$51,-$B66*定数_万円),0)</f>
        <v>68517</v>
      </c>
      <c r="G66" s="169" t="n">
        <f aca="false">ROUND(PMT(設定_利率_災害/定数_年月数,G$51,-$B66*定数_万円),0)</f>
        <v>56057</v>
      </c>
      <c r="H66" s="169" t="n">
        <f aca="false">ROUND(PMT(設定_利率_災害/定数_年月数,H$51,-$B66*定数_万円),0)</f>
        <v>47765</v>
      </c>
    </row>
    <row r="67" customFormat="false" ht="15" hidden="false" customHeight="false" outlineLevel="0" collapsed="false">
      <c r="B67" s="173" t="n">
        <v>1600</v>
      </c>
      <c r="C67" s="169" t="n">
        <f aca="false">ROUND(PMT(設定_利率_災害/定数_年月数,C$51,-$B67*定数_万円),0)</f>
        <v>273018</v>
      </c>
      <c r="D67" s="169" t="n">
        <f aca="false">ROUND(PMT(設定_利率_災害/定数_年月数,D$51,-$B67*定数_万円),0)</f>
        <v>139681</v>
      </c>
      <c r="E67" s="169" t="n">
        <f aca="false">ROUND(PMT(設定_利率_災害/定数_年月数,E$51,-$B67*定数_万円),0)</f>
        <v>95267</v>
      </c>
      <c r="F67" s="169" t="n">
        <f aca="false">ROUND(PMT(設定_利率_災害/定数_年月数,F$51,-$B67*定数_万円),0)</f>
        <v>73085</v>
      </c>
      <c r="G67" s="169" t="n">
        <f aca="false">ROUND(PMT(設定_利率_災害/定数_年月数,G$51,-$B67*定数_万円),0)</f>
        <v>59794</v>
      </c>
      <c r="H67" s="169" t="n">
        <f aca="false">ROUND(PMT(設定_利率_災害/定数_年月数,H$51,-$B67*定数_万円),0)</f>
        <v>50949</v>
      </c>
    </row>
    <row r="68" customFormat="false" ht="15" hidden="false" customHeight="false" outlineLevel="0" collapsed="false">
      <c r="B68" s="173" t="n">
        <v>1700</v>
      </c>
      <c r="C68" s="169" t="n">
        <f aca="false">ROUND(PMT(設定_利率_災害/定数_年月数,C$51,-$B68*定数_万円),0)</f>
        <v>290082</v>
      </c>
      <c r="D68" s="169" t="n">
        <f aca="false">ROUND(PMT(設定_利率_災害/定数_年月数,D$51,-$B68*定数_万円),0)</f>
        <v>148411</v>
      </c>
      <c r="E68" s="169" t="n">
        <f aca="false">ROUND(PMT(設定_利率_災害/定数_年月数,E$51,-$B68*定数_万円),0)</f>
        <v>101222</v>
      </c>
      <c r="F68" s="169" t="n">
        <f aca="false">ROUND(PMT(設定_利率_災害/定数_年月数,F$51,-$B68*定数_万円),0)</f>
        <v>77652</v>
      </c>
      <c r="G68" s="169" t="n">
        <f aca="false">ROUND(PMT(設定_利率_災害/定数_年月数,G$51,-$B68*定数_万円),0)</f>
        <v>63531</v>
      </c>
      <c r="H68" s="169" t="n">
        <f aca="false">ROUND(PMT(設定_利率_災害/定数_年月数,H$51,-$B68*定数_万円),0)</f>
        <v>54134</v>
      </c>
    </row>
    <row r="69" customFormat="false" ht="15" hidden="false" customHeight="false" outlineLevel="0" collapsed="false">
      <c r="B69" s="173" t="n">
        <v>1800</v>
      </c>
      <c r="C69" s="169" t="n">
        <f aca="false">ROUND(PMT(設定_利率_災害/定数_年月数,C$51,-$B69*定数_万円),0)</f>
        <v>307145</v>
      </c>
      <c r="D69" s="169" t="n">
        <f aca="false">ROUND(PMT(設定_利率_災害/定数_年月数,D$51,-$B69*定数_万円),0)</f>
        <v>157141</v>
      </c>
      <c r="E69" s="169" t="n">
        <f aca="false">ROUND(PMT(設定_利率_災害/定数_年月数,E$51,-$B69*定数_万円),0)</f>
        <v>107176</v>
      </c>
      <c r="F69" s="169" t="n">
        <f aca="false">ROUND(PMT(設定_利率_災害/定数_年月数,F$51,-$B69*定数_万円),0)</f>
        <v>82220</v>
      </c>
      <c r="G69" s="169" t="n">
        <f aca="false">ROUND(PMT(設定_利率_災害/定数_年月数,G$51,-$B69*定数_万円),0)</f>
        <v>67268</v>
      </c>
      <c r="H69" s="169" t="n">
        <f aca="false">ROUND(PMT(設定_利率_災害/定数_年月数,H$51,-$B69*定数_万円),0)</f>
        <v>57318</v>
      </c>
    </row>
    <row r="70" customFormat="false" ht="15" hidden="false" customHeight="false" outlineLevel="0" collapsed="false">
      <c r="B70" s="173" t="n">
        <v>1900</v>
      </c>
      <c r="C70" s="169" t="n">
        <f aca="false">ROUND(PMT(設定_利率_災害/定数_年月数,C$51,-$B70*定数_万円),0)</f>
        <v>324209</v>
      </c>
      <c r="D70" s="169" t="n">
        <f aca="false">ROUND(PMT(設定_利率_災害/定数_年月数,D$51,-$B70*定数_万円),0)</f>
        <v>165871</v>
      </c>
      <c r="E70" s="169" t="n">
        <f aca="false">ROUND(PMT(設定_利率_災害/定数_年月数,E$51,-$B70*定数_万円),0)</f>
        <v>113130</v>
      </c>
      <c r="F70" s="169" t="n">
        <f aca="false">ROUND(PMT(設定_利率_災害/定数_年月数,F$51,-$B70*定数_万円),0)</f>
        <v>86788</v>
      </c>
      <c r="G70" s="169" t="n">
        <f aca="false">ROUND(PMT(設定_利率_災害/定数_年月数,G$51,-$B70*定数_万円),0)</f>
        <v>71005</v>
      </c>
      <c r="H70" s="169" t="n">
        <f aca="false">ROUND(PMT(設定_利率_災害/定数_年月数,H$51,-$B70*定数_万円),0)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52"/>
    <col collapsed="false" customWidth="true" hidden="false" outlineLevel="0" max="4" min="4" style="0" width="30"/>
  </cols>
  <sheetData>
    <row r="1" customFormat="false" ht="19.4" hidden="false" customHeight="false" outlineLevel="0" collapsed="false">
      <c r="B1" s="1" t="s">
        <v>248</v>
      </c>
    </row>
    <row r="2" customFormat="false" ht="15" hidden="false" customHeight="false" outlineLevel="0" collapsed="false">
      <c r="B2" s="6" t="s">
        <v>249</v>
      </c>
    </row>
    <row r="4" customFormat="false" ht="15" hidden="false" customHeight="false" outlineLevel="0" collapsed="false">
      <c r="B4" s="9" t="s">
        <v>250</v>
      </c>
      <c r="C4" s="9"/>
      <c r="D4" s="9"/>
    </row>
    <row r="5" customFormat="false" ht="15" hidden="false" customHeight="false" outlineLevel="0" collapsed="false">
      <c r="B5" s="10" t="s">
        <v>43</v>
      </c>
      <c r="C5" s="16" t="str">
        <f aca="false">IF(入力_氏名="","",入力_氏名)</f>
        <v>広島 太郎</v>
      </c>
    </row>
    <row r="6" customFormat="false" ht="15" hidden="false" customHeight="false" outlineLevel="0" collapsed="false">
      <c r="B6" s="10" t="s">
        <v>251</v>
      </c>
      <c r="C6" s="16" t="str">
        <f aca="false">IF(入力_所属名="","",入力_所属名)</f>
        <v>○○局○○課</v>
      </c>
    </row>
    <row r="7" customFormat="false" ht="15" hidden="false" customHeight="false" outlineLevel="0" collapsed="false">
      <c r="B7" s="10" t="s">
        <v>116</v>
      </c>
      <c r="C7" s="16" t="str">
        <f aca="false">IF(入力_貸付区分="","",入力_貸付区分)</f>
        <v>普通貸付:自動車購入</v>
      </c>
    </row>
    <row r="8" customFormat="false" ht="15" hidden="false" customHeight="false" outlineLevel="0" collapsed="false">
      <c r="B8" s="10" t="s">
        <v>252</v>
      </c>
      <c r="C8" s="16" t="str">
        <f aca="false">TEXT(計算_申込額,"#,##0")&amp;"円"</f>
        <v>1,500,000円</v>
      </c>
    </row>
    <row r="9" customFormat="false" ht="15" hidden="false" customHeight="false" outlineLevel="0" collapsed="false">
      <c r="B9" s="10" t="s">
        <v>39</v>
      </c>
      <c r="C9" s="16" t="str">
        <f aca="false">判定_総合</f>
        <v>申込可能</v>
      </c>
    </row>
    <row r="11" customFormat="false" ht="6" hidden="false" customHeight="true" outlineLevel="0" collapsed="false"/>
    <row r="12" customFormat="false" ht="15" hidden="false" customHeight="false" outlineLevel="0" collapsed="false">
      <c r="B12" s="9" t="s">
        <v>253</v>
      </c>
      <c r="C12" s="9"/>
      <c r="D12" s="9"/>
    </row>
    <row r="13" customFormat="false" ht="39.75" hidden="false" customHeight="true" outlineLevel="0" collapsed="false"/>
    <row r="14" customFormat="false" ht="15" hidden="false" customHeight="false" outlineLevel="0" collapsed="false">
      <c r="B14" s="8" t="s">
        <v>254</v>
      </c>
    </row>
    <row r="16" customFormat="false" ht="15" hidden="false" customHeight="false" outlineLevel="0" collapsed="false">
      <c r="B16" s="9" t="s">
        <v>255</v>
      </c>
      <c r="C16" s="9"/>
      <c r="D16" s="9"/>
    </row>
    <row r="17" customFormat="false" ht="18" hidden="false" customHeight="true" outlineLevel="0" collapsed="false">
      <c r="B17" s="174" t="s">
        <v>256</v>
      </c>
      <c r="C17" s="174"/>
      <c r="D17" s="174"/>
    </row>
    <row r="18" customFormat="false" ht="30" hidden="false" customHeight="true" outlineLevel="0" collapsed="false">
      <c r="B18" s="174" t="s">
        <v>257</v>
      </c>
      <c r="C18" s="174"/>
      <c r="D18" s="174"/>
    </row>
    <row r="19" customFormat="false" ht="18" hidden="false" customHeight="true" outlineLevel="0" collapsed="false">
      <c r="B19" s="174" t="s">
        <v>258</v>
      </c>
      <c r="C19" s="174"/>
      <c r="D19" s="174"/>
    </row>
    <row r="20" customFormat="false" ht="30" hidden="false" customHeight="true" outlineLevel="0" collapsed="false">
      <c r="B20" s="174" t="s">
        <v>259</v>
      </c>
      <c r="C20" s="174"/>
      <c r="D20" s="174"/>
    </row>
    <row r="21" customFormat="false" ht="18" hidden="false" customHeight="true" outlineLevel="0" collapsed="false">
      <c r="B21" s="174" t="s">
        <v>260</v>
      </c>
      <c r="C21" s="174"/>
      <c r="D21" s="174"/>
    </row>
    <row r="22" customFormat="false" ht="43.5" hidden="false" customHeight="true" outlineLevel="0" collapsed="false">
      <c r="B22" s="34" t="s">
        <v>261</v>
      </c>
      <c r="C22" s="34"/>
      <c r="D22" s="34"/>
    </row>
  </sheetData>
  <mergeCells count="9">
    <mergeCell ref="B4:D4"/>
    <mergeCell ref="B12:D12"/>
    <mergeCell ref="B16:D16"/>
    <mergeCell ref="B17:D17"/>
    <mergeCell ref="B18:D18"/>
    <mergeCell ref="B19:D19"/>
    <mergeCell ref="B20:D20"/>
    <mergeCell ref="B21:D21"/>
    <mergeCell ref="B22:D2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pageSetUpPr fitToPage="false"/>
  </sheetPr>
  <dimension ref="B1:E2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34"/>
    <col collapsed="false" customWidth="true" hidden="false" outlineLevel="0" max="3" min="3" style="0" width="12"/>
    <col collapsed="false" customWidth="true" hidden="false" outlineLevel="0" max="4" min="4" style="0" width="46"/>
    <col collapsed="false" customWidth="true" hidden="false" outlineLevel="0" max="5" min="5" style="0" width="70"/>
  </cols>
  <sheetData>
    <row r="1" customFormat="false" ht="19.4" hidden="false" customHeight="false" outlineLevel="0" collapsed="false">
      <c r="B1" s="1" t="s">
        <v>262</v>
      </c>
    </row>
    <row r="3" customFormat="false" ht="15" hidden="false" customHeight="false" outlineLevel="0" collapsed="false">
      <c r="B3" s="175" t="s">
        <v>263</v>
      </c>
      <c r="C3" s="175"/>
      <c r="D3" s="175"/>
      <c r="E3" s="175"/>
    </row>
    <row r="4" customFormat="false" ht="19.5" hidden="false" customHeight="true" outlineLevel="0" collapsed="false">
      <c r="B4" s="176" t="s">
        <v>264</v>
      </c>
      <c r="C4" s="3" t="s">
        <v>265</v>
      </c>
      <c r="D4" s="3"/>
      <c r="E4" s="3"/>
    </row>
    <row r="5" customFormat="false" ht="19.5" hidden="false" customHeight="true" outlineLevel="0" collapsed="false">
      <c r="B5" s="176" t="s">
        <v>266</v>
      </c>
      <c r="C5" s="3" t="s">
        <v>267</v>
      </c>
      <c r="D5" s="3"/>
      <c r="E5" s="3"/>
    </row>
    <row r="6" customFormat="false" ht="19.5" hidden="false" customHeight="true" outlineLevel="0" collapsed="false">
      <c r="B6" s="176" t="s">
        <v>268</v>
      </c>
      <c r="C6" s="3" t="s">
        <v>269</v>
      </c>
      <c r="D6" s="3"/>
      <c r="E6" s="3"/>
    </row>
    <row r="7" customFormat="false" ht="19.5" hidden="false" customHeight="true" outlineLevel="0" collapsed="false">
      <c r="B7" s="176" t="s">
        <v>270</v>
      </c>
      <c r="C7" s="3" t="s">
        <v>271</v>
      </c>
      <c r="D7" s="3"/>
      <c r="E7" s="3"/>
    </row>
    <row r="8" customFormat="false" ht="19.5" hidden="false" customHeight="true" outlineLevel="0" collapsed="false">
      <c r="B8" s="176" t="s">
        <v>272</v>
      </c>
      <c r="C8" s="3" t="s">
        <v>273</v>
      </c>
      <c r="D8" s="3"/>
      <c r="E8" s="3"/>
    </row>
    <row r="9" customFormat="false" ht="19.5" hidden="false" customHeight="true" outlineLevel="0" collapsed="false">
      <c r="B9" s="176" t="s">
        <v>274</v>
      </c>
      <c r="C9" s="3" t="s">
        <v>275</v>
      </c>
      <c r="D9" s="3"/>
      <c r="E9" s="3"/>
    </row>
    <row r="10" customFormat="false" ht="19.5" hidden="false" customHeight="true" outlineLevel="0" collapsed="false">
      <c r="B10" s="177" t="s">
        <v>276</v>
      </c>
      <c r="C10" s="5" t="s">
        <v>277</v>
      </c>
      <c r="D10" s="5"/>
      <c r="E10" s="5"/>
    </row>
    <row r="12" customFormat="false" ht="15" hidden="false" customHeight="false" outlineLevel="0" collapsed="false">
      <c r="B12" s="175" t="s">
        <v>278</v>
      </c>
      <c r="C12" s="175"/>
      <c r="D12" s="175"/>
      <c r="E12" s="175"/>
    </row>
    <row r="13" customFormat="false" ht="19.5" hidden="false" customHeight="true" outlineLevel="0" collapsed="false">
      <c r="B13" s="176" t="s">
        <v>279</v>
      </c>
      <c r="C13" s="3" t="s">
        <v>280</v>
      </c>
      <c r="D13" s="3"/>
      <c r="E13" s="3"/>
    </row>
    <row r="14" customFormat="false" ht="19.5" hidden="false" customHeight="true" outlineLevel="0" collapsed="false">
      <c r="B14" s="176" t="s">
        <v>281</v>
      </c>
      <c r="C14" s="3" t="s">
        <v>282</v>
      </c>
      <c r="D14" s="3"/>
      <c r="E14" s="3"/>
    </row>
    <row r="15" customFormat="false" ht="36" hidden="false" customHeight="true" outlineLevel="0" collapsed="false">
      <c r="B15" s="176" t="s">
        <v>283</v>
      </c>
      <c r="C15" s="3" t="s">
        <v>284</v>
      </c>
      <c r="D15" s="3"/>
      <c r="E15" s="3"/>
    </row>
    <row r="16" customFormat="false" ht="19.5" hidden="false" customHeight="true" outlineLevel="0" collapsed="false">
      <c r="B16" s="176" t="s">
        <v>285</v>
      </c>
      <c r="C16" s="3" t="s">
        <v>286</v>
      </c>
      <c r="D16" s="3"/>
      <c r="E16" s="3"/>
    </row>
    <row r="17" customFormat="false" ht="19.5" hidden="false" customHeight="true" outlineLevel="0" collapsed="false">
      <c r="B17" s="176" t="s">
        <v>287</v>
      </c>
      <c r="C17" s="3" t="s">
        <v>288</v>
      </c>
      <c r="D17" s="3"/>
      <c r="E17" s="3"/>
    </row>
    <row r="18" customFormat="false" ht="36" hidden="false" customHeight="true" outlineLevel="0" collapsed="false">
      <c r="B18" s="177" t="s">
        <v>289</v>
      </c>
      <c r="C18" s="5" t="s">
        <v>290</v>
      </c>
      <c r="D18" s="5"/>
      <c r="E18" s="5"/>
    </row>
    <row r="20" customFormat="false" ht="15" hidden="false" customHeight="false" outlineLevel="0" collapsed="false">
      <c r="B20" s="175" t="s">
        <v>291</v>
      </c>
      <c r="C20" s="175"/>
      <c r="D20" s="175"/>
      <c r="E20" s="175"/>
    </row>
    <row r="21" customFormat="false" ht="36" hidden="false" customHeight="true" outlineLevel="0" collapsed="false">
      <c r="B21" s="176" t="s">
        <v>292</v>
      </c>
      <c r="C21" s="3" t="s">
        <v>293</v>
      </c>
      <c r="D21" s="3"/>
      <c r="E21" s="3"/>
    </row>
    <row r="22" customFormat="false" ht="36" hidden="false" customHeight="true" outlineLevel="0" collapsed="false">
      <c r="B22" s="176" t="s">
        <v>294</v>
      </c>
      <c r="C22" s="3" t="s">
        <v>295</v>
      </c>
      <c r="D22" s="3"/>
      <c r="E22" s="3"/>
    </row>
    <row r="23" customFormat="false" ht="19.5" hidden="false" customHeight="true" outlineLevel="0" collapsed="false">
      <c r="B23" s="176" t="s">
        <v>296</v>
      </c>
      <c r="C23" s="3" t="s">
        <v>297</v>
      </c>
      <c r="D23" s="3"/>
      <c r="E23" s="3"/>
    </row>
    <row r="24" customFormat="false" ht="19.5" hidden="false" customHeight="true" outlineLevel="0" collapsed="false">
      <c r="B24" s="176" t="s">
        <v>298</v>
      </c>
      <c r="C24" s="5" t="s">
        <v>299</v>
      </c>
      <c r="D24" s="5"/>
      <c r="E24" s="5"/>
    </row>
    <row r="26" customFormat="false" ht="15" hidden="false" customHeight="false" outlineLevel="0" collapsed="false">
      <c r="B26" s="175" t="s">
        <v>300</v>
      </c>
      <c r="C26" s="175"/>
      <c r="D26" s="175"/>
      <c r="E26" s="175"/>
    </row>
    <row r="27" customFormat="false" ht="15" hidden="false" customHeight="false" outlineLevel="0" collapsed="false">
      <c r="B27" s="13" t="s">
        <v>292</v>
      </c>
      <c r="C27" s="13" t="s">
        <v>301</v>
      </c>
      <c r="D27" s="13" t="s">
        <v>302</v>
      </c>
      <c r="E27" s="13" t="s">
        <v>303</v>
      </c>
    </row>
    <row r="28" customFormat="false" ht="15" hidden="false" customHeight="false" outlineLevel="0" collapsed="false">
      <c r="B28" s="38" t="s">
        <v>304</v>
      </c>
      <c r="C28" s="38" t="s">
        <v>305</v>
      </c>
      <c r="D28" s="38" t="s">
        <v>306</v>
      </c>
      <c r="E28" s="38"/>
    </row>
    <row r="29" customFormat="false" ht="15" hidden="false" customHeight="false" outlineLevel="0" collapsed="false">
      <c r="B29" s="38" t="s">
        <v>307</v>
      </c>
      <c r="C29" s="38" t="s">
        <v>305</v>
      </c>
      <c r="D29" s="38" t="s">
        <v>308</v>
      </c>
      <c r="E29" s="38"/>
    </row>
    <row r="30" customFormat="false" ht="15" hidden="false" customHeight="false" outlineLevel="0" collapsed="false">
      <c r="B30" s="38" t="s">
        <v>309</v>
      </c>
      <c r="C30" s="38" t="s">
        <v>305</v>
      </c>
      <c r="D30" s="38" t="s">
        <v>310</v>
      </c>
      <c r="E30" s="38"/>
    </row>
    <row r="31" customFormat="false" ht="15" hidden="false" customHeight="false" outlineLevel="0" collapsed="false">
      <c r="B31" s="38" t="s">
        <v>311</v>
      </c>
      <c r="C31" s="38" t="s">
        <v>305</v>
      </c>
      <c r="D31" s="38" t="s">
        <v>312</v>
      </c>
      <c r="E31" s="38"/>
    </row>
    <row r="32" customFormat="false" ht="15" hidden="false" customHeight="false" outlineLevel="0" collapsed="false">
      <c r="B32" s="38" t="s">
        <v>313</v>
      </c>
      <c r="C32" s="38" t="s">
        <v>305</v>
      </c>
      <c r="D32" s="38" t="s">
        <v>314</v>
      </c>
      <c r="E32" s="38"/>
    </row>
    <row r="33" customFormat="false" ht="15" hidden="false" customHeight="false" outlineLevel="0" collapsed="false">
      <c r="B33" s="38" t="s">
        <v>315</v>
      </c>
      <c r="C33" s="38" t="s">
        <v>305</v>
      </c>
      <c r="D33" s="38" t="s">
        <v>316</v>
      </c>
      <c r="E33" s="38"/>
    </row>
    <row r="34" customFormat="false" ht="15" hidden="false" customHeight="false" outlineLevel="0" collapsed="false">
      <c r="B34" s="38" t="s">
        <v>317</v>
      </c>
      <c r="C34" s="38" t="s">
        <v>305</v>
      </c>
      <c r="D34" s="38" t="s">
        <v>318</v>
      </c>
      <c r="E34" s="38"/>
    </row>
    <row r="35" customFormat="false" ht="15" hidden="false" customHeight="false" outlineLevel="0" collapsed="false">
      <c r="B35" s="38" t="s">
        <v>319</v>
      </c>
      <c r="C35" s="38" t="s">
        <v>305</v>
      </c>
      <c r="D35" s="38" t="s">
        <v>320</v>
      </c>
      <c r="E35" s="38"/>
    </row>
    <row r="36" customFormat="false" ht="15" hidden="false" customHeight="false" outlineLevel="0" collapsed="false">
      <c r="B36" s="38" t="s">
        <v>321</v>
      </c>
      <c r="C36" s="38" t="s">
        <v>305</v>
      </c>
      <c r="D36" s="38" t="s">
        <v>322</v>
      </c>
      <c r="E36" s="38"/>
    </row>
    <row r="37" customFormat="false" ht="15" hidden="false" customHeight="false" outlineLevel="0" collapsed="false">
      <c r="B37" s="38" t="s">
        <v>323</v>
      </c>
      <c r="C37" s="38" t="s">
        <v>305</v>
      </c>
      <c r="D37" s="38" t="s">
        <v>324</v>
      </c>
      <c r="E37" s="38"/>
    </row>
    <row r="38" customFormat="false" ht="15" hidden="false" customHeight="false" outlineLevel="0" collapsed="false">
      <c r="B38" s="38" t="s">
        <v>325</v>
      </c>
      <c r="C38" s="38" t="s">
        <v>305</v>
      </c>
      <c r="D38" s="38" t="s">
        <v>326</v>
      </c>
      <c r="E38" s="38"/>
    </row>
    <row r="39" customFormat="false" ht="15" hidden="false" customHeight="false" outlineLevel="0" collapsed="false">
      <c r="B39" s="38" t="s">
        <v>327</v>
      </c>
      <c r="C39" s="38" t="s">
        <v>305</v>
      </c>
      <c r="D39" s="38" t="s">
        <v>328</v>
      </c>
      <c r="E39" s="38"/>
    </row>
    <row r="40" customFormat="false" ht="15" hidden="false" customHeight="false" outlineLevel="0" collapsed="false">
      <c r="B40" s="38" t="s">
        <v>329</v>
      </c>
      <c r="C40" s="38" t="s">
        <v>305</v>
      </c>
      <c r="D40" s="38" t="s">
        <v>330</v>
      </c>
      <c r="E40" s="38"/>
    </row>
    <row r="41" customFormat="false" ht="15" hidden="false" customHeight="false" outlineLevel="0" collapsed="false">
      <c r="B41" s="38" t="s">
        <v>331</v>
      </c>
      <c r="C41" s="38" t="s">
        <v>305</v>
      </c>
      <c r="D41" s="38" t="s">
        <v>332</v>
      </c>
      <c r="E41" s="38"/>
    </row>
    <row r="42" customFormat="false" ht="15" hidden="false" customHeight="false" outlineLevel="0" collapsed="false">
      <c r="B42" s="38" t="s">
        <v>333</v>
      </c>
      <c r="C42" s="38" t="s">
        <v>305</v>
      </c>
      <c r="D42" s="38" t="s">
        <v>334</v>
      </c>
      <c r="E42" s="38"/>
    </row>
    <row r="43" customFormat="false" ht="15" hidden="false" customHeight="false" outlineLevel="0" collapsed="false">
      <c r="B43" s="38" t="s">
        <v>335</v>
      </c>
      <c r="C43" s="38" t="s">
        <v>305</v>
      </c>
      <c r="D43" s="38" t="s">
        <v>336</v>
      </c>
      <c r="E43" s="38"/>
    </row>
    <row r="44" customFormat="false" ht="15" hidden="false" customHeight="false" outlineLevel="0" collapsed="false">
      <c r="B44" s="38" t="s">
        <v>337</v>
      </c>
      <c r="C44" s="38" t="s">
        <v>305</v>
      </c>
      <c r="D44" s="38" t="s">
        <v>338</v>
      </c>
      <c r="E44" s="38"/>
    </row>
    <row r="45" customFormat="false" ht="15" hidden="false" customHeight="false" outlineLevel="0" collapsed="false">
      <c r="B45" s="38" t="s">
        <v>339</v>
      </c>
      <c r="C45" s="38" t="s">
        <v>305</v>
      </c>
      <c r="D45" s="38" t="s">
        <v>340</v>
      </c>
      <c r="E45" s="38"/>
    </row>
    <row r="46" customFormat="false" ht="15" hidden="false" customHeight="false" outlineLevel="0" collapsed="false">
      <c r="B46" s="38" t="s">
        <v>341</v>
      </c>
      <c r="C46" s="38" t="s">
        <v>305</v>
      </c>
      <c r="D46" s="38" t="s">
        <v>342</v>
      </c>
      <c r="E46" s="38"/>
    </row>
    <row r="47" customFormat="false" ht="15" hidden="false" customHeight="false" outlineLevel="0" collapsed="false">
      <c r="B47" s="38" t="s">
        <v>343</v>
      </c>
      <c r="C47" s="38" t="s">
        <v>305</v>
      </c>
      <c r="D47" s="38" t="s">
        <v>344</v>
      </c>
      <c r="E47" s="38"/>
    </row>
    <row r="48" customFormat="false" ht="15" hidden="false" customHeight="false" outlineLevel="0" collapsed="false">
      <c r="B48" s="38" t="s">
        <v>345</v>
      </c>
      <c r="C48" s="38" t="s">
        <v>305</v>
      </c>
      <c r="D48" s="38" t="s">
        <v>346</v>
      </c>
      <c r="E48" s="38"/>
    </row>
    <row r="49" customFormat="false" ht="15" hidden="false" customHeight="false" outlineLevel="0" collapsed="false">
      <c r="B49" s="38" t="s">
        <v>347</v>
      </c>
      <c r="C49" s="38" t="s">
        <v>305</v>
      </c>
      <c r="D49" s="38" t="s">
        <v>348</v>
      </c>
      <c r="E49" s="38"/>
    </row>
    <row r="50" customFormat="false" ht="15" hidden="false" customHeight="false" outlineLevel="0" collapsed="false">
      <c r="B50" s="38" t="s">
        <v>349</v>
      </c>
      <c r="C50" s="38" t="s">
        <v>305</v>
      </c>
      <c r="D50" s="38" t="s">
        <v>350</v>
      </c>
      <c r="E50" s="38"/>
    </row>
    <row r="51" customFormat="false" ht="15" hidden="false" customHeight="false" outlineLevel="0" collapsed="false">
      <c r="B51" s="38" t="s">
        <v>351</v>
      </c>
      <c r="C51" s="38" t="s">
        <v>305</v>
      </c>
      <c r="D51" s="38" t="s">
        <v>352</v>
      </c>
      <c r="E51" s="38"/>
    </row>
    <row r="52" customFormat="false" ht="15" hidden="false" customHeight="false" outlineLevel="0" collapsed="false">
      <c r="B52" s="38" t="s">
        <v>353</v>
      </c>
      <c r="C52" s="38" t="s">
        <v>305</v>
      </c>
      <c r="D52" s="38" t="s">
        <v>354</v>
      </c>
      <c r="E52" s="38"/>
    </row>
    <row r="53" customFormat="false" ht="15" hidden="false" customHeight="false" outlineLevel="0" collapsed="false">
      <c r="B53" s="38" t="s">
        <v>355</v>
      </c>
      <c r="C53" s="38" t="s">
        <v>305</v>
      </c>
      <c r="D53" s="38" t="s">
        <v>356</v>
      </c>
      <c r="E53" s="38"/>
    </row>
    <row r="54" customFormat="false" ht="15" hidden="false" customHeight="false" outlineLevel="0" collapsed="false">
      <c r="B54" s="38" t="s">
        <v>357</v>
      </c>
      <c r="C54" s="38" t="s">
        <v>305</v>
      </c>
      <c r="D54" s="38" t="s">
        <v>358</v>
      </c>
      <c r="E54" s="38"/>
    </row>
    <row r="55" customFormat="false" ht="15" hidden="false" customHeight="false" outlineLevel="0" collapsed="false">
      <c r="B55" s="38" t="s">
        <v>359</v>
      </c>
      <c r="C55" s="38" t="s">
        <v>305</v>
      </c>
      <c r="D55" s="38" t="s">
        <v>360</v>
      </c>
      <c r="E55" s="38"/>
    </row>
    <row r="56" customFormat="false" ht="15" hidden="false" customHeight="false" outlineLevel="0" collapsed="false">
      <c r="B56" s="38" t="s">
        <v>361</v>
      </c>
      <c r="C56" s="38" t="s">
        <v>305</v>
      </c>
      <c r="D56" s="38" t="s">
        <v>362</v>
      </c>
      <c r="E56" s="38"/>
    </row>
    <row r="57" customFormat="false" ht="15" hidden="false" customHeight="false" outlineLevel="0" collapsed="false">
      <c r="B57" s="38" t="s">
        <v>363</v>
      </c>
      <c r="C57" s="38" t="s">
        <v>305</v>
      </c>
      <c r="D57" s="38" t="s">
        <v>364</v>
      </c>
      <c r="E57" s="38"/>
    </row>
    <row r="58" customFormat="false" ht="15" hidden="false" customHeight="false" outlineLevel="0" collapsed="false">
      <c r="B58" s="38" t="s">
        <v>365</v>
      </c>
      <c r="C58" s="38" t="s">
        <v>305</v>
      </c>
      <c r="D58" s="38" t="s">
        <v>366</v>
      </c>
      <c r="E58" s="38"/>
    </row>
    <row r="59" customFormat="false" ht="15" hidden="false" customHeight="false" outlineLevel="0" collapsed="false">
      <c r="B59" s="38" t="s">
        <v>367</v>
      </c>
      <c r="C59" s="38" t="s">
        <v>305</v>
      </c>
      <c r="D59" s="38" t="s">
        <v>368</v>
      </c>
      <c r="E59" s="38"/>
    </row>
    <row r="60" customFormat="false" ht="15" hidden="false" customHeight="false" outlineLevel="0" collapsed="false">
      <c r="B60" s="38" t="s">
        <v>369</v>
      </c>
      <c r="C60" s="38" t="s">
        <v>305</v>
      </c>
      <c r="D60" s="38" t="s">
        <v>370</v>
      </c>
      <c r="E60" s="38"/>
    </row>
    <row r="61" customFormat="false" ht="15" hidden="false" customHeight="false" outlineLevel="0" collapsed="false">
      <c r="B61" s="38" t="s">
        <v>371</v>
      </c>
      <c r="C61" s="38" t="s">
        <v>305</v>
      </c>
      <c r="D61" s="38" t="s">
        <v>372</v>
      </c>
      <c r="E61" s="38"/>
    </row>
    <row r="62" customFormat="false" ht="15" hidden="false" customHeight="false" outlineLevel="0" collapsed="false">
      <c r="B62" s="38" t="s">
        <v>373</v>
      </c>
      <c r="C62" s="38" t="s">
        <v>305</v>
      </c>
      <c r="D62" s="38" t="s">
        <v>374</v>
      </c>
      <c r="E62" s="38"/>
    </row>
    <row r="63" customFormat="false" ht="15" hidden="false" customHeight="false" outlineLevel="0" collapsed="false">
      <c r="B63" s="38" t="s">
        <v>375</v>
      </c>
      <c r="C63" s="38" t="s">
        <v>305</v>
      </c>
      <c r="D63" s="38" t="s">
        <v>376</v>
      </c>
      <c r="E63" s="38"/>
    </row>
    <row r="64" customFormat="false" ht="15" hidden="false" customHeight="false" outlineLevel="0" collapsed="false">
      <c r="B64" s="38" t="s">
        <v>377</v>
      </c>
      <c r="C64" s="38" t="s">
        <v>305</v>
      </c>
      <c r="D64" s="38" t="s">
        <v>378</v>
      </c>
      <c r="E64" s="38"/>
    </row>
    <row r="65" customFormat="false" ht="15" hidden="false" customHeight="false" outlineLevel="0" collapsed="false">
      <c r="B65" s="38" t="s">
        <v>379</v>
      </c>
      <c r="C65" s="38" t="s">
        <v>380</v>
      </c>
      <c r="D65" s="38" t="s">
        <v>381</v>
      </c>
      <c r="E65" s="38"/>
    </row>
    <row r="66" customFormat="false" ht="15" hidden="false" customHeight="false" outlineLevel="0" collapsed="false">
      <c r="B66" s="38" t="s">
        <v>382</v>
      </c>
      <c r="C66" s="38" t="s">
        <v>380</v>
      </c>
      <c r="D66" s="38" t="s">
        <v>383</v>
      </c>
      <c r="E66" s="38"/>
    </row>
    <row r="67" customFormat="false" ht="15" hidden="false" customHeight="false" outlineLevel="0" collapsed="false">
      <c r="B67" s="38" t="s">
        <v>384</v>
      </c>
      <c r="C67" s="38" t="s">
        <v>380</v>
      </c>
      <c r="D67" s="38" t="s">
        <v>385</v>
      </c>
      <c r="E67" s="38"/>
    </row>
    <row r="68" customFormat="false" ht="15" hidden="false" customHeight="false" outlineLevel="0" collapsed="false">
      <c r="B68" s="38" t="s">
        <v>386</v>
      </c>
      <c r="C68" s="38" t="s">
        <v>380</v>
      </c>
      <c r="D68" s="38" t="s">
        <v>387</v>
      </c>
      <c r="E68" s="38"/>
    </row>
    <row r="69" customFormat="false" ht="15" hidden="false" customHeight="false" outlineLevel="0" collapsed="false">
      <c r="B69" s="38" t="s">
        <v>388</v>
      </c>
      <c r="C69" s="38" t="s">
        <v>380</v>
      </c>
      <c r="D69" s="38" t="s">
        <v>389</v>
      </c>
      <c r="E69" s="38"/>
    </row>
    <row r="70" customFormat="false" ht="15" hidden="false" customHeight="false" outlineLevel="0" collapsed="false">
      <c r="B70" s="38" t="s">
        <v>390</v>
      </c>
      <c r="C70" s="38" t="s">
        <v>380</v>
      </c>
      <c r="D70" s="38" t="s">
        <v>391</v>
      </c>
      <c r="E70" s="38"/>
    </row>
    <row r="71" customFormat="false" ht="15" hidden="false" customHeight="false" outlineLevel="0" collapsed="false">
      <c r="B71" s="38" t="s">
        <v>392</v>
      </c>
      <c r="C71" s="38" t="s">
        <v>380</v>
      </c>
      <c r="D71" s="38" t="s">
        <v>393</v>
      </c>
      <c r="E71" s="38"/>
    </row>
    <row r="72" customFormat="false" ht="15" hidden="false" customHeight="false" outlineLevel="0" collapsed="false">
      <c r="B72" s="38" t="s">
        <v>394</v>
      </c>
      <c r="C72" s="38" t="s">
        <v>380</v>
      </c>
      <c r="D72" s="38" t="s">
        <v>395</v>
      </c>
      <c r="E72" s="38"/>
    </row>
    <row r="73" customFormat="false" ht="15" hidden="false" customHeight="false" outlineLevel="0" collapsed="false">
      <c r="B73" s="38" t="s">
        <v>396</v>
      </c>
      <c r="C73" s="38" t="s">
        <v>380</v>
      </c>
      <c r="D73" s="38" t="s">
        <v>397</v>
      </c>
      <c r="E73" s="38"/>
    </row>
    <row r="74" customFormat="false" ht="15" hidden="false" customHeight="false" outlineLevel="0" collapsed="false">
      <c r="B74" s="38" t="s">
        <v>398</v>
      </c>
      <c r="C74" s="38" t="s">
        <v>380</v>
      </c>
      <c r="D74" s="38" t="s">
        <v>399</v>
      </c>
      <c r="E74" s="38"/>
    </row>
    <row r="75" customFormat="false" ht="15" hidden="false" customHeight="false" outlineLevel="0" collapsed="false">
      <c r="B75" s="38" t="s">
        <v>400</v>
      </c>
      <c r="C75" s="38" t="s">
        <v>380</v>
      </c>
      <c r="D75" s="38" t="s">
        <v>401</v>
      </c>
      <c r="E75" s="38"/>
    </row>
    <row r="76" customFormat="false" ht="15" hidden="false" customHeight="false" outlineLevel="0" collapsed="false">
      <c r="B76" s="38" t="s">
        <v>402</v>
      </c>
      <c r="C76" s="38" t="s">
        <v>380</v>
      </c>
      <c r="D76" s="38" t="s">
        <v>403</v>
      </c>
      <c r="E76" s="38"/>
    </row>
    <row r="77" customFormat="false" ht="15" hidden="false" customHeight="false" outlineLevel="0" collapsed="false">
      <c r="B77" s="38" t="s">
        <v>404</v>
      </c>
      <c r="C77" s="38" t="s">
        <v>380</v>
      </c>
      <c r="D77" s="38" t="s">
        <v>405</v>
      </c>
      <c r="E77" s="38"/>
    </row>
    <row r="78" customFormat="false" ht="15" hidden="false" customHeight="false" outlineLevel="0" collapsed="false">
      <c r="B78" s="38" t="s">
        <v>406</v>
      </c>
      <c r="C78" s="38" t="s">
        <v>380</v>
      </c>
      <c r="D78" s="38" t="s">
        <v>407</v>
      </c>
      <c r="E78" s="38"/>
    </row>
    <row r="79" customFormat="false" ht="15" hidden="false" customHeight="false" outlineLevel="0" collapsed="false">
      <c r="B79" s="38" t="s">
        <v>408</v>
      </c>
      <c r="C79" s="38" t="s">
        <v>380</v>
      </c>
      <c r="D79" s="38" t="s">
        <v>409</v>
      </c>
      <c r="E79" s="38"/>
    </row>
    <row r="80" customFormat="false" ht="15" hidden="false" customHeight="false" outlineLevel="0" collapsed="false">
      <c r="B80" s="38" t="s">
        <v>410</v>
      </c>
      <c r="C80" s="38" t="s">
        <v>411</v>
      </c>
      <c r="D80" s="38" t="s">
        <v>412</v>
      </c>
      <c r="E80" s="38"/>
    </row>
    <row r="81" customFormat="false" ht="15" hidden="false" customHeight="false" outlineLevel="0" collapsed="false">
      <c r="B81" s="38" t="s">
        <v>413</v>
      </c>
      <c r="C81" s="38" t="s">
        <v>411</v>
      </c>
      <c r="D81" s="38" t="s">
        <v>414</v>
      </c>
      <c r="E81" s="38"/>
    </row>
    <row r="82" customFormat="false" ht="15" hidden="false" customHeight="false" outlineLevel="0" collapsed="false">
      <c r="B82" s="38" t="s">
        <v>415</v>
      </c>
      <c r="C82" s="38" t="s">
        <v>411</v>
      </c>
      <c r="D82" s="38" t="s">
        <v>416</v>
      </c>
      <c r="E82" s="38"/>
    </row>
    <row r="83" customFormat="false" ht="15" hidden="false" customHeight="false" outlineLevel="0" collapsed="false">
      <c r="B83" s="38" t="s">
        <v>417</v>
      </c>
      <c r="C83" s="38" t="s">
        <v>411</v>
      </c>
      <c r="D83" s="38" t="s">
        <v>418</v>
      </c>
      <c r="E83" s="38"/>
    </row>
    <row r="84" customFormat="false" ht="15" hidden="false" customHeight="false" outlineLevel="0" collapsed="false">
      <c r="B84" s="38" t="s">
        <v>419</v>
      </c>
      <c r="C84" s="38" t="s">
        <v>411</v>
      </c>
      <c r="D84" s="38" t="s">
        <v>420</v>
      </c>
      <c r="E84" s="38"/>
    </row>
    <row r="85" customFormat="false" ht="15" hidden="false" customHeight="false" outlineLevel="0" collapsed="false">
      <c r="B85" s="38" t="s">
        <v>421</v>
      </c>
      <c r="C85" s="38" t="s">
        <v>411</v>
      </c>
      <c r="D85" s="38" t="s">
        <v>422</v>
      </c>
      <c r="E85" s="38"/>
    </row>
    <row r="86" customFormat="false" ht="15" hidden="false" customHeight="false" outlineLevel="0" collapsed="false">
      <c r="B86" s="38" t="s">
        <v>423</v>
      </c>
      <c r="C86" s="38" t="s">
        <v>411</v>
      </c>
      <c r="D86" s="38" t="s">
        <v>424</v>
      </c>
      <c r="E86" s="38"/>
    </row>
    <row r="87" customFormat="false" ht="15" hidden="false" customHeight="false" outlineLevel="0" collapsed="false">
      <c r="B87" s="38" t="s">
        <v>425</v>
      </c>
      <c r="C87" s="38" t="s">
        <v>411</v>
      </c>
      <c r="D87" s="38" t="s">
        <v>426</v>
      </c>
      <c r="E87" s="38"/>
    </row>
    <row r="88" customFormat="false" ht="15" hidden="false" customHeight="false" outlineLevel="0" collapsed="false">
      <c r="B88" s="38" t="s">
        <v>427</v>
      </c>
      <c r="C88" s="38" t="s">
        <v>411</v>
      </c>
      <c r="D88" s="38" t="s">
        <v>428</v>
      </c>
      <c r="E88" s="38"/>
    </row>
    <row r="89" customFormat="false" ht="15" hidden="false" customHeight="false" outlineLevel="0" collapsed="false">
      <c r="B89" s="38" t="s">
        <v>429</v>
      </c>
      <c r="C89" s="38" t="s">
        <v>411</v>
      </c>
      <c r="D89" s="38" t="s">
        <v>430</v>
      </c>
      <c r="E89" s="38"/>
    </row>
    <row r="90" customFormat="false" ht="15" hidden="false" customHeight="false" outlineLevel="0" collapsed="false">
      <c r="B90" s="38" t="s">
        <v>431</v>
      </c>
      <c r="C90" s="38" t="s">
        <v>411</v>
      </c>
      <c r="D90" s="38" t="s">
        <v>432</v>
      </c>
      <c r="E90" s="38"/>
    </row>
    <row r="91" customFormat="false" ht="15" hidden="false" customHeight="false" outlineLevel="0" collapsed="false">
      <c r="B91" s="38" t="s">
        <v>433</v>
      </c>
      <c r="C91" s="38" t="s">
        <v>411</v>
      </c>
      <c r="D91" s="38" t="s">
        <v>434</v>
      </c>
      <c r="E91" s="38"/>
    </row>
    <row r="92" customFormat="false" ht="15" hidden="false" customHeight="false" outlineLevel="0" collapsed="false">
      <c r="B92" s="38" t="s">
        <v>435</v>
      </c>
      <c r="C92" s="38" t="s">
        <v>411</v>
      </c>
      <c r="D92" s="38" t="s">
        <v>436</v>
      </c>
      <c r="E92" s="38"/>
    </row>
    <row r="93" customFormat="false" ht="15" hidden="false" customHeight="false" outlineLevel="0" collapsed="false">
      <c r="B93" s="38" t="s">
        <v>437</v>
      </c>
      <c r="C93" s="38" t="s">
        <v>411</v>
      </c>
      <c r="D93" s="38" t="s">
        <v>438</v>
      </c>
      <c r="E93" s="38"/>
    </row>
    <row r="94" customFormat="false" ht="15" hidden="false" customHeight="false" outlineLevel="0" collapsed="false">
      <c r="B94" s="38" t="s">
        <v>439</v>
      </c>
      <c r="C94" s="38" t="s">
        <v>411</v>
      </c>
      <c r="D94" s="38" t="s">
        <v>440</v>
      </c>
      <c r="E94" s="38"/>
    </row>
    <row r="95" customFormat="false" ht="15" hidden="false" customHeight="false" outlineLevel="0" collapsed="false">
      <c r="B95" s="38" t="s">
        <v>441</v>
      </c>
      <c r="C95" s="38" t="s">
        <v>411</v>
      </c>
      <c r="D95" s="38" t="s">
        <v>442</v>
      </c>
      <c r="E95" s="38"/>
    </row>
    <row r="96" customFormat="false" ht="15" hidden="false" customHeight="false" outlineLevel="0" collapsed="false">
      <c r="B96" s="38" t="s">
        <v>443</v>
      </c>
      <c r="C96" s="38" t="s">
        <v>411</v>
      </c>
      <c r="D96" s="38" t="s">
        <v>444</v>
      </c>
      <c r="E96" s="38"/>
    </row>
    <row r="97" customFormat="false" ht="15" hidden="false" customHeight="false" outlineLevel="0" collapsed="false">
      <c r="B97" s="38" t="s">
        <v>445</v>
      </c>
      <c r="C97" s="38" t="s">
        <v>411</v>
      </c>
      <c r="D97" s="38" t="s">
        <v>446</v>
      </c>
      <c r="E97" s="38"/>
    </row>
    <row r="98" customFormat="false" ht="15" hidden="false" customHeight="false" outlineLevel="0" collapsed="false">
      <c r="B98" s="38" t="s">
        <v>447</v>
      </c>
      <c r="C98" s="38" t="s">
        <v>411</v>
      </c>
      <c r="D98" s="38" t="s">
        <v>448</v>
      </c>
      <c r="E98" s="38"/>
    </row>
    <row r="99" customFormat="false" ht="15" hidden="false" customHeight="false" outlineLevel="0" collapsed="false">
      <c r="B99" s="38" t="s">
        <v>449</v>
      </c>
      <c r="C99" s="38" t="s">
        <v>411</v>
      </c>
      <c r="D99" s="38" t="s">
        <v>450</v>
      </c>
      <c r="E99" s="38"/>
    </row>
    <row r="100" customFormat="false" ht="15" hidden="false" customHeight="false" outlineLevel="0" collapsed="false">
      <c r="B100" s="38" t="s">
        <v>451</v>
      </c>
      <c r="C100" s="38" t="s">
        <v>411</v>
      </c>
      <c r="D100" s="38" t="s">
        <v>452</v>
      </c>
      <c r="E100" s="38"/>
    </row>
    <row r="101" customFormat="false" ht="15" hidden="false" customHeight="false" outlineLevel="0" collapsed="false">
      <c r="B101" s="38" t="s">
        <v>453</v>
      </c>
      <c r="C101" s="38" t="s">
        <v>411</v>
      </c>
      <c r="D101" s="38" t="s">
        <v>454</v>
      </c>
      <c r="E101" s="38"/>
    </row>
    <row r="102" customFormat="false" ht="15" hidden="false" customHeight="false" outlineLevel="0" collapsed="false">
      <c r="B102" s="38" t="s">
        <v>455</v>
      </c>
      <c r="C102" s="38" t="s">
        <v>411</v>
      </c>
      <c r="D102" s="38" t="s">
        <v>456</v>
      </c>
      <c r="E102" s="38"/>
    </row>
    <row r="103" customFormat="false" ht="15" hidden="false" customHeight="false" outlineLevel="0" collapsed="false">
      <c r="B103" s="38" t="s">
        <v>457</v>
      </c>
      <c r="C103" s="38" t="s">
        <v>411</v>
      </c>
      <c r="D103" s="38" t="s">
        <v>458</v>
      </c>
      <c r="E103" s="38"/>
    </row>
    <row r="104" customFormat="false" ht="15" hidden="false" customHeight="false" outlineLevel="0" collapsed="false">
      <c r="B104" s="38" t="s">
        <v>459</v>
      </c>
      <c r="C104" s="38" t="s">
        <v>411</v>
      </c>
      <c r="D104" s="38" t="s">
        <v>460</v>
      </c>
      <c r="E104" s="38"/>
    </row>
    <row r="105" customFormat="false" ht="15" hidden="false" customHeight="false" outlineLevel="0" collapsed="false">
      <c r="B105" s="38" t="s">
        <v>461</v>
      </c>
      <c r="C105" s="38" t="s">
        <v>411</v>
      </c>
      <c r="D105" s="38" t="s">
        <v>462</v>
      </c>
      <c r="E105" s="38"/>
    </row>
    <row r="106" customFormat="false" ht="15" hidden="false" customHeight="false" outlineLevel="0" collapsed="false">
      <c r="B106" s="38" t="s">
        <v>463</v>
      </c>
      <c r="C106" s="38" t="s">
        <v>411</v>
      </c>
      <c r="D106" s="38" t="s">
        <v>464</v>
      </c>
      <c r="E106" s="38"/>
    </row>
    <row r="107" customFormat="false" ht="15" hidden="false" customHeight="false" outlineLevel="0" collapsed="false">
      <c r="B107" s="38" t="s">
        <v>465</v>
      </c>
      <c r="C107" s="38" t="s">
        <v>411</v>
      </c>
      <c r="D107" s="38" t="s">
        <v>466</v>
      </c>
      <c r="E107" s="38"/>
    </row>
    <row r="108" customFormat="false" ht="15" hidden="false" customHeight="false" outlineLevel="0" collapsed="false">
      <c r="B108" s="38" t="s">
        <v>467</v>
      </c>
      <c r="C108" s="38" t="s">
        <v>468</v>
      </c>
      <c r="D108" s="38" t="s">
        <v>469</v>
      </c>
      <c r="E108" s="38" t="s">
        <v>470</v>
      </c>
    </row>
    <row r="109" customFormat="false" ht="15" hidden="false" customHeight="false" outlineLevel="0" collapsed="false">
      <c r="B109" s="38" t="s">
        <v>471</v>
      </c>
      <c r="C109" s="38" t="s">
        <v>468</v>
      </c>
      <c r="D109" s="38" t="s">
        <v>472</v>
      </c>
      <c r="E109" s="38" t="s">
        <v>473</v>
      </c>
    </row>
    <row r="110" customFormat="false" ht="15" hidden="false" customHeight="false" outlineLevel="0" collapsed="false">
      <c r="B110" s="38" t="s">
        <v>474</v>
      </c>
      <c r="C110" s="38" t="s">
        <v>468</v>
      </c>
      <c r="D110" s="38" t="s">
        <v>475</v>
      </c>
      <c r="E110" s="38" t="s">
        <v>476</v>
      </c>
    </row>
    <row r="111" customFormat="false" ht="15" hidden="false" customHeight="false" outlineLevel="0" collapsed="false">
      <c r="B111" s="38" t="s">
        <v>477</v>
      </c>
      <c r="C111" s="38" t="s">
        <v>468</v>
      </c>
      <c r="D111" s="38" t="s">
        <v>478</v>
      </c>
      <c r="E111" s="38" t="s">
        <v>479</v>
      </c>
    </row>
    <row r="112" customFormat="false" ht="15" hidden="false" customHeight="false" outlineLevel="0" collapsed="false">
      <c r="B112" s="38" t="s">
        <v>480</v>
      </c>
      <c r="C112" s="38" t="s">
        <v>468</v>
      </c>
      <c r="D112" s="38" t="s">
        <v>481</v>
      </c>
      <c r="E112" s="38" t="s">
        <v>482</v>
      </c>
    </row>
    <row r="113" customFormat="false" ht="15" hidden="false" customHeight="false" outlineLevel="0" collapsed="false">
      <c r="B113" s="38" t="s">
        <v>483</v>
      </c>
      <c r="C113" s="38" t="s">
        <v>484</v>
      </c>
      <c r="D113" s="38" t="s">
        <v>485</v>
      </c>
      <c r="E113" s="38" t="s">
        <v>486</v>
      </c>
    </row>
    <row r="114" customFormat="false" ht="15" hidden="false" customHeight="false" outlineLevel="0" collapsed="false">
      <c r="B114" s="38" t="s">
        <v>487</v>
      </c>
      <c r="C114" s="38" t="s">
        <v>484</v>
      </c>
      <c r="D114" s="38" t="s">
        <v>488</v>
      </c>
      <c r="E114" s="38" t="s">
        <v>489</v>
      </c>
    </row>
    <row r="115" customFormat="false" ht="15" hidden="false" customHeight="false" outlineLevel="0" collapsed="false">
      <c r="B115" s="38" t="s">
        <v>490</v>
      </c>
      <c r="C115" s="38" t="s">
        <v>484</v>
      </c>
      <c r="D115" s="38" t="s">
        <v>491</v>
      </c>
      <c r="E115" s="38" t="s">
        <v>492</v>
      </c>
    </row>
    <row r="116" customFormat="false" ht="15" hidden="false" customHeight="false" outlineLevel="0" collapsed="false">
      <c r="B116" s="38" t="s">
        <v>493</v>
      </c>
      <c r="C116" s="38" t="s">
        <v>484</v>
      </c>
      <c r="D116" s="38" t="s">
        <v>494</v>
      </c>
      <c r="E116" s="38" t="s">
        <v>495</v>
      </c>
    </row>
    <row r="117" customFormat="false" ht="15" hidden="false" customHeight="false" outlineLevel="0" collapsed="false">
      <c r="B117" s="38" t="s">
        <v>496</v>
      </c>
      <c r="C117" s="38" t="s">
        <v>484</v>
      </c>
      <c r="D117" s="38" t="s">
        <v>497</v>
      </c>
      <c r="E117" s="38" t="s">
        <v>498</v>
      </c>
    </row>
    <row r="118" customFormat="false" ht="15" hidden="false" customHeight="false" outlineLevel="0" collapsed="false">
      <c r="B118" s="38" t="s">
        <v>499</v>
      </c>
      <c r="C118" s="38" t="s">
        <v>484</v>
      </c>
      <c r="D118" s="38" t="s">
        <v>500</v>
      </c>
      <c r="E118" s="38" t="s">
        <v>501</v>
      </c>
    </row>
    <row r="119" customFormat="false" ht="15" hidden="false" customHeight="false" outlineLevel="0" collapsed="false">
      <c r="B119" s="38" t="s">
        <v>502</v>
      </c>
      <c r="C119" s="38" t="s">
        <v>484</v>
      </c>
      <c r="D119" s="38" t="s">
        <v>503</v>
      </c>
      <c r="E119" s="38" t="s">
        <v>504</v>
      </c>
    </row>
    <row r="120" customFormat="false" ht="15" hidden="false" customHeight="false" outlineLevel="0" collapsed="false">
      <c r="B120" s="38" t="s">
        <v>505</v>
      </c>
      <c r="C120" s="38" t="s">
        <v>484</v>
      </c>
      <c r="D120" s="38" t="s">
        <v>506</v>
      </c>
      <c r="E120" s="38" t="s">
        <v>507</v>
      </c>
    </row>
    <row r="121" customFormat="false" ht="15" hidden="false" customHeight="false" outlineLevel="0" collapsed="false">
      <c r="B121" s="38" t="s">
        <v>508</v>
      </c>
      <c r="C121" s="38" t="s">
        <v>484</v>
      </c>
      <c r="D121" s="38" t="s">
        <v>509</v>
      </c>
      <c r="E121" s="38" t="s">
        <v>510</v>
      </c>
    </row>
    <row r="122" customFormat="false" ht="15" hidden="false" customHeight="false" outlineLevel="0" collapsed="false">
      <c r="B122" s="38" t="s">
        <v>511</v>
      </c>
      <c r="C122" s="38" t="s">
        <v>484</v>
      </c>
      <c r="D122" s="38" t="s">
        <v>512</v>
      </c>
      <c r="E122" s="38" t="s">
        <v>513</v>
      </c>
    </row>
    <row r="123" customFormat="false" ht="15" hidden="false" customHeight="false" outlineLevel="0" collapsed="false">
      <c r="B123" s="38" t="s">
        <v>514</v>
      </c>
      <c r="C123" s="38" t="s">
        <v>484</v>
      </c>
      <c r="D123" s="38" t="s">
        <v>515</v>
      </c>
      <c r="E123" s="38" t="s">
        <v>516</v>
      </c>
    </row>
    <row r="124" customFormat="false" ht="15" hidden="false" customHeight="false" outlineLevel="0" collapsed="false">
      <c r="B124" s="38" t="s">
        <v>517</v>
      </c>
      <c r="C124" s="38" t="s">
        <v>484</v>
      </c>
      <c r="D124" s="38" t="s">
        <v>518</v>
      </c>
      <c r="E124" s="38" t="s">
        <v>122</v>
      </c>
    </row>
    <row r="125" customFormat="false" ht="15" hidden="false" customHeight="false" outlineLevel="0" collapsed="false">
      <c r="B125" s="38" t="s">
        <v>519</v>
      </c>
      <c r="C125" s="38" t="s">
        <v>484</v>
      </c>
      <c r="D125" s="38" t="s">
        <v>520</v>
      </c>
      <c r="E125" s="38" t="s">
        <v>521</v>
      </c>
    </row>
    <row r="126" customFormat="false" ht="15" hidden="false" customHeight="false" outlineLevel="0" collapsed="false">
      <c r="B126" s="38" t="s">
        <v>522</v>
      </c>
      <c r="C126" s="38" t="s">
        <v>484</v>
      </c>
      <c r="D126" s="38" t="s">
        <v>523</v>
      </c>
      <c r="E126" s="38" t="s">
        <v>524</v>
      </c>
    </row>
    <row r="127" customFormat="false" ht="15" hidden="false" customHeight="false" outlineLevel="0" collapsed="false">
      <c r="B127" s="38" t="s">
        <v>525</v>
      </c>
      <c r="C127" s="38" t="s">
        <v>484</v>
      </c>
      <c r="D127" s="38" t="s">
        <v>526</v>
      </c>
      <c r="E127" s="38" t="s">
        <v>527</v>
      </c>
    </row>
    <row r="128" customFormat="false" ht="15" hidden="false" customHeight="false" outlineLevel="0" collapsed="false">
      <c r="B128" s="38" t="s">
        <v>528</v>
      </c>
      <c r="C128" s="38" t="s">
        <v>484</v>
      </c>
      <c r="D128" s="38" t="s">
        <v>529</v>
      </c>
      <c r="E128" s="38" t="s">
        <v>530</v>
      </c>
    </row>
    <row r="129" customFormat="false" ht="15" hidden="false" customHeight="false" outlineLevel="0" collapsed="false">
      <c r="B129" s="38" t="s">
        <v>531</v>
      </c>
      <c r="C129" s="38" t="s">
        <v>484</v>
      </c>
      <c r="D129" s="38" t="s">
        <v>532</v>
      </c>
      <c r="E129" s="38" t="s">
        <v>533</v>
      </c>
    </row>
    <row r="130" customFormat="false" ht="15" hidden="false" customHeight="false" outlineLevel="0" collapsed="false">
      <c r="B130" s="38" t="s">
        <v>534</v>
      </c>
      <c r="C130" s="38" t="s">
        <v>484</v>
      </c>
      <c r="D130" s="38" t="s">
        <v>535</v>
      </c>
      <c r="E130" s="38" t="s">
        <v>536</v>
      </c>
    </row>
    <row r="131" customFormat="false" ht="15" hidden="false" customHeight="false" outlineLevel="0" collapsed="false">
      <c r="B131" s="38" t="s">
        <v>537</v>
      </c>
      <c r="C131" s="38" t="s">
        <v>484</v>
      </c>
      <c r="D131" s="38" t="s">
        <v>538</v>
      </c>
      <c r="E131" s="38" t="s">
        <v>539</v>
      </c>
    </row>
    <row r="132" customFormat="false" ht="15" hidden="false" customHeight="false" outlineLevel="0" collapsed="false">
      <c r="B132" s="38" t="s">
        <v>540</v>
      </c>
      <c r="C132" s="38" t="s">
        <v>484</v>
      </c>
      <c r="D132" s="38" t="s">
        <v>541</v>
      </c>
      <c r="E132" s="38" t="s">
        <v>542</v>
      </c>
    </row>
    <row r="133" customFormat="false" ht="15" hidden="false" customHeight="false" outlineLevel="0" collapsed="false">
      <c r="B133" s="38" t="s">
        <v>543</v>
      </c>
      <c r="C133" s="38" t="s">
        <v>484</v>
      </c>
      <c r="D133" s="38" t="s">
        <v>544</v>
      </c>
      <c r="E133" s="38" t="s">
        <v>545</v>
      </c>
    </row>
    <row r="134" customFormat="false" ht="15" hidden="false" customHeight="false" outlineLevel="0" collapsed="false">
      <c r="B134" s="38" t="s">
        <v>546</v>
      </c>
      <c r="C134" s="38" t="s">
        <v>484</v>
      </c>
      <c r="D134" s="38" t="s">
        <v>547</v>
      </c>
      <c r="E134" s="38" t="s">
        <v>548</v>
      </c>
    </row>
    <row r="135" customFormat="false" ht="15" hidden="false" customHeight="false" outlineLevel="0" collapsed="false">
      <c r="B135" s="38" t="s">
        <v>549</v>
      </c>
      <c r="C135" s="38" t="s">
        <v>484</v>
      </c>
      <c r="D135" s="38" t="s">
        <v>550</v>
      </c>
      <c r="E135" s="38" t="s">
        <v>551</v>
      </c>
    </row>
    <row r="136" customFormat="false" ht="15" hidden="false" customHeight="false" outlineLevel="0" collapsed="false">
      <c r="B136" s="38" t="s">
        <v>552</v>
      </c>
      <c r="C136" s="38" t="s">
        <v>484</v>
      </c>
      <c r="D136" s="38" t="s">
        <v>553</v>
      </c>
      <c r="E136" s="38" t="s">
        <v>554</v>
      </c>
    </row>
    <row r="137" customFormat="false" ht="15" hidden="false" customHeight="false" outlineLevel="0" collapsed="false">
      <c r="B137" s="38" t="s">
        <v>555</v>
      </c>
      <c r="C137" s="38" t="s">
        <v>484</v>
      </c>
      <c r="D137" s="38" t="s">
        <v>556</v>
      </c>
      <c r="E137" s="38" t="s">
        <v>557</v>
      </c>
    </row>
    <row r="138" customFormat="false" ht="15" hidden="false" customHeight="false" outlineLevel="0" collapsed="false">
      <c r="B138" s="38" t="s">
        <v>558</v>
      </c>
      <c r="C138" s="38" t="s">
        <v>484</v>
      </c>
      <c r="D138" s="38" t="s">
        <v>559</v>
      </c>
      <c r="E138" s="38" t="s">
        <v>560</v>
      </c>
    </row>
    <row r="139" customFormat="false" ht="15" hidden="false" customHeight="false" outlineLevel="0" collapsed="false">
      <c r="B139" s="38" t="s">
        <v>561</v>
      </c>
      <c r="C139" s="38" t="s">
        <v>484</v>
      </c>
      <c r="D139" s="38" t="s">
        <v>562</v>
      </c>
      <c r="E139" s="38" t="s">
        <v>563</v>
      </c>
    </row>
    <row r="140" customFormat="false" ht="15" hidden="false" customHeight="false" outlineLevel="0" collapsed="false">
      <c r="B140" s="38" t="s">
        <v>564</v>
      </c>
      <c r="C140" s="38" t="s">
        <v>484</v>
      </c>
      <c r="D140" s="38" t="s">
        <v>565</v>
      </c>
      <c r="E140" s="38" t="s">
        <v>566</v>
      </c>
    </row>
    <row r="141" customFormat="false" ht="15" hidden="false" customHeight="false" outlineLevel="0" collapsed="false">
      <c r="B141" s="38" t="s">
        <v>567</v>
      </c>
      <c r="C141" s="38" t="s">
        <v>484</v>
      </c>
      <c r="D141" s="38" t="s">
        <v>568</v>
      </c>
      <c r="E141" s="38" t="s">
        <v>569</v>
      </c>
    </row>
    <row r="142" customFormat="false" ht="15" hidden="false" customHeight="false" outlineLevel="0" collapsed="false">
      <c r="B142" s="38" t="s">
        <v>570</v>
      </c>
      <c r="C142" s="38" t="s">
        <v>484</v>
      </c>
      <c r="D142" s="38" t="s">
        <v>571</v>
      </c>
      <c r="E142" s="38" t="s">
        <v>572</v>
      </c>
    </row>
    <row r="143" customFormat="false" ht="15" hidden="false" customHeight="false" outlineLevel="0" collapsed="false">
      <c r="B143" s="38" t="s">
        <v>573</v>
      </c>
      <c r="C143" s="38" t="s">
        <v>484</v>
      </c>
      <c r="D143" s="38" t="s">
        <v>574</v>
      </c>
      <c r="E143" s="38" t="s">
        <v>575</v>
      </c>
    </row>
    <row r="144" customFormat="false" ht="15" hidden="false" customHeight="false" outlineLevel="0" collapsed="false">
      <c r="B144" s="38" t="s">
        <v>576</v>
      </c>
      <c r="C144" s="38" t="s">
        <v>484</v>
      </c>
      <c r="D144" s="38" t="s">
        <v>577</v>
      </c>
      <c r="E144" s="38" t="s">
        <v>578</v>
      </c>
    </row>
    <row r="145" customFormat="false" ht="15" hidden="false" customHeight="false" outlineLevel="0" collapsed="false">
      <c r="B145" s="38" t="s">
        <v>579</v>
      </c>
      <c r="C145" s="38" t="s">
        <v>484</v>
      </c>
      <c r="D145" s="38" t="s">
        <v>580</v>
      </c>
      <c r="E145" s="38" t="s">
        <v>581</v>
      </c>
    </row>
    <row r="146" customFormat="false" ht="15" hidden="false" customHeight="false" outlineLevel="0" collapsed="false">
      <c r="B146" s="38" t="s">
        <v>582</v>
      </c>
      <c r="C146" s="38" t="s">
        <v>484</v>
      </c>
      <c r="D146" s="38" t="s">
        <v>583</v>
      </c>
      <c r="E146" s="38" t="s">
        <v>584</v>
      </c>
    </row>
    <row r="147" customFormat="false" ht="15" hidden="false" customHeight="false" outlineLevel="0" collapsed="false">
      <c r="B147" s="38" t="s">
        <v>585</v>
      </c>
      <c r="C147" s="38" t="s">
        <v>484</v>
      </c>
      <c r="D147" s="38" t="s">
        <v>586</v>
      </c>
      <c r="E147" s="38" t="s">
        <v>587</v>
      </c>
    </row>
    <row r="148" customFormat="false" ht="15" hidden="false" customHeight="false" outlineLevel="0" collapsed="false">
      <c r="B148" s="38" t="s">
        <v>588</v>
      </c>
      <c r="C148" s="38" t="s">
        <v>484</v>
      </c>
      <c r="D148" s="38" t="s">
        <v>589</v>
      </c>
      <c r="E148" s="38" t="s">
        <v>590</v>
      </c>
    </row>
    <row r="149" customFormat="false" ht="15" hidden="false" customHeight="false" outlineLevel="0" collapsed="false">
      <c r="B149" s="38" t="s">
        <v>591</v>
      </c>
      <c r="C149" s="38" t="s">
        <v>484</v>
      </c>
      <c r="D149" s="38" t="s">
        <v>592</v>
      </c>
      <c r="E149" s="38" t="s">
        <v>593</v>
      </c>
    </row>
    <row r="150" customFormat="false" ht="15" hidden="false" customHeight="false" outlineLevel="0" collapsed="false">
      <c r="B150" s="38" t="s">
        <v>594</v>
      </c>
      <c r="C150" s="38" t="s">
        <v>484</v>
      </c>
      <c r="D150" s="38" t="s">
        <v>595</v>
      </c>
      <c r="E150" s="38" t="s">
        <v>596</v>
      </c>
    </row>
    <row r="151" customFormat="false" ht="15" hidden="false" customHeight="false" outlineLevel="0" collapsed="false">
      <c r="B151" s="38" t="s">
        <v>597</v>
      </c>
      <c r="C151" s="38" t="s">
        <v>484</v>
      </c>
      <c r="D151" s="38" t="s">
        <v>598</v>
      </c>
      <c r="E151" s="38" t="s">
        <v>599</v>
      </c>
    </row>
    <row r="152" customFormat="false" ht="15" hidden="false" customHeight="false" outlineLevel="0" collapsed="false">
      <c r="B152" s="38" t="s">
        <v>600</v>
      </c>
      <c r="C152" s="38" t="s">
        <v>484</v>
      </c>
      <c r="D152" s="38" t="s">
        <v>601</v>
      </c>
      <c r="E152" s="38" t="s">
        <v>602</v>
      </c>
    </row>
    <row r="153" customFormat="false" ht="15" hidden="false" customHeight="false" outlineLevel="0" collapsed="false">
      <c r="B153" s="38" t="s">
        <v>603</v>
      </c>
      <c r="C153" s="38" t="s">
        <v>484</v>
      </c>
      <c r="D153" s="38" t="s">
        <v>604</v>
      </c>
      <c r="E153" s="38" t="s">
        <v>605</v>
      </c>
    </row>
    <row r="154" customFormat="false" ht="15" hidden="false" customHeight="false" outlineLevel="0" collapsed="false">
      <c r="B154" s="38" t="s">
        <v>606</v>
      </c>
      <c r="C154" s="38" t="s">
        <v>484</v>
      </c>
      <c r="D154" s="38" t="s">
        <v>607</v>
      </c>
      <c r="E154" s="38" t="s">
        <v>608</v>
      </c>
    </row>
    <row r="155" customFormat="false" ht="15" hidden="false" customHeight="false" outlineLevel="0" collapsed="false">
      <c r="B155" s="38" t="s">
        <v>609</v>
      </c>
      <c r="C155" s="38" t="s">
        <v>484</v>
      </c>
      <c r="D155" s="38" t="s">
        <v>610</v>
      </c>
      <c r="E155" s="38" t="s">
        <v>611</v>
      </c>
    </row>
    <row r="156" customFormat="false" ht="15" hidden="false" customHeight="false" outlineLevel="0" collapsed="false">
      <c r="B156" s="38" t="s">
        <v>612</v>
      </c>
      <c r="C156" s="38" t="s">
        <v>484</v>
      </c>
      <c r="D156" s="38" t="s">
        <v>613</v>
      </c>
      <c r="E156" s="38" t="s">
        <v>614</v>
      </c>
    </row>
    <row r="157" customFormat="false" ht="15" hidden="false" customHeight="false" outlineLevel="0" collapsed="false">
      <c r="B157" s="38" t="s">
        <v>615</v>
      </c>
      <c r="C157" s="38" t="s">
        <v>484</v>
      </c>
      <c r="D157" s="38" t="s">
        <v>616</v>
      </c>
      <c r="E157" s="38" t="s">
        <v>617</v>
      </c>
    </row>
    <row r="158" customFormat="false" ht="15" hidden="false" customHeight="false" outlineLevel="0" collapsed="false">
      <c r="B158" s="38" t="s">
        <v>618</v>
      </c>
      <c r="C158" s="38" t="s">
        <v>484</v>
      </c>
      <c r="D158" s="38" t="s">
        <v>619</v>
      </c>
      <c r="E158" s="38" t="s">
        <v>620</v>
      </c>
    </row>
    <row r="159" customFormat="false" ht="15" hidden="false" customHeight="false" outlineLevel="0" collapsed="false">
      <c r="B159" s="38" t="s">
        <v>621</v>
      </c>
      <c r="C159" s="38" t="s">
        <v>484</v>
      </c>
      <c r="D159" s="38" t="s">
        <v>622</v>
      </c>
      <c r="E159" s="38" t="s">
        <v>623</v>
      </c>
    </row>
    <row r="160" customFormat="false" ht="15" hidden="false" customHeight="false" outlineLevel="0" collapsed="false">
      <c r="B160" s="38" t="s">
        <v>624</v>
      </c>
      <c r="C160" s="38" t="s">
        <v>484</v>
      </c>
      <c r="D160" s="38" t="s">
        <v>625</v>
      </c>
      <c r="E160" s="38" t="s">
        <v>626</v>
      </c>
    </row>
    <row r="161" customFormat="false" ht="15" hidden="false" customHeight="false" outlineLevel="0" collapsed="false">
      <c r="B161" s="38" t="s">
        <v>627</v>
      </c>
      <c r="C161" s="38" t="s">
        <v>484</v>
      </c>
      <c r="D161" s="38" t="s">
        <v>628</v>
      </c>
      <c r="E161" s="38" t="s">
        <v>629</v>
      </c>
    </row>
    <row r="162" customFormat="false" ht="15" hidden="false" customHeight="false" outlineLevel="0" collapsed="false">
      <c r="B162" s="38" t="s">
        <v>630</v>
      </c>
      <c r="C162" s="38" t="s">
        <v>484</v>
      </c>
      <c r="D162" s="38" t="s">
        <v>631</v>
      </c>
      <c r="E162" s="38" t="s">
        <v>632</v>
      </c>
    </row>
    <row r="163" customFormat="false" ht="15" hidden="false" customHeight="false" outlineLevel="0" collapsed="false">
      <c r="B163" s="38" t="s">
        <v>633</v>
      </c>
      <c r="C163" s="38" t="s">
        <v>484</v>
      </c>
      <c r="D163" s="38" t="s">
        <v>634</v>
      </c>
      <c r="E163" s="38" t="s">
        <v>635</v>
      </c>
    </row>
    <row r="164" customFormat="false" ht="15" hidden="false" customHeight="false" outlineLevel="0" collapsed="false">
      <c r="B164" s="38" t="s">
        <v>636</v>
      </c>
      <c r="C164" s="38" t="s">
        <v>484</v>
      </c>
      <c r="D164" s="38" t="s">
        <v>637</v>
      </c>
      <c r="E164" s="38" t="s">
        <v>638</v>
      </c>
    </row>
    <row r="165" customFormat="false" ht="15" hidden="false" customHeight="false" outlineLevel="0" collapsed="false">
      <c r="B165" s="38" t="s">
        <v>639</v>
      </c>
      <c r="C165" s="38" t="s">
        <v>484</v>
      </c>
      <c r="D165" s="38" t="s">
        <v>640</v>
      </c>
      <c r="E165" s="38" t="s">
        <v>641</v>
      </c>
    </row>
    <row r="166" customFormat="false" ht="15" hidden="false" customHeight="false" outlineLevel="0" collapsed="false">
      <c r="B166" s="38" t="s">
        <v>642</v>
      </c>
      <c r="C166" s="38" t="s">
        <v>484</v>
      </c>
      <c r="D166" s="38" t="s">
        <v>643</v>
      </c>
      <c r="E166" s="38" t="s">
        <v>644</v>
      </c>
    </row>
    <row r="167" customFormat="false" ht="15" hidden="false" customHeight="false" outlineLevel="0" collapsed="false">
      <c r="B167" s="38" t="s">
        <v>645</v>
      </c>
      <c r="C167" s="38" t="s">
        <v>484</v>
      </c>
      <c r="D167" s="38" t="s">
        <v>646</v>
      </c>
      <c r="E167" s="38" t="s">
        <v>647</v>
      </c>
    </row>
    <row r="168" customFormat="false" ht="15" hidden="false" customHeight="false" outlineLevel="0" collapsed="false">
      <c r="B168" s="38" t="s">
        <v>648</v>
      </c>
      <c r="C168" s="38" t="s">
        <v>484</v>
      </c>
      <c r="D168" s="38" t="s">
        <v>649</v>
      </c>
      <c r="E168" s="38" t="s">
        <v>650</v>
      </c>
    </row>
    <row r="169" customFormat="false" ht="15" hidden="false" customHeight="false" outlineLevel="0" collapsed="false">
      <c r="B169" s="38" t="s">
        <v>651</v>
      </c>
      <c r="C169" s="38" t="s">
        <v>484</v>
      </c>
      <c r="D169" s="38" t="s">
        <v>652</v>
      </c>
      <c r="E169" s="38" t="s">
        <v>653</v>
      </c>
    </row>
    <row r="170" customFormat="false" ht="15" hidden="false" customHeight="false" outlineLevel="0" collapsed="false">
      <c r="B170" s="38" t="s">
        <v>654</v>
      </c>
      <c r="C170" s="38" t="s">
        <v>484</v>
      </c>
      <c r="D170" s="38" t="s">
        <v>655</v>
      </c>
      <c r="E170" s="38" t="s">
        <v>656</v>
      </c>
    </row>
    <row r="171" customFormat="false" ht="15" hidden="false" customHeight="false" outlineLevel="0" collapsed="false">
      <c r="B171" s="38" t="s">
        <v>657</v>
      </c>
      <c r="C171" s="38" t="s">
        <v>484</v>
      </c>
      <c r="D171" s="38" t="s">
        <v>658</v>
      </c>
      <c r="E171" s="38" t="s">
        <v>659</v>
      </c>
    </row>
    <row r="172" customFormat="false" ht="15" hidden="false" customHeight="false" outlineLevel="0" collapsed="false">
      <c r="B172" s="38" t="s">
        <v>660</v>
      </c>
      <c r="C172" s="38" t="s">
        <v>484</v>
      </c>
      <c r="D172" s="38" t="s">
        <v>661</v>
      </c>
      <c r="E172" s="38" t="s">
        <v>662</v>
      </c>
    </row>
    <row r="173" customFormat="false" ht="15" hidden="false" customHeight="false" outlineLevel="0" collapsed="false">
      <c r="B173" s="38" t="s">
        <v>663</v>
      </c>
      <c r="C173" s="38" t="s">
        <v>484</v>
      </c>
      <c r="D173" s="38" t="s">
        <v>664</v>
      </c>
      <c r="E173" s="38" t="s">
        <v>665</v>
      </c>
    </row>
    <row r="174" customFormat="false" ht="15" hidden="false" customHeight="false" outlineLevel="0" collapsed="false">
      <c r="B174" s="38" t="s">
        <v>666</v>
      </c>
      <c r="C174" s="38" t="s">
        <v>484</v>
      </c>
      <c r="D174" s="38" t="s">
        <v>667</v>
      </c>
      <c r="E174" s="38" t="s">
        <v>668</v>
      </c>
    </row>
    <row r="175" customFormat="false" ht="15" hidden="false" customHeight="false" outlineLevel="0" collapsed="false">
      <c r="B175" s="38" t="s">
        <v>669</v>
      </c>
      <c r="C175" s="38" t="s">
        <v>484</v>
      </c>
      <c r="D175" s="38" t="s">
        <v>670</v>
      </c>
      <c r="E175" s="38" t="s">
        <v>671</v>
      </c>
    </row>
    <row r="176" customFormat="false" ht="15" hidden="false" customHeight="false" outlineLevel="0" collapsed="false">
      <c r="B176" s="38" t="s">
        <v>672</v>
      </c>
      <c r="C176" s="38" t="s">
        <v>484</v>
      </c>
      <c r="D176" s="38" t="s">
        <v>673</v>
      </c>
      <c r="E176" s="38" t="s">
        <v>674</v>
      </c>
    </row>
    <row r="177" customFormat="false" ht="15" hidden="false" customHeight="false" outlineLevel="0" collapsed="false">
      <c r="B177" s="38" t="s">
        <v>675</v>
      </c>
      <c r="C177" s="38" t="s">
        <v>484</v>
      </c>
      <c r="D177" s="38" t="s">
        <v>676</v>
      </c>
      <c r="E177" s="38" t="s">
        <v>677</v>
      </c>
    </row>
    <row r="178" customFormat="false" ht="15" hidden="false" customHeight="false" outlineLevel="0" collapsed="false">
      <c r="B178" s="38" t="s">
        <v>678</v>
      </c>
      <c r="C178" s="38" t="s">
        <v>484</v>
      </c>
      <c r="D178" s="38" t="s">
        <v>679</v>
      </c>
      <c r="E178" s="38" t="s">
        <v>680</v>
      </c>
    </row>
    <row r="179" customFormat="false" ht="15" hidden="false" customHeight="false" outlineLevel="0" collapsed="false">
      <c r="B179" s="38" t="s">
        <v>681</v>
      </c>
      <c r="C179" s="38" t="s">
        <v>484</v>
      </c>
      <c r="D179" s="38" t="s">
        <v>682</v>
      </c>
      <c r="E179" s="38" t="s">
        <v>683</v>
      </c>
    </row>
    <row r="180" customFormat="false" ht="15" hidden="false" customHeight="false" outlineLevel="0" collapsed="false">
      <c r="B180" s="38" t="s">
        <v>684</v>
      </c>
      <c r="C180" s="38" t="s">
        <v>484</v>
      </c>
      <c r="D180" s="38" t="s">
        <v>685</v>
      </c>
      <c r="E180" s="38" t="s">
        <v>686</v>
      </c>
    </row>
    <row r="181" customFormat="false" ht="15" hidden="false" customHeight="false" outlineLevel="0" collapsed="false">
      <c r="B181" s="38" t="s">
        <v>687</v>
      </c>
      <c r="C181" s="38" t="s">
        <v>484</v>
      </c>
      <c r="D181" s="38" t="s">
        <v>688</v>
      </c>
      <c r="E181" s="38" t="s">
        <v>689</v>
      </c>
    </row>
    <row r="182" customFormat="false" ht="15" hidden="false" customHeight="false" outlineLevel="0" collapsed="false">
      <c r="B182" s="38" t="s">
        <v>690</v>
      </c>
      <c r="C182" s="38" t="s">
        <v>484</v>
      </c>
      <c r="D182" s="38" t="s">
        <v>691</v>
      </c>
      <c r="E182" s="38" t="s">
        <v>692</v>
      </c>
    </row>
    <row r="183" customFormat="false" ht="15" hidden="false" customHeight="false" outlineLevel="0" collapsed="false">
      <c r="B183" s="38" t="s">
        <v>693</v>
      </c>
      <c r="C183" s="38" t="s">
        <v>484</v>
      </c>
      <c r="D183" s="38" t="s">
        <v>694</v>
      </c>
      <c r="E183" s="38" t="s">
        <v>695</v>
      </c>
    </row>
    <row r="184" customFormat="false" ht="15" hidden="false" customHeight="false" outlineLevel="0" collapsed="false">
      <c r="B184" s="38" t="s">
        <v>696</v>
      </c>
      <c r="C184" s="38" t="s">
        <v>484</v>
      </c>
      <c r="D184" s="38" t="s">
        <v>697</v>
      </c>
      <c r="E184" s="38" t="s">
        <v>698</v>
      </c>
    </row>
    <row r="185" customFormat="false" ht="15" hidden="false" customHeight="false" outlineLevel="0" collapsed="false">
      <c r="B185" s="38" t="s">
        <v>699</v>
      </c>
      <c r="C185" s="38" t="s">
        <v>484</v>
      </c>
      <c r="D185" s="38" t="s">
        <v>700</v>
      </c>
      <c r="E185" s="38" t="s">
        <v>701</v>
      </c>
    </row>
    <row r="186" customFormat="false" ht="15" hidden="false" customHeight="false" outlineLevel="0" collapsed="false">
      <c r="B186" s="38" t="s">
        <v>702</v>
      </c>
      <c r="C186" s="38" t="s">
        <v>484</v>
      </c>
      <c r="D186" s="38" t="s">
        <v>703</v>
      </c>
      <c r="E186" s="38" t="s">
        <v>704</v>
      </c>
    </row>
    <row r="187" customFormat="false" ht="15" hidden="false" customHeight="false" outlineLevel="0" collapsed="false">
      <c r="B187" s="38" t="s">
        <v>705</v>
      </c>
      <c r="C187" s="38" t="s">
        <v>484</v>
      </c>
      <c r="D187" s="38" t="s">
        <v>706</v>
      </c>
      <c r="E187" s="38" t="s">
        <v>707</v>
      </c>
    </row>
    <row r="188" customFormat="false" ht="15" hidden="false" customHeight="false" outlineLevel="0" collapsed="false">
      <c r="B188" s="38" t="s">
        <v>708</v>
      </c>
      <c r="C188" s="38" t="s">
        <v>484</v>
      </c>
      <c r="D188" s="38" t="s">
        <v>709</v>
      </c>
      <c r="E188" s="38" t="s">
        <v>710</v>
      </c>
    </row>
    <row r="189" customFormat="false" ht="15" hidden="false" customHeight="false" outlineLevel="0" collapsed="false">
      <c r="B189" s="38" t="s">
        <v>711</v>
      </c>
      <c r="C189" s="38" t="s">
        <v>484</v>
      </c>
      <c r="D189" s="38" t="s">
        <v>712</v>
      </c>
      <c r="E189" s="38" t="s">
        <v>137</v>
      </c>
    </row>
    <row r="190" customFormat="false" ht="15" hidden="false" customHeight="false" outlineLevel="0" collapsed="false">
      <c r="B190" s="38" t="s">
        <v>713</v>
      </c>
      <c r="C190" s="38" t="s">
        <v>484</v>
      </c>
      <c r="D190" s="38" t="s">
        <v>714</v>
      </c>
      <c r="E190" s="38" t="s">
        <v>715</v>
      </c>
    </row>
    <row r="191" customFormat="false" ht="15" hidden="false" customHeight="false" outlineLevel="0" collapsed="false">
      <c r="B191" s="38" t="s">
        <v>716</v>
      </c>
      <c r="C191" s="38" t="s">
        <v>484</v>
      </c>
      <c r="D191" s="38" t="s">
        <v>717</v>
      </c>
      <c r="E191" s="38" t="s">
        <v>718</v>
      </c>
    </row>
    <row r="192" customFormat="false" ht="15" hidden="false" customHeight="false" outlineLevel="0" collapsed="false">
      <c r="B192" s="38" t="s">
        <v>719</v>
      </c>
      <c r="C192" s="38" t="s">
        <v>484</v>
      </c>
      <c r="D192" s="38" t="s">
        <v>720</v>
      </c>
      <c r="E192" s="38" t="s">
        <v>721</v>
      </c>
    </row>
    <row r="193" customFormat="false" ht="15" hidden="false" customHeight="false" outlineLevel="0" collapsed="false">
      <c r="B193" s="38" t="s">
        <v>722</v>
      </c>
      <c r="C193" s="38" t="s">
        <v>484</v>
      </c>
      <c r="D193" s="38" t="s">
        <v>723</v>
      </c>
      <c r="E193" s="38" t="s">
        <v>724</v>
      </c>
    </row>
    <row r="194" customFormat="false" ht="15" hidden="false" customHeight="false" outlineLevel="0" collapsed="false">
      <c r="B194" s="38" t="s">
        <v>725</v>
      </c>
      <c r="C194" s="38" t="s">
        <v>484</v>
      </c>
      <c r="D194" s="38" t="s">
        <v>726</v>
      </c>
      <c r="E194" s="38" t="s">
        <v>727</v>
      </c>
    </row>
    <row r="195" customFormat="false" ht="15" hidden="false" customHeight="false" outlineLevel="0" collapsed="false">
      <c r="B195" s="38" t="s">
        <v>728</v>
      </c>
      <c r="C195" s="38" t="s">
        <v>484</v>
      </c>
      <c r="D195" s="38" t="s">
        <v>729</v>
      </c>
      <c r="E195" s="38" t="s">
        <v>730</v>
      </c>
    </row>
    <row r="196" customFormat="false" ht="15" hidden="false" customHeight="false" outlineLevel="0" collapsed="false">
      <c r="B196" s="38" t="s">
        <v>731</v>
      </c>
      <c r="C196" s="38" t="s">
        <v>484</v>
      </c>
      <c r="D196" s="38" t="s">
        <v>732</v>
      </c>
      <c r="E196" s="38" t="s">
        <v>733</v>
      </c>
    </row>
    <row r="197" customFormat="false" ht="15" hidden="false" customHeight="false" outlineLevel="0" collapsed="false">
      <c r="B197" s="38" t="s">
        <v>734</v>
      </c>
      <c r="C197" s="38" t="s">
        <v>484</v>
      </c>
      <c r="D197" s="38" t="s">
        <v>735</v>
      </c>
      <c r="E197" s="38" t="s">
        <v>736</v>
      </c>
    </row>
    <row r="198" customFormat="false" ht="15" hidden="false" customHeight="false" outlineLevel="0" collapsed="false">
      <c r="B198" s="38" t="s">
        <v>737</v>
      </c>
      <c r="C198" s="38" t="s">
        <v>484</v>
      </c>
      <c r="D198" s="38" t="s">
        <v>738</v>
      </c>
      <c r="E198" s="38" t="s">
        <v>739</v>
      </c>
    </row>
    <row r="199" customFormat="false" ht="15" hidden="false" customHeight="false" outlineLevel="0" collapsed="false">
      <c r="B199" s="38" t="s">
        <v>740</v>
      </c>
      <c r="C199" s="38" t="s">
        <v>484</v>
      </c>
      <c r="D199" s="38" t="s">
        <v>741</v>
      </c>
      <c r="E199" s="38" t="s">
        <v>742</v>
      </c>
    </row>
    <row r="200" customFormat="false" ht="15" hidden="false" customHeight="false" outlineLevel="0" collapsed="false">
      <c r="B200" s="38" t="s">
        <v>743</v>
      </c>
      <c r="C200" s="38" t="s">
        <v>484</v>
      </c>
      <c r="D200" s="38" t="s">
        <v>744</v>
      </c>
      <c r="E200" s="38" t="s">
        <v>745</v>
      </c>
    </row>
    <row r="201" customFormat="false" ht="15" hidden="false" customHeight="false" outlineLevel="0" collapsed="false">
      <c r="B201" s="38" t="s">
        <v>746</v>
      </c>
      <c r="C201" s="38" t="s">
        <v>484</v>
      </c>
      <c r="D201" s="38" t="s">
        <v>747</v>
      </c>
      <c r="E201" s="38" t="s">
        <v>748</v>
      </c>
    </row>
    <row r="202" customFormat="false" ht="15" hidden="false" customHeight="false" outlineLevel="0" collapsed="false">
      <c r="B202" s="38" t="s">
        <v>749</v>
      </c>
      <c r="C202" s="38" t="s">
        <v>484</v>
      </c>
      <c r="D202" s="38" t="s">
        <v>750</v>
      </c>
      <c r="E202" s="178" t="s">
        <v>751</v>
      </c>
    </row>
    <row r="203" customFormat="false" ht="15" hidden="false" customHeight="false" outlineLevel="0" collapsed="false">
      <c r="B203" s="38" t="s">
        <v>752</v>
      </c>
      <c r="C203" s="38" t="s">
        <v>484</v>
      </c>
      <c r="D203" s="38" t="s">
        <v>753</v>
      </c>
      <c r="E203" s="178" t="s">
        <v>754</v>
      </c>
    </row>
    <row r="204" customFormat="false" ht="15" hidden="false" customHeight="false" outlineLevel="0" collapsed="false">
      <c r="B204" s="38" t="s">
        <v>755</v>
      </c>
      <c r="C204" s="38" t="s">
        <v>756</v>
      </c>
      <c r="D204" s="38" t="s">
        <v>757</v>
      </c>
      <c r="E204" s="178" t="s">
        <v>758</v>
      </c>
    </row>
    <row r="205" customFormat="false" ht="15" hidden="false" customHeight="false" outlineLevel="0" collapsed="false">
      <c r="B205" s="38" t="s">
        <v>759</v>
      </c>
      <c r="C205" s="38" t="s">
        <v>756</v>
      </c>
      <c r="D205" s="38" t="s">
        <v>760</v>
      </c>
      <c r="E205" s="38" t="s">
        <v>761</v>
      </c>
    </row>
    <row r="206" customFormat="false" ht="15" hidden="false" customHeight="false" outlineLevel="0" collapsed="false">
      <c r="B206" s="38" t="s">
        <v>762</v>
      </c>
      <c r="C206" s="38" t="s">
        <v>756</v>
      </c>
      <c r="D206" s="38" t="s">
        <v>763</v>
      </c>
      <c r="E206" s="38" t="s">
        <v>764</v>
      </c>
    </row>
    <row r="207" customFormat="false" ht="15" hidden="false" customHeight="false" outlineLevel="0" collapsed="false">
      <c r="B207" s="38" t="s">
        <v>765</v>
      </c>
      <c r="C207" s="38" t="s">
        <v>756</v>
      </c>
      <c r="D207" s="38" t="s">
        <v>766</v>
      </c>
      <c r="E207" s="38" t="s">
        <v>767</v>
      </c>
    </row>
    <row r="208" customFormat="false" ht="15" hidden="false" customHeight="false" outlineLevel="0" collapsed="false">
      <c r="B208" s="38" t="s">
        <v>768</v>
      </c>
      <c r="C208" s="38" t="s">
        <v>756</v>
      </c>
      <c r="D208" s="38" t="s">
        <v>769</v>
      </c>
      <c r="E208" s="38" t="s">
        <v>39</v>
      </c>
    </row>
    <row r="209" customFormat="false" ht="15" hidden="false" customHeight="false" outlineLevel="0" collapsed="false">
      <c r="B209" s="38" t="s">
        <v>770</v>
      </c>
      <c r="C209" s="38" t="s">
        <v>484</v>
      </c>
      <c r="D209" s="38" t="s">
        <v>771</v>
      </c>
      <c r="E209" s="38" t="s">
        <v>772</v>
      </c>
    </row>
    <row r="210" customFormat="false" ht="15" hidden="false" customHeight="false" outlineLevel="0" collapsed="false">
      <c r="B210" s="38" t="s">
        <v>773</v>
      </c>
      <c r="C210" s="38" t="s">
        <v>484</v>
      </c>
      <c r="D210" s="38" t="s">
        <v>774</v>
      </c>
      <c r="E210" s="38" t="s">
        <v>775</v>
      </c>
    </row>
    <row r="211" customFormat="false" ht="15" hidden="false" customHeight="false" outlineLevel="0" collapsed="false">
      <c r="B211" s="38" t="s">
        <v>776</v>
      </c>
      <c r="C211" s="38" t="s">
        <v>484</v>
      </c>
      <c r="D211" s="38" t="s">
        <v>777</v>
      </c>
      <c r="E211" s="38" t="s">
        <v>778</v>
      </c>
    </row>
    <row r="212" customFormat="false" ht="15" hidden="false" customHeight="false" outlineLevel="0" collapsed="false">
      <c r="B212" s="38" t="s">
        <v>779</v>
      </c>
      <c r="C212" s="38" t="s">
        <v>484</v>
      </c>
      <c r="D212" s="38" t="s">
        <v>780</v>
      </c>
      <c r="E212" s="38" t="s">
        <v>781</v>
      </c>
    </row>
    <row r="213" customFormat="false" ht="15" hidden="false" customHeight="false" outlineLevel="0" collapsed="false">
      <c r="B213" s="38" t="s">
        <v>782</v>
      </c>
      <c r="C213" s="38" t="s">
        <v>756</v>
      </c>
      <c r="D213" s="38" t="s">
        <v>783</v>
      </c>
      <c r="E213" s="178" t="s">
        <v>784</v>
      </c>
    </row>
    <row r="214" customFormat="false" ht="15" hidden="false" customHeight="false" outlineLevel="0" collapsed="false">
      <c r="B214" s="38" t="s">
        <v>785</v>
      </c>
      <c r="C214" s="38" t="s">
        <v>756</v>
      </c>
      <c r="D214" s="38" t="s">
        <v>786</v>
      </c>
      <c r="E214" s="38" t="s">
        <v>787</v>
      </c>
    </row>
    <row r="215" customFormat="false" ht="15" hidden="false" customHeight="false" outlineLevel="0" collapsed="false">
      <c r="B215" s="38" t="s">
        <v>788</v>
      </c>
      <c r="C215" s="38" t="s">
        <v>756</v>
      </c>
      <c r="D215" s="38" t="s">
        <v>789</v>
      </c>
      <c r="E215" s="178" t="s">
        <v>790</v>
      </c>
    </row>
    <row r="216" customFormat="false" ht="15" hidden="false" customHeight="false" outlineLevel="0" collapsed="false">
      <c r="B216" s="38" t="s">
        <v>791</v>
      </c>
      <c r="C216" s="38" t="s">
        <v>756</v>
      </c>
      <c r="D216" s="38" t="s">
        <v>792</v>
      </c>
      <c r="E216" s="38" t="s">
        <v>787</v>
      </c>
    </row>
    <row r="217" customFormat="false" ht="15" hidden="false" customHeight="false" outlineLevel="0" collapsed="false">
      <c r="B217" s="38" t="s">
        <v>793</v>
      </c>
      <c r="C217" s="38" t="s">
        <v>756</v>
      </c>
      <c r="D217" s="38" t="s">
        <v>794</v>
      </c>
      <c r="E217" s="178" t="s">
        <v>795</v>
      </c>
    </row>
    <row r="218" customFormat="false" ht="15" hidden="false" customHeight="false" outlineLevel="0" collapsed="false">
      <c r="B218" s="38" t="s">
        <v>796</v>
      </c>
      <c r="C218" s="38" t="s">
        <v>756</v>
      </c>
      <c r="D218" s="38" t="s">
        <v>797</v>
      </c>
      <c r="E218" s="38" t="s">
        <v>787</v>
      </c>
    </row>
    <row r="219" customFormat="false" ht="15" hidden="false" customHeight="false" outlineLevel="0" collapsed="false">
      <c r="B219" s="38" t="s">
        <v>798</v>
      </c>
      <c r="C219" s="38" t="s">
        <v>756</v>
      </c>
      <c r="D219" s="38" t="s">
        <v>799</v>
      </c>
      <c r="E219" s="178" t="s">
        <v>800</v>
      </c>
    </row>
    <row r="220" customFormat="false" ht="15" hidden="false" customHeight="false" outlineLevel="0" collapsed="false">
      <c r="B220" s="38" t="s">
        <v>801</v>
      </c>
      <c r="C220" s="38" t="s">
        <v>756</v>
      </c>
      <c r="D220" s="38" t="s">
        <v>802</v>
      </c>
      <c r="E220" s="38" t="s">
        <v>787</v>
      </c>
    </row>
    <row r="221" customFormat="false" ht="15" hidden="false" customHeight="false" outlineLevel="0" collapsed="false">
      <c r="B221" s="38" t="s">
        <v>803</v>
      </c>
      <c r="C221" s="38" t="s">
        <v>756</v>
      </c>
      <c r="D221" s="38" t="s">
        <v>804</v>
      </c>
      <c r="E221" s="178" t="s">
        <v>805</v>
      </c>
    </row>
    <row r="222" customFormat="false" ht="15" hidden="false" customHeight="false" outlineLevel="0" collapsed="false">
      <c r="B222" s="38" t="s">
        <v>806</v>
      </c>
      <c r="C222" s="38" t="s">
        <v>756</v>
      </c>
      <c r="D222" s="38" t="s">
        <v>807</v>
      </c>
      <c r="E222" s="38" t="s">
        <v>787</v>
      </c>
    </row>
    <row r="223" customFormat="false" ht="15" hidden="false" customHeight="false" outlineLevel="0" collapsed="false">
      <c r="B223" s="38" t="s">
        <v>808</v>
      </c>
      <c r="C223" s="38" t="s">
        <v>756</v>
      </c>
      <c r="D223" s="38" t="s">
        <v>809</v>
      </c>
      <c r="E223" s="178" t="s">
        <v>810</v>
      </c>
    </row>
    <row r="224" customFormat="false" ht="15" hidden="false" customHeight="false" outlineLevel="0" collapsed="false">
      <c r="B224" s="38" t="s">
        <v>811</v>
      </c>
      <c r="C224" s="38" t="s">
        <v>756</v>
      </c>
      <c r="D224" s="38" t="s">
        <v>812</v>
      </c>
      <c r="E224" s="38" t="s">
        <v>787</v>
      </c>
    </row>
    <row r="225" customFormat="false" ht="15" hidden="false" customHeight="false" outlineLevel="0" collapsed="false">
      <c r="B225" s="38" t="s">
        <v>813</v>
      </c>
      <c r="C225" s="38" t="s">
        <v>756</v>
      </c>
      <c r="D225" s="38" t="s">
        <v>814</v>
      </c>
      <c r="E225" s="178" t="s">
        <v>815</v>
      </c>
    </row>
    <row r="226" customFormat="false" ht="15" hidden="false" customHeight="false" outlineLevel="0" collapsed="false">
      <c r="B226" s="38" t="s">
        <v>816</v>
      </c>
      <c r="C226" s="38" t="s">
        <v>756</v>
      </c>
      <c r="D226" s="38" t="s">
        <v>817</v>
      </c>
      <c r="E226" s="38" t="s">
        <v>787</v>
      </c>
    </row>
    <row r="227" customFormat="false" ht="15" hidden="false" customHeight="false" outlineLevel="0" collapsed="false">
      <c r="B227" s="38" t="s">
        <v>818</v>
      </c>
      <c r="C227" s="38" t="s">
        <v>756</v>
      </c>
      <c r="D227" s="38" t="s">
        <v>819</v>
      </c>
      <c r="E227" s="178" t="s">
        <v>820</v>
      </c>
    </row>
    <row r="228" customFormat="false" ht="15" hidden="false" customHeight="false" outlineLevel="0" collapsed="false">
      <c r="B228" s="38" t="s">
        <v>821</v>
      </c>
      <c r="C228" s="38" t="s">
        <v>756</v>
      </c>
      <c r="D228" s="38" t="s">
        <v>822</v>
      </c>
      <c r="E228" s="38" t="s">
        <v>787</v>
      </c>
    </row>
    <row r="229" customFormat="false" ht="15" hidden="false" customHeight="false" outlineLevel="0" collapsed="false">
      <c r="B229" s="38" t="s">
        <v>823</v>
      </c>
      <c r="C229" s="38" t="s">
        <v>756</v>
      </c>
      <c r="D229" s="38" t="s">
        <v>824</v>
      </c>
      <c r="E229" s="178" t="s">
        <v>825</v>
      </c>
    </row>
    <row r="230" customFormat="false" ht="15" hidden="false" customHeight="false" outlineLevel="0" collapsed="false">
      <c r="B230" s="38" t="s">
        <v>826</v>
      </c>
      <c r="C230" s="38" t="s">
        <v>756</v>
      </c>
      <c r="D230" s="38" t="s">
        <v>827</v>
      </c>
      <c r="E230" s="38" t="s">
        <v>787</v>
      </c>
    </row>
    <row r="231" customFormat="false" ht="15" hidden="false" customHeight="false" outlineLevel="0" collapsed="false">
      <c r="B231" s="38" t="s">
        <v>828</v>
      </c>
      <c r="C231" s="38" t="s">
        <v>756</v>
      </c>
      <c r="D231" s="38" t="s">
        <v>829</v>
      </c>
      <c r="E231" s="178" t="s">
        <v>830</v>
      </c>
    </row>
    <row r="232" customFormat="false" ht="15" hidden="false" customHeight="false" outlineLevel="0" collapsed="false">
      <c r="B232" s="38" t="s">
        <v>831</v>
      </c>
      <c r="C232" s="38" t="s">
        <v>756</v>
      </c>
      <c r="D232" s="38" t="s">
        <v>832</v>
      </c>
      <c r="E232" s="38" t="s">
        <v>787</v>
      </c>
    </row>
    <row r="233" customFormat="false" ht="15" hidden="false" customHeight="false" outlineLevel="0" collapsed="false">
      <c r="B233" s="38" t="s">
        <v>833</v>
      </c>
      <c r="C233" s="38" t="s">
        <v>756</v>
      </c>
      <c r="D233" s="38" t="s">
        <v>834</v>
      </c>
      <c r="E233" s="178" t="s">
        <v>835</v>
      </c>
    </row>
    <row r="234" customFormat="false" ht="15" hidden="false" customHeight="false" outlineLevel="0" collapsed="false">
      <c r="B234" s="38" t="s">
        <v>836</v>
      </c>
      <c r="C234" s="38" t="s">
        <v>756</v>
      </c>
      <c r="D234" s="38" t="s">
        <v>837</v>
      </c>
      <c r="E234" s="38" t="s">
        <v>787</v>
      </c>
    </row>
    <row r="235" customFormat="false" ht="15" hidden="false" customHeight="false" outlineLevel="0" collapsed="false">
      <c r="B235" s="38" t="s">
        <v>838</v>
      </c>
      <c r="C235" s="38" t="s">
        <v>756</v>
      </c>
      <c r="D235" s="38" t="s">
        <v>839</v>
      </c>
      <c r="E235" s="178" t="s">
        <v>840</v>
      </c>
    </row>
    <row r="236" customFormat="false" ht="15" hidden="false" customHeight="false" outlineLevel="0" collapsed="false">
      <c r="B236" s="38" t="s">
        <v>841</v>
      </c>
      <c r="C236" s="38" t="s">
        <v>756</v>
      </c>
      <c r="D236" s="38" t="s">
        <v>842</v>
      </c>
      <c r="E236" s="38" t="s">
        <v>787</v>
      </c>
    </row>
    <row r="237" customFormat="false" ht="15" hidden="false" customHeight="false" outlineLevel="0" collapsed="false">
      <c r="B237" s="38" t="s">
        <v>843</v>
      </c>
      <c r="C237" s="38" t="s">
        <v>756</v>
      </c>
      <c r="D237" s="38" t="s">
        <v>844</v>
      </c>
      <c r="E237" s="178" t="s">
        <v>845</v>
      </c>
    </row>
    <row r="238" customFormat="false" ht="15" hidden="false" customHeight="false" outlineLevel="0" collapsed="false">
      <c r="B238" s="38" t="s">
        <v>846</v>
      </c>
      <c r="C238" s="38" t="s">
        <v>756</v>
      </c>
      <c r="D238" s="38" t="s">
        <v>847</v>
      </c>
      <c r="E238" s="38" t="s">
        <v>787</v>
      </c>
    </row>
    <row r="239" customFormat="false" ht="15" hidden="false" customHeight="false" outlineLevel="0" collapsed="false">
      <c r="B239" s="38" t="s">
        <v>848</v>
      </c>
      <c r="C239" s="38" t="s">
        <v>756</v>
      </c>
      <c r="D239" s="38" t="s">
        <v>849</v>
      </c>
      <c r="E239" s="178" t="s">
        <v>850</v>
      </c>
    </row>
    <row r="240" customFormat="false" ht="15" hidden="false" customHeight="false" outlineLevel="0" collapsed="false">
      <c r="B240" s="38" t="s">
        <v>851</v>
      </c>
      <c r="C240" s="38" t="s">
        <v>756</v>
      </c>
      <c r="D240" s="38" t="s">
        <v>852</v>
      </c>
      <c r="E240" s="38"/>
    </row>
    <row r="241" customFormat="false" ht="15" hidden="false" customHeight="false" outlineLevel="0" collapsed="false">
      <c r="B241" s="38" t="s">
        <v>853</v>
      </c>
      <c r="C241" s="38" t="s">
        <v>756</v>
      </c>
      <c r="D241" s="38" t="s">
        <v>854</v>
      </c>
      <c r="E241" s="178" t="s">
        <v>855</v>
      </c>
    </row>
    <row r="242" customFormat="false" ht="15" hidden="false" customHeight="false" outlineLevel="0" collapsed="false">
      <c r="B242" s="38" t="s">
        <v>856</v>
      </c>
      <c r="C242" s="38" t="s">
        <v>756</v>
      </c>
      <c r="D242" s="38" t="s">
        <v>857</v>
      </c>
      <c r="E242" s="38" t="s">
        <v>787</v>
      </c>
    </row>
    <row r="243" customFormat="false" ht="15" hidden="false" customHeight="false" outlineLevel="0" collapsed="false">
      <c r="B243" s="38" t="s">
        <v>858</v>
      </c>
      <c r="C243" s="38" t="s">
        <v>756</v>
      </c>
      <c r="D243" s="38" t="s">
        <v>859</v>
      </c>
      <c r="E243" s="178" t="s">
        <v>860</v>
      </c>
    </row>
    <row r="244" customFormat="false" ht="15" hidden="false" customHeight="false" outlineLevel="0" collapsed="false">
      <c r="B244" s="38" t="s">
        <v>861</v>
      </c>
      <c r="C244" s="38" t="s">
        <v>756</v>
      </c>
      <c r="D244" s="38" t="s">
        <v>862</v>
      </c>
      <c r="E244" s="38" t="s">
        <v>787</v>
      </c>
    </row>
    <row r="245" customFormat="false" ht="15" hidden="false" customHeight="false" outlineLevel="0" collapsed="false">
      <c r="B245" s="38" t="s">
        <v>863</v>
      </c>
      <c r="C245" s="38" t="s">
        <v>756</v>
      </c>
      <c r="D245" s="38" t="s">
        <v>864</v>
      </c>
      <c r="E245" s="38" t="s">
        <v>865</v>
      </c>
    </row>
    <row r="246" customFormat="false" ht="15" hidden="false" customHeight="false" outlineLevel="0" collapsed="false">
      <c r="B246" s="38" t="s">
        <v>866</v>
      </c>
      <c r="C246" s="38" t="s">
        <v>756</v>
      </c>
      <c r="D246" s="38" t="s">
        <v>867</v>
      </c>
      <c r="E246" s="38" t="s">
        <v>868</v>
      </c>
    </row>
    <row r="247" customFormat="false" ht="15" hidden="false" customHeight="false" outlineLevel="0" collapsed="false">
      <c r="B247" s="38" t="s">
        <v>869</v>
      </c>
      <c r="C247" s="38" t="s">
        <v>756</v>
      </c>
      <c r="D247" s="38" t="s">
        <v>870</v>
      </c>
      <c r="E247" s="38" t="s">
        <v>871</v>
      </c>
    </row>
    <row r="248" customFormat="false" ht="15" hidden="false" customHeight="false" outlineLevel="0" collapsed="false">
      <c r="B248" s="38" t="s">
        <v>872</v>
      </c>
      <c r="C248" s="38" t="s">
        <v>756</v>
      </c>
      <c r="D248" s="38" t="s">
        <v>873</v>
      </c>
      <c r="E248" s="38" t="s">
        <v>874</v>
      </c>
    </row>
    <row r="249" customFormat="false" ht="15" hidden="false" customHeight="false" outlineLevel="0" collapsed="false">
      <c r="B249" s="38" t="s">
        <v>875</v>
      </c>
      <c r="C249" s="38" t="s">
        <v>756</v>
      </c>
      <c r="D249" s="38" t="s">
        <v>876</v>
      </c>
      <c r="E249" s="38" t="s">
        <v>877</v>
      </c>
    </row>
    <row r="250" customFormat="false" ht="15" hidden="false" customHeight="false" outlineLevel="0" collapsed="false">
      <c r="B250" s="38" t="s">
        <v>878</v>
      </c>
      <c r="C250" s="38" t="s">
        <v>756</v>
      </c>
      <c r="D250" s="38" t="s">
        <v>879</v>
      </c>
      <c r="E250" s="38" t="s">
        <v>880</v>
      </c>
    </row>
    <row r="251" customFormat="false" ht="15" hidden="false" customHeight="false" outlineLevel="0" collapsed="false">
      <c r="B251" s="38" t="s">
        <v>881</v>
      </c>
      <c r="C251" s="38" t="s">
        <v>756</v>
      </c>
      <c r="D251" s="38" t="s">
        <v>882</v>
      </c>
      <c r="E251" s="38" t="s">
        <v>883</v>
      </c>
    </row>
    <row r="252" customFormat="false" ht="15" hidden="false" customHeight="false" outlineLevel="0" collapsed="false">
      <c r="B252" s="38" t="s">
        <v>884</v>
      </c>
      <c r="C252" s="38" t="s">
        <v>756</v>
      </c>
      <c r="D252" s="38" t="s">
        <v>885</v>
      </c>
      <c r="E252" s="38" t="s">
        <v>886</v>
      </c>
    </row>
    <row r="253" customFormat="false" ht="15" hidden="false" customHeight="false" outlineLevel="0" collapsed="false">
      <c r="B253" s="38" t="s">
        <v>887</v>
      </c>
      <c r="C253" s="38" t="s">
        <v>756</v>
      </c>
      <c r="D253" s="38" t="s">
        <v>888</v>
      </c>
      <c r="E253" s="38" t="s">
        <v>889</v>
      </c>
    </row>
  </sheetData>
  <mergeCells count="21">
    <mergeCell ref="B3:E3"/>
    <mergeCell ref="C4:E4"/>
    <mergeCell ref="C5:E5"/>
    <mergeCell ref="C6:E6"/>
    <mergeCell ref="C7:E7"/>
    <mergeCell ref="C8:E8"/>
    <mergeCell ref="C9:E9"/>
    <mergeCell ref="C10:E10"/>
    <mergeCell ref="B12:E12"/>
    <mergeCell ref="C13:E13"/>
    <mergeCell ref="C14:E14"/>
    <mergeCell ref="C15:E15"/>
    <mergeCell ref="C16:E16"/>
    <mergeCell ref="C17:E17"/>
    <mergeCell ref="C18:E18"/>
    <mergeCell ref="B20:E20"/>
    <mergeCell ref="C21:E21"/>
    <mergeCell ref="C22:E22"/>
    <mergeCell ref="C23:E23"/>
    <mergeCell ref="C24:E24"/>
    <mergeCell ref="B26:E26"/>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63" t="s">
        <v>272</v>
      </c>
    </row>
    <row r="2" customFormat="false" ht="15" hidden="false" customHeight="false" outlineLevel="0" collapsed="false">
      <c r="A2" s="7" t="s">
        <v>890</v>
      </c>
    </row>
    <row r="3" customFormat="false" ht="15" hidden="false" customHeight="false" outlineLevel="0" collapsed="false">
      <c r="A3" s="9" t="s">
        <v>891</v>
      </c>
      <c r="B3" s="9"/>
      <c r="C3" s="9"/>
      <c r="D3" s="9"/>
    </row>
    <row r="4" customFormat="false" ht="15" hidden="false" customHeight="false" outlineLevel="0" collapsed="false">
      <c r="A4" s="43" t="s">
        <v>892</v>
      </c>
      <c r="B4" s="179" t="n">
        <v>0.0126</v>
      </c>
      <c r="C4" s="7" t="s">
        <v>893</v>
      </c>
    </row>
    <row r="5" customFormat="false" ht="15" hidden="false" customHeight="false" outlineLevel="0" collapsed="false">
      <c r="A5" s="43" t="s">
        <v>894</v>
      </c>
      <c r="B5" s="179" t="n">
        <v>0.0126</v>
      </c>
      <c r="C5" s="7" t="s">
        <v>895</v>
      </c>
    </row>
    <row r="6" customFormat="false" ht="15" hidden="false" customHeight="false" outlineLevel="0" collapsed="false">
      <c r="A6" s="43" t="s">
        <v>896</v>
      </c>
      <c r="B6" s="179" t="n">
        <v>0.0093</v>
      </c>
      <c r="C6" s="7" t="s">
        <v>897</v>
      </c>
    </row>
    <row r="7" customFormat="false" ht="15" hidden="false" customHeight="false" outlineLevel="0" collapsed="false">
      <c r="A7" s="43" t="s">
        <v>898</v>
      </c>
      <c r="B7" s="179" t="n">
        <v>0.0026</v>
      </c>
      <c r="C7" s="7" t="s">
        <v>899</v>
      </c>
    </row>
    <row r="8" customFormat="false" ht="15" hidden="false" customHeight="false" outlineLevel="0" collapsed="false">
      <c r="A8" s="43" t="s">
        <v>900</v>
      </c>
      <c r="B8" s="180" t="n">
        <v>0.3</v>
      </c>
      <c r="C8" s="7" t="s">
        <v>901</v>
      </c>
    </row>
    <row r="9" customFormat="false" ht="15" hidden="false" customHeight="false" outlineLevel="0" collapsed="false">
      <c r="A9" s="43" t="s">
        <v>902</v>
      </c>
      <c r="B9" s="181" t="n">
        <v>4</v>
      </c>
      <c r="C9" s="7" t="s">
        <v>903</v>
      </c>
    </row>
    <row r="10" customFormat="false" ht="15" hidden="false" customHeight="false" outlineLevel="0" collapsed="false">
      <c r="A10" s="43" t="s">
        <v>904</v>
      </c>
      <c r="B10" s="182" t="n">
        <v>10</v>
      </c>
      <c r="C10" s="7" t="s">
        <v>905</v>
      </c>
    </row>
    <row r="11" customFormat="false" ht="15" hidden="false" customHeight="false" outlineLevel="0" collapsed="false">
      <c r="A11" s="43" t="s">
        <v>906</v>
      </c>
      <c r="B11" s="182" t="n">
        <v>300</v>
      </c>
      <c r="C11" s="7" t="s">
        <v>907</v>
      </c>
    </row>
    <row r="12" customFormat="false" ht="15" hidden="false" customHeight="false" outlineLevel="0" collapsed="false">
      <c r="A12" s="43" t="s">
        <v>908</v>
      </c>
      <c r="B12" s="182" t="n">
        <v>300</v>
      </c>
      <c r="C12" s="7" t="s">
        <v>909</v>
      </c>
    </row>
    <row r="13" customFormat="false" ht="15" hidden="false" customHeight="false" outlineLevel="0" collapsed="false">
      <c r="A13" s="43" t="s">
        <v>910</v>
      </c>
      <c r="B13" s="182" t="n">
        <v>100</v>
      </c>
      <c r="C13" s="183" t="s">
        <v>911</v>
      </c>
    </row>
    <row r="14" customFormat="false" ht="15" hidden="false" customHeight="false" outlineLevel="0" collapsed="false">
      <c r="A14" s="43" t="s">
        <v>912</v>
      </c>
      <c r="B14" s="180" t="n">
        <v>0.5</v>
      </c>
      <c r="C14" s="7" t="s">
        <v>913</v>
      </c>
    </row>
    <row r="15" customFormat="false" ht="15" hidden="false" customHeight="false" outlineLevel="0" collapsed="false">
      <c r="A15" s="43" t="s">
        <v>914</v>
      </c>
      <c r="B15" s="182" t="n">
        <v>5</v>
      </c>
      <c r="C15" s="183" t="s">
        <v>915</v>
      </c>
    </row>
    <row r="16" customFormat="false" ht="15" hidden="false" customHeight="false" outlineLevel="0" collapsed="false">
      <c r="A16" s="43" t="s">
        <v>916</v>
      </c>
      <c r="B16" s="184" t="n">
        <v>60</v>
      </c>
      <c r="C16" s="183" t="s">
        <v>917</v>
      </c>
    </row>
    <row r="17" customFormat="false" ht="15" hidden="false" customHeight="false" outlineLevel="0" collapsed="false">
      <c r="A17" s="43" t="s">
        <v>918</v>
      </c>
      <c r="B17" s="181" t="n">
        <v>12</v>
      </c>
      <c r="C17" s="7" t="s">
        <v>919</v>
      </c>
    </row>
    <row r="18" customFormat="false" ht="15" hidden="false" customHeight="false" outlineLevel="0" collapsed="false">
      <c r="A18" s="43" t="s">
        <v>920</v>
      </c>
      <c r="B18" s="182" t="n">
        <v>15</v>
      </c>
      <c r="C18" s="183" t="s">
        <v>921</v>
      </c>
    </row>
    <row r="20" customFormat="false" ht="14.15" hidden="false" customHeight="false" outlineLevel="0" collapsed="false">
      <c r="A20" s="9" t="s">
        <v>922</v>
      </c>
      <c r="B20" s="9"/>
      <c r="C20" s="9"/>
      <c r="D20" s="9"/>
      <c r="E20" s="9"/>
      <c r="F20" s="9"/>
      <c r="G20" s="9"/>
      <c r="H20" s="9"/>
      <c r="I20" s="9"/>
      <c r="J20" s="9"/>
      <c r="K20" s="9"/>
      <c r="L20" s="9"/>
      <c r="M20" s="9"/>
      <c r="N20" s="9"/>
      <c r="O20" s="9"/>
      <c r="P20" s="9"/>
      <c r="Q20" s="9"/>
      <c r="R20" s="9"/>
      <c r="S20" s="9"/>
    </row>
    <row r="21" customFormat="false" ht="48" hidden="false" customHeight="true" outlineLevel="0" collapsed="false">
      <c r="A21" s="185" t="s">
        <v>116</v>
      </c>
      <c r="B21" s="185" t="s">
        <v>489</v>
      </c>
      <c r="C21" s="185" t="s">
        <v>492</v>
      </c>
      <c r="D21" s="185" t="s">
        <v>923</v>
      </c>
      <c r="E21" s="185" t="s">
        <v>924</v>
      </c>
      <c r="F21" s="185" t="s">
        <v>925</v>
      </c>
      <c r="G21" s="185" t="s">
        <v>504</v>
      </c>
      <c r="H21" s="185" t="s">
        <v>507</v>
      </c>
      <c r="I21" s="185" t="s">
        <v>926</v>
      </c>
      <c r="J21" s="185" t="s">
        <v>927</v>
      </c>
      <c r="K21" s="185" t="s">
        <v>516</v>
      </c>
      <c r="L21" s="185" t="s">
        <v>122</v>
      </c>
      <c r="M21" s="185" t="s">
        <v>521</v>
      </c>
      <c r="N21" s="185" t="s">
        <v>928</v>
      </c>
      <c r="O21" s="185" t="s">
        <v>929</v>
      </c>
      <c r="P21" s="185" t="s">
        <v>930</v>
      </c>
      <c r="Q21" s="185" t="s">
        <v>931</v>
      </c>
      <c r="R21" s="185" t="s">
        <v>536</v>
      </c>
      <c r="S21" s="185" t="s">
        <v>932</v>
      </c>
    </row>
    <row r="22" customFormat="false" ht="30" hidden="false" customHeight="true" outlineLevel="0" collapsed="false">
      <c r="A22" s="186" t="s">
        <v>933</v>
      </c>
      <c r="B22" s="187" t="s">
        <v>175</v>
      </c>
      <c r="C22" s="187" t="s">
        <v>934</v>
      </c>
      <c r="D22" s="187" t="n">
        <v>6</v>
      </c>
      <c r="E22" s="187" t="n">
        <v>200</v>
      </c>
      <c r="F22" s="187" t="n">
        <v>1</v>
      </c>
      <c r="G22" s="187" t="n">
        <v>120</v>
      </c>
      <c r="H22" s="187" t="s">
        <v>935</v>
      </c>
      <c r="I22" s="187" t="n">
        <v>5</v>
      </c>
      <c r="J22" s="187" t="n">
        <v>0</v>
      </c>
      <c r="K22" s="188" t="s">
        <v>936</v>
      </c>
      <c r="L22" s="188" t="s">
        <v>937</v>
      </c>
      <c r="M22" s="187" t="s">
        <v>938</v>
      </c>
      <c r="N22" s="187"/>
      <c r="O22" s="187"/>
      <c r="P22" s="188" t="s">
        <v>939</v>
      </c>
      <c r="Q22" s="187" t="n">
        <v>2</v>
      </c>
      <c r="R22" s="187" t="s">
        <v>940</v>
      </c>
      <c r="S22" s="188" t="s">
        <v>941</v>
      </c>
    </row>
    <row r="23" customFormat="false" ht="30" hidden="false" customHeight="true" outlineLevel="0" collapsed="false">
      <c r="A23" s="186" t="s">
        <v>942</v>
      </c>
      <c r="B23" s="187" t="s">
        <v>175</v>
      </c>
      <c r="C23" s="187" t="s">
        <v>934</v>
      </c>
      <c r="D23" s="187" t="n">
        <v>6</v>
      </c>
      <c r="E23" s="187" t="n">
        <v>20</v>
      </c>
      <c r="F23" s="187" t="n">
        <v>1</v>
      </c>
      <c r="G23" s="187" t="n">
        <v>120</v>
      </c>
      <c r="H23" s="187" t="s">
        <v>935</v>
      </c>
      <c r="I23" s="187" t="n">
        <v>5</v>
      </c>
      <c r="J23" s="187" t="n">
        <v>0</v>
      </c>
      <c r="K23" s="188" t="s">
        <v>943</v>
      </c>
      <c r="L23" s="188" t="s">
        <v>944</v>
      </c>
      <c r="M23" s="187" t="s">
        <v>945</v>
      </c>
      <c r="N23" s="187" t="n">
        <v>3</v>
      </c>
      <c r="O23" s="187" t="n">
        <v>3</v>
      </c>
      <c r="P23" s="188"/>
      <c r="Q23" s="187"/>
      <c r="R23" s="187"/>
      <c r="S23" s="188" t="s">
        <v>941</v>
      </c>
    </row>
    <row r="24" customFormat="false" ht="30" hidden="false" customHeight="true" outlineLevel="0" collapsed="false">
      <c r="A24" s="186" t="s">
        <v>946</v>
      </c>
      <c r="B24" s="187" t="s">
        <v>174</v>
      </c>
      <c r="C24" s="187" t="s">
        <v>934</v>
      </c>
      <c r="D24" s="187" t="n">
        <v>6</v>
      </c>
      <c r="E24" s="187" t="n">
        <v>200</v>
      </c>
      <c r="F24" s="187" t="n">
        <v>1</v>
      </c>
      <c r="G24" s="187" t="n">
        <v>120</v>
      </c>
      <c r="H24" s="187" t="s">
        <v>935</v>
      </c>
      <c r="I24" s="187" t="n">
        <v>5</v>
      </c>
      <c r="J24" s="187" t="n">
        <v>0</v>
      </c>
      <c r="K24" s="188" t="s">
        <v>947</v>
      </c>
      <c r="L24" s="188" t="s">
        <v>948</v>
      </c>
      <c r="M24" s="187" t="s">
        <v>949</v>
      </c>
      <c r="N24" s="187"/>
      <c r="O24" s="187" t="n">
        <v>2</v>
      </c>
      <c r="P24" s="188" t="s">
        <v>950</v>
      </c>
      <c r="Q24" s="187" t="n">
        <v>1</v>
      </c>
      <c r="R24" s="187" t="s">
        <v>951</v>
      </c>
      <c r="S24" s="188" t="s">
        <v>941</v>
      </c>
    </row>
    <row r="25" customFormat="false" ht="30" hidden="false" customHeight="true" outlineLevel="0" collapsed="false">
      <c r="A25" s="186" t="s">
        <v>952</v>
      </c>
      <c r="B25" s="187" t="s">
        <v>174</v>
      </c>
      <c r="C25" s="187" t="s">
        <v>934</v>
      </c>
      <c r="D25" s="187" t="n">
        <v>6</v>
      </c>
      <c r="E25" s="187" t="n">
        <v>30</v>
      </c>
      <c r="F25" s="187" t="n">
        <v>1</v>
      </c>
      <c r="G25" s="187" t="n">
        <v>120</v>
      </c>
      <c r="H25" s="187" t="s">
        <v>935</v>
      </c>
      <c r="I25" s="187" t="n">
        <v>5</v>
      </c>
      <c r="J25" s="187" t="n">
        <v>0</v>
      </c>
      <c r="K25" s="188" t="s">
        <v>947</v>
      </c>
      <c r="L25" s="188" t="s">
        <v>948</v>
      </c>
      <c r="M25" s="187" t="s">
        <v>949</v>
      </c>
      <c r="N25" s="187"/>
      <c r="O25" s="187" t="n">
        <v>2</v>
      </c>
      <c r="P25" s="188" t="s">
        <v>950</v>
      </c>
      <c r="Q25" s="187" t="n">
        <v>1</v>
      </c>
      <c r="R25" s="187" t="s">
        <v>951</v>
      </c>
      <c r="S25" s="188" t="s">
        <v>941</v>
      </c>
    </row>
    <row r="26" customFormat="false" ht="30" hidden="false" customHeight="true" outlineLevel="0" collapsed="false">
      <c r="A26" s="186" t="s">
        <v>953</v>
      </c>
      <c r="B26" s="187" t="s">
        <v>174</v>
      </c>
      <c r="C26" s="187" t="s">
        <v>954</v>
      </c>
      <c r="D26" s="187"/>
      <c r="E26" s="187"/>
      <c r="F26" s="187" t="n">
        <v>1</v>
      </c>
      <c r="G26" s="187" t="n">
        <v>150</v>
      </c>
      <c r="H26" s="187" t="s">
        <v>935</v>
      </c>
      <c r="I26" s="187" t="n">
        <v>5</v>
      </c>
      <c r="J26" s="187" t="n">
        <v>0</v>
      </c>
      <c r="K26" s="188" t="s">
        <v>955</v>
      </c>
      <c r="L26" s="188" t="s">
        <v>956</v>
      </c>
      <c r="M26" s="187" t="s">
        <v>957</v>
      </c>
      <c r="N26" s="187"/>
      <c r="O26" s="187"/>
      <c r="P26" s="188" t="s">
        <v>958</v>
      </c>
      <c r="Q26" s="187" t="n">
        <v>2</v>
      </c>
      <c r="R26" s="187" t="s">
        <v>940</v>
      </c>
      <c r="S26" s="188" t="s">
        <v>941</v>
      </c>
    </row>
    <row r="27" customFormat="false" ht="30" hidden="false" customHeight="true" outlineLevel="0" collapsed="false">
      <c r="A27" s="186" t="s">
        <v>959</v>
      </c>
      <c r="B27" s="187" t="s">
        <v>174</v>
      </c>
      <c r="C27" s="187" t="s">
        <v>934</v>
      </c>
      <c r="D27" s="187" t="n">
        <v>6</v>
      </c>
      <c r="E27" s="187" t="n">
        <v>200</v>
      </c>
      <c r="F27" s="187" t="n">
        <v>1</v>
      </c>
      <c r="G27" s="187" t="n">
        <v>120</v>
      </c>
      <c r="H27" s="187" t="s">
        <v>935</v>
      </c>
      <c r="I27" s="187" t="n">
        <v>5</v>
      </c>
      <c r="J27" s="187" t="n">
        <v>0</v>
      </c>
      <c r="K27" s="189" t="s">
        <v>960</v>
      </c>
      <c r="L27" s="188" t="s">
        <v>961</v>
      </c>
      <c r="M27" s="187" t="s">
        <v>962</v>
      </c>
      <c r="N27" s="187" t="n">
        <v>6</v>
      </c>
      <c r="O27" s="187" t="n">
        <v>3</v>
      </c>
      <c r="P27" s="188" t="s">
        <v>963</v>
      </c>
      <c r="Q27" s="187" t="n">
        <v>1</v>
      </c>
      <c r="R27" s="187" t="s">
        <v>964</v>
      </c>
      <c r="S27" s="188" t="s">
        <v>941</v>
      </c>
    </row>
    <row r="28" customFormat="false" ht="30" hidden="false" customHeight="true" outlineLevel="0" collapsed="false">
      <c r="A28" s="186" t="s">
        <v>965</v>
      </c>
      <c r="B28" s="187" t="s">
        <v>174</v>
      </c>
      <c r="C28" s="187" t="s">
        <v>934</v>
      </c>
      <c r="D28" s="187" t="n">
        <v>6</v>
      </c>
      <c r="E28" s="187" t="n">
        <v>200</v>
      </c>
      <c r="F28" s="187" t="n">
        <v>1</v>
      </c>
      <c r="G28" s="187" t="n">
        <v>120</v>
      </c>
      <c r="H28" s="187" t="s">
        <v>935</v>
      </c>
      <c r="I28" s="187" t="n">
        <v>5</v>
      </c>
      <c r="J28" s="187" t="n">
        <v>0</v>
      </c>
      <c r="K28" s="188" t="s">
        <v>966</v>
      </c>
      <c r="L28" s="188" t="s">
        <v>967</v>
      </c>
      <c r="M28" s="187" t="s">
        <v>968</v>
      </c>
      <c r="N28" s="187" t="n">
        <v>0</v>
      </c>
      <c r="O28" s="187" t="n">
        <v>3</v>
      </c>
      <c r="P28" s="188"/>
      <c r="Q28" s="187"/>
      <c r="R28" s="187"/>
      <c r="S28" s="188" t="s">
        <v>941</v>
      </c>
    </row>
    <row r="29" customFormat="false" ht="30" hidden="false" customHeight="true" outlineLevel="0" collapsed="false">
      <c r="A29" s="186" t="s">
        <v>969</v>
      </c>
      <c r="B29" s="187" t="s">
        <v>174</v>
      </c>
      <c r="C29" s="187" t="s">
        <v>934</v>
      </c>
      <c r="D29" s="187" t="n">
        <v>6</v>
      </c>
      <c r="E29" s="187" t="n">
        <v>100</v>
      </c>
      <c r="F29" s="187" t="n">
        <v>1</v>
      </c>
      <c r="G29" s="187" t="n">
        <v>120</v>
      </c>
      <c r="H29" s="187" t="s">
        <v>935</v>
      </c>
      <c r="I29" s="187" t="n">
        <v>5</v>
      </c>
      <c r="J29" s="187" t="n">
        <v>0</v>
      </c>
      <c r="K29" s="188" t="s">
        <v>970</v>
      </c>
      <c r="L29" s="188" t="s">
        <v>971</v>
      </c>
      <c r="M29" s="187" t="s">
        <v>972</v>
      </c>
      <c r="N29" s="187"/>
      <c r="O29" s="187"/>
      <c r="P29" s="188"/>
      <c r="Q29" s="187"/>
      <c r="R29" s="187"/>
      <c r="S29" s="188" t="s">
        <v>941</v>
      </c>
    </row>
    <row r="30" customFormat="false" ht="30" hidden="false" customHeight="true" outlineLevel="0" collapsed="false">
      <c r="A30" s="186" t="s">
        <v>973</v>
      </c>
      <c r="B30" s="187" t="s">
        <v>173</v>
      </c>
      <c r="C30" s="187" t="s">
        <v>974</v>
      </c>
      <c r="D30" s="187"/>
      <c r="E30" s="187" t="n">
        <v>1800</v>
      </c>
      <c r="F30" s="187" t="n">
        <v>5</v>
      </c>
      <c r="G30" s="187" t="n">
        <v>360</v>
      </c>
      <c r="H30" s="187" t="s">
        <v>974</v>
      </c>
      <c r="I30" s="187" t="n">
        <v>20</v>
      </c>
      <c r="J30" s="187" t="n">
        <v>1</v>
      </c>
      <c r="K30" s="189" t="s">
        <v>975</v>
      </c>
      <c r="L30" s="188" t="s">
        <v>976</v>
      </c>
      <c r="M30" s="187" t="s">
        <v>977</v>
      </c>
      <c r="N30" s="187"/>
      <c r="O30" s="187"/>
      <c r="P30" s="188"/>
      <c r="Q30" s="187" t="n">
        <v>6</v>
      </c>
      <c r="R30" s="187" t="s">
        <v>940</v>
      </c>
      <c r="S30" s="188" t="s">
        <v>978</v>
      </c>
    </row>
    <row r="31" customFormat="false" ht="30" hidden="false" customHeight="true" outlineLevel="0" collapsed="false">
      <c r="A31" s="186" t="s">
        <v>979</v>
      </c>
      <c r="B31" s="187" t="s">
        <v>173</v>
      </c>
      <c r="C31" s="187" t="s">
        <v>974</v>
      </c>
      <c r="D31" s="187"/>
      <c r="E31" s="187" t="n">
        <v>1800</v>
      </c>
      <c r="F31" s="187" t="n">
        <v>5</v>
      </c>
      <c r="G31" s="187" t="n">
        <v>360</v>
      </c>
      <c r="H31" s="187" t="s">
        <v>974</v>
      </c>
      <c r="I31" s="187" t="n">
        <v>20</v>
      </c>
      <c r="J31" s="187" t="n">
        <v>2</v>
      </c>
      <c r="K31" s="189" t="s">
        <v>975</v>
      </c>
      <c r="L31" s="188" t="s">
        <v>976</v>
      </c>
      <c r="M31" s="187" t="s">
        <v>977</v>
      </c>
      <c r="N31" s="187"/>
      <c r="O31" s="187"/>
      <c r="P31" s="188"/>
      <c r="Q31" s="187" t="n">
        <v>6</v>
      </c>
      <c r="R31" s="187" t="s">
        <v>940</v>
      </c>
      <c r="S31" s="188" t="s">
        <v>978</v>
      </c>
    </row>
    <row r="32" customFormat="false" ht="30" hidden="false" customHeight="true" outlineLevel="0" collapsed="false">
      <c r="A32" s="186" t="s">
        <v>980</v>
      </c>
      <c r="B32" s="187" t="s">
        <v>173</v>
      </c>
      <c r="C32" s="187" t="s">
        <v>974</v>
      </c>
      <c r="D32" s="187"/>
      <c r="E32" s="187" t="n">
        <v>1800</v>
      </c>
      <c r="F32" s="187" t="n">
        <v>5</v>
      </c>
      <c r="G32" s="187" t="n">
        <v>360</v>
      </c>
      <c r="H32" s="187" t="s">
        <v>974</v>
      </c>
      <c r="I32" s="187" t="n">
        <v>20</v>
      </c>
      <c r="J32" s="187" t="n">
        <v>3</v>
      </c>
      <c r="K32" s="189" t="s">
        <v>975</v>
      </c>
      <c r="L32" s="188" t="s">
        <v>976</v>
      </c>
      <c r="M32" s="187" t="s">
        <v>977</v>
      </c>
      <c r="N32" s="187"/>
      <c r="O32" s="187"/>
      <c r="P32" s="188"/>
      <c r="Q32" s="187" t="n">
        <v>6</v>
      </c>
      <c r="R32" s="187" t="s">
        <v>940</v>
      </c>
      <c r="S32" s="188" t="s">
        <v>978</v>
      </c>
    </row>
    <row r="33" customFormat="false" ht="30" hidden="false" customHeight="true" outlineLevel="0" collapsed="false">
      <c r="A33" s="186" t="s">
        <v>981</v>
      </c>
      <c r="B33" s="187" t="s">
        <v>173</v>
      </c>
      <c r="C33" s="187" t="s">
        <v>974</v>
      </c>
      <c r="D33" s="187"/>
      <c r="E33" s="187" t="n">
        <v>1800</v>
      </c>
      <c r="F33" s="187" t="n">
        <v>5</v>
      </c>
      <c r="G33" s="187" t="n">
        <v>360</v>
      </c>
      <c r="H33" s="187" t="s">
        <v>974</v>
      </c>
      <c r="I33" s="187" t="n">
        <v>20</v>
      </c>
      <c r="J33" s="187" t="n">
        <v>4</v>
      </c>
      <c r="K33" s="189" t="s">
        <v>975</v>
      </c>
      <c r="L33" s="188" t="s">
        <v>976</v>
      </c>
      <c r="M33" s="187" t="s">
        <v>977</v>
      </c>
      <c r="N33" s="187"/>
      <c r="O33" s="187"/>
      <c r="P33" s="188"/>
      <c r="Q33" s="187" t="n">
        <v>6</v>
      </c>
      <c r="R33" s="187" t="s">
        <v>940</v>
      </c>
      <c r="S33" s="188" t="s">
        <v>978</v>
      </c>
    </row>
    <row r="34" customFormat="false" ht="30" hidden="false" customHeight="true" outlineLevel="0" collapsed="false">
      <c r="A34" s="186" t="s">
        <v>982</v>
      </c>
      <c r="B34" s="187" t="s">
        <v>173</v>
      </c>
      <c r="C34" s="187" t="s">
        <v>974</v>
      </c>
      <c r="D34" s="187"/>
      <c r="E34" s="187" t="n">
        <v>1800</v>
      </c>
      <c r="F34" s="187" t="n">
        <v>5</v>
      </c>
      <c r="G34" s="187" t="n">
        <v>360</v>
      </c>
      <c r="H34" s="187" t="s">
        <v>974</v>
      </c>
      <c r="I34" s="187" t="n">
        <v>20</v>
      </c>
      <c r="J34" s="187" t="n">
        <v>5</v>
      </c>
      <c r="K34" s="189" t="s">
        <v>975</v>
      </c>
      <c r="L34" s="188" t="s">
        <v>983</v>
      </c>
      <c r="M34" s="187" t="s">
        <v>984</v>
      </c>
      <c r="N34" s="187"/>
      <c r="O34" s="187"/>
      <c r="P34" s="188"/>
      <c r="Q34" s="187" t="n">
        <v>6</v>
      </c>
      <c r="R34" s="187" t="s">
        <v>940</v>
      </c>
      <c r="S34" s="188" t="s">
        <v>978</v>
      </c>
    </row>
    <row r="35" customFormat="false" ht="30" hidden="false" customHeight="true" outlineLevel="0" collapsed="false">
      <c r="A35" s="186" t="s">
        <v>985</v>
      </c>
      <c r="B35" s="187" t="s">
        <v>173</v>
      </c>
      <c r="C35" s="187" t="s">
        <v>974</v>
      </c>
      <c r="D35" s="187"/>
      <c r="E35" s="187" t="n">
        <v>1800</v>
      </c>
      <c r="F35" s="187" t="n">
        <v>5</v>
      </c>
      <c r="G35" s="187" t="n">
        <v>360</v>
      </c>
      <c r="H35" s="187" t="s">
        <v>974</v>
      </c>
      <c r="I35" s="187" t="n">
        <v>20</v>
      </c>
      <c r="J35" s="187" t="n">
        <v>6</v>
      </c>
      <c r="K35" s="189" t="s">
        <v>975</v>
      </c>
      <c r="L35" s="188" t="s">
        <v>983</v>
      </c>
      <c r="M35" s="187" t="s">
        <v>984</v>
      </c>
      <c r="N35" s="187"/>
      <c r="O35" s="187"/>
      <c r="P35" s="188"/>
      <c r="Q35" s="187" t="n">
        <v>6</v>
      </c>
      <c r="R35" s="187" t="s">
        <v>940</v>
      </c>
      <c r="S35" s="188" t="s">
        <v>978</v>
      </c>
    </row>
    <row r="36" customFormat="false" ht="30" hidden="false" customHeight="true" outlineLevel="0" collapsed="false">
      <c r="A36" s="186" t="s">
        <v>986</v>
      </c>
      <c r="B36" s="187" t="s">
        <v>173</v>
      </c>
      <c r="C36" s="187" t="s">
        <v>974</v>
      </c>
      <c r="D36" s="187"/>
      <c r="E36" s="187" t="n">
        <v>1800</v>
      </c>
      <c r="F36" s="187" t="n">
        <v>5</v>
      </c>
      <c r="G36" s="187" t="n">
        <v>360</v>
      </c>
      <c r="H36" s="187" t="s">
        <v>974</v>
      </c>
      <c r="I36" s="187" t="n">
        <v>20</v>
      </c>
      <c r="J36" s="187" t="n">
        <v>7</v>
      </c>
      <c r="K36" s="189" t="s">
        <v>975</v>
      </c>
      <c r="L36" s="188" t="s">
        <v>983</v>
      </c>
      <c r="M36" s="187" t="s">
        <v>984</v>
      </c>
      <c r="N36" s="187"/>
      <c r="O36" s="187"/>
      <c r="P36" s="188"/>
      <c r="Q36" s="187" t="n">
        <v>6</v>
      </c>
      <c r="R36" s="187" t="s">
        <v>940</v>
      </c>
      <c r="S36" s="188" t="s">
        <v>978</v>
      </c>
    </row>
    <row r="37" customFormat="false" ht="30" hidden="false" customHeight="true" outlineLevel="0" collapsed="false">
      <c r="A37" s="186" t="s">
        <v>987</v>
      </c>
      <c r="B37" s="187" t="s">
        <v>177</v>
      </c>
      <c r="C37" s="187" t="s">
        <v>934</v>
      </c>
      <c r="D37" s="187" t="n">
        <v>6</v>
      </c>
      <c r="E37" s="187" t="n">
        <v>200</v>
      </c>
      <c r="F37" s="187" t="n">
        <v>5</v>
      </c>
      <c r="G37" s="187" t="n">
        <v>360</v>
      </c>
      <c r="H37" s="187" t="s">
        <v>988</v>
      </c>
      <c r="I37" s="187" t="n">
        <v>5</v>
      </c>
      <c r="J37" s="187" t="n">
        <v>0</v>
      </c>
      <c r="K37" s="188" t="s">
        <v>989</v>
      </c>
      <c r="L37" s="188" t="s">
        <v>990</v>
      </c>
      <c r="M37" s="187" t="s">
        <v>991</v>
      </c>
      <c r="N37" s="187" t="n">
        <v>0</v>
      </c>
      <c r="O37" s="187" t="n">
        <v>6</v>
      </c>
      <c r="P37" s="188"/>
      <c r="Q37" s="187"/>
      <c r="R37" s="187"/>
      <c r="S37" s="188" t="s">
        <v>941</v>
      </c>
    </row>
    <row r="38" customFormat="false" ht="30" hidden="false" customHeight="true" outlineLevel="0" collapsed="false">
      <c r="A38" s="186" t="s">
        <v>992</v>
      </c>
      <c r="B38" s="187" t="s">
        <v>177</v>
      </c>
      <c r="C38" s="187" t="s">
        <v>974</v>
      </c>
      <c r="D38" s="187"/>
      <c r="E38" s="187" t="n">
        <v>1800</v>
      </c>
      <c r="F38" s="187" t="n">
        <v>5</v>
      </c>
      <c r="G38" s="187" t="n">
        <v>360</v>
      </c>
      <c r="H38" s="187" t="s">
        <v>988</v>
      </c>
      <c r="I38" s="187" t="n">
        <v>5</v>
      </c>
      <c r="J38" s="187" t="n">
        <v>0</v>
      </c>
      <c r="K38" s="188" t="s">
        <v>989</v>
      </c>
      <c r="L38" s="188" t="s">
        <v>990</v>
      </c>
      <c r="M38" s="187" t="s">
        <v>991</v>
      </c>
      <c r="N38" s="187" t="n">
        <v>0</v>
      </c>
      <c r="O38" s="187" t="n">
        <v>6</v>
      </c>
      <c r="P38" s="188"/>
      <c r="Q38" s="187" t="n">
        <v>6</v>
      </c>
      <c r="R38" s="187" t="s">
        <v>940</v>
      </c>
      <c r="S38" s="188" t="s">
        <v>941</v>
      </c>
    </row>
    <row r="39" customFormat="false" ht="30" hidden="false" customHeight="true" outlineLevel="0" collapsed="false">
      <c r="A39" s="186" t="s">
        <v>993</v>
      </c>
      <c r="B39" s="187" t="s">
        <v>177</v>
      </c>
      <c r="C39" s="187" t="s">
        <v>994</v>
      </c>
      <c r="D39" s="187"/>
      <c r="E39" s="187" t="n">
        <v>1900</v>
      </c>
      <c r="F39" s="187" t="n">
        <v>5</v>
      </c>
      <c r="G39" s="187" t="n">
        <v>360</v>
      </c>
      <c r="H39" s="187" t="s">
        <v>988</v>
      </c>
      <c r="I39" s="187" t="n">
        <v>5</v>
      </c>
      <c r="J39" s="187" t="n">
        <v>0</v>
      </c>
      <c r="K39" s="188" t="s">
        <v>989</v>
      </c>
      <c r="L39" s="188" t="s">
        <v>990</v>
      </c>
      <c r="M39" s="187" t="s">
        <v>991</v>
      </c>
      <c r="N39" s="187" t="n">
        <v>0</v>
      </c>
      <c r="O39" s="187" t="n">
        <v>6</v>
      </c>
      <c r="P39" s="188"/>
      <c r="Q39" s="187" t="n">
        <v>6</v>
      </c>
      <c r="R39" s="187" t="s">
        <v>940</v>
      </c>
      <c r="S39" s="188" t="s">
        <v>941</v>
      </c>
    </row>
    <row r="41" customFormat="false" ht="15" hidden="false" customHeight="false" outlineLevel="0" collapsed="false">
      <c r="A41" s="9" t="s">
        <v>995</v>
      </c>
      <c r="B41" s="9"/>
      <c r="C41" s="9"/>
      <c r="D41" s="9"/>
      <c r="E41" s="9"/>
    </row>
    <row r="42" customFormat="false" ht="48" hidden="false" customHeight="true" outlineLevel="0" collapsed="false">
      <c r="A42" s="185" t="s">
        <v>996</v>
      </c>
      <c r="B42" s="185" t="s">
        <v>997</v>
      </c>
      <c r="C42" s="185" t="s">
        <v>998</v>
      </c>
      <c r="E42" s="185" t="s">
        <v>996</v>
      </c>
      <c r="F42" s="185" t="s">
        <v>997</v>
      </c>
      <c r="G42" s="185" t="s">
        <v>999</v>
      </c>
      <c r="H42" s="185" t="s">
        <v>1000</v>
      </c>
    </row>
    <row r="43" customFormat="false" ht="26.85" hidden="false" customHeight="false" outlineLevel="0" collapsed="false">
      <c r="A43" s="190" t="n">
        <v>12</v>
      </c>
      <c r="B43" s="191" t="s">
        <v>1001</v>
      </c>
      <c r="C43" s="192" t="n">
        <v>7</v>
      </c>
      <c r="E43" s="190" t="n">
        <v>12</v>
      </c>
      <c r="F43" s="193" t="s">
        <v>1002</v>
      </c>
      <c r="G43" s="194" t="n">
        <v>100</v>
      </c>
      <c r="H43" s="194" t="n">
        <v>150</v>
      </c>
    </row>
    <row r="44" customFormat="false" ht="15" hidden="false" customHeight="false" outlineLevel="0" collapsed="false">
      <c r="A44" s="190" t="n">
        <v>72</v>
      </c>
      <c r="B44" s="191" t="s">
        <v>1003</v>
      </c>
      <c r="C44" s="192" t="n">
        <v>15</v>
      </c>
      <c r="E44" s="190" t="n">
        <v>36</v>
      </c>
      <c r="F44" s="193" t="s">
        <v>1004</v>
      </c>
      <c r="G44" s="194" t="n">
        <v>400</v>
      </c>
      <c r="H44" s="194" t="n">
        <v>450</v>
      </c>
    </row>
    <row r="45" customFormat="false" ht="15" hidden="false" customHeight="false" outlineLevel="0" collapsed="false">
      <c r="A45" s="190" t="n">
        <v>132</v>
      </c>
      <c r="B45" s="191" t="s">
        <v>1005</v>
      </c>
      <c r="C45" s="192" t="n">
        <v>22</v>
      </c>
      <c r="E45" s="190" t="n">
        <v>84</v>
      </c>
      <c r="F45" s="193" t="s">
        <v>1006</v>
      </c>
      <c r="G45" s="194" t="n">
        <v>700</v>
      </c>
      <c r="H45" s="194" t="n">
        <v>750</v>
      </c>
    </row>
    <row r="46" customFormat="false" ht="26.85" hidden="false" customHeight="false" outlineLevel="0" collapsed="false">
      <c r="A46" s="190" t="n">
        <v>192</v>
      </c>
      <c r="B46" s="191" t="s">
        <v>1007</v>
      </c>
      <c r="C46" s="192" t="n">
        <v>28</v>
      </c>
      <c r="E46" s="190" t="n">
        <v>144</v>
      </c>
      <c r="F46" s="193" t="s">
        <v>1008</v>
      </c>
      <c r="G46" s="194" t="n">
        <v>900</v>
      </c>
      <c r="H46" s="194" t="n">
        <v>950</v>
      </c>
    </row>
    <row r="47" customFormat="false" ht="15" hidden="false" customHeight="false" outlineLevel="0" collapsed="false">
      <c r="A47" s="190" t="n">
        <v>240</v>
      </c>
      <c r="B47" s="191" t="s">
        <v>1009</v>
      </c>
      <c r="C47" s="192" t="n">
        <v>43</v>
      </c>
      <c r="E47" s="190" t="n">
        <v>204</v>
      </c>
      <c r="F47" s="193" t="s">
        <v>1010</v>
      </c>
      <c r="G47" s="194" t="n">
        <v>1100</v>
      </c>
      <c r="H47" s="194" t="n">
        <v>1150</v>
      </c>
    </row>
    <row r="48" customFormat="false" ht="15" hidden="false" customHeight="false" outlineLevel="0" collapsed="false">
      <c r="A48" s="190" t="n">
        <v>300</v>
      </c>
      <c r="B48" s="191" t="s">
        <v>1011</v>
      </c>
      <c r="C48" s="192" t="n">
        <v>60</v>
      </c>
    </row>
    <row r="49" customFormat="false" ht="15" hidden="false" customHeight="false" outlineLevel="0" collapsed="false">
      <c r="A49" s="190" t="n">
        <v>360</v>
      </c>
      <c r="B49" s="191" t="s">
        <v>1012</v>
      </c>
      <c r="C49" s="192" t="n">
        <v>69</v>
      </c>
    </row>
    <row r="50" customFormat="false" ht="15" hidden="false" customHeight="false" outlineLevel="0" collapsed="false">
      <c r="A50" s="7" t="s">
        <v>1013</v>
      </c>
    </row>
    <row r="52" customFormat="false" ht="15" hidden="false" customHeight="false" outlineLevel="0" collapsed="false">
      <c r="A52" s="9" t="s">
        <v>1014</v>
      </c>
      <c r="B52" s="9"/>
      <c r="C52" s="9"/>
      <c r="D52" s="9"/>
      <c r="E52" s="9"/>
      <c r="F52" s="9"/>
      <c r="G52" s="9"/>
      <c r="H52" s="9"/>
    </row>
    <row r="53" customFormat="false" ht="48" hidden="false" customHeight="true" outlineLevel="0" collapsed="false">
      <c r="A53" s="13" t="s">
        <v>1015</v>
      </c>
      <c r="B53" s="185" t="s">
        <v>1016</v>
      </c>
      <c r="C53" s="185" t="s">
        <v>1017</v>
      </c>
      <c r="D53" s="185" t="s">
        <v>1018</v>
      </c>
      <c r="E53" s="185" t="s">
        <v>1019</v>
      </c>
      <c r="F53" s="185" t="s">
        <v>1020</v>
      </c>
      <c r="G53" s="185" t="s">
        <v>1021</v>
      </c>
      <c r="H53" s="185" t="s">
        <v>1022</v>
      </c>
    </row>
    <row r="54" customFormat="false" ht="30" hidden="false" customHeight="true" outlineLevel="0" collapsed="false">
      <c r="A54" s="36" t="s">
        <v>1023</v>
      </c>
      <c r="B54" s="195" t="s">
        <v>1024</v>
      </c>
      <c r="C54" s="195" t="s">
        <v>1024</v>
      </c>
      <c r="D54" s="195" t="s">
        <v>1024</v>
      </c>
      <c r="E54" s="195" t="s">
        <v>1024</v>
      </c>
      <c r="F54" s="196" t="s">
        <v>176</v>
      </c>
      <c r="G54" s="196" t="s">
        <v>176</v>
      </c>
      <c r="H54" s="195"/>
    </row>
    <row r="55" customFormat="false" ht="30" hidden="false" customHeight="true" outlineLevel="0" collapsed="false">
      <c r="A55" s="36" t="s">
        <v>1025</v>
      </c>
      <c r="B55" s="196" t="s">
        <v>176</v>
      </c>
      <c r="C55" s="195"/>
      <c r="D55" s="196" t="s">
        <v>176</v>
      </c>
      <c r="E55" s="196" t="s">
        <v>176</v>
      </c>
      <c r="F55" s="196" t="s">
        <v>176</v>
      </c>
      <c r="G55" s="196" t="s">
        <v>176</v>
      </c>
      <c r="H55" s="195"/>
    </row>
    <row r="56" customFormat="false" ht="30" hidden="false" customHeight="true" outlineLevel="0" collapsed="false">
      <c r="A56" s="36" t="s">
        <v>1026</v>
      </c>
      <c r="B56" s="195"/>
      <c r="C56" s="195"/>
      <c r="D56" s="195"/>
      <c r="E56" s="196" t="s">
        <v>176</v>
      </c>
      <c r="F56" s="196" t="s">
        <v>176</v>
      </c>
      <c r="G56" s="196" t="s">
        <v>176</v>
      </c>
      <c r="H56" s="196" t="s">
        <v>176</v>
      </c>
    </row>
    <row r="57" customFormat="false" ht="30" hidden="false" customHeight="true" outlineLevel="0" collapsed="false">
      <c r="A57" s="36" t="s">
        <v>1027</v>
      </c>
      <c r="B57" s="195"/>
      <c r="C57" s="195"/>
      <c r="D57" s="195"/>
      <c r="E57" s="196" t="s">
        <v>176</v>
      </c>
      <c r="F57" s="196" t="s">
        <v>176</v>
      </c>
      <c r="G57" s="196" t="s">
        <v>176</v>
      </c>
      <c r="H57" s="196" t="s">
        <v>176</v>
      </c>
    </row>
    <row r="58" customFormat="false" ht="30" hidden="false" customHeight="true" outlineLevel="0" collapsed="false">
      <c r="A58" s="36" t="s">
        <v>1028</v>
      </c>
      <c r="B58" s="196" t="s">
        <v>176</v>
      </c>
      <c r="C58" s="196" t="s">
        <v>176</v>
      </c>
      <c r="D58" s="195"/>
      <c r="E58" s="196" t="s">
        <v>176</v>
      </c>
      <c r="F58" s="196" t="s">
        <v>176</v>
      </c>
      <c r="G58" s="196" t="s">
        <v>176</v>
      </c>
      <c r="H58" s="196" t="s">
        <v>176</v>
      </c>
    </row>
    <row r="59" customFormat="false" ht="30" hidden="false" customHeight="true" outlineLevel="0" collapsed="false">
      <c r="A59" s="36" t="s">
        <v>1029</v>
      </c>
      <c r="B59" s="195"/>
      <c r="C59" s="195" t="s">
        <v>1024</v>
      </c>
      <c r="D59" s="195"/>
      <c r="E59" s="195"/>
      <c r="F59" s="195"/>
      <c r="G59" s="196" t="s">
        <v>176</v>
      </c>
      <c r="H59" s="196" t="s">
        <v>176</v>
      </c>
    </row>
    <row r="60" customFormat="false" ht="30" hidden="false" customHeight="true" outlineLevel="0" collapsed="false">
      <c r="A60" s="36" t="s">
        <v>1030</v>
      </c>
      <c r="B60" s="196" t="s">
        <v>176</v>
      </c>
      <c r="C60" s="195"/>
      <c r="D60" s="195"/>
      <c r="E60" s="196" t="s">
        <v>176</v>
      </c>
      <c r="F60" s="196" t="s">
        <v>176</v>
      </c>
      <c r="G60" s="195" t="s">
        <v>1031</v>
      </c>
      <c r="H60" s="195"/>
    </row>
    <row r="61" customFormat="false" ht="30" hidden="false" customHeight="true" outlineLevel="0" collapsed="false">
      <c r="A61" s="36" t="s">
        <v>1032</v>
      </c>
      <c r="B61" s="196" t="s">
        <v>176</v>
      </c>
      <c r="C61" s="196" t="s">
        <v>176</v>
      </c>
      <c r="D61" s="196" t="s">
        <v>176</v>
      </c>
      <c r="E61" s="196" t="s">
        <v>176</v>
      </c>
      <c r="F61" s="195"/>
      <c r="G61" s="195"/>
      <c r="H61" s="195"/>
    </row>
    <row r="62" customFormat="false" ht="30" hidden="false" customHeight="true" outlineLevel="0" collapsed="false">
      <c r="A62" s="36" t="s">
        <v>1033</v>
      </c>
      <c r="B62" s="196" t="s">
        <v>176</v>
      </c>
      <c r="C62" s="196" t="s">
        <v>176</v>
      </c>
      <c r="D62" s="196" t="s">
        <v>176</v>
      </c>
      <c r="E62" s="196" t="s">
        <v>176</v>
      </c>
      <c r="F62" s="196" t="s">
        <v>176</v>
      </c>
      <c r="G62" s="196" t="s">
        <v>176</v>
      </c>
      <c r="H62" s="196" t="s">
        <v>176</v>
      </c>
    </row>
    <row r="65" customFormat="false" ht="15" hidden="false" customHeight="false" outlineLevel="0" collapsed="false">
      <c r="A65" s="9" t="s">
        <v>1034</v>
      </c>
      <c r="B65" s="9"/>
      <c r="C65" s="9"/>
      <c r="D65" s="9"/>
      <c r="E65" s="9"/>
      <c r="F65" s="9"/>
      <c r="G65" s="9"/>
      <c r="H65" s="9"/>
    </row>
    <row r="66" customFormat="false" ht="48" hidden="false" customHeight="true" outlineLevel="0" collapsed="false">
      <c r="A66" s="13" t="s">
        <v>1015</v>
      </c>
      <c r="B66" s="185" t="s">
        <v>1016</v>
      </c>
      <c r="C66" s="185" t="s">
        <v>1017</v>
      </c>
      <c r="D66" s="185" t="s">
        <v>1018</v>
      </c>
      <c r="E66" s="185" t="s">
        <v>1019</v>
      </c>
      <c r="F66" s="185" t="s">
        <v>1020</v>
      </c>
      <c r="G66" s="185" t="s">
        <v>1021</v>
      </c>
      <c r="H66" s="185" t="s">
        <v>1022</v>
      </c>
    </row>
    <row r="67" customFormat="false" ht="30" hidden="false" customHeight="true" outlineLevel="0" collapsed="false">
      <c r="A67" s="36" t="s">
        <v>1035</v>
      </c>
      <c r="B67" s="195"/>
      <c r="C67" s="195"/>
      <c r="D67" s="195"/>
      <c r="E67" s="196" t="s">
        <v>176</v>
      </c>
      <c r="F67" s="196" t="s">
        <v>176</v>
      </c>
      <c r="G67" s="196" t="s">
        <v>176</v>
      </c>
      <c r="H67" s="196" t="s">
        <v>176</v>
      </c>
    </row>
    <row r="68" customFormat="false" ht="30" hidden="false" customHeight="true" outlineLevel="0" collapsed="false">
      <c r="A68" s="36" t="s">
        <v>1036</v>
      </c>
      <c r="B68" s="196" t="s">
        <v>176</v>
      </c>
      <c r="C68" s="196" t="s">
        <v>176</v>
      </c>
      <c r="D68" s="196" t="s">
        <v>176</v>
      </c>
      <c r="E68" s="196" t="s">
        <v>176</v>
      </c>
      <c r="F68" s="195"/>
      <c r="G68" s="195"/>
      <c r="H68" s="195"/>
    </row>
    <row r="69" customFormat="false" ht="30" hidden="false" customHeight="true" outlineLevel="0" collapsed="false">
      <c r="A69" s="36" t="s">
        <v>1037</v>
      </c>
      <c r="B69" s="196" t="s">
        <v>176</v>
      </c>
      <c r="C69" s="196" t="s">
        <v>176</v>
      </c>
      <c r="D69" s="195"/>
      <c r="E69" s="196" t="s">
        <v>176</v>
      </c>
      <c r="F69" s="196" t="s">
        <v>176</v>
      </c>
      <c r="G69" s="195"/>
      <c r="H69" s="195"/>
    </row>
    <row r="70" customFormat="false" ht="30" hidden="false" customHeight="true" outlineLevel="0" collapsed="false">
      <c r="A70" s="36" t="s">
        <v>1038</v>
      </c>
      <c r="B70" s="196" t="s">
        <v>176</v>
      </c>
      <c r="C70" s="196" t="s">
        <v>176</v>
      </c>
      <c r="D70" s="195"/>
      <c r="E70" s="196" t="s">
        <v>176</v>
      </c>
      <c r="F70" s="196" t="s">
        <v>176</v>
      </c>
      <c r="G70" s="195"/>
      <c r="H70" s="195"/>
    </row>
    <row r="71" customFormat="false" ht="30" hidden="false" customHeight="true" outlineLevel="0" collapsed="false">
      <c r="A71" s="36" t="s">
        <v>1039</v>
      </c>
      <c r="B71" s="195"/>
      <c r="C71" s="195"/>
      <c r="D71" s="195"/>
      <c r="E71" s="195"/>
      <c r="F71" s="195"/>
      <c r="G71" s="195" t="s">
        <v>1040</v>
      </c>
      <c r="H71" s="195"/>
    </row>
    <row r="74" customFormat="false" ht="15" hidden="false" customHeight="false" outlineLevel="0" collapsed="false">
      <c r="A74" s="9" t="s">
        <v>1041</v>
      </c>
      <c r="B74" s="9"/>
      <c r="C74" s="9"/>
    </row>
    <row r="75" customFormat="false" ht="39.75" hidden="false" customHeight="true" outlineLevel="0" collapsed="false">
      <c r="A75" s="13" t="s">
        <v>1042</v>
      </c>
      <c r="B75" s="197" t="s">
        <v>1043</v>
      </c>
    </row>
    <row r="76" customFormat="false" ht="30" hidden="false" customHeight="true" outlineLevel="0" collapsed="false">
      <c r="A76" s="188" t="s">
        <v>1044</v>
      </c>
      <c r="B76" s="188" t="s">
        <v>1045</v>
      </c>
    </row>
    <row r="77" customFormat="false" ht="30" hidden="false" customHeight="true" outlineLevel="0" collapsed="false">
      <c r="A77" s="188" t="s">
        <v>1046</v>
      </c>
      <c r="B77" s="188" t="s">
        <v>1046</v>
      </c>
    </row>
    <row r="78" customFormat="false" ht="30" hidden="false" customHeight="true" outlineLevel="0" collapsed="false">
      <c r="A78" s="188" t="s">
        <v>1047</v>
      </c>
      <c r="B78" s="188" t="s">
        <v>1048</v>
      </c>
    </row>
    <row r="79" customFormat="false" ht="30" hidden="false" customHeight="true" outlineLevel="0" collapsed="false">
      <c r="A79" s="188" t="s">
        <v>1049</v>
      </c>
      <c r="B79" s="188" t="s">
        <v>1049</v>
      </c>
    </row>
    <row r="80" customFormat="false" ht="30" hidden="false" customHeight="true" outlineLevel="0" collapsed="false">
      <c r="A80" s="188" t="s">
        <v>5</v>
      </c>
      <c r="B80" s="188" t="s">
        <v>1050</v>
      </c>
    </row>
    <row r="83" customFormat="false" ht="15" hidden="false" customHeight="false" outlineLevel="0" collapsed="false">
      <c r="A83" s="9" t="s">
        <v>1051</v>
      </c>
      <c r="B83" s="9"/>
    </row>
    <row r="84" customFormat="false" ht="15" hidden="false" customHeight="false" outlineLevel="0" collapsed="false">
      <c r="A84" s="13" t="s">
        <v>37</v>
      </c>
      <c r="B84" s="13" t="s">
        <v>135</v>
      </c>
    </row>
    <row r="85" customFormat="false" ht="30" hidden="false" customHeight="true" outlineLevel="0" collapsed="false">
      <c r="A85" s="188" t="s">
        <v>38</v>
      </c>
      <c r="B85" s="187" t="s">
        <v>1052</v>
      </c>
    </row>
    <row r="86" customFormat="false" ht="30" hidden="false" customHeight="true" outlineLevel="0" collapsed="false">
      <c r="A86" s="188" t="s">
        <v>1053</v>
      </c>
      <c r="B86" s="187" t="s">
        <v>1054</v>
      </c>
    </row>
    <row r="87" customFormat="false" ht="30" hidden="false" customHeight="true" outlineLevel="0" collapsed="false">
      <c r="A87" s="188" t="s">
        <v>1055</v>
      </c>
      <c r="B87" s="187" t="s">
        <v>1056</v>
      </c>
    </row>
    <row r="90" customFormat="false" ht="15" hidden="false" customHeight="false" outlineLevel="0" collapsed="false">
      <c r="A90" s="9" t="s">
        <v>1057</v>
      </c>
      <c r="B90" s="9"/>
    </row>
    <row r="91" customFormat="false" ht="15" hidden="false" customHeight="false" outlineLevel="0" collapsed="false">
      <c r="A91" s="13" t="s">
        <v>1058</v>
      </c>
      <c r="B91" s="13" t="s">
        <v>1059</v>
      </c>
    </row>
    <row r="92" customFormat="false" ht="15" hidden="false" customHeight="false" outlineLevel="0" collapsed="false">
      <c r="A92" s="198" t="n">
        <v>46307</v>
      </c>
      <c r="B92" s="187" t="s">
        <v>1060</v>
      </c>
      <c r="D92" s="183" t="s">
        <v>1061</v>
      </c>
    </row>
    <row r="93" customFormat="false" ht="15" hidden="false" customHeight="false" outlineLevel="0" collapsed="false">
      <c r="A93" s="198" t="n">
        <v>46329</v>
      </c>
      <c r="B93" s="187" t="s">
        <v>1062</v>
      </c>
    </row>
    <row r="94" customFormat="false" ht="15" hidden="false" customHeight="false" outlineLevel="0" collapsed="false">
      <c r="A94" s="198" t="n">
        <v>46349</v>
      </c>
      <c r="B94" s="187" t="s">
        <v>1063</v>
      </c>
    </row>
    <row r="95" customFormat="false" ht="15" hidden="false" customHeight="false" outlineLevel="0" collapsed="false">
      <c r="A95" s="198" t="n">
        <v>46385</v>
      </c>
      <c r="B95" s="187" t="s">
        <v>1064</v>
      </c>
    </row>
    <row r="96" customFormat="false" ht="15" hidden="false" customHeight="false" outlineLevel="0" collapsed="false">
      <c r="A96" s="198" t="n">
        <v>46386</v>
      </c>
      <c r="B96" s="187" t="s">
        <v>1064</v>
      </c>
    </row>
    <row r="97" customFormat="false" ht="15" hidden="false" customHeight="false" outlineLevel="0" collapsed="false">
      <c r="A97" s="198" t="n">
        <v>46387</v>
      </c>
      <c r="B97" s="187" t="s">
        <v>1064</v>
      </c>
    </row>
    <row r="98" customFormat="false" ht="15" hidden="false" customHeight="false" outlineLevel="0" collapsed="false">
      <c r="A98" s="198" t="n">
        <v>46388</v>
      </c>
      <c r="B98" s="187" t="s">
        <v>1065</v>
      </c>
    </row>
    <row r="99" customFormat="false" ht="15" hidden="false" customHeight="false" outlineLevel="0" collapsed="false">
      <c r="A99" s="198" t="n">
        <v>46389</v>
      </c>
      <c r="B99" s="187" t="s">
        <v>1064</v>
      </c>
    </row>
    <row r="100" customFormat="false" ht="15" hidden="false" customHeight="false" outlineLevel="0" collapsed="false">
      <c r="A100" s="198" t="n">
        <v>46390</v>
      </c>
      <c r="B100" s="187" t="s">
        <v>1064</v>
      </c>
    </row>
    <row r="101" customFormat="false" ht="15" hidden="false" customHeight="false" outlineLevel="0" collapsed="false">
      <c r="A101" s="198" t="n">
        <v>46398</v>
      </c>
      <c r="B101" s="187" t="s">
        <v>1066</v>
      </c>
    </row>
    <row r="102" customFormat="false" ht="15" hidden="false" customHeight="false" outlineLevel="0" collapsed="false">
      <c r="A102" s="198" t="n">
        <v>46429</v>
      </c>
      <c r="B102" s="187" t="s">
        <v>1067</v>
      </c>
    </row>
    <row r="103" customFormat="false" ht="15" hidden="false" customHeight="false" outlineLevel="0" collapsed="false">
      <c r="A103" s="198" t="n">
        <v>46441</v>
      </c>
      <c r="B103" s="187" t="s">
        <v>1068</v>
      </c>
    </row>
    <row r="104" customFormat="false" ht="15" hidden="false" customHeight="false" outlineLevel="0" collapsed="false">
      <c r="A104" s="198" t="n">
        <v>46467</v>
      </c>
      <c r="B104" s="187" t="s">
        <v>1069</v>
      </c>
    </row>
    <row r="105" customFormat="false" ht="15" hidden="false" customHeight="false" outlineLevel="0" collapsed="false">
      <c r="A105" s="198" t="n">
        <v>46468</v>
      </c>
      <c r="B105" s="187" t="s">
        <v>1070</v>
      </c>
    </row>
    <row r="106" customFormat="false" ht="15" hidden="false" customHeight="false" outlineLevel="0" collapsed="false">
      <c r="A106" s="198" t="n">
        <v>46506</v>
      </c>
      <c r="B106" s="187" t="s">
        <v>1071</v>
      </c>
    </row>
    <row r="107" customFormat="false" ht="15" hidden="false" customHeight="false" outlineLevel="0" collapsed="false">
      <c r="A107" s="198" t="n">
        <v>46510</v>
      </c>
      <c r="B107" s="187" t="s">
        <v>1072</v>
      </c>
    </row>
    <row r="108" customFormat="false" ht="15" hidden="false" customHeight="false" outlineLevel="0" collapsed="false">
      <c r="A108" s="198" t="n">
        <v>46511</v>
      </c>
      <c r="B108" s="187" t="s">
        <v>1073</v>
      </c>
    </row>
    <row r="109" customFormat="false" ht="15" hidden="false" customHeight="false" outlineLevel="0" collapsed="false">
      <c r="A109" s="198" t="n">
        <v>46512</v>
      </c>
      <c r="B109" s="187" t="s">
        <v>1074</v>
      </c>
    </row>
    <row r="110" customFormat="false" ht="15" hidden="false" customHeight="false" outlineLevel="0" collapsed="false">
      <c r="A110" s="198" t="n">
        <v>46587</v>
      </c>
      <c r="B110" s="187" t="s">
        <v>1075</v>
      </c>
    </row>
    <row r="111" customFormat="false" ht="15" hidden="false" customHeight="false" outlineLevel="0" collapsed="false">
      <c r="A111" s="198" t="n">
        <v>46610</v>
      </c>
      <c r="B111" s="187" t="s">
        <v>1076</v>
      </c>
    </row>
    <row r="112" customFormat="false" ht="15" hidden="false" customHeight="false" outlineLevel="0" collapsed="false">
      <c r="A112" s="198" t="n">
        <v>46650</v>
      </c>
      <c r="B112" s="187" t="s">
        <v>1077</v>
      </c>
    </row>
    <row r="113" customFormat="false" ht="15" hidden="false" customHeight="false" outlineLevel="0" collapsed="false">
      <c r="A113" s="198" t="n">
        <v>46653</v>
      </c>
      <c r="B113" s="187" t="s">
        <v>1078</v>
      </c>
    </row>
    <row r="114" customFormat="false" ht="15" hidden="false" customHeight="false" outlineLevel="0" collapsed="false">
      <c r="A114" s="198" t="n">
        <v>46671</v>
      </c>
      <c r="B114" s="187" t="s">
        <v>1060</v>
      </c>
    </row>
    <row r="115" customFormat="false" ht="15" hidden="false" customHeight="false" outlineLevel="0" collapsed="false">
      <c r="A115" s="198" t="n">
        <v>46694</v>
      </c>
      <c r="B115" s="187" t="s">
        <v>1062</v>
      </c>
    </row>
    <row r="116" customFormat="false" ht="15" hidden="false" customHeight="false" outlineLevel="0" collapsed="false">
      <c r="A116" s="198" t="n">
        <v>46714</v>
      </c>
      <c r="B116" s="187" t="s">
        <v>1063</v>
      </c>
    </row>
    <row r="117" customFormat="false" ht="15" hidden="false" customHeight="false" outlineLevel="0" collapsed="false">
      <c r="A117" s="198" t="n">
        <v>46750</v>
      </c>
      <c r="B117" s="187" t="s">
        <v>1064</v>
      </c>
    </row>
    <row r="118" customFormat="false" ht="15" hidden="false" customHeight="false" outlineLevel="0" collapsed="false">
      <c r="A118" s="198" t="n">
        <v>46751</v>
      </c>
      <c r="B118" s="187" t="s">
        <v>1064</v>
      </c>
    </row>
    <row r="119" customFormat="false" ht="15" hidden="false" customHeight="false" outlineLevel="0" collapsed="false">
      <c r="A119" s="198" t="n">
        <v>46752</v>
      </c>
      <c r="B119" s="187" t="s">
        <v>1064</v>
      </c>
    </row>
    <row r="120" customFormat="false" ht="15" hidden="false" customHeight="false" outlineLevel="0" collapsed="false">
      <c r="A120" s="199"/>
      <c r="B120" s="200"/>
    </row>
    <row r="121" customFormat="false" ht="15" hidden="false" customHeight="false" outlineLevel="0" collapsed="false">
      <c r="A121" s="199"/>
      <c r="B121" s="200"/>
    </row>
    <row r="122" customFormat="false" ht="15" hidden="false" customHeight="false" outlineLevel="0" collapsed="false">
      <c r="A122" s="199"/>
      <c r="B122" s="200"/>
    </row>
    <row r="123" customFormat="false" ht="15" hidden="false" customHeight="false" outlineLevel="0" collapsed="false">
      <c r="A123" s="199"/>
      <c r="B123" s="200"/>
    </row>
    <row r="124" customFormat="false" ht="15" hidden="false" customHeight="false" outlineLevel="0" collapsed="false">
      <c r="A124" s="199"/>
      <c r="B124" s="200"/>
    </row>
    <row r="125" customFormat="false" ht="15" hidden="false" customHeight="false" outlineLevel="0" collapsed="false">
      <c r="A125" s="199"/>
      <c r="B125" s="200"/>
    </row>
    <row r="126" customFormat="false" ht="15" hidden="false" customHeight="false" outlineLevel="0" collapsed="false">
      <c r="A126" s="199"/>
      <c r="B126" s="200"/>
    </row>
    <row r="127" customFormat="false" ht="15" hidden="false" customHeight="false" outlineLevel="0" collapsed="false">
      <c r="A127" s="199"/>
      <c r="B127" s="200"/>
    </row>
    <row r="128" customFormat="false" ht="15" hidden="false" customHeight="false" outlineLevel="0" collapsed="false">
      <c r="A128" s="199"/>
      <c r="B128" s="200"/>
    </row>
    <row r="129" customFormat="false" ht="15" hidden="false" customHeight="false" outlineLevel="0" collapsed="false">
      <c r="A129" s="199"/>
      <c r="B129" s="200"/>
    </row>
    <row r="130" customFormat="false" ht="15" hidden="false" customHeight="false" outlineLevel="0" collapsed="false">
      <c r="A130" s="199"/>
      <c r="B130" s="200"/>
    </row>
    <row r="131" customFormat="false" ht="15" hidden="false" customHeight="false" outlineLevel="0" collapsed="false">
      <c r="A131" s="199"/>
      <c r="B131" s="200"/>
    </row>
    <row r="132" customFormat="false" ht="15" hidden="false" customHeight="false" outlineLevel="0" collapsed="false">
      <c r="A132" s="199"/>
      <c r="B132" s="200"/>
    </row>
    <row r="133" customFormat="false" ht="15" hidden="false" customHeight="false" outlineLevel="0" collapsed="false">
      <c r="A133" s="199"/>
      <c r="B133" s="200"/>
    </row>
    <row r="134" customFormat="false" ht="15" hidden="false" customHeight="false" outlineLevel="0" collapsed="false">
      <c r="A134" s="199"/>
      <c r="B134" s="200"/>
    </row>
    <row r="135" customFormat="false" ht="15" hidden="false" customHeight="false" outlineLevel="0" collapsed="false">
      <c r="A135" s="199"/>
      <c r="B135" s="200"/>
    </row>
    <row r="136" customFormat="false" ht="15" hidden="false" customHeight="false" outlineLevel="0" collapsed="false">
      <c r="A136" s="199"/>
      <c r="B136" s="200"/>
    </row>
    <row r="137" customFormat="false" ht="15" hidden="false" customHeight="false" outlineLevel="0" collapsed="false">
      <c r="A137" s="199"/>
      <c r="B137" s="200"/>
    </row>
    <row r="138" customFormat="false" ht="15" hidden="false" customHeight="false" outlineLevel="0" collapsed="false">
      <c r="A138" s="199"/>
      <c r="B138" s="200"/>
    </row>
    <row r="139" customFormat="false" ht="15" hidden="false" customHeight="false" outlineLevel="0" collapsed="false">
      <c r="A139" s="199"/>
      <c r="B139" s="200"/>
    </row>
    <row r="140" customFormat="false" ht="15" hidden="false" customHeight="false" outlineLevel="0" collapsed="false">
      <c r="A140" s="199"/>
      <c r="B140" s="200"/>
    </row>
    <row r="141" customFormat="false" ht="15" hidden="false" customHeight="false" outlineLevel="0" collapsed="false">
      <c r="A141" s="199"/>
      <c r="B141" s="200"/>
    </row>
    <row r="142" customFormat="false" ht="15" hidden="false" customHeight="false" outlineLevel="0" collapsed="false">
      <c r="A142" s="199"/>
      <c r="B142" s="200"/>
    </row>
    <row r="143" customFormat="false" ht="15" hidden="false" customHeight="false" outlineLevel="0" collapsed="false">
      <c r="A143" s="199"/>
      <c r="B143" s="200"/>
    </row>
    <row r="144" customFormat="false" ht="15" hidden="false" customHeight="false" outlineLevel="0" collapsed="false">
      <c r="A144" s="199"/>
      <c r="B144" s="200"/>
    </row>
    <row r="145" customFormat="false" ht="15" hidden="false" customHeight="false" outlineLevel="0" collapsed="false">
      <c r="A145" s="199"/>
      <c r="B145" s="200"/>
    </row>
    <row r="146" customFormat="false" ht="15" hidden="false" customHeight="false" outlineLevel="0" collapsed="false">
      <c r="A146" s="199"/>
      <c r="B146" s="200"/>
    </row>
    <row r="147" customFormat="false" ht="15" hidden="false" customHeight="false" outlineLevel="0" collapsed="false">
      <c r="A147" s="199"/>
      <c r="B147" s="200"/>
    </row>
    <row r="148" customFormat="false" ht="15" hidden="false" customHeight="false" outlineLevel="0" collapsed="false">
      <c r="A148" s="199"/>
      <c r="B148" s="200"/>
    </row>
    <row r="149" customFormat="false" ht="15" hidden="false" customHeight="false" outlineLevel="0" collapsed="false">
      <c r="A149" s="199"/>
      <c r="B149" s="200"/>
    </row>
    <row r="150" customFormat="false" ht="15" hidden="false" customHeight="false" outlineLevel="0" collapsed="false">
      <c r="A150" s="199"/>
      <c r="B150" s="200"/>
    </row>
    <row r="151" customFormat="false" ht="15" hidden="false" customHeight="false" outlineLevel="0" collapsed="false">
      <c r="A151" s="199"/>
      <c r="B151" s="200"/>
    </row>
    <row r="152" customFormat="false" ht="15" hidden="false" customHeight="false" outlineLevel="0" collapsed="false">
      <c r="A152" s="199"/>
      <c r="B152" s="200"/>
    </row>
  </sheetData>
  <mergeCells count="8">
    <mergeCell ref="A3:D3"/>
    <mergeCell ref="A20:S20"/>
    <mergeCell ref="A41:E41"/>
    <mergeCell ref="A52:H52"/>
    <mergeCell ref="A65:H65"/>
    <mergeCell ref="A74:C74"/>
    <mergeCell ref="A83:B83"/>
    <mergeCell ref="A90:B90"/>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0" filterMode="false">
    <pageSetUpPr fitToPage="false"/>
  </sheetPr>
  <dimension ref="A1:D2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 collapsed="false" customWidth="true" hidden="false" outlineLevel="0" max="4" min="4" style="0" width="34"/>
  </cols>
  <sheetData>
    <row r="1" customFormat="false" ht="16.15" hidden="false" customHeight="false" outlineLevel="0" collapsed="false">
      <c r="A1" s="163" t="s">
        <v>274</v>
      </c>
    </row>
    <row r="2" customFormat="false" ht="15" hidden="false" customHeight="false" outlineLevel="0" collapsed="false">
      <c r="A2" s="7" t="s">
        <v>1079</v>
      </c>
    </row>
    <row r="3" customFormat="false" ht="15" hidden="false" customHeight="false" outlineLevel="0" collapsed="false">
      <c r="A3" s="13" t="s">
        <v>1080</v>
      </c>
      <c r="B3" s="13" t="s">
        <v>1081</v>
      </c>
      <c r="C3" s="13" t="s">
        <v>1082</v>
      </c>
      <c r="D3" s="13" t="s">
        <v>1083</v>
      </c>
    </row>
    <row r="4" customFormat="false" ht="15" hidden="false" customHeight="false" outlineLevel="0" collapsed="false">
      <c r="A4" s="201" t="s">
        <v>1084</v>
      </c>
      <c r="B4" s="202"/>
      <c r="C4" s="202"/>
      <c r="D4" s="202"/>
    </row>
    <row r="5" customFormat="false" ht="15" hidden="false" customHeight="false" outlineLevel="0" collapsed="false">
      <c r="A5" s="43" t="s">
        <v>1085</v>
      </c>
      <c r="B5" s="203" t="n">
        <f aca="false">10000</f>
        <v>10000</v>
      </c>
      <c r="C5" s="7" t="s">
        <v>1086</v>
      </c>
      <c r="D5" s="40" t="s">
        <v>1087</v>
      </c>
    </row>
    <row r="6" customFormat="false" ht="15" hidden="false" customHeight="false" outlineLevel="0" collapsed="false">
      <c r="A6" s="43" t="s">
        <v>1088</v>
      </c>
      <c r="B6" s="204" t="n">
        <f aca="false">12</f>
        <v>12</v>
      </c>
      <c r="C6" s="7" t="s">
        <v>1089</v>
      </c>
      <c r="D6" s="40" t="s">
        <v>1090</v>
      </c>
    </row>
    <row r="7" customFormat="false" ht="15" hidden="false" customHeight="false" outlineLevel="0" collapsed="false">
      <c r="A7" s="43" t="s">
        <v>1091</v>
      </c>
      <c r="B7" s="204" t="n">
        <f aca="false">6</f>
        <v>6</v>
      </c>
      <c r="C7" s="7" t="s">
        <v>1092</v>
      </c>
      <c r="D7" s="40" t="s">
        <v>1093</v>
      </c>
    </row>
    <row r="8" customFormat="false" ht="15" hidden="false" customHeight="false" outlineLevel="0" collapsed="false">
      <c r="A8" s="43" t="s">
        <v>1094</v>
      </c>
      <c r="B8" s="204" t="n">
        <f aca="false">2</f>
        <v>2</v>
      </c>
      <c r="C8" s="7" t="s">
        <v>1095</v>
      </c>
      <c r="D8" s="40" t="s">
        <v>1096</v>
      </c>
    </row>
    <row r="9" customFormat="false" ht="15" hidden="false" customHeight="false" outlineLevel="0" collapsed="false">
      <c r="A9" s="43" t="s">
        <v>1097</v>
      </c>
      <c r="B9" s="205" t="n">
        <f aca="false">0.0000001</f>
        <v>1E-007</v>
      </c>
      <c r="C9" s="7" t="s">
        <v>1098</v>
      </c>
      <c r="D9" s="40" t="s">
        <v>1099</v>
      </c>
    </row>
    <row r="10" customFormat="false" ht="15" hidden="false" customHeight="false" outlineLevel="0" collapsed="false">
      <c r="A10" s="201" t="s">
        <v>1100</v>
      </c>
      <c r="B10" s="202"/>
      <c r="C10" s="202"/>
      <c r="D10" s="202"/>
    </row>
    <row r="11" customFormat="false" ht="15" hidden="false" customHeight="false" outlineLevel="0" collapsed="false">
      <c r="A11" s="43" t="s">
        <v>486</v>
      </c>
      <c r="B11" s="204" t="n">
        <f aca="false">IFERROR(MATCH(入力_貸付区分,区分表_名称,0),1)</f>
        <v>1</v>
      </c>
      <c r="C11" s="7" t="s">
        <v>1101</v>
      </c>
      <c r="D11" s="40" t="s">
        <v>1102</v>
      </c>
    </row>
    <row r="12" customFormat="false" ht="15" hidden="false" customHeight="false" outlineLevel="0" collapsed="false">
      <c r="A12" s="43" t="s">
        <v>489</v>
      </c>
      <c r="B12" s="206" t="str">
        <f aca="false">INDEX(区分表_区分群,計算_区分行)&amp;""</f>
        <v>普通貸付</v>
      </c>
      <c r="C12" s="7" t="s">
        <v>1103</v>
      </c>
      <c r="D12" s="40" t="s">
        <v>1104</v>
      </c>
    </row>
    <row r="13" customFormat="false" ht="15" hidden="false" customHeight="false" outlineLevel="0" collapsed="false">
      <c r="A13" s="43" t="s">
        <v>492</v>
      </c>
      <c r="B13" s="206" t="str">
        <f aca="false">INDEX(区分表_限度額方式,計算_区分行)&amp;""</f>
        <v>月数</v>
      </c>
      <c r="C13" s="7" t="s">
        <v>1105</v>
      </c>
      <c r="D13" s="40" t="s">
        <v>1106</v>
      </c>
    </row>
    <row r="14" customFormat="false" ht="15" hidden="false" customHeight="false" outlineLevel="0" collapsed="false">
      <c r="A14" s="43" t="s">
        <v>1107</v>
      </c>
      <c r="B14" s="204" t="n">
        <f aca="false">N(INDEX(区分表_給料月数,計算_区分行))</f>
        <v>6</v>
      </c>
      <c r="C14" s="7" t="s">
        <v>1108</v>
      </c>
      <c r="D14" s="40" t="s">
        <v>1109</v>
      </c>
    </row>
    <row r="15" customFormat="false" ht="15" hidden="false" customHeight="false" outlineLevel="0" collapsed="false">
      <c r="A15" s="43" t="s">
        <v>1110</v>
      </c>
      <c r="B15" s="203" t="n">
        <f aca="false">N(INDEX(区分表_上限万円,計算_区分行))</f>
        <v>200</v>
      </c>
      <c r="C15" s="7" t="s">
        <v>1111</v>
      </c>
      <c r="D15" s="40" t="s">
        <v>1112</v>
      </c>
    </row>
    <row r="16" customFormat="false" ht="15" hidden="false" customHeight="false" outlineLevel="0" collapsed="false">
      <c r="A16" s="43" t="s">
        <v>1113</v>
      </c>
      <c r="B16" s="203" t="n">
        <f aca="false">N(INDEX(区分表_単位万円,計算_区分行))</f>
        <v>1</v>
      </c>
      <c r="C16" s="7" t="s">
        <v>1114</v>
      </c>
      <c r="D16" s="40" t="s">
        <v>1115</v>
      </c>
    </row>
    <row r="17" customFormat="false" ht="15" hidden="false" customHeight="false" outlineLevel="0" collapsed="false">
      <c r="A17" s="43" t="s">
        <v>504</v>
      </c>
      <c r="B17" s="203" t="n">
        <f aca="false">N(INDEX(区分表_回数上限,計算_区分行))</f>
        <v>120</v>
      </c>
      <c r="C17" s="7" t="s">
        <v>504</v>
      </c>
      <c r="D17" s="40" t="s">
        <v>1116</v>
      </c>
    </row>
    <row r="18" customFormat="false" ht="15" hidden="false" customHeight="false" outlineLevel="0" collapsed="false">
      <c r="A18" s="43" t="s">
        <v>507</v>
      </c>
      <c r="B18" s="206" t="str">
        <f aca="false">INDEX(区分表_利率種別,計算_区分行)&amp;""</f>
        <v>通常</v>
      </c>
      <c r="C18" s="7" t="s">
        <v>1117</v>
      </c>
      <c r="D18" s="40" t="s">
        <v>1118</v>
      </c>
    </row>
    <row r="19" customFormat="false" ht="15" hidden="false" customHeight="false" outlineLevel="0" collapsed="false">
      <c r="A19" s="43" t="s">
        <v>1119</v>
      </c>
      <c r="B19" s="204" t="n">
        <f aca="false">N(INDEX(区分表_締切日,計算_区分行))</f>
        <v>5</v>
      </c>
      <c r="C19" s="7" t="s">
        <v>1120</v>
      </c>
      <c r="D19" s="40" t="s">
        <v>1121</v>
      </c>
    </row>
    <row r="20" customFormat="false" ht="15" hidden="false" customHeight="false" outlineLevel="0" collapsed="false">
      <c r="A20" s="43" t="s">
        <v>1122</v>
      </c>
      <c r="B20" s="204" t="n">
        <f aca="false">N(INDEX(区分表_住宅書類列,計算_区分行))</f>
        <v>0</v>
      </c>
      <c r="C20" s="7" t="s">
        <v>1123</v>
      </c>
      <c r="D20" s="40" t="s">
        <v>1124</v>
      </c>
    </row>
    <row r="21" customFormat="false" ht="15" hidden="false" customHeight="false" outlineLevel="0" collapsed="false">
      <c r="A21" s="43" t="s">
        <v>516</v>
      </c>
      <c r="B21" s="206" t="str">
        <f aca="false">INDEX(区分表_事由書類,計算_区分行)&amp;""</f>
        <v>注文書(写)又は発注書(写)(見積書は不可)</v>
      </c>
      <c r="C21" s="7" t="s">
        <v>1125</v>
      </c>
      <c r="D21" s="40" t="s">
        <v>1126</v>
      </c>
    </row>
    <row r="22" customFormat="false" ht="15" hidden="false" customHeight="false" outlineLevel="0" collapsed="false">
      <c r="A22" s="43" t="s">
        <v>122</v>
      </c>
      <c r="B22" s="206" t="str">
        <f aca="false">INDEX(区分表_申込時期,計算_区分行)&amp;""</f>
        <v>自動車登録(名義変更)前で代金支払前</v>
      </c>
      <c r="C22" s="7" t="s">
        <v>1127</v>
      </c>
      <c r="D22" s="40" t="s">
        <v>1128</v>
      </c>
    </row>
    <row r="23" customFormat="false" ht="15" hidden="false" customHeight="false" outlineLevel="0" collapsed="false">
      <c r="A23" s="43" t="s">
        <v>521</v>
      </c>
      <c r="B23" s="206" t="str">
        <f aca="false">INDEX(区分表_基準日名,計算_区分行)&amp;""</f>
        <v>自動車の登録(予定)日</v>
      </c>
      <c r="C23" s="7" t="s">
        <v>1129</v>
      </c>
      <c r="D23" s="40" t="s">
        <v>1130</v>
      </c>
    </row>
    <row r="24" customFormat="false" ht="15" hidden="false" customHeight="false" outlineLevel="0" collapsed="false">
      <c r="A24" s="43" t="s">
        <v>1131</v>
      </c>
      <c r="B24" s="206" t="str">
        <f aca="false">INDEX(区分表_前月数,計算_区分行)&amp;""</f>
        <v/>
      </c>
      <c r="C24" s="7" t="s">
        <v>1132</v>
      </c>
      <c r="D24" s="40" t="s">
        <v>1133</v>
      </c>
    </row>
    <row r="25" customFormat="false" ht="15" hidden="false" customHeight="false" outlineLevel="0" collapsed="false">
      <c r="A25" s="43" t="s">
        <v>1134</v>
      </c>
      <c r="B25" s="206" t="str">
        <f aca="false">INDEX(区分表_後月数,計算_区分行)&amp;""</f>
        <v/>
      </c>
      <c r="C25" s="7" t="s">
        <v>1135</v>
      </c>
      <c r="D25" s="40" t="s">
        <v>1136</v>
      </c>
    </row>
    <row r="26" customFormat="false" ht="15" hidden="false" customHeight="false" outlineLevel="0" collapsed="false">
      <c r="A26" s="43" t="s">
        <v>1137</v>
      </c>
      <c r="B26" s="206" t="str">
        <f aca="false">INDEX(区分表_交付後書類,計算_区分行)&amp;""</f>
        <v>完了届(自動車検査証(写)及び自動車検査証記録事項(写)を添付)</v>
      </c>
      <c r="C26" s="7" t="s">
        <v>1138</v>
      </c>
      <c r="D26" s="40" t="s">
        <v>1139</v>
      </c>
    </row>
    <row r="27" customFormat="false" ht="15" hidden="false" customHeight="false" outlineLevel="0" collapsed="false">
      <c r="A27" s="43" t="s">
        <v>1140</v>
      </c>
      <c r="B27" s="206" t="str">
        <f aca="false">INDEX(区分表_交付後期限月,計算_区分行)&amp;""</f>
        <v>2</v>
      </c>
      <c r="C27" s="7" t="s">
        <v>1141</v>
      </c>
      <c r="D27" s="40" t="s">
        <v>1142</v>
      </c>
    </row>
    <row r="28" customFormat="false" ht="15" hidden="false" customHeight="false" outlineLevel="0" collapsed="false">
      <c r="A28" s="43" t="s">
        <v>536</v>
      </c>
      <c r="B28" s="206" t="str">
        <f aca="false">INDEX(区分表_期限起算,計算_区分行)&amp;""</f>
        <v>交付日</v>
      </c>
      <c r="C28" s="7" t="s">
        <v>1143</v>
      </c>
      <c r="D28" s="40" t="s">
        <v>1144</v>
      </c>
    </row>
    <row r="29" customFormat="false" ht="14.15" hidden="false" customHeight="false" outlineLevel="0" collapsed="false">
      <c r="A29" s="43" t="s">
        <v>136</v>
      </c>
      <c r="B29" s="206" t="str">
        <f aca="false">INDEX(区分表_決定目安,計算_区分行)&amp;""</f>
        <v>締切日の同月10日頃</v>
      </c>
      <c r="C29" s="7" t="s">
        <v>1145</v>
      </c>
      <c r="D29" s="40" t="s">
        <v>1146</v>
      </c>
    </row>
    <row r="30" customFormat="false" ht="15" hidden="false" customHeight="false" outlineLevel="0" collapsed="false">
      <c r="A30" s="201" t="s">
        <v>1147</v>
      </c>
      <c r="B30" s="202"/>
      <c r="C30" s="202"/>
      <c r="D30" s="202"/>
    </row>
    <row r="31" customFormat="false" ht="15" hidden="false" customHeight="false" outlineLevel="0" collapsed="false">
      <c r="A31" s="43" t="s">
        <v>1148</v>
      </c>
      <c r="B31" s="204" t="n">
        <f aca="false">IF(OR(計算_限度額方式="住宅",計算_限度額方式="再貸付"),1,0)</f>
        <v>0</v>
      </c>
      <c r="C31" s="7" t="s">
        <v>1149</v>
      </c>
      <c r="D31" s="40" t="s">
        <v>1150</v>
      </c>
    </row>
    <row r="32" customFormat="false" ht="15" hidden="false" customHeight="false" outlineLevel="0" collapsed="false">
      <c r="A32" s="43" t="s">
        <v>48</v>
      </c>
      <c r="B32" s="17" t="n">
        <f aca="false">IF(計算_利率種別="災害",設定_利率_災害,IF(計算_利率種別="住宅",設定_利率_住宅,設定_利率_普通特別))</f>
        <v>0.0126</v>
      </c>
      <c r="C32" s="7" t="s">
        <v>1151</v>
      </c>
      <c r="D32" s="40" t="s">
        <v>1152</v>
      </c>
    </row>
    <row r="33" customFormat="false" ht="15" hidden="false" customHeight="false" outlineLevel="0" collapsed="false">
      <c r="A33" s="43" t="s">
        <v>1153</v>
      </c>
      <c r="B33" s="17" t="n">
        <f aca="false">MAX(0,計算_利率-設定_利率差_在宅介護)</f>
        <v>0.01</v>
      </c>
      <c r="C33" s="7" t="s">
        <v>1154</v>
      </c>
      <c r="D33" s="40" t="s">
        <v>1155</v>
      </c>
    </row>
    <row r="34" customFormat="false" ht="15" hidden="false" customHeight="false" outlineLevel="0" collapsed="false">
      <c r="A34" s="43" t="s">
        <v>1156</v>
      </c>
      <c r="B34" s="204" t="n">
        <f aca="false">IF(OR(入力_資格取得日="",入力_申込予定日=""),0,IFERROR(DATEDIF(入力_資格取得日,入力_申込予定日,"m"),0))</f>
        <v>175</v>
      </c>
      <c r="C34" s="7" t="s">
        <v>1157</v>
      </c>
      <c r="D34" s="40" t="s">
        <v>1158</v>
      </c>
    </row>
    <row r="35" customFormat="false" ht="15" hidden="false" customHeight="false" outlineLevel="0" collapsed="false">
      <c r="A35" s="43" t="s">
        <v>1159</v>
      </c>
      <c r="B35" s="206" t="str">
        <f aca="false">INT(計算_組合員月数/定数_年月数)&amp;"年"&amp;MOD(計算_組合員月数,定数_年月数)&amp;"か月"</f>
        <v>14年7か月</v>
      </c>
      <c r="C35" s="7" t="s">
        <v>1160</v>
      </c>
      <c r="D35" s="40" t="s">
        <v>1161</v>
      </c>
    </row>
    <row r="36" customFormat="false" ht="15" hidden="false" customHeight="false" outlineLevel="0" collapsed="false">
      <c r="A36" s="43" t="s">
        <v>557</v>
      </c>
      <c r="B36" s="204" t="n">
        <f aca="false">IFERROR(MATCH(計算_組合員月数,表_月数_下限,1),1)</f>
        <v>3</v>
      </c>
      <c r="C36" s="183" t="s">
        <v>1162</v>
      </c>
      <c r="D36" s="40" t="s">
        <v>1163</v>
      </c>
    </row>
    <row r="37" customFormat="false" ht="15" hidden="false" customHeight="false" outlineLevel="0" collapsed="false">
      <c r="A37" s="43" t="s">
        <v>560</v>
      </c>
      <c r="B37" s="204" t="n">
        <f aca="false">IFERROR(MATCH(計算_組合員月数,表_最低保障_下限,1),1)</f>
        <v>4</v>
      </c>
      <c r="C37" s="7"/>
      <c r="D37" s="40" t="s">
        <v>1164</v>
      </c>
    </row>
    <row r="38" customFormat="false" ht="15" hidden="false" customHeight="false" outlineLevel="0" collapsed="false">
      <c r="A38" s="43" t="s">
        <v>1165</v>
      </c>
      <c r="B38" s="204" t="n">
        <f aca="false">INDEX(表_月数_月数,計算_月数表位置)</f>
        <v>22</v>
      </c>
      <c r="C38" s="7"/>
      <c r="D38" s="40" t="s">
        <v>1166</v>
      </c>
    </row>
    <row r="39" customFormat="false" ht="15" hidden="false" customHeight="false" outlineLevel="0" collapsed="false">
      <c r="A39" s="43" t="s">
        <v>1167</v>
      </c>
      <c r="B39" s="203" t="n">
        <f aca="false">INDEX(表_最低保障_住宅万円,計算_最低保障位置)</f>
        <v>900</v>
      </c>
      <c r="C39" s="7"/>
      <c r="D39" s="40" t="s">
        <v>1168</v>
      </c>
    </row>
    <row r="40" customFormat="false" ht="15" hidden="false" customHeight="false" outlineLevel="0" collapsed="false">
      <c r="A40" s="43" t="s">
        <v>1169</v>
      </c>
      <c r="B40" s="203" t="n">
        <f aca="false">INDEX(表_最低保障_災害万円,計算_最低保障位置)</f>
        <v>950</v>
      </c>
      <c r="C40" s="7"/>
      <c r="D40" s="40" t="s">
        <v>1170</v>
      </c>
    </row>
    <row r="41" customFormat="false" ht="15" hidden="false" customHeight="false" outlineLevel="0" collapsed="false">
      <c r="A41" s="201" t="s">
        <v>1171</v>
      </c>
      <c r="B41" s="202"/>
      <c r="C41" s="202"/>
      <c r="D41" s="202"/>
    </row>
    <row r="42" customFormat="false" ht="14.15" hidden="false" customHeight="false" outlineLevel="0" collapsed="false">
      <c r="A42" s="43" t="s">
        <v>1172</v>
      </c>
      <c r="B42" s="20" t="n">
        <f aca="false">MIN(入力_給料月額*計算_給料月数,計算_上限万円*定数_万円)</f>
        <v>1740000</v>
      </c>
      <c r="C42" s="7" t="s">
        <v>1173</v>
      </c>
      <c r="D42" s="40" t="s">
        <v>1174</v>
      </c>
    </row>
    <row r="43" customFormat="false" ht="14.15" hidden="false" customHeight="false" outlineLevel="0" collapsed="false">
      <c r="A43" s="43" t="s">
        <v>1175</v>
      </c>
      <c r="B43" s="20" t="n">
        <f aca="false">設定_修学月額万円*定数_万円*N(入力_修学月数)</f>
        <v>0</v>
      </c>
      <c r="C43" s="183" t="s">
        <v>1176</v>
      </c>
      <c r="D43" s="40" t="s">
        <v>1177</v>
      </c>
    </row>
    <row r="44" customFormat="false" ht="14.15" hidden="false" customHeight="false" outlineLevel="0" collapsed="false">
      <c r="A44" s="43" t="s">
        <v>1178</v>
      </c>
      <c r="B44" s="20" t="n">
        <f aca="false">MIN(MAX(入力_給料月額*計算_住宅月数,計算_最低保障_住宅万円*定数_万円),計算_上限万円*定数_万円)</f>
        <v>2000000</v>
      </c>
      <c r="C44" s="7" t="s">
        <v>1179</v>
      </c>
      <c r="D44" s="40" t="s">
        <v>1180</v>
      </c>
    </row>
    <row r="45" customFormat="false" ht="14.15" hidden="false" customHeight="false" outlineLevel="0" collapsed="false">
      <c r="A45" s="43" t="s">
        <v>1181</v>
      </c>
      <c r="B45" s="20" t="n">
        <f aca="false">MIN(MAX(入力_給料月額*計算_住宅月数*2,計算_最低保障_災害万円*定数_万円),計算_上限万円*定数_万円)</f>
        <v>2000000</v>
      </c>
      <c r="C45" s="7" t="s">
        <v>1182</v>
      </c>
      <c r="D45" s="40" t="s">
        <v>1183</v>
      </c>
    </row>
    <row r="46" customFormat="false" ht="14.15" hidden="false" customHeight="false" outlineLevel="0" collapsed="false">
      <c r="A46" s="43" t="s">
        <v>1184</v>
      </c>
      <c r="B46" s="20" t="n">
        <f aca="false">IF(計算_限度額方式="月数",計算_限度額_月数方式,IF(計算_限度額方式="修学",計算_限度額_修学方式,IF(計算_限度額方式="住宅",計算_限度額_住宅方式,IF(計算_限度額方式="再貸付",計算_限度額_再貸付方式,0))))</f>
        <v>1740000</v>
      </c>
      <c r="C46" s="7" t="s">
        <v>1185</v>
      </c>
      <c r="D46" s="40" t="s">
        <v>1186</v>
      </c>
    </row>
    <row r="47" customFormat="false" ht="14.15" hidden="false" customHeight="false" outlineLevel="0" collapsed="false">
      <c r="A47" s="43" t="s">
        <v>1187</v>
      </c>
      <c r="B47" s="20" t="n">
        <f aca="false">IF(計算_住宅系=1,MIN(MAX(N(入力_在宅介護加算万円),0)*定数_万円,設定_在宅介護加算上限万円*定数_万円),0)</f>
        <v>0</v>
      </c>
      <c r="C47" s="7" t="s">
        <v>1188</v>
      </c>
      <c r="D47" s="40" t="s">
        <v>1189</v>
      </c>
    </row>
    <row r="48" customFormat="false" ht="14.15" hidden="false" customHeight="false" outlineLevel="0" collapsed="false">
      <c r="A48" s="43" t="s">
        <v>1190</v>
      </c>
      <c r="B48" s="20" t="n">
        <f aca="false">計算_限度額_基本+計算_在宅介護加算</f>
        <v>1740000</v>
      </c>
      <c r="C48" s="7" t="s">
        <v>1191</v>
      </c>
      <c r="D48" s="40" t="s">
        <v>1192</v>
      </c>
    </row>
    <row r="49" customFormat="false" ht="15" hidden="false" customHeight="false" outlineLevel="0" collapsed="false">
      <c r="A49" s="43" t="s">
        <v>1193</v>
      </c>
      <c r="B49" s="206" t="str">
        <f aca="false">IF(計算_限度額方式="月数","給料月額 "&amp;TEXT(入力_給料月額,"#,##0")&amp;"円 × "&amp;計算_給料月数&amp;"か月 = "&amp;TEXT(入力_給料月額*計算_給料月数,"#,##0")&amp;"円(上限 "&amp;TEXT(計算_上限万円,"#,##0")&amp;"万円)",IF(計算_限度額方式="修学",設定_修学月額万円&amp;"万円 × 修学月数 "&amp;N(入力_修学月数)&amp;"か月",IF(計算_限度額方式="住宅","給料月額 × "&amp;計算_住宅月数&amp;"か月 = "&amp;TEXT(入力_給料月額*計算_住宅月数,"#,##0")&amp;"円 と 最低保障額 "&amp;TEXT(計算_最低保障_住宅万円,"#,##0")&amp;"万円 の高い方(上限 "&amp;TEXT(計算_上限万円,"#,##0")&amp;"万円)",IF(計算_限度額方式="再貸付","(給料月額 × "&amp;計算_住宅月数&amp;"か月)の2倍 = "&amp;TEXT(入力_給料月額*計算_住宅月数*2,"#,##0")&amp;"円 と 最低保障額 "&amp;TEXT(計算_最低保障_災害万円,"#,##0")&amp;"万円 の高い方(上限 "&amp;TEXT(計算_上限万円,"#,##0")&amp;"万円)",""))))</f>
        <v>給料月額 290,000円 × 6か月 = 1,740,000円(上限 200万円)</v>
      </c>
      <c r="C49" s="7"/>
      <c r="D49" s="40" t="s">
        <v>1194</v>
      </c>
    </row>
    <row r="50" customFormat="false" ht="15" hidden="false" customHeight="false" outlineLevel="0" collapsed="false">
      <c r="A50" s="43" t="s">
        <v>1195</v>
      </c>
      <c r="B50" s="206" t="str">
        <f aca="false">"毎月償還額の上限 "&amp;TEXT(計算_D上限,"#,##0")&amp;"円(給料月額の"&amp;TEXT(設定_償還割合上限,"0%")&amp;" "&amp;TEXT(設定_償還割合上限*入力_給料月額,"#,##0")&amp;"円 − 他の借入等 "&amp;TEXT(計算_他借入月額,"#,##0")&amp;"円)を "&amp;計算_試算回数&amp;"回で返済する場合"</f>
        <v>毎月償還額の上限 57,000円(給料月額の30% 87,000円 − 他の借入等 30,000円)を 60回で返済する場合</v>
      </c>
      <c r="C50" s="7"/>
      <c r="D50" s="40" t="s">
        <v>1196</v>
      </c>
    </row>
    <row r="51" customFormat="false" ht="15" hidden="false" customHeight="false" outlineLevel="0" collapsed="false">
      <c r="A51" s="201" t="s">
        <v>1197</v>
      </c>
      <c r="B51" s="202"/>
      <c r="C51" s="202"/>
      <c r="D51" s="202"/>
    </row>
    <row r="52" customFormat="false" ht="15" hidden="false" customHeight="false" outlineLevel="0" collapsed="false">
      <c r="A52" s="43" t="s">
        <v>1198</v>
      </c>
      <c r="B52" s="20" t="n">
        <f aca="false">計算_単位万円*定数_万円</f>
        <v>10000</v>
      </c>
      <c r="C52" s="7" t="s">
        <v>1199</v>
      </c>
      <c r="D52" s="40" t="s">
        <v>1200</v>
      </c>
    </row>
    <row r="53" customFormat="false" ht="15" hidden="false" customHeight="false" outlineLevel="0" collapsed="false">
      <c r="A53" s="43" t="s">
        <v>1201</v>
      </c>
      <c r="B53" s="20" t="n">
        <f aca="false">設定_申込下限万円*定数_万円</f>
        <v>100000</v>
      </c>
      <c r="C53" s="7" t="s">
        <v>1202</v>
      </c>
      <c r="D53" s="40" t="s">
        <v>1203</v>
      </c>
    </row>
    <row r="54" customFormat="false" ht="14.15" hidden="false" customHeight="false" outlineLevel="0" collapsed="false">
      <c r="A54" s="43" t="s">
        <v>1204</v>
      </c>
      <c r="B54" s="20" t="n">
        <f aca="false">N(申告_A他機関既借入_月額)+N(申告_B他機関新規_月額)+N(申告_C共済既貸付_月額)</f>
        <v>30000</v>
      </c>
      <c r="C54" s="7" t="s">
        <v>1205</v>
      </c>
      <c r="D54" s="40" t="s">
        <v>1206</v>
      </c>
    </row>
    <row r="55" customFormat="false" ht="14.15" hidden="false" customHeight="false" outlineLevel="0" collapsed="false">
      <c r="A55" s="43" t="s">
        <v>1207</v>
      </c>
      <c r="B55" s="20" t="n">
        <f aca="false">N(申告_F他機関既借入_賞与)+N(申告_G他機関新規_賞与)+N(申告_H共済既貸付_賞与)</f>
        <v>0</v>
      </c>
      <c r="C55" s="7" t="s">
        <v>1208</v>
      </c>
      <c r="D55" s="40" t="s">
        <v>1209</v>
      </c>
    </row>
    <row r="56" customFormat="false" ht="14.15" hidden="false" customHeight="false" outlineLevel="0" collapsed="false">
      <c r="A56" s="43" t="s">
        <v>1210</v>
      </c>
      <c r="B56" s="20" t="n">
        <f aca="false">MAX(0,MIN(設定_償還割合上限*入力_給料月額,(設定_償還割合上限*入力_給料月額*(定数_年月数+設定_年収算定ボーナス月数)-定数_年賞与回数*計算_他借入賞与)/定数_年月数))</f>
        <v>87000</v>
      </c>
      <c r="C56" s="7" t="s">
        <v>1211</v>
      </c>
      <c r="D56" s="40" t="s">
        <v>1212</v>
      </c>
    </row>
    <row r="57" customFormat="false" ht="15" hidden="false" customHeight="false" outlineLevel="0" collapsed="false">
      <c r="A57" s="43" t="s">
        <v>1213</v>
      </c>
      <c r="B57" s="20" t="n">
        <f aca="false">MAX(0,計算_E上限-計算_他借入月額)</f>
        <v>57000</v>
      </c>
      <c r="C57" s="7"/>
      <c r="D57" s="40" t="s">
        <v>1214</v>
      </c>
    </row>
    <row r="58" customFormat="false" ht="15" hidden="false" customHeight="false" outlineLevel="0" collapsed="false">
      <c r="A58" s="43" t="s">
        <v>617</v>
      </c>
      <c r="B58" s="203" t="n">
        <f aca="false">IF(N(入力_償還回数)&gt;0,入力_償還回数,計算_回数上限)</f>
        <v>60</v>
      </c>
      <c r="C58" s="7" t="s">
        <v>1215</v>
      </c>
      <c r="D58" s="40" t="s">
        <v>1216</v>
      </c>
    </row>
    <row r="59" customFormat="false" ht="14.15" hidden="false" customHeight="false" outlineLevel="0" collapsed="false">
      <c r="A59" s="43" t="s">
        <v>1217</v>
      </c>
      <c r="B59" s="20" t="n">
        <f aca="false">IF(計算_D上限&lt;=0,0,PV(計算_利率/定数_年月数,計算_試算回数,-計算_D上限))</f>
        <v>3312812.42092399</v>
      </c>
      <c r="C59" s="7" t="s">
        <v>1218</v>
      </c>
      <c r="D59" s="40" t="s">
        <v>1219</v>
      </c>
    </row>
    <row r="60" customFormat="false" ht="14.15" hidden="false" customHeight="false" outlineLevel="0" collapsed="false">
      <c r="A60" s="43" t="s">
        <v>1220</v>
      </c>
      <c r="B60" s="20" t="n">
        <f aca="false">MIN(計算_限度額_合計,計算_返済能力上限)</f>
        <v>1740000</v>
      </c>
      <c r="C60" s="7" t="s">
        <v>1221</v>
      </c>
      <c r="D60" s="40" t="s">
        <v>1222</v>
      </c>
    </row>
    <row r="61" customFormat="false" ht="14.15" hidden="false" customHeight="false" outlineLevel="0" collapsed="false">
      <c r="A61" s="43" t="s">
        <v>1223</v>
      </c>
      <c r="B61" s="20" t="n">
        <f aca="false">IF(計算_限度額_合計&lt;=0,0,ROUNDDOWN(計算_申込可能_小さい方/計算_単位円,0)*計算_単位円)</f>
        <v>1740000</v>
      </c>
      <c r="C61" s="183" t="s">
        <v>1224</v>
      </c>
      <c r="D61" s="40" t="s">
        <v>1225</v>
      </c>
    </row>
    <row r="62" customFormat="false" ht="14.15" hidden="false" customHeight="false" outlineLevel="0" collapsed="false">
      <c r="A62" s="43" t="s">
        <v>1226</v>
      </c>
      <c r="B62" s="20" t="n">
        <f aca="false">IF(計算_申込可能_切捨て後&lt;計算_下限円,0,計算_申込可能_切捨て後)</f>
        <v>1740000</v>
      </c>
      <c r="C62" s="7" t="s">
        <v>1227</v>
      </c>
      <c r="D62" s="40" t="s">
        <v>1228</v>
      </c>
    </row>
    <row r="63" customFormat="false" ht="15" hidden="false" customHeight="false" outlineLevel="0" collapsed="false">
      <c r="A63" s="43" t="s">
        <v>632</v>
      </c>
      <c r="B63" s="206" t="str">
        <f aca="false">IF(計算_申込可能額=0,"申込不可(下限未満または条件不適合)",IF(計算_限度額_合計&lt;=計算_返済能力上限,"貸付限度額","返済能力(償還額が給料月額の30%以内)"))</f>
        <v>貸付限度額</v>
      </c>
      <c r="C63" s="7" t="s">
        <v>1229</v>
      </c>
      <c r="D63" s="40" t="s">
        <v>1230</v>
      </c>
    </row>
    <row r="64" customFormat="false" ht="15" hidden="false" customHeight="false" outlineLevel="0" collapsed="false">
      <c r="A64" s="201" t="s">
        <v>1231</v>
      </c>
      <c r="B64" s="202"/>
      <c r="C64" s="202"/>
      <c r="D64" s="202"/>
    </row>
    <row r="65" customFormat="false" ht="15" hidden="false" customHeight="false" outlineLevel="0" collapsed="false">
      <c r="A65" s="43" t="s">
        <v>1232</v>
      </c>
      <c r="B65" s="20" t="n">
        <f aca="false">IF(N(入力_申込希望額万円)&gt;0,入力_申込希望額万円*定数_万円,計算_申込可能額)</f>
        <v>1500000</v>
      </c>
      <c r="C65" s="7" t="s">
        <v>1233</v>
      </c>
      <c r="D65" s="40" t="s">
        <v>1234</v>
      </c>
    </row>
    <row r="66" customFormat="false" ht="15" hidden="false" customHeight="false" outlineLevel="0" collapsed="false">
      <c r="A66" s="43" t="s">
        <v>1235</v>
      </c>
      <c r="B66" s="20" t="n">
        <f aca="false">IF(計算_住宅系=1,MIN(MAX(N(入力_在宅介護加算万円),0)*定数_万円,設定_在宅介護加算上限万円*定数_万円,計算_申込額),0)</f>
        <v>0</v>
      </c>
      <c r="C66" s="7" t="s">
        <v>1236</v>
      </c>
      <c r="D66" s="40" t="s">
        <v>1237</v>
      </c>
    </row>
    <row r="67" customFormat="false" ht="15" hidden="false" customHeight="false" outlineLevel="0" collapsed="false">
      <c r="A67" s="43" t="s">
        <v>1238</v>
      </c>
      <c r="B67" s="20" t="n">
        <f aca="false">計算_申込額-計算_申込額_在宅介護</f>
        <v>1500000</v>
      </c>
      <c r="C67" s="7" t="s">
        <v>1239</v>
      </c>
      <c r="D67" s="40" t="s">
        <v>1240</v>
      </c>
    </row>
    <row r="68" customFormat="false" ht="15" hidden="false" customHeight="false" outlineLevel="0" collapsed="false">
      <c r="A68" s="43" t="s">
        <v>1241</v>
      </c>
      <c r="B68" s="20" t="n">
        <f aca="false">IF(入力_ボーナス併用="有",MAX(N(入力_ボーナス元金万円),0)*定数_万円,0)</f>
        <v>0</v>
      </c>
      <c r="C68" s="7" t="s">
        <v>1242</v>
      </c>
      <c r="D68" s="40" t="s">
        <v>1243</v>
      </c>
    </row>
    <row r="69" customFormat="false" ht="15" hidden="false" customHeight="false" outlineLevel="0" collapsed="false">
      <c r="A69" s="43" t="s">
        <v>87</v>
      </c>
      <c r="B69" s="203" t="n">
        <f aca="false">IF(入力_ボーナス併用="有",N(入力_ボーナス回数),0)</f>
        <v>0</v>
      </c>
      <c r="C69" s="7" t="s">
        <v>1244</v>
      </c>
      <c r="D69" s="40" t="s">
        <v>1245</v>
      </c>
    </row>
    <row r="70" customFormat="false" ht="15" hidden="false" customHeight="false" outlineLevel="0" collapsed="false">
      <c r="A70" s="43" t="s">
        <v>650</v>
      </c>
      <c r="B70" s="203" t="n">
        <f aca="false">IFERROR(ROUNDUP(NPER(計算_利率/定数_年月数,-入力_希望月額,計算_申込額),0),0)</f>
        <v>0</v>
      </c>
      <c r="C70" s="7" t="s">
        <v>1246</v>
      </c>
      <c r="D70" s="40" t="s">
        <v>1247</v>
      </c>
    </row>
    <row r="71" customFormat="false" ht="15" hidden="false" customHeight="false" outlineLevel="0" collapsed="false">
      <c r="A71" s="43" t="s">
        <v>1248</v>
      </c>
      <c r="B71" s="203" t="n">
        <f aca="false">IF(N(入力_償還回数)&gt;0,入力_償還回数,IF(AND(N(入力_希望月額)&gt;0,計算_申込額&gt;0),計算_回数_月額から逆算,計算_回数上限))</f>
        <v>60</v>
      </c>
      <c r="C71" s="7" t="s">
        <v>1249</v>
      </c>
      <c r="D71" s="40" t="s">
        <v>1250</v>
      </c>
    </row>
    <row r="72" customFormat="false" ht="15" hidden="false" customHeight="false" outlineLevel="0" collapsed="false">
      <c r="A72" s="43" t="s">
        <v>1251</v>
      </c>
      <c r="B72" s="207" t="n">
        <f aca="false">IF(AND(計算_償還回数&gt;0,計算_申込額_基本-計算_賞与元金&gt;0),PMT(計算_利率/定数_年月数,計算_償還回数,-(計算_申込額_基本-計算_賞与元金)),0)</f>
        <v>25808.8865702069</v>
      </c>
      <c r="C72" s="7" t="s">
        <v>1252</v>
      </c>
      <c r="D72" s="40" t="s">
        <v>1253</v>
      </c>
    </row>
    <row r="73" customFormat="false" ht="15" hidden="false" customHeight="false" outlineLevel="0" collapsed="false">
      <c r="A73" s="43" t="s">
        <v>1254</v>
      </c>
      <c r="B73" s="207" t="n">
        <f aca="false">IF(AND(計算_償還回数&gt;0,計算_申込額_在宅介護&gt;0),PMT(計算_利率_在宅介護/定数_年月数,計算_償還回数,-計算_申込額_在宅介護),0)</f>
        <v>0</v>
      </c>
      <c r="C73" s="7" t="s">
        <v>1255</v>
      </c>
      <c r="D73" s="40" t="s">
        <v>1256</v>
      </c>
    </row>
    <row r="74" customFormat="false" ht="14.15" hidden="false" customHeight="false" outlineLevel="0" collapsed="false">
      <c r="A74" s="43" t="s">
        <v>1257</v>
      </c>
      <c r="B74" s="20" t="n">
        <f aca="false">ROUND(計算_月額_基本,0)+ROUND(計算_月額_在宅介護,0)</f>
        <v>25809</v>
      </c>
      <c r="C74" s="7" t="s">
        <v>1258</v>
      </c>
      <c r="D74" s="40" t="s">
        <v>1259</v>
      </c>
    </row>
    <row r="75" customFormat="false" ht="15" hidden="false" customHeight="false" outlineLevel="0" collapsed="false">
      <c r="A75" s="43" t="s">
        <v>1260</v>
      </c>
      <c r="B75" s="208" t="n">
        <f aca="false">(1+計算_利率/定数_年月数)^6-1</f>
        <v>0.00631656067074027</v>
      </c>
      <c r="C75" s="7" t="s">
        <v>1261</v>
      </c>
      <c r="D75" s="40" t="s">
        <v>1262</v>
      </c>
    </row>
    <row r="76" customFormat="false" ht="15" hidden="false" customHeight="false" outlineLevel="0" collapsed="false">
      <c r="A76" s="43" t="s">
        <v>1263</v>
      </c>
      <c r="B76" s="207" t="n">
        <f aca="false">IF(AND(計算_賞与元金&gt;0,計算_賞与回数&gt;0),PMT(計算_賞与期間利率,計算_賞与回数,-計算_賞与元金),0)</f>
        <v>0</v>
      </c>
      <c r="C76" s="7" t="s">
        <v>1264</v>
      </c>
      <c r="D76" s="40" t="s">
        <v>1265</v>
      </c>
    </row>
    <row r="77" customFormat="false" ht="14.15" hidden="false" customHeight="false" outlineLevel="0" collapsed="false">
      <c r="A77" s="43" t="s">
        <v>1266</v>
      </c>
      <c r="B77" s="20" t="n">
        <f aca="false">ROUND(計算_賞与額_円未満,0)</f>
        <v>0</v>
      </c>
      <c r="C77" s="183" t="s">
        <v>1267</v>
      </c>
      <c r="D77" s="40" t="s">
        <v>1268</v>
      </c>
    </row>
    <row r="78" customFormat="false" ht="15" hidden="false" customHeight="false" outlineLevel="0" collapsed="false">
      <c r="A78" s="43" t="s">
        <v>1269</v>
      </c>
      <c r="B78" s="20" t="n">
        <f aca="false">IF(計算_償還回数&gt;0,N(INDEX(償還表!$C$8:$C$367,計算_償還回数)),0)</f>
        <v>25804</v>
      </c>
      <c r="C78" s="7" t="s">
        <v>1270</v>
      </c>
      <c r="D78" s="40" t="s">
        <v>1271</v>
      </c>
    </row>
    <row r="79" customFormat="false" ht="14.15" hidden="false" customHeight="false" outlineLevel="0" collapsed="false">
      <c r="A79" s="43" t="s">
        <v>1272</v>
      </c>
      <c r="B79" s="20" t="n">
        <f aca="false">N(償還表!$N$5)</f>
        <v>1548535</v>
      </c>
      <c r="C79" s="7" t="s">
        <v>1273</v>
      </c>
      <c r="D79" s="40" t="s">
        <v>1274</v>
      </c>
    </row>
    <row r="80" customFormat="false" ht="15" hidden="false" customHeight="false" outlineLevel="0" collapsed="false">
      <c r="A80" s="43" t="s">
        <v>1275</v>
      </c>
      <c r="B80" s="20" t="n">
        <f aca="false">IF(計算_申込額&gt;0,計算_返済総額-計算_申込額,0)</f>
        <v>48535</v>
      </c>
      <c r="C80" s="7" t="s">
        <v>1276</v>
      </c>
      <c r="D80" s="40" t="s">
        <v>1277</v>
      </c>
    </row>
    <row r="81" customFormat="false" ht="15" hidden="false" customHeight="false" outlineLevel="0" collapsed="false">
      <c r="A81" s="201" t="s">
        <v>1278</v>
      </c>
      <c r="B81" s="202"/>
      <c r="C81" s="202"/>
      <c r="D81" s="202"/>
    </row>
    <row r="82" customFormat="false" ht="14.15" hidden="false" customHeight="false" outlineLevel="0" collapsed="false">
      <c r="A82" s="43" t="s">
        <v>94</v>
      </c>
      <c r="B82" s="20" t="n">
        <f aca="false">計算_他借入月額+計算_毎月償還額</f>
        <v>55809</v>
      </c>
      <c r="C82" s="7" t="s">
        <v>1279</v>
      </c>
      <c r="D82" s="40" t="s">
        <v>1280</v>
      </c>
    </row>
    <row r="83" customFormat="false" ht="14.15" hidden="false" customHeight="false" outlineLevel="0" collapsed="false">
      <c r="A83" s="43" t="s">
        <v>99</v>
      </c>
      <c r="B83" s="20" t="n">
        <f aca="false">計算_他借入賞与+計算_賞与償還額</f>
        <v>0</v>
      </c>
      <c r="C83" s="7" t="s">
        <v>1281</v>
      </c>
      <c r="D83" s="40" t="s">
        <v>1282</v>
      </c>
    </row>
    <row r="84" customFormat="false" ht="14.15" hidden="false" customHeight="false" outlineLevel="0" collapsed="false">
      <c r="A84" s="43" t="s">
        <v>101</v>
      </c>
      <c r="B84" s="20" t="n">
        <f aca="false">N(入力_給料月額)</f>
        <v>290000</v>
      </c>
      <c r="C84" s="7" t="s">
        <v>1283</v>
      </c>
      <c r="D84" s="40" t="s">
        <v>1284</v>
      </c>
    </row>
    <row r="85" customFormat="false" ht="15" hidden="false" customHeight="false" outlineLevel="0" collapsed="false">
      <c r="A85" s="43" t="s">
        <v>1285</v>
      </c>
      <c r="B85" s="17" t="n">
        <f aca="false">IF(計算_K給料月額&gt;0,計算_E毎月償還計/計算_K給料月額,0)</f>
        <v>0.192444827586207</v>
      </c>
      <c r="C85" s="7" t="s">
        <v>1286</v>
      </c>
      <c r="D85" s="40" t="s">
        <v>1287</v>
      </c>
    </row>
    <row r="86" customFormat="false" ht="14.15" hidden="false" customHeight="false" outlineLevel="0" collapsed="false">
      <c r="A86" s="43" t="s">
        <v>108</v>
      </c>
      <c r="B86" s="20" t="n">
        <f aca="false">計算_E毎月償還計*定数_年月数+計算_J賞与償還計*定数_年賞与回数</f>
        <v>669708</v>
      </c>
      <c r="C86" s="7" t="s">
        <v>1288</v>
      </c>
      <c r="D86" s="40" t="s">
        <v>1289</v>
      </c>
    </row>
    <row r="87" customFormat="false" ht="14.15" hidden="false" customHeight="false" outlineLevel="0" collapsed="false">
      <c r="A87" s="43" t="s">
        <v>110</v>
      </c>
      <c r="B87" s="20" t="n">
        <f aca="false">計算_K給料月額*(定数_年月数+設定_年収算定ボーナス月数)</f>
        <v>4640000</v>
      </c>
      <c r="C87" s="7" t="s">
        <v>1290</v>
      </c>
      <c r="D87" s="40" t="s">
        <v>1291</v>
      </c>
    </row>
    <row r="88" customFormat="false" ht="15" hidden="false" customHeight="false" outlineLevel="0" collapsed="false">
      <c r="A88" s="43" t="s">
        <v>1292</v>
      </c>
      <c r="B88" s="17" t="n">
        <f aca="false">IF(計算_M年収額&gt;0,計算_L年間償還額/計算_M年収額,0)</f>
        <v>0.144333620689655</v>
      </c>
      <c r="C88" s="7" t="s">
        <v>1293</v>
      </c>
      <c r="D88" s="40" t="s">
        <v>1294</v>
      </c>
    </row>
    <row r="89" customFormat="false" ht="15" hidden="false" customHeight="false" outlineLevel="0" collapsed="false">
      <c r="A89" s="201" t="s">
        <v>1295</v>
      </c>
      <c r="B89" s="202"/>
      <c r="C89" s="202"/>
      <c r="D89" s="202"/>
    </row>
    <row r="90" customFormat="false" ht="15" hidden="false" customHeight="false" outlineLevel="0" collapsed="false">
      <c r="A90" s="43" t="s">
        <v>704</v>
      </c>
      <c r="B90" s="209" t="n">
        <f aca="false">IF(入力_申込予定日="","",WORKDAY(DATE(YEAR(入力_申込予定日),MONTH(入力_申込予定日),計算_締切日の日)-1,1,表_祝日))</f>
        <v>46331</v>
      </c>
      <c r="C90" s="7" t="s">
        <v>1296</v>
      </c>
      <c r="D90" s="40" t="s">
        <v>1297</v>
      </c>
    </row>
    <row r="91" customFormat="false" ht="15" hidden="false" customHeight="false" outlineLevel="0" collapsed="false">
      <c r="A91" s="43" t="s">
        <v>707</v>
      </c>
      <c r="B91" s="209" t="n">
        <f aca="false">IF(入力_申込予定日="","",WORKDAY(DATE(YEAR(入力_申込予定日),MONTH(入力_申込予定日)+1,計算_締切日の日)-1,1,表_祝日))</f>
        <v>46363</v>
      </c>
      <c r="C91" s="7" t="s">
        <v>707</v>
      </c>
      <c r="D91" s="40" t="s">
        <v>1298</v>
      </c>
    </row>
    <row r="92" customFormat="false" ht="15" hidden="false" customHeight="false" outlineLevel="0" collapsed="false">
      <c r="A92" s="43" t="s">
        <v>1299</v>
      </c>
      <c r="B92" s="209" t="n">
        <f aca="false">IF(入力_申込予定日="","",IF(入力_申込予定日&lt;=計算_今月締切,計算_今月締切,計算_翌月締切))</f>
        <v>46331</v>
      </c>
      <c r="C92" s="7" t="s">
        <v>1300</v>
      </c>
      <c r="D92" s="40" t="s">
        <v>1301</v>
      </c>
    </row>
    <row r="93" customFormat="false" ht="15" hidden="false" customHeight="false" outlineLevel="0" collapsed="false">
      <c r="A93" s="43" t="s">
        <v>137</v>
      </c>
      <c r="B93" s="209" t="n">
        <f aca="false">IF(計算_申込締切日="","",WORKDAY(EOMONTH(計算_申込締切日,0)+1,-1,表_祝日))</f>
        <v>46356</v>
      </c>
      <c r="C93" s="7" t="s">
        <v>1302</v>
      </c>
      <c r="D93" s="40" t="s">
        <v>1303</v>
      </c>
    </row>
    <row r="94" customFormat="false" ht="15" hidden="false" customHeight="false" outlineLevel="0" collapsed="false">
      <c r="A94" s="43" t="s">
        <v>715</v>
      </c>
      <c r="B94" s="29" t="n">
        <f aca="false">IF(計算_交付日="","",EDATE(DATE(YEAR(計算_交付日),MONTH(計算_交付日),1),1))</f>
        <v>46357</v>
      </c>
      <c r="C94" s="7" t="s">
        <v>77</v>
      </c>
      <c r="D94" s="40" t="s">
        <v>1304</v>
      </c>
    </row>
    <row r="95" customFormat="false" ht="15" hidden="false" customHeight="false" outlineLevel="0" collapsed="false">
      <c r="A95" s="43" t="s">
        <v>718</v>
      </c>
      <c r="B95" s="29" t="n">
        <f aca="false">IF(OR(計算_償還開始="",計算_償還回数&lt;1),"",EDATE(計算_償還開始,計算_償還回数-1))</f>
        <v>48153</v>
      </c>
      <c r="C95" s="7" t="s">
        <v>1305</v>
      </c>
      <c r="D95" s="40" t="s">
        <v>1306</v>
      </c>
    </row>
    <row r="96" customFormat="false" ht="15" hidden="false" customHeight="false" outlineLevel="0" collapsed="false">
      <c r="A96" s="43" t="s">
        <v>1307</v>
      </c>
      <c r="B96" s="206" t="str">
        <f aca="false">IF(計算_償還回数&lt;1,"",INT(計算_償還回数/定数_年月数)&amp;"年"&amp;MOD(計算_償還回数,定数_年月数)&amp;"か月")</f>
        <v>5年0か月</v>
      </c>
      <c r="C96" s="7" t="s">
        <v>1160</v>
      </c>
      <c r="D96" s="40" t="s">
        <v>1308</v>
      </c>
    </row>
    <row r="97" customFormat="false" ht="15" hidden="false" customHeight="false" outlineLevel="0" collapsed="false">
      <c r="A97" s="43" t="s">
        <v>1309</v>
      </c>
      <c r="B97" s="209" t="n">
        <f aca="false">IF(OR(計算_交付後期限月="",計算_交付日=""),"",EDATE(計算_交付日,VALUE(計算_交付後期限月)))</f>
        <v>46417</v>
      </c>
      <c r="C97" s="7" t="s">
        <v>1310</v>
      </c>
      <c r="D97" s="40" t="s">
        <v>1311</v>
      </c>
    </row>
    <row r="98" customFormat="false" ht="15" hidden="false" customHeight="false" outlineLevel="0" collapsed="false">
      <c r="A98" s="43" t="s">
        <v>1312</v>
      </c>
      <c r="B98" s="209" t="str">
        <f aca="false">IF(OR(計算_交付後期限月="",入力_事由発生日=""),"",EDATE(入力_事由発生日,VALUE(計算_交付後期限月)))</f>
        <v/>
      </c>
      <c r="C98" s="7" t="s">
        <v>1313</v>
      </c>
      <c r="D98" s="40" t="s">
        <v>1314</v>
      </c>
    </row>
    <row r="99" customFormat="false" ht="15" hidden="false" customHeight="false" outlineLevel="0" collapsed="false">
      <c r="A99" s="43" t="s">
        <v>1315</v>
      </c>
      <c r="B99" s="209" t="str">
        <f aca="false">IF(OR(計算_交付後期限月="",入力_事由発生日="",計算_交付日=""),"",IF(入力_申込予定日&gt;入力_事由発生日,EDATE(計算_交付日,VALUE(計算_交付後期限月)),EDATE(入力_事由発生日,VALUE(計算_交付後期限月))))</f>
        <v/>
      </c>
      <c r="C99" s="7" t="s">
        <v>1316</v>
      </c>
      <c r="D99" s="40" t="s">
        <v>1317</v>
      </c>
    </row>
    <row r="100" customFormat="false" ht="15" hidden="false" customHeight="false" outlineLevel="0" collapsed="false">
      <c r="A100" s="43" t="s">
        <v>733</v>
      </c>
      <c r="B100" s="209" t="n">
        <f aca="false">IF(OR(計算_交付後期限月="",計算_交付日=""),"",IF(計算_期限起算="交付日",計算_交付後期限_交付日起算,IF(計算_期限起算="事由日",計算_交付後期限_事由日起算,IF(計算_期限起算="入学",計算_交付後期限_入学,""))))</f>
        <v>46417</v>
      </c>
      <c r="C100" s="7" t="s">
        <v>1318</v>
      </c>
      <c r="D100" s="40" t="s">
        <v>1319</v>
      </c>
    </row>
    <row r="101" customFormat="false" ht="15" hidden="false" customHeight="false" outlineLevel="0" collapsed="false">
      <c r="A101" s="43" t="s">
        <v>1320</v>
      </c>
      <c r="B101" s="204" t="n">
        <f aca="false">IF(計算_区分群="住宅貸付",計算_住宅書類列,IF(計算_住宅系=1,IFERROR(MATCH(入力_住宅書類区分,表_住宅書類_見出し,0),0),0))</f>
        <v>0</v>
      </c>
      <c r="C101" s="7" t="s">
        <v>1321</v>
      </c>
      <c r="D101" s="40" t="s">
        <v>1322</v>
      </c>
    </row>
    <row r="102" customFormat="false" ht="15" hidden="false" customHeight="false" outlineLevel="0" collapsed="false">
      <c r="A102" s="201" t="s">
        <v>1323</v>
      </c>
      <c r="B102" s="202"/>
      <c r="C102" s="202"/>
      <c r="D102" s="202"/>
    </row>
    <row r="103" customFormat="false" ht="15" hidden="false" customHeight="false" outlineLevel="0" collapsed="false">
      <c r="A103" s="43" t="s">
        <v>1324</v>
      </c>
      <c r="B103" s="20" t="n">
        <f aca="false">N(申告_A他機関既借入_月額)+N(申告_B他機関新規_月額)+N(申告_F他機関既借入_賞与)+N(申告_G他機関新規_賞与)</f>
        <v>18000</v>
      </c>
      <c r="C103" s="7" t="s">
        <v>1325</v>
      </c>
      <c r="D103" s="40" t="s">
        <v>1326</v>
      </c>
    </row>
    <row r="104" customFormat="false" ht="15" hidden="false" customHeight="false" outlineLevel="0" collapsed="false">
      <c r="A104" s="43" t="s">
        <v>1327</v>
      </c>
      <c r="B104" s="20" t="n">
        <f aca="false">N(申告_C共済既貸付_月額)+N(申告_H共済既貸付_賞与)</f>
        <v>12000</v>
      </c>
      <c r="C104" s="7" t="s">
        <v>1328</v>
      </c>
      <c r="D104" s="40" t="s">
        <v>1329</v>
      </c>
    </row>
    <row r="105" customFormat="false" ht="15" hidden="false" customHeight="false" outlineLevel="0" collapsed="false">
      <c r="A105" s="43" t="s">
        <v>745</v>
      </c>
      <c r="B105" s="209" t="str">
        <f aca="false">IF(OR(計算_前月数="",入力_事由発生日=""),"",EDATE(入力_事由発生日,-VALUE(計算_前月数)))</f>
        <v/>
      </c>
      <c r="C105" s="7" t="s">
        <v>1330</v>
      </c>
      <c r="D105" s="40" t="s">
        <v>1331</v>
      </c>
    </row>
    <row r="106" customFormat="false" ht="15" hidden="false" customHeight="false" outlineLevel="0" collapsed="false">
      <c r="A106" s="43" t="s">
        <v>748</v>
      </c>
      <c r="B106" s="209" t="str">
        <f aca="false">IF(OR(計算_後月数="",入力_事由発生日=""),"",EDATE(入力_事由発生日,VALUE(計算_後月数)))</f>
        <v/>
      </c>
      <c r="C106" s="7" t="s">
        <v>1332</v>
      </c>
      <c r="D106" s="40" t="s">
        <v>1333</v>
      </c>
    </row>
    <row r="107" customFormat="false" ht="15" hidden="false" customHeight="false" outlineLevel="0" collapsed="false">
      <c r="A107" s="191" t="s">
        <v>1334</v>
      </c>
      <c r="B107" s="203" t="n">
        <f aca="false">IF(OR(計算_D上限&lt;=0,計算_申込額&lt;=0),0,IFERROR(ROUNDUP(NPER(計算_利率/定数_年月数,-計算_D上限,計算_申込額_基本-計算_賞与元金),0),0))</f>
        <v>27</v>
      </c>
      <c r="C107" s="7" t="s">
        <v>1335</v>
      </c>
      <c r="D107" s="40" t="s">
        <v>1336</v>
      </c>
    </row>
    <row r="108" customFormat="false" ht="15" hidden="false" customHeight="false" outlineLevel="0" collapsed="false">
      <c r="A108" s="191" t="s">
        <v>1337</v>
      </c>
      <c r="B108" s="203" t="n">
        <f aca="false">IF(計算_D上限&lt;=0,0,ROUNDDOWN(PV(計算_利率/定数_年月数,MAX(計算_償還回数,1),-計算_D上限)/定数_万円,0))</f>
        <v>331</v>
      </c>
      <c r="C108" s="7" t="s">
        <v>1338</v>
      </c>
      <c r="D108" s="40" t="s">
        <v>1339</v>
      </c>
    </row>
    <row r="109" customFormat="false" ht="15" hidden="false" customHeight="false" outlineLevel="0" collapsed="false">
      <c r="A109" s="201" t="s">
        <v>1340</v>
      </c>
      <c r="B109" s="202"/>
      <c r="C109" s="202"/>
      <c r="D109" s="202"/>
    </row>
    <row r="110" customFormat="false" ht="15" hidden="false" customHeight="false" outlineLevel="0" collapsed="false">
      <c r="A110" s="191" t="s">
        <v>1341</v>
      </c>
      <c r="B110" s="206" t="n">
        <f aca="false">IF(入力_貸付区分="",0,1)</f>
        <v>1</v>
      </c>
      <c r="C110" s="183" t="s">
        <v>1342</v>
      </c>
      <c r="D110" s="40" t="s">
        <v>1343</v>
      </c>
    </row>
    <row r="111" customFormat="false" ht="15" hidden="false" customHeight="false" outlineLevel="0" collapsed="false">
      <c r="A111" s="43" t="s">
        <v>787</v>
      </c>
      <c r="B111" s="206" t="str">
        <f aca="false">IF(判定_貸付区分=1,"貸付区分: "&amp;入力_貸付区分,"貸付区分が未選択です。プルダウンから選んでください。")</f>
        <v>貸付区分: 普通貸付:自動車購入</v>
      </c>
      <c r="C111" s="7" t="s">
        <v>1344</v>
      </c>
      <c r="D111" s="40" t="s">
        <v>1345</v>
      </c>
    </row>
    <row r="112" customFormat="false" ht="15" hidden="false" customHeight="false" outlineLevel="0" collapsed="false">
      <c r="A112" s="191" t="s">
        <v>1346</v>
      </c>
      <c r="B112" s="206" t="n">
        <f aca="false">IF(N(入力_給料月額)&gt;0,1,0)</f>
        <v>1</v>
      </c>
      <c r="C112" s="183" t="s">
        <v>1342</v>
      </c>
      <c r="D112" s="40" t="s">
        <v>1347</v>
      </c>
    </row>
    <row r="113" customFormat="false" ht="15" hidden="false" customHeight="false" outlineLevel="0" collapsed="false">
      <c r="A113" s="43" t="s">
        <v>787</v>
      </c>
      <c r="B113" s="206" t="str">
        <f aca="false">IF(判定_給料月額=1,"給料月額 "&amp;TEXT(入力_給料月額,"#,##0")&amp;"円(手当等を除く・部分休業等は減額後)","給料月額が未入力です。給与支払明細書の給料月額(手当等を除く)を円で入力してください。")</f>
        <v>給料月額 290,000円(手当等を除く・部分休業等は減額後)</v>
      </c>
      <c r="C113" s="7" t="s">
        <v>1344</v>
      </c>
      <c r="D113" s="40" t="s">
        <v>1348</v>
      </c>
    </row>
    <row r="114" customFormat="false" ht="15" hidden="false" customHeight="false" outlineLevel="0" collapsed="false">
      <c r="A114" s="191" t="s">
        <v>1349</v>
      </c>
      <c r="B114" s="206" t="n">
        <f aca="false">IF(OR(入力_資格取得日="",入力_申込予定日=""),2,IF(計算_区分群="住宅貸付",IF(計算_組合員月数&gt;=設定_住宅必要組合員月数,1,0),1))</f>
        <v>1</v>
      </c>
      <c r="C114" s="183" t="s">
        <v>1342</v>
      </c>
      <c r="D114" s="40" t="s">
        <v>1350</v>
      </c>
    </row>
    <row r="115" customFormat="false" ht="15" hidden="false" customHeight="false" outlineLevel="0" collapsed="false">
      <c r="A115" s="43" t="s">
        <v>787</v>
      </c>
      <c r="B115" s="206" t="str">
        <f aca="false">IF(判定_組合員期間=2,"組合員資格取得日と申込予定日を入力すると判定します。",IF(計算_区分群="住宅貸付",IF(判定_組合員期間=1,"組合員期間 "&amp;計算_組合員期間表示&amp;"(1年以上で申込可)","組合員期間が"&amp;計算_組合員期間表示&amp;"のため、住宅貸付は申込できません。"&amp;TEXT(EDATE(入力_資格取得日,設定_住宅必要組合員月数),"yyyy/m/d")&amp;"以降に申込めます。"),"組合員期間 "&amp;計算_組合員期間表示&amp;"(資格取得日から借受可)"))</f>
        <v>組合員期間 14年7か月(資格取得日から借受可)</v>
      </c>
      <c r="C115" s="7" t="s">
        <v>1344</v>
      </c>
      <c r="D115" s="40" t="s">
        <v>1351</v>
      </c>
    </row>
    <row r="116" customFormat="false" ht="15" hidden="false" customHeight="false" outlineLevel="0" collapsed="false">
      <c r="A116" s="191" t="s">
        <v>1352</v>
      </c>
      <c r="B116" s="206" t="n">
        <f aca="false">IF(入力_差押さえ等="無",1,IF(入力_差押さえ等="有",0,2))</f>
        <v>1</v>
      </c>
      <c r="C116" s="183" t="s">
        <v>1342</v>
      </c>
      <c r="D116" s="40" t="s">
        <v>1353</v>
      </c>
    </row>
    <row r="117" customFormat="false" ht="15" hidden="false" customHeight="false" outlineLevel="0" collapsed="false">
      <c r="A117" s="43" t="s">
        <v>787</v>
      </c>
      <c r="B117" s="206" t="str">
        <f aca="false">IF(判定_差押さえ=1,"貸付制限に該当しません",IF(判定_差押さえ=0,"給与の差押さえ等がある間は貸付できません。解消後に申込むか、共済組合へご相談ください。","「有」か「無」を選んでください。"))</f>
        <v>貸付制限に該当しません</v>
      </c>
      <c r="C117" s="7" t="s">
        <v>1344</v>
      </c>
      <c r="D117" s="40" t="s">
        <v>1354</v>
      </c>
    </row>
    <row r="118" customFormat="false" ht="15" hidden="false" customHeight="false" outlineLevel="0" collapsed="false">
      <c r="A118" s="191" t="s">
        <v>1355</v>
      </c>
      <c r="B118" s="206" t="n">
        <f aca="false">IF(入力_無給休職="無",1,IF(入力_無給休職="有",0,2))</f>
        <v>1</v>
      </c>
      <c r="C118" s="183" t="s">
        <v>1342</v>
      </c>
      <c r="D118" s="40" t="s">
        <v>1356</v>
      </c>
    </row>
    <row r="119" customFormat="false" ht="15" hidden="false" customHeight="false" outlineLevel="0" collapsed="false">
      <c r="A119" s="43" t="s">
        <v>787</v>
      </c>
      <c r="B119" s="206" t="str">
        <f aca="false">IF(判定_無給休職=1,"無給休職ではありません(育児休業は除く)",IF(判定_無給休職=0,"無給休職中は貸付できません(育児休業は除く)。復職後に申込んでください。","「有」か「無」を選んでください。"))</f>
        <v>無給休職ではありません(育児休業は除く)</v>
      </c>
      <c r="C119" s="7" t="s">
        <v>1344</v>
      </c>
      <c r="D119" s="40" t="s">
        <v>1357</v>
      </c>
    </row>
    <row r="120" customFormat="false" ht="15" hidden="false" customHeight="false" outlineLevel="0" collapsed="false">
      <c r="A120" s="191" t="s">
        <v>1358</v>
      </c>
      <c r="B120" s="206" t="n">
        <f aca="false">IF(OR(入力_他借入有無="",入力_共済既貸付有無=""),2,IF(OR(AND(入力_他借入有無="有",計算_他機関償還計=0),AND(入力_共済既貸付有無="有",計算_共済既貸付償還計=0),AND(入力_他借入有無="無",計算_他機関償還計&gt;0),AND(入力_共済既貸付有無="無",計算_共済既貸付償還計&gt;0)),2,1))</f>
        <v>1</v>
      </c>
      <c r="C120" s="183" t="s">
        <v>1342</v>
      </c>
      <c r="D120" s="40" t="s">
        <v>1359</v>
      </c>
    </row>
    <row r="121" customFormat="false" ht="15" hidden="false" customHeight="false" outlineLevel="0" collapsed="false">
      <c r="A121" s="43" t="s">
        <v>787</v>
      </c>
      <c r="B121" s="206" t="str">
        <f aca="false">IF(OR(入力_他借入有無="",入力_共済既貸付有無=""),"他の金融機関等の借入の有無と、共済組合の既貸付の有無を選んでください。",IF(判定_借入状況=1,"借入状況は借入状況等申告書の入力と一致しています",IF(OR(AND(入力_他借入有無="有",計算_他機関償還計=0),AND(入力_共済既貸付有無="有",計算_共済既貸付償還計=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121" s="7" t="s">
        <v>1344</v>
      </c>
      <c r="D121" s="40" t="s">
        <v>1360</v>
      </c>
    </row>
    <row r="122" customFormat="false" ht="15" hidden="false" customHeight="false" outlineLevel="0" collapsed="false">
      <c r="A122" s="191" t="s">
        <v>1361</v>
      </c>
      <c r="B122" s="206" t="n">
        <f aca="false">IF(AND(計算_前月数="",計算_後月数=""),3,IF(OR(入力_事由発生日="",入力_申込予定日=""),2,IF(AND(入力_申込予定日&gt;=IF(計算_前月数="",0,EDATE(入力_事由発生日,-VALUE(計算_前月数))),入力_申込予定日&lt;=IF(計算_後月数="",99999,EDATE(入力_事由発生日,VALUE(計算_後月数)))),1,0)))</f>
        <v>3</v>
      </c>
      <c r="C122" s="183" t="s">
        <v>1342</v>
      </c>
      <c r="D122" s="40" t="s">
        <v>1362</v>
      </c>
    </row>
    <row r="123" customFormat="false" ht="15" hidden="false" customHeight="false" outlineLevel="0" collapsed="false">
      <c r="A123" s="43" t="s">
        <v>787</v>
      </c>
      <c r="B123" s="206" t="str">
        <f aca="false">IF(判定_申込時期=3,"申込時期: "&amp;計算_申込時期,IF(判定_申込時期=2,"「"&amp;計算_基準日名&amp;"」と申込予定日を入力すると判定します。(申込時期: "&amp;計算_申込時期&amp;")",IF(判定_申込時期=1,"申込時期の範囲内です。(申込時期: "&amp;計算_申込時期&amp;")","申込予定日が申込時期の範囲外です。申込できる期間は "&amp;IF(計算_申込可能開始="","制限なし",TEXT(計算_申込可能開始,"yyyy/m/d"))&amp;" 〜 "&amp;IF(計算_申込可能終了="","制限なし",TEXT(計算_申込可能終了,"yyyy/m/d"))&amp;" です。(基準日: "&amp;計算_基準日名&amp;")")))</f>
        <v>申込時期: 自動車登録(名義変更)前で代金支払前</v>
      </c>
      <c r="C123" s="7" t="s">
        <v>1344</v>
      </c>
      <c r="D123" s="40" t="s">
        <v>1363</v>
      </c>
    </row>
    <row r="124" customFormat="false" ht="15" hidden="false" customHeight="false" outlineLevel="0" collapsed="false">
      <c r="A124" s="191" t="s">
        <v>1364</v>
      </c>
      <c r="B124" s="206" t="n">
        <f aca="false">IF(計算_限度額方式="修学",IF(N(入力_修学月数)&gt;0,1,0),3)</f>
        <v>3</v>
      </c>
      <c r="C124" s="183" t="s">
        <v>1342</v>
      </c>
      <c r="D124" s="40" t="s">
        <v>1365</v>
      </c>
    </row>
    <row r="125" customFormat="false" ht="15" hidden="false" customHeight="false" outlineLevel="0" collapsed="false">
      <c r="A125" s="43" t="s">
        <v>787</v>
      </c>
      <c r="B125" s="206" t="str">
        <f aca="false">IF(判定_修学月数=0,"修学貸付は修学月数の入力が必要です(学年単位・修業年限以内。例: 12)。",IF(判定_修学月数=3,"修学貸付のみ対象","1か月につき"&amp;設定_修学月額万円&amp;"万円×修学月数"))</f>
        <v>修学貸付のみ対象</v>
      </c>
      <c r="C125" s="7" t="s">
        <v>1344</v>
      </c>
      <c r="D125" s="40" t="s">
        <v>1366</v>
      </c>
    </row>
    <row r="126" customFormat="false" ht="15" hidden="false" customHeight="false" outlineLevel="0" collapsed="false">
      <c r="A126" s="191" t="s">
        <v>1367</v>
      </c>
      <c r="B126" s="206" t="n">
        <f aca="false">IF(計算_申込額&lt;=0,0,IF(AND(計算_申込額&gt;=計算_下限円,MOD(ROUND(計算_申込額,0),計算_単位円)=0),1,0))</f>
        <v>1</v>
      </c>
      <c r="C126" s="183" t="s">
        <v>1342</v>
      </c>
      <c r="D126" s="40" t="s">
        <v>1368</v>
      </c>
    </row>
    <row r="127" customFormat="false" ht="15" hidden="false" customHeight="false" outlineLevel="0" collapsed="false">
      <c r="A127" s="43" t="s">
        <v>787</v>
      </c>
      <c r="B127" s="206" t="str">
        <f aca="false">IF(判定_申込額下限単位=1,"申込金額 "&amp;TEXT(計算_申込額,"#,##0")&amp;"円("&amp;設定_申込下限万円&amp;"万円以上・"&amp;計算_単位万円&amp;"万円単位)",IF(計算_申込額&lt;=0,"申込可能額が0円です。貸付限度額・返済能力・申込時期などの×の項目を確認してください。",IF(計算_申込額&lt;計算_下限円,"申込金額は"&amp;設定_申込下限万円&amp;"万円以上にしてください。","申込金額は"&amp;計算_単位万円&amp;"万円単位です。"&amp;TEXT(ROUNDDOWN(計算_申込額/計算_単位円,0)*計算_単位万円,"#,##0")&amp;"万円または"&amp;TEXT((ROUNDDOWN(計算_申込額/計算_単位円,0)+1)*計算_単位万円,"#,##0")&amp;"万円に修正してください。")))</f>
        <v>申込金額 1,500,000円(10万円以上・1万円単位)</v>
      </c>
      <c r="C127" s="7" t="s">
        <v>1344</v>
      </c>
      <c r="D127" s="40" t="s">
        <v>1369</v>
      </c>
    </row>
    <row r="128" customFormat="false" ht="15" hidden="false" customHeight="false" outlineLevel="0" collapsed="false">
      <c r="A128" s="191" t="s">
        <v>1370</v>
      </c>
      <c r="B128" s="206" t="n">
        <f aca="false">IF(計算_申込額&lt;=0,0,IF(計算_申込額_基本&lt;=計算_限度額_基本,1,0))</f>
        <v>1</v>
      </c>
      <c r="C128" s="183" t="s">
        <v>1342</v>
      </c>
      <c r="D128" s="40" t="s">
        <v>1371</v>
      </c>
    </row>
    <row r="129" customFormat="false" ht="15" hidden="false" customHeight="false" outlineLevel="0" collapsed="false">
      <c r="A129" s="43" t="s">
        <v>787</v>
      </c>
      <c r="B129" s="206" t="str">
        <f aca="false">IF(判定_限度額=1,"貸付限度額 "&amp;TEXT(計算_限度額_合計,"#,##0")&amp;"円以内です",IF(計算_限度額_合計&lt;=0,"貸付限度額を計算できません。給料月額・組合員資格取得日などの入力を確認してください。",IF(計算_申込額&lt;=0,"貸付限度額は"&amp;TEXT(計算_限度額_合計,"#,##0")&amp;"円です。申込額が0円のため判定できません。","貸付限度額は"&amp;TEXT(計算_限度額_合計,"#,##0")&amp;"円です。申込額が"&amp;TEXT(計算_申込額_基本-計算_限度額_基本,"#,##0")&amp;"円超えています。"&amp;TEXT(ROUNDDOWN(計算_限度額_合計/計算_単位円,0)*計算_単位万円,"#,##0")&amp;"万円以内にしてください。")))</f>
        <v>貸付限度額 1,740,000円以内です</v>
      </c>
      <c r="C129" s="7" t="s">
        <v>1344</v>
      </c>
      <c r="D129" s="40" t="s">
        <v>1372</v>
      </c>
    </row>
    <row r="130" customFormat="false" ht="15" hidden="false" customHeight="false" outlineLevel="0" collapsed="false">
      <c r="A130" s="191" t="s">
        <v>1373</v>
      </c>
      <c r="B130" s="206" t="n">
        <f aca="false">IF(計算_償還回数&lt;1,0,IF(計算_償還回数&lt;=計算_回数上限,1,0))</f>
        <v>1</v>
      </c>
      <c r="C130" s="183" t="s">
        <v>1342</v>
      </c>
      <c r="D130" s="40" t="s">
        <v>1374</v>
      </c>
    </row>
    <row r="131" customFormat="false" ht="15" hidden="false" customHeight="false" outlineLevel="0" collapsed="false">
      <c r="A131" s="43" t="s">
        <v>787</v>
      </c>
      <c r="B131" s="206" t="str">
        <f aca="false">IF(判定_償還回数=1,"償還回数 "&amp;計算_償還回数&amp;"回(上限"&amp;計算_回数上限&amp;"回)",IF(計算_償還回数&lt;1,"償還回数が決まりません。償還回数を入力するか、毎月償還額の希望を見直してください。","償還回数の上限は"&amp;計算_回数上限&amp;"回です。"&amp;計算_回数上限&amp;"回以内にしてください。"))</f>
        <v>償還回数 60回(上限120回)</v>
      </c>
      <c r="C131" s="7" t="s">
        <v>1344</v>
      </c>
      <c r="D131" s="40" t="s">
        <v>1375</v>
      </c>
    </row>
    <row r="132" customFormat="false" ht="15" hidden="false" customHeight="false" outlineLevel="0" collapsed="false">
      <c r="A132" s="191" t="s">
        <v>1376</v>
      </c>
      <c r="B132" s="206" t="n">
        <f aca="false">IF(計算_月額割合&lt;=設定_償還割合上限+定数_誤差,1,0)</f>
        <v>1</v>
      </c>
      <c r="C132" s="183" t="s">
        <v>1342</v>
      </c>
      <c r="D132" s="40" t="s">
        <v>1377</v>
      </c>
    </row>
    <row r="133" customFormat="false" ht="15" hidden="false" customHeight="false" outlineLevel="0" collapsed="false">
      <c r="A133" s="43" t="s">
        <v>787</v>
      </c>
      <c r="B133" s="206" t="str">
        <f aca="false">IF(判定_月額割合=1,"毎月償還額÷給料月額 = "&amp;TEXT(計算_月額割合,"0.0%")&amp;"(30%以内)",IF(計算_D上限&lt;=0,"他の借入等の償還額だけで30%に達しているため、貸付できません。("&amp;TEXT(計算_月額割合,"0.0%")&amp;")","毎月償還額÷給料月額 = "&amp;TEXT(計算_月額割合,"0.0%")&amp;"で30%を超えています。"&amp;IF(AND(計算_必要回数&gt;0,計算_必要回数&lt;=計算_回数上限),"償還回数を"&amp;計算_必要回数&amp;"回以上にするか、","")&amp;"申込額を"&amp;TEXT(計算_上限額万円_現回数,"#,##0")&amp;"万円以下にしてください。"))</f>
        <v>毎月償還額÷給料月額 = 19.2%(30%以内)</v>
      </c>
      <c r="C133" s="7" t="s">
        <v>1344</v>
      </c>
      <c r="D133" s="40" t="s">
        <v>1378</v>
      </c>
    </row>
    <row r="134" customFormat="false" ht="15" hidden="false" customHeight="false" outlineLevel="0" collapsed="false">
      <c r="A134" s="191" t="s">
        <v>1379</v>
      </c>
      <c r="B134" s="206" t="n">
        <f aca="false">IF(計算_年額割合&lt;=設定_償還割合上限+定数_誤差,1,0)</f>
        <v>1</v>
      </c>
      <c r="C134" s="183" t="s">
        <v>1342</v>
      </c>
      <c r="D134" s="40" t="s">
        <v>1380</v>
      </c>
    </row>
    <row r="135" customFormat="false" ht="15" hidden="false" customHeight="false" outlineLevel="0" collapsed="false">
      <c r="A135" s="43" t="s">
        <v>787</v>
      </c>
      <c r="B135" s="206" t="str">
        <f aca="false">IF(判定_年額割合=1,"年間償還額÷年収額 = "&amp;TEXT(計算_年額割合,"0.0%")&amp;"(30%以内)","年間償還額÷年収額 = "&amp;TEXT(計算_年額割合,"0.0%")&amp;"で30%を超えています。ボーナス償還額や申込額を減らしてください。")</f>
        <v>年間償還額÷年収額 = 14.4%(30%以内)</v>
      </c>
      <c r="C135" s="7" t="s">
        <v>1344</v>
      </c>
      <c r="D135" s="40" t="s">
        <v>1381</v>
      </c>
    </row>
    <row r="136" customFormat="false" ht="15" hidden="false" customHeight="false" outlineLevel="0" collapsed="false">
      <c r="A136" s="43" t="s">
        <v>1382</v>
      </c>
      <c r="B136" s="204" t="n">
        <f aca="false">IF(計算_住宅系=1,1,0)</f>
        <v>0</v>
      </c>
      <c r="C136" s="7" t="s">
        <v>1383</v>
      </c>
      <c r="D136" s="40" t="s">
        <v>1384</v>
      </c>
    </row>
    <row r="137" customFormat="false" ht="15" hidden="false" customHeight="false" outlineLevel="0" collapsed="false">
      <c r="A137" s="43" t="s">
        <v>1385</v>
      </c>
      <c r="B137" s="204" t="n">
        <f aca="false">IF(計算_申込額&gt;=設定_ボーナス併用申込下限万円*定数_万円,1,0)</f>
        <v>0</v>
      </c>
      <c r="C137" s="7" t="s">
        <v>1386</v>
      </c>
      <c r="D137" s="40" t="s">
        <v>1387</v>
      </c>
    </row>
    <row r="138" customFormat="false" ht="15" hidden="false" customHeight="false" outlineLevel="0" collapsed="false">
      <c r="A138" s="43" t="s">
        <v>1388</v>
      </c>
      <c r="B138" s="204" t="n">
        <f aca="false">IF(計算_賞与元金&gt;=設定_ボーナス償還下限万円*定数_万円,1,0)</f>
        <v>0</v>
      </c>
      <c r="C138" s="183" t="s">
        <v>911</v>
      </c>
      <c r="D138" s="40" t="s">
        <v>1389</v>
      </c>
    </row>
    <row r="139" customFormat="false" ht="15" hidden="false" customHeight="false" outlineLevel="0" collapsed="false">
      <c r="A139" s="43" t="s">
        <v>1390</v>
      </c>
      <c r="B139" s="204" t="n">
        <f aca="false">IF(計算_賞与元金&lt;=計算_申込額*設定_ボーナス償還上限割合,1,0)</f>
        <v>1</v>
      </c>
      <c r="C139" s="7" t="s">
        <v>913</v>
      </c>
      <c r="D139" s="40" t="s">
        <v>1391</v>
      </c>
    </row>
    <row r="140" customFormat="false" ht="15" hidden="false" customHeight="false" outlineLevel="0" collapsed="false">
      <c r="A140" s="43" t="s">
        <v>1392</v>
      </c>
      <c r="B140" s="204" t="n">
        <f aca="false">IF(MOD(ROUND(計算_賞与元金,0),設定_ボーナス単位万円*定数_万円)=0,1,0)</f>
        <v>1</v>
      </c>
      <c r="C140" s="183" t="s">
        <v>915</v>
      </c>
      <c r="D140" s="40" t="s">
        <v>1393</v>
      </c>
    </row>
    <row r="141" customFormat="false" ht="15" hidden="false" customHeight="false" outlineLevel="0" collapsed="false">
      <c r="A141" s="43" t="s">
        <v>1394</v>
      </c>
      <c r="B141" s="204" t="n">
        <f aca="false">IF(計算_賞与回数&gt;=1,1,0)</f>
        <v>0</v>
      </c>
      <c r="C141" s="183" t="s">
        <v>1342</v>
      </c>
      <c r="D141" s="40" t="s">
        <v>1395</v>
      </c>
    </row>
    <row r="142" customFormat="false" ht="15" hidden="false" customHeight="false" outlineLevel="0" collapsed="false">
      <c r="A142" s="43" t="s">
        <v>1396</v>
      </c>
      <c r="B142" s="204" t="n">
        <f aca="false">IF(計算_賞与回数&lt;=設定_ボーナス回数上限,1,0)</f>
        <v>1</v>
      </c>
      <c r="C142" s="183" t="s">
        <v>1397</v>
      </c>
      <c r="D142" s="40" t="s">
        <v>1398</v>
      </c>
    </row>
    <row r="143" customFormat="false" ht="15" hidden="false" customHeight="false" outlineLevel="0" collapsed="false">
      <c r="A143" s="43" t="s">
        <v>1399</v>
      </c>
      <c r="B143" s="204" t="n">
        <f aca="false">IF(計算_賞与回数*定数_半年月数&lt;=計算_償還回数,1,0)</f>
        <v>1</v>
      </c>
      <c r="C143" s="7" t="s">
        <v>1400</v>
      </c>
      <c r="D143" s="40" t="s">
        <v>1401</v>
      </c>
    </row>
    <row r="144" customFormat="false" ht="15" hidden="false" customHeight="false" outlineLevel="0" collapsed="false">
      <c r="A144" s="43" t="s">
        <v>1402</v>
      </c>
      <c r="B144" s="204" t="n">
        <f aca="false">IF(計算_賞与償還額&lt;=入力_給料月額,1,0)</f>
        <v>1</v>
      </c>
      <c r="C144" s="183" t="s">
        <v>1403</v>
      </c>
      <c r="D144" s="40" t="s">
        <v>1404</v>
      </c>
    </row>
    <row r="145" customFormat="false" ht="15" hidden="false" customHeight="false" outlineLevel="0" collapsed="false">
      <c r="A145" s="191" t="s">
        <v>1405</v>
      </c>
      <c r="B145" s="206" t="n">
        <f aca="false">IF(入力_ボーナス併用&lt;&gt;"有",3,IF(判定_ボーナス条件1+判定_ボーナス条件2+判定_ボーナス条件3+判定_ボーナス条件4+判定_ボーナス条件5+判定_ボーナス条件6+判定_ボーナス条件7+判定_ボーナス条件8+判定_ボーナス条件9=9,1,0))</f>
        <v>3</v>
      </c>
      <c r="C145" s="7" t="s">
        <v>1406</v>
      </c>
      <c r="D145" s="40" t="s">
        <v>1407</v>
      </c>
    </row>
    <row r="146" customFormat="false" ht="15" hidden="false" customHeight="false" outlineLevel="0" collapsed="false">
      <c r="A146" s="43"/>
      <c r="B146" s="206" t="str">
        <f aca="false">IF(判定_ボーナス併用=3,"ボーナス併用なし",IF(判定_ボーナス併用=1,"ボーナス併用の条件を満たしています",IF(判定_ボーナス条件1=0,"ボーナス併用は住宅貸付・災害住宅貸付・災害再貸付のみです。「無」に戻してください。",IF(判定_ボーナス条件2=0,"ボーナス併用は申込金額が"&amp;設定_ボーナス併用申込下限万円&amp;"万円以上の場合のみです。(現在 "&amp;TEXT(計算_申込額/定数_万円,"#,##0")&amp;"万円)",IF(判定_ボーナス条件3=0,"ボーナス償還分は"&amp;設定_ボーナス償還下限万円&amp;"万円以上にしてください。",IF(判定_ボーナス条件4=0,"ボーナス償還分は貸付金額の1/2("&amp;TEXT(計算_申込額*設定_ボーナス償還上限割合/定数_万円,"#,##0")&amp;"万円)以内にしてください。",IF(判定_ボーナス条件5=0,"ボーナス償還分は"&amp;設定_ボーナス単位万円&amp;"万円単位にしてください。",IF(判定_ボーナス条件6=0,"ボーナス償還回数を入力してください。",IF(判定_ボーナス条件7=0,"ボーナス償還回数は"&amp;設定_ボーナス回数上限&amp;"回以内にしてください。",IF(判定_ボーナス条件8=0,"ボーナス償還の期間が毎月償還の期間より長くなっています。ボーナス回数は"&amp;ROUNDDOWN(計算_償還回数/定数_半年月数,0)&amp;"回以内にしてください。","ボーナス1回の償還額が給料月額("&amp;TEXT(入力_給料月額,"#,##0")&amp;"円)を超えています。ボーナス償還分を減らすか、回数を増やしてください。"))))))))))</f>
        <v>ボーナス併用なし</v>
      </c>
      <c r="C146" s="183" t="s">
        <v>1408</v>
      </c>
      <c r="D146" s="40" t="s">
        <v>1409</v>
      </c>
    </row>
    <row r="147" customFormat="false" ht="15" hidden="false" customHeight="false" outlineLevel="0" collapsed="false">
      <c r="A147" s="191" t="s">
        <v>1410</v>
      </c>
      <c r="B147" s="206" t="n">
        <f aca="false">IF(AND(計算_区分群="災害貸付",計算_住宅系=1),IF(計算_住宅書類列適用&gt;0,1,2),3)</f>
        <v>3</v>
      </c>
      <c r="C147" s="183" t="s">
        <v>1342</v>
      </c>
      <c r="D147" s="40" t="s">
        <v>1411</v>
      </c>
    </row>
    <row r="148" customFormat="false" ht="15" hidden="false" customHeight="false" outlineLevel="0" collapsed="false">
      <c r="A148" s="43" t="s">
        <v>787</v>
      </c>
      <c r="B148" s="206" t="str">
        <f aca="false">IF(判定_住宅書類区分=2,"災害住宅・災害再貸付は、住宅書類の区分を選ぶと必要書類が表示されます。","住宅書類の区分: 選択済み/対象外")</f>
        <v>住宅書類の区分: 選択済み/対象外</v>
      </c>
      <c r="C148" s="7" t="s">
        <v>1344</v>
      </c>
      <c r="D148" s="40" t="s">
        <v>1412</v>
      </c>
    </row>
    <row r="149" customFormat="false" ht="15" hidden="false" customHeight="false" outlineLevel="0" collapsed="false">
      <c r="A149" s="191" t="s">
        <v>1413</v>
      </c>
      <c r="B149" s="206" t="n">
        <f aca="false">IF(N(入力_在宅介護加算万円)&gt;0,IF(計算_住宅系=1,2,0),3)</f>
        <v>3</v>
      </c>
      <c r="C149" s="183" t="s">
        <v>1342</v>
      </c>
      <c r="D149" s="40" t="s">
        <v>1414</v>
      </c>
    </row>
    <row r="150" customFormat="false" ht="15" hidden="false" customHeight="false" outlineLevel="0" collapsed="false">
      <c r="A150" s="43" t="s">
        <v>787</v>
      </c>
      <c r="B150" s="206" t="str">
        <f aca="false">IF(判定_在宅介護=0,"在宅介護対応の加算は住宅貸付・災害住宅貸付・災害再貸付のみです。入力を消してください。",IF(判定_在宅介護=2,"在宅介護対応の加算は300万円までです。要件は共済組合へ確認してください。","在宅介護対応の加算なし"))</f>
        <v>在宅介護対応の加算なし</v>
      </c>
      <c r="C150" s="7" t="s">
        <v>1344</v>
      </c>
      <c r="D150" s="40" t="s">
        <v>1415</v>
      </c>
    </row>
    <row r="151" customFormat="false" ht="15" hidden="false" customHeight="false" outlineLevel="0" collapsed="false">
      <c r="A151" s="201" t="s">
        <v>1416</v>
      </c>
      <c r="B151" s="202"/>
      <c r="C151" s="202"/>
      <c r="D151" s="202"/>
    </row>
    <row r="152" customFormat="false" ht="15" hidden="false" customHeight="false" outlineLevel="0" collapsed="false">
      <c r="A152" s="191" t="s">
        <v>1417</v>
      </c>
      <c r="B152" s="204" t="n">
        <f aca="false">IF(判定_貸付区分=0,1,0)+IF(判定_給料月額=0,1,0)+IF(判定_組合員期間=0,1,0)+IF(判定_差押さえ=0,1,0)+IF(判定_無給休職=0,1,0)+IF(判定_借入状況=0,1,0)+IF(判定_申込時期=0,1,0)+IF(判定_修学月数=0,1,0)+IF(判定_申込額下限単位=0,1,0)+IF(判定_限度額=0,1,0)+IF(判定_償還回数=0,1,0)+IF(判定_月額割合=0,1,0)+IF(判定_年額割合=0,1,0)+IF(判定_ボーナス併用=0,1,0)+IF(判定_住宅書類区分=0,1,0)+IF(判定_在宅介護=0,1,0)</f>
        <v>0</v>
      </c>
      <c r="C152" s="7" t="s">
        <v>1418</v>
      </c>
      <c r="D152" s="40" t="s">
        <v>1419</v>
      </c>
    </row>
    <row r="153" customFormat="false" ht="15" hidden="false" customHeight="false" outlineLevel="0" collapsed="false">
      <c r="A153" s="43" t="s">
        <v>761</v>
      </c>
      <c r="B153" s="204" t="n">
        <f aca="false">IF(判定_貸付区分=2,1,0)+IF(判定_給料月額=2,1,0)+IF(判定_組合員期間=2,1,0)+IF(判定_差押さえ=2,1,0)+IF(判定_無給休職=2,1,0)+IF(判定_借入状況=2,1,0)+IF(判定_申込時期=2,1,0)+IF(判定_修学月数=2,1,0)+IF(判定_申込額下限単位=2,1,0)+IF(判定_限度額=2,1,0)+IF(判定_償還回数=2,1,0)+IF(判定_月額割合=2,1,0)+IF(判定_年額割合=2,1,0)+IF(判定_ボーナス併用=2,1,0)+IF(判定_住宅書類区分=2,1,0)+IF(判定_在宅介護=2,1,0)</f>
        <v>0</v>
      </c>
      <c r="C153" s="7" t="s">
        <v>1420</v>
      </c>
      <c r="D153" s="40" t="s">
        <v>1421</v>
      </c>
    </row>
    <row r="154" customFormat="false" ht="15" hidden="false" customHeight="false" outlineLevel="0" collapsed="false">
      <c r="A154" s="43" t="s">
        <v>1422</v>
      </c>
      <c r="B154" s="206" t="str">
        <f aca="false">IF(入力_貸付区分="","貸付区分、","")&amp;IF(入力_申込予定日="","申込予定日、","")&amp;IF(入力_資格取得日="","組合員資格取得日、","")&amp;IF(N(入力_給料月額)&gt;0,"","給料月額、")&amp;IF(OR(入力_他借入有無="",入力_共済既貸付有無=""),"借入・既貸付の有無、","")</f>
        <v/>
      </c>
      <c r="C154" s="7" t="s">
        <v>1423</v>
      </c>
      <c r="D154" s="40" t="s">
        <v>1424</v>
      </c>
    </row>
    <row r="155" customFormat="false" ht="15" hidden="false" customHeight="false" outlineLevel="0" collapsed="false">
      <c r="A155" s="43" t="s">
        <v>767</v>
      </c>
      <c r="B155" s="206" t="str">
        <f aca="false">IF(判定_不足項目_素="","",LEFT(判定_不足項目_素,LEN(判定_不足項目_素)-1))</f>
        <v/>
      </c>
      <c r="C155" s="7" t="s">
        <v>1425</v>
      </c>
      <c r="D155" s="40" t="s">
        <v>1426</v>
      </c>
    </row>
    <row r="156" customFormat="false" ht="15" hidden="false" customHeight="false" outlineLevel="0" collapsed="false">
      <c r="A156" s="43" t="s">
        <v>39</v>
      </c>
      <c r="B156" s="206" t="str">
        <f aca="false">IF(判定_不足項目&lt;&gt;"","入力が不足しています("&amp;判定_不足項目&amp;")",IF(判定_NG件数&gt;0,"申込不可(×の項目が"&amp;判定_NG件数&amp;"件あります)",IF(判定_要確認件数&gt;0,"申込可能(△の確認事項が"&amp;判定_要確認件数&amp;"件あります)","申込可能")))</f>
        <v>申込可能</v>
      </c>
      <c r="C156" s="7" t="s">
        <v>1427</v>
      </c>
      <c r="D156" s="40" t="s">
        <v>1428</v>
      </c>
    </row>
    <row r="157" customFormat="false" ht="15" hidden="false" customHeight="false" outlineLevel="0" collapsed="false">
      <c r="A157" s="201" t="s">
        <v>1429</v>
      </c>
      <c r="B157" s="202"/>
      <c r="C157" s="202"/>
      <c r="D157" s="202"/>
    </row>
    <row r="158" customFormat="false" ht="15" hidden="false" customHeight="false" outlineLevel="0" collapsed="false">
      <c r="A158" s="43" t="s">
        <v>1430</v>
      </c>
      <c r="B158" s="206" t="str">
        <f aca="false">SUBSTITUTE(SUBSTITUTE(SUBSTITUTE(SUBSTITUTE(SUBSTITUTE(SUBSTITUTE(SUBSTITUTE(SUBSTITUTE(SUBSTITUTE(SUBSTITUTE(SUBSTITUTE(TEXT(設定_利率_普通特別*100,"0.00"),"0","０"),"1","１"),"2","２"),"3","３"),"4","４"),"5","５"),"6","６"),"7","７"),"8","８"),"9","９"),".","．")</f>
        <v>１．２６</v>
      </c>
      <c r="C158" s="7" t="s">
        <v>1431</v>
      </c>
      <c r="D158" s="40" t="s">
        <v>1432</v>
      </c>
    </row>
    <row r="159" customFormat="false" ht="15" hidden="false" customHeight="false" outlineLevel="0" collapsed="false">
      <c r="A159" s="43" t="s">
        <v>1433</v>
      </c>
      <c r="B159" s="206" t="str">
        <f aca="false">SUBSTITUTE(SUBSTITUTE(SUBSTITUTE(SUBSTITUTE(SUBSTITUTE(SUBSTITUTE(SUBSTITUTE(SUBSTITUTE(SUBSTITUTE(SUBSTITUTE(SUBSTITUTE(TEXT(設定_利率_災害*100,"0.00"),"0","０"),"1","１"),"2","２"),"3","３"),"4","４"),"5","５"),"6","６"),"7","７"),"8","８"),"9","９"),".","．")</f>
        <v>０．９３</v>
      </c>
      <c r="C159" s="7" t="s">
        <v>1434</v>
      </c>
      <c r="D159" s="40" t="s">
        <v>1435</v>
      </c>
    </row>
    <row r="160" customFormat="false" ht="15" hidden="false" customHeight="false" outlineLevel="0" collapsed="false">
      <c r="A160" s="43" t="s">
        <v>1436</v>
      </c>
      <c r="B160" s="206" t="str">
        <f aca="false">SUBSTITUTE(SUBSTITUTE(SUBSTITUTE(SUBSTITUTE(SUBSTITUTE(SUBSTITUTE(SUBSTITUTE(SUBSTITUTE(SUBSTITUTE(SUBSTITUTE(SUBSTITUTE(TEXT(MAX(0,設定_利率_住宅-設定_利率差_在宅介護)*100,"0.00"),"0","０"),"1","１"),"2","２"),"3","３"),"4","４"),"5","５"),"6","６"),"7","７"),"8","８"),"9","９"),".","．")</f>
        <v>１．００</v>
      </c>
      <c r="C160" s="7" t="s">
        <v>1437</v>
      </c>
      <c r="D160" s="40" t="s">
        <v>1438</v>
      </c>
    </row>
    <row r="161" customFormat="false" ht="15" hidden="false" customHeight="false" outlineLevel="0" collapsed="false">
      <c r="A161" s="43" t="s">
        <v>1439</v>
      </c>
      <c r="B161" s="203" t="n">
        <f aca="false">IF(計算_申込額&gt;0,ROUND(計算_申込額/定数_万円,0),0)</f>
        <v>150</v>
      </c>
      <c r="C161" s="7" t="s">
        <v>1440</v>
      </c>
      <c r="D161" s="40" t="s">
        <v>1441</v>
      </c>
    </row>
    <row r="163" customFormat="false" ht="15" hidden="false" customHeight="false" outlineLevel="0" collapsed="false">
      <c r="A163" s="13" t="s">
        <v>1442</v>
      </c>
      <c r="B163" s="13" t="s">
        <v>1443</v>
      </c>
      <c r="C163" s="13" t="s">
        <v>1444</v>
      </c>
    </row>
    <row r="164" customFormat="false" ht="15" hidden="false" customHeight="false" outlineLevel="0" collapsed="false">
      <c r="A164" s="36" t="str">
        <f aca="false">IF(計算_住宅系=1,マスタ!$B$76,マスタ!$A$76)</f>
        <v>貸付申込書</v>
      </c>
      <c r="B164" s="43" t="n">
        <f aca="false">1</f>
        <v>1</v>
      </c>
      <c r="C164" s="43" t="n">
        <f aca="false">IF(B164=1,SUM($B$164:B164),"")</f>
        <v>1</v>
      </c>
    </row>
    <row r="165" customFormat="false" ht="15" hidden="false" customHeight="false" outlineLevel="0" collapsed="false">
      <c r="A165" s="36" t="str">
        <f aca="false">IF(計算_住宅系=1,マスタ!$B$77,マスタ!$A$77)</f>
        <v>貸付金借用証書(様式第4号・共済組合で配布)</v>
      </c>
      <c r="B165" s="43" t="n">
        <f aca="false">1</f>
        <v>1</v>
      </c>
      <c r="C165" s="43" t="n">
        <f aca="false">IF(B165=1,SUM($B$164:B165),"")</f>
        <v>2</v>
      </c>
    </row>
    <row r="166" customFormat="false" ht="15" hidden="false" customHeight="false" outlineLevel="0" collapsed="false">
      <c r="A166" s="36" t="str">
        <f aca="false">IF(計算_住宅系=1,マスタ!$B$78,マスタ!$A$78)</f>
        <v>印鑑登録証明書(貸付金交付日前3か月以内に発行されたもの)</v>
      </c>
      <c r="B166" s="43" t="n">
        <f aca="false">1</f>
        <v>1</v>
      </c>
      <c r="C166" s="43" t="n">
        <f aca="false">IF(B166=1,SUM($B$164:B166),"")</f>
        <v>3</v>
      </c>
    </row>
    <row r="167" customFormat="false" ht="15" hidden="false" customHeight="false" outlineLevel="0" collapsed="false">
      <c r="A167" s="36" t="str">
        <f aca="false">IF(計算_住宅系=1,マスタ!$B$79,マスタ!$A$79)</f>
        <v>給与支払明細書(直近のもの)</v>
      </c>
      <c r="B167" s="43" t="n">
        <f aca="false">1</f>
        <v>1</v>
      </c>
      <c r="C167" s="43" t="n">
        <f aca="false">IF(B167=1,SUM($B$164:B167),"")</f>
        <v>4</v>
      </c>
    </row>
    <row r="168" customFormat="false" ht="15" hidden="false" customHeight="false" outlineLevel="0" collapsed="false">
      <c r="A168" s="36" t="str">
        <f aca="false">IF(計算_住宅系=1,マスタ!$B$80,マスタ!$A$80)</f>
        <v>借入状況等申告書</v>
      </c>
      <c r="B168" s="43" t="n">
        <f aca="false">1</f>
        <v>1</v>
      </c>
      <c r="C168" s="43" t="n">
        <f aca="false">IF(B168=1,SUM($B$164:B168),"")</f>
        <v>5</v>
      </c>
    </row>
    <row r="169" customFormat="false" ht="15" hidden="false" customHeight="false" outlineLevel="0" collapsed="false">
      <c r="A169" s="36" t="str">
        <f aca="false">"【事由別】"&amp;計算_事由書類</f>
        <v>【事由別】注文書(写)又は発注書(写)(見積書は不可)</v>
      </c>
      <c r="B169" s="43" t="n">
        <f aca="false">IF(計算_区分群="住宅貸付",0,IF(計算_事由書類="",0,1))</f>
        <v>1</v>
      </c>
      <c r="C169" s="43" t="n">
        <f aca="false">IF(B169=1,SUM($B$164:B169),"")</f>
        <v>6</v>
      </c>
    </row>
    <row r="170" customFormat="false" ht="26.85" hidden="false" customHeight="false" outlineLevel="0" collapsed="false">
      <c r="A170" s="36" t="str">
        <f aca="false">マスタ!$A$54&amp;IF(LEN(IF(計算_住宅書類列適用=0,"",INDEX(マスタ!$B$54:$H$54,計算_住宅書類列適用)&amp;""))&gt;1," "&amp;MID(IF(計算_住宅書類列適用=0,"",INDEX(マスタ!$B$54:$H$54,計算_住宅書類列適用)&amp;""),2,99),"")</f>
        <v>土地の登記事項証明書(登記簿謄本)※交付日前3か月以内に発行されたもの・コピー不可</v>
      </c>
      <c r="B170" s="43" t="n">
        <f aca="false">IF(計算_住宅書類列適用=0,0,IF(IF(計算_住宅書類列適用=0,"",INDEX(マスタ!$B$54:$H$54,計算_住宅書類列適用)&amp;"")="",0,1))</f>
        <v>0</v>
      </c>
      <c r="C170" s="43" t="str">
        <f aca="false">IF(B170=1,SUM($B$164:B170),"")</f>
        <v/>
      </c>
    </row>
    <row r="171" customFormat="false" ht="15" hidden="false" customHeight="false" outlineLevel="0" collapsed="false">
      <c r="A171" s="36" t="str">
        <f aca="false">マスタ!$A$55&amp;IF(LEN(IF(計算_住宅書類列適用=0,"",INDEX(マスタ!$B$55:$H$55,計算_住宅書類列適用)&amp;""))&gt;1," "&amp;MID(IF(計算_住宅書類列適用=0,"",INDEX(マスタ!$B$55:$H$55,計算_住宅書類列適用)&amp;""),2,99),"")</f>
        <v>【土地が農地の場合】転用許可書(写)又は転用受理書(写)</v>
      </c>
      <c r="B171" s="43" t="n">
        <f aca="false">IF(計算_住宅書類列適用=0,0,IF(IF(計算_住宅書類列適用=0,"",INDEX(マスタ!$B$55:$H$55,計算_住宅書類列適用)&amp;"")="",0,1))</f>
        <v>0</v>
      </c>
      <c r="C171" s="43" t="str">
        <f aca="false">IF(B171=1,SUM($B$164:B171),"")</f>
        <v/>
      </c>
    </row>
    <row r="172" customFormat="false" ht="15" hidden="false" customHeight="false" outlineLevel="0" collapsed="false">
      <c r="A172" s="36" t="str">
        <f aca="false">マスタ!$A$56&amp;IF(LEN(IF(計算_住宅書類列適用=0,"",INDEX(マスタ!$B$56:$H$56,計算_住宅書類列適用)&amp;""))&gt;1," "&amp;MID(IF(計算_住宅書類列適用=0,"",INDEX(マスタ!$B$56:$H$56,計算_住宅書類列適用)&amp;""),2,99),"")</f>
        <v>【土地建物が共有又は他の者の名義になっている場合】同意書</v>
      </c>
      <c r="B172" s="43" t="n">
        <f aca="false">IF(計算_住宅書類列適用=0,0,IF(IF(計算_住宅書類列適用=0,"",INDEX(マスタ!$B$56:$H$56,計算_住宅書類列適用)&amp;"")="",0,1))</f>
        <v>0</v>
      </c>
      <c r="C172" s="43" t="str">
        <f aca="false">IF(B172=1,SUM($B$164:B172),"")</f>
        <v/>
      </c>
    </row>
    <row r="173" customFormat="false" ht="15" hidden="false" customHeight="false" outlineLevel="0" collapsed="false">
      <c r="A173" s="36" t="str">
        <f aca="false">マスタ!$A$57&amp;IF(LEN(IF(計算_住宅書類列適用=0,"",INDEX(マスタ!$B$57:$H$57,計算_住宅書類列適用)&amp;""))&gt;1," "&amp;MID(IF(計算_住宅書類列適用=0,"",INDEX(マスタ!$B$57:$H$57,計算_住宅書類列適用)&amp;""),2,99),"")</f>
        <v>工事見積書</v>
      </c>
      <c r="B173" s="43" t="n">
        <f aca="false">IF(計算_住宅書類列適用=0,0,IF(IF(計算_住宅書類列適用=0,"",INDEX(マスタ!$B$57:$H$57,計算_住宅書類列適用)&amp;"")="",0,1))</f>
        <v>0</v>
      </c>
      <c r="C173" s="43" t="str">
        <f aca="false">IF(B173=1,SUM($B$164:B173),"")</f>
        <v/>
      </c>
    </row>
    <row r="174" customFormat="false" ht="15" hidden="false" customHeight="false" outlineLevel="0" collapsed="false">
      <c r="A174" s="36" t="str">
        <f aca="false">マスタ!$A$58&amp;IF(LEN(IF(計算_住宅書類列適用=0,"",INDEX(マスタ!$B$58:$H$58,計算_住宅書類列適用)&amp;""))&gt;1," "&amp;MID(IF(計算_住宅書類列適用=0,"",INDEX(マスタ!$B$58:$H$58,計算_住宅書類列適用)&amp;""),2,99),"")</f>
        <v>平面図</v>
      </c>
      <c r="B174" s="43" t="n">
        <f aca="false">IF(計算_住宅書類列適用=0,0,IF(IF(計算_住宅書類列適用=0,"",INDEX(マスタ!$B$58:$H$58,計算_住宅書類列適用)&amp;"")="",0,1))</f>
        <v>0</v>
      </c>
      <c r="C174" s="43" t="str">
        <f aca="false">IF(B174=1,SUM($B$164:B174),"")</f>
        <v/>
      </c>
    </row>
    <row r="175" customFormat="false" ht="26.85" hidden="false" customHeight="false" outlineLevel="0" collapsed="false">
      <c r="A175" s="36" t="str">
        <f aca="false">マスタ!$A$59&amp;IF(LEN(IF(計算_住宅書類列適用=0,"",INDEX(マスタ!$B$59:$H$59,計算_住宅書類列適用)&amp;""))&gt;1," "&amp;MID(IF(計算_住宅書類列適用=0,"",INDEX(マスタ!$B$59:$H$59,計算_住宅書類列適用)&amp;""),2,99),"")</f>
        <v>建物の登記事項証明書(登記簿謄本)※交付日前3か月以内に発行されたもの・コピー不可</v>
      </c>
      <c r="B175" s="43" t="n">
        <f aca="false">IF(計算_住宅書類列適用=0,0,IF(IF(計算_住宅書類列適用=0,"",INDEX(マスタ!$B$59:$H$59,計算_住宅書類列適用)&amp;"")="",0,1))</f>
        <v>0</v>
      </c>
      <c r="C175" s="43" t="str">
        <f aca="false">IF(B175=1,SUM($B$164:B175),"")</f>
        <v/>
      </c>
    </row>
    <row r="176" customFormat="false" ht="15" hidden="false" customHeight="false" outlineLevel="0" collapsed="false">
      <c r="A176" s="36" t="str">
        <f aca="false">マスタ!$A$60&amp;IF(LEN(IF(計算_住宅書類列適用=0,"",INDEX(マスタ!$B$60:$H$60,計算_住宅書類列適用)&amp;""))&gt;1," "&amp;MID(IF(計算_住宅書類列適用=0,"",INDEX(マスタ!$B$60:$H$60,計算_住宅書類列適用)&amp;""),2,99),"")</f>
        <v>建築確認済証(写)</v>
      </c>
      <c r="B176" s="43" t="n">
        <f aca="false">IF(計算_住宅書類列適用=0,0,IF(IF(計算_住宅書類列適用=0,"",INDEX(マスタ!$B$60:$H$60,計算_住宅書類列適用)&amp;"")="",0,1))</f>
        <v>0</v>
      </c>
      <c r="C176" s="43" t="str">
        <f aca="false">IF(B176=1,SUM($B$164:B176),"")</f>
        <v/>
      </c>
    </row>
    <row r="177" customFormat="false" ht="15" hidden="false" customHeight="false" outlineLevel="0" collapsed="false">
      <c r="A177" s="36" t="str">
        <f aca="false">マスタ!$A$61&amp;IF(LEN(IF(計算_住宅書類列適用=0,"",INDEX(マスタ!$B$61:$H$61,計算_住宅書類列適用)&amp;""))&gt;1," "&amp;MID(IF(計算_住宅書類列適用=0,"",INDEX(マスタ!$B$61:$H$61,計算_住宅書類列適用)&amp;""),2,99),"")</f>
        <v>売買契約書(写)</v>
      </c>
      <c r="B177" s="43" t="n">
        <f aca="false">IF(計算_住宅書類列適用=0,0,IF(IF(計算_住宅書類列適用=0,"",INDEX(マスタ!$B$61:$H$61,計算_住宅書類列適用)&amp;"")="",0,1))</f>
        <v>0</v>
      </c>
      <c r="C177" s="43" t="str">
        <f aca="false">IF(B177=1,SUM($B$164:B177),"")</f>
        <v/>
      </c>
    </row>
    <row r="178" customFormat="false" ht="15" hidden="false" customHeight="false" outlineLevel="0" collapsed="false">
      <c r="A178" s="36" t="str">
        <f aca="false">マスタ!$A$62&amp;IF(LEN(IF(計算_住宅書類列適用=0,"",INDEX(マスタ!$B$62:$H$62,計算_住宅書類列適用)&amp;""))&gt;1," "&amp;MID(IF(計算_住宅書類列適用=0,"",INDEX(マスタ!$B$62:$H$62,計算_住宅書類列適用)&amp;""),2,99),"")</f>
        <v>対象物件の周辺地図</v>
      </c>
      <c r="B178" s="43" t="n">
        <f aca="false">IF(計算_住宅書類列適用=0,0,IF(IF(計算_住宅書類列適用=0,"",INDEX(マスタ!$B$62:$H$62,計算_住宅書類列適用)&amp;"")="",0,1))</f>
        <v>0</v>
      </c>
      <c r="C178" s="43" t="str">
        <f aca="false">IF(B178=1,SUM($B$164:B178),"")</f>
        <v/>
      </c>
    </row>
    <row r="180" customFormat="false" ht="15" hidden="false" customHeight="false" outlineLevel="0" collapsed="false">
      <c r="A180" s="13" t="s">
        <v>1445</v>
      </c>
    </row>
    <row r="181" customFormat="false" ht="15" hidden="false" customHeight="false" outlineLevel="0" collapsed="false">
      <c r="A181" s="36" t="str">
        <f aca="false">IFERROR(INDEX($A$164:$A$178,MATCH(1,$C$164:$C$178,0)),"")</f>
        <v>貸付申込書</v>
      </c>
      <c r="B181" s="36" t="str">
        <f aca="false">IF(A181="","","□ "&amp;A181)</f>
        <v>□ 貸付申込書</v>
      </c>
    </row>
    <row r="182" customFormat="false" ht="26.85" hidden="false" customHeight="false" outlineLevel="0" collapsed="false">
      <c r="A182" s="36" t="str">
        <f aca="false">IFERROR(INDEX($A$164:$A$178,MATCH(2,$C$164:$C$178,0)),"")</f>
        <v>貸付金借用証書(様式第4号・共済組合で配布)</v>
      </c>
      <c r="B182" s="36" t="str">
        <f aca="false">IF(A182="","","□ "&amp;A182)</f>
        <v>□ 貸付金借用証書(様式第4号・共済組合で配布)</v>
      </c>
    </row>
    <row r="183" customFormat="false" ht="26.85" hidden="false" customHeight="false" outlineLevel="0" collapsed="false">
      <c r="A183" s="36" t="str">
        <f aca="false">IFERROR(INDEX($A$164:$A$178,MATCH(3,$C$164:$C$178,0)),"")</f>
        <v>印鑑登録証明書(貸付金交付日前3か月以内に発行されたもの)</v>
      </c>
      <c r="B183" s="36" t="str">
        <f aca="false">IF(A183="","","□ "&amp;A183)</f>
        <v>□ 印鑑登録証明書(貸付金交付日前3か月以内に発行されたもの)</v>
      </c>
    </row>
    <row r="184" customFormat="false" ht="15" hidden="false" customHeight="false" outlineLevel="0" collapsed="false">
      <c r="A184" s="36" t="str">
        <f aca="false">IFERROR(INDEX($A$164:$A$178,MATCH(4,$C$164:$C$178,0)),"")</f>
        <v>給与支払明細書(直近のもの)</v>
      </c>
      <c r="B184" s="36" t="str">
        <f aca="false">IF(A184="","","□ "&amp;A184)</f>
        <v>□ 給与支払明細書(直近のもの)</v>
      </c>
    </row>
    <row r="185" customFormat="false" ht="15" hidden="false" customHeight="false" outlineLevel="0" collapsed="false">
      <c r="A185" s="36" t="str">
        <f aca="false">IFERROR(INDEX($A$164:$A$178,MATCH(5,$C$164:$C$178,0)),"")</f>
        <v>借入状況等申告書</v>
      </c>
      <c r="B185" s="36" t="str">
        <f aca="false">IF(A185="","","□ "&amp;A185)</f>
        <v>□ 借入状況等申告書</v>
      </c>
    </row>
    <row r="186" customFormat="false" ht="26.85" hidden="false" customHeight="false" outlineLevel="0" collapsed="false">
      <c r="A186" s="36" t="str">
        <f aca="false">IFERROR(INDEX($A$164:$A$178,MATCH(6,$C$164:$C$178,0)),"")</f>
        <v>【事由別】注文書(写)又は発注書(写)(見積書は不可)</v>
      </c>
      <c r="B186" s="36" t="str">
        <f aca="false">IF(A186="","","□ "&amp;A186)</f>
        <v>□ 【事由別】注文書(写)又は発注書(写)(見積書は不可)</v>
      </c>
    </row>
    <row r="187" customFormat="false" ht="15" hidden="false" customHeight="false" outlineLevel="0" collapsed="false">
      <c r="A187" s="36" t="str">
        <f aca="false">IFERROR(INDEX($A$164:$A$178,MATCH(7,$C$164:$C$178,0)),"")</f>
        <v/>
      </c>
      <c r="B187" s="36" t="str">
        <f aca="false">IF(A187="","","□ "&amp;A187)</f>
        <v/>
      </c>
    </row>
    <row r="188" customFormat="false" ht="15" hidden="false" customHeight="false" outlineLevel="0" collapsed="false">
      <c r="A188" s="36" t="str">
        <f aca="false">IFERROR(INDEX($A$164:$A$178,MATCH(8,$C$164:$C$178,0)),"")</f>
        <v/>
      </c>
      <c r="B188" s="36" t="str">
        <f aca="false">IF(A188="","","□ "&amp;A188)</f>
        <v/>
      </c>
    </row>
    <row r="189" customFormat="false" ht="15" hidden="false" customHeight="false" outlineLevel="0" collapsed="false">
      <c r="A189" s="36" t="str">
        <f aca="false">IFERROR(INDEX($A$164:$A$178,MATCH(9,$C$164:$C$178,0)),"")</f>
        <v/>
      </c>
      <c r="B189" s="36" t="str">
        <f aca="false">IF(A189="","","□ "&amp;A189)</f>
        <v/>
      </c>
    </row>
    <row r="190" customFormat="false" ht="15" hidden="false" customHeight="false" outlineLevel="0" collapsed="false">
      <c r="A190" s="36" t="str">
        <f aca="false">IFERROR(INDEX($A$164:$A$178,MATCH(10,$C$164:$C$178,0)),"")</f>
        <v/>
      </c>
      <c r="B190" s="36" t="str">
        <f aca="false">IF(A190="","","□ "&amp;A190)</f>
        <v/>
      </c>
    </row>
    <row r="191" customFormat="false" ht="15" hidden="false" customHeight="false" outlineLevel="0" collapsed="false">
      <c r="A191" s="36" t="str">
        <f aca="false">IFERROR(INDEX($A$164:$A$178,MATCH(11,$C$164:$C$178,0)),"")</f>
        <v/>
      </c>
      <c r="B191" s="36" t="str">
        <f aca="false">IF(A191="","","□ "&amp;A191)</f>
        <v/>
      </c>
    </row>
    <row r="192" customFormat="false" ht="15" hidden="false" customHeight="false" outlineLevel="0" collapsed="false">
      <c r="A192" s="36" t="str">
        <f aca="false">IFERROR(INDEX($A$164:$A$178,MATCH(12,$C$164:$C$178,0)),"")</f>
        <v/>
      </c>
      <c r="B192" s="36" t="str">
        <f aca="false">IF(A192="","","□ "&amp;A192)</f>
        <v/>
      </c>
    </row>
    <row r="193" customFormat="false" ht="15" hidden="false" customHeight="false" outlineLevel="0" collapsed="false">
      <c r="A193" s="36" t="str">
        <f aca="false">IFERROR(INDEX($A$164:$A$178,MATCH(13,$C$164:$C$178,0)),"")</f>
        <v/>
      </c>
      <c r="B193" s="36" t="str">
        <f aca="false">IF(A193="","","□ "&amp;A193)</f>
        <v/>
      </c>
    </row>
    <row r="194" customFormat="false" ht="15" hidden="false" customHeight="false" outlineLevel="0" collapsed="false">
      <c r="A194" s="36" t="str">
        <f aca="false">IFERROR(INDEX($A$164:$A$178,MATCH(14,$C$164:$C$178,0)),"")</f>
        <v/>
      </c>
      <c r="B194" s="36" t="str">
        <f aca="false">IF(A194="","","□ "&amp;A194)</f>
        <v/>
      </c>
    </row>
    <row r="195" customFormat="false" ht="15" hidden="false" customHeight="false" outlineLevel="0" collapsed="false">
      <c r="A195" s="36" t="str">
        <f aca="false">IFERROR(INDEX($A$164:$A$178,MATCH(15,$C$164:$C$178,0)),"")</f>
        <v/>
      </c>
      <c r="B195" s="36" t="str">
        <f aca="false">IF(A195="","","□ "&amp;A195)</f>
        <v/>
      </c>
    </row>
    <row r="196" customFormat="false" ht="15" hidden="false" customHeight="false" outlineLevel="0" collapsed="false">
      <c r="A196" s="36" t="str">
        <f aca="false">IFERROR(INDEX($A$164:$A$178,MATCH(16,$C$164:$C$178,0)),"")</f>
        <v/>
      </c>
      <c r="B196" s="36" t="str">
        <f aca="false">IF(A196="","","□ "&amp;A196)</f>
        <v/>
      </c>
    </row>
    <row r="199" customFormat="false" ht="15" hidden="false" customHeight="false" outlineLevel="0" collapsed="false">
      <c r="A199" s="13" t="s">
        <v>1446</v>
      </c>
      <c r="B199" s="13" t="s">
        <v>1443</v>
      </c>
      <c r="C199" s="13" t="s">
        <v>1444</v>
      </c>
    </row>
    <row r="200" customFormat="false" ht="15" hidden="false" customHeight="false" outlineLevel="0" collapsed="false">
      <c r="A200" s="36" t="str">
        <f aca="false">"完了届(工事又は購入の完了後に提出)"</f>
        <v>完了届(工事又は購入の完了後に提出)</v>
      </c>
      <c r="B200" s="43" t="n">
        <f aca="false">IF(計算_住宅書類列適用&gt;0,1,0)</f>
        <v>0</v>
      </c>
      <c r="C200" s="43" t="str">
        <f aca="false">IF(B200=1,SUM($B$200:B200),"")</f>
        <v/>
      </c>
    </row>
    <row r="201" customFormat="false" ht="15" hidden="false" customHeight="false" outlineLevel="0" collapsed="false">
      <c r="A201" s="36" t="str">
        <f aca="false">マスタ!$A$67&amp;IF(LEN(IF(計算_住宅書類列適用=0,"",INDEX(マスタ!$B$67:$H$67,計算_住宅書類列適用)&amp;""))&gt;1," "&amp;MID(IF(計算_住宅書類列適用=0,"",INDEX(マスタ!$B$67:$H$67,計算_住宅書類列適用)&amp;""),2,99),"")</f>
        <v>支払領収書(写)</v>
      </c>
      <c r="B201" s="43" t="n">
        <f aca="false">IF(計算_住宅書類列適用=0,0,IF(IF(計算_住宅書類列適用=0,"",INDEX(マスタ!$B$67:$H$67,計算_住宅書類列適用)&amp;"")="",0,1))</f>
        <v>0</v>
      </c>
      <c r="C201" s="43" t="str">
        <f aca="false">IF(B201=1,SUM($B$200:B201),"")</f>
        <v/>
      </c>
    </row>
    <row r="202" customFormat="false" ht="26.85" hidden="false" customHeight="false" outlineLevel="0" collapsed="false">
      <c r="A202" s="36" t="str">
        <f aca="false">マスタ!$A$68&amp;IF(LEN(IF(計算_住宅書類列適用=0,"",INDEX(マスタ!$B$68:$H$68,計算_住宅書類列適用)&amp;""))&gt;1," "&amp;MID(IF(計算_住宅書類列適用=0,"",INDEX(マスタ!$B$68:$H$68,計算_住宅書類列適用)&amp;""),2,99),"")</f>
        <v>土地の登記事項証明書(登記簿謄本)※提出日前3か月以内・コピー不可(所有権保存登記後又は所有権移転登記後のもの)</v>
      </c>
      <c r="B202" s="43" t="n">
        <f aca="false">IF(計算_住宅書類列適用=0,0,IF(IF(計算_住宅書類列適用=0,"",INDEX(マスタ!$B$68:$H$68,計算_住宅書類列適用)&amp;"")="",0,1))</f>
        <v>0</v>
      </c>
      <c r="C202" s="43" t="str">
        <f aca="false">IF(B202=1,SUM($B$200:B202),"")</f>
        <v/>
      </c>
    </row>
    <row r="203" customFormat="false" ht="26.85" hidden="false" customHeight="false" outlineLevel="0" collapsed="false">
      <c r="A203" s="36" t="str">
        <f aca="false">マスタ!$A$69&amp;IF(LEN(IF(計算_住宅書類列適用=0,"",INDEX(マスタ!$B$69:$H$69,計算_住宅書類列適用)&amp;""))&gt;1," "&amp;MID(IF(計算_住宅書類列適用=0,"",INDEX(マスタ!$B$69:$H$69,計算_住宅書類列適用)&amp;""),2,99),"")</f>
        <v>建物の登記事項証明書(登記簿謄本)※提出日前3か月以内・コピー不可(所有権保存登記後又は所有権移転登記後のもの)</v>
      </c>
      <c r="B203" s="43" t="n">
        <f aca="false">IF(計算_住宅書類列適用=0,0,IF(IF(計算_住宅書類列適用=0,"",INDEX(マスタ!$B$69:$H$69,計算_住宅書類列適用)&amp;"")="",0,1))</f>
        <v>0</v>
      </c>
      <c r="C203" s="43" t="str">
        <f aca="false">IF(B203=1,SUM($B$200:B203),"")</f>
        <v/>
      </c>
    </row>
    <row r="204" customFormat="false" ht="26.85" hidden="false" customHeight="false" outlineLevel="0" collapsed="false">
      <c r="A204" s="36" t="str">
        <f aca="false">マスタ!$A$70&amp;IF(LEN(IF(計算_住宅書類列適用=0,"",INDEX(マスタ!$B$70:$H$70,計算_住宅書類列適用)&amp;""))&gt;1," "&amp;MID(IF(計算_住宅書類列適用=0,"",INDEX(マスタ!$B$70:$H$70,計算_住宅書類列適用)&amp;""),2,99),"")</f>
        <v>住民票※個人番号(マイナンバー)の記載のないもの・提出日前3か月以内・コピー不可</v>
      </c>
      <c r="B204" s="43" t="n">
        <f aca="false">IF(計算_住宅書類列適用=0,0,IF(IF(計算_住宅書類列適用=0,"",INDEX(マスタ!$B$70:$H$70,計算_住宅書類列適用)&amp;"")="",0,1))</f>
        <v>0</v>
      </c>
      <c r="C204" s="43" t="str">
        <f aca="false">IF(B204=1,SUM($B$200:B204),"")</f>
        <v/>
      </c>
    </row>
    <row r="205" customFormat="false" ht="15" hidden="false" customHeight="false" outlineLevel="0" collapsed="false">
      <c r="A205" s="36" t="str">
        <f aca="false">マスタ!$A$71&amp;IF(LEN(IF(計算_住宅書類列適用=0,"",INDEX(マスタ!$B$71:$H$71,計算_住宅書類列適用)&amp;""))&gt;1," "&amp;MID(IF(計算_住宅書類列適用=0,"",INDEX(マスタ!$B$71:$H$71,計算_住宅書類列適用)&amp;""),2,99),"")</f>
        <v>竣工検査済証(写)</v>
      </c>
      <c r="B205" s="43" t="n">
        <f aca="false">IF(計算_住宅書類列適用=0,0,IF(IF(計算_住宅書類列適用=0,"",INDEX(マスタ!$B$71:$H$71,計算_住宅書類列適用)&amp;"")="",0,1))</f>
        <v>0</v>
      </c>
      <c r="C205" s="43" t="str">
        <f aca="false">IF(B205=1,SUM($B$200:B205),"")</f>
        <v/>
      </c>
    </row>
    <row r="206" customFormat="false" ht="15" hidden="false" customHeight="false" outlineLevel="0" collapsed="false">
      <c r="A206" s="36" t="str">
        <f aca="false">計算_交付後書類</f>
        <v>完了届(自動車検査証(写)及び自動車検査証記録事項(写)を添付)</v>
      </c>
      <c r="B206" s="43" t="n">
        <f aca="false">IF(計算_住宅系=1,0,IF(計算_交付後書類="",0,1))</f>
        <v>1</v>
      </c>
      <c r="C206" s="43" t="n">
        <f aca="false">IF(B206=1,SUM($B$200:B206),"")</f>
        <v>1</v>
      </c>
    </row>
    <row r="208" customFormat="false" ht="15" hidden="false" customHeight="false" outlineLevel="0" collapsed="false">
      <c r="A208" s="13" t="s">
        <v>1447</v>
      </c>
    </row>
    <row r="209" customFormat="false" ht="38.05" hidden="false" customHeight="false" outlineLevel="0" collapsed="false">
      <c r="A209" s="36" t="str">
        <f aca="false">IFERROR(INDEX($A$200:$A$206,MATCH(1,$C$200:$C$206,0)),"")</f>
        <v>完了届(自動車検査証(写)及び自動車検査証記録事項(写)を添付)</v>
      </c>
      <c r="B209" s="36" t="str">
        <f aca="false">IF(A209="","","□ "&amp;A209)</f>
        <v>□ 完了届(自動車検査証(写)及び自動車検査証記録事項(写)を添付)</v>
      </c>
    </row>
    <row r="210" customFormat="false" ht="15" hidden="false" customHeight="false" outlineLevel="0" collapsed="false">
      <c r="A210" s="36" t="str">
        <f aca="false">IFERROR(INDEX($A$200:$A$206,MATCH(2,$C$200:$C$206,0)),"")</f>
        <v/>
      </c>
      <c r="B210" s="36" t="str">
        <f aca="false">IF(A210="","","□ "&amp;A210)</f>
        <v/>
      </c>
    </row>
    <row r="211" customFormat="false" ht="15" hidden="false" customHeight="false" outlineLevel="0" collapsed="false">
      <c r="A211" s="36" t="str">
        <f aca="false">IFERROR(INDEX($A$200:$A$206,MATCH(3,$C$200:$C$206,0)),"")</f>
        <v/>
      </c>
      <c r="B211" s="36" t="str">
        <f aca="false">IF(A211="","","□ "&amp;A211)</f>
        <v/>
      </c>
    </row>
    <row r="212" customFormat="false" ht="15" hidden="false" customHeight="false" outlineLevel="0" collapsed="false">
      <c r="A212" s="36" t="str">
        <f aca="false">IFERROR(INDEX($A$200:$A$206,MATCH(4,$C$200:$C$206,0)),"")</f>
        <v/>
      </c>
      <c r="B212" s="36" t="str">
        <f aca="false">IF(A212="","","□ "&amp;A212)</f>
        <v/>
      </c>
    </row>
    <row r="213" customFormat="false" ht="15" hidden="false" customHeight="false" outlineLevel="0" collapsed="false">
      <c r="A213" s="36" t="str">
        <f aca="false">IFERROR(INDEX($A$200:$A$206,MATCH(5,$C$200:$C$206,0)),"")</f>
        <v/>
      </c>
      <c r="B213" s="36" t="str">
        <f aca="false">IF(A213="","","□ "&amp;A213)</f>
        <v/>
      </c>
    </row>
    <row r="214" customFormat="false" ht="15" hidden="false" customHeight="false" outlineLevel="0" collapsed="false">
      <c r="A214" s="36" t="str">
        <f aca="false">IFERROR(INDEX($A$200:$A$206,MATCH(6,$C$200:$C$206,0)),"")</f>
        <v/>
      </c>
      <c r="B214" s="36" t="str">
        <f aca="false">IF(A214="","","□ "&amp;A214)</f>
        <v/>
      </c>
    </row>
    <row r="215" customFormat="false" ht="15" hidden="false" customHeight="false" outlineLevel="0" collapsed="false">
      <c r="A215" s="36" t="str">
        <f aca="false">IFERROR(INDEX($A$200:$A$206,MATCH(7,$C$200:$C$206,0)),"")</f>
        <v/>
      </c>
      <c r="B215" s="36" t="str">
        <f aca="false">IF(A215="","","□ "&amp;A215)</f>
        <v/>
      </c>
    </row>
    <row r="216" customFormat="false" ht="15" hidden="false" customHeight="false" outlineLevel="0" collapsed="false">
      <c r="A216" s="36" t="str">
        <f aca="false">IFERROR(INDEX($A$200:$A$206,MATCH(8,$C$200:$C$206,0)),"")</f>
        <v/>
      </c>
      <c r="B216" s="36" t="str">
        <f aca="false">IF(A216="","","□ "&amp;A216)</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1" filterMode="false">
    <pageSetUpPr fitToPage="false"/>
  </sheetPr>
  <dimension ref="A1:C8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210" t="s">
        <v>1448</v>
      </c>
    </row>
    <row r="2" customFormat="false" ht="15" hidden="false" customHeight="false" outlineLevel="0" collapsed="false">
      <c r="A2" s="40" t="s">
        <v>1449</v>
      </c>
    </row>
    <row r="4" customFormat="false" ht="15" hidden="false" customHeight="false" outlineLevel="0" collapsed="false">
      <c r="A4" s="211" t="s">
        <v>1450</v>
      </c>
      <c r="B4" s="211" t="s">
        <v>1451</v>
      </c>
      <c r="C4" s="211" t="s">
        <v>1081</v>
      </c>
    </row>
    <row r="5" customFormat="false" ht="15" hidden="false" customHeight="false" outlineLevel="0" collapsed="false">
      <c r="A5" s="43" t="s">
        <v>1452</v>
      </c>
      <c r="B5" s="191" t="s">
        <v>1453</v>
      </c>
      <c r="C5" s="3" t="str">
        <f aca="false">IF(計算_借用証書金額万円&gt;=1000,INT(計算_借用証書金額万円/1000),"")</f>
        <v/>
      </c>
    </row>
    <row r="6" customFormat="false" ht="15" hidden="false" customHeight="false" outlineLevel="0" collapsed="false">
      <c r="A6" s="43" t="s">
        <v>1452</v>
      </c>
      <c r="B6" s="191" t="s">
        <v>1454</v>
      </c>
      <c r="C6" s="3" t="n">
        <f aca="false">IF(計算_借用証書金額万円&gt;=100,MOD(INT(計算_借用証書金額万円/100),10),"")</f>
        <v>1</v>
      </c>
    </row>
    <row r="7" customFormat="false" ht="15" hidden="false" customHeight="false" outlineLevel="0" collapsed="false">
      <c r="A7" s="43" t="s">
        <v>1452</v>
      </c>
      <c r="B7" s="191" t="s">
        <v>1455</v>
      </c>
      <c r="C7" s="3" t="n">
        <f aca="false">IF(計算_借用証書金額万円&gt;=10,MOD(INT(計算_借用証書金額万円/10),10),"")</f>
        <v>5</v>
      </c>
    </row>
    <row r="8" customFormat="false" ht="15" hidden="false" customHeight="false" outlineLevel="0" collapsed="false">
      <c r="A8" s="43" t="s">
        <v>1452</v>
      </c>
      <c r="B8" s="191" t="s">
        <v>1456</v>
      </c>
      <c r="C8" s="3" t="n">
        <f aca="false">IF(計算_借用証書金額万円&gt;=1,MOD(計算_借用証書金額万円,10),"")</f>
        <v>0</v>
      </c>
    </row>
    <row r="9" customFormat="false" ht="15" hidden="false" customHeight="false" outlineLevel="0" collapsed="false">
      <c r="A9" s="43" t="s">
        <v>1452</v>
      </c>
      <c r="B9" s="191" t="s">
        <v>1457</v>
      </c>
      <c r="C9" s="3" t="str">
        <f aca="false">IF(入力_所属名="","",入力_所属名)</f>
        <v>○○局○○課</v>
      </c>
    </row>
    <row r="10" customFormat="false" ht="15" hidden="false" customHeight="false" outlineLevel="0" collapsed="false">
      <c r="A10" s="43" t="s">
        <v>1452</v>
      </c>
      <c r="B10" s="191" t="s">
        <v>1458</v>
      </c>
      <c r="C10" s="3" t="str">
        <f aca="false">IF(入力_住所="","",入力_住所)</f>
        <v>広島市中区○○町1-1</v>
      </c>
    </row>
    <row r="11" customFormat="false" ht="15" hidden="false" customHeight="false" outlineLevel="0" collapsed="false">
      <c r="A11" s="43" t="s">
        <v>1452</v>
      </c>
      <c r="B11" s="191" t="s">
        <v>1459</v>
      </c>
      <c r="C11" s="3" t="str">
        <f aca="false">IF(OR(計算_区分群="住宅貸付",計算_区分群="災害貸付"),"○","　")</f>
        <v>　</v>
      </c>
    </row>
    <row r="12" customFormat="false" ht="15" hidden="false" customHeight="false" outlineLevel="0" collapsed="false">
      <c r="A12" s="43" t="s">
        <v>1452</v>
      </c>
      <c r="B12" s="191" t="s">
        <v>1460</v>
      </c>
      <c r="C12" s="3" t="str">
        <f aca="false">IF(AND(計算_住宅系=1,N(入力_在宅介護加算万円)&gt;0),"○","　")</f>
        <v>　</v>
      </c>
    </row>
    <row r="13" customFormat="false" ht="15" hidden="false" customHeight="false" outlineLevel="0" collapsed="false">
      <c r="A13" s="43" t="s">
        <v>1452</v>
      </c>
      <c r="B13" s="191" t="s">
        <v>1461</v>
      </c>
      <c r="C13" s="3" t="str">
        <f aca="false">IF(OR(計算_区分群="普通貸付",計算_区分群="特別貸付"),"○","　")</f>
        <v>○</v>
      </c>
    </row>
    <row r="14" customFormat="false" ht="15" hidden="false" customHeight="false" outlineLevel="0" collapsed="false">
      <c r="A14" s="43" t="s">
        <v>1452</v>
      </c>
      <c r="B14" s="191" t="s">
        <v>1462</v>
      </c>
      <c r="C14" s="3" t="str">
        <f aca="false">計算_全角利率_普通特別</f>
        <v>１．２６</v>
      </c>
    </row>
    <row r="15" customFormat="false" ht="15" hidden="false" customHeight="false" outlineLevel="0" collapsed="false">
      <c r="A15" s="43" t="s">
        <v>1452</v>
      </c>
      <c r="B15" s="191" t="s">
        <v>1463</v>
      </c>
      <c r="C15" s="3" t="str">
        <f aca="false">計算_全角利率_災害</f>
        <v>０．９３</v>
      </c>
    </row>
    <row r="16" customFormat="false" ht="15" hidden="false" customHeight="false" outlineLevel="0" collapsed="false">
      <c r="A16" s="43" t="s">
        <v>1452</v>
      </c>
      <c r="B16" s="191" t="s">
        <v>1464</v>
      </c>
      <c r="C16" s="3" t="str">
        <f aca="false">計算_全角利率_在宅介護</f>
        <v>１．００</v>
      </c>
    </row>
    <row r="17" customFormat="false" ht="15" hidden="false" customHeight="false" outlineLevel="0" collapsed="false">
      <c r="A17" s="43" t="s">
        <v>1465</v>
      </c>
      <c r="B17" s="191" t="s">
        <v>1466</v>
      </c>
      <c r="C17" s="3" t="str">
        <f aca="true">"令和"&amp;(YEAR(TODAY())-2018)&amp;"年"&amp;MONTH(TODAY())&amp;"月"&amp;DAY(TODAY())&amp;"日"</f>
        <v>令和8年10月22日</v>
      </c>
    </row>
    <row r="18" customFormat="false" ht="15" hidden="false" customHeight="false" outlineLevel="0" collapsed="false">
      <c r="A18" s="43" t="s">
        <v>1465</v>
      </c>
      <c r="B18" s="191" t="s">
        <v>1467</v>
      </c>
      <c r="C18" s="3" t="str">
        <f aca="false">IF(入力_所属名="","（所属名）",入力_所属名)&amp;"　"&amp;IF(入力_氏名="","（氏名）",入力_氏名)&amp;"　様"</f>
        <v>○○局○○課　広島 太郎　様</v>
      </c>
    </row>
    <row r="19" customFormat="false" ht="15" hidden="false" customHeight="false" outlineLevel="0" collapsed="false">
      <c r="A19" s="43" t="s">
        <v>1465</v>
      </c>
      <c r="B19" s="191" t="s">
        <v>1468</v>
      </c>
      <c r="C19" s="3" t="str">
        <f aca="false">"貸付申込書類の送付について（"&amp;入力_貸付区分&amp;"）"</f>
        <v>貸付申込書類の送付について（普通貸付:自動車購入）</v>
      </c>
    </row>
    <row r="20" customFormat="false" ht="15" hidden="false" customHeight="false" outlineLevel="0" collapsed="false">
      <c r="A20" s="43" t="s">
        <v>1465</v>
      </c>
      <c r="B20" s="191" t="s">
        <v>1469</v>
      </c>
      <c r="C20" s="3" t="str">
        <f aca="false">入力_貸付区分</f>
        <v>普通貸付:自動車購入</v>
      </c>
    </row>
    <row r="21" customFormat="false" ht="15" hidden="false" customHeight="false" outlineLevel="0" collapsed="false">
      <c r="A21" s="43" t="s">
        <v>1465</v>
      </c>
      <c r="B21" s="191" t="s">
        <v>1470</v>
      </c>
      <c r="C21" s="3" t="str">
        <f aca="false">TEXT(計算_申込額,"#,##0")&amp;"円"</f>
        <v>1,500,000円</v>
      </c>
    </row>
    <row r="22" customFormat="false" ht="15" hidden="false" customHeight="false" outlineLevel="0" collapsed="false">
      <c r="A22" s="43" t="s">
        <v>1465</v>
      </c>
      <c r="B22" s="191" t="s">
        <v>1471</v>
      </c>
      <c r="C22" s="3" t="str">
        <f aca="false">TEXT(計算_利率,"0.00%")&amp;"（変動利率）"</f>
        <v>1.26%（変動利率）</v>
      </c>
    </row>
    <row r="23" customFormat="false" ht="15" hidden="false" customHeight="false" outlineLevel="0" collapsed="false">
      <c r="A23" s="43" t="s">
        <v>1465</v>
      </c>
      <c r="B23" s="191" t="s">
        <v>1472</v>
      </c>
      <c r="C23" s="3" t="str">
        <f aca="false">計算_償還回数&amp;"回（"&amp;計算_償還期間表示&amp;"）"</f>
        <v>60回（5年0か月）</v>
      </c>
    </row>
    <row r="24" customFormat="false" ht="15" hidden="false" customHeight="false" outlineLevel="0" collapsed="false">
      <c r="A24" s="43" t="s">
        <v>1465</v>
      </c>
      <c r="B24" s="191" t="s">
        <v>1473</v>
      </c>
      <c r="C24" s="3" t="str">
        <f aca="false">TEXT(計算_毎月償還額,"#,##0")&amp;"円"&amp;IF(計算_賞与償還額&gt;0,"　ボーナス償還額（1回）"&amp;TEXT(計算_賞与償還額,"#,##0")&amp;"円","")</f>
        <v>25,809円</v>
      </c>
    </row>
    <row r="25" customFormat="false" ht="15" hidden="false" customHeight="false" outlineLevel="0" collapsed="false">
      <c r="A25" s="43" t="s">
        <v>1465</v>
      </c>
      <c r="B25" s="191" t="s">
        <v>1474</v>
      </c>
      <c r="C25" s="3" t="str">
        <f aca="false">IF(計算_償還開始="","","令和"&amp;(YEAR(計算_償還開始)-2018)&amp;"年"&amp;MONTH(計算_償還開始)&amp;"月分の給与から")</f>
        <v>令和8年12月分の給与から</v>
      </c>
    </row>
    <row r="26" customFormat="false" ht="15" hidden="false" customHeight="false" outlineLevel="0" collapsed="false">
      <c r="A26" s="43" t="s">
        <v>1465</v>
      </c>
      <c r="B26" s="191" t="s">
        <v>1475</v>
      </c>
      <c r="C26" s="3" t="str">
        <f aca="false">IF(計算_申込締切日="","","令和"&amp;(YEAR(計算_申込締切日)-2018)&amp;"年"&amp;MONTH(計算_申込締切日)&amp;"月"&amp;DAY(計算_申込締切日)&amp;"日")</f>
        <v>令和8年11月5日</v>
      </c>
    </row>
    <row r="27" customFormat="false" ht="15" hidden="false" customHeight="false" outlineLevel="0" collapsed="false">
      <c r="A27" s="43" t="s">
        <v>1465</v>
      </c>
      <c r="B27" s="191" t="s">
        <v>1476</v>
      </c>
      <c r="C27" s="3" t="str">
        <f aca="false">IFERROR(INDEX(表_提出先,MATCH(入力_所属区分,表_所属区分,0)),"")</f>
        <v>共済組合(庶務係)へ直接提出してください。</v>
      </c>
    </row>
    <row r="28" customFormat="false" ht="15" hidden="false" customHeight="false" outlineLevel="0" collapsed="false">
      <c r="A28" s="43" t="s">
        <v>1465</v>
      </c>
      <c r="B28" s="191" t="s">
        <v>1477</v>
      </c>
      <c r="C28" s="3" t="str">
        <f aca="false">IF(計算_交付日="","","令和"&amp;(YEAR(計算_交付日)-2018)&amp;"年"&amp;MONTH(計算_交付日)&amp;"月"&amp;DAY(計算_交付日)&amp;"日")</f>
        <v>令和8年11月30日</v>
      </c>
    </row>
    <row r="29" customFormat="false" ht="77.6" hidden="false" customHeight="false" outlineLevel="0" collapsed="false">
      <c r="A29" s="43" t="s">
        <v>1465</v>
      </c>
      <c r="B29" s="191" t="s">
        <v>1478</v>
      </c>
      <c r="C29" s="3" t="str">
        <f aca="false">計算過程!$B$181&amp;IF(計算過程!$B$182="","",CHAR(10)&amp;計算過程!$B$182)&amp;IF(計算過程!$B$183="","",CHAR(10)&amp;計算過程!$B$183)&amp;IF(計算過程!$B$184="","",CHAR(10)&amp;計算過程!$B$184)&amp;IF(計算過程!$B$185="","",CHAR(10)&amp;計算過程!$B$185)&amp;IF(計算過程!$B$186="","",CHAR(10)&amp;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43" t="s">
        <v>1465</v>
      </c>
      <c r="B30" s="191" t="s">
        <v>1479</v>
      </c>
      <c r="C30" s="3" t="str">
        <f aca="false">計算過程!$B$209&amp;IF(計算過程!$B$210="","",CHAR(10)&amp;計算過程!$B$210)&amp;IF(計算過程!$B$211="","",CHAR(10)&amp;計算過程!$B$211)&amp;IF(計算過程!$B$212="","",CHAR(10)&amp;計算過程!$B$212)&amp;IF(計算過程!$B$213="","",CHAR(10)&amp;計算過程!$B$213)&amp;IF(計算過程!$B$214="","",CHAR(10)&amp;計算過程!$B$214)&amp;IF(計算過程!$B$215="","",CHAR(10)&amp;計算過程!$B$215)&amp;IF(計算過程!$B$216="","",CHAR(10)&amp;計算過程!$B$216)</f>
        <v>□ 完了届(自動車検査証(写)及び自動車検査証記録事項(写)を添付)</v>
      </c>
    </row>
    <row r="31" customFormat="false" ht="15" hidden="false" customHeight="false" outlineLevel="0" collapsed="false">
      <c r="A31" s="43" t="s">
        <v>1465</v>
      </c>
      <c r="B31" s="191" t="s">
        <v>1480</v>
      </c>
      <c r="C31" s="3" t="str">
        <f aca="false">IF(計算_交付後期限="","","（提出期限：令和"&amp;(YEAR(計算_交付後期限)-2018)&amp;"年"&amp;MONTH(計算_交付後期限)&amp;"月"&amp;DAY(計算_交付後期限)&amp;"日まで）")</f>
        <v>（提出期限：令和9年1月30日まで）</v>
      </c>
    </row>
    <row r="32" customFormat="false" ht="15" hidden="false" customHeight="false" outlineLevel="0" collapsed="false">
      <c r="A32" s="43" t="s">
        <v>1044</v>
      </c>
      <c r="B32" s="191" t="s">
        <v>1454</v>
      </c>
      <c r="C32" s="3" t="n">
        <f aca="false">IF(計算_借用証書金額万円&gt;=100,MOD(INT(計算_借用証書金額万円/100),10),"")</f>
        <v>1</v>
      </c>
    </row>
    <row r="33" customFormat="false" ht="15" hidden="false" customHeight="false" outlineLevel="0" collapsed="false">
      <c r="A33" s="43" t="s">
        <v>1044</v>
      </c>
      <c r="B33" s="191" t="s">
        <v>1455</v>
      </c>
      <c r="C33" s="3" t="n">
        <f aca="false">IF(計算_借用証書金額万円&gt;=10,MOD(INT(計算_借用証書金額万円/10),10),"")</f>
        <v>5</v>
      </c>
    </row>
    <row r="34" customFormat="false" ht="15" hidden="false" customHeight="false" outlineLevel="0" collapsed="false">
      <c r="A34" s="43" t="s">
        <v>1044</v>
      </c>
      <c r="B34" s="191" t="s">
        <v>1456</v>
      </c>
      <c r="C34" s="3" t="n">
        <f aca="false">IF(計算_借用証書金額万円&gt;=1,MOD(計算_借用証書金額万円,10),"")</f>
        <v>0</v>
      </c>
    </row>
    <row r="35" customFormat="false" ht="15" hidden="false" customHeight="false" outlineLevel="0" collapsed="false">
      <c r="A35" s="43" t="s">
        <v>1044</v>
      </c>
      <c r="B35" s="191" t="s">
        <v>1481</v>
      </c>
      <c r="C35" s="212" t="n">
        <f aca="false">IF(AND(N(入力_償還回数)=0,N(入力_希望月額)&gt;0),"",計算_償還回数)</f>
        <v>60</v>
      </c>
    </row>
    <row r="36" customFormat="false" ht="15" hidden="false" customHeight="false" outlineLevel="0" collapsed="false">
      <c r="A36" s="43" t="s">
        <v>1044</v>
      </c>
      <c r="B36" s="191" t="s">
        <v>1482</v>
      </c>
      <c r="C36" s="3" t="str">
        <f aca="false">IF(AND(N(入力_償還回数)=0,N(入力_希望月額)&gt;0),TEXT(計算_毎月償還額,"#,##0"),"")</f>
        <v/>
      </c>
    </row>
    <row r="37" customFormat="false" ht="15" hidden="false" customHeight="false" outlineLevel="0" collapsed="false">
      <c r="A37" s="43" t="s">
        <v>1044</v>
      </c>
      <c r="B37" s="191" t="s">
        <v>1483</v>
      </c>
      <c r="C37" s="3" t="str">
        <f aca="false">IF(入力_貸付区分="普通貸付:自動車購入","○","　")</f>
        <v>○</v>
      </c>
    </row>
    <row r="38" customFormat="false" ht="15" hidden="false" customHeight="false" outlineLevel="0" collapsed="false">
      <c r="A38" s="43" t="s">
        <v>1044</v>
      </c>
      <c r="B38" s="191" t="s">
        <v>1484</v>
      </c>
      <c r="C38" s="3" t="str">
        <f aca="false">IF(入力_貸付区分="普通貸付:出産","○","　")</f>
        <v>　</v>
      </c>
    </row>
    <row r="39" customFormat="false" ht="15" hidden="false" customHeight="false" outlineLevel="0" collapsed="false">
      <c r="A39" s="43" t="s">
        <v>1044</v>
      </c>
      <c r="B39" s="191" t="s">
        <v>1485</v>
      </c>
      <c r="C39" s="3" t="str">
        <f aca="false">IF(入力_貸付区分="特別貸付:医療","○","　")</f>
        <v>　</v>
      </c>
    </row>
    <row r="40" customFormat="false" ht="15" hidden="false" customHeight="false" outlineLevel="0" collapsed="false">
      <c r="A40" s="43" t="s">
        <v>1044</v>
      </c>
      <c r="B40" s="191" t="s">
        <v>1486</v>
      </c>
      <c r="C40" s="3" t="str">
        <f aca="false">IF(OR(入力_貸付区分="特別貸付:入学(大学等)",入力_貸付区分="特別貸付:入学(高校)"),"○","　")</f>
        <v>　</v>
      </c>
    </row>
    <row r="41" customFormat="false" ht="15" hidden="false" customHeight="false" outlineLevel="0" collapsed="false">
      <c r="A41" s="43" t="s">
        <v>1044</v>
      </c>
      <c r="B41" s="191" t="s">
        <v>1487</v>
      </c>
      <c r="C41" s="3" t="str">
        <f aca="false">IF(入力_貸付区分="特別貸付:結婚","○","　")</f>
        <v>　</v>
      </c>
    </row>
    <row r="42" customFormat="false" ht="15" hidden="false" customHeight="false" outlineLevel="0" collapsed="false">
      <c r="A42" s="43" t="s">
        <v>1044</v>
      </c>
      <c r="B42" s="191" t="s">
        <v>1488</v>
      </c>
      <c r="C42" s="3" t="str">
        <f aca="false">IF(入力_貸付区分="特別貸付:葬祭","○","　")</f>
        <v>　</v>
      </c>
    </row>
    <row r="43" customFormat="false" ht="15" hidden="false" customHeight="false" outlineLevel="0" collapsed="false">
      <c r="A43" s="43" t="s">
        <v>1044</v>
      </c>
      <c r="B43" s="191" t="s">
        <v>1489</v>
      </c>
      <c r="C43" s="3" t="str">
        <f aca="false">IF(入力_貸付区分="特別貸付:修学","○","　")</f>
        <v>　</v>
      </c>
    </row>
    <row r="44" customFormat="false" ht="15" hidden="false" customHeight="false" outlineLevel="0" collapsed="false">
      <c r="A44" s="43" t="s">
        <v>1044</v>
      </c>
      <c r="B44" s="191" t="s">
        <v>1490</v>
      </c>
      <c r="C44" s="3" t="str">
        <f aca="false">IF(AND(入力_貸付区分="普通貸付:自動車購入",入力_事由発生日&lt;&gt;""),"令和"&amp;(YEAR(入力_事由発生日)-2018)&amp;"年"&amp;MONTH(入力_事由発生日)&amp;"月"&amp;DAY(入力_事由発生日)&amp;"日","　　　　　　　　")</f>
        <v>　　　　　　　　</v>
      </c>
    </row>
    <row r="45" customFormat="false" ht="15" hidden="false" customHeight="false" outlineLevel="0" collapsed="false">
      <c r="A45" s="43" t="s">
        <v>1044</v>
      </c>
      <c r="B45" s="191" t="s">
        <v>1491</v>
      </c>
      <c r="C45" s="3" t="str">
        <f aca="false">IF(AND(OR(入力_貸付区分="特別貸付:結婚",入力_貸付区分="特別貸付:葬祭"),入力_事由発生日&lt;&gt;""),"令和"&amp;(YEAR(入力_事由発生日)-2018)&amp;"年"&amp;MONTH(入力_事由発生日)&amp;"月"&amp;DAY(入力_事由発生日)&amp;"日","　　　　　　　")</f>
        <v>　　　　　　　</v>
      </c>
    </row>
    <row r="46" customFormat="false" ht="15" hidden="false" customHeight="false" outlineLevel="0" collapsed="false">
      <c r="A46" s="43" t="s">
        <v>1044</v>
      </c>
      <c r="B46" s="191" t="s">
        <v>1457</v>
      </c>
      <c r="C46" s="3" t="str">
        <f aca="false">IF(入力_所属名="","",入力_所属名)</f>
        <v>○○局○○課</v>
      </c>
    </row>
    <row r="47" customFormat="false" ht="15" hidden="false" customHeight="false" outlineLevel="0" collapsed="false">
      <c r="A47" s="43" t="s">
        <v>1044</v>
      </c>
      <c r="B47" s="191" t="s">
        <v>1492</v>
      </c>
      <c r="C47" s="3" t="str">
        <f aca="false">IF(追加_所属電話="","",追加_所属電話)</f>
        <v>082-000-0000</v>
      </c>
    </row>
    <row r="48" customFormat="false" ht="15" hidden="false" customHeight="false" outlineLevel="0" collapsed="false">
      <c r="A48" s="43" t="s">
        <v>1044</v>
      </c>
      <c r="B48" s="191" t="s">
        <v>1493</v>
      </c>
      <c r="C48" s="3" t="str">
        <f aca="false">IF(追加_職名="","",追加_職名)</f>
        <v>主事</v>
      </c>
    </row>
    <row r="49" customFormat="false" ht="15" hidden="false" customHeight="false" outlineLevel="0" collapsed="false">
      <c r="A49" s="43" t="s">
        <v>1044</v>
      </c>
      <c r="B49" s="191" t="s">
        <v>1494</v>
      </c>
      <c r="C49" s="3" t="str">
        <f aca="false">MID(""&amp;追加_職員番号,1,1)</f>
        <v>1</v>
      </c>
    </row>
    <row r="50" customFormat="false" ht="15" hidden="false" customHeight="false" outlineLevel="0" collapsed="false">
      <c r="A50" s="43" t="s">
        <v>1044</v>
      </c>
      <c r="B50" s="191" t="s">
        <v>1495</v>
      </c>
      <c r="C50" s="3" t="str">
        <f aca="false">MID(""&amp;追加_職員番号,2,1)</f>
        <v>2</v>
      </c>
    </row>
    <row r="51" customFormat="false" ht="15" hidden="false" customHeight="false" outlineLevel="0" collapsed="false">
      <c r="A51" s="43" t="s">
        <v>1044</v>
      </c>
      <c r="B51" s="191" t="s">
        <v>1496</v>
      </c>
      <c r="C51" s="3" t="str">
        <f aca="false">MID(""&amp;追加_職員番号,3,1)</f>
        <v>3</v>
      </c>
    </row>
    <row r="52" customFormat="false" ht="15" hidden="false" customHeight="false" outlineLevel="0" collapsed="false">
      <c r="A52" s="43" t="s">
        <v>1044</v>
      </c>
      <c r="B52" s="191" t="s">
        <v>1497</v>
      </c>
      <c r="C52" s="3" t="str">
        <f aca="false">MID(""&amp;追加_職員番号,4,1)</f>
        <v>4</v>
      </c>
    </row>
    <row r="53" customFormat="false" ht="15" hidden="false" customHeight="false" outlineLevel="0" collapsed="false">
      <c r="A53" s="43" t="s">
        <v>1044</v>
      </c>
      <c r="B53" s="191" t="s">
        <v>1498</v>
      </c>
      <c r="C53" s="3" t="str">
        <f aca="false">MID(""&amp;追加_職員番号,5,1)</f>
        <v>5</v>
      </c>
    </row>
    <row r="54" customFormat="false" ht="15" hidden="false" customHeight="false" outlineLevel="0" collapsed="false">
      <c r="A54" s="43" t="s">
        <v>1044</v>
      </c>
      <c r="B54" s="191" t="s">
        <v>1499</v>
      </c>
      <c r="C54" s="3" t="str">
        <f aca="false">MID(""&amp;追加_職員番号,6,1)</f>
        <v>6</v>
      </c>
    </row>
    <row r="55" customFormat="false" ht="15" hidden="false" customHeight="false" outlineLevel="0" collapsed="false">
      <c r="A55" s="43" t="s">
        <v>1044</v>
      </c>
      <c r="B55" s="191" t="s">
        <v>1500</v>
      </c>
      <c r="C55" s="3" t="str">
        <f aca="false">MID(""&amp;追加_職員番号,7,1)</f>
        <v>7</v>
      </c>
    </row>
    <row r="56" customFormat="false" ht="15" hidden="false" customHeight="false" outlineLevel="0" collapsed="false">
      <c r="A56" s="43" t="s">
        <v>1044</v>
      </c>
      <c r="B56" s="191" t="s">
        <v>1501</v>
      </c>
      <c r="C56" s="3" t="str">
        <f aca="false">IF(追加_ふりがな="","",追加_ふりがな)</f>
        <v>ひろしま たろう</v>
      </c>
    </row>
    <row r="57" customFormat="false" ht="15" hidden="false" customHeight="false" outlineLevel="0" collapsed="false">
      <c r="A57" s="43" t="s">
        <v>1044</v>
      </c>
      <c r="B57" s="191" t="s">
        <v>1502</v>
      </c>
      <c r="C57" s="3" t="str">
        <f aca="false">IF(入力_氏名="","",入力_氏名)</f>
        <v>広島 太郎</v>
      </c>
    </row>
    <row r="58" customFormat="false" ht="15" hidden="false" customHeight="false" outlineLevel="0" collapsed="false">
      <c r="A58" s="43" t="s">
        <v>1044</v>
      </c>
      <c r="B58" s="191" t="s">
        <v>1503</v>
      </c>
      <c r="C58" s="3" t="str">
        <f aca="false">IF(AND(追加_生年月日&lt;&gt;"",追加_生年月日&lt;DATE(1989,1,8)),"○","　")</f>
        <v>　</v>
      </c>
    </row>
    <row r="59" customFormat="false" ht="15" hidden="false" customHeight="false" outlineLevel="0" collapsed="false">
      <c r="A59" s="43" t="s">
        <v>1044</v>
      </c>
      <c r="B59" s="191" t="s">
        <v>1504</v>
      </c>
      <c r="C59" s="3" t="str">
        <f aca="false">IF(AND(追加_生年月日&gt;=DATE(1989,1,8),追加_生年月日&lt;DATE(2019,5,1)),"○","　")</f>
        <v>○</v>
      </c>
    </row>
    <row r="60" customFormat="false" ht="15" hidden="false" customHeight="false" outlineLevel="0" collapsed="false">
      <c r="A60" s="43" t="s">
        <v>1044</v>
      </c>
      <c r="B60" s="191" t="s">
        <v>1505</v>
      </c>
      <c r="C60" s="3" t="str">
        <f aca="false">IF(追加_生年月日="","",IF(追加_生年月日&lt;DATE(1989,1,8),YEAR(追加_生年月日)-1925,IF(追加_生年月日&lt;DATE(2019,5,1),YEAR(追加_生年月日)-1988,YEAR(追加_生年月日)-2018))&amp;"年"&amp;MONTH(追加_生年月日)&amp;"月"&amp;DAY(追加_生年月日)&amp;"日")</f>
        <v>2年4月1日</v>
      </c>
    </row>
    <row r="61" customFormat="false" ht="15" hidden="false" customHeight="false" outlineLevel="0" collapsed="false">
      <c r="A61" s="43" t="s">
        <v>1044</v>
      </c>
      <c r="B61" s="191" t="s">
        <v>1506</v>
      </c>
      <c r="C61" s="3" t="str">
        <f aca="false">IF(AND(入力_資格取得日&lt;&gt;"",入力_資格取得日&lt;DATE(1989,1,8)),"○","　")</f>
        <v>　</v>
      </c>
    </row>
    <row r="62" customFormat="false" ht="15" hidden="false" customHeight="false" outlineLevel="0" collapsed="false">
      <c r="A62" s="43" t="s">
        <v>1044</v>
      </c>
      <c r="B62" s="191" t="s">
        <v>1507</v>
      </c>
      <c r="C62" s="3" t="str">
        <f aca="false">IF(AND(入力_資格取得日&gt;=DATE(1989,1,8),入力_資格取得日&lt;DATE(2019,5,1)),"○","　")</f>
        <v>○</v>
      </c>
    </row>
    <row r="63" customFormat="false" ht="15" hidden="false" customHeight="false" outlineLevel="0" collapsed="false">
      <c r="A63" s="43" t="s">
        <v>1044</v>
      </c>
      <c r="B63" s="191" t="s">
        <v>1508</v>
      </c>
      <c r="C63" s="3" t="str">
        <f aca="false">IF(入力_資格取得日&gt;=DATE(2019,5,1),"○","　")</f>
        <v>　</v>
      </c>
    </row>
    <row r="64" customFormat="false" ht="15" hidden="false" customHeight="false" outlineLevel="0" collapsed="false">
      <c r="A64" s="43" t="s">
        <v>1044</v>
      </c>
      <c r="B64" s="191" t="s">
        <v>1509</v>
      </c>
      <c r="C64" s="3" t="str">
        <f aca="false">IF(入力_資格取得日="","",IF(入力_資格取得日&lt;DATE(1989,1,8),YEAR(入力_資格取得日)-1925,IF(入力_資格取得日&lt;DATE(2019,5,1),YEAR(入力_資格取得日)-1988,YEAR(入力_資格取得日)-2018))&amp;"年"&amp;MONTH(入力_資格取得日)&amp;"月")</f>
        <v>24年4月</v>
      </c>
    </row>
    <row r="65" customFormat="false" ht="15" hidden="false" customHeight="false" outlineLevel="0" collapsed="false">
      <c r="A65" s="43" t="s">
        <v>1044</v>
      </c>
      <c r="B65" s="191" t="s">
        <v>1510</v>
      </c>
      <c r="C65" s="3" t="str">
        <f aca="false">IF(N(入力_給料月額)&gt;0,TEXT(入力_給料月額,"#,##0"),"")</f>
        <v>290,000</v>
      </c>
    </row>
    <row r="66" customFormat="false" ht="15" hidden="false" customHeight="false" outlineLevel="0" collapsed="false">
      <c r="A66" s="43" t="s">
        <v>1044</v>
      </c>
      <c r="B66" s="191" t="s">
        <v>1458</v>
      </c>
      <c r="C66" s="3" t="str">
        <f aca="false">IF(入力_住所="","",入力_住所)</f>
        <v>広島市中区○○町1-1</v>
      </c>
    </row>
    <row r="67" customFormat="false" ht="15" hidden="false" customHeight="false" outlineLevel="0" collapsed="false">
      <c r="A67" s="43" t="s">
        <v>1044</v>
      </c>
      <c r="B67" s="191" t="s">
        <v>1511</v>
      </c>
      <c r="C67" s="3" t="str">
        <f aca="false">IF(追加_住所電話="","",追加_住所電話)</f>
        <v>090-0000-0000</v>
      </c>
    </row>
    <row r="68" customFormat="false" ht="15" hidden="false" customHeight="false" outlineLevel="0" collapsed="false">
      <c r="A68" s="43" t="s">
        <v>1044</v>
      </c>
      <c r="B68" s="191" t="s">
        <v>1512</v>
      </c>
      <c r="C68" s="3" t="str">
        <f aca="false">IF(追加_金融機関="","",追加_金融機関)</f>
        <v>○○銀行</v>
      </c>
    </row>
    <row r="69" customFormat="false" ht="15" hidden="false" customHeight="false" outlineLevel="0" collapsed="false">
      <c r="A69" s="43" t="s">
        <v>1044</v>
      </c>
      <c r="B69" s="191" t="s">
        <v>1513</v>
      </c>
      <c r="C69" s="3" t="str">
        <f aca="false">IF(追加_支店="","",追加_支店)</f>
        <v>広島</v>
      </c>
    </row>
    <row r="70" customFormat="false" ht="15" hidden="false" customHeight="false" outlineLevel="0" collapsed="false">
      <c r="A70" s="43" t="s">
        <v>1044</v>
      </c>
      <c r="B70" s="191" t="s">
        <v>1514</v>
      </c>
      <c r="C70" s="3" t="str">
        <f aca="false">MID(""&amp;追加_口座番号,1,1)</f>
        <v>1</v>
      </c>
    </row>
    <row r="71" customFormat="false" ht="15" hidden="false" customHeight="false" outlineLevel="0" collapsed="false">
      <c r="A71" s="43" t="s">
        <v>1044</v>
      </c>
      <c r="B71" s="191" t="s">
        <v>1515</v>
      </c>
      <c r="C71" s="3" t="str">
        <f aca="false">MID(""&amp;追加_口座番号,2,1)</f>
        <v>2</v>
      </c>
    </row>
    <row r="72" customFormat="false" ht="15" hidden="false" customHeight="false" outlineLevel="0" collapsed="false">
      <c r="A72" s="43" t="s">
        <v>1044</v>
      </c>
      <c r="B72" s="191" t="s">
        <v>1516</v>
      </c>
      <c r="C72" s="3" t="str">
        <f aca="false">MID(""&amp;追加_口座番号,3,1)</f>
        <v>3</v>
      </c>
    </row>
    <row r="73" customFormat="false" ht="15" hidden="false" customHeight="false" outlineLevel="0" collapsed="false">
      <c r="A73" s="43" t="s">
        <v>1044</v>
      </c>
      <c r="B73" s="191" t="s">
        <v>1517</v>
      </c>
      <c r="C73" s="3" t="str">
        <f aca="false">MID(""&amp;追加_口座番号,4,1)</f>
        <v>4</v>
      </c>
    </row>
    <row r="74" customFormat="false" ht="15" hidden="false" customHeight="false" outlineLevel="0" collapsed="false">
      <c r="A74" s="43" t="s">
        <v>1044</v>
      </c>
      <c r="B74" s="191" t="s">
        <v>1518</v>
      </c>
      <c r="C74" s="3" t="str">
        <f aca="false">MID(""&amp;追加_口座番号,5,1)</f>
        <v>5</v>
      </c>
    </row>
    <row r="75" customFormat="false" ht="15" hidden="false" customHeight="false" outlineLevel="0" collapsed="false">
      <c r="A75" s="43" t="s">
        <v>1044</v>
      </c>
      <c r="B75" s="191" t="s">
        <v>1519</v>
      </c>
      <c r="C75" s="3" t="str">
        <f aca="false">MID(""&amp;追加_口座番号,6,1)</f>
        <v>6</v>
      </c>
    </row>
    <row r="76" customFormat="false" ht="15" hidden="false" customHeight="false" outlineLevel="0" collapsed="false">
      <c r="A76" s="43" t="s">
        <v>1044</v>
      </c>
      <c r="B76" s="191" t="s">
        <v>1520</v>
      </c>
      <c r="C76" s="3" t="str">
        <f aca="false">MID(""&amp;追加_口座番号,7,1)</f>
        <v>7</v>
      </c>
    </row>
    <row r="77" customFormat="false" ht="15" hidden="false" customHeight="false" outlineLevel="0" collapsed="false">
      <c r="A77" s="43" t="s">
        <v>1044</v>
      </c>
      <c r="B77" s="191" t="s">
        <v>1521</v>
      </c>
      <c r="C77" s="3" t="str">
        <f aca="false">IF(申込書追加入力!$C$17="○","○","　")</f>
        <v>　</v>
      </c>
    </row>
    <row r="78" customFormat="false" ht="15" hidden="false" customHeight="false" outlineLevel="0" collapsed="false">
      <c r="A78" s="43" t="s">
        <v>1044</v>
      </c>
      <c r="B78" s="191" t="s">
        <v>1522</v>
      </c>
      <c r="C78" s="3" t="str">
        <f aca="false">IF(申込書追加入力!$C$18="○","○","　")</f>
        <v>　</v>
      </c>
    </row>
    <row r="79" customFormat="false" ht="15" hidden="false" customHeight="false" outlineLevel="0" collapsed="false">
      <c r="A79" s="43" t="s">
        <v>1044</v>
      </c>
      <c r="B79" s="191" t="s">
        <v>1523</v>
      </c>
      <c r="C79" s="3" t="str">
        <f aca="false">IF(申込書追加入力!$C$19="○","○","　")</f>
        <v>○</v>
      </c>
    </row>
    <row r="80" customFormat="false" ht="15" hidden="false" customHeight="false" outlineLevel="0" collapsed="false">
      <c r="A80" s="43" t="s">
        <v>1044</v>
      </c>
      <c r="B80" s="191" t="s">
        <v>1524</v>
      </c>
      <c r="C80" s="3" t="str">
        <f aca="false">IF(申込書追加入力!$C$20="○","○","　")</f>
        <v>　</v>
      </c>
    </row>
    <row r="81" customFormat="false" ht="15" hidden="false" customHeight="false" outlineLevel="0" collapsed="false">
      <c r="A81" s="43" t="s">
        <v>1044</v>
      </c>
      <c r="B81" s="191" t="s">
        <v>1525</v>
      </c>
      <c r="C81" s="3" t="str">
        <f aca="false">IF(申込書追加入力!$C$21="○","○","　")</f>
        <v>　</v>
      </c>
    </row>
    <row r="82" customFormat="false" ht="15" hidden="false" customHeight="false" outlineLevel="0" collapsed="false">
      <c r="A82" s="43" t="s">
        <v>1044</v>
      </c>
      <c r="B82" s="191" t="s">
        <v>1526</v>
      </c>
      <c r="C82" s="3" t="str">
        <f aca="false">IF(申込書追加入力!$D$17="○","○","　")</f>
        <v>　</v>
      </c>
    </row>
    <row r="83" customFormat="false" ht="15" hidden="false" customHeight="false" outlineLevel="0" collapsed="false">
      <c r="A83" s="43" t="s">
        <v>1044</v>
      </c>
      <c r="B83" s="191" t="s">
        <v>1527</v>
      </c>
      <c r="C83" s="3" t="str">
        <f aca="false">IF(申込書追加入力!$D$18="○","○","　")</f>
        <v>　</v>
      </c>
    </row>
    <row r="84" customFormat="false" ht="15" hidden="false" customHeight="false" outlineLevel="0" collapsed="false">
      <c r="A84" s="43" t="s">
        <v>1044</v>
      </c>
      <c r="B84" s="191" t="s">
        <v>1528</v>
      </c>
      <c r="C84" s="3" t="str">
        <f aca="false">IF(申込書追加入力!$D$19="○","○","　")</f>
        <v>　</v>
      </c>
    </row>
    <row r="85" customFormat="false" ht="15" hidden="false" customHeight="false" outlineLevel="0" collapsed="false">
      <c r="A85" s="43" t="s">
        <v>1044</v>
      </c>
      <c r="B85" s="191" t="s">
        <v>1529</v>
      </c>
      <c r="C85" s="3" t="str">
        <f aca="false">IF(申込書追加入力!$D$20="○","○","　")</f>
        <v>　</v>
      </c>
    </row>
    <row r="86" customFormat="false" ht="15" hidden="false" customHeight="false" outlineLevel="0" collapsed="false">
      <c r="A86" s="43" t="s">
        <v>1044</v>
      </c>
      <c r="B86" s="191" t="s">
        <v>1530</v>
      </c>
      <c r="C86" s="3" t="str">
        <f aca="false">IF(申込書追加入力!$D$21="○","○","　")</f>
        <v>○</v>
      </c>
    </row>
    <row r="87" customFormat="false" ht="15" hidden="false" customHeight="false" outlineLevel="0" collapsed="false">
      <c r="A87" s="43" t="s">
        <v>1044</v>
      </c>
      <c r="B87" s="191" t="s">
        <v>1531</v>
      </c>
      <c r="C87" s="3" t="str">
        <f aca="false">IF(入力_申込予定日="","令和　　年　　月　　日","令和"&amp;(YEAR(入力_申込予定日)-2018)&amp;"年"&amp;MONTH(入力_申込予定日)&amp;"月"&amp;DAY(入力_申込予定日)&amp;"日")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2026-10-22T01:30:44Z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